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bmi\Downloads\"/>
    </mc:Choice>
  </mc:AlternateContent>
  <xr:revisionPtr revIDLastSave="0" documentId="13_ncr:1_{A02FAFB8-27B3-4CA6-AA4F-1CAAED6959A6}" xr6:coauthVersionLast="47" xr6:coauthVersionMax="47" xr10:uidLastSave="{00000000-0000-0000-0000-000000000000}"/>
  <bookViews>
    <workbookView xWindow="-108" yWindow="-108" windowWidth="23256" windowHeight="13896" tabRatio="742" activeTab="2" xr2:uid="{00000000-000D-0000-FFFF-FFFF00000000}"/>
  </bookViews>
  <sheets>
    <sheet name="Deck Strategies" sheetId="1" r:id="rId1"/>
    <sheet name="Legend" sheetId="2" r:id="rId2"/>
    <sheet name="Master" sheetId="3" r:id="rId3"/>
    <sheet name="Buy List" sheetId="4" r:id="rId4"/>
  </sheets>
  <definedNames>
    <definedName name="_xlnm._FilterDatabase" localSheetId="3" hidden="1">'Buy List'!$A$1:$J$18</definedName>
    <definedName name="_xlnm._FilterDatabase" localSheetId="2" hidden="1">Master!$A$4:$BD$900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900" i="3" l="1"/>
  <c r="AS900" i="3"/>
  <c r="AK900" i="3"/>
  <c r="X900" i="3" s="1"/>
  <c r="AB900" i="3" s="1"/>
  <c r="BA898" i="3"/>
  <c r="AS898" i="3"/>
  <c r="AK898" i="3"/>
  <c r="X898" i="3" s="1"/>
  <c r="AB898" i="3" s="1"/>
  <c r="BA897" i="3"/>
  <c r="AS897" i="3"/>
  <c r="AK897" i="3"/>
  <c r="X897" i="3" s="1"/>
  <c r="AB897" i="3" s="1"/>
  <c r="BA896" i="3"/>
  <c r="AS896" i="3"/>
  <c r="AK896" i="3"/>
  <c r="X896" i="3" s="1"/>
  <c r="AB896" i="3" s="1"/>
  <c r="BA895" i="3"/>
  <c r="AS895" i="3"/>
  <c r="AK895" i="3"/>
  <c r="X895" i="3" s="1"/>
  <c r="AB895" i="3" s="1"/>
  <c r="BA894" i="3"/>
  <c r="AS894" i="3"/>
  <c r="AK894" i="3"/>
  <c r="X894" i="3" s="1"/>
  <c r="AB894" i="3" s="1"/>
  <c r="BA893" i="3"/>
  <c r="AS893" i="3"/>
  <c r="AK893" i="3"/>
  <c r="X893" i="3" s="1"/>
  <c r="AB893" i="3" s="1"/>
  <c r="BA892" i="3"/>
  <c r="AS892" i="3"/>
  <c r="AK892" i="3"/>
  <c r="X892" i="3" s="1"/>
  <c r="AB892" i="3" s="1"/>
  <c r="BA891" i="3"/>
  <c r="AS891" i="3"/>
  <c r="AK891" i="3"/>
  <c r="X891" i="3" s="1"/>
  <c r="AB891" i="3" s="1"/>
  <c r="BA888" i="3"/>
  <c r="AS888" i="3"/>
  <c r="AK888" i="3"/>
  <c r="X888" i="3" s="1"/>
  <c r="AB888" i="3" s="1"/>
  <c r="BA887" i="3"/>
  <c r="AS887" i="3"/>
  <c r="AK887" i="3"/>
  <c r="X887" i="3" s="1"/>
  <c r="AB887" i="3" s="1"/>
  <c r="BA886" i="3"/>
  <c r="AS886" i="3"/>
  <c r="AK886" i="3"/>
  <c r="X886" i="3" s="1"/>
  <c r="AB886" i="3" s="1"/>
  <c r="BA885" i="3"/>
  <c r="AS885" i="3"/>
  <c r="AK885" i="3"/>
  <c r="X885" i="3" s="1"/>
  <c r="AB885" i="3" s="1"/>
  <c r="BA884" i="3"/>
  <c r="AS884" i="3"/>
  <c r="AK884" i="3"/>
  <c r="X884" i="3" s="1"/>
  <c r="AB884" i="3" s="1"/>
  <c r="BA883" i="3"/>
  <c r="AS883" i="3"/>
  <c r="AK883" i="3"/>
  <c r="X883" i="3" s="1"/>
  <c r="AB883" i="3" s="1"/>
  <c r="BA882" i="3"/>
  <c r="AS882" i="3"/>
  <c r="AK882" i="3"/>
  <c r="X882" i="3" s="1"/>
  <c r="AB882" i="3" s="1"/>
  <c r="BA881" i="3"/>
  <c r="AS881" i="3"/>
  <c r="AK881" i="3"/>
  <c r="X881" i="3" s="1"/>
  <c r="AB881" i="3" s="1"/>
  <c r="BA880" i="3"/>
  <c r="AS880" i="3"/>
  <c r="AK880" i="3"/>
  <c r="X880" i="3" s="1"/>
  <c r="AB880" i="3" s="1"/>
  <c r="BA879" i="3"/>
  <c r="AS879" i="3"/>
  <c r="AK879" i="3"/>
  <c r="X879" i="3" s="1"/>
  <c r="AB879" i="3" s="1"/>
  <c r="BA878" i="3"/>
  <c r="AS878" i="3"/>
  <c r="AK878" i="3"/>
  <c r="X878" i="3" s="1"/>
  <c r="AB878" i="3" s="1"/>
  <c r="BA877" i="3"/>
  <c r="AS877" i="3"/>
  <c r="AK877" i="3"/>
  <c r="X877" i="3" s="1"/>
  <c r="AB877" i="3" s="1"/>
  <c r="BA876" i="3"/>
  <c r="AS876" i="3"/>
  <c r="AK876" i="3"/>
  <c r="X876" i="3" s="1"/>
  <c r="AB876" i="3" s="1"/>
  <c r="BA874" i="3"/>
  <c r="AS874" i="3"/>
  <c r="AK874" i="3"/>
  <c r="X874" i="3" s="1"/>
  <c r="AB874" i="3" s="1"/>
  <c r="BA873" i="3"/>
  <c r="AS873" i="3"/>
  <c r="AK873" i="3"/>
  <c r="X873" i="3" s="1"/>
  <c r="AB873" i="3" s="1"/>
  <c r="BA872" i="3"/>
  <c r="AS872" i="3"/>
  <c r="AK872" i="3"/>
  <c r="X872" i="3" s="1"/>
  <c r="AB872" i="3" s="1"/>
  <c r="BA871" i="3"/>
  <c r="AS871" i="3"/>
  <c r="AK871" i="3"/>
  <c r="X871" i="3" s="1"/>
  <c r="AB871" i="3" s="1"/>
  <c r="BA870" i="3"/>
  <c r="AS870" i="3"/>
  <c r="AK870" i="3"/>
  <c r="X870" i="3" s="1"/>
  <c r="AB870" i="3" s="1"/>
  <c r="BA869" i="3"/>
  <c r="AS869" i="3"/>
  <c r="AK869" i="3"/>
  <c r="X869" i="3" s="1"/>
  <c r="AB869" i="3" s="1"/>
  <c r="BA868" i="3"/>
  <c r="AS868" i="3"/>
  <c r="AK868" i="3"/>
  <c r="X868" i="3" s="1"/>
  <c r="AB868" i="3" s="1"/>
  <c r="BA866" i="3"/>
  <c r="AS866" i="3"/>
  <c r="AK866" i="3"/>
  <c r="X866" i="3" s="1"/>
  <c r="AB866" i="3" s="1"/>
  <c r="BA865" i="3"/>
  <c r="AS865" i="3"/>
  <c r="AK865" i="3"/>
  <c r="X865" i="3" s="1"/>
  <c r="AB865" i="3" s="1"/>
  <c r="BA864" i="3"/>
  <c r="AS864" i="3"/>
  <c r="AK864" i="3"/>
  <c r="X864" i="3" s="1"/>
  <c r="AB864" i="3" s="1"/>
  <c r="BA863" i="3"/>
  <c r="AS863" i="3"/>
  <c r="AK863" i="3"/>
  <c r="X863" i="3" s="1"/>
  <c r="AB863" i="3" s="1"/>
  <c r="BA862" i="3"/>
  <c r="AS862" i="3"/>
  <c r="AK862" i="3"/>
  <c r="X862" i="3" s="1"/>
  <c r="AB862" i="3" s="1"/>
  <c r="BA860" i="3"/>
  <c r="AS860" i="3"/>
  <c r="AK860" i="3"/>
  <c r="X860" i="3" s="1"/>
  <c r="AB860" i="3" s="1"/>
  <c r="BA859" i="3"/>
  <c r="AS859" i="3"/>
  <c r="AK859" i="3"/>
  <c r="X859" i="3" s="1"/>
  <c r="AB859" i="3" s="1"/>
  <c r="BA857" i="3"/>
  <c r="AS857" i="3"/>
  <c r="AK857" i="3"/>
  <c r="X857" i="3" s="1"/>
  <c r="AB857" i="3" s="1"/>
  <c r="BA854" i="3"/>
  <c r="AS854" i="3"/>
  <c r="AK854" i="3"/>
  <c r="X854" i="3" s="1"/>
  <c r="AB854" i="3" s="1"/>
  <c r="BA853" i="3"/>
  <c r="AS853" i="3"/>
  <c r="AK853" i="3"/>
  <c r="X853" i="3" s="1"/>
  <c r="AB853" i="3" s="1"/>
  <c r="BA852" i="3"/>
  <c r="AS852" i="3"/>
  <c r="AK852" i="3"/>
  <c r="X852" i="3" s="1"/>
  <c r="AB852" i="3" s="1"/>
  <c r="BA851" i="3"/>
  <c r="AS851" i="3"/>
  <c r="AK851" i="3"/>
  <c r="X851" i="3" s="1"/>
  <c r="AB851" i="3" s="1"/>
  <c r="BA850" i="3"/>
  <c r="AS850" i="3"/>
  <c r="AK850" i="3"/>
  <c r="X850" i="3" s="1"/>
  <c r="AB850" i="3" s="1"/>
  <c r="BA849" i="3"/>
  <c r="AS849" i="3"/>
  <c r="AK849" i="3"/>
  <c r="X849" i="3" s="1"/>
  <c r="AB849" i="3" s="1"/>
  <c r="BA847" i="3"/>
  <c r="AS847" i="3"/>
  <c r="AK847" i="3"/>
  <c r="X847" i="3" s="1"/>
  <c r="AB847" i="3" s="1"/>
  <c r="BA846" i="3"/>
  <c r="AS846" i="3"/>
  <c r="AK846" i="3"/>
  <c r="X846" i="3" s="1"/>
  <c r="AB846" i="3" s="1"/>
  <c r="BA845" i="3"/>
  <c r="AS845" i="3"/>
  <c r="AK845" i="3"/>
  <c r="X845" i="3" s="1"/>
  <c r="AB845" i="3" s="1"/>
  <c r="BA843" i="3"/>
  <c r="AS843" i="3"/>
  <c r="AK843" i="3"/>
  <c r="X843" i="3" s="1"/>
  <c r="AB843" i="3" s="1"/>
  <c r="BA841" i="3"/>
  <c r="AS841" i="3"/>
  <c r="AK841" i="3"/>
  <c r="X841" i="3" s="1"/>
  <c r="AB841" i="3" s="1"/>
  <c r="BA840" i="3"/>
  <c r="AS840" i="3"/>
  <c r="AK840" i="3"/>
  <c r="X840" i="3" s="1"/>
  <c r="AB840" i="3" s="1"/>
  <c r="BA839" i="3"/>
  <c r="AS839" i="3"/>
  <c r="AK839" i="3"/>
  <c r="X839" i="3" s="1"/>
  <c r="AB839" i="3" s="1"/>
  <c r="BA838" i="3"/>
  <c r="AS838" i="3"/>
  <c r="AK838" i="3"/>
  <c r="X838" i="3" s="1"/>
  <c r="AB838" i="3" s="1"/>
  <c r="BA837" i="3"/>
  <c r="AS837" i="3"/>
  <c r="AK837" i="3"/>
  <c r="X837" i="3" s="1"/>
  <c r="AB837" i="3" s="1"/>
  <c r="BA835" i="3"/>
  <c r="AS835" i="3"/>
  <c r="AK835" i="3"/>
  <c r="X835" i="3" s="1"/>
  <c r="AB835" i="3" s="1"/>
  <c r="BA834" i="3"/>
  <c r="AS834" i="3"/>
  <c r="AK834" i="3"/>
  <c r="X834" i="3" s="1"/>
  <c r="AB834" i="3" s="1"/>
  <c r="BA833" i="3"/>
  <c r="AS833" i="3"/>
  <c r="AK833" i="3"/>
  <c r="X833" i="3" s="1"/>
  <c r="AB833" i="3" s="1"/>
  <c r="BA832" i="3"/>
  <c r="AS832" i="3"/>
  <c r="AK832" i="3"/>
  <c r="X832" i="3" s="1"/>
  <c r="AB832" i="3" s="1"/>
  <c r="BA831" i="3"/>
  <c r="AS831" i="3"/>
  <c r="AK831" i="3"/>
  <c r="X831" i="3" s="1"/>
  <c r="AB831" i="3" s="1"/>
  <c r="BA830" i="3"/>
  <c r="AS830" i="3"/>
  <c r="AK830" i="3"/>
  <c r="X830" i="3" s="1"/>
  <c r="AB830" i="3" s="1"/>
  <c r="BA828" i="3"/>
  <c r="AS828" i="3"/>
  <c r="AK828" i="3"/>
  <c r="X828" i="3" s="1"/>
  <c r="AB828" i="3" s="1"/>
  <c r="BA826" i="3"/>
  <c r="AS826" i="3"/>
  <c r="AK826" i="3"/>
  <c r="X826" i="3" s="1"/>
  <c r="AB826" i="3" s="1"/>
  <c r="BA825" i="3"/>
  <c r="AS825" i="3"/>
  <c r="AK825" i="3"/>
  <c r="X825" i="3" s="1"/>
  <c r="AB825" i="3" s="1"/>
  <c r="BA824" i="3"/>
  <c r="AS824" i="3"/>
  <c r="AK824" i="3"/>
  <c r="X824" i="3" s="1"/>
  <c r="AB824" i="3" s="1"/>
  <c r="BA822" i="3"/>
  <c r="AS822" i="3"/>
  <c r="AK822" i="3"/>
  <c r="X822" i="3" s="1"/>
  <c r="AB822" i="3" s="1"/>
  <c r="BA820" i="3"/>
  <c r="AS820" i="3"/>
  <c r="AK820" i="3"/>
  <c r="X820" i="3" s="1"/>
  <c r="AB820" i="3" s="1"/>
  <c r="BA818" i="3"/>
  <c r="AS818" i="3"/>
  <c r="AK818" i="3"/>
  <c r="X818" i="3" s="1"/>
  <c r="AB818" i="3" s="1"/>
  <c r="BA816" i="3"/>
  <c r="AS816" i="3"/>
  <c r="AK816" i="3"/>
  <c r="X816" i="3" s="1"/>
  <c r="AB816" i="3" s="1"/>
  <c r="BA814" i="3"/>
  <c r="AS814" i="3"/>
  <c r="AK814" i="3"/>
  <c r="X814" i="3" s="1"/>
  <c r="AB814" i="3" s="1"/>
  <c r="BA813" i="3"/>
  <c r="AS813" i="3"/>
  <c r="AK813" i="3"/>
  <c r="X813" i="3" s="1"/>
  <c r="AB813" i="3" s="1"/>
  <c r="BA812" i="3"/>
  <c r="AS812" i="3"/>
  <c r="AK812" i="3"/>
  <c r="X812" i="3" s="1"/>
  <c r="AB812" i="3" s="1"/>
  <c r="BA811" i="3"/>
  <c r="AS811" i="3"/>
  <c r="AK811" i="3"/>
  <c r="X811" i="3" s="1"/>
  <c r="AB811" i="3" s="1"/>
  <c r="BA809" i="3"/>
  <c r="AS809" i="3"/>
  <c r="AK809" i="3"/>
  <c r="X809" i="3" s="1"/>
  <c r="AB809" i="3" s="1"/>
  <c r="BA808" i="3"/>
  <c r="AS808" i="3"/>
  <c r="AK808" i="3"/>
  <c r="X808" i="3" s="1"/>
  <c r="AB808" i="3" s="1"/>
  <c r="BA807" i="3"/>
  <c r="AS807" i="3"/>
  <c r="AK807" i="3"/>
  <c r="X807" i="3" s="1"/>
  <c r="AB807" i="3" s="1"/>
  <c r="BA806" i="3"/>
  <c r="AS806" i="3"/>
  <c r="AK806" i="3"/>
  <c r="X806" i="3" s="1"/>
  <c r="AB806" i="3" s="1"/>
  <c r="BA805" i="3"/>
  <c r="AS805" i="3"/>
  <c r="AK805" i="3"/>
  <c r="X805" i="3" s="1"/>
  <c r="AB805" i="3" s="1"/>
  <c r="BA803" i="3"/>
  <c r="AS803" i="3"/>
  <c r="AK803" i="3"/>
  <c r="X803" i="3" s="1"/>
  <c r="AB803" i="3" s="1"/>
  <c r="BA801" i="3"/>
  <c r="AS801" i="3"/>
  <c r="AK801" i="3"/>
  <c r="X801" i="3" s="1"/>
  <c r="AB801" i="3" s="1"/>
  <c r="BA800" i="3"/>
  <c r="AS800" i="3"/>
  <c r="AK800" i="3"/>
  <c r="X800" i="3" s="1"/>
  <c r="AB800" i="3" s="1"/>
  <c r="BA799" i="3"/>
  <c r="AS799" i="3"/>
  <c r="AK799" i="3"/>
  <c r="X799" i="3" s="1"/>
  <c r="AB799" i="3" s="1"/>
  <c r="BA798" i="3"/>
  <c r="AS798" i="3"/>
  <c r="AK798" i="3"/>
  <c r="X798" i="3" s="1"/>
  <c r="AB798" i="3" s="1"/>
  <c r="BA797" i="3"/>
  <c r="AS797" i="3"/>
  <c r="AK797" i="3"/>
  <c r="X797" i="3" s="1"/>
  <c r="AB797" i="3" s="1"/>
  <c r="BA795" i="3"/>
  <c r="AS795" i="3"/>
  <c r="AK795" i="3"/>
  <c r="X795" i="3" s="1"/>
  <c r="AB795" i="3" s="1"/>
  <c r="BA794" i="3"/>
  <c r="AS794" i="3"/>
  <c r="AK794" i="3"/>
  <c r="X794" i="3" s="1"/>
  <c r="AB794" i="3" s="1"/>
  <c r="BA792" i="3"/>
  <c r="AS792" i="3"/>
  <c r="AK792" i="3"/>
  <c r="X792" i="3" s="1"/>
  <c r="AB792" i="3" s="1"/>
  <c r="BA791" i="3"/>
  <c r="AS791" i="3"/>
  <c r="AK791" i="3"/>
  <c r="X791" i="3" s="1"/>
  <c r="AB791" i="3" s="1"/>
  <c r="BA790" i="3"/>
  <c r="AS790" i="3"/>
  <c r="AK790" i="3"/>
  <c r="X790" i="3" s="1"/>
  <c r="AB790" i="3" s="1"/>
  <c r="BA789" i="3"/>
  <c r="AS789" i="3"/>
  <c r="AK789" i="3"/>
  <c r="X789" i="3" s="1"/>
  <c r="AB789" i="3" s="1"/>
  <c r="BA788" i="3"/>
  <c r="AS788" i="3"/>
  <c r="AK788" i="3"/>
  <c r="X788" i="3" s="1"/>
  <c r="AB788" i="3" s="1"/>
  <c r="BA787" i="3"/>
  <c r="AS787" i="3"/>
  <c r="AK787" i="3"/>
  <c r="X787" i="3" s="1"/>
  <c r="AB787" i="3" s="1"/>
  <c r="BA786" i="3"/>
  <c r="AS786" i="3"/>
  <c r="AK786" i="3"/>
  <c r="X786" i="3" s="1"/>
  <c r="AB786" i="3" s="1"/>
  <c r="BA785" i="3"/>
  <c r="AS785" i="3"/>
  <c r="AK785" i="3"/>
  <c r="X785" i="3" s="1"/>
  <c r="AB785" i="3" s="1"/>
  <c r="BA784" i="3"/>
  <c r="AS784" i="3"/>
  <c r="AK784" i="3"/>
  <c r="X784" i="3" s="1"/>
  <c r="AB784" i="3" s="1"/>
  <c r="BA783" i="3"/>
  <c r="AS783" i="3"/>
  <c r="AK783" i="3"/>
  <c r="X783" i="3" s="1"/>
  <c r="AB783" i="3" s="1"/>
  <c r="BA781" i="3"/>
  <c r="AS781" i="3"/>
  <c r="AK781" i="3"/>
  <c r="X781" i="3" s="1"/>
  <c r="AB781" i="3" s="1"/>
  <c r="BA780" i="3"/>
  <c r="AS780" i="3"/>
  <c r="AK780" i="3"/>
  <c r="X780" i="3" s="1"/>
  <c r="AB780" i="3" s="1"/>
  <c r="BA779" i="3"/>
  <c r="AS779" i="3"/>
  <c r="AK779" i="3"/>
  <c r="X779" i="3" s="1"/>
  <c r="AB779" i="3" s="1"/>
  <c r="BA778" i="3"/>
  <c r="AS778" i="3"/>
  <c r="AK778" i="3"/>
  <c r="X778" i="3" s="1"/>
  <c r="AB778" i="3" s="1"/>
  <c r="BA777" i="3"/>
  <c r="AS777" i="3"/>
  <c r="AK777" i="3"/>
  <c r="X777" i="3" s="1"/>
  <c r="AB777" i="3" s="1"/>
  <c r="BA776" i="3"/>
  <c r="AS776" i="3"/>
  <c r="AK776" i="3"/>
  <c r="X776" i="3" s="1"/>
  <c r="AB776" i="3" s="1"/>
  <c r="BA775" i="3"/>
  <c r="AS775" i="3"/>
  <c r="AK775" i="3"/>
  <c r="X775" i="3" s="1"/>
  <c r="AB775" i="3" s="1"/>
  <c r="BA774" i="3"/>
  <c r="AS774" i="3"/>
  <c r="AK774" i="3"/>
  <c r="X774" i="3" s="1"/>
  <c r="AB774" i="3" s="1"/>
  <c r="BA772" i="3"/>
  <c r="AS772" i="3"/>
  <c r="AK772" i="3"/>
  <c r="X772" i="3" s="1"/>
  <c r="AB772" i="3" s="1"/>
  <c r="BA771" i="3"/>
  <c r="AS771" i="3"/>
  <c r="AK771" i="3"/>
  <c r="X771" i="3" s="1"/>
  <c r="AB771" i="3" s="1"/>
  <c r="BA770" i="3"/>
  <c r="AS770" i="3"/>
  <c r="AK770" i="3"/>
  <c r="X770" i="3" s="1"/>
  <c r="AB770" i="3" s="1"/>
  <c r="BA769" i="3"/>
  <c r="AS769" i="3"/>
  <c r="AK769" i="3"/>
  <c r="X769" i="3" s="1"/>
  <c r="AB769" i="3" s="1"/>
  <c r="BA768" i="3"/>
  <c r="AS768" i="3"/>
  <c r="AK768" i="3"/>
  <c r="X768" i="3" s="1"/>
  <c r="AB768" i="3" s="1"/>
  <c r="BA767" i="3"/>
  <c r="AS767" i="3"/>
  <c r="AK767" i="3"/>
  <c r="X767" i="3" s="1"/>
  <c r="AB767" i="3" s="1"/>
  <c r="BA766" i="3"/>
  <c r="AS766" i="3"/>
  <c r="AK766" i="3"/>
  <c r="X766" i="3" s="1"/>
  <c r="AB766" i="3" s="1"/>
  <c r="BA765" i="3"/>
  <c r="AS765" i="3"/>
  <c r="AK765" i="3"/>
  <c r="X765" i="3" s="1"/>
  <c r="AB765" i="3" s="1"/>
  <c r="BA764" i="3"/>
  <c r="AS764" i="3"/>
  <c r="AK764" i="3"/>
  <c r="X764" i="3" s="1"/>
  <c r="AB764" i="3" s="1"/>
  <c r="BA763" i="3"/>
  <c r="AS763" i="3"/>
  <c r="AK763" i="3"/>
  <c r="X763" i="3" s="1"/>
  <c r="AB763" i="3" s="1"/>
  <c r="BA762" i="3"/>
  <c r="AS762" i="3"/>
  <c r="AK762" i="3"/>
  <c r="X762" i="3" s="1"/>
  <c r="AB762" i="3" s="1"/>
  <c r="BA761" i="3"/>
  <c r="AS761" i="3"/>
  <c r="AK761" i="3"/>
  <c r="X761" i="3" s="1"/>
  <c r="AB761" i="3" s="1"/>
  <c r="BA760" i="3"/>
  <c r="AS760" i="3"/>
  <c r="AK760" i="3"/>
  <c r="X760" i="3" s="1"/>
  <c r="AB760" i="3" s="1"/>
  <c r="BA759" i="3"/>
  <c r="AS759" i="3"/>
  <c r="AK759" i="3"/>
  <c r="X759" i="3" s="1"/>
  <c r="AB759" i="3" s="1"/>
  <c r="BA758" i="3"/>
  <c r="AS758" i="3"/>
  <c r="AK758" i="3"/>
  <c r="X758" i="3" s="1"/>
  <c r="AB758" i="3" s="1"/>
  <c r="BA757" i="3"/>
  <c r="AS757" i="3"/>
  <c r="AK757" i="3"/>
  <c r="X757" i="3" s="1"/>
  <c r="AB757" i="3" s="1"/>
  <c r="BA755" i="3"/>
  <c r="AS755" i="3"/>
  <c r="AK755" i="3"/>
  <c r="X755" i="3" s="1"/>
  <c r="AB755" i="3" s="1"/>
  <c r="BA754" i="3"/>
  <c r="AS754" i="3"/>
  <c r="AK754" i="3"/>
  <c r="X754" i="3" s="1"/>
  <c r="AB754" i="3" s="1"/>
  <c r="BA753" i="3"/>
  <c r="AS753" i="3"/>
  <c r="AK753" i="3"/>
  <c r="X753" i="3" s="1"/>
  <c r="AB753" i="3" s="1"/>
  <c r="BA751" i="3"/>
  <c r="AS751" i="3"/>
  <c r="AK751" i="3"/>
  <c r="X751" i="3" s="1"/>
  <c r="AB751" i="3" s="1"/>
  <c r="BA750" i="3"/>
  <c r="AS750" i="3"/>
  <c r="AK750" i="3"/>
  <c r="X750" i="3" s="1"/>
  <c r="AB750" i="3" s="1"/>
  <c r="BA749" i="3"/>
  <c r="AS749" i="3"/>
  <c r="AK749" i="3"/>
  <c r="X749" i="3" s="1"/>
  <c r="AB749" i="3" s="1"/>
  <c r="BA748" i="3"/>
  <c r="AS748" i="3"/>
  <c r="AK748" i="3"/>
  <c r="X748" i="3" s="1"/>
  <c r="AB748" i="3" s="1"/>
  <c r="BA747" i="3"/>
  <c r="AS747" i="3"/>
  <c r="AK747" i="3"/>
  <c r="X747" i="3" s="1"/>
  <c r="AB747" i="3" s="1"/>
  <c r="BA746" i="3"/>
  <c r="AS746" i="3"/>
  <c r="AK746" i="3"/>
  <c r="X746" i="3" s="1"/>
  <c r="AB746" i="3" s="1"/>
  <c r="BA745" i="3"/>
  <c r="AS745" i="3"/>
  <c r="AK745" i="3"/>
  <c r="X745" i="3" s="1"/>
  <c r="AB745" i="3" s="1"/>
  <c r="BA744" i="3"/>
  <c r="AS744" i="3"/>
  <c r="AK744" i="3"/>
  <c r="X744" i="3" s="1"/>
  <c r="AB744" i="3" s="1"/>
  <c r="BA743" i="3"/>
  <c r="AS743" i="3"/>
  <c r="AK743" i="3"/>
  <c r="X743" i="3"/>
  <c r="AB743" i="3" s="1"/>
  <c r="BA742" i="3"/>
  <c r="AS742" i="3"/>
  <c r="AK742" i="3"/>
  <c r="X742" i="3" s="1"/>
  <c r="AB742" i="3" s="1"/>
  <c r="BA741" i="3"/>
  <c r="AS741" i="3"/>
  <c r="AK741" i="3"/>
  <c r="X741" i="3" s="1"/>
  <c r="AB741" i="3" s="1"/>
  <c r="BA740" i="3"/>
  <c r="AS740" i="3"/>
  <c r="AK740" i="3"/>
  <c r="X740" i="3" s="1"/>
  <c r="AB740" i="3" s="1"/>
  <c r="BA739" i="3"/>
  <c r="AS739" i="3"/>
  <c r="AK739" i="3"/>
  <c r="X739" i="3" s="1"/>
  <c r="AB739" i="3" s="1"/>
  <c r="BA738" i="3"/>
  <c r="AS738" i="3"/>
  <c r="AK738" i="3"/>
  <c r="X738" i="3" s="1"/>
  <c r="AB738" i="3" s="1"/>
  <c r="BA737" i="3"/>
  <c r="AS737" i="3"/>
  <c r="AK737" i="3"/>
  <c r="X737" i="3" s="1"/>
  <c r="AB737" i="3" s="1"/>
  <c r="BA736" i="3"/>
  <c r="AS736" i="3"/>
  <c r="AK736" i="3"/>
  <c r="X736" i="3"/>
  <c r="AB736" i="3" s="1"/>
  <c r="BA735" i="3"/>
  <c r="AS735" i="3"/>
  <c r="AK735" i="3"/>
  <c r="X735" i="3" s="1"/>
  <c r="AB735" i="3" s="1"/>
  <c r="BA733" i="3"/>
  <c r="AS733" i="3"/>
  <c r="AK733" i="3"/>
  <c r="X733" i="3" s="1"/>
  <c r="AB733" i="3" s="1"/>
  <c r="BA731" i="3"/>
  <c r="AS731" i="3"/>
  <c r="AK731" i="3"/>
  <c r="X731" i="3" s="1"/>
  <c r="AB731" i="3" s="1"/>
  <c r="BA730" i="3"/>
  <c r="AS730" i="3"/>
  <c r="AK730" i="3"/>
  <c r="X730" i="3" s="1"/>
  <c r="AB730" i="3" s="1"/>
  <c r="BA729" i="3"/>
  <c r="AS729" i="3"/>
  <c r="AK729" i="3"/>
  <c r="X729" i="3" s="1"/>
  <c r="AB729" i="3" s="1"/>
  <c r="BA40" i="3"/>
  <c r="AS40" i="3"/>
  <c r="AK40" i="3"/>
  <c r="X40" i="3" s="1"/>
  <c r="AB40" i="3" s="1"/>
  <c r="BA39" i="3"/>
  <c r="AS39" i="3"/>
  <c r="AK39" i="3"/>
  <c r="X39" i="3" s="1"/>
  <c r="AB39" i="3" s="1"/>
  <c r="BA728" i="3"/>
  <c r="AS728" i="3"/>
  <c r="AK728" i="3"/>
  <c r="X728" i="3" s="1"/>
  <c r="AB728" i="3" s="1"/>
  <c r="BA727" i="3"/>
  <c r="AS727" i="3"/>
  <c r="AK727" i="3"/>
  <c r="X727" i="3" s="1"/>
  <c r="AB727" i="3" s="1"/>
  <c r="BA726" i="3"/>
  <c r="AS726" i="3"/>
  <c r="AK726" i="3"/>
  <c r="X726" i="3" s="1"/>
  <c r="AB726" i="3" s="1"/>
  <c r="BA725" i="3"/>
  <c r="AS725" i="3"/>
  <c r="AK725" i="3"/>
  <c r="X725" i="3" s="1"/>
  <c r="AB725" i="3" s="1"/>
  <c r="BA724" i="3"/>
  <c r="AS724" i="3"/>
  <c r="AK724" i="3"/>
  <c r="X724" i="3" s="1"/>
  <c r="AB724" i="3" s="1"/>
  <c r="BA723" i="3"/>
  <c r="AS723" i="3"/>
  <c r="AK723" i="3"/>
  <c r="X723" i="3" s="1"/>
  <c r="AB723" i="3" s="1"/>
  <c r="BA38" i="3"/>
  <c r="AS38" i="3"/>
  <c r="AK38" i="3"/>
  <c r="X38" i="3" s="1"/>
  <c r="AB38" i="3" s="1"/>
  <c r="BA37" i="3"/>
  <c r="AS37" i="3"/>
  <c r="AK37" i="3"/>
  <c r="X37" i="3" s="1"/>
  <c r="AB37" i="3" s="1"/>
  <c r="BA722" i="3"/>
  <c r="AS722" i="3"/>
  <c r="AK722" i="3"/>
  <c r="X722" i="3" s="1"/>
  <c r="AB722" i="3" s="1"/>
  <c r="BA721" i="3"/>
  <c r="AS721" i="3"/>
  <c r="AK721" i="3"/>
  <c r="X721" i="3" s="1"/>
  <c r="AB721" i="3" s="1"/>
  <c r="BA720" i="3"/>
  <c r="AS720" i="3"/>
  <c r="AK720" i="3"/>
  <c r="X720" i="3" s="1"/>
  <c r="AB720" i="3" s="1"/>
  <c r="BA719" i="3"/>
  <c r="AS719" i="3"/>
  <c r="AK719" i="3"/>
  <c r="X719" i="3" s="1"/>
  <c r="AB719" i="3" s="1"/>
  <c r="BA718" i="3"/>
  <c r="AS718" i="3"/>
  <c r="AK718" i="3"/>
  <c r="X718" i="3" s="1"/>
  <c r="AB718" i="3" s="1"/>
  <c r="BA717" i="3"/>
  <c r="AS717" i="3"/>
  <c r="AK717" i="3"/>
  <c r="X717" i="3" s="1"/>
  <c r="AB717" i="3" s="1"/>
  <c r="BA716" i="3"/>
  <c r="AS716" i="3"/>
  <c r="AK716" i="3"/>
  <c r="X716" i="3" s="1"/>
  <c r="AB716" i="3" s="1"/>
  <c r="BA715" i="3"/>
  <c r="AS715" i="3"/>
  <c r="AK715" i="3"/>
  <c r="X715" i="3" s="1"/>
  <c r="AB715" i="3" s="1"/>
  <c r="BA36" i="3"/>
  <c r="AS36" i="3"/>
  <c r="AK36" i="3"/>
  <c r="X36" i="3" s="1"/>
  <c r="AB36" i="3" s="1"/>
  <c r="BA714" i="3"/>
  <c r="AS714" i="3"/>
  <c r="AK714" i="3"/>
  <c r="X714" i="3" s="1"/>
  <c r="AB714" i="3" s="1"/>
  <c r="BA713" i="3"/>
  <c r="AS713" i="3"/>
  <c r="AK713" i="3"/>
  <c r="X713" i="3" s="1"/>
  <c r="AB713" i="3" s="1"/>
  <c r="BA712" i="3"/>
  <c r="AS712" i="3"/>
  <c r="AK712" i="3"/>
  <c r="X712" i="3" s="1"/>
  <c r="AB712" i="3" s="1"/>
  <c r="BA35" i="3"/>
  <c r="AS35" i="3"/>
  <c r="AK35" i="3"/>
  <c r="X35" i="3" s="1"/>
  <c r="AB35" i="3" s="1"/>
  <c r="BA711" i="3"/>
  <c r="AS711" i="3"/>
  <c r="AK711" i="3"/>
  <c r="X711" i="3" s="1"/>
  <c r="AB711" i="3" s="1"/>
  <c r="BA710" i="3"/>
  <c r="AS710" i="3"/>
  <c r="AK710" i="3"/>
  <c r="X710" i="3" s="1"/>
  <c r="AB710" i="3" s="1"/>
  <c r="BA709" i="3"/>
  <c r="AS709" i="3"/>
  <c r="AK709" i="3"/>
  <c r="X709" i="3" s="1"/>
  <c r="AB709" i="3" s="1"/>
  <c r="BA708" i="3"/>
  <c r="AS708" i="3"/>
  <c r="AK708" i="3"/>
  <c r="X708" i="3" s="1"/>
  <c r="AB708" i="3" s="1"/>
  <c r="BA707" i="3"/>
  <c r="AS707" i="3"/>
  <c r="AK707" i="3"/>
  <c r="X707" i="3" s="1"/>
  <c r="AB707" i="3" s="1"/>
  <c r="BA706" i="3"/>
  <c r="AS706" i="3"/>
  <c r="AK706" i="3"/>
  <c r="X706" i="3" s="1"/>
  <c r="AB706" i="3" s="1"/>
  <c r="BA705" i="3"/>
  <c r="AS705" i="3"/>
  <c r="AK705" i="3"/>
  <c r="X705" i="3" s="1"/>
  <c r="AB705" i="3" s="1"/>
  <c r="BA704" i="3"/>
  <c r="AS704" i="3"/>
  <c r="AK704" i="3"/>
  <c r="X704" i="3" s="1"/>
  <c r="AB704" i="3" s="1"/>
  <c r="BA703" i="3"/>
  <c r="AS703" i="3"/>
  <c r="AK703" i="3"/>
  <c r="X703" i="3" s="1"/>
  <c r="AB703" i="3" s="1"/>
  <c r="BA702" i="3"/>
  <c r="AS702" i="3"/>
  <c r="AK702" i="3"/>
  <c r="X702" i="3" s="1"/>
  <c r="AB702" i="3" s="1"/>
  <c r="BA701" i="3"/>
  <c r="AS701" i="3"/>
  <c r="AK701" i="3"/>
  <c r="X701" i="3" s="1"/>
  <c r="AB701" i="3" s="1"/>
  <c r="BA700" i="3"/>
  <c r="AS700" i="3"/>
  <c r="AK700" i="3"/>
  <c r="X700" i="3" s="1"/>
  <c r="AB700" i="3" s="1"/>
  <c r="BA699" i="3"/>
  <c r="AS699" i="3"/>
  <c r="AK699" i="3"/>
  <c r="X699" i="3" s="1"/>
  <c r="AB699" i="3" s="1"/>
  <c r="BA698" i="3"/>
  <c r="AS698" i="3"/>
  <c r="AK698" i="3"/>
  <c r="X698" i="3" s="1"/>
  <c r="AB698" i="3" s="1"/>
  <c r="BA697" i="3"/>
  <c r="AS697" i="3"/>
  <c r="AK697" i="3"/>
  <c r="X697" i="3" s="1"/>
  <c r="AB697" i="3" s="1"/>
  <c r="BA696" i="3"/>
  <c r="AS696" i="3"/>
  <c r="AK696" i="3"/>
  <c r="X696" i="3" s="1"/>
  <c r="AB696" i="3" s="1"/>
  <c r="BA695" i="3"/>
  <c r="AS695" i="3"/>
  <c r="AK695" i="3"/>
  <c r="X695" i="3" s="1"/>
  <c r="AB695" i="3" s="1"/>
  <c r="BA34" i="3"/>
  <c r="AS34" i="3"/>
  <c r="AK34" i="3"/>
  <c r="X34" i="3" s="1"/>
  <c r="AB34" i="3" s="1"/>
  <c r="BA33" i="3"/>
  <c r="AS33" i="3"/>
  <c r="AK33" i="3"/>
  <c r="X33" i="3" s="1"/>
  <c r="AB33" i="3" s="1"/>
  <c r="BA694" i="3"/>
  <c r="AS694" i="3"/>
  <c r="AK694" i="3"/>
  <c r="X694" i="3" s="1"/>
  <c r="AB694" i="3" s="1"/>
  <c r="BA693" i="3"/>
  <c r="AS693" i="3"/>
  <c r="AK693" i="3"/>
  <c r="X693" i="3" s="1"/>
  <c r="AB693" i="3" s="1"/>
  <c r="BA692" i="3"/>
  <c r="AS692" i="3"/>
  <c r="AK692" i="3"/>
  <c r="X692" i="3" s="1"/>
  <c r="AB692" i="3" s="1"/>
  <c r="BA691" i="3"/>
  <c r="AS691" i="3"/>
  <c r="AK691" i="3"/>
  <c r="X691" i="3" s="1"/>
  <c r="AB691" i="3" s="1"/>
  <c r="BA690" i="3"/>
  <c r="AS690" i="3"/>
  <c r="AK690" i="3"/>
  <c r="X690" i="3" s="1"/>
  <c r="AB690" i="3" s="1"/>
  <c r="BA689" i="3"/>
  <c r="AS689" i="3"/>
  <c r="AK689" i="3"/>
  <c r="X689" i="3" s="1"/>
  <c r="AB689" i="3" s="1"/>
  <c r="BA688" i="3"/>
  <c r="AS688" i="3"/>
  <c r="AK688" i="3"/>
  <c r="X688" i="3" s="1"/>
  <c r="AB688" i="3" s="1"/>
  <c r="BA687" i="3"/>
  <c r="AS687" i="3"/>
  <c r="AK687" i="3"/>
  <c r="X687" i="3" s="1"/>
  <c r="AB687" i="3" s="1"/>
  <c r="BA686" i="3"/>
  <c r="AS686" i="3"/>
  <c r="AK686" i="3"/>
  <c r="X686" i="3" s="1"/>
  <c r="AB686" i="3" s="1"/>
  <c r="BA32" i="3"/>
  <c r="AS32" i="3"/>
  <c r="AK32" i="3"/>
  <c r="X32" i="3" s="1"/>
  <c r="AB32" i="3" s="1"/>
  <c r="BA31" i="3"/>
  <c r="AS31" i="3"/>
  <c r="AK31" i="3"/>
  <c r="X31" i="3" s="1"/>
  <c r="AB31" i="3" s="1"/>
  <c r="BA30" i="3"/>
  <c r="AS30" i="3"/>
  <c r="AK30" i="3"/>
  <c r="X30" i="3" s="1"/>
  <c r="AB30" i="3" s="1"/>
  <c r="BA29" i="3"/>
  <c r="AS29" i="3"/>
  <c r="AK29" i="3"/>
  <c r="X29" i="3" s="1"/>
  <c r="AB29" i="3" s="1"/>
  <c r="BA685" i="3"/>
  <c r="AS685" i="3"/>
  <c r="AK685" i="3"/>
  <c r="X685" i="3" s="1"/>
  <c r="AB685" i="3" s="1"/>
  <c r="BA28" i="3"/>
  <c r="AS28" i="3"/>
  <c r="AK28" i="3"/>
  <c r="X28" i="3" s="1"/>
  <c r="AB28" i="3" s="1"/>
  <c r="BA684" i="3"/>
  <c r="AS684" i="3"/>
  <c r="AK684" i="3"/>
  <c r="X684" i="3" s="1"/>
  <c r="AB684" i="3" s="1"/>
  <c r="BA27" i="3"/>
  <c r="AS27" i="3"/>
  <c r="AK27" i="3"/>
  <c r="X27" i="3" s="1"/>
  <c r="AB27" i="3" s="1"/>
  <c r="BA683" i="3"/>
  <c r="AS683" i="3"/>
  <c r="AK683" i="3"/>
  <c r="X683" i="3" s="1"/>
  <c r="AB683" i="3" s="1"/>
  <c r="BA682" i="3"/>
  <c r="AS682" i="3"/>
  <c r="AK682" i="3"/>
  <c r="X682" i="3" s="1"/>
  <c r="AB682" i="3" s="1"/>
  <c r="BA681" i="3"/>
  <c r="AS681" i="3"/>
  <c r="AK681" i="3"/>
  <c r="X681" i="3" s="1"/>
  <c r="AB681" i="3" s="1"/>
  <c r="BA680" i="3"/>
  <c r="AS680" i="3"/>
  <c r="AK680" i="3"/>
  <c r="X680" i="3" s="1"/>
  <c r="AB680" i="3" s="1"/>
  <c r="BA26" i="3"/>
  <c r="AS26" i="3"/>
  <c r="AK26" i="3"/>
  <c r="X26" i="3" s="1"/>
  <c r="AB26" i="3" s="1"/>
  <c r="BA679" i="3"/>
  <c r="AS679" i="3"/>
  <c r="AK679" i="3"/>
  <c r="X679" i="3" s="1"/>
  <c r="AB679" i="3" s="1"/>
  <c r="BA678" i="3"/>
  <c r="AS678" i="3"/>
  <c r="AK678" i="3"/>
  <c r="X678" i="3" s="1"/>
  <c r="AB678" i="3" s="1"/>
  <c r="BA677" i="3"/>
  <c r="AS677" i="3"/>
  <c r="AK677" i="3"/>
  <c r="X677" i="3" s="1"/>
  <c r="AB677" i="3" s="1"/>
  <c r="BA676" i="3"/>
  <c r="AS676" i="3"/>
  <c r="AK676" i="3"/>
  <c r="X676" i="3" s="1"/>
  <c r="AB676" i="3" s="1"/>
  <c r="BA675" i="3"/>
  <c r="AS675" i="3"/>
  <c r="AK675" i="3"/>
  <c r="X675" i="3" s="1"/>
  <c r="AB675" i="3" s="1"/>
  <c r="BA674" i="3"/>
  <c r="AS674" i="3"/>
  <c r="AK674" i="3"/>
  <c r="X674" i="3" s="1"/>
  <c r="AB674" i="3" s="1"/>
  <c r="BA673" i="3"/>
  <c r="AS673" i="3"/>
  <c r="AK673" i="3"/>
  <c r="X673" i="3" s="1"/>
  <c r="AB673" i="3" s="1"/>
  <c r="BA672" i="3"/>
  <c r="AS672" i="3"/>
  <c r="AK672" i="3"/>
  <c r="X672" i="3" s="1"/>
  <c r="AB672" i="3" s="1"/>
  <c r="BA671" i="3"/>
  <c r="AS671" i="3"/>
  <c r="AK671" i="3"/>
  <c r="X671" i="3" s="1"/>
  <c r="AB671" i="3" s="1"/>
  <c r="BA670" i="3"/>
  <c r="AS670" i="3"/>
  <c r="AK670" i="3"/>
  <c r="X670" i="3" s="1"/>
  <c r="AB670" i="3" s="1"/>
  <c r="BA669" i="3"/>
  <c r="AS669" i="3"/>
  <c r="AK669" i="3"/>
  <c r="X669" i="3" s="1"/>
  <c r="AB669" i="3" s="1"/>
  <c r="BA668" i="3"/>
  <c r="AS668" i="3"/>
  <c r="AK668" i="3"/>
  <c r="X668" i="3" s="1"/>
  <c r="AB668" i="3" s="1"/>
  <c r="BA667" i="3"/>
  <c r="AS667" i="3"/>
  <c r="AK667" i="3"/>
  <c r="X667" i="3" s="1"/>
  <c r="AB667" i="3" s="1"/>
  <c r="BA666" i="3"/>
  <c r="AS666" i="3"/>
  <c r="AK666" i="3"/>
  <c r="X666" i="3" s="1"/>
  <c r="AB666" i="3" s="1"/>
  <c r="BA665" i="3"/>
  <c r="AS665" i="3"/>
  <c r="AK665" i="3"/>
  <c r="X665" i="3" s="1"/>
  <c r="AB665" i="3" s="1"/>
  <c r="BA664" i="3"/>
  <c r="AS664" i="3"/>
  <c r="AK664" i="3"/>
  <c r="X664" i="3" s="1"/>
  <c r="AB664" i="3" s="1"/>
  <c r="BA663" i="3"/>
  <c r="AS663" i="3"/>
  <c r="AK663" i="3"/>
  <c r="X663" i="3" s="1"/>
  <c r="AB663" i="3" s="1"/>
  <c r="BA662" i="3"/>
  <c r="AS662" i="3"/>
  <c r="AK662" i="3"/>
  <c r="X662" i="3" s="1"/>
  <c r="AB662" i="3" s="1"/>
  <c r="BA661" i="3"/>
  <c r="AS661" i="3"/>
  <c r="AK661" i="3"/>
  <c r="X661" i="3" s="1"/>
  <c r="AB661" i="3" s="1"/>
  <c r="BA660" i="3"/>
  <c r="AS660" i="3"/>
  <c r="AK660" i="3"/>
  <c r="X660" i="3" s="1"/>
  <c r="AB660" i="3" s="1"/>
  <c r="BA659" i="3"/>
  <c r="AS659" i="3"/>
  <c r="AK659" i="3"/>
  <c r="X659" i="3" s="1"/>
  <c r="AB659" i="3" s="1"/>
  <c r="BA658" i="3"/>
  <c r="AS658" i="3"/>
  <c r="AK658" i="3"/>
  <c r="X658" i="3" s="1"/>
  <c r="AB658" i="3" s="1"/>
  <c r="BA657" i="3"/>
  <c r="AS657" i="3"/>
  <c r="AK657" i="3"/>
  <c r="X657" i="3" s="1"/>
  <c r="AB657" i="3" s="1"/>
  <c r="BA656" i="3"/>
  <c r="AS656" i="3"/>
  <c r="AK656" i="3"/>
  <c r="X656" i="3" s="1"/>
  <c r="AB656" i="3" s="1"/>
  <c r="BA655" i="3"/>
  <c r="AS655" i="3"/>
  <c r="AK655" i="3"/>
  <c r="X655" i="3" s="1"/>
  <c r="AB655" i="3" s="1"/>
  <c r="BA654" i="3"/>
  <c r="AS654" i="3"/>
  <c r="AK654" i="3"/>
  <c r="X654" i="3" s="1"/>
  <c r="AB654" i="3" s="1"/>
  <c r="BA653" i="3"/>
  <c r="AS653" i="3"/>
  <c r="AK653" i="3"/>
  <c r="X653" i="3" s="1"/>
  <c r="AB653" i="3" s="1"/>
  <c r="BA652" i="3"/>
  <c r="AS652" i="3"/>
  <c r="AK652" i="3"/>
  <c r="X652" i="3" s="1"/>
  <c r="AB652" i="3" s="1"/>
  <c r="BA651" i="3"/>
  <c r="AS651" i="3"/>
  <c r="AK651" i="3"/>
  <c r="X651" i="3" s="1"/>
  <c r="AB651" i="3" s="1"/>
  <c r="BA650" i="3"/>
  <c r="AS650" i="3"/>
  <c r="AK650" i="3"/>
  <c r="X650" i="3" s="1"/>
  <c r="AB650" i="3" s="1"/>
  <c r="BA649" i="3"/>
  <c r="AS649" i="3"/>
  <c r="AK649" i="3"/>
  <c r="X649" i="3" s="1"/>
  <c r="AB649" i="3" s="1"/>
  <c r="BA648" i="3"/>
  <c r="AS648" i="3"/>
  <c r="AK648" i="3"/>
  <c r="X648" i="3" s="1"/>
  <c r="AB648" i="3" s="1"/>
  <c r="BA647" i="3"/>
  <c r="AS647" i="3"/>
  <c r="AK647" i="3"/>
  <c r="X647" i="3" s="1"/>
  <c r="AB647" i="3" s="1"/>
  <c r="BA646" i="3"/>
  <c r="AS646" i="3"/>
  <c r="AK646" i="3"/>
  <c r="X646" i="3" s="1"/>
  <c r="AB646" i="3" s="1"/>
  <c r="BA645" i="3"/>
  <c r="AS645" i="3"/>
  <c r="AK645" i="3"/>
  <c r="X645" i="3" s="1"/>
  <c r="AB645" i="3" s="1"/>
  <c r="BA644" i="3"/>
  <c r="AS644" i="3"/>
  <c r="AK644" i="3"/>
  <c r="X644" i="3" s="1"/>
  <c r="AB644" i="3" s="1"/>
  <c r="BA643" i="3"/>
  <c r="AS643" i="3"/>
  <c r="AK643" i="3"/>
  <c r="X643" i="3" s="1"/>
  <c r="AB643" i="3" s="1"/>
  <c r="BA642" i="3"/>
  <c r="AS642" i="3"/>
  <c r="AK642" i="3"/>
  <c r="X642" i="3"/>
  <c r="AB642" i="3" s="1"/>
  <c r="BA641" i="3"/>
  <c r="AS641" i="3"/>
  <c r="AK641" i="3"/>
  <c r="X641" i="3" s="1"/>
  <c r="AB641" i="3" s="1"/>
  <c r="BA640" i="3"/>
  <c r="AS640" i="3"/>
  <c r="AK640" i="3"/>
  <c r="X640" i="3" s="1"/>
  <c r="AB640" i="3" s="1"/>
  <c r="BA639" i="3"/>
  <c r="AS639" i="3"/>
  <c r="AK639" i="3"/>
  <c r="X639" i="3" s="1"/>
  <c r="AB639" i="3" s="1"/>
  <c r="BA638" i="3"/>
  <c r="AS638" i="3"/>
  <c r="AK638" i="3"/>
  <c r="X638" i="3" s="1"/>
  <c r="AB638" i="3" s="1"/>
  <c r="BA637" i="3"/>
  <c r="AS637" i="3"/>
  <c r="AK637" i="3"/>
  <c r="X637" i="3" s="1"/>
  <c r="AB637" i="3" s="1"/>
  <c r="BA636" i="3"/>
  <c r="AS636" i="3"/>
  <c r="AK636" i="3"/>
  <c r="X636" i="3" s="1"/>
  <c r="AB636" i="3" s="1"/>
  <c r="BA635" i="3"/>
  <c r="AS635" i="3"/>
  <c r="AK635" i="3"/>
  <c r="X635" i="3" s="1"/>
  <c r="AB635" i="3" s="1"/>
  <c r="BA634" i="3"/>
  <c r="AS634" i="3"/>
  <c r="AK634" i="3"/>
  <c r="X634" i="3" s="1"/>
  <c r="AB634" i="3" s="1"/>
  <c r="BA633" i="3"/>
  <c r="AS633" i="3"/>
  <c r="AK633" i="3"/>
  <c r="X633" i="3" s="1"/>
  <c r="AB633" i="3" s="1"/>
  <c r="BA632" i="3"/>
  <c r="AS632" i="3"/>
  <c r="AK632" i="3"/>
  <c r="X632" i="3" s="1"/>
  <c r="AB632" i="3" s="1"/>
  <c r="BA631" i="3"/>
  <c r="AS631" i="3"/>
  <c r="AK631" i="3"/>
  <c r="X631" i="3" s="1"/>
  <c r="AB631" i="3" s="1"/>
  <c r="BA630" i="3"/>
  <c r="AS630" i="3"/>
  <c r="AK630" i="3"/>
  <c r="X630" i="3" s="1"/>
  <c r="AB630" i="3" s="1"/>
  <c r="BA629" i="3"/>
  <c r="AS629" i="3"/>
  <c r="AK629" i="3"/>
  <c r="X629" i="3" s="1"/>
  <c r="AB629" i="3" s="1"/>
  <c r="BA628" i="3"/>
  <c r="AS628" i="3"/>
  <c r="AK628" i="3"/>
  <c r="X628" i="3" s="1"/>
  <c r="AB628" i="3" s="1"/>
  <c r="BA627" i="3"/>
  <c r="AS627" i="3"/>
  <c r="AK627" i="3"/>
  <c r="X627" i="3" s="1"/>
  <c r="AB627" i="3" s="1"/>
  <c r="BA626" i="3"/>
  <c r="AS626" i="3"/>
  <c r="AK626" i="3"/>
  <c r="X626" i="3" s="1"/>
  <c r="AB626" i="3" s="1"/>
  <c r="BA625" i="3"/>
  <c r="AS625" i="3"/>
  <c r="AK625" i="3"/>
  <c r="X625" i="3" s="1"/>
  <c r="AB625" i="3" s="1"/>
  <c r="BA624" i="3"/>
  <c r="AS624" i="3"/>
  <c r="AK624" i="3"/>
  <c r="X624" i="3" s="1"/>
  <c r="AB624" i="3" s="1"/>
  <c r="BA623" i="3"/>
  <c r="AS623" i="3"/>
  <c r="AK623" i="3"/>
  <c r="X623" i="3" s="1"/>
  <c r="AB623" i="3" s="1"/>
  <c r="BA622" i="3"/>
  <c r="AS622" i="3"/>
  <c r="AK622" i="3"/>
  <c r="X622" i="3" s="1"/>
  <c r="AB622" i="3" s="1"/>
  <c r="BA621" i="3"/>
  <c r="AS621" i="3"/>
  <c r="AK621" i="3"/>
  <c r="X621" i="3" s="1"/>
  <c r="AB621" i="3" s="1"/>
  <c r="BA620" i="3"/>
  <c r="AS620" i="3"/>
  <c r="AK620" i="3"/>
  <c r="X620" i="3" s="1"/>
  <c r="AB620" i="3" s="1"/>
  <c r="BA619" i="3"/>
  <c r="AS619" i="3"/>
  <c r="AK619" i="3"/>
  <c r="X619" i="3" s="1"/>
  <c r="AB619" i="3" s="1"/>
  <c r="BA618" i="3"/>
  <c r="AS618" i="3"/>
  <c r="AK618" i="3"/>
  <c r="X618" i="3" s="1"/>
  <c r="AB618" i="3" s="1"/>
  <c r="BA617" i="3"/>
  <c r="AS617" i="3"/>
  <c r="AK617" i="3"/>
  <c r="X617" i="3" s="1"/>
  <c r="AB617" i="3" s="1"/>
  <c r="BA616" i="3"/>
  <c r="AS616" i="3"/>
  <c r="AK616" i="3"/>
  <c r="X616" i="3" s="1"/>
  <c r="AB616" i="3" s="1"/>
  <c r="BA615" i="3"/>
  <c r="AS615" i="3"/>
  <c r="AK615" i="3"/>
  <c r="X615" i="3" s="1"/>
  <c r="AB615" i="3" s="1"/>
  <c r="BA614" i="3"/>
  <c r="AS614" i="3"/>
  <c r="AK614" i="3"/>
  <c r="X614" i="3" s="1"/>
  <c r="AB614" i="3" s="1"/>
  <c r="BA613" i="3"/>
  <c r="AS613" i="3"/>
  <c r="AK613" i="3"/>
  <c r="X613" i="3" s="1"/>
  <c r="AB613" i="3" s="1"/>
  <c r="BA612" i="3"/>
  <c r="AS612" i="3"/>
  <c r="AK612" i="3"/>
  <c r="X612" i="3" s="1"/>
  <c r="AB612" i="3" s="1"/>
  <c r="BA611" i="3"/>
  <c r="AS611" i="3"/>
  <c r="AK611" i="3"/>
  <c r="X611" i="3" s="1"/>
  <c r="AB611" i="3" s="1"/>
  <c r="BA610" i="3"/>
  <c r="AS610" i="3"/>
  <c r="AK610" i="3"/>
  <c r="X610" i="3" s="1"/>
  <c r="AB610" i="3" s="1"/>
  <c r="BA609" i="3"/>
  <c r="AS609" i="3"/>
  <c r="AK609" i="3"/>
  <c r="X609" i="3" s="1"/>
  <c r="AB609" i="3" s="1"/>
  <c r="BA608" i="3"/>
  <c r="AS608" i="3"/>
  <c r="AK608" i="3"/>
  <c r="X608" i="3" s="1"/>
  <c r="AB608" i="3" s="1"/>
  <c r="BA607" i="3"/>
  <c r="AS607" i="3"/>
  <c r="AK607" i="3"/>
  <c r="X607" i="3" s="1"/>
  <c r="AB607" i="3" s="1"/>
  <c r="BA606" i="3"/>
  <c r="AS606" i="3"/>
  <c r="AK606" i="3"/>
  <c r="X606" i="3" s="1"/>
  <c r="AB606" i="3" s="1"/>
  <c r="BA605" i="3"/>
  <c r="AS605" i="3"/>
  <c r="AK605" i="3"/>
  <c r="X605" i="3" s="1"/>
  <c r="AB605" i="3" s="1"/>
  <c r="BA604" i="3"/>
  <c r="AS604" i="3"/>
  <c r="AK604" i="3"/>
  <c r="X604" i="3" s="1"/>
  <c r="AB604" i="3" s="1"/>
  <c r="BA603" i="3"/>
  <c r="AS603" i="3"/>
  <c r="AK603" i="3"/>
  <c r="X603" i="3" s="1"/>
  <c r="AB603" i="3" s="1"/>
  <c r="BA602" i="3"/>
  <c r="AS602" i="3"/>
  <c r="AK602" i="3"/>
  <c r="X602" i="3" s="1"/>
  <c r="AB602" i="3" s="1"/>
  <c r="BA601" i="3"/>
  <c r="AS601" i="3"/>
  <c r="AK601" i="3"/>
  <c r="X601" i="3" s="1"/>
  <c r="AB601" i="3" s="1"/>
  <c r="BA600" i="3"/>
  <c r="AS600" i="3"/>
  <c r="AK600" i="3"/>
  <c r="X600" i="3" s="1"/>
  <c r="AB600" i="3" s="1"/>
  <c r="BA599" i="3"/>
  <c r="AS599" i="3"/>
  <c r="AK599" i="3"/>
  <c r="X599" i="3" s="1"/>
  <c r="AB599" i="3" s="1"/>
  <c r="BA598" i="3"/>
  <c r="AS598" i="3"/>
  <c r="AK598" i="3"/>
  <c r="X598" i="3" s="1"/>
  <c r="AB598" i="3" s="1"/>
  <c r="BA597" i="3"/>
  <c r="AS597" i="3"/>
  <c r="AK597" i="3"/>
  <c r="X597" i="3" s="1"/>
  <c r="AB597" i="3" s="1"/>
  <c r="BA596" i="3"/>
  <c r="AS596" i="3"/>
  <c r="AK596" i="3"/>
  <c r="X596" i="3" s="1"/>
  <c r="AB596" i="3" s="1"/>
  <c r="BA595" i="3"/>
  <c r="AS595" i="3"/>
  <c r="AK595" i="3"/>
  <c r="X595" i="3" s="1"/>
  <c r="AB595" i="3" s="1"/>
  <c r="BA594" i="3"/>
  <c r="AS594" i="3"/>
  <c r="AK594" i="3"/>
  <c r="X594" i="3" s="1"/>
  <c r="AB594" i="3" s="1"/>
  <c r="BA593" i="3"/>
  <c r="AS593" i="3"/>
  <c r="AK593" i="3"/>
  <c r="X593" i="3" s="1"/>
  <c r="AB593" i="3" s="1"/>
  <c r="BA592" i="3"/>
  <c r="AS592" i="3"/>
  <c r="AK592" i="3"/>
  <c r="X592" i="3" s="1"/>
  <c r="AB592" i="3" s="1"/>
  <c r="BA591" i="3"/>
  <c r="AS591" i="3"/>
  <c r="AK591" i="3"/>
  <c r="X591" i="3" s="1"/>
  <c r="AB591" i="3" s="1"/>
  <c r="BA590" i="3"/>
  <c r="AS590" i="3"/>
  <c r="AK590" i="3"/>
  <c r="X590" i="3" s="1"/>
  <c r="AB590" i="3" s="1"/>
  <c r="BA589" i="3"/>
  <c r="AS589" i="3"/>
  <c r="AK589" i="3"/>
  <c r="X589" i="3" s="1"/>
  <c r="AB589" i="3" s="1"/>
  <c r="BA588" i="3"/>
  <c r="AS588" i="3"/>
  <c r="AK588" i="3"/>
  <c r="X588" i="3" s="1"/>
  <c r="AB588" i="3" s="1"/>
  <c r="BA587" i="3"/>
  <c r="AS587" i="3"/>
  <c r="AK587" i="3"/>
  <c r="X587" i="3" s="1"/>
  <c r="AB587" i="3" s="1"/>
  <c r="BA586" i="3"/>
  <c r="AS586" i="3"/>
  <c r="AK586" i="3"/>
  <c r="X586" i="3" s="1"/>
  <c r="AB586" i="3" s="1"/>
  <c r="BA585" i="3"/>
  <c r="AS585" i="3"/>
  <c r="AK585" i="3"/>
  <c r="X585" i="3" s="1"/>
  <c r="AB585" i="3" s="1"/>
  <c r="BA584" i="3"/>
  <c r="AS584" i="3"/>
  <c r="AK584" i="3"/>
  <c r="X584" i="3" s="1"/>
  <c r="AB584" i="3" s="1"/>
  <c r="BA583" i="3"/>
  <c r="AS583" i="3"/>
  <c r="AK583" i="3"/>
  <c r="X583" i="3" s="1"/>
  <c r="AB583" i="3" s="1"/>
  <c r="BA582" i="3"/>
  <c r="AS582" i="3"/>
  <c r="AK582" i="3"/>
  <c r="X582" i="3" s="1"/>
  <c r="AB582" i="3" s="1"/>
  <c r="BA581" i="3"/>
  <c r="AS581" i="3"/>
  <c r="AK581" i="3"/>
  <c r="X581" i="3" s="1"/>
  <c r="AB581" i="3" s="1"/>
  <c r="BA580" i="3"/>
  <c r="AS580" i="3"/>
  <c r="AK580" i="3"/>
  <c r="X580" i="3" s="1"/>
  <c r="AB580" i="3" s="1"/>
  <c r="BA579" i="3"/>
  <c r="AS579" i="3"/>
  <c r="AK579" i="3"/>
  <c r="X579" i="3" s="1"/>
  <c r="AB579" i="3" s="1"/>
  <c r="BA578" i="3"/>
  <c r="AS578" i="3"/>
  <c r="AK578" i="3"/>
  <c r="X578" i="3" s="1"/>
  <c r="AB578" i="3" s="1"/>
  <c r="BA577" i="3"/>
  <c r="AS577" i="3"/>
  <c r="AK577" i="3"/>
  <c r="X577" i="3" s="1"/>
  <c r="AB577" i="3" s="1"/>
  <c r="BA576" i="3"/>
  <c r="AS576" i="3"/>
  <c r="AK576" i="3"/>
  <c r="X576" i="3" s="1"/>
  <c r="AB576" i="3" s="1"/>
  <c r="BA575" i="3"/>
  <c r="AS575" i="3"/>
  <c r="AK575" i="3"/>
  <c r="X575" i="3" s="1"/>
  <c r="AB575" i="3" s="1"/>
  <c r="BA574" i="3"/>
  <c r="AS574" i="3"/>
  <c r="AK574" i="3"/>
  <c r="X574" i="3" s="1"/>
  <c r="AB574" i="3" s="1"/>
  <c r="BA573" i="3"/>
  <c r="AS573" i="3"/>
  <c r="AK573" i="3"/>
  <c r="X573" i="3" s="1"/>
  <c r="AB573" i="3" s="1"/>
  <c r="BA572" i="3"/>
  <c r="AS572" i="3"/>
  <c r="AK572" i="3"/>
  <c r="X572" i="3" s="1"/>
  <c r="AB572" i="3" s="1"/>
  <c r="BA571" i="3"/>
  <c r="AS571" i="3"/>
  <c r="AK571" i="3"/>
  <c r="X571" i="3" s="1"/>
  <c r="AB571" i="3" s="1"/>
  <c r="BA570" i="3"/>
  <c r="AS570" i="3"/>
  <c r="AK570" i="3"/>
  <c r="X570" i="3" s="1"/>
  <c r="AB570" i="3" s="1"/>
  <c r="BA569" i="3"/>
  <c r="AS569" i="3"/>
  <c r="AK569" i="3"/>
  <c r="X569" i="3" s="1"/>
  <c r="AB569" i="3" s="1"/>
  <c r="BA568" i="3"/>
  <c r="AS568" i="3"/>
  <c r="AK568" i="3"/>
  <c r="X568" i="3" s="1"/>
  <c r="AB568" i="3" s="1"/>
  <c r="BA567" i="3"/>
  <c r="AS567" i="3"/>
  <c r="AK567" i="3"/>
  <c r="X567" i="3" s="1"/>
  <c r="AB567" i="3" s="1"/>
  <c r="BA566" i="3"/>
  <c r="AS566" i="3"/>
  <c r="AK566" i="3"/>
  <c r="X566" i="3" s="1"/>
  <c r="AB566" i="3" s="1"/>
  <c r="BA565" i="3"/>
  <c r="AS565" i="3"/>
  <c r="AK565" i="3"/>
  <c r="X565" i="3" s="1"/>
  <c r="AB565" i="3" s="1"/>
  <c r="BA564" i="3"/>
  <c r="AS564" i="3"/>
  <c r="AK564" i="3"/>
  <c r="X564" i="3" s="1"/>
  <c r="AB564" i="3" s="1"/>
  <c r="BA563" i="3"/>
  <c r="AS563" i="3"/>
  <c r="AK563" i="3"/>
  <c r="X563" i="3" s="1"/>
  <c r="AB563" i="3" s="1"/>
  <c r="BA562" i="3"/>
  <c r="AS562" i="3"/>
  <c r="AK562" i="3"/>
  <c r="X562" i="3" s="1"/>
  <c r="AB562" i="3" s="1"/>
  <c r="BA561" i="3"/>
  <c r="AS561" i="3"/>
  <c r="AK561" i="3"/>
  <c r="X561" i="3" s="1"/>
  <c r="AB561" i="3" s="1"/>
  <c r="BA560" i="3"/>
  <c r="AS560" i="3"/>
  <c r="AK560" i="3"/>
  <c r="X560" i="3" s="1"/>
  <c r="AB560" i="3" s="1"/>
  <c r="BA559" i="3"/>
  <c r="AS559" i="3"/>
  <c r="AK559" i="3"/>
  <c r="X559" i="3" s="1"/>
  <c r="AB559" i="3" s="1"/>
  <c r="BA558" i="3"/>
  <c r="AS558" i="3"/>
  <c r="AK558" i="3"/>
  <c r="X558" i="3" s="1"/>
  <c r="AB558" i="3" s="1"/>
  <c r="BA557" i="3"/>
  <c r="AS557" i="3"/>
  <c r="AK557" i="3"/>
  <c r="X557" i="3" s="1"/>
  <c r="AB557" i="3" s="1"/>
  <c r="BA556" i="3"/>
  <c r="AS556" i="3"/>
  <c r="AK556" i="3"/>
  <c r="X556" i="3" s="1"/>
  <c r="AB556" i="3" s="1"/>
  <c r="BA555" i="3"/>
  <c r="AS555" i="3"/>
  <c r="AK555" i="3"/>
  <c r="X555" i="3" s="1"/>
  <c r="AB555" i="3" s="1"/>
  <c r="BA554" i="3"/>
  <c r="AS554" i="3"/>
  <c r="AK554" i="3"/>
  <c r="X554" i="3" s="1"/>
  <c r="AB554" i="3" s="1"/>
  <c r="BA553" i="3"/>
  <c r="AS553" i="3"/>
  <c r="AK553" i="3"/>
  <c r="X553" i="3" s="1"/>
  <c r="AB553" i="3" s="1"/>
  <c r="BA552" i="3"/>
  <c r="AS552" i="3"/>
  <c r="AK552" i="3"/>
  <c r="X552" i="3" s="1"/>
  <c r="AB552" i="3" s="1"/>
  <c r="BA551" i="3"/>
  <c r="AS551" i="3"/>
  <c r="AK551" i="3"/>
  <c r="X551" i="3" s="1"/>
  <c r="AB551" i="3" s="1"/>
  <c r="BA550" i="3"/>
  <c r="AS550" i="3"/>
  <c r="AK550" i="3"/>
  <c r="X550" i="3" s="1"/>
  <c r="AB550" i="3" s="1"/>
  <c r="BA549" i="3"/>
  <c r="AS549" i="3"/>
  <c r="AK549" i="3"/>
  <c r="X549" i="3" s="1"/>
  <c r="AB549" i="3" s="1"/>
  <c r="BA548" i="3"/>
  <c r="AS548" i="3"/>
  <c r="AK548" i="3"/>
  <c r="X548" i="3" s="1"/>
  <c r="AB548" i="3" s="1"/>
  <c r="BA547" i="3"/>
  <c r="AS547" i="3"/>
  <c r="AK547" i="3"/>
  <c r="X547" i="3" s="1"/>
  <c r="AB547" i="3" s="1"/>
  <c r="BA546" i="3"/>
  <c r="AS546" i="3"/>
  <c r="AK546" i="3"/>
  <c r="X546" i="3" s="1"/>
  <c r="AB546" i="3" s="1"/>
  <c r="BA545" i="3"/>
  <c r="AS545" i="3"/>
  <c r="AK545" i="3"/>
  <c r="X545" i="3" s="1"/>
  <c r="AB545" i="3" s="1"/>
  <c r="BA544" i="3"/>
  <c r="AS544" i="3"/>
  <c r="AK544" i="3"/>
  <c r="X544" i="3" s="1"/>
  <c r="AB544" i="3" s="1"/>
  <c r="BA543" i="3"/>
  <c r="AS543" i="3"/>
  <c r="AK543" i="3"/>
  <c r="X543" i="3" s="1"/>
  <c r="AB543" i="3" s="1"/>
  <c r="BA542" i="3"/>
  <c r="AS542" i="3"/>
  <c r="AK542" i="3"/>
  <c r="X542" i="3" s="1"/>
  <c r="AB542" i="3" s="1"/>
  <c r="BA541" i="3"/>
  <c r="AS541" i="3"/>
  <c r="AK541" i="3"/>
  <c r="X541" i="3" s="1"/>
  <c r="AB541" i="3" s="1"/>
  <c r="BA540" i="3"/>
  <c r="AS540" i="3"/>
  <c r="AK540" i="3"/>
  <c r="X540" i="3" s="1"/>
  <c r="AB540" i="3" s="1"/>
  <c r="BA539" i="3"/>
  <c r="AS539" i="3"/>
  <c r="AK539" i="3"/>
  <c r="X539" i="3" s="1"/>
  <c r="AB539" i="3" s="1"/>
  <c r="BA538" i="3"/>
  <c r="AS538" i="3"/>
  <c r="AK538" i="3"/>
  <c r="X538" i="3" s="1"/>
  <c r="AB538" i="3" s="1"/>
  <c r="BA537" i="3"/>
  <c r="AS537" i="3"/>
  <c r="AK537" i="3"/>
  <c r="X537" i="3" s="1"/>
  <c r="AB537" i="3" s="1"/>
  <c r="BA536" i="3"/>
  <c r="AS536" i="3"/>
  <c r="AK536" i="3"/>
  <c r="X536" i="3" s="1"/>
  <c r="AB536" i="3" s="1"/>
  <c r="BA535" i="3"/>
  <c r="AS535" i="3"/>
  <c r="AK535" i="3"/>
  <c r="X535" i="3" s="1"/>
  <c r="AB535" i="3" s="1"/>
  <c r="BA534" i="3"/>
  <c r="AS534" i="3"/>
  <c r="AK534" i="3"/>
  <c r="X534" i="3" s="1"/>
  <c r="AB534" i="3" s="1"/>
  <c r="BA533" i="3"/>
  <c r="AS533" i="3"/>
  <c r="AK533" i="3"/>
  <c r="X533" i="3" s="1"/>
  <c r="AB533" i="3" s="1"/>
  <c r="BA532" i="3"/>
  <c r="AS532" i="3"/>
  <c r="AK532" i="3"/>
  <c r="X532" i="3" s="1"/>
  <c r="AB532" i="3" s="1"/>
  <c r="BA531" i="3"/>
  <c r="AS531" i="3"/>
  <c r="AK531" i="3"/>
  <c r="X531" i="3" s="1"/>
  <c r="AB531" i="3" s="1"/>
  <c r="BA530" i="3"/>
  <c r="AS530" i="3"/>
  <c r="AK530" i="3"/>
  <c r="X530" i="3" s="1"/>
  <c r="AB530" i="3" s="1"/>
  <c r="BA529" i="3"/>
  <c r="AS529" i="3"/>
  <c r="AK529" i="3"/>
  <c r="X529" i="3" s="1"/>
  <c r="AB529" i="3" s="1"/>
  <c r="BA528" i="3"/>
  <c r="AS528" i="3"/>
  <c r="AK528" i="3"/>
  <c r="X528" i="3" s="1"/>
  <c r="AB528" i="3" s="1"/>
  <c r="BA527" i="3"/>
  <c r="AS527" i="3"/>
  <c r="AK527" i="3"/>
  <c r="X527" i="3" s="1"/>
  <c r="AB527" i="3" s="1"/>
  <c r="BA526" i="3"/>
  <c r="AS526" i="3"/>
  <c r="AK526" i="3"/>
  <c r="X526" i="3" s="1"/>
  <c r="AB526" i="3" s="1"/>
  <c r="BA525" i="3"/>
  <c r="AS525" i="3"/>
  <c r="AK525" i="3"/>
  <c r="X525" i="3" s="1"/>
  <c r="AB525" i="3" s="1"/>
  <c r="BA524" i="3"/>
  <c r="AS524" i="3"/>
  <c r="AK524" i="3"/>
  <c r="X524" i="3" s="1"/>
  <c r="AB524" i="3" s="1"/>
  <c r="BA523" i="3"/>
  <c r="AS523" i="3"/>
  <c r="AK523" i="3"/>
  <c r="X523" i="3" s="1"/>
  <c r="AB523" i="3" s="1"/>
  <c r="BA522" i="3"/>
  <c r="AS522" i="3"/>
  <c r="AK522" i="3"/>
  <c r="X522" i="3" s="1"/>
  <c r="AB522" i="3" s="1"/>
  <c r="BA521" i="3"/>
  <c r="AS521" i="3"/>
  <c r="AK521" i="3"/>
  <c r="X521" i="3" s="1"/>
  <c r="AB521" i="3" s="1"/>
  <c r="BA520" i="3"/>
  <c r="AS520" i="3"/>
  <c r="AK520" i="3"/>
  <c r="X520" i="3" s="1"/>
  <c r="AB520" i="3" s="1"/>
  <c r="BA519" i="3"/>
  <c r="AS519" i="3"/>
  <c r="AK519" i="3"/>
  <c r="X519" i="3" s="1"/>
  <c r="AB519" i="3" s="1"/>
  <c r="BA517" i="3"/>
  <c r="AS517" i="3"/>
  <c r="AK517" i="3"/>
  <c r="X517" i="3" s="1"/>
  <c r="AB517" i="3" s="1"/>
  <c r="BA516" i="3"/>
  <c r="AS516" i="3"/>
  <c r="AK516" i="3"/>
  <c r="X516" i="3" s="1"/>
  <c r="AB516" i="3" s="1"/>
  <c r="BA515" i="3"/>
  <c r="AS515" i="3"/>
  <c r="AK515" i="3"/>
  <c r="X515" i="3" s="1"/>
  <c r="AB515" i="3" s="1"/>
  <c r="BA514" i="3"/>
  <c r="AS514" i="3"/>
  <c r="AK514" i="3"/>
  <c r="X514" i="3" s="1"/>
  <c r="AB514" i="3" s="1"/>
  <c r="BA513" i="3"/>
  <c r="AS513" i="3"/>
  <c r="AK513" i="3"/>
  <c r="X513" i="3" s="1"/>
  <c r="AB513" i="3" s="1"/>
  <c r="BA511" i="3"/>
  <c r="AS511" i="3"/>
  <c r="AK511" i="3"/>
  <c r="X511" i="3" s="1"/>
  <c r="AB511" i="3" s="1"/>
  <c r="BA510" i="3"/>
  <c r="AS510" i="3"/>
  <c r="AK510" i="3"/>
  <c r="X510" i="3" s="1"/>
  <c r="AB510" i="3" s="1"/>
  <c r="BA508" i="3"/>
  <c r="AS508" i="3"/>
  <c r="AK508" i="3"/>
  <c r="X508" i="3" s="1"/>
  <c r="AB508" i="3" s="1"/>
  <c r="BA507" i="3"/>
  <c r="AS507" i="3"/>
  <c r="AK507" i="3"/>
  <c r="X507" i="3" s="1"/>
  <c r="AB507" i="3" s="1"/>
  <c r="BA506" i="3"/>
  <c r="AS506" i="3"/>
  <c r="AK506" i="3"/>
  <c r="X506" i="3" s="1"/>
  <c r="AB506" i="3" s="1"/>
  <c r="BA505" i="3"/>
  <c r="AS505" i="3"/>
  <c r="AK505" i="3"/>
  <c r="X505" i="3" s="1"/>
  <c r="AB505" i="3" s="1"/>
  <c r="BA504" i="3"/>
  <c r="AS504" i="3"/>
  <c r="AK504" i="3"/>
  <c r="X504" i="3" s="1"/>
  <c r="AB504" i="3" s="1"/>
  <c r="BA503" i="3"/>
  <c r="AS503" i="3"/>
  <c r="AK503" i="3"/>
  <c r="X503" i="3" s="1"/>
  <c r="AB503" i="3" s="1"/>
  <c r="BA502" i="3"/>
  <c r="AS502" i="3"/>
  <c r="AK502" i="3"/>
  <c r="X502" i="3" s="1"/>
  <c r="AB502" i="3" s="1"/>
  <c r="BA501" i="3"/>
  <c r="AS501" i="3"/>
  <c r="AK501" i="3"/>
  <c r="X501" i="3" s="1"/>
  <c r="AB501" i="3" s="1"/>
  <c r="BA500" i="3"/>
  <c r="AS500" i="3"/>
  <c r="AK500" i="3"/>
  <c r="X500" i="3" s="1"/>
  <c r="AB500" i="3" s="1"/>
  <c r="BA499" i="3"/>
  <c r="AS499" i="3"/>
  <c r="AK499" i="3"/>
  <c r="X499" i="3" s="1"/>
  <c r="AB499" i="3" s="1"/>
  <c r="BA498" i="3"/>
  <c r="AS498" i="3"/>
  <c r="AK498" i="3"/>
  <c r="X498" i="3" s="1"/>
  <c r="AB498" i="3" s="1"/>
  <c r="BA497" i="3"/>
  <c r="AS497" i="3"/>
  <c r="AK497" i="3"/>
  <c r="X497" i="3" s="1"/>
  <c r="AB497" i="3" s="1"/>
  <c r="BA496" i="3"/>
  <c r="AS496" i="3"/>
  <c r="AK496" i="3"/>
  <c r="X496" i="3" s="1"/>
  <c r="AB496" i="3" s="1"/>
  <c r="BA495" i="3"/>
  <c r="AS495" i="3"/>
  <c r="AK495" i="3"/>
  <c r="X495" i="3" s="1"/>
  <c r="AB495" i="3" s="1"/>
  <c r="BA494" i="3"/>
  <c r="AS494" i="3"/>
  <c r="AK494" i="3"/>
  <c r="X494" i="3" s="1"/>
  <c r="AB494" i="3" s="1"/>
  <c r="BA493" i="3"/>
  <c r="AS493" i="3"/>
  <c r="AK493" i="3"/>
  <c r="X493" i="3" s="1"/>
  <c r="AB493" i="3" s="1"/>
  <c r="BA492" i="3"/>
  <c r="AS492" i="3"/>
  <c r="AK492" i="3"/>
  <c r="X492" i="3" s="1"/>
  <c r="AB492" i="3" s="1"/>
  <c r="BA491" i="3"/>
  <c r="AS491" i="3"/>
  <c r="AK491" i="3"/>
  <c r="X491" i="3" s="1"/>
  <c r="AB491" i="3" s="1"/>
  <c r="BA490" i="3"/>
  <c r="AS490" i="3"/>
  <c r="AK490" i="3"/>
  <c r="X490" i="3" s="1"/>
  <c r="AB490" i="3" s="1"/>
  <c r="BA489" i="3"/>
  <c r="AS489" i="3"/>
  <c r="AK489" i="3"/>
  <c r="X489" i="3" s="1"/>
  <c r="AB489" i="3" s="1"/>
  <c r="BA487" i="3"/>
  <c r="AS487" i="3"/>
  <c r="AK487" i="3"/>
  <c r="X487" i="3" s="1"/>
  <c r="AB487" i="3" s="1"/>
  <c r="BA486" i="3"/>
  <c r="AS486" i="3"/>
  <c r="AK486" i="3"/>
  <c r="X486" i="3" s="1"/>
  <c r="AB486" i="3" s="1"/>
  <c r="BA485" i="3"/>
  <c r="AS485" i="3"/>
  <c r="AK485" i="3"/>
  <c r="X485" i="3" s="1"/>
  <c r="AB485" i="3" s="1"/>
  <c r="BA484" i="3"/>
  <c r="AS484" i="3"/>
  <c r="AK484" i="3"/>
  <c r="X484" i="3" s="1"/>
  <c r="AB484" i="3" s="1"/>
  <c r="BA483" i="3"/>
  <c r="AS483" i="3"/>
  <c r="AK483" i="3"/>
  <c r="X483" i="3" s="1"/>
  <c r="AB483" i="3" s="1"/>
  <c r="BA482" i="3"/>
  <c r="AS482" i="3"/>
  <c r="AK482" i="3"/>
  <c r="X482" i="3" s="1"/>
  <c r="AB482" i="3" s="1"/>
  <c r="BA481" i="3"/>
  <c r="AS481" i="3"/>
  <c r="AK481" i="3"/>
  <c r="X481" i="3" s="1"/>
  <c r="AB481" i="3" s="1"/>
  <c r="BA480" i="3"/>
  <c r="AS480" i="3"/>
  <c r="AK480" i="3"/>
  <c r="X480" i="3" s="1"/>
  <c r="AB480" i="3" s="1"/>
  <c r="BA25" i="3"/>
  <c r="AS25" i="3"/>
  <c r="AK25" i="3"/>
  <c r="X25" i="3" s="1"/>
  <c r="AB25" i="3" s="1"/>
  <c r="BA479" i="3"/>
  <c r="AS479" i="3"/>
  <c r="AK479" i="3"/>
  <c r="X479" i="3" s="1"/>
  <c r="AB479" i="3" s="1"/>
  <c r="BA478" i="3"/>
  <c r="AS478" i="3"/>
  <c r="AK478" i="3"/>
  <c r="X478" i="3" s="1"/>
  <c r="AB478" i="3" s="1"/>
  <c r="BA24" i="3"/>
  <c r="AS24" i="3"/>
  <c r="AK24" i="3"/>
  <c r="X24" i="3" s="1"/>
  <c r="AB24" i="3" s="1"/>
  <c r="BA477" i="3"/>
  <c r="AS477" i="3"/>
  <c r="AK477" i="3"/>
  <c r="X477" i="3" s="1"/>
  <c r="AB477" i="3" s="1"/>
  <c r="BA476" i="3"/>
  <c r="AS476" i="3"/>
  <c r="AK476" i="3"/>
  <c r="X476" i="3" s="1"/>
  <c r="AB476" i="3" s="1"/>
  <c r="BA475" i="3"/>
  <c r="AS475" i="3"/>
  <c r="AK475" i="3"/>
  <c r="X475" i="3" s="1"/>
  <c r="AB475" i="3" s="1"/>
  <c r="BA474" i="3"/>
  <c r="AS474" i="3"/>
  <c r="AK474" i="3"/>
  <c r="X474" i="3" s="1"/>
  <c r="AB474" i="3" s="1"/>
  <c r="BA473" i="3"/>
  <c r="AS473" i="3"/>
  <c r="AK473" i="3"/>
  <c r="X473" i="3" s="1"/>
  <c r="AB473" i="3" s="1"/>
  <c r="BA472" i="3"/>
  <c r="AS472" i="3"/>
  <c r="AK472" i="3"/>
  <c r="X472" i="3" s="1"/>
  <c r="AB472" i="3" s="1"/>
  <c r="BA471" i="3"/>
  <c r="AS471" i="3"/>
  <c r="AK471" i="3"/>
  <c r="X471" i="3" s="1"/>
  <c r="AB471" i="3" s="1"/>
  <c r="BA470" i="3"/>
  <c r="AS470" i="3"/>
  <c r="AK470" i="3"/>
  <c r="X470" i="3" s="1"/>
  <c r="AB470" i="3" s="1"/>
  <c r="BA469" i="3"/>
  <c r="AS469" i="3"/>
  <c r="AK469" i="3"/>
  <c r="X469" i="3" s="1"/>
  <c r="AB469" i="3" s="1"/>
  <c r="BA467" i="3"/>
  <c r="AS467" i="3"/>
  <c r="AK467" i="3"/>
  <c r="X467" i="3" s="1"/>
  <c r="AB467" i="3" s="1"/>
  <c r="BA466" i="3"/>
  <c r="AS466" i="3"/>
  <c r="AK466" i="3"/>
  <c r="X466" i="3" s="1"/>
  <c r="AB466" i="3" s="1"/>
  <c r="BA465" i="3"/>
  <c r="AS465" i="3"/>
  <c r="AK465" i="3"/>
  <c r="X465" i="3" s="1"/>
  <c r="AB465" i="3" s="1"/>
  <c r="BA463" i="3"/>
  <c r="AS463" i="3"/>
  <c r="AK463" i="3"/>
  <c r="X463" i="3" s="1"/>
  <c r="AB463" i="3" s="1"/>
  <c r="BA462" i="3"/>
  <c r="AS462" i="3"/>
  <c r="AK462" i="3"/>
  <c r="X462" i="3" s="1"/>
  <c r="AB462" i="3" s="1"/>
  <c r="BA461" i="3"/>
  <c r="AS461" i="3"/>
  <c r="AK461" i="3"/>
  <c r="X461" i="3" s="1"/>
  <c r="AB461" i="3" s="1"/>
  <c r="BA460" i="3"/>
  <c r="AS460" i="3"/>
  <c r="AK460" i="3"/>
  <c r="X460" i="3" s="1"/>
  <c r="AB460" i="3" s="1"/>
  <c r="BA458" i="3"/>
  <c r="AS458" i="3"/>
  <c r="AK458" i="3"/>
  <c r="X458" i="3" s="1"/>
  <c r="AB458" i="3" s="1"/>
  <c r="BA456" i="3"/>
  <c r="AS456" i="3"/>
  <c r="AK456" i="3"/>
  <c r="X456" i="3" s="1"/>
  <c r="AB456" i="3" s="1"/>
  <c r="BA455" i="3"/>
  <c r="AS455" i="3"/>
  <c r="AK455" i="3"/>
  <c r="X455" i="3" s="1"/>
  <c r="AB455" i="3" s="1"/>
  <c r="BA454" i="3"/>
  <c r="AS454" i="3"/>
  <c r="AK454" i="3"/>
  <c r="X454" i="3" s="1"/>
  <c r="AB454" i="3" s="1"/>
  <c r="BA453" i="3"/>
  <c r="AS453" i="3"/>
  <c r="AK453" i="3"/>
  <c r="X453" i="3" s="1"/>
  <c r="AB453" i="3" s="1"/>
  <c r="BA452" i="3"/>
  <c r="AS452" i="3"/>
  <c r="AK452" i="3"/>
  <c r="X452" i="3" s="1"/>
  <c r="AB452" i="3" s="1"/>
  <c r="BA451" i="3"/>
  <c r="AS451" i="3"/>
  <c r="AK451" i="3"/>
  <c r="X451" i="3" s="1"/>
  <c r="AB451" i="3" s="1"/>
  <c r="BA450" i="3"/>
  <c r="AS450" i="3"/>
  <c r="AK450" i="3"/>
  <c r="X450" i="3" s="1"/>
  <c r="AB450" i="3" s="1"/>
  <c r="BA449" i="3"/>
  <c r="AS449" i="3"/>
  <c r="AK449" i="3"/>
  <c r="X449" i="3" s="1"/>
  <c r="AB449" i="3" s="1"/>
  <c r="BA448" i="3"/>
  <c r="AS448" i="3"/>
  <c r="AK448" i="3"/>
  <c r="X448" i="3" s="1"/>
  <c r="AB448" i="3" s="1"/>
  <c r="BA446" i="3"/>
  <c r="AS446" i="3"/>
  <c r="AK446" i="3"/>
  <c r="X446" i="3" s="1"/>
  <c r="AB446" i="3" s="1"/>
  <c r="BA444" i="3"/>
  <c r="AS444" i="3"/>
  <c r="AK444" i="3"/>
  <c r="X444" i="3" s="1"/>
  <c r="AB444" i="3" s="1"/>
  <c r="BA443" i="3"/>
  <c r="AS443" i="3"/>
  <c r="AK443" i="3"/>
  <c r="X443" i="3" s="1"/>
  <c r="AB443" i="3" s="1"/>
  <c r="BA442" i="3"/>
  <c r="AS442" i="3"/>
  <c r="AK442" i="3"/>
  <c r="X442" i="3" s="1"/>
  <c r="AB442" i="3" s="1"/>
  <c r="BA441" i="3"/>
  <c r="AS441" i="3"/>
  <c r="AK441" i="3"/>
  <c r="X441" i="3" s="1"/>
  <c r="AB441" i="3" s="1"/>
  <c r="BA440" i="3"/>
  <c r="AS440" i="3"/>
  <c r="AK440" i="3"/>
  <c r="X440" i="3" s="1"/>
  <c r="AB440" i="3" s="1"/>
  <c r="BA439" i="3"/>
  <c r="AS439" i="3"/>
  <c r="AK439" i="3"/>
  <c r="X439" i="3" s="1"/>
  <c r="AB439" i="3" s="1"/>
  <c r="BA438" i="3"/>
  <c r="AS438" i="3"/>
  <c r="AK438" i="3"/>
  <c r="X438" i="3" s="1"/>
  <c r="AB438" i="3" s="1"/>
  <c r="BA437" i="3"/>
  <c r="AS437" i="3"/>
  <c r="AK437" i="3"/>
  <c r="X437" i="3" s="1"/>
  <c r="AB437" i="3" s="1"/>
  <c r="BA434" i="3"/>
  <c r="AS434" i="3"/>
  <c r="AK434" i="3"/>
  <c r="X434" i="3" s="1"/>
  <c r="AB434" i="3" s="1"/>
  <c r="BA433" i="3"/>
  <c r="AS433" i="3"/>
  <c r="AK433" i="3"/>
  <c r="X433" i="3" s="1"/>
  <c r="AB433" i="3" s="1"/>
  <c r="BA432" i="3"/>
  <c r="AS432" i="3"/>
  <c r="AK432" i="3"/>
  <c r="X432" i="3" s="1"/>
  <c r="AB432" i="3" s="1"/>
  <c r="BA431" i="3"/>
  <c r="AS431" i="3"/>
  <c r="AK431" i="3"/>
  <c r="X431" i="3" s="1"/>
  <c r="AB431" i="3" s="1"/>
  <c r="BA430" i="3"/>
  <c r="AS430" i="3"/>
  <c r="AK430" i="3"/>
  <c r="X430" i="3" s="1"/>
  <c r="AB430" i="3" s="1"/>
  <c r="BA429" i="3"/>
  <c r="AS429" i="3"/>
  <c r="AK429" i="3"/>
  <c r="X429" i="3" s="1"/>
  <c r="AB429" i="3" s="1"/>
  <c r="BA428" i="3"/>
  <c r="AS428" i="3"/>
  <c r="AK428" i="3"/>
  <c r="X428" i="3" s="1"/>
  <c r="AB428" i="3" s="1"/>
  <c r="BA427" i="3"/>
  <c r="AS427" i="3"/>
  <c r="AK427" i="3"/>
  <c r="X427" i="3" s="1"/>
  <c r="AB427" i="3" s="1"/>
  <c r="BA426" i="3"/>
  <c r="AS426" i="3"/>
  <c r="AK426" i="3"/>
  <c r="X426" i="3" s="1"/>
  <c r="AB426" i="3" s="1"/>
  <c r="BA425" i="3"/>
  <c r="AS425" i="3"/>
  <c r="AK425" i="3"/>
  <c r="X425" i="3" s="1"/>
  <c r="AB425" i="3" s="1"/>
  <c r="BA424" i="3"/>
  <c r="AS424" i="3"/>
  <c r="AK424" i="3"/>
  <c r="X424" i="3" s="1"/>
  <c r="AB424" i="3" s="1"/>
  <c r="BA423" i="3"/>
  <c r="AS423" i="3"/>
  <c r="AK423" i="3"/>
  <c r="X423" i="3" s="1"/>
  <c r="AB423" i="3" s="1"/>
  <c r="BA422" i="3"/>
  <c r="AS422" i="3"/>
  <c r="AK422" i="3"/>
  <c r="X422" i="3" s="1"/>
  <c r="AB422" i="3" s="1"/>
  <c r="BA421" i="3"/>
  <c r="AS421" i="3"/>
  <c r="AK421" i="3"/>
  <c r="X421" i="3" s="1"/>
  <c r="AB421" i="3" s="1"/>
  <c r="BA420" i="3"/>
  <c r="AS420" i="3"/>
  <c r="AK420" i="3"/>
  <c r="X420" i="3" s="1"/>
  <c r="AB420" i="3" s="1"/>
  <c r="BA419" i="3"/>
  <c r="AS419" i="3"/>
  <c r="AK419" i="3"/>
  <c r="X419" i="3" s="1"/>
  <c r="AB419" i="3" s="1"/>
  <c r="BA418" i="3"/>
  <c r="AS418" i="3"/>
  <c r="AK418" i="3"/>
  <c r="X418" i="3" s="1"/>
  <c r="AB418" i="3" s="1"/>
  <c r="BA417" i="3"/>
  <c r="AS417" i="3"/>
  <c r="AK417" i="3"/>
  <c r="X417" i="3" s="1"/>
  <c r="AB417" i="3" s="1"/>
  <c r="BA416" i="3"/>
  <c r="AS416" i="3"/>
  <c r="AK416" i="3"/>
  <c r="X416" i="3" s="1"/>
  <c r="AB416" i="3" s="1"/>
  <c r="BA415" i="3"/>
  <c r="AS415" i="3"/>
  <c r="AK415" i="3"/>
  <c r="X415" i="3" s="1"/>
  <c r="AB415" i="3" s="1"/>
  <c r="BA414" i="3"/>
  <c r="AS414" i="3"/>
  <c r="AK414" i="3"/>
  <c r="X414" i="3" s="1"/>
  <c r="AB414" i="3" s="1"/>
  <c r="BA413" i="3"/>
  <c r="AS413" i="3"/>
  <c r="AK413" i="3"/>
  <c r="X413" i="3" s="1"/>
  <c r="AB413" i="3" s="1"/>
  <c r="BA412" i="3"/>
  <c r="AS412" i="3"/>
  <c r="AK412" i="3"/>
  <c r="X412" i="3" s="1"/>
  <c r="AB412" i="3" s="1"/>
  <c r="BA411" i="3"/>
  <c r="AS411" i="3"/>
  <c r="AK411" i="3"/>
  <c r="X411" i="3" s="1"/>
  <c r="AB411" i="3" s="1"/>
  <c r="BA410" i="3"/>
  <c r="AS410" i="3"/>
  <c r="AK410" i="3"/>
  <c r="X410" i="3" s="1"/>
  <c r="AB410" i="3" s="1"/>
  <c r="BA409" i="3"/>
  <c r="AS409" i="3"/>
  <c r="AK409" i="3"/>
  <c r="X409" i="3" s="1"/>
  <c r="AB409" i="3" s="1"/>
  <c r="BA408" i="3"/>
  <c r="AS408" i="3"/>
  <c r="AK408" i="3"/>
  <c r="X408" i="3" s="1"/>
  <c r="AB408" i="3" s="1"/>
  <c r="BA407" i="3"/>
  <c r="AS407" i="3"/>
  <c r="AK407" i="3"/>
  <c r="X407" i="3" s="1"/>
  <c r="AB407" i="3" s="1"/>
  <c r="BA406" i="3"/>
  <c r="AS406" i="3"/>
  <c r="AK406" i="3"/>
  <c r="X406" i="3" s="1"/>
  <c r="AB406" i="3" s="1"/>
  <c r="BA405" i="3"/>
  <c r="AS405" i="3"/>
  <c r="AK405" i="3"/>
  <c r="X405" i="3" s="1"/>
  <c r="AB405" i="3" s="1"/>
  <c r="BA404" i="3"/>
  <c r="AS404" i="3"/>
  <c r="AK404" i="3"/>
  <c r="X404" i="3" s="1"/>
  <c r="AB404" i="3" s="1"/>
  <c r="BA403" i="3"/>
  <c r="AS403" i="3"/>
  <c r="AK403" i="3"/>
  <c r="X403" i="3" s="1"/>
  <c r="AB403" i="3" s="1"/>
  <c r="BA401" i="3"/>
  <c r="AS401" i="3"/>
  <c r="AK401" i="3"/>
  <c r="X401" i="3" s="1"/>
  <c r="AB401" i="3" s="1"/>
  <c r="BA400" i="3"/>
  <c r="AS400" i="3"/>
  <c r="AK400" i="3"/>
  <c r="X400" i="3" s="1"/>
  <c r="AB400" i="3" s="1"/>
  <c r="BA398" i="3"/>
  <c r="AS398" i="3"/>
  <c r="AK398" i="3"/>
  <c r="X398" i="3" s="1"/>
  <c r="AB398" i="3" s="1"/>
  <c r="BA397" i="3"/>
  <c r="AS397" i="3"/>
  <c r="AK397" i="3"/>
  <c r="X397" i="3" s="1"/>
  <c r="AB397" i="3" s="1"/>
  <c r="BA396" i="3"/>
  <c r="AS396" i="3"/>
  <c r="AK396" i="3"/>
  <c r="X396" i="3" s="1"/>
  <c r="AB396" i="3" s="1"/>
  <c r="BA395" i="3"/>
  <c r="AS395" i="3"/>
  <c r="AK395" i="3"/>
  <c r="X395" i="3" s="1"/>
  <c r="AB395" i="3" s="1"/>
  <c r="BA394" i="3"/>
  <c r="AS394" i="3"/>
  <c r="AK394" i="3"/>
  <c r="X394" i="3" s="1"/>
  <c r="AB394" i="3" s="1"/>
  <c r="BA393" i="3"/>
  <c r="AS393" i="3"/>
  <c r="AK393" i="3"/>
  <c r="X393" i="3" s="1"/>
  <c r="AB393" i="3" s="1"/>
  <c r="BA392" i="3"/>
  <c r="AS392" i="3"/>
  <c r="AK392" i="3"/>
  <c r="X392" i="3" s="1"/>
  <c r="AB392" i="3" s="1"/>
  <c r="BA390" i="3"/>
  <c r="AS390" i="3"/>
  <c r="AK390" i="3"/>
  <c r="X390" i="3" s="1"/>
  <c r="AB390" i="3" s="1"/>
  <c r="BA389" i="3"/>
  <c r="AS389" i="3"/>
  <c r="AK389" i="3"/>
  <c r="X389" i="3" s="1"/>
  <c r="AB389" i="3" s="1"/>
  <c r="BA388" i="3"/>
  <c r="AS388" i="3"/>
  <c r="AK388" i="3"/>
  <c r="X388" i="3" s="1"/>
  <c r="AB388" i="3" s="1"/>
  <c r="BA387" i="3"/>
  <c r="AS387" i="3"/>
  <c r="AK387" i="3"/>
  <c r="X387" i="3" s="1"/>
  <c r="AB387" i="3" s="1"/>
  <c r="BA386" i="3"/>
  <c r="AS386" i="3"/>
  <c r="AK386" i="3"/>
  <c r="X386" i="3" s="1"/>
  <c r="AB386" i="3" s="1"/>
  <c r="BA385" i="3"/>
  <c r="AS385" i="3"/>
  <c r="AK385" i="3"/>
  <c r="X385" i="3" s="1"/>
  <c r="AB385" i="3" s="1"/>
  <c r="BA384" i="3"/>
  <c r="AS384" i="3"/>
  <c r="AK384" i="3"/>
  <c r="X384" i="3" s="1"/>
  <c r="AB384" i="3" s="1"/>
  <c r="BA383" i="3"/>
  <c r="AS383" i="3"/>
  <c r="AK383" i="3"/>
  <c r="X383" i="3" s="1"/>
  <c r="AB383" i="3" s="1"/>
  <c r="BA382" i="3"/>
  <c r="AS382" i="3"/>
  <c r="AK382" i="3"/>
  <c r="X382" i="3" s="1"/>
  <c r="AB382" i="3" s="1"/>
  <c r="BA381" i="3"/>
  <c r="AS381" i="3"/>
  <c r="AK381" i="3"/>
  <c r="X381" i="3" s="1"/>
  <c r="AB381" i="3" s="1"/>
  <c r="BA380" i="3"/>
  <c r="AS380" i="3"/>
  <c r="AK380" i="3"/>
  <c r="X380" i="3" s="1"/>
  <c r="AB380" i="3" s="1"/>
  <c r="BA378" i="3"/>
  <c r="AS378" i="3"/>
  <c r="AK378" i="3"/>
  <c r="X378" i="3" s="1"/>
  <c r="AB378" i="3" s="1"/>
  <c r="BA377" i="3"/>
  <c r="AS377" i="3"/>
  <c r="AK377" i="3"/>
  <c r="X377" i="3" s="1"/>
  <c r="AB377" i="3" s="1"/>
  <c r="BA376" i="3"/>
  <c r="AS376" i="3"/>
  <c r="AK376" i="3"/>
  <c r="X376" i="3" s="1"/>
  <c r="AB376" i="3" s="1"/>
  <c r="BA375" i="3"/>
  <c r="AS375" i="3"/>
  <c r="AK375" i="3"/>
  <c r="X375" i="3" s="1"/>
  <c r="AB375" i="3" s="1"/>
  <c r="BA374" i="3"/>
  <c r="AS374" i="3"/>
  <c r="AK374" i="3"/>
  <c r="X374" i="3" s="1"/>
  <c r="AB374" i="3" s="1"/>
  <c r="BA373" i="3"/>
  <c r="AS373" i="3"/>
  <c r="AK373" i="3"/>
  <c r="X373" i="3" s="1"/>
  <c r="AB373" i="3" s="1"/>
  <c r="BA372" i="3"/>
  <c r="AS372" i="3"/>
  <c r="AK372" i="3"/>
  <c r="X372" i="3" s="1"/>
  <c r="AB372" i="3" s="1"/>
  <c r="BA370" i="3"/>
  <c r="AS370" i="3"/>
  <c r="AK370" i="3"/>
  <c r="X370" i="3" s="1"/>
  <c r="AB370" i="3" s="1"/>
  <c r="BA369" i="3"/>
  <c r="AS369" i="3"/>
  <c r="AK369" i="3"/>
  <c r="X369" i="3" s="1"/>
  <c r="AB369" i="3" s="1"/>
  <c r="BA366" i="3"/>
  <c r="AS366" i="3"/>
  <c r="AK366" i="3"/>
  <c r="X366" i="3" s="1"/>
  <c r="AB366" i="3" s="1"/>
  <c r="BA365" i="3"/>
  <c r="AS365" i="3"/>
  <c r="AK365" i="3"/>
  <c r="X365" i="3" s="1"/>
  <c r="AB365" i="3" s="1"/>
  <c r="BA364" i="3"/>
  <c r="AS364" i="3"/>
  <c r="AK364" i="3"/>
  <c r="X364" i="3" s="1"/>
  <c r="AB364" i="3" s="1"/>
  <c r="BA363" i="3"/>
  <c r="AS363" i="3"/>
  <c r="AK363" i="3"/>
  <c r="X363" i="3" s="1"/>
  <c r="AB363" i="3" s="1"/>
  <c r="BA362" i="3"/>
  <c r="AS362" i="3"/>
  <c r="AK362" i="3"/>
  <c r="X362" i="3" s="1"/>
  <c r="AB362" i="3" s="1"/>
  <c r="BA23" i="3"/>
  <c r="AS23" i="3"/>
  <c r="AK23" i="3"/>
  <c r="X23" i="3" s="1"/>
  <c r="AB23" i="3" s="1"/>
  <c r="BA361" i="3"/>
  <c r="AS361" i="3"/>
  <c r="AK361" i="3"/>
  <c r="X361" i="3" s="1"/>
  <c r="AB361" i="3" s="1"/>
  <c r="BA360" i="3"/>
  <c r="AS360" i="3"/>
  <c r="AK360" i="3"/>
  <c r="X360" i="3" s="1"/>
  <c r="AB360" i="3" s="1"/>
  <c r="BA359" i="3"/>
  <c r="AS359" i="3"/>
  <c r="AK359" i="3"/>
  <c r="X359" i="3" s="1"/>
  <c r="AB359" i="3" s="1"/>
  <c r="BA358" i="3"/>
  <c r="AS358" i="3"/>
  <c r="AK358" i="3"/>
  <c r="X358" i="3" s="1"/>
  <c r="AB358" i="3" s="1"/>
  <c r="BA357" i="3"/>
  <c r="AS357" i="3"/>
  <c r="AK357" i="3"/>
  <c r="X357" i="3" s="1"/>
  <c r="AB357" i="3" s="1"/>
  <c r="BA356" i="3"/>
  <c r="AS356" i="3"/>
  <c r="AK356" i="3"/>
  <c r="X356" i="3" s="1"/>
  <c r="AB356" i="3" s="1"/>
  <c r="BA355" i="3"/>
  <c r="AS355" i="3"/>
  <c r="AK355" i="3"/>
  <c r="X355" i="3" s="1"/>
  <c r="AB355" i="3" s="1"/>
  <c r="BA354" i="3"/>
  <c r="AS354" i="3"/>
  <c r="AK354" i="3"/>
  <c r="X354" i="3" s="1"/>
  <c r="AB354" i="3" s="1"/>
  <c r="BA42" i="3"/>
  <c r="AS42" i="3"/>
  <c r="AK42" i="3"/>
  <c r="X42" i="3" s="1"/>
  <c r="AB42" i="3" s="1"/>
  <c r="BA352" i="3"/>
  <c r="AS352" i="3"/>
  <c r="AK352" i="3"/>
  <c r="X352" i="3" s="1"/>
  <c r="AB352" i="3" s="1"/>
  <c r="BA351" i="3"/>
  <c r="AS351" i="3"/>
  <c r="AK351" i="3"/>
  <c r="X351" i="3" s="1"/>
  <c r="AB351" i="3" s="1"/>
  <c r="BA350" i="3"/>
  <c r="AS350" i="3"/>
  <c r="AK350" i="3"/>
  <c r="X350" i="3" s="1"/>
  <c r="AB350" i="3" s="1"/>
  <c r="BA349" i="3"/>
  <c r="AS349" i="3"/>
  <c r="AK349" i="3"/>
  <c r="X349" i="3" s="1"/>
  <c r="AB349" i="3" s="1"/>
  <c r="BA348" i="3"/>
  <c r="AS348" i="3"/>
  <c r="AK348" i="3"/>
  <c r="X348" i="3" s="1"/>
  <c r="AB348" i="3" s="1"/>
  <c r="BA347" i="3"/>
  <c r="AS347" i="3"/>
  <c r="AK347" i="3"/>
  <c r="X347" i="3" s="1"/>
  <c r="AB347" i="3" s="1"/>
  <c r="BA346" i="3"/>
  <c r="AS346" i="3"/>
  <c r="AK346" i="3"/>
  <c r="X346" i="3" s="1"/>
  <c r="AB346" i="3" s="1"/>
  <c r="BA345" i="3"/>
  <c r="AS345" i="3"/>
  <c r="AK345" i="3"/>
  <c r="X345" i="3" s="1"/>
  <c r="AB345" i="3" s="1"/>
  <c r="BA344" i="3"/>
  <c r="AS344" i="3"/>
  <c r="AK344" i="3"/>
  <c r="X344" i="3" s="1"/>
  <c r="AB344" i="3" s="1"/>
  <c r="BA343" i="3"/>
  <c r="AS343" i="3"/>
  <c r="AK343" i="3"/>
  <c r="X343" i="3" s="1"/>
  <c r="AB343" i="3" s="1"/>
  <c r="BA342" i="3"/>
  <c r="AS342" i="3"/>
  <c r="AK342" i="3"/>
  <c r="X342" i="3" s="1"/>
  <c r="AB342" i="3" s="1"/>
  <c r="BA43" i="3"/>
  <c r="AS43" i="3"/>
  <c r="AK43" i="3"/>
  <c r="X43" i="3" s="1"/>
  <c r="AB43" i="3" s="1"/>
  <c r="BA341" i="3"/>
  <c r="AS341" i="3"/>
  <c r="AK341" i="3"/>
  <c r="X341" i="3" s="1"/>
  <c r="AB341" i="3" s="1"/>
  <c r="BA337" i="3"/>
  <c r="AS337" i="3"/>
  <c r="AK337" i="3"/>
  <c r="X337" i="3" s="1"/>
  <c r="AB337" i="3" s="1"/>
  <c r="BA336" i="3"/>
  <c r="AS336" i="3"/>
  <c r="AK336" i="3"/>
  <c r="X336" i="3" s="1"/>
  <c r="AB336" i="3" s="1"/>
  <c r="BA335" i="3"/>
  <c r="AS335" i="3"/>
  <c r="AK335" i="3"/>
  <c r="X335" i="3" s="1"/>
  <c r="AB335" i="3" s="1"/>
  <c r="BA334" i="3"/>
  <c r="AS334" i="3"/>
  <c r="AK334" i="3"/>
  <c r="X334" i="3" s="1"/>
  <c r="AB334" i="3" s="1"/>
  <c r="BA332" i="3"/>
  <c r="AS332" i="3"/>
  <c r="AK332" i="3"/>
  <c r="X332" i="3" s="1"/>
  <c r="AB332" i="3" s="1"/>
  <c r="BA331" i="3"/>
  <c r="AS331" i="3"/>
  <c r="AK331" i="3"/>
  <c r="X331" i="3" s="1"/>
  <c r="AB331" i="3" s="1"/>
  <c r="BA330" i="3"/>
  <c r="AS330" i="3"/>
  <c r="AK330" i="3"/>
  <c r="X330" i="3" s="1"/>
  <c r="AB330" i="3" s="1"/>
  <c r="BA329" i="3"/>
  <c r="AS329" i="3"/>
  <c r="AK329" i="3"/>
  <c r="X329" i="3" s="1"/>
  <c r="AB329" i="3" s="1"/>
  <c r="BA327" i="3"/>
  <c r="AS327" i="3"/>
  <c r="AK327" i="3"/>
  <c r="X327" i="3" s="1"/>
  <c r="AB327" i="3" s="1"/>
  <c r="BA326" i="3"/>
  <c r="AS326" i="3"/>
  <c r="AK326" i="3"/>
  <c r="X326" i="3" s="1"/>
  <c r="AB326" i="3" s="1"/>
  <c r="BA325" i="3"/>
  <c r="AS325" i="3"/>
  <c r="AK325" i="3"/>
  <c r="X325" i="3" s="1"/>
  <c r="AB325" i="3" s="1"/>
  <c r="BA324" i="3"/>
  <c r="AS324" i="3"/>
  <c r="AK324" i="3"/>
  <c r="X324" i="3" s="1"/>
  <c r="AB324" i="3" s="1"/>
  <c r="BA323" i="3"/>
  <c r="AS323" i="3"/>
  <c r="AK323" i="3"/>
  <c r="X323" i="3" s="1"/>
  <c r="AB323" i="3" s="1"/>
  <c r="BA322" i="3"/>
  <c r="AS322" i="3"/>
  <c r="AK322" i="3"/>
  <c r="X322" i="3" s="1"/>
  <c r="AB322" i="3" s="1"/>
  <c r="BA321" i="3"/>
  <c r="AS321" i="3"/>
  <c r="AK321" i="3"/>
  <c r="X321" i="3" s="1"/>
  <c r="AB321" i="3" s="1"/>
  <c r="BA320" i="3"/>
  <c r="AS320" i="3"/>
  <c r="AK320" i="3"/>
  <c r="X320" i="3" s="1"/>
  <c r="AB320" i="3" s="1"/>
  <c r="BA319" i="3"/>
  <c r="AS319" i="3"/>
  <c r="AK319" i="3"/>
  <c r="X319" i="3" s="1"/>
  <c r="AB319" i="3" s="1"/>
  <c r="BA318" i="3"/>
  <c r="AS318" i="3"/>
  <c r="AK318" i="3"/>
  <c r="X318" i="3" s="1"/>
  <c r="AB318" i="3" s="1"/>
  <c r="BA317" i="3"/>
  <c r="AS317" i="3"/>
  <c r="AK317" i="3"/>
  <c r="X317" i="3" s="1"/>
  <c r="AB317" i="3" s="1"/>
  <c r="BA316" i="3"/>
  <c r="AS316" i="3"/>
  <c r="AK316" i="3"/>
  <c r="X316" i="3" s="1"/>
  <c r="AB316" i="3" s="1"/>
  <c r="BA22" i="3"/>
  <c r="AS22" i="3"/>
  <c r="AK22" i="3"/>
  <c r="X22" i="3" s="1"/>
  <c r="AB22" i="3" s="1"/>
  <c r="BA315" i="3"/>
  <c r="AS315" i="3"/>
  <c r="AK315" i="3"/>
  <c r="X315" i="3" s="1"/>
  <c r="AB315" i="3" s="1"/>
  <c r="BA314" i="3"/>
  <c r="AS314" i="3"/>
  <c r="AK314" i="3"/>
  <c r="X314" i="3" s="1"/>
  <c r="AB314" i="3" s="1"/>
  <c r="BA313" i="3"/>
  <c r="AS313" i="3"/>
  <c r="AK313" i="3"/>
  <c r="X313" i="3" s="1"/>
  <c r="AB313" i="3" s="1"/>
  <c r="BA21" i="3"/>
  <c r="AS21" i="3"/>
  <c r="AK21" i="3"/>
  <c r="X21" i="3" s="1"/>
  <c r="AB21" i="3" s="1"/>
  <c r="BA312" i="3"/>
  <c r="AS312" i="3"/>
  <c r="AK312" i="3"/>
  <c r="X312" i="3" s="1"/>
  <c r="AB312" i="3" s="1"/>
  <c r="BA311" i="3"/>
  <c r="AS311" i="3"/>
  <c r="AK311" i="3"/>
  <c r="X311" i="3" s="1"/>
  <c r="AB311" i="3" s="1"/>
  <c r="BA310" i="3"/>
  <c r="AS310" i="3"/>
  <c r="AK310" i="3"/>
  <c r="X310" i="3" s="1"/>
  <c r="AB310" i="3" s="1"/>
  <c r="BA309" i="3"/>
  <c r="AS309" i="3"/>
  <c r="AK309" i="3"/>
  <c r="X309" i="3" s="1"/>
  <c r="AB309" i="3" s="1"/>
  <c r="BA20" i="3"/>
  <c r="AS20" i="3"/>
  <c r="AK20" i="3"/>
  <c r="X20" i="3" s="1"/>
  <c r="AB20" i="3" s="1"/>
  <c r="BA308" i="3"/>
  <c r="AS308" i="3"/>
  <c r="AK308" i="3"/>
  <c r="X308" i="3" s="1"/>
  <c r="AB308" i="3" s="1"/>
  <c r="BA307" i="3"/>
  <c r="AS307" i="3"/>
  <c r="AK307" i="3"/>
  <c r="X307" i="3" s="1"/>
  <c r="AB307" i="3" s="1"/>
  <c r="BA306" i="3"/>
  <c r="AS306" i="3"/>
  <c r="AK306" i="3"/>
  <c r="X306" i="3" s="1"/>
  <c r="AB306" i="3" s="1"/>
  <c r="BA305" i="3"/>
  <c r="AS305" i="3"/>
  <c r="AK305" i="3"/>
  <c r="X305" i="3" s="1"/>
  <c r="AB305" i="3" s="1"/>
  <c r="BA304" i="3"/>
  <c r="AS304" i="3"/>
  <c r="AK304" i="3"/>
  <c r="X304" i="3" s="1"/>
  <c r="AB304" i="3" s="1"/>
  <c r="BA303" i="3"/>
  <c r="AS303" i="3"/>
  <c r="AK303" i="3"/>
  <c r="X303" i="3" s="1"/>
  <c r="AB303" i="3" s="1"/>
  <c r="BA19" i="3"/>
  <c r="AS19" i="3"/>
  <c r="AK19" i="3"/>
  <c r="X19" i="3" s="1"/>
  <c r="AB19" i="3" s="1"/>
  <c r="BA302" i="3"/>
  <c r="AS302" i="3"/>
  <c r="AK302" i="3"/>
  <c r="X302" i="3" s="1"/>
  <c r="AB302" i="3" s="1"/>
  <c r="BA301" i="3"/>
  <c r="AS301" i="3"/>
  <c r="AK301" i="3"/>
  <c r="X301" i="3" s="1"/>
  <c r="AB301" i="3" s="1"/>
  <c r="BA300" i="3"/>
  <c r="AS300" i="3"/>
  <c r="AK300" i="3"/>
  <c r="X300" i="3" s="1"/>
  <c r="AB300" i="3" s="1"/>
  <c r="BA299" i="3"/>
  <c r="AS299" i="3"/>
  <c r="AK299" i="3"/>
  <c r="X299" i="3" s="1"/>
  <c r="AB299" i="3" s="1"/>
  <c r="BA298" i="3"/>
  <c r="AS298" i="3"/>
  <c r="AK298" i="3"/>
  <c r="X298" i="3" s="1"/>
  <c r="AB298" i="3" s="1"/>
  <c r="BA297" i="3"/>
  <c r="AS297" i="3"/>
  <c r="AK297" i="3"/>
  <c r="X297" i="3" s="1"/>
  <c r="AB297" i="3" s="1"/>
  <c r="BA296" i="3"/>
  <c r="AS296" i="3"/>
  <c r="AK296" i="3"/>
  <c r="X296" i="3" s="1"/>
  <c r="AB296" i="3" s="1"/>
  <c r="BA295" i="3"/>
  <c r="AS295" i="3"/>
  <c r="AK295" i="3"/>
  <c r="X295" i="3" s="1"/>
  <c r="AB295" i="3" s="1"/>
  <c r="BA294" i="3"/>
  <c r="AS294" i="3"/>
  <c r="AK294" i="3"/>
  <c r="X294" i="3" s="1"/>
  <c r="AB294" i="3" s="1"/>
  <c r="BA293" i="3"/>
  <c r="AS293" i="3"/>
  <c r="AK293" i="3"/>
  <c r="X293" i="3" s="1"/>
  <c r="AB293" i="3" s="1"/>
  <c r="BA292" i="3"/>
  <c r="AS292" i="3"/>
  <c r="AK292" i="3"/>
  <c r="X292" i="3" s="1"/>
  <c r="AB292" i="3" s="1"/>
  <c r="BA291" i="3"/>
  <c r="AS291" i="3"/>
  <c r="AK291" i="3"/>
  <c r="X291" i="3" s="1"/>
  <c r="AB291" i="3" s="1"/>
  <c r="BA290" i="3"/>
  <c r="AS290" i="3"/>
  <c r="AK290" i="3"/>
  <c r="X290" i="3" s="1"/>
  <c r="AB290" i="3" s="1"/>
  <c r="BA289" i="3"/>
  <c r="AS289" i="3"/>
  <c r="AK289" i="3"/>
  <c r="X289" i="3" s="1"/>
  <c r="AB289" i="3" s="1"/>
  <c r="BA288" i="3"/>
  <c r="AS288" i="3"/>
  <c r="AK288" i="3"/>
  <c r="X288" i="3" s="1"/>
  <c r="AB288" i="3" s="1"/>
  <c r="BA18" i="3"/>
  <c r="AS18" i="3"/>
  <c r="AK18" i="3"/>
  <c r="X18" i="3" s="1"/>
  <c r="AB18" i="3" s="1"/>
  <c r="BA287" i="3"/>
  <c r="AS287" i="3"/>
  <c r="AK287" i="3"/>
  <c r="X287" i="3" s="1"/>
  <c r="AB287" i="3" s="1"/>
  <c r="BA286" i="3"/>
  <c r="AS286" i="3"/>
  <c r="AK286" i="3"/>
  <c r="X286" i="3" s="1"/>
  <c r="AB286" i="3" s="1"/>
  <c r="BA285" i="3"/>
  <c r="AS285" i="3"/>
  <c r="AK285" i="3"/>
  <c r="X285" i="3" s="1"/>
  <c r="AB285" i="3" s="1"/>
  <c r="BA284" i="3"/>
  <c r="AS284" i="3"/>
  <c r="AK284" i="3"/>
  <c r="X284" i="3" s="1"/>
  <c r="AB284" i="3" s="1"/>
  <c r="BA283" i="3"/>
  <c r="AS283" i="3"/>
  <c r="AK283" i="3"/>
  <c r="X283" i="3" s="1"/>
  <c r="AB283" i="3" s="1"/>
  <c r="BA282" i="3"/>
  <c r="AS282" i="3"/>
  <c r="AK282" i="3"/>
  <c r="X282" i="3" s="1"/>
  <c r="AB282" i="3" s="1"/>
  <c r="BA281" i="3"/>
  <c r="AS281" i="3"/>
  <c r="AK281" i="3"/>
  <c r="X281" i="3" s="1"/>
  <c r="AB281" i="3" s="1"/>
  <c r="BA280" i="3"/>
  <c r="AS280" i="3"/>
  <c r="AK280" i="3"/>
  <c r="X280" i="3" s="1"/>
  <c r="AB280" i="3" s="1"/>
  <c r="BA279" i="3"/>
  <c r="AS279" i="3"/>
  <c r="AK279" i="3"/>
  <c r="X279" i="3" s="1"/>
  <c r="AB279" i="3" s="1"/>
  <c r="BA278" i="3"/>
  <c r="AS278" i="3"/>
  <c r="AK278" i="3"/>
  <c r="X278" i="3" s="1"/>
  <c r="AB278" i="3" s="1"/>
  <c r="BA277" i="3"/>
  <c r="AS277" i="3"/>
  <c r="AK277" i="3"/>
  <c r="X277" i="3" s="1"/>
  <c r="AB277" i="3" s="1"/>
  <c r="BA17" i="3"/>
  <c r="AS17" i="3"/>
  <c r="AK17" i="3"/>
  <c r="X17" i="3" s="1"/>
  <c r="AB17" i="3" s="1"/>
  <c r="BA276" i="3"/>
  <c r="AS276" i="3"/>
  <c r="AK276" i="3"/>
  <c r="X276" i="3" s="1"/>
  <c r="AB276" i="3" s="1"/>
  <c r="BA275" i="3"/>
  <c r="AS275" i="3"/>
  <c r="AK275" i="3"/>
  <c r="X275" i="3" s="1"/>
  <c r="AB275" i="3" s="1"/>
  <c r="BA274" i="3"/>
  <c r="AS274" i="3"/>
  <c r="AK274" i="3"/>
  <c r="X274" i="3" s="1"/>
  <c r="AB274" i="3" s="1"/>
  <c r="BA273" i="3"/>
  <c r="AS273" i="3"/>
  <c r="AK273" i="3"/>
  <c r="X273" i="3" s="1"/>
  <c r="AB273" i="3" s="1"/>
  <c r="BA16" i="3"/>
  <c r="AS16" i="3"/>
  <c r="AK16" i="3"/>
  <c r="X16" i="3" s="1"/>
  <c r="AB16" i="3" s="1"/>
  <c r="BA272" i="3"/>
  <c r="AS272" i="3"/>
  <c r="AK272" i="3"/>
  <c r="X272" i="3" s="1"/>
  <c r="AB272" i="3" s="1"/>
  <c r="BA271" i="3"/>
  <c r="AS271" i="3"/>
  <c r="AK271" i="3"/>
  <c r="X271" i="3" s="1"/>
  <c r="AB271" i="3" s="1"/>
  <c r="BA15" i="3"/>
  <c r="AS15" i="3"/>
  <c r="AK15" i="3"/>
  <c r="X15" i="3" s="1"/>
  <c r="AB15" i="3" s="1"/>
  <c r="BA14" i="3"/>
  <c r="AS14" i="3"/>
  <c r="AK14" i="3"/>
  <c r="X14" i="3" s="1"/>
  <c r="AB14" i="3" s="1"/>
  <c r="BA270" i="3"/>
  <c r="AS270" i="3"/>
  <c r="AK270" i="3"/>
  <c r="X270" i="3" s="1"/>
  <c r="AB270" i="3" s="1"/>
  <c r="BA269" i="3"/>
  <c r="AS269" i="3"/>
  <c r="AK269" i="3"/>
  <c r="X269" i="3" s="1"/>
  <c r="AB269" i="3" s="1"/>
  <c r="BA268" i="3"/>
  <c r="AS268" i="3"/>
  <c r="AK268" i="3"/>
  <c r="X268" i="3" s="1"/>
  <c r="AB268" i="3" s="1"/>
  <c r="BA13" i="3"/>
  <c r="AS13" i="3"/>
  <c r="AK13" i="3"/>
  <c r="X13" i="3" s="1"/>
  <c r="AB13" i="3" s="1"/>
  <c r="BA267" i="3"/>
  <c r="AS267" i="3"/>
  <c r="AK267" i="3"/>
  <c r="X267" i="3" s="1"/>
  <c r="AB267" i="3" s="1"/>
  <c r="BA266" i="3"/>
  <c r="AS266" i="3"/>
  <c r="AK266" i="3"/>
  <c r="X266" i="3" s="1"/>
  <c r="AB266" i="3" s="1"/>
  <c r="BA265" i="3"/>
  <c r="AS265" i="3"/>
  <c r="AK265" i="3"/>
  <c r="X265" i="3" s="1"/>
  <c r="AB265" i="3" s="1"/>
  <c r="BA264" i="3"/>
  <c r="AS264" i="3"/>
  <c r="AK264" i="3"/>
  <c r="X264" i="3" s="1"/>
  <c r="AB264" i="3" s="1"/>
  <c r="BA12" i="3"/>
  <c r="AS12" i="3"/>
  <c r="AK12" i="3"/>
  <c r="X12" i="3" s="1"/>
  <c r="AB12" i="3" s="1"/>
  <c r="BA263" i="3"/>
  <c r="AS263" i="3"/>
  <c r="AK263" i="3"/>
  <c r="X263" i="3" s="1"/>
  <c r="AB263" i="3" s="1"/>
  <c r="BA262" i="3"/>
  <c r="AS262" i="3"/>
  <c r="AK262" i="3"/>
  <c r="X262" i="3" s="1"/>
  <c r="AB262" i="3" s="1"/>
  <c r="BA261" i="3"/>
  <c r="AS261" i="3"/>
  <c r="AK261" i="3"/>
  <c r="X261" i="3" s="1"/>
  <c r="AB261" i="3" s="1"/>
  <c r="BA260" i="3"/>
  <c r="AS260" i="3"/>
  <c r="AK260" i="3"/>
  <c r="X260" i="3" s="1"/>
  <c r="AB260" i="3" s="1"/>
  <c r="BA259" i="3"/>
  <c r="AS259" i="3"/>
  <c r="AK259" i="3"/>
  <c r="X259" i="3" s="1"/>
  <c r="AB259" i="3" s="1"/>
  <c r="BA258" i="3"/>
  <c r="AS258" i="3"/>
  <c r="AK258" i="3"/>
  <c r="X258" i="3" s="1"/>
  <c r="AB258" i="3" s="1"/>
  <c r="BA257" i="3"/>
  <c r="AS257" i="3"/>
  <c r="AK257" i="3"/>
  <c r="X257" i="3" s="1"/>
  <c r="AB257" i="3" s="1"/>
  <c r="BA256" i="3"/>
  <c r="AS256" i="3"/>
  <c r="AK256" i="3"/>
  <c r="X256" i="3" s="1"/>
  <c r="AB256" i="3" s="1"/>
  <c r="BA255" i="3"/>
  <c r="AS255" i="3"/>
  <c r="AK255" i="3"/>
  <c r="X255" i="3" s="1"/>
  <c r="AB255" i="3" s="1"/>
  <c r="BA254" i="3"/>
  <c r="AS254" i="3"/>
  <c r="AK254" i="3"/>
  <c r="X254" i="3" s="1"/>
  <c r="AB254" i="3" s="1"/>
  <c r="BA253" i="3"/>
  <c r="AS253" i="3"/>
  <c r="AK253" i="3"/>
  <c r="X253" i="3" s="1"/>
  <c r="AB253" i="3" s="1"/>
  <c r="BA11" i="3"/>
  <c r="AS11" i="3"/>
  <c r="AK11" i="3"/>
  <c r="X11" i="3" s="1"/>
  <c r="AB11" i="3" s="1"/>
  <c r="BA252" i="3"/>
  <c r="AS252" i="3"/>
  <c r="AK252" i="3"/>
  <c r="X252" i="3" s="1"/>
  <c r="AB252" i="3" s="1"/>
  <c r="BA251" i="3"/>
  <c r="AS251" i="3"/>
  <c r="AK251" i="3"/>
  <c r="X251" i="3" s="1"/>
  <c r="AB251" i="3" s="1"/>
  <c r="BA250" i="3"/>
  <c r="AS250" i="3"/>
  <c r="AK250" i="3"/>
  <c r="X250" i="3" s="1"/>
  <c r="AB250" i="3" s="1"/>
  <c r="BA249" i="3"/>
  <c r="AS249" i="3"/>
  <c r="AK249" i="3"/>
  <c r="X249" i="3" s="1"/>
  <c r="AB249" i="3" s="1"/>
  <c r="BA248" i="3"/>
  <c r="AS248" i="3"/>
  <c r="AK248" i="3"/>
  <c r="X248" i="3" s="1"/>
  <c r="AB248" i="3" s="1"/>
  <c r="BA247" i="3"/>
  <c r="AS247" i="3"/>
  <c r="AK247" i="3"/>
  <c r="X247" i="3" s="1"/>
  <c r="AB247" i="3" s="1"/>
  <c r="BA246" i="3"/>
  <c r="AS246" i="3"/>
  <c r="AK246" i="3"/>
  <c r="X246" i="3" s="1"/>
  <c r="AB246" i="3" s="1"/>
  <c r="BA245" i="3"/>
  <c r="AS245" i="3"/>
  <c r="AK245" i="3"/>
  <c r="X245" i="3" s="1"/>
  <c r="AB245" i="3" s="1"/>
  <c r="BA244" i="3"/>
  <c r="AS244" i="3"/>
  <c r="AK244" i="3"/>
  <c r="X244" i="3" s="1"/>
  <c r="AB244" i="3" s="1"/>
  <c r="BA243" i="3"/>
  <c r="AS243" i="3"/>
  <c r="AK243" i="3"/>
  <c r="X243" i="3" s="1"/>
  <c r="AB243" i="3" s="1"/>
  <c r="BA10" i="3"/>
  <c r="AS10" i="3"/>
  <c r="AK10" i="3"/>
  <c r="X10" i="3" s="1"/>
  <c r="AB10" i="3" s="1"/>
  <c r="BA242" i="3"/>
  <c r="AS242" i="3"/>
  <c r="AK242" i="3"/>
  <c r="X242" i="3" s="1"/>
  <c r="AB242" i="3" s="1"/>
  <c r="BA241" i="3"/>
  <c r="AS241" i="3"/>
  <c r="AK241" i="3"/>
  <c r="X241" i="3" s="1"/>
  <c r="AB241" i="3" s="1"/>
  <c r="BA240" i="3"/>
  <c r="AS240" i="3"/>
  <c r="AK240" i="3"/>
  <c r="X240" i="3" s="1"/>
  <c r="AB240" i="3" s="1"/>
  <c r="BA239" i="3"/>
  <c r="AS239" i="3"/>
  <c r="AK239" i="3"/>
  <c r="X239" i="3" s="1"/>
  <c r="AB239" i="3" s="1"/>
  <c r="BA238" i="3"/>
  <c r="AS238" i="3"/>
  <c r="AK238" i="3"/>
  <c r="X238" i="3" s="1"/>
  <c r="AB238" i="3" s="1"/>
  <c r="BA237" i="3"/>
  <c r="AS237" i="3"/>
  <c r="AK237" i="3"/>
  <c r="X237" i="3" s="1"/>
  <c r="AB237" i="3" s="1"/>
  <c r="BA9" i="3"/>
  <c r="AS9" i="3"/>
  <c r="AK9" i="3"/>
  <c r="X9" i="3" s="1"/>
  <c r="AB9" i="3" s="1"/>
  <c r="BA236" i="3"/>
  <c r="AS236" i="3"/>
  <c r="AK236" i="3"/>
  <c r="X236" i="3" s="1"/>
  <c r="AB236" i="3" s="1"/>
  <c r="BA235" i="3"/>
  <c r="AS235" i="3"/>
  <c r="AK235" i="3"/>
  <c r="X235" i="3" s="1"/>
  <c r="AB235" i="3" s="1"/>
  <c r="BA234" i="3"/>
  <c r="AS234" i="3"/>
  <c r="AK234" i="3"/>
  <c r="X234" i="3" s="1"/>
  <c r="AB234" i="3" s="1"/>
  <c r="BA233" i="3"/>
  <c r="AS233" i="3"/>
  <c r="AK233" i="3"/>
  <c r="X233" i="3" s="1"/>
  <c r="AB233" i="3" s="1"/>
  <c r="BA232" i="3"/>
  <c r="AS232" i="3"/>
  <c r="AK232" i="3"/>
  <c r="X232" i="3" s="1"/>
  <c r="AB232" i="3" s="1"/>
  <c r="BA231" i="3"/>
  <c r="AS231" i="3"/>
  <c r="AK231" i="3"/>
  <c r="X231" i="3" s="1"/>
  <c r="AB231" i="3" s="1"/>
  <c r="BA230" i="3"/>
  <c r="AS230" i="3"/>
  <c r="AK230" i="3"/>
  <c r="X230" i="3" s="1"/>
  <c r="AB230" i="3" s="1"/>
  <c r="BA229" i="3"/>
  <c r="AS229" i="3"/>
  <c r="AK229" i="3"/>
  <c r="X229" i="3" s="1"/>
  <c r="AB229" i="3" s="1"/>
  <c r="BA8" i="3"/>
  <c r="AS8" i="3"/>
  <c r="AK8" i="3"/>
  <c r="X8" i="3" s="1"/>
  <c r="AB8" i="3" s="1"/>
  <c r="BA228" i="3"/>
  <c r="AS228" i="3"/>
  <c r="AK228" i="3"/>
  <c r="X228" i="3" s="1"/>
  <c r="AB228" i="3" s="1"/>
  <c r="BA227" i="3"/>
  <c r="AS227" i="3"/>
  <c r="AK227" i="3"/>
  <c r="X227" i="3" s="1"/>
  <c r="AB227" i="3" s="1"/>
  <c r="BA226" i="3"/>
  <c r="AS226" i="3"/>
  <c r="AK226" i="3"/>
  <c r="X226" i="3" s="1"/>
  <c r="AB226" i="3" s="1"/>
  <c r="BA225" i="3"/>
  <c r="AS225" i="3"/>
  <c r="AK225" i="3"/>
  <c r="X225" i="3" s="1"/>
  <c r="AB225" i="3" s="1"/>
  <c r="BA224" i="3"/>
  <c r="AS224" i="3"/>
  <c r="AK224" i="3"/>
  <c r="X224" i="3" s="1"/>
  <c r="AB224" i="3" s="1"/>
  <c r="BA223" i="3"/>
  <c r="AS223" i="3"/>
  <c r="AK223" i="3"/>
  <c r="X223" i="3" s="1"/>
  <c r="AB223" i="3" s="1"/>
  <c r="BA222" i="3"/>
  <c r="AS222" i="3"/>
  <c r="AK222" i="3"/>
  <c r="X222" i="3" s="1"/>
  <c r="AB222" i="3" s="1"/>
  <c r="BA221" i="3"/>
  <c r="AS221" i="3"/>
  <c r="AK221" i="3"/>
  <c r="X221" i="3" s="1"/>
  <c r="AB221" i="3" s="1"/>
  <c r="BA220" i="3"/>
  <c r="AS220" i="3"/>
  <c r="AK220" i="3"/>
  <c r="X220" i="3" s="1"/>
  <c r="AB220" i="3" s="1"/>
  <c r="BA219" i="3"/>
  <c r="AS219" i="3"/>
  <c r="AK219" i="3"/>
  <c r="X219" i="3" s="1"/>
  <c r="AB219" i="3" s="1"/>
  <c r="BA218" i="3"/>
  <c r="AS218" i="3"/>
  <c r="AK218" i="3"/>
  <c r="X218" i="3" s="1"/>
  <c r="AB218" i="3" s="1"/>
  <c r="BA217" i="3"/>
  <c r="AS217" i="3"/>
  <c r="AK217" i="3"/>
  <c r="X217" i="3" s="1"/>
  <c r="AB217" i="3" s="1"/>
  <c r="BA216" i="3"/>
  <c r="AS216" i="3"/>
  <c r="AK216" i="3"/>
  <c r="X216" i="3" s="1"/>
  <c r="AB216" i="3" s="1"/>
  <c r="BA215" i="3"/>
  <c r="AS215" i="3"/>
  <c r="AK215" i="3"/>
  <c r="X215" i="3" s="1"/>
  <c r="AB215" i="3" s="1"/>
  <c r="BA214" i="3"/>
  <c r="AS214" i="3"/>
  <c r="AK214" i="3"/>
  <c r="X214" i="3" s="1"/>
  <c r="AB214" i="3" s="1"/>
  <c r="BA213" i="3"/>
  <c r="AS213" i="3"/>
  <c r="AK213" i="3"/>
  <c r="X213" i="3" s="1"/>
  <c r="AB213" i="3" s="1"/>
  <c r="BA212" i="3"/>
  <c r="AS212" i="3"/>
  <c r="AK212" i="3"/>
  <c r="X212" i="3" s="1"/>
  <c r="AB212" i="3" s="1"/>
  <c r="BA210" i="3"/>
  <c r="AS210" i="3"/>
  <c r="AK210" i="3"/>
  <c r="X210" i="3" s="1"/>
  <c r="AB210" i="3" s="1"/>
  <c r="BA209" i="3"/>
  <c r="AS209" i="3"/>
  <c r="AK209" i="3"/>
  <c r="X209" i="3" s="1"/>
  <c r="AB209" i="3" s="1"/>
  <c r="BA208" i="3"/>
  <c r="AS208" i="3"/>
  <c r="AK208" i="3"/>
  <c r="X208" i="3" s="1"/>
  <c r="AB208" i="3" s="1"/>
  <c r="BA207" i="3"/>
  <c r="AS207" i="3"/>
  <c r="AK207" i="3"/>
  <c r="X207" i="3" s="1"/>
  <c r="AB207" i="3" s="1"/>
  <c r="BA206" i="3"/>
  <c r="AS206" i="3"/>
  <c r="AK206" i="3"/>
  <c r="X206" i="3" s="1"/>
  <c r="AB206" i="3" s="1"/>
  <c r="BA205" i="3"/>
  <c r="AS205" i="3"/>
  <c r="AK205" i="3"/>
  <c r="X205" i="3" s="1"/>
  <c r="AB205" i="3" s="1"/>
  <c r="BA204" i="3"/>
  <c r="AS204" i="3"/>
  <c r="AK204" i="3"/>
  <c r="X204" i="3" s="1"/>
  <c r="AB204" i="3" s="1"/>
  <c r="BA7" i="3"/>
  <c r="AS7" i="3"/>
  <c r="AK7" i="3"/>
  <c r="X7" i="3" s="1"/>
  <c r="AB7" i="3" s="1"/>
  <c r="BA202" i="3"/>
  <c r="AS202" i="3"/>
  <c r="AK202" i="3"/>
  <c r="X202" i="3" s="1"/>
  <c r="AB202" i="3" s="1"/>
  <c r="BA6" i="3"/>
  <c r="AS6" i="3"/>
  <c r="AK6" i="3"/>
  <c r="X6" i="3" s="1"/>
  <c r="AB6" i="3" s="1"/>
  <c r="BA201" i="3"/>
  <c r="AS201" i="3"/>
  <c r="AK201" i="3"/>
  <c r="X201" i="3" s="1"/>
  <c r="AB201" i="3" s="1"/>
  <c r="BA5" i="3"/>
  <c r="AS5" i="3"/>
  <c r="AK5" i="3"/>
  <c r="X5" i="3" s="1"/>
  <c r="AB5" i="3" s="1"/>
  <c r="BA200" i="3"/>
  <c r="AS200" i="3"/>
  <c r="AK200" i="3"/>
  <c r="X200" i="3" s="1"/>
  <c r="AB200" i="3" s="1"/>
  <c r="BA199" i="3"/>
  <c r="AS199" i="3"/>
  <c r="AK199" i="3"/>
  <c r="X199" i="3" s="1"/>
  <c r="AB199" i="3" s="1"/>
  <c r="BA198" i="3"/>
  <c r="AS198" i="3"/>
  <c r="AK198" i="3"/>
  <c r="X198" i="3" s="1"/>
  <c r="AB198" i="3" s="1"/>
  <c r="BA197" i="3"/>
  <c r="AS197" i="3"/>
  <c r="AK197" i="3"/>
  <c r="X197" i="3" s="1"/>
  <c r="AB197" i="3" s="1"/>
  <c r="BA194" i="3"/>
  <c r="AS194" i="3"/>
  <c r="X194" i="3"/>
  <c r="AB194" i="3" s="1"/>
  <c r="BA193" i="3"/>
  <c r="AS193" i="3"/>
  <c r="AK193" i="3"/>
  <c r="X193" i="3" s="1"/>
  <c r="AB193" i="3" s="1"/>
  <c r="BA192" i="3"/>
  <c r="AS192" i="3"/>
  <c r="AK192" i="3"/>
  <c r="X192" i="3" s="1"/>
  <c r="AB192" i="3" s="1"/>
  <c r="BA191" i="3"/>
  <c r="AS191" i="3"/>
  <c r="AK191" i="3"/>
  <c r="X191" i="3" s="1"/>
  <c r="AB191" i="3" s="1"/>
  <c r="BA190" i="3"/>
  <c r="AS190" i="3"/>
  <c r="AK190" i="3"/>
  <c r="X190" i="3" s="1"/>
  <c r="AB190" i="3" s="1"/>
  <c r="BA69" i="3"/>
  <c r="AS69" i="3"/>
  <c r="AK69" i="3"/>
  <c r="X69" i="3" s="1"/>
  <c r="AB69" i="3" s="1"/>
  <c r="BA189" i="3"/>
  <c r="AS189" i="3"/>
  <c r="AK189" i="3"/>
  <c r="X189" i="3" s="1"/>
  <c r="AB189" i="3" s="1"/>
  <c r="BA187" i="3"/>
  <c r="AS187" i="3"/>
  <c r="AK187" i="3"/>
  <c r="X187" i="3"/>
  <c r="AB187" i="3" s="1"/>
  <c r="BA186" i="3"/>
  <c r="AS186" i="3"/>
  <c r="AK186" i="3"/>
  <c r="X186" i="3" s="1"/>
  <c r="AB186" i="3" s="1"/>
  <c r="BA185" i="3"/>
  <c r="AS185" i="3"/>
  <c r="AK185" i="3"/>
  <c r="X185" i="3" s="1"/>
  <c r="AB185" i="3" s="1"/>
  <c r="BA180" i="3"/>
  <c r="AS180" i="3"/>
  <c r="AK180" i="3"/>
  <c r="X180" i="3" s="1"/>
  <c r="AB180" i="3" s="1"/>
  <c r="BA179" i="3"/>
  <c r="AS179" i="3"/>
  <c r="AK179" i="3"/>
  <c r="X179" i="3" s="1"/>
  <c r="AB179" i="3" s="1"/>
  <c r="BA178" i="3"/>
  <c r="AS178" i="3"/>
  <c r="AK178" i="3"/>
  <c r="X178" i="3" s="1"/>
  <c r="AB178" i="3" s="1"/>
  <c r="BA177" i="3"/>
  <c r="AS177" i="3"/>
  <c r="AK177" i="3"/>
  <c r="X177" i="3" s="1"/>
  <c r="AB177" i="3" s="1"/>
  <c r="BA176" i="3"/>
  <c r="AS176" i="3"/>
  <c r="AK176" i="3"/>
  <c r="X176" i="3" s="1"/>
  <c r="AB176" i="3" s="1"/>
  <c r="BA175" i="3"/>
  <c r="AS175" i="3"/>
  <c r="AK175" i="3"/>
  <c r="X175" i="3" s="1"/>
  <c r="AB175" i="3" s="1"/>
  <c r="BA174" i="3"/>
  <c r="AS174" i="3"/>
  <c r="AK174" i="3"/>
  <c r="X174" i="3" s="1"/>
  <c r="AB174" i="3" s="1"/>
  <c r="BA173" i="3"/>
  <c r="AS173" i="3"/>
  <c r="AK173" i="3"/>
  <c r="X173" i="3" s="1"/>
  <c r="AB173" i="3" s="1"/>
  <c r="BA172" i="3"/>
  <c r="AS172" i="3"/>
  <c r="AK172" i="3"/>
  <c r="X172" i="3" s="1"/>
  <c r="AB172" i="3" s="1"/>
  <c r="BA68" i="3"/>
  <c r="AS68" i="3"/>
  <c r="AK68" i="3"/>
  <c r="X68" i="3" s="1"/>
  <c r="AB68" i="3" s="1"/>
  <c r="BA170" i="3"/>
  <c r="AS170" i="3"/>
  <c r="AK170" i="3"/>
  <c r="X170" i="3" s="1"/>
  <c r="AB170" i="3" s="1"/>
  <c r="BA168" i="3"/>
  <c r="AS168" i="3"/>
  <c r="AK168" i="3"/>
  <c r="X168" i="3" s="1"/>
  <c r="AB168" i="3" s="1"/>
  <c r="BA166" i="3"/>
  <c r="AS166" i="3"/>
  <c r="AK166" i="3"/>
  <c r="X166" i="3" s="1"/>
  <c r="AB166" i="3" s="1"/>
  <c r="BA67" i="3"/>
  <c r="AS67" i="3"/>
  <c r="AK67" i="3"/>
  <c r="X67" i="3" s="1"/>
  <c r="AB67" i="3" s="1"/>
  <c r="BA165" i="3"/>
  <c r="AS165" i="3"/>
  <c r="AK165" i="3"/>
  <c r="X165" i="3" s="1"/>
  <c r="AB165" i="3" s="1"/>
  <c r="BA164" i="3"/>
  <c r="AS164" i="3"/>
  <c r="AK164" i="3"/>
  <c r="X164" i="3" s="1"/>
  <c r="AB164" i="3" s="1"/>
  <c r="BA163" i="3"/>
  <c r="AS163" i="3"/>
  <c r="AK163" i="3"/>
  <c r="X163" i="3" s="1"/>
  <c r="AB163" i="3" s="1"/>
  <c r="BA162" i="3"/>
  <c r="AS162" i="3"/>
  <c r="AK162" i="3"/>
  <c r="X162" i="3" s="1"/>
  <c r="AB162" i="3" s="1"/>
  <c r="BA161" i="3"/>
  <c r="AS161" i="3"/>
  <c r="AK161" i="3"/>
  <c r="X161" i="3" s="1"/>
  <c r="AB161" i="3" s="1"/>
  <c r="BA160" i="3"/>
  <c r="AS160" i="3"/>
  <c r="AK160" i="3"/>
  <c r="X160" i="3" s="1"/>
  <c r="AB160" i="3" s="1"/>
  <c r="BA159" i="3"/>
  <c r="AS159" i="3"/>
  <c r="AK159" i="3"/>
  <c r="X159" i="3" s="1"/>
  <c r="AB159" i="3" s="1"/>
  <c r="BA158" i="3"/>
  <c r="AS158" i="3"/>
  <c r="AK158" i="3"/>
  <c r="X158" i="3" s="1"/>
  <c r="AB158" i="3" s="1"/>
  <c r="BA157" i="3"/>
  <c r="AS157" i="3"/>
  <c r="AK157" i="3"/>
  <c r="X157" i="3" s="1"/>
  <c r="AB157" i="3" s="1"/>
  <c r="BA156" i="3"/>
  <c r="AS156" i="3"/>
  <c r="AK156" i="3"/>
  <c r="X156" i="3" s="1"/>
  <c r="AB156" i="3" s="1"/>
  <c r="BA155" i="3"/>
  <c r="AS155" i="3"/>
  <c r="AK155" i="3"/>
  <c r="X155" i="3" s="1"/>
  <c r="AB155" i="3" s="1"/>
  <c r="BA154" i="3"/>
  <c r="AS154" i="3"/>
  <c r="AK154" i="3"/>
  <c r="X154" i="3" s="1"/>
  <c r="AB154" i="3"/>
  <c r="BA153" i="3"/>
  <c r="AS153" i="3"/>
  <c r="AK153" i="3"/>
  <c r="X153" i="3" s="1"/>
  <c r="AB153" i="3" s="1"/>
  <c r="BA152" i="3"/>
  <c r="AS152" i="3"/>
  <c r="AK152" i="3"/>
  <c r="X152" i="3" s="1"/>
  <c r="AB152" i="3" s="1"/>
  <c r="BA151" i="3"/>
  <c r="AS151" i="3"/>
  <c r="AK151" i="3"/>
  <c r="X151" i="3" s="1"/>
  <c r="AB151" i="3" s="1"/>
  <c r="BA150" i="3"/>
  <c r="AS150" i="3"/>
  <c r="AK150" i="3"/>
  <c r="X150" i="3" s="1"/>
  <c r="AB150" i="3" s="1"/>
  <c r="BA149" i="3"/>
  <c r="AS149" i="3"/>
  <c r="AK149" i="3"/>
  <c r="X149" i="3" s="1"/>
  <c r="AB149" i="3" s="1"/>
  <c r="BA148" i="3"/>
  <c r="AS148" i="3"/>
  <c r="AK148" i="3"/>
  <c r="X148" i="3" s="1"/>
  <c r="AB148" i="3" s="1"/>
  <c r="BA147" i="3"/>
  <c r="AS147" i="3"/>
  <c r="AK147" i="3"/>
  <c r="X147" i="3" s="1"/>
  <c r="AB147" i="3" s="1"/>
  <c r="BA146" i="3"/>
  <c r="AS146" i="3"/>
  <c r="AK146" i="3"/>
  <c r="X146" i="3" s="1"/>
  <c r="AB146" i="3" s="1"/>
  <c r="BA145" i="3"/>
  <c r="AS145" i="3"/>
  <c r="AK145" i="3"/>
  <c r="X145" i="3" s="1"/>
  <c r="AB145" i="3" s="1"/>
  <c r="BA144" i="3"/>
  <c r="AS144" i="3"/>
  <c r="AK144" i="3"/>
  <c r="X144" i="3" s="1"/>
  <c r="AB144" i="3" s="1"/>
  <c r="BA143" i="3"/>
  <c r="AS143" i="3"/>
  <c r="AK143" i="3"/>
  <c r="X143" i="3" s="1"/>
  <c r="AB143" i="3" s="1"/>
  <c r="BA66" i="3"/>
  <c r="AS66" i="3"/>
  <c r="AK66" i="3"/>
  <c r="X66" i="3" s="1"/>
  <c r="AB66" i="3" s="1"/>
  <c r="BA141" i="3"/>
  <c r="AS141" i="3"/>
  <c r="AK141" i="3"/>
  <c r="X141" i="3" s="1"/>
  <c r="AB141" i="3" s="1"/>
  <c r="BA140" i="3"/>
  <c r="AS140" i="3"/>
  <c r="AK140" i="3"/>
  <c r="X140" i="3" s="1"/>
  <c r="AB140" i="3" s="1"/>
  <c r="BA138" i="3"/>
  <c r="AS138" i="3"/>
  <c r="AK138" i="3"/>
  <c r="X138" i="3" s="1"/>
  <c r="AB138" i="3" s="1"/>
  <c r="BA137" i="3"/>
  <c r="AS137" i="3"/>
  <c r="AK137" i="3"/>
  <c r="X137" i="3" s="1"/>
  <c r="AB137" i="3" s="1"/>
  <c r="BA136" i="3"/>
  <c r="AS136" i="3"/>
  <c r="AK136" i="3"/>
  <c r="X136" i="3" s="1"/>
  <c r="AB136" i="3" s="1"/>
  <c r="BA135" i="3"/>
  <c r="AS135" i="3"/>
  <c r="AK135" i="3"/>
  <c r="X135" i="3" s="1"/>
  <c r="AB135" i="3" s="1"/>
  <c r="BA134" i="3"/>
  <c r="AS134" i="3"/>
  <c r="AK134" i="3"/>
  <c r="X134" i="3" s="1"/>
  <c r="AB134" i="3" s="1"/>
  <c r="BA133" i="3"/>
  <c r="AS133" i="3"/>
  <c r="AK133" i="3"/>
  <c r="X133" i="3" s="1"/>
  <c r="AB133" i="3" s="1"/>
  <c r="BA132" i="3"/>
  <c r="AS132" i="3"/>
  <c r="AK132" i="3"/>
  <c r="X132" i="3" s="1"/>
  <c r="AB132" i="3" s="1"/>
  <c r="BA65" i="3"/>
  <c r="AS65" i="3"/>
  <c r="AK65" i="3"/>
  <c r="X65" i="3" s="1"/>
  <c r="AB65" i="3" s="1"/>
  <c r="BA129" i="3"/>
  <c r="AS129" i="3"/>
  <c r="AK129" i="3"/>
  <c r="X129" i="3" s="1"/>
  <c r="AB129" i="3" s="1"/>
  <c r="BA128" i="3"/>
  <c r="AS128" i="3"/>
  <c r="AK128" i="3"/>
  <c r="X128" i="3" s="1"/>
  <c r="AB128" i="3" s="1"/>
  <c r="BA127" i="3"/>
  <c r="AS127" i="3"/>
  <c r="AK127" i="3"/>
  <c r="X127" i="3" s="1"/>
  <c r="AB127" i="3" s="1"/>
  <c r="BA126" i="3"/>
  <c r="AS126" i="3"/>
  <c r="AK126" i="3"/>
  <c r="X126" i="3" s="1"/>
  <c r="AB126" i="3" s="1"/>
  <c r="BA125" i="3"/>
  <c r="AS125" i="3"/>
  <c r="AK125" i="3"/>
  <c r="X125" i="3" s="1"/>
  <c r="AB125" i="3" s="1"/>
  <c r="BA124" i="3"/>
  <c r="AS124" i="3"/>
  <c r="AK124" i="3"/>
  <c r="X124" i="3" s="1"/>
  <c r="AB124" i="3" s="1"/>
  <c r="BA63" i="3"/>
  <c r="AS63" i="3"/>
  <c r="AK63" i="3"/>
  <c r="X63" i="3" s="1"/>
  <c r="AB63" i="3" s="1"/>
  <c r="BA123" i="3"/>
  <c r="AS123" i="3"/>
  <c r="AK123" i="3"/>
  <c r="X123" i="3" s="1"/>
  <c r="AB123" i="3" s="1"/>
  <c r="BA62" i="3"/>
  <c r="AS62" i="3"/>
  <c r="AK62" i="3"/>
  <c r="X62" i="3" s="1"/>
  <c r="AB62" i="3" s="1"/>
  <c r="BA122" i="3"/>
  <c r="AS122" i="3"/>
  <c r="AK122" i="3"/>
  <c r="X122" i="3" s="1"/>
  <c r="AB122" i="3" s="1"/>
  <c r="BA121" i="3"/>
  <c r="AS121" i="3"/>
  <c r="AK121" i="3"/>
  <c r="X121" i="3" s="1"/>
  <c r="AB121" i="3" s="1"/>
  <c r="BA120" i="3"/>
  <c r="AS120" i="3"/>
  <c r="AK120" i="3"/>
  <c r="X120" i="3" s="1"/>
  <c r="AB120" i="3" s="1"/>
  <c r="BA61" i="3"/>
  <c r="AS61" i="3"/>
  <c r="AK61" i="3"/>
  <c r="X61" i="3" s="1"/>
  <c r="AB61" i="3" s="1"/>
  <c r="BA119" i="3"/>
  <c r="AS119" i="3"/>
  <c r="AK119" i="3"/>
  <c r="X119" i="3" s="1"/>
  <c r="AB119" i="3" s="1"/>
  <c r="BA118" i="3"/>
  <c r="AS118" i="3"/>
  <c r="AK118" i="3"/>
  <c r="X118" i="3" s="1"/>
  <c r="AB118" i="3" s="1"/>
  <c r="BA117" i="3"/>
  <c r="AS117" i="3"/>
  <c r="AK117" i="3"/>
  <c r="X117" i="3" s="1"/>
  <c r="AB117" i="3" s="1"/>
  <c r="BA116" i="3"/>
  <c r="AS116" i="3"/>
  <c r="AK116" i="3"/>
  <c r="X116" i="3" s="1"/>
  <c r="AB116" i="3" s="1"/>
  <c r="BA115" i="3"/>
  <c r="AS115" i="3"/>
  <c r="AK115" i="3"/>
  <c r="X115" i="3" s="1"/>
  <c r="AB115" i="3" s="1"/>
  <c r="BA114" i="3"/>
  <c r="AS114" i="3"/>
  <c r="AK114" i="3"/>
  <c r="X114" i="3" s="1"/>
  <c r="AB114" i="3" s="1"/>
  <c r="BA59" i="3"/>
  <c r="AS59" i="3"/>
  <c r="AK59" i="3"/>
  <c r="X59" i="3" s="1"/>
  <c r="AB59" i="3" s="1"/>
  <c r="BA58" i="3"/>
  <c r="AS58" i="3"/>
  <c r="AK58" i="3"/>
  <c r="X58" i="3" s="1"/>
  <c r="AB58" i="3" s="1"/>
  <c r="BA112" i="3"/>
  <c r="AS112" i="3"/>
  <c r="AK112" i="3"/>
  <c r="X112" i="3" s="1"/>
  <c r="AB112" i="3" s="1"/>
  <c r="BA111" i="3"/>
  <c r="AS111" i="3"/>
  <c r="AK111" i="3"/>
  <c r="X111" i="3" s="1"/>
  <c r="AB111" i="3" s="1"/>
  <c r="BA110" i="3"/>
  <c r="AS110" i="3"/>
  <c r="AK110" i="3"/>
  <c r="X110" i="3" s="1"/>
  <c r="AB110" i="3" s="1"/>
  <c r="BA109" i="3"/>
  <c r="AS109" i="3"/>
  <c r="AK109" i="3"/>
  <c r="X109" i="3" s="1"/>
  <c r="AB109" i="3" s="1"/>
  <c r="BA107" i="3"/>
  <c r="AS107" i="3"/>
  <c r="AK107" i="3"/>
  <c r="X107" i="3" s="1"/>
  <c r="AB107" i="3" s="1"/>
  <c r="BA55" i="3"/>
  <c r="AS55" i="3"/>
  <c r="AK55" i="3"/>
  <c r="X55" i="3" s="1"/>
  <c r="AB55" i="3" s="1"/>
  <c r="BA54" i="3"/>
  <c r="AS54" i="3"/>
  <c r="AK54" i="3"/>
  <c r="X54" i="3" s="1"/>
  <c r="AB54" i="3" s="1"/>
  <c r="BA53" i="3"/>
  <c r="AS53" i="3"/>
  <c r="AK53" i="3"/>
  <c r="X53" i="3" s="1"/>
  <c r="AB53" i="3" s="1"/>
  <c r="BA106" i="3"/>
  <c r="AS106" i="3"/>
  <c r="AK106" i="3"/>
  <c r="X106" i="3" s="1"/>
  <c r="AB106" i="3" s="1"/>
  <c r="BA105" i="3"/>
  <c r="AS105" i="3"/>
  <c r="AK105" i="3"/>
  <c r="X105" i="3" s="1"/>
  <c r="AB105" i="3" s="1"/>
  <c r="BA104" i="3"/>
  <c r="AS104" i="3"/>
  <c r="AK104" i="3"/>
  <c r="X104" i="3" s="1"/>
  <c r="AB104" i="3" s="1"/>
  <c r="BA103" i="3"/>
  <c r="AS103" i="3"/>
  <c r="AK103" i="3"/>
  <c r="X103" i="3" s="1"/>
  <c r="AB103" i="3" s="1"/>
  <c r="BA101" i="3"/>
  <c r="AS101" i="3"/>
  <c r="AK101" i="3"/>
  <c r="X101" i="3" s="1"/>
  <c r="AB101" i="3" s="1"/>
  <c r="BA100" i="3"/>
  <c r="AS100" i="3"/>
  <c r="AK100" i="3"/>
  <c r="X100" i="3" s="1"/>
  <c r="AB100" i="3" s="1"/>
  <c r="BA52" i="3"/>
  <c r="AS52" i="3"/>
  <c r="AK52" i="3"/>
  <c r="X52" i="3" s="1"/>
  <c r="AB52" i="3" s="1"/>
  <c r="BA99" i="3"/>
  <c r="AS99" i="3"/>
  <c r="AK99" i="3"/>
  <c r="X99" i="3" s="1"/>
  <c r="AB99" i="3" s="1"/>
  <c r="BA51" i="3"/>
  <c r="AS51" i="3"/>
  <c r="AK51" i="3"/>
  <c r="X51" i="3" s="1"/>
  <c r="AB51" i="3" s="1"/>
  <c r="BA98" i="3"/>
  <c r="AS98" i="3"/>
  <c r="AK98" i="3"/>
  <c r="X98" i="3" s="1"/>
  <c r="AB98" i="3" s="1"/>
  <c r="BA97" i="3"/>
  <c r="AS97" i="3"/>
  <c r="AK97" i="3"/>
  <c r="X97" i="3" s="1"/>
  <c r="AB97" i="3" s="1"/>
  <c r="BA96" i="3"/>
  <c r="AS96" i="3"/>
  <c r="AK96" i="3"/>
  <c r="X96" i="3" s="1"/>
  <c r="AB96" i="3" s="1"/>
  <c r="BA50" i="3"/>
  <c r="AS50" i="3"/>
  <c r="AK50" i="3"/>
  <c r="X50" i="3" s="1"/>
  <c r="AB50" i="3" s="1"/>
  <c r="BA95" i="3"/>
  <c r="AS95" i="3"/>
  <c r="AK95" i="3"/>
  <c r="X95" i="3" s="1"/>
  <c r="AB95" i="3" s="1"/>
  <c r="BA94" i="3"/>
  <c r="AS94" i="3"/>
  <c r="AK94" i="3"/>
  <c r="X94" i="3" s="1"/>
  <c r="AB94" i="3" s="1"/>
  <c r="BA93" i="3"/>
  <c r="AS93" i="3"/>
  <c r="AK93" i="3"/>
  <c r="X93" i="3" s="1"/>
  <c r="AB93" i="3" s="1"/>
  <c r="BA92" i="3"/>
  <c r="AS92" i="3"/>
  <c r="AK92" i="3"/>
  <c r="X92" i="3" s="1"/>
  <c r="AB92" i="3" s="1"/>
  <c r="BA91" i="3"/>
  <c r="AS91" i="3"/>
  <c r="AK91" i="3"/>
  <c r="X91" i="3" s="1"/>
  <c r="AB91" i="3" s="1"/>
  <c r="BA89" i="3"/>
  <c r="AS89" i="3"/>
  <c r="AK89" i="3"/>
  <c r="X89" i="3" s="1"/>
  <c r="AB89" i="3" s="1"/>
  <c r="BA88" i="3"/>
  <c r="AS88" i="3"/>
  <c r="AK88" i="3"/>
  <c r="X88" i="3" s="1"/>
  <c r="AB88" i="3" s="1"/>
  <c r="BA87" i="3"/>
  <c r="AS87" i="3"/>
  <c r="AK87" i="3"/>
  <c r="X87" i="3" s="1"/>
  <c r="AB87" i="3" s="1"/>
  <c r="BA86" i="3"/>
  <c r="AS86" i="3"/>
  <c r="AK86" i="3"/>
  <c r="X86" i="3" s="1"/>
  <c r="AB86" i="3" s="1"/>
  <c r="BA49" i="3"/>
  <c r="AS49" i="3"/>
  <c r="AK49" i="3"/>
  <c r="X49" i="3" s="1"/>
  <c r="AB49" i="3" s="1"/>
  <c r="BA84" i="3"/>
  <c r="AS84" i="3"/>
  <c r="AK84" i="3"/>
  <c r="X84" i="3" s="1"/>
  <c r="AB84" i="3" s="1"/>
  <c r="BA48" i="3"/>
  <c r="AS48" i="3"/>
  <c r="AK48" i="3"/>
  <c r="X48" i="3" s="1"/>
  <c r="AB48" i="3" s="1"/>
  <c r="BA83" i="3"/>
  <c r="AS83" i="3"/>
  <c r="AK83" i="3"/>
  <c r="X83" i="3" s="1"/>
  <c r="AB83" i="3" s="1"/>
  <c r="BA47" i="3"/>
  <c r="AS47" i="3"/>
  <c r="AK47" i="3"/>
  <c r="X47" i="3" s="1"/>
  <c r="AB47" i="3" s="1"/>
  <c r="BA82" i="3"/>
  <c r="AS82" i="3"/>
  <c r="AK82" i="3"/>
  <c r="X82" i="3" s="1"/>
  <c r="AB82" i="3" s="1"/>
  <c r="BA81" i="3"/>
  <c r="AS81" i="3"/>
  <c r="AK81" i="3"/>
  <c r="X81" i="3" s="1"/>
  <c r="AB81" i="3" s="1"/>
  <c r="BA80" i="3"/>
  <c r="AS80" i="3"/>
  <c r="AK80" i="3"/>
  <c r="X80" i="3" s="1"/>
  <c r="AB80" i="3" s="1"/>
  <c r="BA79" i="3"/>
  <c r="AS79" i="3"/>
  <c r="AK79" i="3"/>
  <c r="X79" i="3" s="1"/>
  <c r="AB79" i="3" s="1"/>
  <c r="BA46" i="3"/>
  <c r="AS46" i="3"/>
  <c r="AK46" i="3"/>
  <c r="X46" i="3" s="1"/>
  <c r="AB46" i="3" s="1"/>
  <c r="BA77" i="3"/>
  <c r="AS77" i="3"/>
  <c r="AK77" i="3"/>
  <c r="X77" i="3" s="1"/>
  <c r="AB77" i="3" s="1"/>
  <c r="BA76" i="3"/>
  <c r="AS76" i="3"/>
  <c r="AK76" i="3"/>
  <c r="X76" i="3" s="1"/>
  <c r="AB76" i="3" s="1"/>
  <c r="BA75" i="3"/>
  <c r="AS75" i="3"/>
  <c r="AK75" i="3"/>
  <c r="X75" i="3" s="1"/>
  <c r="AB75" i="3" s="1"/>
  <c r="BA44" i="3"/>
  <c r="AS44" i="3"/>
  <c r="AK44" i="3"/>
  <c r="X44" i="3" s="1"/>
  <c r="AB44" i="3" s="1"/>
  <c r="BA74" i="3"/>
  <c r="AS74" i="3"/>
  <c r="AK74" i="3"/>
  <c r="X74" i="3" s="1"/>
  <c r="AB74" i="3" s="1"/>
  <c r="BA72" i="3"/>
  <c r="AS72" i="3"/>
  <c r="AK72" i="3"/>
  <c r="X72" i="3" s="1"/>
  <c r="AB72" i="3" s="1"/>
  <c r="BA71" i="3"/>
  <c r="AS71" i="3"/>
  <c r="AK71" i="3"/>
  <c r="X71" i="3" s="1"/>
  <c r="AB71" i="3" s="1"/>
  <c r="BA70" i="3"/>
  <c r="AS70" i="3"/>
  <c r="AK70" i="3"/>
  <c r="X70" i="3" s="1"/>
  <c r="AB70" i="3" s="1"/>
  <c r="BA899" i="3"/>
  <c r="AS899" i="3"/>
  <c r="AK899" i="3"/>
  <c r="X899" i="3" s="1"/>
  <c r="AB899" i="3" s="1"/>
  <c r="BA890" i="3"/>
  <c r="AS890" i="3"/>
  <c r="AK890" i="3"/>
  <c r="X890" i="3" s="1"/>
  <c r="AB890" i="3" s="1"/>
  <c r="BA867" i="3"/>
  <c r="AS867" i="3"/>
  <c r="AK867" i="3"/>
  <c r="X867" i="3" s="1"/>
  <c r="AB867" i="3" s="1"/>
  <c r="BA858" i="3"/>
  <c r="AS858" i="3"/>
  <c r="AK858" i="3"/>
  <c r="X858" i="3" s="1"/>
  <c r="AB858" i="3" s="1"/>
  <c r="BA856" i="3"/>
  <c r="AS856" i="3"/>
  <c r="AK856" i="3"/>
  <c r="X856" i="3" s="1"/>
  <c r="AB856" i="3" s="1"/>
  <c r="BA855" i="3"/>
  <c r="AS855" i="3"/>
  <c r="AK855" i="3"/>
  <c r="X855" i="3" s="1"/>
  <c r="AB855" i="3" s="1"/>
  <c r="BA844" i="3"/>
  <c r="AS844" i="3"/>
  <c r="AK844" i="3"/>
  <c r="X844" i="3" s="1"/>
  <c r="AB844" i="3" s="1"/>
  <c r="BA842" i="3"/>
  <c r="AS842" i="3"/>
  <c r="AK842" i="3"/>
  <c r="X842" i="3" s="1"/>
  <c r="AB842" i="3" s="1"/>
  <c r="BA836" i="3"/>
  <c r="AS836" i="3"/>
  <c r="AK836" i="3"/>
  <c r="X836" i="3" s="1"/>
  <c r="AB836" i="3" s="1"/>
  <c r="BA829" i="3"/>
  <c r="AS829" i="3"/>
  <c r="AK829" i="3"/>
  <c r="X829" i="3" s="1"/>
  <c r="AB829" i="3" s="1"/>
  <c r="BA827" i="3"/>
  <c r="AS827" i="3"/>
  <c r="AK827" i="3"/>
  <c r="X827" i="3" s="1"/>
  <c r="AB827" i="3" s="1"/>
  <c r="BA823" i="3"/>
  <c r="AS823" i="3"/>
  <c r="AK823" i="3"/>
  <c r="X823" i="3" s="1"/>
  <c r="AB823" i="3" s="1"/>
  <c r="BA817" i="3"/>
  <c r="AS817" i="3"/>
  <c r="AK817" i="3"/>
  <c r="X817" i="3" s="1"/>
  <c r="AB817" i="3" s="1"/>
  <c r="BA815" i="3"/>
  <c r="AS815" i="3"/>
  <c r="AK815" i="3"/>
  <c r="X815" i="3" s="1"/>
  <c r="AB815" i="3" s="1"/>
  <c r="BA810" i="3"/>
  <c r="AS810" i="3"/>
  <c r="AK810" i="3"/>
  <c r="X810" i="3" s="1"/>
  <c r="AB810" i="3" s="1"/>
  <c r="BA804" i="3"/>
  <c r="AS804" i="3"/>
  <c r="AK804" i="3"/>
  <c r="X804" i="3" s="1"/>
  <c r="AB804" i="3" s="1"/>
  <c r="BA796" i="3"/>
  <c r="AS796" i="3"/>
  <c r="AK796" i="3"/>
  <c r="X796" i="3" s="1"/>
  <c r="AB796" i="3" s="1"/>
  <c r="BA793" i="3"/>
  <c r="AS793" i="3"/>
  <c r="AK793" i="3"/>
  <c r="X793" i="3" s="1"/>
  <c r="AB793" i="3" s="1"/>
  <c r="BA773" i="3"/>
  <c r="AS773" i="3"/>
  <c r="AK773" i="3"/>
  <c r="X773" i="3" s="1"/>
  <c r="AB773" i="3" s="1"/>
  <c r="BA756" i="3"/>
  <c r="AS756" i="3"/>
  <c r="AK756" i="3"/>
  <c r="X756" i="3" s="1"/>
  <c r="AB756" i="3" s="1"/>
  <c r="BA752" i="3"/>
  <c r="AS752" i="3"/>
  <c r="AK752" i="3"/>
  <c r="X752" i="3" s="1"/>
  <c r="AB752" i="3" s="1"/>
  <c r="BA734" i="3"/>
  <c r="AS734" i="3"/>
  <c r="AK734" i="3"/>
  <c r="X734" i="3" s="1"/>
  <c r="AB734" i="3" s="1"/>
  <c r="BA732" i="3"/>
  <c r="AS732" i="3"/>
  <c r="AK732" i="3"/>
  <c r="X732" i="3" s="1"/>
  <c r="AB732" i="3" s="1"/>
  <c r="BA518" i="3"/>
  <c r="AS518" i="3"/>
  <c r="AK518" i="3"/>
  <c r="X518" i="3" s="1"/>
  <c r="AB518" i="3" s="1"/>
  <c r="BA509" i="3"/>
  <c r="AS509" i="3"/>
  <c r="AK509" i="3"/>
  <c r="X509" i="3" s="1"/>
  <c r="AB509" i="3" s="1"/>
  <c r="BA468" i="3"/>
  <c r="AS468" i="3"/>
  <c r="AK468" i="3"/>
  <c r="X468" i="3" s="1"/>
  <c r="AB468" i="3" s="1"/>
  <c r="BA464" i="3"/>
  <c r="AS464" i="3"/>
  <c r="AK464" i="3"/>
  <c r="X464" i="3" s="1"/>
  <c r="AB464" i="3" s="1"/>
  <c r="BA459" i="3"/>
  <c r="AS459" i="3"/>
  <c r="AK459" i="3"/>
  <c r="X459" i="3" s="1"/>
  <c r="AB459" i="3" s="1"/>
  <c r="BA457" i="3"/>
  <c r="AS457" i="3"/>
  <c r="AK457" i="3"/>
  <c r="X457" i="3" s="1"/>
  <c r="AB457" i="3" s="1"/>
  <c r="BA445" i="3"/>
  <c r="AS445" i="3"/>
  <c r="AK445" i="3"/>
  <c r="X445" i="3" s="1"/>
  <c r="AB445" i="3" s="1"/>
  <c r="BA436" i="3"/>
  <c r="AS436" i="3"/>
  <c r="AK436" i="3"/>
  <c r="X436" i="3" s="1"/>
  <c r="AB436" i="3" s="1"/>
  <c r="BA435" i="3"/>
  <c r="AS435" i="3"/>
  <c r="AK435" i="3"/>
  <c r="X435" i="3" s="1"/>
  <c r="AB435" i="3" s="1"/>
  <c r="BA399" i="3"/>
  <c r="AS399" i="3"/>
  <c r="AK399" i="3"/>
  <c r="X399" i="3" s="1"/>
  <c r="AB399" i="3" s="1"/>
  <c r="BA379" i="3"/>
  <c r="AS379" i="3"/>
  <c r="AK379" i="3"/>
  <c r="X379" i="3" s="1"/>
  <c r="AB379" i="3" s="1"/>
  <c r="BA367" i="3"/>
  <c r="AS367" i="3"/>
  <c r="AK367" i="3"/>
  <c r="X367" i="3" s="1"/>
  <c r="AB367" i="3" s="1"/>
  <c r="BA353" i="3"/>
  <c r="AS353" i="3"/>
  <c r="AK353" i="3"/>
  <c r="X353" i="3" s="1"/>
  <c r="AB353" i="3" s="1"/>
  <c r="BA328" i="3"/>
  <c r="AS328" i="3"/>
  <c r="AK328" i="3"/>
  <c r="X328" i="3" s="1"/>
  <c r="AB328" i="3" s="1"/>
  <c r="BA203" i="3"/>
  <c r="AS203" i="3"/>
  <c r="AK203" i="3"/>
  <c r="X203" i="3" s="1"/>
  <c r="AB203" i="3" s="1"/>
  <c r="BA195" i="3"/>
  <c r="AS195" i="3"/>
  <c r="AK195" i="3"/>
  <c r="X195" i="3" s="1"/>
  <c r="AB195" i="3" s="1"/>
  <c r="BA184" i="3"/>
  <c r="AS184" i="3"/>
  <c r="AK184" i="3"/>
  <c r="X184" i="3" s="1"/>
  <c r="AB184" i="3" s="1"/>
  <c r="BA182" i="3"/>
  <c r="AS182" i="3"/>
  <c r="AK182" i="3"/>
  <c r="X182" i="3" s="1"/>
  <c r="AB182" i="3" s="1"/>
  <c r="BA181" i="3"/>
  <c r="AS181" i="3"/>
  <c r="AK181" i="3"/>
  <c r="X181" i="3" s="1"/>
  <c r="AB181" i="3" s="1"/>
  <c r="BA169" i="3"/>
  <c r="AS169" i="3"/>
  <c r="AK169" i="3"/>
  <c r="X169" i="3" s="1"/>
  <c r="AB169" i="3" s="1"/>
  <c r="BA142" i="3"/>
  <c r="AS142" i="3"/>
  <c r="AK142" i="3"/>
  <c r="X142" i="3" s="1"/>
  <c r="AB142" i="3" s="1"/>
  <c r="BA139" i="3"/>
  <c r="AS139" i="3"/>
  <c r="AK139" i="3"/>
  <c r="X139" i="3" s="1"/>
  <c r="AB139" i="3" s="1"/>
  <c r="BA131" i="3"/>
  <c r="AS131" i="3"/>
  <c r="AK131" i="3"/>
  <c r="X131" i="3" s="1"/>
  <c r="AB131" i="3" s="1"/>
  <c r="BA64" i="3"/>
  <c r="AS64" i="3"/>
  <c r="AK64" i="3"/>
  <c r="X64" i="3" s="1"/>
  <c r="AB64" i="3" s="1"/>
  <c r="BA60" i="3"/>
  <c r="AS60" i="3"/>
  <c r="AK60" i="3"/>
  <c r="X60" i="3" s="1"/>
  <c r="AB60" i="3" s="1"/>
  <c r="BA57" i="3"/>
  <c r="AS57" i="3"/>
  <c r="AK57" i="3"/>
  <c r="X57" i="3" s="1"/>
  <c r="AB57" i="3" s="1"/>
  <c r="BA108" i="3"/>
  <c r="AS108" i="3"/>
  <c r="AK108" i="3"/>
  <c r="X108" i="3" s="1"/>
  <c r="AB108" i="3" s="1"/>
  <c r="BA90" i="3"/>
  <c r="AS90" i="3"/>
  <c r="AK90" i="3"/>
  <c r="X90" i="3" s="1"/>
  <c r="AB90" i="3" s="1"/>
  <c r="BA85" i="3"/>
  <c r="AS85" i="3"/>
  <c r="AK85" i="3"/>
  <c r="X85" i="3" s="1"/>
  <c r="AB85" i="3" s="1"/>
  <c r="BA78" i="3"/>
  <c r="AS78" i="3"/>
  <c r="AK78" i="3"/>
  <c r="X78" i="3" s="1"/>
  <c r="AB78" i="3" s="1"/>
  <c r="BA45" i="3"/>
  <c r="AS45" i="3"/>
  <c r="AK45" i="3"/>
  <c r="X45" i="3" s="1"/>
  <c r="AB45" i="3" s="1"/>
  <c r="BA73" i="3"/>
  <c r="AS73" i="3"/>
  <c r="AK73" i="3"/>
  <c r="X73" i="3" s="1"/>
  <c r="AB73" i="3" s="1"/>
  <c r="BA889" i="3"/>
  <c r="AS889" i="3"/>
  <c r="AK889" i="3"/>
  <c r="X889" i="3" s="1"/>
  <c r="AB889" i="3" s="1"/>
  <c r="BA861" i="3"/>
  <c r="AS861" i="3"/>
  <c r="AK861" i="3"/>
  <c r="X861" i="3" s="1"/>
  <c r="AB861" i="3" s="1"/>
  <c r="BA821" i="3"/>
  <c r="AS821" i="3"/>
  <c r="AK821" i="3"/>
  <c r="X821" i="3" s="1"/>
  <c r="AB821" i="3" s="1"/>
  <c r="BA819" i="3"/>
  <c r="AS819" i="3"/>
  <c r="AK819" i="3"/>
  <c r="X819" i="3" s="1"/>
  <c r="AB819" i="3" s="1"/>
  <c r="BA782" i="3"/>
  <c r="AS782" i="3"/>
  <c r="AK782" i="3"/>
  <c r="X782" i="3" s="1"/>
  <c r="AB782" i="3" s="1"/>
  <c r="BA512" i="3"/>
  <c r="AS512" i="3"/>
  <c r="AK512" i="3"/>
  <c r="X512" i="3" s="1"/>
  <c r="AB512" i="3" s="1"/>
  <c r="BA368" i="3"/>
  <c r="AS368" i="3"/>
  <c r="AK368" i="3"/>
  <c r="X368" i="3" s="1"/>
  <c r="AB368" i="3" s="1"/>
  <c r="BA402" i="3"/>
  <c r="AS402" i="3"/>
  <c r="AK402" i="3"/>
  <c r="X402" i="3" s="1"/>
  <c r="AB402" i="3" s="1"/>
  <c r="BA391" i="3"/>
  <c r="AS391" i="3"/>
  <c r="AK391" i="3"/>
  <c r="X391" i="3" s="1"/>
  <c r="AB391" i="3" s="1"/>
  <c r="BA340" i="3"/>
  <c r="AS340" i="3"/>
  <c r="AK340" i="3"/>
  <c r="X340" i="3" s="1"/>
  <c r="AB340" i="3" s="1"/>
  <c r="BA339" i="3"/>
  <c r="AS339" i="3"/>
  <c r="AK339" i="3"/>
  <c r="X339" i="3" s="1"/>
  <c r="AB339" i="3" s="1"/>
  <c r="BA338" i="3"/>
  <c r="AS338" i="3"/>
  <c r="AK338" i="3"/>
  <c r="X338" i="3" s="1"/>
  <c r="AB338" i="3" s="1"/>
  <c r="BA333" i="3"/>
  <c r="AS333" i="3"/>
  <c r="AK333" i="3"/>
  <c r="X333" i="3" s="1"/>
  <c r="AB333" i="3" s="1"/>
  <c r="BA211" i="3"/>
  <c r="AS211" i="3"/>
  <c r="AK211" i="3"/>
  <c r="X211" i="3" s="1"/>
  <c r="AB211" i="3" s="1"/>
  <c r="BA188" i="3"/>
  <c r="AS188" i="3"/>
  <c r="AK188" i="3"/>
  <c r="X188" i="3" s="1"/>
  <c r="AB188" i="3" s="1"/>
  <c r="BA183" i="3"/>
  <c r="AS183" i="3"/>
  <c r="AK183" i="3"/>
  <c r="X183" i="3" s="1"/>
  <c r="AB183" i="3" s="1"/>
  <c r="BA171" i="3"/>
  <c r="AS171" i="3"/>
  <c r="AK171" i="3"/>
  <c r="X171" i="3" s="1"/>
  <c r="AB171" i="3" s="1"/>
  <c r="BA56" i="3"/>
  <c r="AS56" i="3"/>
  <c r="AK56" i="3"/>
  <c r="X56" i="3" s="1"/>
  <c r="AB56" i="3" s="1"/>
  <c r="BA875" i="3"/>
  <c r="AS875" i="3"/>
  <c r="AK875" i="3"/>
  <c r="X875" i="3" s="1"/>
  <c r="AB875" i="3" s="1"/>
  <c r="BA848" i="3"/>
  <c r="AS848" i="3"/>
  <c r="AK848" i="3"/>
  <c r="X848" i="3" s="1"/>
  <c r="AB848" i="3" s="1"/>
  <c r="BA802" i="3"/>
  <c r="AS802" i="3"/>
  <c r="AK802" i="3"/>
  <c r="X802" i="3" s="1"/>
  <c r="AB802" i="3" s="1"/>
  <c r="BA488" i="3"/>
  <c r="AS488" i="3"/>
  <c r="AK488" i="3"/>
  <c r="X488" i="3" s="1"/>
  <c r="AB488" i="3" s="1"/>
  <c r="BA447" i="3"/>
  <c r="AS447" i="3"/>
  <c r="AK447" i="3"/>
  <c r="X447" i="3" s="1"/>
  <c r="AB447" i="3" s="1"/>
  <c r="BA196" i="3"/>
  <c r="AS196" i="3"/>
  <c r="AK196" i="3"/>
  <c r="X196" i="3" s="1"/>
  <c r="AB196" i="3" s="1"/>
  <c r="BA167" i="3"/>
  <c r="AS167" i="3"/>
  <c r="AK167" i="3"/>
  <c r="X167" i="3" s="1"/>
  <c r="AB167" i="3" s="1"/>
  <c r="BA130" i="3"/>
  <c r="AS130" i="3"/>
  <c r="AK130" i="3"/>
  <c r="X130" i="3" s="1"/>
  <c r="AB130" i="3" s="1"/>
  <c r="BA113" i="3"/>
  <c r="AS113" i="3"/>
  <c r="AK113" i="3"/>
  <c r="X113" i="3" s="1"/>
  <c r="AB113" i="3" s="1"/>
  <c r="BA102" i="3"/>
  <c r="AS102" i="3"/>
  <c r="AK102" i="3"/>
  <c r="X102" i="3" s="1"/>
  <c r="AB102" i="3" s="1"/>
  <c r="BA41" i="3"/>
  <c r="AS41" i="3"/>
  <c r="AK41" i="3"/>
  <c r="X41" i="3" s="1"/>
  <c r="BA371" i="3"/>
  <c r="AS371" i="3"/>
  <c r="AK371" i="3"/>
  <c r="X371" i="3" s="1"/>
  <c r="AB371" i="3" s="1"/>
  <c r="AA3" i="3"/>
  <c r="Z3" i="3"/>
  <c r="W3" i="3"/>
  <c r="AZ2" i="3"/>
  <c r="AZ1" i="3" s="1"/>
  <c r="AY2" i="3"/>
  <c r="AY1" i="3" s="1"/>
  <c r="AX2" i="3"/>
  <c r="AX1" i="3" s="1"/>
  <c r="AW2" i="3"/>
  <c r="AW1" i="3" s="1"/>
  <c r="AV2" i="3"/>
  <c r="AV1" i="3" s="1"/>
  <c r="AU2" i="3"/>
  <c r="AU1" i="3" s="1"/>
  <c r="AT2" i="3"/>
  <c r="AT1" i="3" s="1"/>
  <c r="AR2" i="3"/>
  <c r="AR1" i="3" s="1"/>
  <c r="AQ2" i="3"/>
  <c r="AQ1" i="3" s="1"/>
  <c r="AP2" i="3"/>
  <c r="AP1" i="3" s="1"/>
  <c r="AO2" i="3"/>
  <c r="AO1" i="3" s="1"/>
  <c r="AN2" i="3"/>
  <c r="AN1" i="3" s="1"/>
  <c r="AM2" i="3"/>
  <c r="AM1" i="3" s="1"/>
  <c r="AL2" i="3"/>
  <c r="AL1" i="3" s="1"/>
  <c r="AS3" i="3" l="1"/>
  <c r="AB41" i="3"/>
  <c r="X3" i="3"/>
  <c r="AK3" i="3"/>
  <c r="BA3" i="3"/>
  <c r="W2" i="3" l="1"/>
</calcChain>
</file>

<file path=xl/sharedStrings.xml><?xml version="1.0" encoding="utf-8"?>
<sst xmlns="http://schemas.openxmlformats.org/spreadsheetml/2006/main" count="9014" uniqueCount="3931">
  <si>
    <t>Buy</t>
  </si>
  <si>
    <t>Target</t>
  </si>
  <si>
    <t>Deck</t>
  </si>
  <si>
    <t>Bench</t>
  </si>
  <si>
    <t>Play</t>
  </si>
  <si>
    <t>Collect</t>
  </si>
  <si>
    <t>Actual</t>
  </si>
  <si>
    <t>Comments</t>
  </si>
  <si>
    <t>Card</t>
  </si>
  <si>
    <t>Color</t>
  </si>
  <si>
    <t>Bracket</t>
  </si>
  <si>
    <t>Type</t>
  </si>
  <si>
    <t>Sub-Type</t>
  </si>
  <si>
    <t>MV</t>
  </si>
  <si>
    <t>Description</t>
  </si>
  <si>
    <t>Primary Purpose</t>
  </si>
  <si>
    <t>Primary Mechanic</t>
  </si>
  <si>
    <t>Secondary Mechanic</t>
  </si>
  <si>
    <t>Tertiary Mechanic</t>
  </si>
  <si>
    <t>Collector #</t>
  </si>
  <si>
    <t>Quantity</t>
  </si>
  <si>
    <t>Foil</t>
  </si>
  <si>
    <t>Artist</t>
  </si>
  <si>
    <t>Value</t>
  </si>
  <si>
    <t>Collector # Card Type 2</t>
  </si>
  <si>
    <t>Quantity Card Type 2</t>
  </si>
  <si>
    <t>Foil Card Type 2</t>
  </si>
  <si>
    <t>Artist Card Type 2</t>
  </si>
  <si>
    <t>Series</t>
  </si>
  <si>
    <t>Own</t>
  </si>
  <si>
    <t>Buy Count</t>
  </si>
  <si>
    <t>In Cart</t>
  </si>
  <si>
    <t>Ordered</t>
  </si>
  <si>
    <t>$ Each</t>
  </si>
  <si>
    <t>$ To Buy</t>
  </si>
  <si>
    <t>D1-Buy</t>
  </si>
  <si>
    <t>D2-Buy</t>
  </si>
  <si>
    <t>D3-Buy</t>
  </si>
  <si>
    <t>D4-Buy</t>
  </si>
  <si>
    <t>D5-Buy</t>
  </si>
  <si>
    <t>D6-Buy</t>
  </si>
  <si>
    <t>D7-Buy</t>
  </si>
  <si>
    <t>GC Cart</t>
  </si>
  <si>
    <t>Target Qty</t>
  </si>
  <si>
    <t>D1-T</t>
  </si>
  <si>
    <t>D2-T</t>
  </si>
  <si>
    <t>D3-T</t>
  </si>
  <si>
    <t>D4-T</t>
  </si>
  <si>
    <t>D5-T</t>
  </si>
  <si>
    <t>D6-T</t>
  </si>
  <si>
    <t>D7-T</t>
  </si>
  <si>
    <t>In Deck</t>
  </si>
  <si>
    <t>D1-A</t>
  </si>
  <si>
    <t>D2-A</t>
  </si>
  <si>
    <t>D3-A</t>
  </si>
  <si>
    <t>D4-A</t>
  </si>
  <si>
    <t>D5-A</t>
  </si>
  <si>
    <t>D6-A</t>
  </si>
  <si>
    <t>D7-A</t>
  </si>
  <si>
    <t>In Bench</t>
  </si>
  <si>
    <t>Notes</t>
  </si>
  <si>
    <t>Moves</t>
  </si>
  <si>
    <t>Order Notes</t>
  </si>
  <si>
    <t>Plains</t>
  </si>
  <si>
    <t>L</t>
  </si>
  <si>
    <t>B2</t>
  </si>
  <si>
    <t>Basic Land</t>
  </si>
  <si>
    <t>({T}: Add {W}.)</t>
  </si>
  <si>
    <t>Land</t>
  </si>
  <si>
    <t>Taps for {W}</t>
  </si>
  <si>
    <t>Limited Edition Alpha</t>
  </si>
  <si>
    <t>Swamp</t>
  </si>
  <si>
    <t>({T}: Add {B}.)</t>
  </si>
  <si>
    <t>Taps for {B}</t>
  </si>
  <si>
    <t>Lethal Scheme</t>
  </si>
  <si>
    <t>B</t>
  </si>
  <si>
    <t>Instant</t>
  </si>
  <si>
    <t>Convoke (Your creatures can help cast this spell. Each creature you tap while casting this spell pays for {1} or one mana of that creature's color.)
Destroy target creature or planeswalker. Each creature that convoked this spell connives. (Draw a card, then discard a card. If you discarded a nonland card, put a +1/+1 counter on that creature.)</t>
  </si>
  <si>
    <t>Removal</t>
  </si>
  <si>
    <t>Destroys target creature or planeswalker</t>
  </si>
  <si>
    <t>Convoking creatures connive (draw then discard, maybe +1/+1 counter)</t>
  </si>
  <si>
    <t>New Capenna Commander</t>
  </si>
  <si>
    <t>Pitiless Plunderer</t>
  </si>
  <si>
    <t>B3</t>
  </si>
  <si>
    <t>Creature</t>
  </si>
  <si>
    <t>Human Pirate</t>
  </si>
  <si>
    <t>Whenever another creature you control dies, create a Treasure token. (It's an artifact with "{T}, Sacrifice this token: Add one mana of any color.")
(1/4)</t>
  </si>
  <si>
    <t>B3 (Max) add</t>
  </si>
  <si>
    <t xml:space="preserve">Whenever another creature you control dies, create a Treasure token. (It's an artifact with "{T}, Sacrifice this token: </t>
  </si>
  <si>
    <t>Rivals of Ixalan</t>
  </si>
  <si>
    <t>Village Rites</t>
  </si>
  <si>
    <t>As an additional cost to cast this spell, sacrifice a creature.
Draw two cards.</t>
  </si>
  <si>
    <t>Sacrifice Outlet</t>
  </si>
  <si>
    <t>Sacrifice a creature to draw two cards</t>
  </si>
  <si>
    <t>Core Set 2021</t>
  </si>
  <si>
    <t>Filigree Familiar</t>
  </si>
  <si>
    <t>C</t>
  </si>
  <si>
    <t>Artifact Creature</t>
  </si>
  <si>
    <t>Fox</t>
  </si>
  <si>
    <t>When this creature enters, you gain 2 life.
When this creature dies, draw a card.
(2/2)</t>
  </si>
  <si>
    <t>Value Engine</t>
  </si>
  <si>
    <t>Gain 2 life when it enters</t>
  </si>
  <si>
    <t>Draws a card when it dies</t>
  </si>
  <si>
    <t>Kaladesh</t>
  </si>
  <si>
    <t>Smuggler's Copter</t>
  </si>
  <si>
    <t>Artifact</t>
  </si>
  <si>
    <t>Vehicle</t>
  </si>
  <si>
    <t>Flying
Whenever this Vehicle attacks or blocks, you may draw a card. If you do, discard a card.
Crew 1 (Tap any number of creatures you control with total power 1 or more: This Vehicle becomes an artifact creature until end of turn.)
(3/3)</t>
  </si>
  <si>
    <t>Discard/Looting</t>
  </si>
  <si>
    <t>Draws then discards a card when it attacks or blocks</t>
  </si>
  <si>
    <t>Crews for 1 power to become a creature until end of turn</t>
  </si>
  <si>
    <t>Emptiness</t>
  </si>
  <si>
    <t>Multi</t>
  </si>
  <si>
    <t>Elemental Incarnation</t>
  </si>
  <si>
    <t>When this creature enters, if {W}{W} was spent to cast it, return target creature card with mana value 3 or less from your graveyard to the battlefield.
When this creature enters, if {B}{B} was spent to cast it, put three -1/-1 counters on up to one target creature.
Evoke {W/B}{W/B}
(3/5)</t>
  </si>
  <si>
    <t>Recursion</t>
  </si>
  <si>
    <t>Enters: if {W}{W} was spent, return a creature card with mana value 3 or less from your graveyard to the battlefield</t>
  </si>
  <si>
    <t>Enters: if {B}{B} was spent, put three -1/-1 counters on up to one target creature</t>
  </si>
  <si>
    <t>Evoke {W/B}{W/B}: cast it cheaply by sacrificing it as it enters</t>
  </si>
  <si>
    <t>Lorwyn Eclipsed</t>
  </si>
  <si>
    <t>Prideful Feastling</t>
  </si>
  <si>
    <t>Shapeshifter</t>
  </si>
  <si>
    <t>Changeling (This card is every creature type.)
Lifelink
(2/3)</t>
  </si>
  <si>
    <t>Lifegain</t>
  </si>
  <si>
    <t>Is every creature type</t>
  </si>
  <si>
    <t>Gains you life equal to damage it deals</t>
  </si>
  <si>
    <t>Keeper of the Accord</t>
  </si>
  <si>
    <t>W</t>
  </si>
  <si>
    <t>Human Soldier</t>
  </si>
  <si>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
(3/4)</t>
  </si>
  <si>
    <t>Each opponent's end step: if they have more creatures, create a 1/1 Soldier token</t>
  </si>
  <si>
    <t>Each opponent's end step: if they have more lands, may search for a Plains onto the battlefield tapped</t>
  </si>
  <si>
    <t>Commander Legends</t>
  </si>
  <si>
    <t>Sevinne's Reclamation</t>
  </si>
  <si>
    <t>Sorcery</t>
  </si>
  <si>
    <t>Return target permanent card with mana value 3 or less from your graveyard to the battlefield. If this spell was cast from a graveyard, you may copy this spell and may choose a new target for the copy.
Flashback {4}{W} (You may cast this card from your graveyard for its flashback cost. Then exile it.)</t>
  </si>
  <si>
    <t>Returns a MV 3 or less permanent from graveyard to battlefield</t>
  </si>
  <si>
    <t>If cast from graveyard, copy the spell with a new target</t>
  </si>
  <si>
    <t>Flashback lets you cast it from graveyard</t>
  </si>
  <si>
    <t>Commander 2019</t>
  </si>
  <si>
    <t>Tithe Taker</t>
  </si>
  <si>
    <t>During your turn, spells your opponents cast cost {1} more to cast and abilities your opponents activate cost {1} more to activate unless they're mana abilities.
Afterlife 1 (When this creature dies, create a 1/1 white and black Spirit creature token with flying.)
(2/1)</t>
  </si>
  <si>
    <t>Stax/Tax</t>
  </si>
  <si>
    <t>Your opponents' spells and abilities cost {1} more on your turn</t>
  </si>
  <si>
    <t>Creates a 1/1 flying Spirit token when it dies</t>
  </si>
  <si>
    <t>Ravnica Allegiance</t>
  </si>
  <si>
    <t>Nightmare Sower</t>
  </si>
  <si>
    <t>Faerie Assassin</t>
  </si>
  <si>
    <t>Flying, lifelink
Whenever you cast a spell during an opponent's turn, put a -1/-1 counter on up to one target creature.
(2/3)</t>
  </si>
  <si>
    <t>Puts a -1/-1 counter on up to one target creature whenever you cast a spell during an opponent's turn</t>
  </si>
  <si>
    <t>Goldvein Pick</t>
  </si>
  <si>
    <t>Equipment</t>
  </si>
  <si>
    <t>Equipped creature gets +1/+1.
Whenever equipped creature deals combat damage to a player, create a Treasure token. (It's an artifact with "{T}, Sacrifice this token: Add one mana of any color.")
Equip {1} ({1}: Attach to target creature you control. Equip only as a sorcery.)</t>
  </si>
  <si>
    <t>Token Producer</t>
  </si>
  <si>
    <t>Equipped creature gets +1/+1</t>
  </si>
  <si>
    <t>Creates a Treasure token when equipped creature deals combat damage to a player</t>
  </si>
  <si>
    <t>239/285 C</t>
  </si>
  <si>
    <t>Dan Scott</t>
  </si>
  <si>
    <t>Kaldheim</t>
  </si>
  <si>
    <t>Old Thrush</t>
  </si>
  <si>
    <t>Bird</t>
  </si>
  <si>
    <t>Flying
When this creature enters, you gain 2 life. You may search your library for a basic land card, reveal it, then shuffle and put that card on top.
(1/2)</t>
  </si>
  <si>
    <t>Card Selection</t>
  </si>
  <si>
    <t>Enters: you gain 2 life and may search your library for a basic land card to put on top</t>
  </si>
  <si>
    <t>Flying</t>
  </si>
  <si>
    <t>C 0002</t>
  </si>
  <si>
    <t>Francisco Miyara</t>
  </si>
  <si>
    <t>The Hobbit</t>
  </si>
  <si>
    <t>BL0075</t>
  </si>
  <si>
    <t>Pilgrim's Eye</t>
  </si>
  <si>
    <t>Thopter</t>
  </si>
  <si>
    <t>Flying
When this creature enters, you may search your library for a basic land card, reveal it, put it into your hand, then shuffle.
(1/1)</t>
  </si>
  <si>
    <t>Ramp</t>
  </si>
  <si>
    <t>2/2 body that can block fliers</t>
  </si>
  <si>
    <t>Enters: search library for a basic land, put it into hand</t>
  </si>
  <si>
    <t>Worldwake</t>
  </si>
  <si>
    <t>BL0007</t>
  </si>
  <si>
    <t>Ultima, Origin of Oblivion</t>
  </si>
  <si>
    <t>Legendary Creature</t>
  </si>
  <si>
    <t>God</t>
  </si>
  <si>
    <t>Flying
Whenever Ultima attacks, put a blight counter on target land. For as long as that land has a blight counter on it, it loses all land types and abilities and has "{T}: Add {C}."
Whenever you tap a land for {C}, add an additional {C}.
(4/4)</t>
  </si>
  <si>
    <t>Flying body</t>
  </si>
  <si>
    <t>Attacking corrupts target land into a colorless-only land</t>
  </si>
  <si>
    <t>Tapping a land for {C} produces an additional {C}</t>
  </si>
  <si>
    <t>R 0002</t>
  </si>
  <si>
    <t>Russell Lu</t>
  </si>
  <si>
    <t>Final Fantasy</t>
  </si>
  <si>
    <t>BL0064</t>
  </si>
  <si>
    <t>Concealed Courtyard</t>
  </si>
  <si>
    <t>This land enters tapped unless you control two or fewer other lands.
{T}: Add {W} or {B}.</t>
  </si>
  <si>
    <t>Taps for {W} or {B}</t>
  </si>
  <si>
    <t>Enters tapped unless you control two or fewer other lands</t>
  </si>
  <si>
    <t>ORDERED 2026-09-11 $2.50</t>
  </si>
  <si>
    <t>Evolving Wilds</t>
  </si>
  <si>
    <t>{T}, Sacrifice this land: Search your library for a basic land card, put it onto the battlefield tapped, then shuffle.</t>
  </si>
  <si>
    <t>Sacrifice, search a basic land, put it into play tapped</t>
  </si>
  <si>
    <t>Rise of the Eldrazi</t>
  </si>
  <si>
    <t>Exotic Orchard</t>
  </si>
  <si>
    <t>{T}: Add one mana of any color that a land an opponent controls could produce.</t>
  </si>
  <si>
    <t>Taps for one mana of any color an opponent's land could produce</t>
  </si>
  <si>
    <t>Conflux</t>
  </si>
  <si>
    <t>Fabled Passage</t>
  </si>
  <si>
    <t>{T}, Sacrifice this land: Search your library for a basic land card, put it onto the battlefield tapped, then shuffle. Then if you control four or more lands, untap that land.</t>
  </si>
  <si>
    <t>Untaps that land if you control 4+ lands</t>
  </si>
  <si>
    <t>Throne of Eldraine</t>
  </si>
  <si>
    <t>Temple of Silence</t>
  </si>
  <si>
    <t>This land enters tapped.
When this land enters, scry 1. (Look at the top card of your library. You may put that card on the bottom.)
{T}: Add {W} or {B}.</t>
  </si>
  <si>
    <t>Enters tapped; scry 1 when it enters</t>
  </si>
  <si>
    <t>Theros</t>
  </si>
  <si>
    <t>Abigale, Eloquent First-Year</t>
  </si>
  <si>
    <t>Bird Bard</t>
  </si>
  <si>
    <t>Flying, first strike, lifelink
When Abigale enters, up to one other target creature loses all abilities. Put a flying counter, a first strike counter, and a lifelink counter on that creature.
(1/1)</t>
  </si>
  <si>
    <t>Up to one target creature loses all abilities and gains a flying, first strike, and lifelink counter when Abigale enters</t>
  </si>
  <si>
    <t>Orzhov Guildgate</t>
  </si>
  <si>
    <t>Gate</t>
  </si>
  <si>
    <t>This land enters tapped.
{T}: Add {W} or {B}.</t>
  </si>
  <si>
    <t>This land enters tapped. / {T}: Add {W} or {B}.</t>
  </si>
  <si>
    <t>Gatecrash</t>
  </si>
  <si>
    <t>ORDERED 2026-09-11 $0.40</t>
  </si>
  <si>
    <t>Silverquill Charm</t>
  </si>
  <si>
    <t>Choose one —
• Put two +1/+1 counters on target creature.
• Exile target creature with power 2 or less.
• Each opponent loses 3 life and you gain 3 life.</t>
  </si>
  <si>
    <t>Choose one — exile target creature with power 2 or less</t>
  </si>
  <si>
    <t>Or put two +1/+1 counters on a creature, or drain each opponent for 3</t>
  </si>
  <si>
    <t>Secrets of Strixhaven</t>
  </si>
  <si>
    <t>Frontline Medic</t>
  </si>
  <si>
    <t>Human Cleric</t>
  </si>
  <si>
    <t>Battalion — Whenever this creature and at least two other creatures attack, creatures you control gain indestructible until end of turn.
Sacrifice this creature: Counter target spell with {X} in its mana cost unless its controller pays {3}.
(3/3)</t>
  </si>
  <si>
    <t>Protection</t>
  </si>
  <si>
    <t>Battalion: your creatures gain indestructible when 3+ attack</t>
  </si>
  <si>
    <t>Sacrifice: counter a spell with {X} in its cost unless they pay {3}</t>
  </si>
  <si>
    <t>Moonshaker Cavalry</t>
  </si>
  <si>
    <t>Spirit Knight</t>
  </si>
  <si>
    <t>Flying
When this creature enters, creatures you control gain flying and get +X/+X until end of turn, where X is the number of creatures you control.
(6/6)</t>
  </si>
  <si>
    <t>Finisher</t>
  </si>
  <si>
    <t>Enters: creatures you control get +X/+X and can fly until end of turn, X = creatures you control</t>
  </si>
  <si>
    <t>Wilds of Eldraine</t>
  </si>
  <si>
    <t>Odric, Lunarch Marshal</t>
  </si>
  <si>
    <t>At the beginning of each combat, creatures you control gain first strike until end of turn if a creature you control has first strike. The same is true for flying, deathtouch, double strike, haste, hexproof, indestructible, lifelink, menace, reach, skulk, trample, and vigilance.
(3/3)</t>
  </si>
  <si>
    <t>Utility Creature</t>
  </si>
  <si>
    <t>Shares first strike, flying, deathtouch and other keywords among your creatures</t>
  </si>
  <si>
    <t>Shadows over Innistrad</t>
  </si>
  <si>
    <t>Stone by Sunlight</t>
  </si>
  <si>
    <t>Choose one —
• Destroy target creature with power 4 or greater.
• Until end of turn, target creature becomes an artifact in addition to its other types and gains indestructible. (Damage and effects that say "destroy" don't destroy it.)</t>
  </si>
  <si>
    <t>Destroys a creature with power 4 or greater</t>
  </si>
  <si>
    <t>Or makes a creature an artifact and indestructible until end of turn</t>
  </si>
  <si>
    <t>Weathered Wayfarer</t>
  </si>
  <si>
    <t>Human Nomad Cleric</t>
  </si>
  <si>
    <t>{W}, {T}: Search your library for a land card, reveal it, put it into your hand, then shuffle. Activate only if an opponent controls more lands than you.
(1/1)</t>
  </si>
  <si>
    <t>1/1 body</t>
  </si>
  <si>
    <t>Tap: search library for a land card to hand if an opponent has more lands</t>
  </si>
  <si>
    <t>59/350</t>
  </si>
  <si>
    <t>Greg &amp; Tim Hildebrandt</t>
  </si>
  <si>
    <t>R 0183</t>
  </si>
  <si>
    <t>Javier Charro</t>
  </si>
  <si>
    <t>Onslaught</t>
  </si>
  <si>
    <t>Bastion of Remembrance</t>
  </si>
  <si>
    <t>Enchantment</t>
  </si>
  <si>
    <t>When this enchantment enters, create a 1/1 white Human Soldier creature token.
Whenever a creature you control dies, each opponent loses 1 life and you gain 1 life.</t>
  </si>
  <si>
    <t>Drain Payoff</t>
  </si>
  <si>
    <t>Whenever a creature you control dies, each opponent loses 1 life and you gain 1 life</t>
  </si>
  <si>
    <t>Creates a 1/1 Human Soldier token when it enters</t>
  </si>
  <si>
    <t>Ikoria: Lair of Behemoths</t>
  </si>
  <si>
    <t>Blight Rot</t>
  </si>
  <si>
    <t>Put four -1/-1 counters on target creature.</t>
  </si>
  <si>
    <t>Puts four -1/-1 counters on target creature</t>
  </si>
  <si>
    <t>GT</t>
  </si>
  <si>
    <t>BL0013</t>
  </si>
  <si>
    <t>Boggart Mischief</t>
  </si>
  <si>
    <t>Kindred Enchantment</t>
  </si>
  <si>
    <t>Goblin</t>
  </si>
  <si>
    <t>When this enchantment enters, you may blight 1. If you do, create two 1/1 black and red Goblin creature tokens. (To blight 1, put a -1/-1 counter on a creature you control.)
Whenever a Goblin creature you control dies, each opponent loses 1 life and you gain 1 life.</t>
  </si>
  <si>
    <t>Put a -1/-1 counter on a creature you control to create two 1/1 Goblin tokens when it enters</t>
  </si>
  <si>
    <t>Each opponent loses 1 life and you gain 1 life whenever a Goblin you control dies</t>
  </si>
  <si>
    <t>Deadly Dispute</t>
  </si>
  <si>
    <t>As an additional cost to cast this spell, sacrifice an artifact or creature.
Draw two cards and create a Treasure token. (It's an artifact with "{T}, Sacrifice this token: Add one mana of any color.")</t>
  </si>
  <si>
    <t>Sacrifice an artifact or creature to draw two cards and make a Treasure token</t>
  </si>
  <si>
    <t>Adventures in the Forgotten Realms</t>
  </si>
  <si>
    <t>Dreadhorde Invasion</t>
  </si>
  <si>
    <t>At the beginning of your upkeep, you lose 1 life and amass Zombies 1. (Put a +1/+1 counter on an Army you control. It's also a Zombie. If you don't control an Army, create a 0/0 black Zombie Army creature token first.)
Whenever a Zombie token you control with power 6 or greater attacks, it gains lifelink until end of turn.</t>
  </si>
  <si>
    <t>Each upkeep, lose 1 life and put a counter on (or create) a Zombie Army token</t>
  </si>
  <si>
    <t>Big Zombie tokens gain lifelink when attacking</t>
  </si>
  <si>
    <t>War of the Spark</t>
  </si>
  <si>
    <t>BL0058</t>
  </si>
  <si>
    <t>Nadier's Nightblade</t>
  </si>
  <si>
    <t>Elf Warrior</t>
  </si>
  <si>
    <t>Whenever a token you control leaves the battlefield, each opponent loses 1 life and you gain 1 life.
(1/3)</t>
  </si>
  <si>
    <t>Whenever a token you control leaves the battlefield, each opponent loses 1 life and you gain 1 life</t>
  </si>
  <si>
    <t>Pawn of Ulamog</t>
  </si>
  <si>
    <t>Vampire Shaman</t>
  </si>
  <si>
    <t>Whenever this creature or another nontoken creature you control dies, you may create a 0/1 colorless Eldrazi Spawn creature token. It has "Sacrifice this token: Add {C}."
(2/2)</t>
  </si>
  <si>
    <t>Whenever it or another nontoken creature you control dies, may create a mana-producing Eldrazi Spawn token</t>
  </si>
  <si>
    <t>Read the Bones</t>
  </si>
  <si>
    <t>Scry 2, then draw two cards. You lose 2 life. (To scry 2, look at the top two cards of your library, then put any number of them on the bottom and the rest on top in any order.)</t>
  </si>
  <si>
    <t>Card Draw</t>
  </si>
  <si>
    <t>Scry 2, then draw two cards</t>
  </si>
  <si>
    <t>You lose 2 life</t>
  </si>
  <si>
    <t>BL0083</t>
  </si>
  <si>
    <t>Terror</t>
  </si>
  <si>
    <t>Destroy target nonartifact, nonblack creature. It can't be regenerated.</t>
  </si>
  <si>
    <t>Destroys target nonartifact, nonblack creature</t>
  </si>
  <si>
    <t>That creature can't be regenerated</t>
  </si>
  <si>
    <t>BL0018</t>
  </si>
  <si>
    <t>Viscera Seer</t>
  </si>
  <si>
    <t>Vampire Wizard</t>
  </si>
  <si>
    <t>Sacrifice a creature: Scry 1. (Look at the top card of your library. You may put that card on the bottom.)
(1/1)</t>
  </si>
  <si>
    <t>Sacrifice a creature: Scry 1</t>
  </si>
  <si>
    <t>Magic 2011</t>
  </si>
  <si>
    <t>Zulaport Cutthroat</t>
  </si>
  <si>
    <t>Human Rogue Ally</t>
  </si>
  <si>
    <t>Whenever this creature or another creature you control dies, each opponent loses 1 life and you gain 1 life.
(1/1)</t>
  </si>
  <si>
    <t>Whenever it or another creature you control dies, each opponent loses 1 life and you gain 1 life</t>
  </si>
  <si>
    <t>Battle for Zendikar</t>
  </si>
  <si>
    <t>Arcane Signet</t>
  </si>
  <si>
    <t>{T}: Add one mana of any color in your commander's color identity.</t>
  </si>
  <si>
    <t>Mana Rock</t>
  </si>
  <si>
    <t>Taps for any color in your commander's color identity</t>
  </si>
  <si>
    <t>Genesis Chamber</t>
  </si>
  <si>
    <t>Whenever a nontoken creature enters, if this artifact is untapped, that creature's controller creates a 1/1 colorless Myr artifact creature token.</t>
  </si>
  <si>
    <t>Whenever a nontoken creature enters, its controller creates a 1/1 Myr token (while this is untapped)</t>
  </si>
  <si>
    <t>Darksteel</t>
  </si>
  <si>
    <t>BL0059</t>
  </si>
  <si>
    <t>Mind Stone</t>
  </si>
  <si>
    <t>{T}: Add {C}.
{1}, {T}, Sacrifice this artifact: Draw a card.</t>
  </si>
  <si>
    <t>Taps for {C}</t>
  </si>
  <si>
    <t>Pay {1}, tap, sacrifice: draw a card</t>
  </si>
  <si>
    <t>Weatherlight</t>
  </si>
  <si>
    <t>Myr Battlesphere</t>
  </si>
  <si>
    <t>Myr Construct</t>
  </si>
  <si>
    <t>When this creature enters, create four 1/1 colorless Myr artifact creature tokens.
Whenever this creature attacks, you may tap X untapped Myr you control. If you do, this creature gets +X/+0 until end of turn and deals X damage to the player or planeswalker it's attacking.
(4/7)</t>
  </si>
  <si>
    <t>Creates four 1/1 Myr tokens when it enters</t>
  </si>
  <si>
    <t>Attacking: tap Myr for +X/+0 and X damage to defender</t>
  </si>
  <si>
    <t>Scars of Mirrodin</t>
  </si>
  <si>
    <t>Orzhov Signet</t>
  </si>
  <si>
    <t>{1}, {T}: Add {W}{B}.</t>
  </si>
  <si>
    <t>{1}, {T}: Add {W}{B}</t>
  </si>
  <si>
    <t>Guildpact</t>
  </si>
  <si>
    <t>Skullclamp</t>
  </si>
  <si>
    <t>Equipped creature gets +1/-1.
Whenever equipped creature dies, draw two cards.
Equip {1}</t>
  </si>
  <si>
    <t>Equipped creature gets +1/-1</t>
  </si>
  <si>
    <t>Draw two cards whenever equipped creature dies</t>
  </si>
  <si>
    <t>Sword of the Animist</t>
  </si>
  <si>
    <t>Legendary Artifact</t>
  </si>
  <si>
    <t>Equipped creature gets +1/+1.
Whenever equipped creature attacks, you may search your library for a basic land card, put it onto the battlefield tapped, then shuffle.
Equip {2}</t>
  </si>
  <si>
    <t>Attacking fetches a basic land onto the battlefield tapped</t>
  </si>
  <si>
    <t>Magic Origins</t>
  </si>
  <si>
    <t>Castle Ardenvale</t>
  </si>
  <si>
    <t>This land enters tapped unless you control a Plains.
{T}: Add {W}.
{2}{W}{W}, {T}: Create a 1/1 white Human creature token.</t>
  </si>
  <si>
    <t>{2}{W}{W}, tap: creates a 1/1 Human token</t>
  </si>
  <si>
    <t>Isolated Chapel</t>
  </si>
  <si>
    <t>This land enters tapped unless you control a Plains or a Swamp.
{T}: Add {W} or {B}.</t>
  </si>
  <si>
    <t>Enters tapped unless you control a Plains or Swamp</t>
  </si>
  <si>
    <t>Innistrad</t>
  </si>
  <si>
    <t>Orzhov Basilica</t>
  </si>
  <si>
    <t>This land enters tapped.
When this land enters, return a land you control to its owner's hand.
{T}: Add {W}{B}.</t>
  </si>
  <si>
    <t>Taps for {W}{B}</t>
  </si>
  <si>
    <t>Enters tapped; bounces a land you control when it enters</t>
  </si>
  <si>
    <t>Scoured Barrens</t>
  </si>
  <si>
    <t>This land enters tapped.
When this land enters, you gain 1 life.
{T}: Add {W} or {B}.</t>
  </si>
  <si>
    <t>Gain 1 life when it enters</t>
  </si>
  <si>
    <t>Khans of Tarkir</t>
  </si>
  <si>
    <t>Vault of the Archangel</t>
  </si>
  <si>
    <t>{T}: Add {C}.
{2}{W}{B}, {T}: Creatures you control gain deathtouch and lifelink until end of turn.</t>
  </si>
  <si>
    <t>{2}{W}{B}, tap: creatures you control gain deathtouch and lifelink</t>
  </si>
  <si>
    <t>Dark Ascension</t>
  </si>
  <si>
    <t>Corpse Knight</t>
  </si>
  <si>
    <t>Zombie Knight</t>
  </si>
  <si>
    <t>Whenever another creature you control enters, each opponent loses 1 life.
(2/2)</t>
  </si>
  <si>
    <t>Whenever another creature you control enters, each opponent loses 1 life</t>
  </si>
  <si>
    <t>Core Set 2020</t>
  </si>
  <si>
    <t>Cruel Celebrant</t>
  </si>
  <si>
    <t>Vampire</t>
  </si>
  <si>
    <t>Whenever this creature or another creature or planeswalker you control dies, each opponent loses 1 life and you gain 1 life.
(1/2)</t>
  </si>
  <si>
    <t>Whenever it or another creature/planeswalker you control dies, each opponent loses 1 life and you gain 1 life</t>
  </si>
  <si>
    <t>Elas il-Kor, Sadistic Pilgrim</t>
  </si>
  <si>
    <t>Phyrexian Kor Cleric</t>
  </si>
  <si>
    <t>Deathtouch
Whenever another creature you control enters, you gain 1 life.
Whenever another creature you control dies, each opponent loses 1 life.
(2/2)</t>
  </si>
  <si>
    <t>Gains you 1 life whenever another creature you control enters</t>
  </si>
  <si>
    <t>Each opponent loses 1 life whenever another creature you control dies</t>
  </si>
  <si>
    <t>Deathtouch body</t>
  </si>
  <si>
    <t>Dominaria United</t>
  </si>
  <si>
    <t>Fracture</t>
  </si>
  <si>
    <t>Destroy target artifact, enchantment, or planeswalker.</t>
  </si>
  <si>
    <t>Destroy target artifact, enchantment, or planeswalker</t>
  </si>
  <si>
    <t>Strixhaven: School of Mages</t>
  </si>
  <si>
    <t>Hidden Stockpile</t>
  </si>
  <si>
    <t>Revolt — At the beginning of your end step, if a permanent left the battlefield under your control this turn, create a 1/1 colorless Servo artifact creature token.
{1}, Sacrifice a creature: Scry 1.</t>
  </si>
  <si>
    <t>End step: creates a 1/1 Servo token if a permanent left the battlefield under your control this turn</t>
  </si>
  <si>
    <t>{1}, sacrifice a creature: Scry 1</t>
  </si>
  <si>
    <t>Aether Revolt</t>
  </si>
  <si>
    <t>Indulging Patrician</t>
  </si>
  <si>
    <t>Vampire Noble</t>
  </si>
  <si>
    <t>Flying
Lifelink (Damage dealt by this creature also causes you to gain that much life.)
At the beginning of your end step, if you gained 3 or more life this turn, each opponent loses 3 life.
(1/4)</t>
  </si>
  <si>
    <t>Each opponent loses 3 life at your end step if you gained 3 or more life that turn</t>
  </si>
  <si>
    <t>Kambal, Profiteering Mayor</t>
  </si>
  <si>
    <t>Human Advisor</t>
  </si>
  <si>
    <t>Whenever one or more tokens your opponents control enter, for each of them, create a tapped token that's a copy of it. This ability triggers only once each turn.
Whenever one or more tokens you control enter, each opponent loses 1 life and you gain 1 life.
(2/4)</t>
  </si>
  <si>
    <t>Whenever one or more tokens your opponents control enter, for each of them, create a tapped token that's a copy of it. T</t>
  </si>
  <si>
    <t>Whenever one or more tokens you control enter, each opponent loses 1 life and you gain 1 life</t>
  </si>
  <si>
    <t>Outlaws of Thunder Junction</t>
  </si>
  <si>
    <t>Shadrix Silverquill</t>
  </si>
  <si>
    <t>Elder Dragon</t>
  </si>
  <si>
    <t>Flying, double strike
At the beginning of combat on your turn, you may choose two. Each mode must target a different player.
• Target player creates a 2/1 white and black Inkling creature token with flying.
• Target player draws a card and loses 1 life.
• Target player puts a +1/+1 counter on each creature they control.
(2/5)</t>
  </si>
  <si>
    <t>Commander</t>
  </si>
  <si>
    <t>Combat: choose two modes, each targeting a different player</t>
  </si>
  <si>
    <t>Modes make a 2/1 flying token, draw+lose life, or add +1/+1 counters</t>
  </si>
  <si>
    <t>Flying double strike body</t>
  </si>
  <si>
    <t>Teysa Karlov</t>
  </si>
  <si>
    <t>If a creature dying causes a triggered ability of a permanent you control to trigger, that ability triggers an additional time.
Creature tokens you control have vigilance and lifelink.
(2/4)</t>
  </si>
  <si>
    <t>Tuned add</t>
  </si>
  <si>
    <t>If a creature dying causes a triggered ability of a permanent you control to trigger, that ability triggers an additiona</t>
  </si>
  <si>
    <t>Angel of Indemnity</t>
  </si>
  <si>
    <t>Angel Warrior</t>
  </si>
  <si>
    <t>Flying, lifelink
When this creature enters, return target permanent card with mana value 4 or less from your graveyard to the battlefield.
Encore {6}{W}{W} ({6}{W}{W}, Exile this card from your graveyard: For each opponent, create a token copy that attacks that opponent this turn if able. They gain haste. Sacrifice them at the beginning of the next end step. Activate only as a sorcery.)
(5/5)</t>
  </si>
  <si>
    <t>Returns a permanent card MV 4 or less from graveyard when it enters</t>
  </si>
  <si>
    <t>Encore: exile from graveyard to make attacking token copies for each opponent</t>
  </si>
  <si>
    <t>Flying lifelink body</t>
  </si>
  <si>
    <t>Outlaws of Thunder Junction Commander</t>
  </si>
  <si>
    <t>Anointer Priest</t>
  </si>
  <si>
    <t>Whenever a creature token you control enters, you gain 1 life.
Embalm {3}{W} ({3}{W}, Exile this card from your graveyard: Create a token that's a copy of it, except it's a white Zombie Human Cleric with no mana cost. Embalm only as a sorcery.)
(1/3)</t>
  </si>
  <si>
    <t>Gains 1 life whenever a creature token you control enters</t>
  </si>
  <si>
    <t>Embalm {3}{W}: exile from graveyard to make a token copy of itself</t>
  </si>
  <si>
    <t>Amonkhet</t>
  </si>
  <si>
    <t>Clachan Festival</t>
  </si>
  <si>
    <t>Kithkin</t>
  </si>
  <si>
    <t>When this enchantment enters, create two 1/1 green and white Kithkin creature tokens.
{4}{W}: Create a 1/1 green and white Kithkin creature token.</t>
  </si>
  <si>
    <t>Creates two 1/1 Kithkin tokens when it enters</t>
  </si>
  <si>
    <t>Pay {4}{W} to create another 1/1 Kithkin token</t>
  </si>
  <si>
    <t>Combat Calligrapher</t>
  </si>
  <si>
    <t>Bird Cleric</t>
  </si>
  <si>
    <t>Flying
Inklings can't attack you or planeswalkers you control.
Whenever a player attacks one of your opponents, that attacking player creates a tapped 2/1 white and black Inkling creature token with flying that's attacking that opponent.
(3/3)</t>
  </si>
  <si>
    <t>Inklings can't attack you or planeswalkers you control</t>
  </si>
  <si>
    <t>Whenever a player attacks one of your opponents, that attacking player creates a tapped 2/1 white and black Inkling crea</t>
  </si>
  <si>
    <t>Commander 2021</t>
  </si>
  <si>
    <t>Elspeth, Sun's Nemesis</t>
  </si>
  <si>
    <t>Legendary Planeswalker</t>
  </si>
  <si>
    <t>Elspeth</t>
  </si>
  <si>
    <t>−1: Up to two target creatures you control each get +2/+1 until end of turn.
−2: Create two 1/1 white Human Soldier creature tokens.
−3: You gain 5 life.
Escape—{4}{W}{W}, Exile four other cards from your graveyard. (You may cast this card from your graveyard for its escape cost.)
(Loyalty 5)</t>
  </si>
  <si>
    <t>-1: Up to two creatures get +2/+1 until end of turn</t>
  </si>
  <si>
    <t>-2: Create two 1/1 Human Soldier tokens</t>
  </si>
  <si>
    <t>Escape from the graveyard by exiling four cards</t>
  </si>
  <si>
    <t>Theros Beyond Death</t>
  </si>
  <si>
    <t>Impassioned Orator</t>
  </si>
  <si>
    <t>Whenever another creature you control enters, you gain 1 life.
(2/2)</t>
  </si>
  <si>
    <t>Gain 1 life whenever another creature you control enters</t>
  </si>
  <si>
    <t>Intangible Virtue</t>
  </si>
  <si>
    <t>Creature tokens you control get +1/+1 and have vigilance.</t>
  </si>
  <si>
    <t>Lord/Anthem</t>
  </si>
  <si>
    <t>Your creature tokens get +1/+1</t>
  </si>
  <si>
    <t>Your creature tokens have vigilance</t>
  </si>
  <si>
    <t>Kithkeeper</t>
  </si>
  <si>
    <t>Elemental</t>
  </si>
  <si>
    <t>Vivid — When this creature enters, create X 1/1 green and white Kithkin creature tokens, where X is the number of colors among permanents you control.
Tap three untapped creatures you control: This creature gets +3/+0 and gains flying until end of turn.
(3/3)</t>
  </si>
  <si>
    <t>Enters: create X 1/1 Kithkin tokens, X = colors among your permanents</t>
  </si>
  <si>
    <t>Tap three untapped creatures you control: gets +3/+0 and can fly this turn</t>
  </si>
  <si>
    <t>U 0023</t>
  </si>
  <si>
    <t>Filip Burburan</t>
  </si>
  <si>
    <t>BL0050</t>
  </si>
  <si>
    <t>Lingering Souls</t>
  </si>
  <si>
    <t>Create two 1/1 white Spirit creature tokens with flying.
Flashback {1}{B} (You may cast this card from your graveyard for its flashback cost. Then exile it.)</t>
  </si>
  <si>
    <t>Creates two 1/1 flying Spirit tokens</t>
  </si>
  <si>
    <t>Flashback {1}{B} to cast again from graveyard</t>
  </si>
  <si>
    <t>Ministrant of Obligation</t>
  </si>
  <si>
    <t>Afterlife 2 (When this creature dies, create two 1/1 white and black Spirit creature tokens with flying.)
(2/1)</t>
  </si>
  <si>
    <t>Creates two 1/1 flying Spirit tokens when it dies</t>
  </si>
  <si>
    <t>Monologue Tax</t>
  </si>
  <si>
    <t>Whenever an opponent casts their second spell each turn, you create a Treasure token.</t>
  </si>
  <si>
    <t>Creates a Treasure token when an opponent casts their second spell each turn</t>
  </si>
  <si>
    <t>Ossification</t>
  </si>
  <si>
    <t>Aura</t>
  </si>
  <si>
    <t>Enchant basic land you control
When this Aura enters, exile target creature or planeswalker an opponent controls until this Aura leaves the battlefield.</t>
  </si>
  <si>
    <t>Exiles target creature or planeswalker (enchants a basic land you control)</t>
  </si>
  <si>
    <t>Phyrexia: All Will Be One</t>
  </si>
  <si>
    <t>Promise of Loyalty</t>
  </si>
  <si>
    <t>Each player puts a vow counter on a creature they control and sacrifices the rest. Each of those creatures can't attack you or planeswalkers you control for as long as it has a vow counter on it.</t>
  </si>
  <si>
    <t>Board Wipe</t>
  </si>
  <si>
    <t>Each player sacrifices all but one of their creatures</t>
  </si>
  <si>
    <t>The kept creature can't attack you or your planeswalkers while marked</t>
  </si>
  <si>
    <t>BL0019</t>
  </si>
  <si>
    <t>Raise the Alarm</t>
  </si>
  <si>
    <t>Create two 1/1 white Soldier creature tokens.</t>
  </si>
  <si>
    <t>Creates two 1/1 white Soldier tokens</t>
  </si>
  <si>
    <t>Mirrodin</t>
  </si>
  <si>
    <t>Requiem Angel</t>
  </si>
  <si>
    <t>Angel</t>
  </si>
  <si>
    <t>Flying
Whenever another non-Spirit creature you control dies, create a 1/1 white Spirit creature token with flying.
(5/5)</t>
  </si>
  <si>
    <t>Whenever another non-Spirit creature you control dies, create a 1/1 flying Spirit</t>
  </si>
  <si>
    <t>5/4 flying body</t>
  </si>
  <si>
    <t>Rootborn Defenses</t>
  </si>
  <si>
    <t>Populate. Creatures you control gain indestructible until end of turn. (To populate, create a token that's a copy of a creature token you control.)</t>
  </si>
  <si>
    <t>Creatures you control gain indestructible until end of turn</t>
  </si>
  <si>
    <t>Populate: creates a copy of a creature token you control</t>
  </si>
  <si>
    <t>Return to Ravnica</t>
  </si>
  <si>
    <t>BL0079</t>
  </si>
  <si>
    <t>Secret Rendezvous</t>
  </si>
  <si>
    <t>You and target opponent each draw three cards.</t>
  </si>
  <si>
    <t>You and target opponent each draw three cards</t>
  </si>
  <si>
    <t>BL0046</t>
  </si>
  <si>
    <t>Spectacular Tactics</t>
  </si>
  <si>
    <t>Choose one —
• Put a +1/+1 counter on target creature you control. It gains hexproof until end of turn.
• Destroy target creature with power 4 or greater.</t>
  </si>
  <si>
    <t>Combat Trick</t>
  </si>
  <si>
    <t>Choose one: put a +1/+1 counter on your creature, it becomes untargetable this turn</t>
  </si>
  <si>
    <t>Or destroys target creature with power 4 or greater</t>
  </si>
  <si>
    <t>C 0775</t>
  </si>
  <si>
    <t>Zoltan Boros</t>
  </si>
  <si>
    <t>Marvel's Spider-Man</t>
  </si>
  <si>
    <t>BL0011</t>
  </si>
  <si>
    <t>Spectral Procession</t>
  </si>
  <si>
    <t>Create three 1/1 white Spirit creature tokens with flying.</t>
  </si>
  <si>
    <t>Creates three 1/1 flying Spirit tokens</t>
  </si>
  <si>
    <t>Shadowmoor</t>
  </si>
  <si>
    <t>Staff of the Storyteller</t>
  </si>
  <si>
    <t>When this artifact enters, create a 1/1 white Spirit creature token with flying.
Whenever you create one or more creature tokens, put a story counter on this artifact.
{W}, {T}, Remove a story counter from this artifact: Draw a card.</t>
  </si>
  <si>
    <t>Enters: create a 1/1 flying Spirit token</t>
  </si>
  <si>
    <t>Creating creature tokens adds a story counter to this</t>
  </si>
  <si>
    <t>Pay {W}, tap, remove a story counter: draw a card</t>
  </si>
  <si>
    <t>Phyrexia: All Will Be One Commander</t>
  </si>
  <si>
    <t>Swords to Plowshares</t>
  </si>
  <si>
    <t>Exile target creature. Its controller gains life equal to its power.</t>
  </si>
  <si>
    <t>Exiles target creature</t>
  </si>
  <si>
    <t>Its controller gains life equal to its power</t>
  </si>
  <si>
    <t>Welcoming Vampire</t>
  </si>
  <si>
    <t>Flying
Whenever one or more other creatures you control with power 2 or less enter, draw a card. This ability triggers only once each turn.
(2/3)</t>
  </si>
  <si>
    <t>Draws a card (once per turn) when creatures with power 2 or less you control enter</t>
  </si>
  <si>
    <t>Innistrad: Crimson Vow</t>
  </si>
  <si>
    <t>ORDERED 2026-09-11 $5.20 (surplus)</t>
  </si>
  <si>
    <t>Zack Fair</t>
  </si>
  <si>
    <t>Zack Fair enters with a +1/+1 counter on it.
{1}, Sacrifice Zack Fair: Target creature you control gains indestructible until end of turn. Put Zack Fair's counters on that creature and attach an Equipment that was attached to Zack Fair to that creature.
(0/1)</t>
  </si>
  <si>
    <t>Enters with a +1/+1 counter on itself</t>
  </si>
  <si>
    <t>Sacrifice: target creature gains indestructible and gets its counters/Equipment</t>
  </si>
  <si>
    <t>BL0063</t>
  </si>
  <si>
    <t>Adventurous Eater // Have a Bite</t>
  </si>
  <si>
    <t>Human Warlock</t>
  </si>
  <si>
    <t>Adventurous Eater {2}{B} — Creature — Human Warlock (3/2)
This creature enters prepared. (While it's prepared, you may cast a copy of its spell. Doing so unprepares it.)
//
Have a Bite {B} — Sorcery
Put a +1/+1 counter on target creature. You gain 1 life.</t>
  </si>
  <si>
    <t>Enters prepared — you may cast a copy of its spell, which then unprepares it</t>
  </si>
  <si>
    <t>Have a Bite: put a +1/+1 counter on target creature and gain 1 life</t>
  </si>
  <si>
    <t>C 0072</t>
  </si>
  <si>
    <t>Auntie's Sentence</t>
  </si>
  <si>
    <t>Choose one —
• Target opponent reveals their hand. You choose a nonland permanent card from it. That player discards that card.
• Target creature gets -2/-2 until end of turn.</t>
  </si>
  <si>
    <t>Target creature gets -2/-2 until end of turn</t>
  </si>
  <si>
    <t>Or opponent reveals hand and discards a nonland permanent card you choose</t>
  </si>
  <si>
    <t>Awaken the Erstwhile</t>
  </si>
  <si>
    <t>Each player discards all the cards in their hand, then creates that many 2/2 black Zombie creature tokens.</t>
  </si>
  <si>
    <t>Each player discards their hand, then creates that many 2/2 Zombie tokens</t>
  </si>
  <si>
    <t>Bilbo's Deadly Slice</t>
  </si>
  <si>
    <t>Destroy target creature.</t>
  </si>
  <si>
    <t>Destroy target creature</t>
  </si>
  <si>
    <t>Bile-Vial Boggart</t>
  </si>
  <si>
    <t>Goblin Assassin</t>
  </si>
  <si>
    <t>When this creature dies, put a -1/-1 counter on up to one target creature.
(1/1)</t>
  </si>
  <si>
    <t>When it dies, put a -1/-1 counter on up to one target creature</t>
  </si>
  <si>
    <t>Blight Pile</t>
  </si>
  <si>
    <t>Phyrexian</t>
  </si>
  <si>
    <t>Defender
{2}{B}, {T}: Each opponent loses X life, where X is the number of creatures with defender you control.
(3/3)</t>
  </si>
  <si>
    <t>Pay {2}{B} and tap: each opponent loses life equal to the number of defenders you control</t>
  </si>
  <si>
    <t>Blight-Vial Boggart</t>
  </si>
  <si>
    <t>Blood Artist</t>
  </si>
  <si>
    <t>Whenever this creature or another creature dies, target player loses 1 life and you gain 1 life.
(0/1)</t>
  </si>
  <si>
    <t>Whenever this creature or another creature dies, target player loses 1 life and you gain 1 life.</t>
  </si>
  <si>
    <t>Avacyn Restored</t>
  </si>
  <si>
    <t>Bogslither's Embrace</t>
  </si>
  <si>
    <t>As an additional cost to cast this spell, blight 1 or pay {3}. (To blight 1, put a -1/-1 counter on a creature you control.)
Exile target creature.</t>
  </si>
  <si>
    <t>Additional cost: blight 1 (put a -1/-1 counter on a creature you control) or pay {3}</t>
  </si>
  <si>
    <t>Boiling Rock Rioter</t>
  </si>
  <si>
    <t>Firebending 1 (Whenever this creature attacks, add {R}. This mana lasts until end of combat.)
Tap an untapped Ally you control: Exile target card from a graveyard.
Whenever this creature attacks, you may cast an Ally spell from among cards you own exiled with this creature.
(3/3)</t>
  </si>
  <si>
    <t>Graveyard Hate</t>
  </si>
  <si>
    <t>Tap an untapped Ally you control: exile target card from a graveyard</t>
  </si>
  <si>
    <t>Whenever it attacks, you may cast an Ally spell from among the cards it exiled</t>
  </si>
  <si>
    <t>Firebending 1 - whenever it attacks, add {R} until end of combat</t>
  </si>
  <si>
    <t>Avatar: The Last Airbender</t>
  </si>
  <si>
    <t>Bolas's Citadel</t>
  </si>
  <si>
    <t>You may look at the top card of your library any time.
You may play lands and cast spells from the top of your library. If you cast a spell this way, pay life equal to its mana value rather than pay its mana cost.
{T}, Sacrifice ten nonland permanents: Each opponent loses 10 life.</t>
  </si>
  <si>
    <t>You may look at the top card of your library any time</t>
  </si>
  <si>
    <t>You may play lands and cast spells from the top of your library. If you cast a spell this way, pay life equal to its man</t>
  </si>
  <si>
    <t>{T}, Sacrifice ten nonland permanents: Each opponent loses 10 life</t>
  </si>
  <si>
    <t>Braids, Arisen Nightmare</t>
  </si>
  <si>
    <t>Nightmare</t>
  </si>
  <si>
    <t>At the beginning of your end step, you may sacrifice an artifact, creature, enchantment, land, or planeswalker. If you do, each opponent may sacrifice a permanent of their choice that shares a card type with it. For each opponent who doesn't, that player loses 2 life and you draw a card.
(3/3)</t>
  </si>
  <si>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</si>
  <si>
    <t>Carrion Feeder</t>
  </si>
  <si>
    <t>Zombie</t>
  </si>
  <si>
    <t>This creature can't block.
Sacrifice a creature: Put a +1/+1 counter on this creature.
(1/1)</t>
  </si>
  <si>
    <t>This creature can't block.
Sacrifice a creature: Put a +1/+1 counter on this creature.</t>
  </si>
  <si>
    <t>Scourge</t>
  </si>
  <si>
    <t>Chain Assassination</t>
  </si>
  <si>
    <t>Freerunning {1}{B} (You may cast this spell for its freerunning cost if you dealt combat damage to a player this turn with an Assassin or commander.)
Destroy target creature. If another creature died this turn, draw a card.</t>
  </si>
  <si>
    <t>Destroys target creature</t>
  </si>
  <si>
    <t>Draw a card if another creature died this turn</t>
  </si>
  <si>
    <t>Can be cast for less if you dealt combat damage with an Assassin or commander</t>
  </si>
  <si>
    <t>Assassin's Creed</t>
  </si>
  <si>
    <t>Costly Plunder</t>
  </si>
  <si>
    <t>As an additional cost to cast this spell, sacrifice an artifact or creature.
Draw two cards.</t>
  </si>
  <si>
    <t>Sacrifice an artifact or creature to draw two cards</t>
  </si>
  <si>
    <t>Ixalan</t>
  </si>
  <si>
    <t>Crude Bent Blade</t>
  </si>
  <si>
    <t>When this Equipment enters, target opponent sacrifices a creature of their choice.
Equipped creature gets +2/+1.
Equip {2} ({2}: Attach to target creature you control. Equip only as a sorcery.)</t>
  </si>
  <si>
    <t>Enters: target opponent sacrifices a creature of their choice</t>
  </si>
  <si>
    <t>Equipped creature gets +2/+1</t>
  </si>
  <si>
    <t>Equip {2}</t>
  </si>
  <si>
    <t>BL0062</t>
  </si>
  <si>
    <t>Dai Li Indoctrination</t>
  </si>
  <si>
    <t>Lesson</t>
  </si>
  <si>
    <t>Choose one —
• Target opponent reveals their hand. You choose a nonland permanent card from it. That player discards that card.
• Earthbend 2. (Target land you control becomes a 0/0 creature with haste that's still a land. Put two +1/+1 counters on it. When it dies or is exiled, return it to the battlefield tapped.)</t>
  </si>
  <si>
    <t>Opponent reveals hand; you choose a nonland permanent card for them to discard</t>
  </si>
  <si>
    <t>Or target land becomes a 0/0 hasty creature with two +1/+1 counters</t>
  </si>
  <si>
    <t>Day of Black Sun</t>
  </si>
  <si>
    <t>Each creature with mana value X or less loses all abilities until end of turn. Destroy those creatures.</t>
  </si>
  <si>
    <t>Creatures with mana value X or less lose all abilities and are destroyed</t>
  </si>
  <si>
    <t>Desmond Miles</t>
  </si>
  <si>
    <t>Human Assassin</t>
  </si>
  <si>
    <t>Menace
Desmond Miles gets +1/+0 for each other Assassin you control and each Assassin card in your graveyard.
Whenever Desmond Miles deals combat damage to a player, surveil X, where X is the amount of damage it dealt to that player.
(1/3)</t>
  </si>
  <si>
    <t>Gets +1/+0 for each other Assassin you control or in your graveyard</t>
  </si>
  <si>
    <t>Combat damage to a player lets you look at and rearrange cards off the top of your library</t>
  </si>
  <si>
    <t>Diabolic Tutor</t>
  </si>
  <si>
    <t>Search your library for a card, put that card into your hand, then shuffle.</t>
  </si>
  <si>
    <t>Search your library for a card, put that card into your hand, then shuffle</t>
  </si>
  <si>
    <t>Odyssey</t>
  </si>
  <si>
    <t>Dictate of Erebos</t>
  </si>
  <si>
    <t>Flash
Whenever a creature you control dies, each opponent sacrifices a creature of their choice.</t>
  </si>
  <si>
    <t>Journey into Nyx</t>
  </si>
  <si>
    <t>Dreaded Bat-Cloud</t>
  </si>
  <si>
    <t>Bat</t>
  </si>
  <si>
    <t>This spell costs {3} less to cast if a creature died this turn.
Flying, deathtouch
(4/2)</t>
  </si>
  <si>
    <t>Flying, deathtouch</t>
  </si>
  <si>
    <t>Costs {3} less to cast if a creature died this turn</t>
  </si>
  <si>
    <t>U O206</t>
  </si>
  <si>
    <t>Denman Rooke</t>
  </si>
  <si>
    <t>U 0066</t>
  </si>
  <si>
    <t>Andreia Ugrai</t>
  </si>
  <si>
    <t>Exsanguinate</t>
  </si>
  <si>
    <t>Each opponent loses X life. You gain life equal to the life lost this way.</t>
  </si>
  <si>
    <t>Each opponent loses X life. You gain life equal to the life lost this way</t>
  </si>
  <si>
    <t>Feed the Swarm</t>
  </si>
  <si>
    <t>Destroy target creature or enchantment an opponent controls. You lose life equal to that permanent's mana value.</t>
  </si>
  <si>
    <t>Destroy target creature or enchantment an opponent controls</t>
  </si>
  <si>
    <t>You lose life equal to that permanent's mana value</t>
  </si>
  <si>
    <t>Zendikar Rising</t>
  </si>
  <si>
    <t>Fell the Profane // Fell Mire</t>
  </si>
  <si>
    <t>Fell the Profane {2}{B}{B} — Instant
Destroy target creature or planeswalker.
//
Fell Mire — Land
As this land enters, you may pay 3 life. If you don't, it enters tapped.
{T}: Add {B}.</t>
  </si>
  <si>
    <t>Destroy target creature or planeswalker</t>
  </si>
  <si>
    <t>As this land enters, you may pay 3 life. If you don't, it enters tapped</t>
  </si>
  <si>
    <t>{T}: Add {B}</t>
  </si>
  <si>
    <t>Modern Horizons 3</t>
  </si>
  <si>
    <t>Front Porch Sentries</t>
  </si>
  <si>
    <t>Goblin Soldier</t>
  </si>
  <si>
    <t>When this creature dies, target creature an opponent controls gets -1/-1 until end of turn.
(2/2)</t>
  </si>
  <si>
    <t>When this creature dies, target creature an opponent controls gets -1/-1 until end of turn</t>
  </si>
  <si>
    <t>C 0067</t>
  </si>
  <si>
    <t>Gathering of Darkness</t>
  </si>
  <si>
    <t>Return up to one target creature card from your graveyard to your hand.
Amass Goblins 3. (Put three +1/+1 counters on an Army you control. It's also a Goblin. If you don't control an Army, create a 0/0 black Goblin Army creature token first.)</t>
  </si>
  <si>
    <t>Return up to one target creature card from your graveyard to your hand</t>
  </si>
  <si>
    <t>Amass Goblins 3 - put three +1/+1 counters on a Goblin Army you control, creating a 0/0 one first if you have none</t>
  </si>
  <si>
    <t>Gloom Ripper</t>
  </si>
  <si>
    <t>Elf Assassin</t>
  </si>
  <si>
    <t>When this creature enters, target creature you control gets +X/+0 until end of turn and up to one target creature an opponent controls gets -0/-X until end of turn, where X is the number of Elves you control plus the number of Elf cards in your graveyard.
(4/4)</t>
  </si>
  <si>
    <t>Target creature you control gets +X/+0 and an opponent's creature gets -0/-X until end of turn</t>
  </si>
  <si>
    <t>X equals Elves you control plus Elf cards in your graveyard</t>
  </si>
  <si>
    <t>BL0061</t>
  </si>
  <si>
    <t>Go for the Throat</t>
  </si>
  <si>
    <t>Destroy target nonartifact creature.</t>
  </si>
  <si>
    <t>Destroys target nonartifact creature</t>
  </si>
  <si>
    <t>Mirrodin Besieged</t>
  </si>
  <si>
    <t>Gollum, Riddle Master</t>
  </si>
  <si>
    <t>Halfling Horror</t>
  </si>
  <si>
    <t>As Gollum enters, choose odd or even. (Zero is even.)
Whenever an opponent casts a spell with mana value of the chosen quality, choose one that hasn't been chosen —
• Put a +1/+1 counter on Gollum.
• Each opponent loses 2 life and you gain 2 life.
• Draw a card.
(3/1)</t>
  </si>
  <si>
    <t>Whenever an opponent casts a spell of the chosen parity, choose an unused mode</t>
  </si>
  <si>
    <t>Modes: add a counter to it, drain 2 life, or draw a card</t>
  </si>
  <si>
    <t>BL0068</t>
  </si>
  <si>
    <t>Gollum, Silent Slinker</t>
  </si>
  <si>
    <t>Gollum, Silent Slinker {3}{B} — Legendary Creature — Halfling Horror (4/3)
Menace (This creature can't be blocked except by two or more creatures.)
//
Meager Meal {B} — Sorcery — Adventure
Put a +1/+1 counter on up to one target creature. Target player gains 2 life. (Then exile this card. You may cast the creature later from exile.)</t>
  </si>
  <si>
    <t>Menace</t>
  </si>
  <si>
    <t>Back face Meager Meal {B}: put a +1/+1 counter on up to one target creature and target player gains 2 life</t>
  </si>
  <si>
    <t>Great Fierce Bee</t>
  </si>
  <si>
    <t>Insect</t>
  </si>
  <si>
    <t>Flying
Whenever one or more other creatures die, scry 1. (Look at the top card of your library. You may put that card on the bottom.)
(2/2)</t>
  </si>
  <si>
    <t>Other creatures dying lets you look at and rearrange the top library card</t>
  </si>
  <si>
    <t>C 0073</t>
  </si>
  <si>
    <t>Heirloom Auntie</t>
  </si>
  <si>
    <t>Goblin Warlock</t>
  </si>
  <si>
    <t>This creature enters with two -1/-1 counters on it.
Whenever another creature you control dies, surveil 1, then remove a -1/-1 counter from this creature. (To surveil 1, look at the top card of your library. You may put it into your graveyard.)
(4/4)</t>
  </si>
  <si>
    <t>Counters Payoff</t>
  </si>
  <si>
    <t>Enters with two -1/-1 counters on it</t>
  </si>
  <si>
    <t>Surveils 1 and removes a -1/-1 counter from itself whenever another creature you control dies</t>
  </si>
  <si>
    <t>Hemlock Vial</t>
  </si>
  <si>
    <t>When this artifact enters, you draw a card and you lose 1 life.
{B}, {T}, Sacrifice this artifact: Each equipped creature and Equipment you control gains deathtouch until end of turn.</t>
  </si>
  <si>
    <t>Enters: draw a card and lose 1 life</t>
  </si>
  <si>
    <t>Sacrifice: your equipped creatures and Equipment become lethal on any damage this turn</t>
  </si>
  <si>
    <t>Infectious Inquiry</t>
  </si>
  <si>
    <t>You draw two cards and you lose 2 life. Each opponent gets a poison counter.</t>
  </si>
  <si>
    <t>You draw two cards and you lose 2 life. Each opponent gets a poison counter</t>
  </si>
  <si>
    <t>Infernal Grasp</t>
  </si>
  <si>
    <t>Destroy target creature. You lose 2 life.</t>
  </si>
  <si>
    <t>Destroy target creature. You lose 2 life</t>
  </si>
  <si>
    <t>Innistrad: Midnight Hunt</t>
  </si>
  <si>
    <t>Long Goodbye</t>
  </si>
  <si>
    <t>This spell can't be countered. (This includes by the ward ability.)
Destroy target creature or planeswalker with mana value 3 or less.</t>
  </si>
  <si>
    <t>Destroys target creature or planeswalker with mana value 3 or less</t>
  </si>
  <si>
    <t>Can't be countered</t>
  </si>
  <si>
    <t>Murders at Karlov Manor</t>
  </si>
  <si>
    <t>Marauding Blight-Priest</t>
  </si>
  <si>
    <t>Vampire Cleric</t>
  </si>
  <si>
    <t>Whenever you gain life, each opponent loses 1 life.
(3/2)</t>
  </si>
  <si>
    <t>Whenever you gain life, each opponent loses 1 life</t>
  </si>
  <si>
    <t>Masterful Flourish</t>
  </si>
  <si>
    <t>Target creature you control gets +1/+0 and gains indestructible until end of turn. (Damage and effects that say "destroy" don't destroy it.)</t>
  </si>
  <si>
    <t>Target creature you control gets +1/+0 and gains indestructible until end of turn</t>
  </si>
  <si>
    <t>Mirkwood Bats</t>
  </si>
  <si>
    <t>Flying
Whenever you create or sacrifice a token, each opponent loses 1 life.
(2/3)</t>
  </si>
  <si>
    <t>Whenever you create or sacrifice a token, each opponent loses 1 life</t>
  </si>
  <si>
    <t>The Lord of the Rings: Tales of Middle-earth</t>
  </si>
  <si>
    <t>Mirrodin Avenged</t>
  </si>
  <si>
    <t>Destroy target creature that was dealt damage this turn.
Draw a card.</t>
  </si>
  <si>
    <t>Destroys target creature that was dealt damage this turn</t>
  </si>
  <si>
    <t>Draws a card</t>
  </si>
  <si>
    <t>March of the Machine</t>
  </si>
  <si>
    <t>Moonglove Extractor</t>
  </si>
  <si>
    <t>Elf Warlock</t>
  </si>
  <si>
    <t>Whenever this creature attacks, you draw a card and lose 1 life.
(2/1)</t>
  </si>
  <si>
    <t>Attacking draws you a card and costs you 1 life</t>
  </si>
  <si>
    <t>Moonshadow</t>
  </si>
  <si>
    <t>Menace
This creature enters with six -1/-1 counters on it.
Whenever one or more permanent cards are put into your graveyard from anywhere while this creature has a -1/-1 counter on it, remove a -1/-1 counter from this creature.
(7/7)</t>
  </si>
  <si>
    <t>7/7 menace for one mana that enters with six -1/-1 counters on it</t>
  </si>
  <si>
    <t>Remove a -1/-1 counter whenever one or more permanent cards are put into your graveyard from anywhere</t>
  </si>
  <si>
    <t>BL0060</t>
  </si>
  <si>
    <t>Morbid Opportunist</t>
  </si>
  <si>
    <t>Human Rogue</t>
  </si>
  <si>
    <t>Whenever one or more other creatures die, draw a card. This ability triggers only once each turn.
(1/3)</t>
  </si>
  <si>
    <t>Whenever one or more other creatures die, draw a card. This ability triggers only once each turn</t>
  </si>
  <si>
    <t>Night's Whisper</t>
  </si>
  <si>
    <t>You draw two cards and lose 2 life.</t>
  </si>
  <si>
    <t>Fifth Dawn</t>
  </si>
  <si>
    <t>Northern Air Temple</t>
  </si>
  <si>
    <t>Legendary Enchantment</t>
  </si>
  <si>
    <t>Shrine</t>
  </si>
  <si>
    <t>When Northern Air Temple enters, each opponent loses X life and you gain X life, where X is the number of Shrines you control.
Whenever another Shrine you control enters, each opponent loses 1 life and you gain 1 life.</t>
  </si>
  <si>
    <t>Whenever another Shrine you control enters, each opponent loses 1 life and you gain 1 life</t>
  </si>
  <si>
    <t>Enters: each opponent loses X life and you gain X life, where X is the number of Shrines you control</t>
  </si>
  <si>
    <t>Ophiomancer</t>
  </si>
  <si>
    <t>Human Shaman</t>
  </si>
  <si>
    <t>At the beginning of each upkeep, if you control no Snakes, create a 1/1 black Snake creature token with deathtouch.
(2/2)</t>
  </si>
  <si>
    <t>Each upkeep, creates a 1/1 deathtouch Snake token if you control none</t>
  </si>
  <si>
    <t>Commander 2013</t>
  </si>
  <si>
    <t>Painful Truths</t>
  </si>
  <si>
    <t>Converge — You draw X cards and lose X life, where X is the number of colors of mana spent to cast this spell.</t>
  </si>
  <si>
    <t>Draws cards equal to colors of mana spent to cast it, loses that much life</t>
  </si>
  <si>
    <t>BL0008</t>
  </si>
  <si>
    <t>Phyrexian Arena</t>
  </si>
  <si>
    <t>At the beginning of your upkeep, you draw a card and you lose 1 life.</t>
  </si>
  <si>
    <t>Apocalypse</t>
  </si>
  <si>
    <t>Pox Plague</t>
  </si>
  <si>
    <t>Each player loses half their life, then discards half the cards in their hand, then sacrifices half the permanents they control of their choice. Round down each time.</t>
  </si>
  <si>
    <t>Each player loses half their life, discards half their hand, then sacrifices half their permanents, rounded down each time</t>
  </si>
  <si>
    <t>BL0066</t>
  </si>
  <si>
    <t>Priest of Forgotten Gods</t>
  </si>
  <si>
    <t>{T}, Sacrifice two other creatures: Any number of target players each lose 2 life and sacrifice a creature of their choice. You add {B}{B} and draw a card. (Activate only as an instant.)
(1/2)</t>
  </si>
  <si>
    <t>{T}, Sacrifice two other creatures: Any number of target players each lose 2 life and sacrifice a creature of their choi</t>
  </si>
  <si>
    <t>Pull from the Grave</t>
  </si>
  <si>
    <t>Return up to two target creature cards from your graveyard to your hand. You gain 2 life.</t>
  </si>
  <si>
    <t>Return up to two target creature cards from your graveyard to your hand</t>
  </si>
  <si>
    <t>You gain 2 life</t>
  </si>
  <si>
    <t>Rabid Attack</t>
  </si>
  <si>
    <t>Until end of turn, any number of target creatures you control each get +1/+0 and gain "When this creature dies, draw a card."</t>
  </si>
  <si>
    <t>Any number of target creatures you control each get +1/+0 until end of turn</t>
  </si>
  <si>
    <t>They also gain "When this creature dies, draw a card"</t>
  </si>
  <si>
    <t>Rage into the Valley</t>
  </si>
  <si>
    <t>You draw a card and lose 1 life.
Amass Goblins 2. (Put two +1/+1 counters on an Army you control. It's also a Goblin. If you don't control an Army, create a 0/0 black Goblin Army creature token first.)</t>
  </si>
  <si>
    <t>You draw a card and lose 1 life</t>
  </si>
  <si>
    <t>Amass Goblins 2: two +1/+1 counters on your Army token, making one if needed</t>
  </si>
  <si>
    <t>Ravening Warg</t>
  </si>
  <si>
    <t>Wolf</t>
  </si>
  <si>
    <t>Deathtouch
Ferocious — Whenever this creature attacks while you control a creature with power 4 or greater, you gain 2 life.
(2/2)</t>
  </si>
  <si>
    <t>Deathtouch</t>
  </si>
  <si>
    <t>Ferocious - whenever it attacks while you control a creature with power 4 or greater, you gain 2 life</t>
  </si>
  <si>
    <t>Retched Wretch</t>
  </si>
  <si>
    <t>When this creature dies, if it had a -1/-1 counter on it, return it to the battlefield under its owner's control and it loses all abilities.
(4/2)</t>
  </si>
  <si>
    <t>When it dies with a -1/-1 counter on it, return it to the battlefield with all abilities lost</t>
  </si>
  <si>
    <t>4/2 body for three mana</t>
  </si>
  <si>
    <t>Ritual of Soot</t>
  </si>
  <si>
    <t>Destroy all creatures with mana value 3 or less.</t>
  </si>
  <si>
    <t>Destroys all creatures with mana value 3 or less</t>
  </si>
  <si>
    <t>Guilds of Ravnica</t>
  </si>
  <si>
    <t>BL0067</t>
  </si>
  <si>
    <t>Scathing Shadelock // Venomous Words</t>
  </si>
  <si>
    <t>Snake Warlock</t>
  </si>
  <si>
    <t>Scathing Shadelock {4}{B} — Creature — Snake Warlock (4/6)
At the beginning of your first main phase, this creature becomes prepared. (While it's prepared, you may cast a copy of its spell. Doing so unprepares it.)
//
Venomous Words {B} — Sorcery
Target creature you control gets +2/+0 and gains deathtouch until end of turn.</t>
  </si>
  <si>
    <t>Becomes prepared at the beginning of your first main phase — you may cast a copy of its spell</t>
  </si>
  <si>
    <t>Venomous Words: target creature you control gets +2/+0 and gains deathtouch until end of turn</t>
  </si>
  <si>
    <t>4/6 body</t>
  </si>
  <si>
    <t>Sign in Blood</t>
  </si>
  <si>
    <t>Target player draws two cards and loses 2 life.</t>
  </si>
  <si>
    <t>Target player draws two cards and loses 2 life</t>
  </si>
  <si>
    <t>Magic 2010</t>
  </si>
  <si>
    <t>Slaughter Specialist</t>
  </si>
  <si>
    <t>Vampire Warrior</t>
  </si>
  <si>
    <t>When this creature enters, each opponent creates a 1/1 white Human creature token.
Whenever a creature an opponent controls dies, put a +1/+1 counter on this creature.
(3/3)</t>
  </si>
  <si>
    <t>Toughness Payoff</t>
  </si>
  <si>
    <t>Gives each opponent a 1/1 Human token when it enters</t>
  </si>
  <si>
    <t>Gets a +1/+1 counter whenever an opponent's creature dies</t>
  </si>
  <si>
    <t>Stir Up Trouble</t>
  </si>
  <si>
    <t>As an additional cost to cast this spell, sacrifice an artifact or creature or pay {4}.
Destroy target creature.</t>
  </si>
  <si>
    <t>Additional cost: sacrifice an artifact or creature, or pay {4}</t>
  </si>
  <si>
    <t>Stony-Voiced Goblins</t>
  </si>
  <si>
    <t>Goblin Bard</t>
  </si>
  <si>
    <t>When this creature enters, each opponent discards a card.
(1/1)</t>
  </si>
  <si>
    <t>Each opponent discards a card when it enters</t>
  </si>
  <si>
    <t>Swampsnare Trap</t>
  </si>
  <si>
    <t>This spell costs {1} less to cast if it targets a creature with flying.
Enchant creature
Enchanted creature gets -5/-3.</t>
  </si>
  <si>
    <t>Enchanted creature gets -5/-3</t>
  </si>
  <si>
    <t>Costs {1} less to cast if it targets a creature with flying</t>
  </si>
  <si>
    <t>BL0069</t>
  </si>
  <si>
    <t>The Meathook Massacre</t>
  </si>
  <si>
    <t>When The Meathook Massacre enters, each creature gets -X/-X until end of turn.
Whenever a creature you control dies, each opponent loses 1 life.
Whenever a creature an opponent controls dies, you gain 1 life.</t>
  </si>
  <si>
    <t>When The Meathook Massacre enters, each creature gets -X/-X until end of turn.
Whenever a creature you control dies, eac</t>
  </si>
  <si>
    <t>Thirsting Shade</t>
  </si>
  <si>
    <t>Shade</t>
  </si>
  <si>
    <t>Lifelink
{2}{B}: This creature gets +1/+1 until end of turn.
(1/1)</t>
  </si>
  <si>
    <t>Mana Sink</t>
  </si>
  <si>
    <t>Pay {2}{B} to get +1/+1 until end of turn, any number of times</t>
  </si>
  <si>
    <t>Tree of Perdition</t>
  </si>
  <si>
    <t>Plant</t>
  </si>
  <si>
    <t>Defender
{T}: Exchange target opponent's life total with this creature's toughness.
(0/13)</t>
  </si>
  <si>
    <t>Tap: swap target opponent's life total with this creature's toughness</t>
  </si>
  <si>
    <t>Defender body</t>
  </si>
  <si>
    <t>Eldritch Moon</t>
  </si>
  <si>
    <t>ORDERED 2026-09-11 $7.90</t>
  </si>
  <si>
    <t>Triskaidekaphobia</t>
  </si>
  <si>
    <t>At the beginning of your upkeep, choose one —
• Each player with exactly 13 life loses the game, then each player gains 1 life.
• Each player with exactly 13 life loses the game, then each player loses 1 life.</t>
  </si>
  <si>
    <t>At the beginning of your upkeep, choose one —</t>
  </si>
  <si>
    <t>• Each player with exactly 13 life loses the game, then each player gains 1 life</t>
  </si>
  <si>
    <t>• Each player with exactly 13 life loses the game, then each player loses 1 life</t>
  </si>
  <si>
    <t>Unbury</t>
  </si>
  <si>
    <t>Choose one —
• Return target creature card from your graveyard to your hand.
• Return two target creature cards that share a creature type from your graveyard to your hand.</t>
  </si>
  <si>
    <t>Returns target creature card from your graveyard to hand</t>
  </si>
  <si>
    <t>Or returns two target creature cards sharing a type from your graveyard to hand</t>
  </si>
  <si>
    <t>Undercity's Embrace</t>
  </si>
  <si>
    <t>Target opponent sacrifices a creature of their choice. If you control a creature with power 4 or greater, you gain 4 life.</t>
  </si>
  <si>
    <t>Target opponent sacrifices a creature of their choice</t>
  </si>
  <si>
    <t>Gain 4 life if you control a creature with power 4 or greater</t>
  </si>
  <si>
    <t>Vampire Hexmage</t>
  </si>
  <si>
    <t>First strike
Sacrifice this creature: Remove all counters from target permanent.
(2/1)</t>
  </si>
  <si>
    <t>Sacrifice: remove all counters from target permanent (can kill planeswalkers)</t>
  </si>
  <si>
    <t>First strike body</t>
  </si>
  <si>
    <t>Zendikar</t>
  </si>
  <si>
    <t>Vraska, Betrayal's Sting</t>
  </si>
  <si>
    <t>Vraska</t>
  </si>
  <si>
    <t>Compleated ({B/P} can be paid with {B} or 2 life. If life was paid, this planeswalker enters with two fewer loyalty counters.)
0: You draw a card and lose 1 life. Proliferate.
−2: Target creature becomes a Treasure artifact with "{T}, Sacrifice this artifact: Add one mana of any color" and loses all other card types and abilities.
−9: If target player has fewer than nine poison counters, they get a number of poison counters equal to the difference.
(Loyalty 6)</t>
  </si>
  <si>
    <t>Proliferate</t>
  </si>
  <si>
    <t xml:space="preserve">Compleated ({B/P} can be paid with {B} or 2 life. If life was paid, this planeswalker enters with two fewer loyalty counters.)
0: You draw a card and lose 1 life. Proliferate.
−2: Target creature becomes a Treasure artifact with "{T}, Sacrifice this </t>
  </si>
  <si>
    <t>Vraska's Fall</t>
  </si>
  <si>
    <t>Each opponent sacrifices a creature or planeswalker of their choice and gets a poison counter.</t>
  </si>
  <si>
    <t>Each opponent sacrifices a creature or planeswalker of their choice and gets a poison counter</t>
  </si>
  <si>
    <t>Wall of Blood</t>
  </si>
  <si>
    <t>Wall</t>
  </si>
  <si>
    <t>Defender (This creature can't attack.)
Pay 1 life: This creature gets +1/+1 until end of turn.
(0/2)</t>
  </si>
  <si>
    <t>Defender</t>
  </si>
  <si>
    <t>Pay 1 life: This creature gets +1/+1 until end of turn</t>
  </si>
  <si>
    <t>Wall of Limbs</t>
  </si>
  <si>
    <t>Zombie Wall</t>
  </si>
  <si>
    <t>Defender (This creature can't attack.)
Whenever you gain life, put a +1/+1 counter on this creature.
{5}{B}{B}, Sacrifice this creature: Target player loses X life, where X is this creature's power.
(0/3)</t>
  </si>
  <si>
    <t>Gets a +1/+1 counter whenever you gain life</t>
  </si>
  <si>
    <t>Sacrifice: target player loses life equal to this creature's power</t>
  </si>
  <si>
    <t>Magic 2015</t>
  </si>
  <si>
    <t>Wander Off</t>
  </si>
  <si>
    <t>Exile target creature.</t>
  </si>
  <si>
    <t>Woe Strider</t>
  </si>
  <si>
    <t>Horror</t>
  </si>
  <si>
    <t>When this creature enters, create a 0/1 white Goat creature token.
Sacrifice another creature: Scry 1.
Escape—{3}{B}{B}, Exile four other cards from your graveyard. (You may cast this card from your graveyard for its escape cost.)
This creature escapes with two +1/+1 counters on it.
(3/2)</t>
  </si>
  <si>
    <t>When this creature enters, create a 0/1 white Goat creature token.
Sacrifice another creature: Scry 1.
Escape—{3}{B}{B}, Exile four other cards from your graveyard. (You may cast this card from your graveyard for its escape cost.)
This creature escap</t>
  </si>
  <si>
    <t>Yahenni, Undying Partisan</t>
  </si>
  <si>
    <t>Aetherborn Vampire</t>
  </si>
  <si>
    <t>Haste
Whenever a creature an opponent controls dies, put a +1/+1 counter on Yahenni.
Sacrifice another creature: Yahenni gains indestructible until end of turn.
(2/2)</t>
  </si>
  <si>
    <t>Haste
Whenever a creature an opponent controls dies, put a +1/+1 counter on Yahenni.
Sacrifice another creature: Yahenni gains indestructible until end of turn.</t>
  </si>
  <si>
    <t>Aetherflux Reservoir</t>
  </si>
  <si>
    <t>Whenever you cast a spell, you gain 1 life for each spell you've cast this turn.
Pay 50 life: This artifact deals 50 damage to any target.</t>
  </si>
  <si>
    <t>Aetheric Amplifier</t>
  </si>
  <si>
    <t>{T}: Add one mana of any color.
{4}, {T}: Choose one. Activate only as a sorcery.
• Double the number of each kind of counter on target permanent.
• Double the number of each kind of counter you have.</t>
  </si>
  <si>
    <t>Taps for one mana of any color</t>
  </si>
  <si>
    <t>Pay {4} and tap to double the counters of a kind on target permanent</t>
  </si>
  <si>
    <t>Or double each kind of counter you have</t>
  </si>
  <si>
    <t>Aetherdrift Commander</t>
  </si>
  <si>
    <t>Argentum Masticore</t>
  </si>
  <si>
    <t>Phyrexian Masticore</t>
  </si>
  <si>
    <t>First strike, protection from multicolored
At the beginning of your upkeep, sacrifice this creature unless you discard a card. When you discard a card this way, destroy target nonland permanent an opponent controls with mana value less than or equal to the mana value of the discarded card.
(5/5)</t>
  </si>
  <si>
    <t>Discard a card each upkeep or sacrifice this creature</t>
  </si>
  <si>
    <t>Discarding destroys an opponent's permanent MV ≤ the discarded card</t>
  </si>
  <si>
    <t>First strike, protection from multicolored body</t>
  </si>
  <si>
    <t>BL0084</t>
  </si>
  <si>
    <t>Artisan of Kozilek</t>
  </si>
  <si>
    <t>Eldrazi</t>
  </si>
  <si>
    <t>When you cast this spell, you may return target creature card from your graveyard to the battlefield.
Annihilator 2 (Whenever this creature attacks, defending player sacrifices two permanents of their choice.)
(10/9)</t>
  </si>
  <si>
    <t>Reanimation</t>
  </si>
  <si>
    <t>Returns a creature card from graveyard to battlefield when cast</t>
  </si>
  <si>
    <t>Annihilator 2 (opponent sacrifices two permanents when it attacks)</t>
  </si>
  <si>
    <t>9-mana Eldrazi body</t>
  </si>
  <si>
    <t>Ashnod's Altar</t>
  </si>
  <si>
    <t>Sacrifice a creature: Add {C}{C}.</t>
  </si>
  <si>
    <t>Antiquities</t>
  </si>
  <si>
    <t>Astral Cornucopia</t>
  </si>
  <si>
    <t>This artifact enters with X charge counters on it.
{T}: Choose a color. Add one mana of that color for each charge counter on this artifact.</t>
  </si>
  <si>
    <t>This artifact enters with X charge counters on it</t>
  </si>
  <si>
    <t>{T}: Choose a color. Add one mana of that color for each charge counter on this artifact</t>
  </si>
  <si>
    <t>Born of the Gods</t>
  </si>
  <si>
    <t>Azorius Signet</t>
  </si>
  <si>
    <t>{1}, {T}: Add {W}{U}.</t>
  </si>
  <si>
    <t>{1}, tap: add {W}{U}</t>
  </si>
  <si>
    <t>Dissension</t>
  </si>
  <si>
    <t>Bag of Holding</t>
  </si>
  <si>
    <t>Whenever you discard a card, exile that card from your graveyard.
{2}, {T}: Draw a card, then discard a card.
{4}, {T}, Sacrifice this artifact: Return all cards exiled with this artifact to their owner's hand.</t>
  </si>
  <si>
    <t>Discarding a card exiles it from your graveyard</t>
  </si>
  <si>
    <t>Pay {2}, tap: draw a card, then discard a card</t>
  </si>
  <si>
    <t>Pay {4}, tap, sacrifice: return all cards exiled with it to your hand</t>
  </si>
  <si>
    <t>Bandit's Haul</t>
  </si>
  <si>
    <t>Whenever you commit a crime, put a loot counter on this artifact. This ability triggers only once each turn. (Targeting opponents, anything they control, and/or cards in their graveyards is a crime.)
{T}: Add one mana of any color.
{2}, {T}, Remove two loot counters from this artifact: Draw a card.</t>
  </si>
  <si>
    <t>Gets a loot counter once a turn when you commit a crime (target an opponent or their stuff)</t>
  </si>
  <si>
    <t>Pay 2, tap, remove two loot counters: draw a card</t>
  </si>
  <si>
    <t>Biblioplex Tomekeeper</t>
  </si>
  <si>
    <t>Construct</t>
  </si>
  <si>
    <t>When this creature enters, choose up to one —
• Target creature becomes prepared. (Only creatures with prepare spells can become prepared.)
• Target creature becomes unprepared.
(3/4)</t>
  </si>
  <si>
    <t>Enters: choose up to one — target creature becomes prepared, or target creature becomes unprepared</t>
  </si>
  <si>
    <t>3/4 artifact body castable off any colors</t>
  </si>
  <si>
    <t>Bitterthorn, Nissa's Animus</t>
  </si>
  <si>
    <t>Living weapon (When this Equipment enters, create a 0/0 black Phyrexian Germ creature token, then attach this to it.)
Equipped creature gets +1/+1.
Whenever equipped creature attacks, you may search your library for a basic land card, put it onto the battlefield tapped, then shuffle.
Equip {3}</t>
  </si>
  <si>
    <t>Creates a 0/0 Germ token and attaches to it when it enters</t>
  </si>
  <si>
    <t>Searches for a basic land onto the battlefield tapped whenever equipped creature attacks</t>
  </si>
  <si>
    <t>March of the Machine Commander</t>
  </si>
  <si>
    <t>Burnished Hart</t>
  </si>
  <si>
    <t>Elk</t>
  </si>
  <si>
    <t>{3}, Sacrifice this creature: Search your library for up to two basic land cards, put them onto the battlefield tapped, then shuffle.
(2/2)</t>
  </si>
  <si>
    <t>3/3 body</t>
  </si>
  <si>
    <t>Sacrifice: search for two basic lands, put them into play tapped</t>
  </si>
  <si>
    <t>Changeling Wayfinder</t>
  </si>
  <si>
    <t>Changeling (This card is every creature type.)
When this creature enters, you may search your library for a basic land card, reveal it, put it into your hand, then shuffle.
(1/2)</t>
  </si>
  <si>
    <t>Flexible Fixing</t>
  </si>
  <si>
    <t>Enters: search your library for a basic land card and put it into your hand</t>
  </si>
  <si>
    <t>Changeling (it is every creature type)</t>
  </si>
  <si>
    <t>C 0001</t>
  </si>
  <si>
    <t>Quintin Gleim</t>
  </si>
  <si>
    <t>Chromatic Lantern</t>
  </si>
  <si>
    <t>Lands you control have "{T}: Add one mana of any color."
{T}: Add one mana of any color.</t>
  </si>
  <si>
    <t>Lands you control have "{T}: Add one mana of any color."</t>
  </si>
  <si>
    <t>{T}: Add one mana of any color</t>
  </si>
  <si>
    <t>Coldsteel Heart</t>
  </si>
  <si>
    <t>Snow Artifact</t>
  </si>
  <si>
    <t>This artifact enters tapped.
As this artifact enters, choose a color.
{T}: Add one mana of the chosen color.</t>
  </si>
  <si>
    <t>Enters tapped; choose a color as it enters</t>
  </si>
  <si>
    <t>Taps for one mana of the chosen color</t>
  </si>
  <si>
    <t>Coldsnap</t>
  </si>
  <si>
    <t>Contagion Clasp</t>
  </si>
  <si>
    <t>When this artifact enters, put a -1/-1 counter on target creature.
{4}, {T}: Proliferate. (Choose any number of permanents and/or players, then give each another counter of each kind already there.)</t>
  </si>
  <si>
    <t>Puts a -1/-1 counter on target creature when it enters</t>
  </si>
  <si>
    <t>{4}, tap: Proliferate</t>
  </si>
  <si>
    <t>Duel Decks: Elspeth vs. Tezzeret</t>
  </si>
  <si>
    <t>Contagion Engine</t>
  </si>
  <si>
    <t>When this artifact enters, put a -1/-1 counter on each creature target player controls.
{4}, {T}: Proliferate twice. (Choose any number of permanents and/or players, then give each another counter of each kind already there. Then do it again.)</t>
  </si>
  <si>
    <t>Containment Construct</t>
  </si>
  <si>
    <t>Whenever you discard a card, you may exile that card from your graveyard. If you do, you may play that card this turn.
(2/1)</t>
  </si>
  <si>
    <t>Discarding a card lets you exile it from graveyard and play it this turn</t>
  </si>
  <si>
    <t>Kamigawa: Neon Dynasty</t>
  </si>
  <si>
    <t>Crashing Drawbridge</t>
  </si>
  <si>
    <t>Defender
{T}: Creatures you control gain haste until end of turn.
(0/4)</t>
  </si>
  <si>
    <t>Haste Enabler</t>
  </si>
  <si>
    <t>Tap to give your creatures haste until end of turn</t>
  </si>
  <si>
    <t>Currency Converter</t>
  </si>
  <si>
    <t>Whenever you discard a card, you may exile that card from your graveyard.
{2}, {T}: Draw a card, then discard a card.
{T}: Put a card exiled with this artifact into its owner's graveyard. If it's a land card, create a Treasure token. If it's a nonland card, create a 2/2 black Rogue creature token.</t>
  </si>
  <si>
    <t>Discarding a card lets you exile it from your graveyard</t>
  </si>
  <si>
    <t>Tap: put an exiled card into graveyard, making a Treasure or a 2/2 Rogue token</t>
  </si>
  <si>
    <t>Darksteel Reactor</t>
  </si>
  <si>
    <t>Indestructible (Effects that say "destroy" don't destroy this artifact.)
At the beginning of your upkeep, you may put a charge counter on this artifact.
When this artifact has twenty or more charge counters on it, you win the game.</t>
  </si>
  <si>
    <t>Indestructible</t>
  </si>
  <si>
    <t>At the beginning of your upkeep, you may put a charge counter on this artifact</t>
  </si>
  <si>
    <t>When this artifact has twenty or more charge counters on it, you win the game</t>
  </si>
  <si>
    <t>Dawn-Blessed Pennant</t>
  </si>
  <si>
    <t>As this artifact enters, choose Elemental, Elf, Faerie, Giant, Goblin, Kithkin, Merfolk, or Treefolk.
Whenever a permanent you control of the chosen type enters, you gain 1 life.
{2}, {T}, Sacrifice this artifact: Return target card of the chosen type from your graveyard to your hand.</t>
  </si>
  <si>
    <t>Gain 1 life whenever a permanent of the chosen type enters</t>
  </si>
  <si>
    <t>Sacrifice and pay {2} to return a card of the chosen type from graveyard to hand</t>
  </si>
  <si>
    <t>U 0254</t>
  </si>
  <si>
    <t>Igor Krstic</t>
  </si>
  <si>
    <t>Dwarven Mattock</t>
  </si>
  <si>
    <t>When this Equipment enters, attach it to target Dwarf you control.
Equipped creature gets +2/+2 and has ward {1}. (Whenever equipped creature becomes the target of a spell or ability an opponent controls, counter it unless that player pays {1}.)
Equip {3} ({3}: Attach to target creature you control. Equip only as a sorcery.)</t>
  </si>
  <si>
    <t>Enters: attaches to target Dwarf you control</t>
  </si>
  <si>
    <t>Equipped creature gets +2/+2 and resists opponents' targeted spells and abilities unless they pay {1}</t>
  </si>
  <si>
    <t>BL0017</t>
  </si>
  <si>
    <t>Eldrazi Ravager</t>
  </si>
  <si>
    <t>Annihilator 1 (Whenever this creature attacks, defending player sacrifices a permanent of their choice.)
Sacrifice two Eldrazi: Return this card from your graveyard to your hand.
Cycling {2} ({2}, Discard this card: Draw a card.)
(6/6)</t>
  </si>
  <si>
    <t>Attacking forces the defending player to sacrifice a permanent</t>
  </si>
  <si>
    <t>Sacrifice two Eldrazi: return this from graveyard to hand</t>
  </si>
  <si>
    <t>Discard for {2} to draw a card instead of casting</t>
  </si>
  <si>
    <t>Endbringer</t>
  </si>
  <si>
    <t>Untap this creature during each other player's untap step.
{T}: This creature deals 1 damage to any target.
{C}, {T}: Target creature can't attack or block this turn.
{C}{C}, {T}: Draw a card.
(5/5)</t>
  </si>
  <si>
    <t>Untaps during each other player's untap step</t>
  </si>
  <si>
    <t>Tap: deals 1 damage to any target</t>
  </si>
  <si>
    <t>Pay {C}{C}, tap: draw a card</t>
  </si>
  <si>
    <t>Oath of the Gatewatch</t>
  </si>
  <si>
    <t>Everflowing Chalice</t>
  </si>
  <si>
    <t>Multikicker {2} (You may pay an additional {2} any number of times as you cast this spell.)
This artifact enters with a charge counter on it for each time it was kicked.
{T}: Add {C} for each charge counter on this artifact.</t>
  </si>
  <si>
    <t>Taps for {C} equal to charge counters on it</t>
  </si>
  <si>
    <t>Enters with more counters if kicked for extra {2} payments</t>
  </si>
  <si>
    <t>Explorer's Scope</t>
  </si>
  <si>
    <t>Whenever equipped creature attacks, look at the top card of your library. If it's a land card, you may put it onto the battlefield tapped.
Equip {1} ({1}: Attach to target creature you control. Equip only as a sorcery.)</t>
  </si>
  <si>
    <t>Attacking lets you look at the top library card and play a land there onto the battlefield tapped</t>
  </si>
  <si>
    <t>BL0070</t>
  </si>
  <si>
    <t>BL0085</t>
  </si>
  <si>
    <t>Fellwar Stone</t>
  </si>
  <si>
    <t>The Dark</t>
  </si>
  <si>
    <t>Foraging Wickermaw</t>
  </si>
  <si>
    <t>Scarecrow</t>
  </si>
  <si>
    <t>When this creature enters, surveil 1. (Look at the top card of your library. You may put it into your graveyard.)
{1}: Add one mana of any color. This creature becomes that color until end of turn. Activate only once each turn.
(1/3)</t>
  </si>
  <si>
    <t>{1}: Add one mana of any color and it becomes that color; once each turn</t>
  </si>
  <si>
    <t>Enters: look at the top card of your library, and you may put it into your graveyard</t>
  </si>
  <si>
    <t>C 0256</t>
  </si>
  <si>
    <t>Ron Spencer</t>
  </si>
  <si>
    <t>Ghost Vacuum</t>
  </si>
  <si>
    <t>{T}: Exile target card from a graveyard.
{6}, {T}, Sacrifice this artifact: Put each creature card exiled with this artifact onto the battlefield under your control with a flying counter on it. Each of them is a 1/1 Spirit in addition to its other types. Activate only as a sorcery.</t>
  </si>
  <si>
    <t>Tap: exile target card from a graveyard</t>
  </si>
  <si>
    <t>Pay {6}, tap, sacrifice: put all creatures exiled with it onto the battlefield as 1/1 flying Spirits</t>
  </si>
  <si>
    <t>Duskmourn: House of Horror</t>
  </si>
  <si>
    <t>Giant's Boulder</t>
  </si>
  <si>
    <t>When this artifact enters, scry 2. (Look at the top two cards of your library, then put any number of them on the bottom and the rest on top in any order.)
{1}, {T}: Add one mana of any color.
{7}, {T}, Sacrifice this artifact: Destroy target permanent.</t>
  </si>
  <si>
    <t>Taps for one mana of any color for {1}</t>
  </si>
  <si>
    <t>Scry 2 when it enters</t>
  </si>
  <si>
    <t>Sacrifice and pay {7} to destroy target permanent</t>
  </si>
  <si>
    <t>Golgari Signet</t>
  </si>
  <si>
    <t>{1}, {T}: Add {B}{G}.</t>
  </si>
  <si>
    <t>{1}, {T}: Add {B}{G}</t>
  </si>
  <si>
    <t>Ravnica: City of Guilds</t>
  </si>
  <si>
    <t>Ichor Wellspring</t>
  </si>
  <si>
    <t>When this artifact enters or is put into a graveyard from the battlefield, draw a card.</t>
  </si>
  <si>
    <t>Draws a card when it enters or is put into a graveyard from the battlefield</t>
  </si>
  <si>
    <t>Idol of Oblivion</t>
  </si>
  <si>
    <t>{T}: Draw a card. Activate only if you created a token this turn.
{8}, {T}, Sacrifice this artifact: Create a 10/10 colorless Eldrazi creature token.</t>
  </si>
  <si>
    <t>{T}: Draw a card. Activate only if you created a token this turn.
{8}, {T}, Sacrifice this artifact: Create a 10/10 colo</t>
  </si>
  <si>
    <t>Lightning Greaves</t>
  </si>
  <si>
    <t>Equipped creature has haste and shroud. (It can't be the target of spells or abilities.)
Equip {0}</t>
  </si>
  <si>
    <t>Equipped creature has haste and shroud</t>
  </si>
  <si>
    <t>Equip {0}</t>
  </si>
  <si>
    <t>Long-Bodied Grey Dog</t>
  </si>
  <si>
    <t>Dog</t>
  </si>
  <si>
    <t>Flash
Reach
When this creature enters, create a tapped Treasure token. (It's an artifact with "{T}, Sacrifice this token: Add one mana of any color.")
(2/2)</t>
  </si>
  <si>
    <t>Enters: create a tapped Treasure token</t>
  </si>
  <si>
    <t>Flash and reach on a 2/2 body</t>
  </si>
  <si>
    <t>Mage Tower Referee</t>
  </si>
  <si>
    <t>Whenever you cast a multicolored spell, put a +1/+1 counter on this creature.
(2/1)</t>
  </si>
  <si>
    <t>Whenever you cast a multicolored spell, put a +1/+1 counter on this creature</t>
  </si>
  <si>
    <t>Magistrate's Scepter</t>
  </si>
  <si>
    <t>{4}, {T}: Put a charge counter on this artifact.
{T}, Remove three charge counters from this artifact: Take an extra turn after this one.</t>
  </si>
  <si>
    <t>{4}, {T}: Put a charge counter on this artifact</t>
  </si>
  <si>
    <t>{T}, Remove three charge counters from this artifact: Take an extra turn after this one</t>
  </si>
  <si>
    <t>Mercadian Masques</t>
  </si>
  <si>
    <t>Mask of Memory</t>
  </si>
  <si>
    <t>Whenever equipped creature deals combat damage to a player, you may draw two cards. If you do, discard a card.
Equip {1} ({1}: Attach to target creature you control. Equip only as a sorcery.)</t>
  </si>
  <si>
    <t>Equipped creature draws two and discards one on combat damage to a player</t>
  </si>
  <si>
    <t>Equip for 1</t>
  </si>
  <si>
    <t>Millikin</t>
  </si>
  <si>
    <t>{T}, Mill a card: Add {C}. (Activate only as an instant. To mill a card, put the top card of your library into your graveyard.)
(0/1)</t>
  </si>
  <si>
    <t>Mill a card, tap: add {C}</t>
  </si>
  <si>
    <t>Panharmonicon</t>
  </si>
  <si>
    <t>If an artifact or creature entering causes a triggered ability of a permanent you control to trigger, that ability triggers an additional time.</t>
  </si>
  <si>
    <t>If an artifact or creature entering causes a triggered ability of a permanent you control to trigger, that ability trigg</t>
  </si>
  <si>
    <t>Patchwork Banner</t>
  </si>
  <si>
    <t>As this artifact enters, choose a creature type.
Creatures you control of the chosen type get +1/+1.
{T}: Add one mana of any color.</t>
  </si>
  <si>
    <t>Choose a creature type; those creatures get +1/+1</t>
  </si>
  <si>
    <t>Bloomburrow</t>
  </si>
  <si>
    <t>Perpetual Timepiece</t>
  </si>
  <si>
    <t>{T}: Mill two cards. (Put the top two cards of your library into your graveyard.)
{2}, Exile this artifact: Shuffle any number of target cards from your graveyard into your library.</t>
  </si>
  <si>
    <t>Tap: mill two cards</t>
  </si>
  <si>
    <t>Exile this: shuffle any number of target graveyard cards into your library</t>
  </si>
  <si>
    <t>Prismatic Lens</t>
  </si>
  <si>
    <t>{T}: Add {C}.
{1}, {T}: Add one mana of any color.</t>
  </si>
  <si>
    <t>Taps for colorless</t>
  </si>
  <si>
    <t>Pay 1 and tap for one mana of any color</t>
  </si>
  <si>
    <t>Time Spiral</t>
  </si>
  <si>
    <t>Prophetic Prism</t>
  </si>
  <si>
    <t>When this artifact enters, draw a card.
{1}, {T}: Add one mana of any color.</t>
  </si>
  <si>
    <t>Draws a card when it enters</t>
  </si>
  <si>
    <t>BL0076</t>
  </si>
  <si>
    <t>Psychosis Crawler</t>
  </si>
  <si>
    <t>Phyrexian Horror</t>
  </si>
  <si>
    <t>Psychosis Crawler's power and toughness are each equal to the number of cards in your hand.
Whenever you draw a card, each opponent loses 1 life.
(*/*)</t>
  </si>
  <si>
    <t>Whenever you draw a card, each opponent loses 1 life</t>
  </si>
  <si>
    <t>Psychosis Crawler's power and toughness are each equal to the number of cards in your hand</t>
  </si>
  <si>
    <t>Ruby Medallion</t>
  </si>
  <si>
    <t>Red spells you cast cost {1} less to cast.</t>
  </si>
  <si>
    <t>Tempest</t>
  </si>
  <si>
    <t>Selesnya Signet</t>
  </si>
  <si>
    <t>{1}, {T}: Add {G}{W}.</t>
  </si>
  <si>
    <t>{1}, {T}: Add {G}{W}</t>
  </si>
  <si>
    <t>Salvat 2005</t>
  </si>
  <si>
    <t>Shield-Wall Sentinel</t>
  </si>
  <si>
    <t>Golem</t>
  </si>
  <si>
    <t>Defender
When this creature enters, you may search your library for a creature card with defender, reveal it, put it into your hand, then shuffle.
(1/3)</t>
  </si>
  <si>
    <t>Tutor</t>
  </si>
  <si>
    <t>When this creature enters, you may search your library for a creature card with defender, reveal it, put it into your ha</t>
  </si>
  <si>
    <t>Simic Signet</t>
  </si>
  <si>
    <t>{1}, {T}: Add {G}{U}.</t>
  </si>
  <si>
    <t>{1}, tap: add {G}{U}</t>
  </si>
  <si>
    <t>Sol Ring</t>
  </si>
  <si>
    <t>{T}: Add {C}{C}.</t>
  </si>
  <si>
    <t>Taps for {C}{C}</t>
  </si>
  <si>
    <t>TCG x2</t>
  </si>
  <si>
    <t>Solemn Simulacrum</t>
  </si>
  <si>
    <t>When this creature enters, you may search your library for a basic land card, put that card onto the battlefield tapped, then shuffle.
When this creature dies, you may draw a card.
(2/2)</t>
  </si>
  <si>
    <t>Searches for a basic land and puts it onto the battlefield tapped when it enters</t>
  </si>
  <si>
    <t>Soul of New Phyrexia</t>
  </si>
  <si>
    <t>Phyrexian Avatar</t>
  </si>
  <si>
    <t>Trample
{5}: Permanents you control gain indestructible until end of turn.
{5}, Exile this card from your graveyard: Permanents you control gain indestructible until end of turn.
(6/6)</t>
  </si>
  <si>
    <t>Pay {5} to give your permanents indestructible until end of turn</t>
  </si>
  <si>
    <t>Exile this from graveyard and pay {5} for the same effect</t>
  </si>
  <si>
    <t>Stalactite Dagger</t>
  </si>
  <si>
    <t>When this Equipment enters, create a 1/1 colorless Shapeshifter creature token with changeling. (It's every creature type.)
Equipped creature gets +1/+1 and is all creature types.
Equip {2} ({2}: Attach to target creature you control. Equip only as a sorcery.)</t>
  </si>
  <si>
    <t>Enters: create a 1/1 colorless Shapeshifter token with changeling</t>
  </si>
  <si>
    <t>Equipped creature gets +1/+1 and is every creature type; equip {2}</t>
  </si>
  <si>
    <t>Strixhaven Skycoach</t>
  </si>
  <si>
    <t>Flying
When this Vehicle enters, you may search your library for a basic land card, reveal it, put it into your hand, then shuffle.
Crew 2 (Tap any number of creatures you control with total power 2 or more: This Vehicle becomes an artifact creature until end of turn.)
(3/2)</t>
  </si>
  <si>
    <t>3/2 flying Vehicle, crew 2</t>
  </si>
  <si>
    <t>Strixhaven Stadium</t>
  </si>
  <si>
    <t>{T}: Add {C}. Put a point counter on this artifact.
Whenever a creature deals combat damage to you, remove a point counter from this artifact.
Whenever a creature you control deals combat damage to an opponent, put a point counter on this artifact. Then if it has ten or more point counters on it, remove them all and that player loses the game.</t>
  </si>
  <si>
    <t>Taps for {C}, gaining a point counter</t>
  </si>
  <si>
    <t>10+ point counters from combat damage causes an opponent to lose the game</t>
  </si>
  <si>
    <t>Loses counters when you take combat damage</t>
  </si>
  <si>
    <t>Sundering Archaic</t>
  </si>
  <si>
    <t>Avatar</t>
  </si>
  <si>
    <t>Converge — When this creature enters, exile target nonland permanent an opponent controls with mana value less than or equal to the number of colors of mana spent to cast this creature.
{2}: Put target card from a graveyard on the bottom of its owner's library.
(3/3)</t>
  </si>
  <si>
    <t>Converge — enters: exile target nonland permanent an opponent controls with mana value up to the number of colors of mana spent to cast it</t>
  </si>
  <si>
    <t>{2}: Put target card from a graveyard on the bottom of its owner's library</t>
  </si>
  <si>
    <t>Swiftfoot Boots</t>
  </si>
  <si>
    <t>Equipped creature has hexproof and haste. (It can't be the target of spells or abilities your opponents control. It can attack and {T} no matter when it came under your control.)
Equip {1} ({1}: Attach to target creature you control. Equip only as a sorcery.)</t>
  </si>
  <si>
    <t>Equipped creature has hexproof and haste</t>
  </si>
  <si>
    <t>Equip {1}</t>
  </si>
  <si>
    <t>Magic 2012</t>
  </si>
  <si>
    <t>The Black Arrow</t>
  </si>
  <si>
    <t>Flash
When The Black Arrow enters, it deals 1 damage to any target. If a Dragon is dealt damage this way, destroy it.
Equipped creature gets +1/+1 and has reach.
Equip {1} ({1}: Attach to target creature you control. Equip only as a sorcery.)</t>
  </si>
  <si>
    <t>Enters: deals 1 damage to any target; if a Dragon is dealt damage this way, destroy it</t>
  </si>
  <si>
    <t>Equipped creature gets +1/+1 and has reach; equip {1}</t>
  </si>
  <si>
    <t>Flash</t>
  </si>
  <si>
    <t>Thornbite Staff</t>
  </si>
  <si>
    <t>Kindred Artifact</t>
  </si>
  <si>
    <t>Shaman Equipment</t>
  </si>
  <si>
    <t>Equipped creature has "{2}, {T}: This creature deals 1 damage to any target" and "Whenever a creature dies, untap this creature."
Whenever a Shaman creature enters, you may attach this Equipment to it.
Equip {4}</t>
  </si>
  <si>
    <t>Equipped creature has "{2}, {T}: This creature deals 1 damage to any target" and "Whenever a creature dies, untap this c</t>
  </si>
  <si>
    <t>Whenever a Shaman creature enters, you may attach this Equipment to it</t>
  </si>
  <si>
    <t>Equip {4}</t>
  </si>
  <si>
    <t>Morningtide</t>
  </si>
  <si>
    <t>Thought Vessel</t>
  </si>
  <si>
    <t>You have no maximum hand size.
{T}: Add {C}.</t>
  </si>
  <si>
    <t>{T}: Add {C}</t>
  </si>
  <si>
    <t>You have no maximum hand size</t>
  </si>
  <si>
    <t>Commander 2015</t>
  </si>
  <si>
    <t>Thousand-Year Elixir</t>
  </si>
  <si>
    <t>You may activate abilities of creatures you control as though those creatures had haste.
{1}, {T}: Untap target creature.</t>
  </si>
  <si>
    <t>Your creatures can use tap abilities the turn they enter</t>
  </si>
  <si>
    <t>Pay {1} and tap to untap target creature</t>
  </si>
  <si>
    <t>Lorwyn</t>
  </si>
  <si>
    <t>Throne of Geth</t>
  </si>
  <si>
    <t>{T}, Sacrifice an artifact: Proliferate. (Choose any number of permanents and/or players, then give each another counter of each kind already there.)</t>
  </si>
  <si>
    <t>Sacrifice an artifact to proliferate</t>
  </si>
  <si>
    <t>Thrór's Map</t>
  </si>
  <si>
    <t>When Thrór's Map enters, search your library for a basic land card, reveal it, put it into your hand, then shuffle.
{2}, {T}: Draw a card, then discard a card.</t>
  </si>
  <si>
    <t>{2}, {T}: Draw a card, then discard a card</t>
  </si>
  <si>
    <t>Tome of Legends</t>
  </si>
  <si>
    <t>Book</t>
  </si>
  <si>
    <t>This artifact enters with a page counter on it.
Whenever your commander enters or attacks, put a page counter on this artifact.
{1}, {T}, Remove a page counter from this artifact: Draw a card.</t>
  </si>
  <si>
    <t>Gets a page counter when your commander enters or attacks</t>
  </si>
  <si>
    <t>Remove a page counter, pay {1}, tap: draw a card</t>
  </si>
  <si>
    <t>BL0040</t>
  </si>
  <si>
    <t>Troop of Ponies</t>
  </si>
  <si>
    <t>Horse</t>
  </si>
  <si>
    <t>{2}, {T}, Sacrifice this creature: Search your library for up to two basic land cards, reveal them, put one onto the battlefield tapped and the other into your hand, then shuffle.
(2/1)</t>
  </si>
  <si>
    <t>{2}, {T}, sacrifice: search for two basic lands, one onto the battlefield tapped and the other into your hand</t>
  </si>
  <si>
    <t>U 0199</t>
  </si>
  <si>
    <t>Ted Nasmith</t>
  </si>
  <si>
    <t>Unlicensed Hearse</t>
  </si>
  <si>
    <t>{T}: Exile up to two target cards from a single graveyard.
Unlicensed Hearse's power and toughness are each equal to the number of cards exiled with it.
Crew 2
(*/*)</t>
  </si>
  <si>
    <t>{T}: Exile up to two target cards from a single graveyard</t>
  </si>
  <si>
    <t>Unlicensed Hearse's power and toughness are each equal to the number of cards exiled with it</t>
  </si>
  <si>
    <t>Crew 2</t>
  </si>
  <si>
    <t>Streets of New Capenna</t>
  </si>
  <si>
    <t>Vanquisher's Banner</t>
  </si>
  <si>
    <t>As this artifact enters, choose a creature type.
Creatures you control of the chosen type get +1/+1.
Whenever you cast a creature spell of the chosen type, draw a card.</t>
  </si>
  <si>
    <t>Whenever you cast a creature spell of the chosen type, draw a card</t>
  </si>
  <si>
    <t>As this artifact enters, choose a creature type</t>
  </si>
  <si>
    <t>Creatures you control of the chosen type get +1/+1</t>
  </si>
  <si>
    <t>Voyager Staff</t>
  </si>
  <si>
    <t>{2}, Sacrifice this artifact: Exile target creature. Return the exiled card to the battlefield under its owner's control at the beginning of the next end step.</t>
  </si>
  <si>
    <t>Blink</t>
  </si>
  <si>
    <t>Sacrifice: exile target creature, return it at next end step</t>
  </si>
  <si>
    <t>Walking Bulwark</t>
  </si>
  <si>
    <t>Defender
{2}: Until end of turn, target creature with defender gains haste, can attack as though it didn't have defender, and assigns combat damage equal to its toughness rather than its power. Activate only as a sorcery.
(0/3)</t>
  </si>
  <si>
    <t>Lets target defender attack, dealing damage equal to toughness</t>
  </si>
  <si>
    <t>Defender body itself</t>
  </si>
  <si>
    <t>Wall of Junk</t>
  </si>
  <si>
    <t>Defender (This creature can't attack.)
When this creature blocks, return it to its owner's hand at end of combat. (Return it only if it's on the battlefield.)
(0/7)</t>
  </si>
  <si>
    <t>When this creature blocks, return it to its owner's hand at end of combat</t>
  </si>
  <si>
    <t>Urza's Saga</t>
  </si>
  <si>
    <t>War Room</t>
  </si>
  <si>
    <t>{T}: Add {C}.
{3}, {T}, Pay life equal to the number of colors in your commanders' color identity: Draw a card.</t>
  </si>
  <si>
    <t>Weathered Sentinels</t>
  </si>
  <si>
    <t>Defender, reach, vigilance, trample
This creature can attack players who attacked you during their last turn as though it didn't have defender.
Whenever this creature attacks, it gets +3/+3 and gains indestructible until end of turn.
(2/5)</t>
  </si>
  <si>
    <t>Can attack players who attacked you last turn despite normally being unable to attack</t>
  </si>
  <si>
    <t>Gets +3/+3 and becomes indestructible when it attacks</t>
  </si>
  <si>
    <t>Well-Worn Spatula</t>
  </si>
  <si>
    <t>When this Equipment enters, you gain 2 life.
Equipped creature gets +1/+1.
Equip {1} ({1}: Attach to target creature you control. Equip only as a sorcery.)</t>
  </si>
  <si>
    <t>Equipped creature gets +1/+1; equip {1}</t>
  </si>
  <si>
    <t>Enters: you gain 2 life</t>
  </si>
  <si>
    <t>Ambitious Augmenter</t>
  </si>
  <si>
    <t>G</t>
  </si>
  <si>
    <t>Turtle Wizard</t>
  </si>
  <si>
    <t>Increment (Whenever you cast a spell, if the amount of mana you spent is greater than this creature's power or toughness, put a +1/+1 counter on this creature.)
When this creature dies, if it had one or more counters on it, create a 0/0 green and blue Fractal creature token, then put this creature's counters on that token.
(1/1)</t>
  </si>
  <si>
    <t>Increment — whenever you cast a spell for more mana than this creature's power or toughness, put a +1/+1 counter on it</t>
  </si>
  <si>
    <t>When it dies with counters on it, create a 0/0 Fractal token and move the counters onto it</t>
  </si>
  <si>
    <t>Ancient Greenwarden</t>
  </si>
  <si>
    <t>Reach (This creature can block creatures with flying.)
You may play lands from your graveyard.
If a land entering causes a triggered ability of a permanent you control to trigger, that ability triggers an additional time.
(5/7)</t>
  </si>
  <si>
    <t>You may play lands from your graveyard</t>
  </si>
  <si>
    <t>Triggered abilities from a land entering trigger an additional time</t>
  </si>
  <si>
    <t>Arbor Adherent</t>
  </si>
  <si>
    <t>Dog Druid</t>
  </si>
  <si>
    <t>{T}: Add one mana of any color.
{T}: Add X mana of any one color, where X is the greatest toughness among other creatures you control.
(2/4)</t>
  </si>
  <si>
    <t>{T}: Add X mana of any one color, where X is the greatest toughness among other creatures you control</t>
  </si>
  <si>
    <t>Tarkir: Dragonstorm Commander</t>
  </si>
  <si>
    <t>Arboreal Grazer</t>
  </si>
  <si>
    <t>Sloth Beast</t>
  </si>
  <si>
    <t>Reach
When this creature enters, you may put a land card from your hand onto the battlefield tapped.
(0/3)</t>
  </si>
  <si>
    <t>Puts a land from your hand onto the battlefield tapped, on ETB</t>
  </si>
  <si>
    <t>Reach body</t>
  </si>
  <si>
    <t>BL0077</t>
  </si>
  <si>
    <t>Assault Formation</t>
  </si>
  <si>
    <t>Each creature you control assigns combat damage equal to its toughness rather than its power.
{G}: Target creature with defender can attack this turn as though it didn't have defender.
{2}{G}: Creatures you control get +0/+1 until end of turn.</t>
  </si>
  <si>
    <t>Your creatures assign combat damage equal to toughness rather than power</t>
  </si>
  <si>
    <t>{G}: Target defender can attack this turn</t>
  </si>
  <si>
    <t>{2}{G}: Creatures you control get +0/+1</t>
  </si>
  <si>
    <t>Dragons of Tarkir</t>
  </si>
  <si>
    <t>Attercop</t>
  </si>
  <si>
    <t>Spider</t>
  </si>
  <si>
    <t>Reach, deathtouch
Landfall — Whenever a land you control enters, this creature gets +1/+1 until end of turn.
(2/1)</t>
  </si>
  <si>
    <t>Reach, deathtouch</t>
  </si>
  <si>
    <t>Landfall - whenever a land you control enters, it gets +1/+1 until end of turn</t>
  </si>
  <si>
    <t>C 0116</t>
  </si>
  <si>
    <t>Michelle Giorgi</t>
  </si>
  <si>
    <t>Axebane Guardian</t>
  </si>
  <si>
    <t>Human Druid</t>
  </si>
  <si>
    <t>Defender
{T}: Add X mana in any combination of colors, where X is the number of creatures you control with defender.
(0/3)</t>
  </si>
  <si>
    <t>Defender Ramp</t>
  </si>
  <si>
    <t>Taps for X mana of any colors, X = creatures you control with defender</t>
  </si>
  <si>
    <t>Beast Whisperer</t>
  </si>
  <si>
    <t>Elf Druid</t>
  </si>
  <si>
    <t>Whenever you cast a creature spell, draw a card.
(2/3)</t>
  </si>
  <si>
    <t>Whenever you cast a creature spell, draw a card.</t>
  </si>
  <si>
    <t>Beast Within</t>
  </si>
  <si>
    <t>Destroy target permanent. Its controller creates a 3/3 green Beast creature token.</t>
  </si>
  <si>
    <t>Destroy target permanent. Its controller creates a 3/3 green Beast creature token</t>
  </si>
  <si>
    <t>New Phyrexia</t>
  </si>
  <si>
    <t>Boughside Wanderers</t>
  </si>
  <si>
    <t>Elf Scout</t>
  </si>
  <si>
    <t>When this creature enters, look at the top four cards of your library. You may reveal a permanent card from among them and put it into your hand. Put the rest on the bottom of your library in a random order.
Landfall — Whenever a land you control enters, this creature gets +2/+2 until end of turn.
(4/4)</t>
  </si>
  <si>
    <t>Card Advantage</t>
  </si>
  <si>
    <t>Enters: look at the top four cards of your library and put a permanent card from among them into your hand</t>
  </si>
  <si>
    <t>Landfall - whenever a land you control enters, it gets +2/+2 until end of turn</t>
  </si>
  <si>
    <t>BL0005</t>
  </si>
  <si>
    <t>Branching Evolution</t>
  </si>
  <si>
    <t>If one or more +1/+1 counters would be put on a creature you control, twice that many +1/+1 counters are put on that creature instead.</t>
  </si>
  <si>
    <t>If one or more +1/+1 counters would be put on a creature you control, twice that many +1/+1 counters are put on that cre</t>
  </si>
  <si>
    <t>Jumpstart</t>
  </si>
  <si>
    <t>Bristlebane Battler</t>
  </si>
  <si>
    <t>Kithkin Soldier</t>
  </si>
  <si>
    <t>Trample, ward {2}
This creature enters with five -1/-1 counters on it.
Whenever another creature you control enters while this creature has a -1/-1 counter on it, remove a -1/-1 counter from this creature.
(6/6)</t>
  </si>
  <si>
    <t>Enters with five -1/-1 counters on it</t>
  </si>
  <si>
    <t>Removes a -1/-1 counter from itself whenever another creature you control enters</t>
  </si>
  <si>
    <t>Cankerbloom</t>
  </si>
  <si>
    <t>Phyrexian Fungus</t>
  </si>
  <si>
    <t>{1}, Sacrifice this creature: Choose one —
• Destroy target artifact.
• Destroy target enchantment.
• Proliferate. (Choose any number of permanents and/or players, then give each another counter of each kind already there.)
(3/2)</t>
  </si>
  <si>
    <t>Artifact/Enchantment Removal</t>
  </si>
  <si>
    <t>{1}, Sacrifice this creature: Choose one —</t>
  </si>
  <si>
    <t>• Destroy target artifact</t>
  </si>
  <si>
    <t>• Destroy target enchantment</t>
  </si>
  <si>
    <t>Canopy Gargantuan</t>
  </si>
  <si>
    <t>Dragon</t>
  </si>
  <si>
    <t>Flying, ward {2}
At the beginning of your upkeep, put a number of +1/+1 counters on each other creature you control equal to that creature's toughness.
(7/7)</t>
  </si>
  <si>
    <t>Flying body that resists opposing spells</t>
  </si>
  <si>
    <t>Upkeep: put +1/+1 counters equal to toughness on each other creature you control</t>
  </si>
  <si>
    <t>BL0056</t>
  </si>
  <si>
    <t>Carven Caryatid</t>
  </si>
  <si>
    <t>Spirit</t>
  </si>
  <si>
    <t>Defender (This creature can't attack.)
When this creature enters, draw a card.
(2/5)</t>
  </si>
  <si>
    <t>Chelonian Tackle</t>
  </si>
  <si>
    <t>Target creature you control gets +0/+10 until end of turn. Then it fights up to one target creature an opponent controls. (Each deals damage equal to its power to the other.)</t>
  </si>
  <si>
    <t>Target creature you control gets +0/+10 until end of turn, then fights a creature an opponent controls</t>
  </si>
  <si>
    <t>Chomping Changeling</t>
  </si>
  <si>
    <t>Changeling (This card is every creature type.)
When this creature enters, destroy up to one target artifact or enchantment.
(1/2)</t>
  </si>
  <si>
    <t>Enters: destroy up to one target artifact or enchantment</t>
  </si>
  <si>
    <t>Changeling — it is every creature type</t>
  </si>
  <si>
    <t>Cultivate</t>
  </si>
  <si>
    <t>Search your library for up to two basic land cards, reveal those cards, put one onto the battlefield tapped and the other into your hand, then shuffle.</t>
  </si>
  <si>
    <t>Searches for two basic lands; puts one onto the battlefield tapped, one to hand</t>
  </si>
  <si>
    <t>Dawn's Light Archer</t>
  </si>
  <si>
    <t>Elf Archer</t>
  </si>
  <si>
    <t>Flash
Reach
(4/2)</t>
  </si>
  <si>
    <t>Can be cast at instant speed</t>
  </si>
  <si>
    <t>Can block fliers</t>
  </si>
  <si>
    <t>Dundoolin Weaver</t>
  </si>
  <si>
    <t>Kithkin Druid</t>
  </si>
  <si>
    <t>When this creature enters, if you control three or more creatures, return target permanent card from your graveyard to your hand.
(2/1)</t>
  </si>
  <si>
    <t>Enters: if you control three or more creatures, return a permanent card from graveyard to hand</t>
  </si>
  <si>
    <t>Elvish Visionary</t>
  </si>
  <si>
    <t>Elf Shaman</t>
  </si>
  <si>
    <t>When this creature enters, draw a card.
(1/1)</t>
  </si>
  <si>
    <t>When this creature enters, draw a card</t>
  </si>
  <si>
    <t>Shards of Alara</t>
  </si>
  <si>
    <t>Eternal Witness</t>
  </si>
  <si>
    <t>When this creature enters, you may return target card from your graveyard to your hand.
(2/1)</t>
  </si>
  <si>
    <t>Returns target card from your graveyard to hand when it enters</t>
  </si>
  <si>
    <t>Evolution Sage</t>
  </si>
  <si>
    <t>Landfall — Whenever a land you control enters, proliferate. (Choose any number of permanents and/or players, then give each another counter of each kind already there.)
(3/2)</t>
  </si>
  <si>
    <t>Proliferate whenever a land you control enters</t>
  </si>
  <si>
    <t>TCG</t>
  </si>
  <si>
    <t>Explore</t>
  </si>
  <si>
    <t>You may play an additional land this turn.
Draw a card.</t>
  </si>
  <si>
    <t>You may play an additional land this turn</t>
  </si>
  <si>
    <t>Draw a card</t>
  </si>
  <si>
    <t>Farhaven Elf</t>
  </si>
  <si>
    <t>When this creature enters, you may search your library for a basic land card, put it onto the battlefield tapped, then shuffle.
(1/1)</t>
  </si>
  <si>
    <t>Farseek</t>
  </si>
  <si>
    <t>Search your library for a Plains, Island, Swamp, or Mountain card, put it onto the battlefield tapped, then shuffle.</t>
  </si>
  <si>
    <t>Searches your library for a Plains, Island, Swamp, or Mountain card, puts it onto the battlefield tapped</t>
  </si>
  <si>
    <t>Fertilid</t>
  </si>
  <si>
    <t>This creature enters with two +1/+1 counters on it.
{1}{G}, Remove a +1/+1 counter from this creature: Target player searches their library for a basic land card, puts it onto the battlefield tapped, then shuffles.
(0/0)</t>
  </si>
  <si>
    <t>Enters with two +1/+1 counters</t>
  </si>
  <si>
    <t>Remove a counter: target player searches for a basic land onto the battlefield tapped</t>
  </si>
  <si>
    <t>Foggy Swamp Vinebender</t>
  </si>
  <si>
    <t>Human Plant Ally</t>
  </si>
  <si>
    <t>This creature can't be blocked by creatures with power 2 or less.
Waterbend {5}: Put a +1/+1 counter on this creature. Activate only during your turn. (While paying a waterbend cost, you can tap your artifacts and creatures to help. Each one pays for {1}.)
(4/3)</t>
  </si>
  <si>
    <t>Waterbend {5}: put a +1/+1 counter on it during your turn (tap artifacts and creatures to help pay)</t>
  </si>
  <si>
    <t>Cannot be blocked by creatures with power 2 or less</t>
  </si>
  <si>
    <t>Follow the Lumarets</t>
  </si>
  <si>
    <t>Infusion — Look at the top four cards of your library. You may reveal a creature or land card from among them and put it into your hand. If you gained life this turn, you may instead reveal two creature and/or land cards from among them and put them into your hand. Put the rest on the bottom of your library in a random order.</t>
  </si>
  <si>
    <t>Look at the top four cards and put a creature or land card from among them into your hand</t>
  </si>
  <si>
    <t>Infusion — take two creature and/or land cards instead if you gained life this turn</t>
  </si>
  <si>
    <t>BL0052</t>
  </si>
  <si>
    <t>Forgotten Ancient</t>
  </si>
  <si>
    <t>Whenever a player casts a spell, you may put a +1/+1 counter on this creature.
At the beginning of your upkeep, you may move any number of +1/+1 counters from this creature onto other creatures.
(0/3)</t>
  </si>
  <si>
    <t>Gets a +1/+1 counter whenever any player casts a spell</t>
  </si>
  <si>
    <t>Moves any number of +1/+1 counters to other creatures each upkeep</t>
  </si>
  <si>
    <t>Freyalise, Llanowar's Fury</t>
  </si>
  <si>
    <t>Freyalise</t>
  </si>
  <si>
    <t>+2: Create a 1/1 green Elf Druid creature token with "{T}: Add {G}."
−2: Destroy target artifact or enchantment.
−6: Draw a card for each green creature you control.
Freyalise, Llanowar's Fury can be your commander.
(Loyalty 3)</t>
  </si>
  <si>
    <t>+2: creates a 1/1 Elf token that taps for {G}</t>
  </si>
  <si>
    <t>-2: destroys target artifact or enchantment</t>
  </si>
  <si>
    <t>-6: draws a card per green creature you control</t>
  </si>
  <si>
    <t>Commander 2014</t>
  </si>
  <si>
    <t>Fynn, the Fangbearer</t>
  </si>
  <si>
    <t>Human Warrior</t>
  </si>
  <si>
    <t>Deathtouch (Any amount of damage this deals to a creature is enough to destroy it.)
Whenever a creature you control with deathtouch deals combat damage to a player, that player gets two poison counters. (A player with ten or more poison counters loses the game.)
(1/3)</t>
  </si>
  <si>
    <t>Whenever a creature you control with deathtouch deals combat damage to a player, that player gets two poison counters</t>
  </si>
  <si>
    <t>Garruk's Uprising</t>
  </si>
  <si>
    <t>When this enchantment enters, if you control a creature with power 4 or greater, draw a card.
Creatures you control have trample. (Each of those creatures can deal excess combat damage to the player or planeswalker it's attacking.)
Whenever a creature you control with power 4 or greater enters, draw a card.</t>
  </si>
  <si>
    <t>When this enchantment enters, if you control a creature with power 4 or greater, draw a card</t>
  </si>
  <si>
    <t>Whenever a creature you control with power 4 or greater enters, draw a card</t>
  </si>
  <si>
    <t>Creatures you control have trample</t>
  </si>
  <si>
    <t>Germination Practicum</t>
  </si>
  <si>
    <t>Put two +1/+1 counters on each creature you control.
Paradigm (Then exile this spell. After you first resolve a spell with this name, you may cast a copy of it from exile without paying its mana cost at the beginning of each of your first main phases.)</t>
  </si>
  <si>
    <t>Put two +1/+1 counters on each creature you control</t>
  </si>
  <si>
    <t>Paradigm — it exiles itself, then you may cast a free copy at the beginning of each of your first main phases</t>
  </si>
  <si>
    <t>M 0149</t>
  </si>
  <si>
    <t>Johan Grenier</t>
  </si>
  <si>
    <t>Giant Growth</t>
  </si>
  <si>
    <t>Target creature gets +3/+3 until end of turn.</t>
  </si>
  <si>
    <t>Target creature gets +3/+3 until end of turn</t>
  </si>
  <si>
    <t>U 0052</t>
  </si>
  <si>
    <t>Alex Stone</t>
  </si>
  <si>
    <t>Gilt-Leaf's Embrace</t>
  </si>
  <si>
    <t>Flash
Enchant creature
When this Aura enters, enchanted creature gains trample and indestructible until end of turn. (Damage and effects that say "destroy" don't destroy it. If its toughness is 0 or less, it still dies.)
Enchanted creature gets +2/+0.</t>
  </si>
  <si>
    <t>Enchanted creature gets +2/+0</t>
  </si>
  <si>
    <t>Enchanted creature can't be destroyed and its damage carries through blockers until end of turn, when it enters</t>
  </si>
  <si>
    <t>Glorious Decay</t>
  </si>
  <si>
    <t>Choose one —
• Destroy target artifact.
• Glorious Decay deals 4 damage to target creature with flying.
• Exile target card from a graveyard. Draw a card.</t>
  </si>
  <si>
    <t>Choose one — destroy target artifact</t>
  </si>
  <si>
    <t>Or deal 4 damage to a creature with flying, or exile a card from a graveyard and draw a card</t>
  </si>
  <si>
    <t>Grazing Gladehart</t>
  </si>
  <si>
    <t>Antelope</t>
  </si>
  <si>
    <t>Landfall — Whenever a land you control enters, you may gain 2 life.
(2/2)</t>
  </si>
  <si>
    <t>Gains 2 life when a land you control enters</t>
  </si>
  <si>
    <t>Great Forest Druid</t>
  </si>
  <si>
    <t>Treefolk Druid</t>
  </si>
  <si>
    <t>{T}: Add one mana of any color.
(0/4)</t>
  </si>
  <si>
    <t>0/4 body that blocks early</t>
  </si>
  <si>
    <t>Guardian of the Halls</t>
  </si>
  <si>
    <t>Elf Soldier</t>
  </si>
  <si>
    <t>Trample
{5}{G}{G}: Put three +1/+1 counters on this creature.
(2/2)</t>
  </si>
  <si>
    <t>Pay {5}{G}{G} to put three +1/+1 counters on it</t>
  </si>
  <si>
    <t>Excess combat damage carries through to the defending player</t>
  </si>
  <si>
    <t>BL0055</t>
  </si>
  <si>
    <t>Guardian Project</t>
  </si>
  <si>
    <t>Whenever a nontoken creature you control enters, if it doesn't have the same name as another creature you control or a creature card in your graveyard, draw a card.</t>
  </si>
  <si>
    <t>Whenever a nontoken creature you control enters, if it doesn't have the same name as another creature you control or a c</t>
  </si>
  <si>
    <t>Hardened Scales</t>
  </si>
  <si>
    <t>If one or more +1/+1 counters would be put on a creature you control, that many plus one +1/+1 counters are put on it instead.</t>
  </si>
  <si>
    <t>If one or more +1/+1 counters would be put on a creature you control, that many plus one +1/+1 counters are put on it in</t>
  </si>
  <si>
    <t>Heroic Intervention</t>
  </si>
  <si>
    <t>Permanents you control gain hexproof and indestructible until end of turn.</t>
  </si>
  <si>
    <t>Hornet Nest</t>
  </si>
  <si>
    <t>Defender (This creature can't attack.)
Whenever this creature is dealt damage, create that many 1/1 green Insect creature tokens with flying and deathtouch. (Any amount of damage a creature with deathtouch deals to a creature is enough to destroy it.)
(0/2)</t>
  </si>
  <si>
    <t>Whenever this creature is dealt damage, create that many 1/1 green Insect creature tokens with flying and deathtouch</t>
  </si>
  <si>
    <t>Innkeeper's Talent</t>
  </si>
  <si>
    <t>Class</t>
  </si>
  <si>
    <t>(Gain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</si>
  <si>
    <t>At the beginning of combat on your turn, put a +1/+1 counter on target creature you control</t>
  </si>
  <si>
    <t>{G}: Level 2</t>
  </si>
  <si>
    <t>Permanents you control with counters on them have ward {1}</t>
  </si>
  <si>
    <t>Inspiring Call</t>
  </si>
  <si>
    <t>Draw a card for each creature you control with a +1/+1 counter on it. Those creatures gain indestructible until end of turn. (Damage and effects that say "destroy" don't destroy them.)</t>
  </si>
  <si>
    <t>Draws a card for each creature you control with a +1/+1 counter</t>
  </si>
  <si>
    <t>Those creatures gain indestructible until end of turn</t>
  </si>
  <si>
    <t>Jaddi Offshoot</t>
  </si>
  <si>
    <t>Defender
Landfall — Whenever a land you control enters, you gain 1 life.
(0/3)</t>
  </si>
  <si>
    <t>Gain 1 life whenever a land you control enters</t>
  </si>
  <si>
    <t>Kodama's Reach</t>
  </si>
  <si>
    <t>Arcane</t>
  </si>
  <si>
    <t>Search your library for up to two basic land cards, reveal those cards, put one onto the battlefield tapped and the othe</t>
  </si>
  <si>
    <t>Champions of Kamigawa</t>
  </si>
  <si>
    <t>Kyoshi Island Plaza</t>
  </si>
  <si>
    <t>When Kyoshi Island Plaza enters, search your library for up to X basic land cards, where X is the number of Shrines you control. Put those cards onto the battlefield tapped, then shuffle.
Whenever another Shrine you control enters, search your library for a basic land card, put it onto the battlefield tapped, then shuffle.</t>
  </si>
  <si>
    <t>Searches for basic lands equal to Shrines you control, puts them onto the battlefield tapped, when it enters</t>
  </si>
  <si>
    <t>Searches for one basic land tapped whenever another Shrine you control enters</t>
  </si>
  <si>
    <t>BL0035</t>
  </si>
  <si>
    <t>Little Bear</t>
  </si>
  <si>
    <t>Bear</t>
  </si>
  <si>
    <t>Flash
When this creature enters, untap another target creature you control. If that creature is a Bear, put a +1/+1 counter on it.
(3/2)</t>
  </si>
  <si>
    <t>Enters: untap another target creature you control; if it is a Bear, put a +1/+1 counter on it</t>
  </si>
  <si>
    <t>Llanowar Elves</t>
  </si>
  <si>
    <t>{T}: Add {G}.
(1/1)</t>
  </si>
  <si>
    <t>{T}: Add {G}</t>
  </si>
  <si>
    <t>Luminollusk</t>
  </si>
  <si>
    <t>Deathtouch
Vivid — When this creature enters, you gain life equal to the number of colors among permanents you control.
(2/4)</t>
  </si>
  <si>
    <t>Enters: you gain life equal to the number of colors among your permanents</t>
  </si>
  <si>
    <t>Lys Alana Dignitary</t>
  </si>
  <si>
    <t>Elf Advisor</t>
  </si>
  <si>
    <t>As an additional cost to cast this spell, behold an Elf or pay {2}. (To behold an Elf, choose an Elf you control or reveal an Elf card from your hand.)
{T}: Add {G}{G}. Activate only if there is an Elf card in your graveyard.
(2/3)</t>
  </si>
  <si>
    <t>Taps for {G}{G} if an Elf is in your graveyard</t>
  </si>
  <si>
    <t>Costs an extra Elf reveal or {2} to cast</t>
  </si>
  <si>
    <t>Lys Alana Informant</t>
  </si>
  <si>
    <t>When this creature enters or dies, surveil 1. (Look at the top card of your library. You may put it into your graveyard.)
(3/1)</t>
  </si>
  <si>
    <t>Surveils 1 when it enters or dies</t>
  </si>
  <si>
    <t>C 0181</t>
  </si>
  <si>
    <t>Sidharth Chaturvedi</t>
  </si>
  <si>
    <t>Meandering Towershell</t>
  </si>
  <si>
    <t>Turtle</t>
  </si>
  <si>
    <t>Islandwalk (This creature can't be blocked as long as defending player controls an Island.)
Whenever this creature attacks, exile it. Return it to the battlefield under your control tapped and attacking at the beginning of the declare attackers step on your next turn.
(5/9)</t>
  </si>
  <si>
    <t>Can't be blocked while defender controls an Island</t>
  </si>
  <si>
    <t>Exiles itself when attacking, returns tapped and attacking next turn</t>
  </si>
  <si>
    <t>Midnight Tilling</t>
  </si>
  <si>
    <t>Mill four cards, then you may return a permanent card from among them to your hand. (To mill four cards, put the top four cards of your library into your graveyard.)</t>
  </si>
  <si>
    <t>Mills four cards, then returns a permanent card from among them to hand</t>
  </si>
  <si>
    <t>BL0072</t>
  </si>
  <si>
    <t>Migration Path</t>
  </si>
  <si>
    <t>Search your library for up to two basic land cards, put them onto the battlefield tapped, then shuffle.
Cycling {2} ({2}, Discard this card: Draw a card.)</t>
  </si>
  <si>
    <t>Searches for up to two basic lands, puts them onto battlefield tapped</t>
  </si>
  <si>
    <t>Cycling {2}: discard to draw a card instead</t>
  </si>
  <si>
    <t>Mirkwood Pathmaker</t>
  </si>
  <si>
    <t>Elf Ranger</t>
  </si>
  <si>
    <t>Mirkwood Pathmaker's power and toughness are each equal to the number of lands you control.
(*/*)</t>
  </si>
  <si>
    <t>Mirkwood Pathmaker's power and toughness are each equal to the number of lands you control</t>
  </si>
  <si>
    <t>U 0129</t>
  </si>
  <si>
    <t>Sean Vo</t>
  </si>
  <si>
    <t>Mistmeadow Council</t>
  </si>
  <si>
    <t>Kithkin Advisor</t>
  </si>
  <si>
    <t>This spell costs {1} less to cast if you control a Kithkin.
When this creature enters, draw a card.
(4/3)</t>
  </si>
  <si>
    <t>Enters: draw a card</t>
  </si>
  <si>
    <t>Costs {1} less to cast if you control a Kithkin</t>
  </si>
  <si>
    <t>Mulch</t>
  </si>
  <si>
    <t>Reveal the top four cards of your library. Put all land cards revealed this way into your hand and the rest into your graveyard.</t>
  </si>
  <si>
    <t>Reveals top four cards; puts land cards into your hand and the rest into your graveyard</t>
  </si>
  <si>
    <t>Stronghold</t>
  </si>
  <si>
    <t>Nature's Lore</t>
  </si>
  <si>
    <t>Search your library for a Forest card, put that card onto the battlefield, then shuffle.</t>
  </si>
  <si>
    <t>Ice Age</t>
  </si>
  <si>
    <t>Noxious Newt</t>
  </si>
  <si>
    <t>Salamander</t>
  </si>
  <si>
    <t>Deathtouch
{T}: Add {G}.
(1/2)</t>
  </si>
  <si>
    <t>BL0086</t>
  </si>
  <si>
    <t>Old Fat Spider</t>
  </si>
  <si>
    <t>Reach
This creature can't be blocked by creatures with power 2 or less.
Whenever this creature becomes the target of a spell or ability an opponent controls, draw a card.
(6/7)</t>
  </si>
  <si>
    <t>Reach, and cannot be blocked by creatures with power 2 or less</t>
  </si>
  <si>
    <t>Whenever it becomes the target of a spell or ability an opponent controls, draw a card</t>
  </si>
  <si>
    <t>Ordeal of Nylea</t>
  </si>
  <si>
    <t>Enchant creature
Whenever enchanted creature attacks, put a +1/+1 counter on it. Then if it has three or more +1/+1 counters on it, sacrifice this Aura.
When you sacrifice this Aura, search your library for up to two basic land cards, put them onto the battlefield tapped, then shuffle.</t>
  </si>
  <si>
    <t>Enchanted creature gets a +1/+1 counter when it attacks; sacrifices itself at three counters</t>
  </si>
  <si>
    <t>Searches for up to two basic lands onto the battlefield tapped when sacrificed</t>
  </si>
  <si>
    <t>BL0054</t>
  </si>
  <si>
    <t>Ordinary Bear</t>
  </si>
  <si>
    <t>(4/5)</t>
  </si>
  <si>
    <t>Vanilla creature with no abilities (body only)</t>
  </si>
  <si>
    <t>Origin of Metalbending</t>
  </si>
  <si>
    <t>Choose one —
• Destroy target artifact or enchantment.
• Put a +1/+1 counter on target creature you control. It gains indestructible until end of turn. (Damage and effects that say "destroy" don't destroy it.)</t>
  </si>
  <si>
    <t>Choose one: destroys target artifact or enchantment</t>
  </si>
  <si>
    <t>Or puts a +1/+1 counter on your creature; it can't be destroyed this turn</t>
  </si>
  <si>
    <t>Overgrown Battlement</t>
  </si>
  <si>
    <t>Defender
{T}: Add {G} for each creature you control with defender.
(0/4)</t>
  </si>
  <si>
    <t>Taps for {G} for each creature you control with defender</t>
  </si>
  <si>
    <t>Pir, Imaginative Rascal</t>
  </si>
  <si>
    <t>Human</t>
  </si>
  <si>
    <t>Partner with Toothy, Imaginary Friend (When this creature enters, target player may put Toothy into their hand from their library, then shuffle.)
If one or more counters would be put on a permanent your team controls, that many plus one of each of those kinds of counters are put on that permanent instead.
(1/1)</t>
  </si>
  <si>
    <t>Partner with Toothy, Imaginary Friend (When this creature enters, target player may put Toothy into their hand from thei</t>
  </si>
  <si>
    <t>Battlebond</t>
  </si>
  <si>
    <t>Plaguemaw Beast</t>
  </si>
  <si>
    <t>Phyrexian Beast</t>
  </si>
  <si>
    <t>{T}, Sacrifice a creature: Proliferate. (Choose any number of permanents and/or players, then give each another counter of each kind already there.)
(4/3)</t>
  </si>
  <si>
    <t>Sacrifice a creature and tap to proliferate</t>
  </si>
  <si>
    <t>Portcullis Vine</t>
  </si>
  <si>
    <t>Plant Wall</t>
  </si>
  <si>
    <t>Defender (This creature can't attack.)
{2}, {T}, Sacrifice a creature with defender: Draw a card.
(0/3)</t>
  </si>
  <si>
    <t>Can't attack</t>
  </si>
  <si>
    <t>Pay {2}, tap, sacrifice a creature that can't attack: draw a card</t>
  </si>
  <si>
    <t>Quarrel</t>
  </si>
  <si>
    <t>Target creature you control deals damage equal to its power to target creature an opponent controls.</t>
  </si>
  <si>
    <t>Target creature you control deals damage equal to its power to target creature an opponent controls</t>
  </si>
  <si>
    <t>Rampant Growth</t>
  </si>
  <si>
    <t>Search your library for a basic land card, put that card onto the battlefield tapped, then shuffle.</t>
  </si>
  <si>
    <t>Search your library for a basic land card, put that card onto the battlefield tapped, then shuffle</t>
  </si>
  <si>
    <t>Mirage</t>
  </si>
  <si>
    <t>Rampart Architect</t>
  </si>
  <si>
    <t>Elephant Advisor</t>
  </si>
  <si>
    <t>Whenever this creature enters or attacks, create a 1/3 white Wall creature token with defender.
Whenever a creature you control with defender dies, you may search your library for a basic land card, put that card onto the battlefield tapped, then shuffle.
(3/4)</t>
  </si>
  <si>
    <t>Creates a 1/3 Wall token with defender when it enters or attacks</t>
  </si>
  <si>
    <t>Fetches a basic land to battlefield tapped when a defender you control dies</t>
  </si>
  <si>
    <t>Rebellious Captives</t>
  </si>
  <si>
    <t>Human Peasant Ally</t>
  </si>
  <si>
    <t>Exhaust — {6}: Put two +1/+1 counters on this creature, then earthbend 2. (Target land you control becomes a 0/0 creature with haste that's still a land. Put two +1/+1 counters on it. When it dies or is exiled, return it to the battlefield tapped. Activate each exhaust ability only once.)
(2/2)</t>
  </si>
  <si>
    <t>Pay {6} once to put two +1/+1 counters on itself</t>
  </si>
  <si>
    <t>Then animates target land into a 0/0 hasty creature with two +1/+1 counters</t>
  </si>
  <si>
    <t>Reclamation Sage</t>
  </si>
  <si>
    <t>When this creature enters, you may destroy target artifact or enchantment.
(2/1)</t>
  </si>
  <si>
    <t>Destroys target artifact or enchantment when it enters</t>
  </si>
  <si>
    <t>Royal Treatment</t>
  </si>
  <si>
    <t>Target creature you control gains hexproof until end of turn. Create a Royal Role token attached to that creature. (If you control another Role on it, put that one into the graveyard. Enchanted creature gets +1/+1 and has ward {1}.)</t>
  </si>
  <si>
    <t>Target creature you control gains hexproof until end of turn</t>
  </si>
  <si>
    <t>Creates a Royal Role token attached to it, giving +1/+1 and ward {1}</t>
  </si>
  <si>
    <t>U 0056</t>
  </si>
  <si>
    <t>Eliot Baum</t>
  </si>
  <si>
    <t>Saruli Caretaker</t>
  </si>
  <si>
    <t>Dryad</t>
  </si>
  <si>
    <t>Defender
{T}, Tap an untapped creature you control: Add one mana of any color.
(0/3)</t>
  </si>
  <si>
    <t>{T}, Tap an untapped creature you control: Add one mana of any color</t>
  </si>
  <si>
    <t>Satyr Wayfinder</t>
  </si>
  <si>
    <t>Satyr</t>
  </si>
  <si>
    <t>When this creature enters, reveal the top four cards of your library. You may put a land card from among them into your hand. Put the rest into your graveyard.
(1/1)</t>
  </si>
  <si>
    <t>Reveals top four cards; puts a land card into your hand and the rest into your graveyard</t>
  </si>
  <si>
    <t>Shared Roots</t>
  </si>
  <si>
    <t>Search your library for a basic land card, put it onto the battlefield tapped, then shuffle.</t>
  </si>
  <si>
    <t>Search your library for a basic land card and put it onto the battlefield tapped</t>
  </si>
  <si>
    <t>U 0058</t>
  </si>
  <si>
    <t>Lenka Simeckova</t>
  </si>
  <si>
    <t>Sheltering Word</t>
  </si>
  <si>
    <t>Target creature you control gains hexproof until end of turn. You gain life equal to that creature's toughness. (A creature with hexproof can't be the target of spells or abilities your opponents control.)</t>
  </si>
  <si>
    <t>Target creature you control can't be targeted by opponents until end of turn</t>
  </si>
  <si>
    <t>You gain life equal to that creature's toughness</t>
  </si>
  <si>
    <t>Shopkeeper's Bane</t>
  </si>
  <si>
    <t>Badger Pest</t>
  </si>
  <si>
    <t>Trample
Whenever this creature attacks, you gain 2 life.
(4/2)</t>
  </si>
  <si>
    <t>Whenever this creature attacks, you gain 2 life</t>
  </si>
  <si>
    <t>4/2 trample body</t>
  </si>
  <si>
    <t>Skyshroud Claim</t>
  </si>
  <si>
    <t>Search your library for up to two Forest cards, put them onto the battlefield, then shuffle.</t>
  </si>
  <si>
    <t>Searches for up to two Forest cards and puts them onto the battlefield</t>
  </si>
  <si>
    <t>Nemesis</t>
  </si>
  <si>
    <t>Song of the Dryads</t>
  </si>
  <si>
    <t>Enchant permanent
Enchanted permanent is a colorless Forest land.</t>
  </si>
  <si>
    <t>Turns enchanted permanent into a colorless Forest land, removing its abilities</t>
  </si>
  <si>
    <t>Stony Strength</t>
  </si>
  <si>
    <t>Put a +1/+1 counter on target creature you control. Untap that creature.</t>
  </si>
  <si>
    <t>Puts a +1/+1 counter on target creature you control and untaps it</t>
  </si>
  <si>
    <t>Surly Farrier</t>
  </si>
  <si>
    <t>Kithkin Citizen</t>
  </si>
  <si>
    <t>{T}: Target creature you control gets +1/+1 and gains vigilance until end of turn. Activate only as a sorcery.
(2/2)</t>
  </si>
  <si>
    <t>Target creature you control gets +1/+1 until end of turn (sorcery speed)</t>
  </si>
  <si>
    <t>Sylvan Brushstrider</t>
  </si>
  <si>
    <t>Beast</t>
  </si>
  <si>
    <t>When this creature enters, you gain 2 life.
(3/2)</t>
  </si>
  <si>
    <t>Sylvan Caryatid</t>
  </si>
  <si>
    <t>Defender, hexproof
{T}: Add one mana of any color.
(0/3)</t>
  </si>
  <si>
    <t>Can't attack; can't be targeted by opponents' spells or abilities</t>
  </si>
  <si>
    <t>Sylvan Ranger</t>
  </si>
  <si>
    <t>Elf Scout Ranger</t>
  </si>
  <si>
    <t>When this creature enters, you may search your library for a basic land card, reveal it, put it into your hand, then shuffle.
(1/1)</t>
  </si>
  <si>
    <t>Searches your library for a basic land card and puts it into your hand when it enters</t>
  </si>
  <si>
    <t>Temur Sabertooth</t>
  </si>
  <si>
    <t>Cat</t>
  </si>
  <si>
    <t>{1}{G}: You may return another creature you control to its owner's hand. If you do, this creature gains indestructible until end of turn.
(4/3)</t>
  </si>
  <si>
    <t>{1}{G}: You may return another creature you control to its owner's hand. If you do, this creature gains indestructible u</t>
  </si>
  <si>
    <t>Fate Reforged</t>
  </si>
  <si>
    <t>Tireless Provisioner</t>
  </si>
  <si>
    <t>Landfall — Whenever a land you control enters, create a Food token or a Treasure token. (Food is an artifact with "{2}, {T}, Sacrifice this token: You gain 3 life." Treasure is an artifact with "{T}, Sacrifice this token: Add one mana of any color.")
(3/2)</t>
  </si>
  <si>
    <t>Creates a Food or Treasure token whenever a land you control enters</t>
  </si>
  <si>
    <t>Modern Horizons 2</t>
  </si>
  <si>
    <t>Tower Defense</t>
  </si>
  <si>
    <t>Creatures you control get +0/+5 and gain reach until end of turn.</t>
  </si>
  <si>
    <t>Your creatures get +0/+5 and gain reach until end of turn</t>
  </si>
  <si>
    <t>Tree of Redemption</t>
  </si>
  <si>
    <t>Defender
{T}: Exchange your life total with this creature's toughness.
(0/13)</t>
  </si>
  <si>
    <t>Tap to swap your life total with this creature's toughness</t>
  </si>
  <si>
    <t>Treefolk Umbra</t>
  </si>
  <si>
    <t>Enchant creature
Enchanted creature gets +0/+2 and assigns combat damage equal to its toughness rather than its power.
Umbra armor (If enchanted creature would be destroyed, instead remove all damage from it and destroy this Aura.)</t>
  </si>
  <si>
    <t>Enchanted creature gets +0/+2 and deals combat damage equal to its toughness instead of power</t>
  </si>
  <si>
    <t>If enchanted creature would be destroyed, instead remove all damage and destroy this Aura</t>
  </si>
  <si>
    <t>Modern Horizons</t>
  </si>
  <si>
    <t>Troll Negotiations</t>
  </si>
  <si>
    <t>Put two +1/+1 counters on target creature you control. Then it fights target creature an opponent controls. (Each deals damage equal to its power to the other.)</t>
  </si>
  <si>
    <t>Puts two +1/+1 counters on target creature you control, then it fights an opponent's creature</t>
  </si>
  <si>
    <t>Unforgiving Aim</t>
  </si>
  <si>
    <t>Choose one —
• Destroy target creature with flying.
• Destroy target enchantment.
• Create a 2/2 black and green Elf creature token.</t>
  </si>
  <si>
    <t>Destroy target creature with flying</t>
  </si>
  <si>
    <t>Or destroy target enchantment</t>
  </si>
  <si>
    <t>Or create a 2/2 Elf creature token</t>
  </si>
  <si>
    <t>Vayne Carudas Solidor</t>
  </si>
  <si>
    <t>U 0046</t>
  </si>
  <si>
    <t>Square Enix</t>
  </si>
  <si>
    <t>Final Fantasy: Through the Ages</t>
  </si>
  <si>
    <t>Vorinclex, Monstrous Raider</t>
  </si>
  <si>
    <t>Phyrexian Praetor</t>
  </si>
  <si>
    <t>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
(6/6)</t>
  </si>
  <si>
    <t>Trample, haste
If you would put one or more counters on a permanent or player, put twice that many of each of those kind</t>
  </si>
  <si>
    <t>Wall of Blossoms</t>
  </si>
  <si>
    <t>Defender
When this creature enters, draw a card.
(0/4)</t>
  </si>
  <si>
    <t>Wall of Mulch</t>
  </si>
  <si>
    <t>Defender (This creature can't attack.)
{G}, Sacrifice a Wall: Draw a card.
(0/4)</t>
  </si>
  <si>
    <t>Sacrifice a Wall and pay {G} to draw a card</t>
  </si>
  <si>
    <t>Wall of Roots</t>
  </si>
  <si>
    <t>Defender
Put a -0/-1 counter on this creature: Add {G}. Activate only once each turn.
(0/5)</t>
  </si>
  <si>
    <t>Put a -0/-1 counter on itself to add {G}, once per turn</t>
  </si>
  <si>
    <t>Warg Tactics</t>
  </si>
  <si>
    <t>Choose one —
• Destroy target creature with flying.
• Put a +1/+1 counter on target creature you control. It gains trample and hexproof until end of turn. (It can't be the target of spells or abilities your opponents control.)</t>
  </si>
  <si>
    <t>Choose one — destroy target creature with flying</t>
  </si>
  <si>
    <t>Or put a +1/+1 counter on a creature you control and give it trample and hexproof until end of turn</t>
  </si>
  <si>
    <t>Wayward Swordtooth</t>
  </si>
  <si>
    <t>Dinosaur</t>
  </si>
  <si>
    <t>Ascend (If you control ten or more permanents, you get the city's blessing for the rest of the game.)
You may play an additional land on each of your turns.
This creature can't attack or block unless you have the city's blessing.
(5/5)</t>
  </si>
  <si>
    <t>You may play an additional land each turn</t>
  </si>
  <si>
    <t>Can't attack or block unless you control ten or more permanents</t>
  </si>
  <si>
    <t>Wild Hypothesis</t>
  </si>
  <si>
    <t>Create a 0/0 green and blue Fractal creature token. Put X +1/+1 counters on it.
Surveil 2. (Look at the top two cards of your library, then put any number of them into your graveyard and the rest on top of your library in any order.)</t>
  </si>
  <si>
    <t>Create a 0/0 Fractal token with X +1/+1 counters on it</t>
  </si>
  <si>
    <t>Surveil 2 — look at the top two cards and put any number into your graveyard</t>
  </si>
  <si>
    <t>Wilderland Scrounger</t>
  </si>
  <si>
    <t>Ferocious — Whenever this creature attacks while you control a creature with power 4 or greater, put a +1/+1 counter on each creature you control.
(3/6)</t>
  </si>
  <si>
    <t>Ferocious — whenever it attacks while you control a creature with power 4 or greater, put a +1/+1 counter on each creature you control</t>
  </si>
  <si>
    <t>Wilderness Reclamation</t>
  </si>
  <si>
    <t>At the beginning of your end step, untap all lands you control.</t>
  </si>
  <si>
    <t>Untaps all your lands at the beginning of your end step</t>
  </si>
  <si>
    <t>Wildvine Pummeler</t>
  </si>
  <si>
    <t>Giant Berserker</t>
  </si>
  <si>
    <t>Vivid — This spell costs {1} less to cast for each color among permanents you control.
Reach, trample
(6/5)</t>
  </si>
  <si>
    <t>Cost Reducer</t>
  </si>
  <si>
    <t>Costs {1} less to cast for each color among your permanents</t>
  </si>
  <si>
    <t>Can block creatures with flying</t>
  </si>
  <si>
    <t>Wood Elves</t>
  </si>
  <si>
    <t>When this creature enters, search your library for a Forest card, put that card onto the battlefield, then shuffle.
(1/1)</t>
  </si>
  <si>
    <t>Searches for a Forest and puts it onto the battlefield when it enters</t>
  </si>
  <si>
    <t>Portal</t>
  </si>
  <si>
    <t>Woodland Weavemaster</t>
  </si>
  <si>
    <t>Vigilance
Whenever another Elf you control enters, this creature gets +1/+1 until end of turn.
{T}: Add X mana of any one color, where X is this creature's power. Spend this mana only to cast Elf spells and activate abilities of Elf sources.
(1/2)</t>
  </si>
  <si>
    <t>{T}: Add X mana of any one color, where X is its power; spend only on Elf spells and abilities</t>
  </si>
  <si>
    <t>Whenever another Elf you control enters, it gets +1/+1 until end of turn</t>
  </si>
  <si>
    <t>Vigilance</t>
  </si>
  <si>
    <t>Yavimaya Elder</t>
  </si>
  <si>
    <t>When this creature dies, you may search your library for up to two basic land cards, reveal them, put them into your hand, then shuffle.
{2}, Sacrifice this creature: Draw a card.
(2/1)</t>
  </si>
  <si>
    <t>Searches for up to two basic lands to your hand when it dies</t>
  </si>
  <si>
    <t>Sacrifice to draw a card</t>
  </si>
  <si>
    <t>Urza's Destiny</t>
  </si>
  <si>
    <t>BL0074</t>
  </si>
  <si>
    <t>Zendikar's Roil</t>
  </si>
  <si>
    <t>Landfall — Whenever a land you control enters, create a 2/2 green Elemental creature token.</t>
  </si>
  <si>
    <t>Creates a 2/2 Elemental token whenever a land you control enters</t>
  </si>
  <si>
    <t>Zimone's Experiment</t>
  </si>
  <si>
    <t>Look at the top five cards of your library. You may reveal up to two creature and/or land cards from among them, then put the rest on the bottom of your library in a random order. Put all land cards revealed this way onto the battlefield tapped and put all creature cards revealed this way into your hand.</t>
  </si>
  <si>
    <t>Look at the top five cards and reveal up to two creature and/or land cards from among them</t>
  </si>
  <si>
    <t>Revealed lands enter tapped and revealed creatures go to your hand</t>
  </si>
  <si>
    <t>Access Tunnel</t>
  </si>
  <si>
    <t>{T}: Add {C}.
{3}, {T}: Target creature with power 3 or less can't be blocked this turn.</t>
  </si>
  <si>
    <t>Pay {3}, tap: target creature with power 3 or less can't be blocked</t>
  </si>
  <si>
    <t>Airship Engine Room</t>
  </si>
  <si>
    <t>This land enters tapped.
{T}: Add {U} or {R}.
{4}, {T}, Sacrifice this land: Draw a card.</t>
  </si>
  <si>
    <t>Taps for {U} or {R}</t>
  </si>
  <si>
    <t>Sacrifice and pay {4} to draw a card</t>
  </si>
  <si>
    <t>L 0265</t>
  </si>
  <si>
    <t>Andreas Rocha</t>
  </si>
  <si>
    <t>Arcane Sanctum</t>
  </si>
  <si>
    <t>This land enters tapped.
{T}: Add {W}, {U}, or {B}.</t>
  </si>
  <si>
    <t>Taps for {W}, {U}, or {B}</t>
  </si>
  <si>
    <t>Enters tapped</t>
  </si>
  <si>
    <t>Ash Barrens</t>
  </si>
  <si>
    <t>{T}: Add {C}.
Basic landcycling {1} ({1}, Discard this card: Search your library for a basic land card, reveal it, put it into your hand, then shuffle.)</t>
  </si>
  <si>
    <t>Basic landcycling {1}: discard to fetch a basic land</t>
  </si>
  <si>
    <t>Commander 2016</t>
  </si>
  <si>
    <t>Azorius Chancery</t>
  </si>
  <si>
    <t>This land enters tapped.
When this land enters, return a land you control to its owner's hand.
{T}: Add {W}{U}.</t>
  </si>
  <si>
    <t>Taps for {W}{U}</t>
  </si>
  <si>
    <t>Azorius Guildgate</t>
  </si>
  <si>
    <t>This land enters tapped.
{T}: Add {W} or {U}.</t>
  </si>
  <si>
    <t>This land enters tapped. / {T}: Add {W} or {U}.</t>
  </si>
  <si>
    <t>ORDERED 2026-09-11 $0.20</t>
  </si>
  <si>
    <t>Bant Panorama</t>
  </si>
  <si>
    <t>{T}: Add {C}.
{1}, {T}, Sacrifice this land: Search your library for a basic Forest, Plains, or Island card, put it onto the battlefield tapped, then shuffle.</t>
  </si>
  <si>
    <t>Sacrifice to search for a basic Forest, Plains, or Island card, put tapped</t>
  </si>
  <si>
    <t>Battlefield Forge</t>
  </si>
  <si>
    <t>{T}: Add {C}.
{T}: Add {R} or {W}. This land deals 1 damage to you.</t>
  </si>
  <si>
    <t>Taps for {R} or {W}, dealing 1 damage to you</t>
  </si>
  <si>
    <t>Blossoming Sands</t>
  </si>
  <si>
    <t>This land enters tapped.
When this land enters, you gain 1 life.
{T}: Add {G} or {W}.</t>
  </si>
  <si>
    <t>Taps for {G} or {W}</t>
  </si>
  <si>
    <t>Bonders' Enclave</t>
  </si>
  <si>
    <t>{T}: Add {C}.
{3}, {T}: Draw a card. Activate only if you control a creature with power 4 or greater.</t>
  </si>
  <si>
    <t>{3}, {T}: Draw a card. Activate only if you control a creature with power 4 or greater</t>
  </si>
  <si>
    <t>Brushland</t>
  </si>
  <si>
    <t>{T}: Add {C}.
{T}: Add {G} or {W}. This land deals 1 damage to you.</t>
  </si>
  <si>
    <t>Taps for {C}, or {G}/{W} at the cost of 1 damage to you</t>
  </si>
  <si>
    <t>Buried Ruin</t>
  </si>
  <si>
    <t>{T}: Add {C}.
{2}, {T}, Sacrifice this land: Return target artifact card from your graveyard to your hand.</t>
  </si>
  <si>
    <t>Sacrifice plus {2}: return target artifact card from graveyard to hand</t>
  </si>
  <si>
    <t>Castle Embereth</t>
  </si>
  <si>
    <t>This land enters tapped unless you control a Mountain.
{T}: Add {R}.
{1}{R}{R}, {T}: Creatures you control get +1/+0 until end of turn.</t>
  </si>
  <si>
    <t>Taps for {R}</t>
  </si>
  <si>
    <t>{1}{R}{R}, tap: creatures you control get +1/+0</t>
  </si>
  <si>
    <t>Caves of Koilos</t>
  </si>
  <si>
    <t>{T}: Add {C}.
{T}: Add {W} or {B}. This land deals 1 damage to you.</t>
  </si>
  <si>
    <t>Taps for {C}, or {W}/{B} at the cost of 1 damage to you</t>
  </si>
  <si>
    <t>Clifftop Retreat</t>
  </si>
  <si>
    <t>This land enters tapped unless you control a Mountain or a Plains.
{T}: Add {R} or {W}.</t>
  </si>
  <si>
    <t>Taps for {R} or {W}</t>
  </si>
  <si>
    <t>Enters tapped unless you control a Mountain or Plains</t>
  </si>
  <si>
    <t>Command Tower</t>
  </si>
  <si>
    <t>Commander 2011</t>
  </si>
  <si>
    <t>Dismal Backwater</t>
  </si>
  <si>
    <t>This land enters tapped.
When this land enters, you gain 1 life.
{T}: Add {U} or {B}.</t>
  </si>
  <si>
    <t>Taps for {U} or {B}</t>
  </si>
  <si>
    <t>Drowned Catacomb</t>
  </si>
  <si>
    <t>This land enters tapped unless you control an Island or a Swamp.
{T}: Add {U} or {B}.</t>
  </si>
  <si>
    <t>Enters tapped unless you control an Island or Swamp</t>
  </si>
  <si>
    <t>Eclipsed Realms</t>
  </si>
  <si>
    <t>As this land enters, choose Elemental, Elf, Faerie, Giant, Goblin, Kithkin, Merfolk, or Treefolk.
{T}: Add {C}.
{T}: Add one mana of any color. Spend this mana only to cast a spell of the chosen type or activate an ability of a source of the chosen type.</t>
  </si>
  <si>
    <t>{T}: Add one mana of any color, spendable only on the creature type chosen as it entered</t>
  </si>
  <si>
    <t>Emeria, the Sky Ruin</t>
  </si>
  <si>
    <t>This land enters tapped.
At the beginning of your upkeep, if you control seven or more Plains, you may return target creature card from your graveyard to the battlefield.
{T}: Add {W}.</t>
  </si>
  <si>
    <t>Upkeep: if you control 7+ Plains, return a creature card from graveyard to battlefield</t>
  </si>
  <si>
    <t>Fields of Strife</t>
  </si>
  <si>
    <t>This land enters tapped.
{T}: Add {R} or {W}.
{2}{R}{W}, {T}: Surveil 1. (Look at the top card of your library. You may put it into your graveyard.)</t>
  </si>
  <si>
    <t>Pay mana, tap: look at top card, may put it in graveyard</t>
  </si>
  <si>
    <t>Forest</t>
  </si>
  <si>
    <t>({T}: Add {G}.)</t>
  </si>
  <si>
    <t>Taps for {G}</t>
  </si>
  <si>
    <t>Fortified Village</t>
  </si>
  <si>
    <t>As this land enters, you may reveal a Forest or Plains card from your hand. If you don't, this land enters tapped.
{T}: Add {G} or {W}.</t>
  </si>
  <si>
    <t>Enters untapped if you reveal a Forest or Plains card from hand</t>
  </si>
  <si>
    <t>Furycalm Snarl</t>
  </si>
  <si>
    <t>As this land enters, you may reveal a Mountain or Plains card from your hand. If you don't, this land enters tapped.
{T}: Add {R} or {W}.</t>
  </si>
  <si>
    <t>Enters tapped unless you reveal a Mountain or Plains from hand</t>
  </si>
  <si>
    <t>Glacial Fortress</t>
  </si>
  <si>
    <t>This land enters tapped unless you control a Plains or an Island.
{T}: Add {W} or {U}.</t>
  </si>
  <si>
    <t>Taps for {W} or {U}</t>
  </si>
  <si>
    <t>Enters untapped if you control a Plains or Island</t>
  </si>
  <si>
    <t>Glittering Massif</t>
  </si>
  <si>
    <t>Mountain Plains</t>
  </si>
  <si>
    <t>({T}: Add {R} or {W}.)
This land enters tapped.
Cycling {2} ({2}, Discard this card: Draw a card.)</t>
  </si>
  <si>
    <t>Discard for {2} to draw a card instead of playing it</t>
  </si>
  <si>
    <t>Edge of Eternities Commander</t>
  </si>
  <si>
    <t>Goblin Burrows</t>
  </si>
  <si>
    <t>{T}: Add {C}.
{1}{R}, {T}: Target Goblin creature gets +2/+0 until end of turn.</t>
  </si>
  <si>
    <t>{1}{R}, {T}: Target Goblin creature gets +2/+0 until end of turn</t>
  </si>
  <si>
    <t>Goblin-town</t>
  </si>
  <si>
    <t>This land enters tapped.
{T}: Add {B} or {R}.
{2}{B}{R}, {T}, Sacrifice this land: Put two +1/+1 counters on target Goblin or Orc you control. Activate only as a sorcery.</t>
  </si>
  <si>
    <t>Taps for {B} or {R}</t>
  </si>
  <si>
    <t>{2}{B}{R}, {T}, Sacrifice: put two +1/+1 counters on target Goblin or Orc you control</t>
  </si>
  <si>
    <t>L 0183</t>
  </si>
  <si>
    <t>Golgari Guildgate</t>
  </si>
  <si>
    <t>This land enters tapped.
{T}: Add {B} or {G}.</t>
  </si>
  <si>
    <t>This land enters tapped. / {T}: Add {B} or {G}.</t>
  </si>
  <si>
    <t>ORDERED 2026-09-11 $0.60</t>
  </si>
  <si>
    <t>Grand Coliseum</t>
  </si>
  <si>
    <t>This land enters tapped.
{T}: Add {C}.
{T}: Add one mana of any color. This land deals 1 damage to you.</t>
  </si>
  <si>
    <t>This land enters tapped</t>
  </si>
  <si>
    <t>{T}: Add one mana of any color. This land deals 1 damage to you</t>
  </si>
  <si>
    <t>Hinterland Harbor</t>
  </si>
  <si>
    <t>This land enters tapped unless you control a Forest or an Island.
{T}: Add {G} or {U}.</t>
  </si>
  <si>
    <t>Taps for {G} or {U}</t>
  </si>
  <si>
    <t>Enters untapped if you control a Forest or Island</t>
  </si>
  <si>
    <t>Inspiring Vantage</t>
  </si>
  <si>
    <t>This land enters tapped unless you control two or fewer other lands.
{T}: Add {R} or {W}.</t>
  </si>
  <si>
    <t>Iron Hills</t>
  </si>
  <si>
    <t>This land enters tapped.
{T}: Add {R} or {W}.
{2}{R}{W}, {T}, Sacrifice this land: Put two +1/+1 counters on target Dwarf you control. Activate only as a sorcery.</t>
  </si>
  <si>
    <t>{2}{R}{W}, {T}, sacrifice: put two +1/+1 counters on target Dwarf you control</t>
  </si>
  <si>
    <t>Island</t>
  </si>
  <si>
    <t>({T}: Add {U}.)</t>
  </si>
  <si>
    <t>Taps for {U}</t>
  </si>
  <si>
    <t>Karn's Bastion</t>
  </si>
  <si>
    <t>{T}: Add {C}.
{4}, {T}: Proliferate. (Choose any number of permanents and/or players, then give each another counter of each kind already there.)</t>
  </si>
  <si>
    <t>Pay {4} and tap to proliferate</t>
  </si>
  <si>
    <t>Kher Keep</t>
  </si>
  <si>
    <t>Legendary Land</t>
  </si>
  <si>
    <t>{T}: Add {C}.
{1}{R}, {T}: Create a 0/1 red Kobold creature token named Kobolds of Kher Keep.</t>
  </si>
  <si>
    <t>{1}{R}, tap: creates a 0/1 Kobold token</t>
  </si>
  <si>
    <t>Krosan Verge</t>
  </si>
  <si>
    <t>This land enters tapped.
{T}: Add {C}.
{2}, {T}, Sacrifice this land: Search your library for a Forest card and a Plains card, put them onto the battlefield tapped, then shuffle.</t>
  </si>
  <si>
    <t>Sacrifice: search for a Forest and a Plains, put onto battlefield tapped</t>
  </si>
  <si>
    <t>Judgment</t>
  </si>
  <si>
    <t>Lake-town</t>
  </si>
  <si>
    <t>This land enters tapped.
{T}: Add {W} or {U}.
{2}{W}{U}, {T}, Sacrifice this land: Put two +1/+1 counters on target Human you control. Activate only as a sorcery.</t>
  </si>
  <si>
    <t>{2}{W}{U}, {T}, Sacrifice: put two +1/+1 counters on target Human you control</t>
  </si>
  <si>
    <t>Llanowar Wastes</t>
  </si>
  <si>
    <t>{T}: Add {C}.
{T}: Add {B} or {G}. This land deals 1 damage to you.</t>
  </si>
  <si>
    <t>Taps for {C}, or {B}/{G} at the cost of 1 damage to you</t>
  </si>
  <si>
    <t>Lorehold Campus</t>
  </si>
  <si>
    <t>This land enters tapped.
{T}: Add {R} or {W}.
{4}, {T}: Scry 1. (Look at the top card of your library. You may put that card on the bottom.)</t>
  </si>
  <si>
    <t>Pay {4}, tap: look at top card, may put it on bottom</t>
  </si>
  <si>
    <t>Lotus Field</t>
  </si>
  <si>
    <t>Hexproof
This land enters tapped.
When this land enters, sacrifice two lands.
{T}: Add three mana of any one color.</t>
  </si>
  <si>
    <t>Taps for three mana of one color</t>
  </si>
  <si>
    <t>Sacrifice two lands when it enters</t>
  </si>
  <si>
    <t>Meandering River</t>
  </si>
  <si>
    <t>Mirkwood</t>
  </si>
  <si>
    <t>This land enters tapped.
{T}: Add {B} or {G}.
{2}{B}{G}, {T}, Sacrifice this land: Put two +1/+1 counters on target Bear, Spider, or Wolf you control. Activate only as a sorcery.</t>
  </si>
  <si>
    <t>Taps for {B} or {G}</t>
  </si>
  <si>
    <t>Sacrifice to put two +1/+1 counters on target Bear, Spider, or Wolf you control</t>
  </si>
  <si>
    <t>Mistveil Plains</t>
  </si>
  <si>
    <t>({T}: Add {W}.)
This land enters tapped.
{W}, {T}: Put target card from your graveyard on the bottom of your library. Activate only if you control two or more white permanents.</t>
  </si>
  <si>
    <t>Pay {W}, tap: put a card from graveyard on bottom of library</t>
  </si>
  <si>
    <t>Mountain</t>
  </si>
  <si>
    <t>({T}: Add {R}.)</t>
  </si>
  <si>
    <t>Myriad Landscape</t>
  </si>
  <si>
    <t>This land enters tapped.
{T}: Add {C}.
{2}, {T}, Sacrifice this land: Search your library for up to two basic land cards that share a land type, put them onto the battlefield tapped, then shuffle.</t>
  </si>
  <si>
    <t>Sacrifice: search for two basic lands sharing a land type, tapped</t>
  </si>
  <si>
    <t>Naya Panorama</t>
  </si>
  <si>
    <t>{T}: Add {C}.
{1}, {T}, Sacrifice this land: Search your library for a basic Mountain, Forest, or Plains card, put it onto the battlefield tapped, then shuffle.</t>
  </si>
  <si>
    <t>Sacrifice to search for a Mountain, Forest, or Plains card, put tapped</t>
  </si>
  <si>
    <t>Night Market</t>
  </si>
  <si>
    <t>This land enters tapped. As it enters, choose a color.
{T}: Add one mana of the chosen color.
Cycling {3} ({3}, Discard this card: Draw a card.)</t>
  </si>
  <si>
    <t>Taps for a chosen color</t>
  </si>
  <si>
    <t>Discard for {3} to draw a card instead of playing it</t>
  </si>
  <si>
    <t>C 0258</t>
  </si>
  <si>
    <t>David Alvarez</t>
  </si>
  <si>
    <t>Aetherdrift</t>
  </si>
  <si>
    <t>Paradox Gardens</t>
  </si>
  <si>
    <t>This land enters tapped.
{T}: Add {G} or {U}.
{2}{G}{U}, {T}: Surveil 1. (Look at the top card of your library. You may put it into your graveyard.)</t>
  </si>
  <si>
    <t>{2}{G}{U}, {T}: Surveil 1</t>
  </si>
  <si>
    <t>Path of Ancestry</t>
  </si>
  <si>
    <t>This land enters tapped.
{T}: Add one mana of any color in your commander's color identity. When that mana is spent to cast a creature spell that shares a creature type with your commander, scry 1. (Look at the top card of your library. You may put that card on the bottom.)</t>
  </si>
  <si>
    <t>Taps for one mana in your commander's color identity</t>
  </si>
  <si>
    <t>Scry 1 when that mana casts a creature sharing a type with your commander</t>
  </si>
  <si>
    <t>Commander 2017</t>
  </si>
  <si>
    <t>Radiant Grove</t>
  </si>
  <si>
    <t>Forest Plains</t>
  </si>
  <si>
    <t>({T}: Add {G} or {W}.)
This land enters tapped.</t>
  </si>
  <si>
    <t>Radiant Summit</t>
  </si>
  <si>
    <t>({T}: Add {R} or {W}.)
This land enters tapped unless you control two or more basic lands.</t>
  </si>
  <si>
    <t>Enters tapped unless you control two or more basic lands</t>
  </si>
  <si>
    <t>Reliquary Tower</t>
  </si>
  <si>
    <t>Rugged Highlands</t>
  </si>
  <si>
    <t>This land enters tapped.
When this land enters, you gain 1 life.
{T}: Add {R} or {G}.</t>
  </si>
  <si>
    <t>Taps for {R} or {G}</t>
  </si>
  <si>
    <t>Rugged Prairie</t>
  </si>
  <si>
    <t>{T}: Add {C}.
{R/W}, {T}: Add {R}{R}, {R}{W}, or {W}{W}.</t>
  </si>
  <si>
    <t>Pay a hybrid mana, tap: add two red and/or white mana</t>
  </si>
  <si>
    <t>Eventide</t>
  </si>
  <si>
    <t>Sacred Peaks</t>
  </si>
  <si>
    <t>({T}: Add {R} or {W}.)
This land enters tapped.</t>
  </si>
  <si>
    <t>Sandsteppe Citadel</t>
  </si>
  <si>
    <t>This land enters tapped.
{T}: Add {W}, {B}, or {G}.</t>
  </si>
  <si>
    <t>Taps for {W}, {B}, or {G}</t>
  </si>
  <si>
    <t>Seaside Citadel</t>
  </si>
  <si>
    <t>This land enters tapped.
{T}: Add {G}, {W}, or {U}.</t>
  </si>
  <si>
    <t>Taps for {G}, {W}, or {U}</t>
  </si>
  <si>
    <t>Selesnya Guildgate</t>
  </si>
  <si>
    <t>This land enters tapped.
{T}: Add {G} or {W}.</t>
  </si>
  <si>
    <t>This land enters tapped. / {T}: Add {G} or {W}.</t>
  </si>
  <si>
    <t>Shineshadow Snarl</t>
  </si>
  <si>
    <t>As this land enters, you may reveal a Plains or Swamp card from your hand. If you don't, this land enters tapped.
{T}: Add {W} or {B}.</t>
  </si>
  <si>
    <t>Enters untapped if you reveal a Plains or Swamp</t>
  </si>
  <si>
    <t>Silverquill Campus</t>
  </si>
  <si>
    <t>This land enters tapped.
{T}: Add {W} or {B}.
{4}, {T}: Scry 1. (Look at the top card of your library. You may put that card on the bottom.)</t>
  </si>
  <si>
    <t>Taps for {W} or {B} (enters tapped)</t>
  </si>
  <si>
    <t>{4}, tap: Scry 1</t>
  </si>
  <si>
    <t>Simic Guildgate</t>
  </si>
  <si>
    <t>This land enters tapped.
{T}: Add {G} or {U}.</t>
  </si>
  <si>
    <t>ORDERED 2026-09-11 $0.70</t>
  </si>
  <si>
    <t>Stone Quarry</t>
  </si>
  <si>
    <t>This land enters tapped.
{T}: Add {R} or {W}.</t>
  </si>
  <si>
    <t>Study Hall</t>
  </si>
  <si>
    <t>{T}: Add {C}.
{1}, {T}: Add one mana of any color. When you spend this mana to cast your commander, scry X, where X is the number of times it's been cast from the command zone this game.</t>
  </si>
  <si>
    <t>Pay {1}, tap: add one mana of any color</t>
  </si>
  <si>
    <t>Scries when that mana casts your commander</t>
  </si>
  <si>
    <t>Sunbaked Canyon</t>
  </si>
  <si>
    <t>{T}, Pay 1 life: Add {R} or {W}.
{1}, {T}, Sacrifice this land: Draw a card.</t>
  </si>
  <si>
    <t>Sunpetal Grove</t>
  </si>
  <si>
    <t>This land enters tapped unless you control a Forest or a Plains.
{T}: Add {G} or {W}.</t>
  </si>
  <si>
    <t>Enters untapped if you control a Forest or Plains</t>
  </si>
  <si>
    <t>Sunscorched Divide</t>
  </si>
  <si>
    <t>{1}, {T}: Add {R}{W}.</t>
  </si>
  <si>
    <t>Pay {1}, tap: add {R}{W}</t>
  </si>
  <si>
    <t>Fallout</t>
  </si>
  <si>
    <t>Temple of Enlightenment</t>
  </si>
  <si>
    <t>This land enters tapped.
When this land enters, scry 1. (Look at the top card of your library. You may put that card on the bottom.)
{T}: Add {W} or {U}.</t>
  </si>
  <si>
    <t>Scry 1 when it enters</t>
  </si>
  <si>
    <t>Temple of the False God</t>
  </si>
  <si>
    <t>{T}: Add {C}{C}. Activate only if you control five or more lands.</t>
  </si>
  <si>
    <t>Taps for {C}{C} if you control five or more lands</t>
  </si>
  <si>
    <t>Temple of Triumph</t>
  </si>
  <si>
    <t>This land enters tapped.
When this land enters, scry 1. (Look at the top card of your library. You may put that card on the bottom.)
{T}: Add {R} or {W}.</t>
  </si>
  <si>
    <t>Scries 1 when it enters</t>
  </si>
  <si>
    <t>Terramorphic Expanse</t>
  </si>
  <si>
    <t>Thornwood Falls</t>
  </si>
  <si>
    <t>This land enters tapped.
When this land enters, you gain 1 life.
{T}: Add {G} or {U}.</t>
  </si>
  <si>
    <t>This land enters tapped. / When this land enters, you gain 1 life. / {</t>
  </si>
  <si>
    <t>Timber Gorge</t>
  </si>
  <si>
    <t>This land enters tapped.
{T}: Add {R} or {G}.</t>
  </si>
  <si>
    <t>Titan's Grave</t>
  </si>
  <si>
    <t>This land enters tapped.
{T}: Add {B} or {G}.
{2}{B}{G}, {T}: Surveil 1. (Look at the top card of your library. You may put it into your graveyard.)</t>
  </si>
  <si>
    <t>{2}{B}{G}, {T}: Surveil 1</t>
  </si>
  <si>
    <t>L 0266</t>
  </si>
  <si>
    <t>Lorenzo Lanfrancony</t>
  </si>
  <si>
    <t>Turbulent Steppe</t>
  </si>
  <si>
    <t>({T}: Add {R} or {W}.)
This land enters tapped unless your opponents control eight or more lands.</t>
  </si>
  <si>
    <t>Enters tapped unless opponents control 8+ lands</t>
  </si>
  <si>
    <t>Secrets of Strixhaven Commander</t>
  </si>
  <si>
    <t>Wind-Scarred Crag</t>
  </si>
  <si>
    <t>This land enters tapped.
When this land enters, you gain 1 life.
{T}: Add {R} or {W}.</t>
  </si>
  <si>
    <t>Woodland Cemetery</t>
  </si>
  <si>
    <t>This land enters tapped unless you control a Swamp or a Forest.
{T}: Add {B} or {G}.</t>
  </si>
  <si>
    <t>This land enters tapped unless you control a Swamp or a Forest</t>
  </si>
  <si>
    <t>{T}: Add {B} or {G}</t>
  </si>
  <si>
    <t>Abstract Paintmage</t>
  </si>
  <si>
    <t>Djinn Sorcerer</t>
  </si>
  <si>
    <t>At the beginning of your first main phase, add {U}{R}. Spend this mana only to cast instant and sorcery spells.
(2/2)</t>
  </si>
  <si>
    <t>At the beginning of your first main phase, add {U}{R}, spendable only on instants and sorceries</t>
  </si>
  <si>
    <t>Adarkar Wastes</t>
  </si>
  <si>
    <t>{T}: Add {C}.
{T}: Add {W} or {U}. This land deals 1 damage to you.</t>
  </si>
  <si>
    <t>{T}: Add {C}. / {T}: Add {W} or {U}. This land deals 1 damage to you.</t>
  </si>
  <si>
    <t>Air Nomad Legacy</t>
  </si>
  <si>
    <t>When this enchantment enters, create a Clue token. (It's an artifact with "{2}, Sacrifice this token: Draw a card.")
Creatures you control with flying get +1/+1.</t>
  </si>
  <si>
    <t>Creatures you control with flying get +1/+1</t>
  </si>
  <si>
    <t>Enters: create a Clue token ({2}, sacrifice it: draw a card)</t>
  </si>
  <si>
    <t>Ancient Lumberknot</t>
  </si>
  <si>
    <t>Treefolk</t>
  </si>
  <si>
    <t>Each creature you control with toughness greater than its power assigns combat damage equal to its toughness rather than its power.
(1/4)</t>
  </si>
  <si>
    <t>Each creature you control with toughness greater than its power assigns combat damage equal to its toughness rather than its power.</t>
  </si>
  <si>
    <t>Anguished Unmaking</t>
  </si>
  <si>
    <t>Exile target nonland permanent. You lose 3 life.</t>
  </si>
  <si>
    <t>Exiles target nonland permanent</t>
  </si>
  <si>
    <t>You lose 3 life</t>
  </si>
  <si>
    <t>Anim Pakal, Thousandth Moon</t>
  </si>
  <si>
    <t>Whenever you attack with one or more non-Gnome creatures, put a +1/+1 counter on Anim Pakal, then create X 1/1 colorless Gnome artifact creature tokens that are tapped and attacking, where X is the number of +1/+1 counters on Anim Pakal.
(1/2)</t>
  </si>
  <si>
    <t>Whenever you attack with one or more non-Gnome creatures, put a +1/+1 counter on Anim Pakal, then create X 1/1 colorless</t>
  </si>
  <si>
    <t>The Lost Caverns of Ixalan</t>
  </si>
  <si>
    <t>Arbaaz Mir</t>
  </si>
  <si>
    <t>Whenever Arbaaz Mir or another nontoken historic permanent you control enters, Arbaaz Mir deals 1 damage to each opponent and you gain 1 life. (Artifacts, legendaries, and Sagas are historic.)
(2/2)</t>
  </si>
  <si>
    <t>Whenever a historic permanent you control enters, deals 1 damage to each opponent and gains you 1 life</t>
  </si>
  <si>
    <t>U 0138</t>
  </si>
  <si>
    <t>Bastien L. Deharme</t>
  </si>
  <si>
    <t>Arcades, the Strategist</t>
  </si>
  <si>
    <t>Flying, vigilance
Whenever a creature you control with defender enters, draw a card.
Each creature you control with defender assigns combat damage equal to its toughness rather than its power and can attack as though it didn't have defender.
(3/5)</t>
  </si>
  <si>
    <t>Draws a card whenever a creature you control with defender enters</t>
  </si>
  <si>
    <t>Creatures you control with defender deal damage equal to toughness and can attack</t>
  </si>
  <si>
    <t>Core Set 2019</t>
  </si>
  <si>
    <t>Arno Dorian</t>
  </si>
  <si>
    <t>Deathtouch
Other Assassins you control get +2/+0.
Disguise {B}{R} (You may cast this card face down for {3} as a 2/2 creature with ward {2}. Turn it face up any time for its disguise cost.)
(3/3)</t>
  </si>
  <si>
    <t>Other Assassins you control get +2/+0</t>
  </si>
  <si>
    <t>Can be cast face-down for {3}, later flipped for its cost</t>
  </si>
  <si>
    <t>Assassin's Trophy</t>
  </si>
  <si>
    <t>Destroy target permanent an opponent controls. Its controller may search their library for a basic land card, put it onto the battlefield, then shuffle.</t>
  </si>
  <si>
    <t>Destroy target permanent an opponent controls. Its controller may search their library for a basic land card, put it onto the battlefield, then shuffle</t>
  </si>
  <si>
    <t>Atraxa, Praetors' Voice</t>
  </si>
  <si>
    <t>Phyrexian Angel Horror</t>
  </si>
  <si>
    <t>Flying, vigilance, deathtouch, lifelink
At the beginning of your end step, proliferate. (Choose any number of permanents and/or players, then give each another counter of each kind already there.)
(4/4)</t>
  </si>
  <si>
    <t>Proliferates at the beginning of your end step</t>
  </si>
  <si>
    <t>Destroys anything it deals damage to</t>
  </si>
  <si>
    <t>Balefire Liege</t>
  </si>
  <si>
    <t>Spirit Horror</t>
  </si>
  <si>
    <t>Other red creatures you control get +1/+1.
Other white creatures you control get +1/+1.
Whenever you cast a red spell, this creature deals 3 damage to target player or planeswalker.
Whenever you cast a white spell, you gain 3 life.
(2/4)</t>
  </si>
  <si>
    <t>Other red creatures get +1/+1; other white creatures get +1/+1</t>
  </si>
  <si>
    <t>Casting a red spell deals 3 damage to a player or planeswalker</t>
  </si>
  <si>
    <t>Casting a white spell gains you 3 life</t>
  </si>
  <si>
    <t>Bard the Bowman</t>
  </si>
  <si>
    <t>Human Archer</t>
  </si>
  <si>
    <t>Reach
Whenever you draw your second card each turn, put a +1/+1 counter on target creature. It gains lifelink until end of turn.
(1/3)</t>
  </si>
  <si>
    <t>Whenever you draw your second card each turn, put a +1/+1 counter on target creature and it gains lifelink until end of turn</t>
  </si>
  <si>
    <t>Reach</t>
  </si>
  <si>
    <t>Bayek of Siwa</t>
  </si>
  <si>
    <t>Double strike
During your turn, other historic creatures you control have double strike.
Disguise {1}{R}{W} (You may cast this card face down for {3} as a 2/2 creature with ward {2}. Turn it face up any time for its disguise cost.)
(3/4)</t>
  </si>
  <si>
    <t>Other historic creatures you control strike twice in combat during your turn</t>
  </si>
  <si>
    <t>Belligerent Brontodon</t>
  </si>
  <si>
    <t>Each creature you control assigns combat damage equal to its toughness rather than its power.
(4/6)</t>
  </si>
  <si>
    <t>Each creature you control assigns combat damage equal to its toughness rather than its power</t>
  </si>
  <si>
    <t>Berta, Wise Extrapolator</t>
  </si>
  <si>
    <t>Frog Druid</t>
  </si>
  <si>
    <t>Increment (Whenever you cast a spell, if the amount of mana you spent is greater than this creature's power or toughness, put a +1/+1 counter on this creature.)
Whenever one or more +1/+1 counters are put on Berta, add one mana of any color.
{X}, {T}: Create a 0/0 green and blue Fractal creature token and put X +1/+1 counters on it.
(1/4)</t>
  </si>
  <si>
    <t>Increment — whenever you cast a spell for more mana than Berta's power or toughness, put a +1/+1 counter on her</t>
  </si>
  <si>
    <t>Whenever one or more +1/+1 counters are put on Berta, add one mana of any color</t>
  </si>
  <si>
    <t>{X}, {T}: Create a 0/0 Fractal token with X +1/+1 counters on it</t>
  </si>
  <si>
    <t>Betor, Ancestor's Voice</t>
  </si>
  <si>
    <t>Spirit Dragon</t>
  </si>
  <si>
    <t>Flying, lifelink
At the beginning of your end step, put a number of +1/+1 counters on up to one other target creature you control equal to the amount of life you gained this turn. Return up to one target creature card with mana value less than or equal to the amount of life you lost this turn from your graveyard to the battlefield.
(3/5)</t>
  </si>
  <si>
    <t>End step: put +1/+1 counters on a creature equal to life gained this turn</t>
  </si>
  <si>
    <t>End step: reanimate a creature MV ≤ life lost this turn</t>
  </si>
  <si>
    <t>Blot Out the Sky</t>
  </si>
  <si>
    <t>Create X tapped 2/1 white and black Inkling creature tokens with flying. If X is 6 or more, destroy all noncreature, nonland permanents.</t>
  </si>
  <si>
    <t>Create X tapped 2/1 white and black Inkling creature tokens with flying. If X is 6 or more, destroy all noncreature, non</t>
  </si>
  <si>
    <t>Boggart Cursecrafter</t>
  </si>
  <si>
    <t>Deathtouch
Whenever another Goblin you control dies, this creature deals 1 damage to each opponent.
(2/3)</t>
  </si>
  <si>
    <t>Aristocrats Payoff</t>
  </si>
  <si>
    <t>Deals 1 damage to each opponent whenever another Goblin you control dies</t>
  </si>
  <si>
    <t>Bolrac-Clan Crusher</t>
  </si>
  <si>
    <t>Ogre Warrior</t>
  </si>
  <si>
    <t>{T}, Remove a +1/+1 counter from a creature you control: This creature deals 2 damage to any target.
(4/4)</t>
  </si>
  <si>
    <t>Remove a +1/+1 counter from a creature you control to deal 2 damage to any target</t>
  </si>
  <si>
    <t>Boros Charm</t>
  </si>
  <si>
    <t>Choose one —
• Boros Charm deals 4 damage to target player or planeswalker.
• Permanents you control gain indestructible until end of turn.
• Target creature gains double strike until end of turn.</t>
  </si>
  <si>
    <t>Choose one —
• Boros Charm deals 4 damage to target player or planeswalker.
• Permanents you control gain indestructible</t>
  </si>
  <si>
    <t>Boros Signet</t>
  </si>
  <si>
    <t>{1}, {T}: Add {R}{W}</t>
  </si>
  <si>
    <t>Borrowed Knowledge</t>
  </si>
  <si>
    <t>Choose one —
• Discard your hand, then draw cards equal to the number of cards in target opponent's hand.
• Discard your hand, then draw cards equal to the number of cards discarded this way.</t>
  </si>
  <si>
    <t>Wheel</t>
  </si>
  <si>
    <t>Discard your hand, then draw cards equal to the number of cards in target opponent's hand</t>
  </si>
  <si>
    <t>Or discard your hand and draw that many cards instead</t>
  </si>
  <si>
    <t>U 0178</t>
  </si>
  <si>
    <t>Inkognit</t>
  </si>
  <si>
    <t>Breena, the Demagogue</t>
  </si>
  <si>
    <t>Bird Warlock</t>
  </si>
  <si>
    <t>Flying
Whenever a player attacks one of your opponents, if that opponent has more life than another of your opponents, that attacking player draws a card and you put two +1/+1 counters on a creature you control.
(1/3)</t>
  </si>
  <si>
    <t>Whenever a player attacks one of your opponents, if that opponent has more life than another of your opponents, that att</t>
  </si>
  <si>
    <t>Brightclimb Pathway</t>
  </si>
  <si>
    <t>Brightclimb Pathway — Land
{T}: Add {W}.
//
Grimclimb Pathway — Land
{T}: Add {B}.</t>
  </si>
  <si>
    <t>{T}: Add {W}.</t>
  </si>
  <si>
    <t>Chaos Spewer</t>
  </si>
  <si>
    <t>When this creature enters, you may pay {2}. If you don't, blight 2. (To blight 2, put two -1/-1 counters on a creature you control.)
(5/4)</t>
  </si>
  <si>
    <t>Enters: pay {2} or put two -1/-1 counters on a creature you control</t>
  </si>
  <si>
    <t>Chitinous Graspling</t>
  </si>
  <si>
    <t>Changeling (This card is every creature type.)
Reach
(3/4)</t>
  </si>
  <si>
    <t>Chulane, Teller of Tales</t>
  </si>
  <si>
    <t>Vigilance
Whenever you cast a creature spell, draw a card, then you may put a land card from your hand onto the battlefield.
{3}, {T}: Return target creature you control to its owner's hand.
(2/4)</t>
  </si>
  <si>
    <t>Draw a card and may put a land from hand onto the battlefield whenever you cast a creature spell</t>
  </si>
  <si>
    <t>{3}, tap: return target creature you control to hand</t>
  </si>
  <si>
    <t>Vigilance body</t>
  </si>
  <si>
    <t>Clan Guildmage</t>
  </si>
  <si>
    <t>{1}{R}, {T}: Target creature can't block this turn.
{2}{G}, {T}: Target land you control becomes a 4/4 Elemental creature with haste until end of turn. It's still a land.
(2/2)</t>
  </si>
  <si>
    <t>Target creature can't block this turn</t>
  </si>
  <si>
    <t>Target land becomes a 4/4 hasty Elemental until end of turn</t>
  </si>
  <si>
    <t>Cloudblazer</t>
  </si>
  <si>
    <t>Human Scout</t>
  </si>
  <si>
    <t>Flying
When this creature enters, you gain 2 life and draw two cards.
(2/2)</t>
  </si>
  <si>
    <t>Gain 2 life and draw two cards when it enters</t>
  </si>
  <si>
    <t>Coiling Oracle</t>
  </si>
  <si>
    <t>Snake Elf Druid</t>
  </si>
  <si>
    <t>When this creature enters, reveal the top card of your library. If it's a land card, put it onto the battlefield. Otherwise, put that card into your hand.
(1/1)</t>
  </si>
  <si>
    <t>Reveals top card of library; puts it onto the battlefield if a land, otherwise to hand</t>
  </si>
  <si>
    <t>Colfenor, the Last Yew</t>
  </si>
  <si>
    <t>Treefolk Shaman</t>
  </si>
  <si>
    <t>Reach, vigilance
Whenever Colfenor or another creature you control dies, return up to one other target creature card with lesser toughness from your graveyard to your hand.
(3/7)</t>
  </si>
  <si>
    <t>Returns a creature card with lesser toughness from graveyard to hand when it or another creature you control dies</t>
  </si>
  <si>
    <t>Reach, vigilance body</t>
  </si>
  <si>
    <t>Deathbringer Liege</t>
  </si>
  <si>
    <t>Other white creatures you control get +1/+1.
Other black creatures you control get +1/+1.
Whenever you cast a white spell, you may tap target creature.
Whenever you cast a black spell, you may destroy target creature if it's tapped.
(3/4)</t>
  </si>
  <si>
    <t>Other white creatures you control get +1/+1</t>
  </si>
  <si>
    <t>Other black creatures you control get +1/+1</t>
  </si>
  <si>
    <t>Whenever you cast a white spell, you may tap target creature</t>
  </si>
  <si>
    <t>Deepchannel Duelist</t>
  </si>
  <si>
    <t>Merfolk Soldier</t>
  </si>
  <si>
    <t>At the beginning of your end step, untap target Merfolk you control.
Other Merfolk you control get +1/+1.
(2/2)</t>
  </si>
  <si>
    <t>Other Merfolk you control get +1/+1</t>
  </si>
  <si>
    <t>Untaps target Merfolk you control at your end step</t>
  </si>
  <si>
    <t>Deflecting Palm</t>
  </si>
  <si>
    <t>The next time a source of your choice would deal damage to you this turn, prevent that damage. If damage is prevented this way, Deflecting Palm deals that much damage to that source's controller.</t>
  </si>
  <si>
    <t>Prevent the next damage a source of your choice would deal to you this turn</t>
  </si>
  <si>
    <t>Deals that much damage back to that source's controller</t>
  </si>
  <si>
    <t>R 0063</t>
  </si>
  <si>
    <t>BL0051</t>
  </si>
  <si>
    <t>Deputy of Detention</t>
  </si>
  <si>
    <t>Vedalken Wizard</t>
  </si>
  <si>
    <t>When this creature enters, exile target nonland permanent an opponent controls and all other nonland permanents that player controls with the same name as that permanent until this creature leaves the battlefield.
(1/3)</t>
  </si>
  <si>
    <t>Exiles target nonland permanent and same-named copies its controller has until this leaves</t>
  </si>
  <si>
    <t>Despark</t>
  </si>
  <si>
    <t>Exile target permanent with mana value 4 or greater.</t>
  </si>
  <si>
    <t>Exiles target permanent with mana value 4 or greater</t>
  </si>
  <si>
    <t>Doran, the Siege Tower</t>
  </si>
  <si>
    <t>Each creature assigns combat damage equal to its toughness rather than its power.
(0/5)</t>
  </si>
  <si>
    <t>Each creature assigns combat damage equal to its toughness rather than its power.</t>
  </si>
  <si>
    <t>Dragonlord Dromoka</t>
  </si>
  <si>
    <t>This spell can't be countered.
Flying, lifelink
Your opponents can't cast spells during your turn.
(5/7)</t>
  </si>
  <si>
    <t>Opponents can't cast spells during your turn</t>
  </si>
  <si>
    <t>This spell can't be countered</t>
  </si>
  <si>
    <t>Eerie Ultimatum</t>
  </si>
  <si>
    <t>Return any number of permanent cards with different names from your graveyard to the battlefield.</t>
  </si>
  <si>
    <t>Return any number of permanent cards with different names from your graveyard to the battlefield</t>
  </si>
  <si>
    <t>Elenda, the Dusk Rose</t>
  </si>
  <si>
    <t>Vampire Knight</t>
  </si>
  <si>
    <t>Lifelink
Whenever another creature dies, put a +1/+1 counter on Elenda.
When Elenda dies, create X 1/1 white Vampire creature tokens with lifelink, where X is Elenda's power.
(1/1)</t>
  </si>
  <si>
    <t>Lifelink
Whenever another creature dies, put a +1/+1 counter on Elenda.
When Elenda dies, create X 1/1 white Vampire cre</t>
  </si>
  <si>
    <t>Essenceknit Scholar</t>
  </si>
  <si>
    <t>Dryad Warlock</t>
  </si>
  <si>
    <t>When this creature enters, create a 1/1 black and green Pest creature token with "Whenever this token attacks, you gain 1 life."
At the beginning of your end step, if a creature died under your control this turn, draw a card.
(3/1)</t>
  </si>
  <si>
    <t>Enters: create a 1/1 Pest token that gains you 1 life whenever it attacks</t>
  </si>
  <si>
    <t>At the beginning of your end step, draw a card if a creature died under your control this turn</t>
  </si>
  <si>
    <t>Excava, the Risen Past</t>
  </si>
  <si>
    <t>Spirit Horse</t>
  </si>
  <si>
    <t>Flying, haste
Whenever Excava attacks, return up to one target artifact, creature, or non-Aura enchantment card with mana value 3 or less from your graveyard to the battlefield with a finality counter on it. It's a 1/1 Spirit creature with flying in addition to its other types. (If a creature with a finality counter on it would die, exile it instead.)
(3/3)</t>
  </si>
  <si>
    <t>Can attack the turn it enters</t>
  </si>
  <si>
    <t>Attacking returns a MV 3 or less artifact/creature/enchantment from graveyard as a 1/1 Spirit that gets exiled if it dies</t>
  </si>
  <si>
    <t>Ezuri, Stalker of Spheres</t>
  </si>
  <si>
    <t>Phyrexian Elf Warrior</t>
  </si>
  <si>
    <t>When Ezuri enters, you may pay {3}. If you do, proliferate twice.
Whenever you proliferate, draw a card.
(3/3)</t>
  </si>
  <si>
    <t>When Ezuri enters, you may pay {3}. If you do, proliferate twice</t>
  </si>
  <si>
    <t>Whenever you proliferate, draw a card</t>
  </si>
  <si>
    <t>Faeburrow Elder</t>
  </si>
  <si>
    <t>Vigilance
This creature gets +1/+1 for each color among permanents you control.
{T}: For each color among permanents you control, add one mana of that color.
(0/0)</t>
  </si>
  <si>
    <t>Taps for one mana of each color among your permanents</t>
  </si>
  <si>
    <t>Gets +1/+1 for each color among your permanents</t>
  </si>
  <si>
    <t>Fearsome Goblin Pair</t>
  </si>
  <si>
    <t>When this creature dies, amass Goblins 4. (Put four +1/+1 counters on an Army you control. It's also a Goblin. If you don't control an Army, create a 0/0 black Goblin Army creature token first.)
(1/1)</t>
  </si>
  <si>
    <t>When this creature dies, amass Goblins 4</t>
  </si>
  <si>
    <t>Feisty Spikeling</t>
  </si>
  <si>
    <t>Changeling (This card is every creature type.)
During your turn, this creature has first strike.
(2/1)</t>
  </si>
  <si>
    <t>Has first strike during your turn</t>
  </si>
  <si>
    <t>Felisa, Fang of Silverquill</t>
  </si>
  <si>
    <t>Flying
Mentor (Whenever this creature attacks, put a +1/+1 counter on target attacking creature with lesser power.)
Whenever a nontoken creature you control dies, if it had counters on it, create X tapped 2/1 white and black Inkling creature tokens with flying, where X is the number of counters it had on it.
(3/2)</t>
  </si>
  <si>
    <t>Mentor</t>
  </si>
  <si>
    <t>Whenever a nontoken creature you control dies, if it had counters on it, create X tapped 2/1 white and black Inkling cre</t>
  </si>
  <si>
    <t>Felothar the Steadfast</t>
  </si>
  <si>
    <t>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(0/5)</t>
  </si>
  <si>
    <t>Your creatures assign combat damage equal to toughness</t>
  </si>
  <si>
    <t>Your defender creatures can attack</t>
  </si>
  <si>
    <t>Sacrifice a creature: draw cards equal to its toughness, discard equal to power</t>
  </si>
  <si>
    <t>Flaring Cinder</t>
  </si>
  <si>
    <t>Elemental Sorcerer</t>
  </si>
  <si>
    <t>When this creature enters and whenever you cast a spell with mana value 4 or greater, you may discard a card. If you do, draw a card.
(3/2)</t>
  </si>
  <si>
    <t>When it enters and whenever you cast a spell with mana value 4 or greater, you may discard a card to draw a card</t>
  </si>
  <si>
    <t>Gangly Stompling</t>
  </si>
  <si>
    <t>Changeling (This card is every creature type.)
Trample
(4/2)</t>
  </si>
  <si>
    <t>Counts as every creature type</t>
  </si>
  <si>
    <t>Deals excess combat damage to the defending player</t>
  </si>
  <si>
    <t>Hofri Ghostforge</t>
  </si>
  <si>
    <t>Dwarf Cleric</t>
  </si>
  <si>
    <t>Spirits you control get +1/+1 and have trample and haste.
Whenever another nontoken creature you control dies, exile it. If you do, create a token that's a copy of that creature, except it's a Spirit in addition to its other types and it has "When this token leaves the battlefield, return the exiled card to its owner's graveyard."
(4/5)</t>
  </si>
  <si>
    <t>Spirits you control get +1/+1 and can attack the turn they enter</t>
  </si>
  <si>
    <t>Another nontoken creature dying lets you exile it and make a Spirit copy token</t>
  </si>
  <si>
    <t>Huatli, the Sun's Heart</t>
  </si>
  <si>
    <t>Huatli</t>
  </si>
  <si>
    <t>Each creature you control assigns combat damage equal to its toughness rather than its power.
−3: You gain life equal to the greatest toughness among creatures you control.
(Loyalty 7)</t>
  </si>
  <si>
    <t>-3: gain life equal to the greatest toughness among your creatures</t>
  </si>
  <si>
    <t>Ikra Shidiqi, the Usurper</t>
  </si>
  <si>
    <t>Snake Wizard</t>
  </si>
  <si>
    <t>Menace
Whenever a creature you control deals combat damage to a player, you gain life equal to that creature's toughness.
Partner (You can have two commanders if both have partner.)
(3/7)</t>
  </si>
  <si>
    <t>Gain life equal to a creature's toughness whenever it deals combat damage to a player</t>
  </si>
  <si>
    <t>Can have two commanders if paired with another partner commander</t>
  </si>
  <si>
    <t>Imperious Inkmage</t>
  </si>
  <si>
    <t>Orc Warlock</t>
  </si>
  <si>
    <t>Vigilance
When this creature enters, surveil 2. (Look at the top two cards of your library, then put any number of them into your graveyard and the rest on top of your library in any order.)
(3/3)</t>
  </si>
  <si>
    <t>Enters: surveil 2 — look at the top two cards and put any number into your graveyard</t>
  </si>
  <si>
    <t>3/3 vigilance body</t>
  </si>
  <si>
    <t>Inkshield</t>
  </si>
  <si>
    <t>Prevent all combat damage that would be dealt to you this turn. For each 1 damage prevented this way, create a 2/1 white and black Inkling creature token with flying.</t>
  </si>
  <si>
    <t>Prevent all combat damage that would be dealt to you this turn. For each 1 damage prevented this way, create a 2/1 white</t>
  </si>
  <si>
    <t>Jungle Barrier</t>
  </si>
  <si>
    <t>Defender (This creature can't attack.)
When this creature enters, draw a card.
(2/6)</t>
  </si>
  <si>
    <t>106/143</t>
  </si>
  <si>
    <t>Edward P. Beard, Jr.</t>
  </si>
  <si>
    <t>Kambal, Consul of Allocation</t>
  </si>
  <si>
    <t>Whenever an opponent casts a noncreature spell, that player loses 2 life and you gain 2 life.
(2/3)</t>
  </si>
  <si>
    <t>Whenever an opponent casts a noncreature spell, that player loses 2 life and you gain 2 life.</t>
  </si>
  <si>
    <t>Kin-Tree Invocation</t>
  </si>
  <si>
    <t>Create an X/X black and green Spirit Warrior creature token, where X is the greatest toughness among creatures you control.</t>
  </si>
  <si>
    <t>Creates an X/X token, X = greatest toughness among your creatures</t>
  </si>
  <si>
    <t>Kiora's Follower</t>
  </si>
  <si>
    <t>Merfolk</t>
  </si>
  <si>
    <t>{T}: Untap another target permanent.
(2/2)</t>
  </si>
  <si>
    <t>{T}: Untap another target permanent</t>
  </si>
  <si>
    <t>Kirol, History Buff // Pack a Punch</t>
  </si>
  <si>
    <t>Kirol, History Buff {R}{W} — Legendary Creature — Vampire Cleric (2/3)
Whenever one or more cards leave your graveyard, Kirol becomes prepared. (While it's prepared, you may cast a copy of its spell. Doing so unprepares it.)
//
Pack a Punch {1}{R}{W} — Sorcery
Mill a card. Put two +1/+1 counters on target creature. It gains trample until end of turn.</t>
  </si>
  <si>
    <t>Cards leaving your graveyard lets you cast a copy of its other half</t>
  </si>
  <si>
    <t>Other half: mill a card, put two +1/+1 counters on target creature</t>
  </si>
  <si>
    <t>Other half also lets that creature push through blockers this turn</t>
  </si>
  <si>
    <t>U 0198</t>
  </si>
  <si>
    <t>Bryan Sola</t>
  </si>
  <si>
    <t>Knight of Autumn</t>
  </si>
  <si>
    <t>Dryad Knight</t>
  </si>
  <si>
    <t>When this creature enters, choose one —
• Put two +1/+1 counters on this creature.
• Destroy target artifact or enchantment.
• You gain 4 life.
(2/1)</t>
  </si>
  <si>
    <t>Choose one when it enters: add two +1/+1 counters to itself, destroy target artifact/enchantment, or gain 4 life</t>
  </si>
  <si>
    <t>Large Bear</t>
  </si>
  <si>
    <t>Reach, trample, haste
(5/5)</t>
  </si>
  <si>
    <t>Reach, trample, haste</t>
  </si>
  <si>
    <t>Lorehold Archivist // Restore Relic</t>
  </si>
  <si>
    <t>Dwarf Artificer</t>
  </si>
  <si>
    <t>Lorehold Archivist {1}{R}{W} — Creature — Dwarf Artificer (3/2)
First strike
At the beginning of your upkeep, if there are three or more artifact and/or creature cards in your graveyard, this creature becomes prepared. (While it's prepared, you may cast a copy of its spell. Doing so unprepares it.)
//
Restore Relic {2}{R}{W} — Sorcery
Exile target artifact or creature card from your graveyard. Create a token that's a copy of it.</t>
  </si>
  <si>
    <t>Deals combat damage before normal-speed blockers</t>
  </si>
  <si>
    <t>Upkeep: if 3+ artifacts/creatures are in your graveyard, you may cast a copy of its other half</t>
  </si>
  <si>
    <t>Other half: exile an artifact or creature card from graveyard, create a copy token</t>
  </si>
  <si>
    <t>Lorehold Charm</t>
  </si>
  <si>
    <t>Choose one —
• Each opponent sacrifices a nontoken artifact of their choice.
• Return target artifact or creature card with mana value 2 or less from your graveyard to the battlefield.
• Creatures you control get +1/+1 and gain trample until end of turn.</t>
  </si>
  <si>
    <t>Interaction</t>
  </si>
  <si>
    <t>Choose one: each opponent sacrifices a nontoken artifact</t>
  </si>
  <si>
    <t>Or returns a MV 2 or less artifact/creature from graveyard to battlefield</t>
  </si>
  <si>
    <t>Or your creatures get +1/+1 and push through blockers this turn</t>
  </si>
  <si>
    <t>Lorehold Command</t>
  </si>
  <si>
    <t>Choose two —
• Create a 3/2 red and white Spirit creature token.
• Creatures you control get +1/+0 and gain indestructible and haste until end of turn.
• Lorehold Command deals 3 damage to any target. Target player gains 3 life.
• Sacrifice a permanent, then draw two cards.</t>
  </si>
  <si>
    <t>Choose two —</t>
  </si>
  <si>
    <t>• Create a 3/2 red and white Spirit creature token</t>
  </si>
  <si>
    <t>• Creatures you control get +1/+0 and gain indestructible and haste until end of turn</t>
  </si>
  <si>
    <t>Lorehold Excavation</t>
  </si>
  <si>
    <t>At the beginning of your end step, mill a card. If a land card was milled this way, you gain 1 life. Otherwise, this enchantment deals 1 damage to each opponent. (To mill a card, put the top card of your library into your graveyard.)
{5}, Exile a creature card from your graveyard: Create a tapped 3/2 red and white Spirit creature token.</t>
  </si>
  <si>
    <t>At the beginning of your end step, mill a card. If a land card was milled this way, you gain 1 life. Otherwise, this enc</t>
  </si>
  <si>
    <t>{5}, Exile a creature card from your graveyard: Create a tapped 3/2 red and white Spirit creature token</t>
  </si>
  <si>
    <t>Maralen, Fae Ascendant</t>
  </si>
  <si>
    <t>Elf Faerie Noble</t>
  </si>
  <si>
    <t>Flying
Whenever Maralen or another Elf or Faerie you control enters, exile the top two cards of target opponent's library.
Once each turn, you may cast a spell with mana value less than or equal to the number of Elves and Faeries you control from among cards exiled with Maralen this turn without paying its mana cost.
(4/5)</t>
  </si>
  <si>
    <t>Exiles two cards from opponent's library on Elf/Faerie ETB</t>
  </si>
  <si>
    <t>Free-casts exiled spells with MV ≤ Elves/Faeries you control</t>
  </si>
  <si>
    <t>Merfolk Skydiver</t>
  </si>
  <si>
    <t>Merfolk Mutant</t>
  </si>
  <si>
    <t>Flying
When this creature enters, put a +1/+1 counter on target creature you control.
{3}{G}{U}: Proliferate. (Choose any number of permanents and/or players, then give each another counter of each kind already there.)
(1/1)</t>
  </si>
  <si>
    <t>Puts a +1/+1 counter on target creature you control when it enters</t>
  </si>
  <si>
    <t>Pay {3}{G}{U} to proliferate</t>
  </si>
  <si>
    <t>Merrow Skyswimmer</t>
  </si>
  <si>
    <t>Convoke (Your creatures can help cast this spell. Each creature you tap while casting this spell pays for {1} or one mana of that creature's color.)
Flying, vigilance
When this creature enters, create a 1/1 white and blue Merfolk creature token.
(2/2)</t>
  </si>
  <si>
    <t>Enters: create a 1/1 white and blue Merfolk token</t>
  </si>
  <si>
    <t>Flying, vigilance</t>
  </si>
  <si>
    <t>Convoke: tap your creatures to help cast it</t>
  </si>
  <si>
    <t>Mirkwood Nurturer</t>
  </si>
  <si>
    <t>When this creature enters, return up to one other target permanent you control to its owner's hand. If you do, put a +1/+1 counter on this creature.
(3/2)</t>
  </si>
  <si>
    <t>When this creature enters, return up to one other target permanent you control to its owner's hand. If you do, put a +1/</t>
  </si>
  <si>
    <t>Mistmeadow Witch</t>
  </si>
  <si>
    <t>Kithkin Wizard</t>
  </si>
  <si>
    <t>{2}{W}{U}: Exile target creature. Return that card to the battlefield under its owner's control at the beginning of the next end step.
(1/1)</t>
  </si>
  <si>
    <t>Exiles a creature, returning it at the next end step</t>
  </si>
  <si>
    <t>Momentary Blink</t>
  </si>
  <si>
    <t>Exile target creature you control, then return it to the battlefield under its owner's control.
Flashback {3}{U} (You may cast this card from your graveyard for its flashback cost. Then exile it.)</t>
  </si>
  <si>
    <t>Exiles then returns target creature you control</t>
  </si>
  <si>
    <t>Flashback {3}{U}</t>
  </si>
  <si>
    <t>Mortify</t>
  </si>
  <si>
    <t>Destroy target creature or enchantment.</t>
  </si>
  <si>
    <t>Destroys target creature or enchantment</t>
  </si>
  <si>
    <t>Nori, Teller of Tales</t>
  </si>
  <si>
    <t>Dwarf Bard</t>
  </si>
  <si>
    <t>Whenever Nori attacks, target attacking creature gains first strike until end of turn.
(2/2)</t>
  </si>
  <si>
    <t>Whenever it attacks, target attacking creature gains first strike until end of turn</t>
  </si>
  <si>
    <t>Patient Instructor</t>
  </si>
  <si>
    <t>Human Citizen</t>
  </si>
  <si>
    <t>Vigilance
When this creature enters, recruit. (Draw a card, then discard a card. If you discarded a nonland card, create a 1/1 white Human Soldier creature token.)
(2/2)</t>
  </si>
  <si>
    <t>Enters: recruit (draw a card, then discard a card; if you discarded a nonland card, create a 1/1 Human Soldier token)</t>
  </si>
  <si>
    <t>Pest Mascot</t>
  </si>
  <si>
    <t>Pest Ape</t>
  </si>
  <si>
    <t>Trample
Whenever you gain life, put a +1/+1 counter on this creature.
(2/3)</t>
  </si>
  <si>
    <t>Whenever you gain life, put a +1/+1 counter on this creature</t>
  </si>
  <si>
    <t>2/3 trample body</t>
  </si>
  <si>
    <t>Platypus-Bear</t>
  </si>
  <si>
    <t>Platypus Bear</t>
  </si>
  <si>
    <t>Defender
When this creature enters, mill two cards. (Put the top two cards of your library into your graveyard.)
As long as there is a Lesson card in your graveyard, this creature can attack as though it didn't have defender.
(2/3)</t>
  </si>
  <si>
    <t>Mills two cards when it enters</t>
  </si>
  <si>
    <t>Can attack if a Lesson is in your graveyard</t>
  </si>
  <si>
    <t>Pretending Poxbearers</t>
  </si>
  <si>
    <t>Human Citizen Ally</t>
  </si>
  <si>
    <t>When this creature dies, create a 1/1 white Ally creature token.
(2/1)</t>
  </si>
  <si>
    <t>Dies: create a 1/1 white Ally token</t>
  </si>
  <si>
    <t>C 0237</t>
  </si>
  <si>
    <t>Salvatorre Zee Yazzie</t>
  </si>
  <si>
    <t>Priest of Fell Rites</t>
  </si>
  <si>
    <t>{T}, Pay 3 life, Sacrifice this creature: Return target creature card from your graveyard to the battlefield. Activate only as a sorcery.
Unearth {3}{W}{B} ({3}{W}{B}: Return this card from your graveyard to the battlefield. It gains haste. Exile it at the beginning of the next end step or if it would leave the battlefield. Unearth only as a sorcery.)
(2/2)</t>
  </si>
  <si>
    <t>Tap, pay 3 life, sacrifice: return target creature card from graveyard to the battlefield</t>
  </si>
  <si>
    <t>Unearth {3}{W}{B} to return from graveyard with haste temporarily</t>
  </si>
  <si>
    <t>Pterafractyl</t>
  </si>
  <si>
    <t>Dinosaur Fractal</t>
  </si>
  <si>
    <t>Flying
This creature enters with X +1/+1 counters on it.
When this creature enters, you gain 2 life.
(1/0)</t>
  </si>
  <si>
    <t>Enters with X +1/+1 counters on it and has flying</t>
  </si>
  <si>
    <t>Putrefy</t>
  </si>
  <si>
    <t>Destroy target artifact or creature. It can't be regenerated.</t>
  </si>
  <si>
    <t>Destroys target artifact or creature; it can't be regenerated</t>
  </si>
  <si>
    <t>Quintorius Kand</t>
  </si>
  <si>
    <t>Quintorius</t>
  </si>
  <si>
    <t>Whenever you cast a spell from exile, Quintorius Kand deals 2 damage to each opponent and you gain 2 life.
+1: Create a 3/2 red and white Spirit creature token.
−3: Discover 4.
−6: Exile any number of target cards from your graveyard. Add {R} for each card exiled this way. You may play those cards this turn.
(Loyalty 4)</t>
  </si>
  <si>
    <t>Casting spells from exile deals 2 damage to each opponent and gains you 2 life</t>
  </si>
  <si>
    <t>+1: create a 3/2 Spirit token</t>
  </si>
  <si>
    <t>-3: Discover 4 (exile cards until a nonland MV 4 or less appears, cast or hand it free)</t>
  </si>
  <si>
    <t>Quintorius, Field Historian</t>
  </si>
  <si>
    <t>Elephant Cleric</t>
  </si>
  <si>
    <t>Spirits you control get +1/+0.
Whenever one or more cards leave your graveyard, create a 3/2 red and white Spirit creature token.
(2/4)</t>
  </si>
  <si>
    <t>Spirits you control get +1/+0</t>
  </si>
  <si>
    <t>Whenever cards leave your graveyard, create a 3/2 Spirit token</t>
  </si>
  <si>
    <t>Quintorius, History Chaser</t>
  </si>
  <si>
    <t>Whenever one or more cards leave your graveyard, create a 3/2 red and white Spirit creature token.
+1: You may discard a card. If you do, draw two cards, then mill a card.
−4: Spirits you control gain double strike and vigilance until end of turn.
Quintorius, History Chaser can be your commander.
(Loyalty 5)</t>
  </si>
  <si>
    <t>+1: discard a card to draw two cards, then mill one</t>
  </si>
  <si>
    <t>-4: Spirits you control get extra combat abilities this turn</t>
  </si>
  <si>
    <t>Quintorius, Loremaster</t>
  </si>
  <si>
    <t>Vigilance
At the beginning of your end step, exile target noncreature, nonland card from your graveyard. Create a 3/2 red and white Spirit creature token.
{1}{R}{W}, {T}, Sacrifice a Spirit: Choose target card exiled with Quintorius. You may cast that card this turn without paying its mana cost. If that spell would be put into a graveyard, put it on the bottom of its owner's library instead.
(3/5)</t>
  </si>
  <si>
    <t>Vigilant 3/2ish body</t>
  </si>
  <si>
    <t>End step: exile a noncreature nonland card from graveyard, create a 3/2 Spirit token</t>
  </si>
  <si>
    <t>Sacrifice a Spirit: cast an exiled card for free this turn</t>
  </si>
  <si>
    <t>Ratonhnhaké꞉ton</t>
  </si>
  <si>
    <t>As long as Ratonhnhaké꞉ton hasn't dealt damage yet, it has hexproof and can't be blocked.
Whenever Ratonhnhaké꞉ton deals combat damage to a player, create a 1/1 black Assassin creature token with menace. When you do, return target Equipment card from your graveyard to the battlefield, then attach it to that token.
(3/3)</t>
  </si>
  <si>
    <t>Unblockable and hexproof until it first deals damage</t>
  </si>
  <si>
    <t>Combat damage makes a 1/1 Assassin token</t>
  </si>
  <si>
    <t>Also reanimates target Equipment onto that token</t>
  </si>
  <si>
    <t>R 0150</t>
  </si>
  <si>
    <t>Reaping Willow</t>
  </si>
  <si>
    <t>Treefolk Cleric</t>
  </si>
  <si>
    <t>Lifelink
This creature enters with two -1/-1 counters on it.
{1}{W/B}, Remove two counters from this creature: Return target creature card with mana value 3 or less from your graveyard to the battlefield. Activate only as a sorcery.
(3/6)</t>
  </si>
  <si>
    <t>Enters with two -1/-1 counters on itself</t>
  </si>
  <si>
    <t>Remove counters: reanimate a creature card MV 3 or less</t>
  </si>
  <si>
    <t>Reconstruct History</t>
  </si>
  <si>
    <t>Return up to one target artifact card, up to one target enchantment card, up to one target instant card, up to one target sorcery card, and up to one target planeswalker card from your graveyard to your hand.
Exile Reconstruct History.</t>
  </si>
  <si>
    <t>Return up to one target artifact card, up to one target enchantment card, up to one target instant card, up to one targe</t>
  </si>
  <si>
    <t>Exile Reconstruct History</t>
  </si>
  <si>
    <t>Reflector Mage</t>
  </si>
  <si>
    <t>Human Wizard</t>
  </si>
  <si>
    <t>When this creature enters, return target creature an opponent controls to its owner's hand. That creature's owner can't cast spells with the same name as that creature until your next turn.
(2/3)</t>
  </si>
  <si>
    <t>Bounces target opponent creature to hand when it enters</t>
  </si>
  <si>
    <t>That creature's owner can't recast it until your next turn</t>
  </si>
  <si>
    <t>Render Speechless</t>
  </si>
  <si>
    <t>Target opponent reveals their hand. You choose a nonland card from it. That player discards that card.
Put two +1/+1 counters on up to one target creature.</t>
  </si>
  <si>
    <t>Target opponent reveals their hand and discards a nonland card you choose</t>
  </si>
  <si>
    <t>Put two +1/+1 counters on up to one target creature</t>
  </si>
  <si>
    <t>Resonating Lute</t>
  </si>
  <si>
    <t>Lands you control have "{T}: Add two mana of any one color. Spend this mana only to cast instant and sorcery spells."
{T}: Draw a card. Activate only if you have seven or more cards in your hand.</t>
  </si>
  <si>
    <t>Lands you control gain "{T}: Add two mana of any one color," spendable only on instants and sorceries</t>
  </si>
  <si>
    <t>{T}: Draw a card, only with seven or more cards in hand</t>
  </si>
  <si>
    <t>Rip Apart</t>
  </si>
  <si>
    <t>Choose one —
• Rip Apart deals 3 damage to target creature or planeswalker.
• Destroy target artifact or enchantment.</t>
  </si>
  <si>
    <t>Choose one: deals 3 damage to target creature or planeswalker</t>
  </si>
  <si>
    <t>Or destroys target artifact or enchantment</t>
  </si>
  <si>
    <t>Risen Reef</t>
  </si>
  <si>
    <t>Whenever this creature or another Elemental you control enters, look at the top card of your library. If it's a land card, you may put it onto the battlefield tapped. If you don't put the card onto the battlefield, put it into your hand.
(1/1)</t>
  </si>
  <si>
    <t>Whenever this creature or another Elemental you control enters, look at the top card of your library. If it's a land car</t>
  </si>
  <si>
    <t>Rocketeer Boostbuggy</t>
  </si>
  <si>
    <t>Whenever this Vehicle attacks, create a Treasure token. (It's an artifact with "{T}, Sacrifice this token: Add one mana of any color.")
Exhaust — {3}: This Vehicle becomes an artifact creature. Put a +1/+1 counter on it. (Activate each exhaust ability only once.)
Crew 1
(3/2)</t>
  </si>
  <si>
    <t>Creates a Treasure token whenever it attacks</t>
  </si>
  <si>
    <t>Pay {3} once to become a creature and get a +1/+1 counter</t>
  </si>
  <si>
    <t>U 0327</t>
  </si>
  <si>
    <t>Adam Volker</t>
  </si>
  <si>
    <t>Roon of the Hidden Realm</t>
  </si>
  <si>
    <t>Rhino Soldier</t>
  </si>
  <si>
    <t>Vigilance, trample
{2}, {T}: Exile another target creature. Return that card to the battlefield under its owner's control at the beginning of the next end step.
(4/4)</t>
  </si>
  <si>
    <t>Exiles another creature, returns it at next end step</t>
  </si>
  <si>
    <t>Repeatable via {2}, tap activated ability</t>
  </si>
  <si>
    <t>Sapling of Colfenor</t>
  </si>
  <si>
    <t>Indestructible
Whenever Sapling of Colfenor attacks, reveal the top card of your library. If it's a creature card, you gain life equal to that card's toughness, lose life equal to its power, then put it into your hand.
(2/5)</t>
  </si>
  <si>
    <t>Attacking reveals top card; if creature, gain life equal to its toughness</t>
  </si>
  <si>
    <t>Lose life equal to that creature's power, then put it into hand</t>
  </si>
  <si>
    <t>Indestructible body</t>
  </si>
  <si>
    <t>Senate Griffin</t>
  </si>
  <si>
    <t>Griffin</t>
  </si>
  <si>
    <t>Flying
When this creature enters, scry 1.
(3/2)</t>
  </si>
  <si>
    <t>Shadow Urchin</t>
  </si>
  <si>
    <t>Ouphe</t>
  </si>
  <si>
    <t>Whenever this creature attacks, blight 1. (Put a -1/-1 counter on a creature you control.)
Whenever a creature you control with one or more counters on it dies, exile that many cards from the top of your library. Until your next end step, you may play those cards.
(3/4)</t>
  </si>
  <si>
    <t>Whenever a creature you control with counters on it dies, exile that many cards from the top of your library and play them until your next end step</t>
  </si>
  <si>
    <t>Whenever this creature attacks, blight 1 (put a -1/-1 counter on a creature you control)</t>
  </si>
  <si>
    <t>Shalai, Voice of Plenty</t>
  </si>
  <si>
    <t>Flying
You, planeswalkers you control, and other creatures you control have hexproof.
{4}{G}{G}: Put a +1/+1 counter on each creature you control.
(3/4)</t>
  </si>
  <si>
    <t>You, your planeswalkers, and your other creatures can't be targeted by opponents</t>
  </si>
  <si>
    <t>Pay {4}{G}{G} to put a +1/+1 counter on each creature you control</t>
  </si>
  <si>
    <t>Dominaria</t>
  </si>
  <si>
    <t>Sidar Kondo of Jamuraa</t>
  </si>
  <si>
    <t>Human Knight</t>
  </si>
  <si>
    <t>Flanking (Whenever a creature without flanking blocks this creature, the blocking creature gets -1/-1 until end of turn.)
Creatures your opponents control without flying or reach can't block creatures with power 2 or less.
Partner (You can have two commanders if both have partner.)
(2/5)</t>
  </si>
  <si>
    <t>Evasion</t>
  </si>
  <si>
    <t>Your creatures with power 2 or less can't be blocked by creatures without flying or reach</t>
  </si>
  <si>
    <t>Smaug, Wicked Worm</t>
  </si>
  <si>
    <t>Flying
When Smaug enters, create X tapped Treasure tokens, where X is the number of artifacts your opponents control.
Whenever you cast a spell, if mana from a Treasure was spent to cast it, you draw a card and lose 1 life.
(5/5)</t>
  </si>
  <si>
    <t>Enters: create a tapped Treasure for each artifact your opponents control</t>
  </si>
  <si>
    <t>Whenever you cast a spell with Treasure mana, draw a card and lose 1 life</t>
  </si>
  <si>
    <t>5/5 flying body</t>
  </si>
  <si>
    <t>R 0245</t>
  </si>
  <si>
    <t>Tyler Jacobson</t>
  </si>
  <si>
    <t>Soulherder</t>
  </si>
  <si>
    <t>Whenever a creature is exiled from the battlefield, put a +1/+1 counter on this creature.
At the beginning of your end step, you may exile another target creature you control, then return that card to the battlefield under its owner's control.
(1/1)</t>
  </si>
  <si>
    <t>End step: may exile then return another target creature you control</t>
  </si>
  <si>
    <t>Gets a +1/+1 counter whenever a creature is exiled from the battlefield</t>
  </si>
  <si>
    <t>Stadium Tidalmage</t>
  </si>
  <si>
    <t>Whenever this creature enters or attacks, you may draw a card. If you do, discard a card.
(4/4)</t>
  </si>
  <si>
    <t>Whenever this creature enters or attacks, you may draw a card, then discard a card</t>
  </si>
  <si>
    <t>4/4 body</t>
  </si>
  <si>
    <t>Tam, Observant Sequencer // Deep Sight</t>
  </si>
  <si>
    <t>Gorgon Wizard</t>
  </si>
  <si>
    <t>Tam, Observant Sequencer {2}{G}{U} — Legendary Creature — Gorgon Wizard (4/3)
Landfall — Whenever a land you control enters, Tam becomes prepared. (While it's prepared, you may cast a copy of its spell. Doing so unprepares it.)
//
Deep Sight {G}{U} — Sorcery
You draw a card and gain 1 life.</t>
  </si>
  <si>
    <t>Landfall — whenever a land you control enters, Tam becomes prepared and you may cast a copy of its spell</t>
  </si>
  <si>
    <t>Deep Sight: draw a card and gain 1 life</t>
  </si>
  <si>
    <t>Tatyova, Benthic Druid</t>
  </si>
  <si>
    <t>Merfolk Druid</t>
  </si>
  <si>
    <t>Landfall — Whenever a land you control enters, you gain 1 life and draw a card.
(3/3)</t>
  </si>
  <si>
    <t>Landfall — Whenever a land you control enters, you gain 1 life and draw a card</t>
  </si>
  <si>
    <t>Thorin Oakenshield</t>
  </si>
  <si>
    <t>Dwarf Noble</t>
  </si>
  <si>
    <t>Trample
Storied (If you control three or more artifacts, legendaries, and/or Sagas, you have an enduring story for the rest of the game.)
As long as you have an enduring story, artifacts and creatures you control have ward {1}.
(3/2)</t>
  </si>
  <si>
    <t>Storied — once you control three or more artifacts, legendaries and/or Sagas, you have an enduring story for the rest of the game</t>
  </si>
  <si>
    <t>While you have an enduring story, artifacts and creatures you control have ward {1}</t>
  </si>
  <si>
    <t>3/2 trample body</t>
  </si>
  <si>
    <t>Thrilling Discovery</t>
  </si>
  <si>
    <t>You gain 2 life. Then you may discard two cards. If you do, draw three cards.</t>
  </si>
  <si>
    <t>Gain 2 life</t>
  </si>
  <si>
    <t>May discard two cards to draw three</t>
  </si>
  <si>
    <t>Tidus, Yuna's Guardian</t>
  </si>
  <si>
    <t>At the beginning of combat on your turn, you may move a counter from target creature you control onto a second target creature you control.
Cheer — Whenever one or more creatures you control with counters on them deal combat damage to a player, you may draw a card and proliferate. Do this only once each turn.
(3/3)</t>
  </si>
  <si>
    <t>Moves a counter from one creature you control to another</t>
  </si>
  <si>
    <t>Draw a card and proliferate when countered creatures deal damage</t>
  </si>
  <si>
    <t>Final Fantasy Commander</t>
  </si>
  <si>
    <t>Tom, Bert, and William</t>
  </si>
  <si>
    <t>Troll</t>
  </si>
  <si>
    <t>{1}, Sacrifice another creature: Draw cards equal to the sacrificed creature's power, then discard a card.
When Tom, Bert, and William die, if they were a creature, return them to the battlefield. They're an artifact. (They're no longer a creature.)
(5/5)</t>
  </si>
  <si>
    <t>{1}, sacrifice another creature: draw cards equal to its power, then discard a card</t>
  </si>
  <si>
    <t>When they die as a creature, they return to the battlefield as an artifact</t>
  </si>
  <si>
    <t>Tranquil Cove</t>
  </si>
  <si>
    <t>This land enters tapped.
When this land enters, you gain 1 life.
{T}: Add {W} or {U}.</t>
  </si>
  <si>
    <t>Tranquil Expanse</t>
  </si>
  <si>
    <t>Underground River</t>
  </si>
  <si>
    <t>{T}: Add {C}.
{T}: Add {U} or {B}. This land deals 1 damage to you.</t>
  </si>
  <si>
    <t>{T}: Add {C}. / {T}: Add {U} or {B}. This land deals 1 damage to you.</t>
  </si>
  <si>
    <t>Utter End</t>
  </si>
  <si>
    <t>Exile target nonland permanent.</t>
  </si>
  <si>
    <t>Venerable Warsinger</t>
  </si>
  <si>
    <t>Spirit Cleric</t>
  </si>
  <si>
    <t>Vigilance, trample
Whenever this creature deals combat damage to a player, you may return target creature card with mana value X or less from your graveyard to the battlefield, where X is the amount of damage this creature dealt to that player.
(3/3)</t>
  </si>
  <si>
    <t>Can attack past blockers while staying untapped</t>
  </si>
  <si>
    <t>Combat damage to a player returns a creature card from graveyard with MV up to that damage</t>
  </si>
  <si>
    <t>Vindicate</t>
  </si>
  <si>
    <t>Destroy target permanent.</t>
  </si>
  <si>
    <t>Destroys target permanent of any type</t>
  </si>
  <si>
    <t>Visionary's Dance</t>
  </si>
  <si>
    <t>Create two 3/3 blue and red Elemental creature tokens with flying.
{2}, Discard this card: Look at the top two cards of your library. Put one of them into your hand and the other into your graveyard.</t>
  </si>
  <si>
    <t>Create two 3/3 Elemental tokens with flying</t>
  </si>
  <si>
    <t>{2}, discard this card: look at the top two cards, put one into your hand and the other into your graveyard</t>
  </si>
  <si>
    <t>Voracious Tome-Skimmer</t>
  </si>
  <si>
    <t>Faerie Rogue</t>
  </si>
  <si>
    <t>Flying
Whenever you cast a spell during an opponent's turn, you may pay 1 life. If you do, draw a card.
(2/3)</t>
  </si>
  <si>
    <t>Pay 1 life to draw a card when you cast on opponent's turn</t>
  </si>
  <si>
    <t>Wandering Musicians</t>
  </si>
  <si>
    <t>Human Bard Ally</t>
  </si>
  <si>
    <t>Whenever this creature attacks, creatures you control get +1/+0 until end of turn.
(2/5)</t>
  </si>
  <si>
    <t>Whenever it attacks, creatures you control get +1/+0 until end of turn</t>
  </si>
  <si>
    <t>Warleader's Call</t>
  </si>
  <si>
    <t>Creatures you control get +1/+1.
Whenever a creature you control enters, this enchantment deals 1 damage to each opponent.</t>
  </si>
  <si>
    <t>Creatures you control get +1/+1</t>
  </si>
  <si>
    <t>Whenever a creature you control enters, this enchantment deals 1 damage to each opponent</t>
  </si>
  <si>
    <t>Wary Farmer</t>
  </si>
  <si>
    <t>At the beginning of your end step, if another creature entered the battlefield under your control this turn, surveil 1. (Look at the top card of your library. You may put it into your graveyard.)
(3/3)</t>
  </si>
  <si>
    <t>At the beginning of your end step, surveil 1 if another creature entered under your control this turn</t>
  </si>
  <si>
    <t>Wavesifter</t>
  </si>
  <si>
    <t>Flying
When this creature enters, investigate twice. (To investigate, create a Clue token. It's an artifact with "{2}, Sacrifice this token: Draw a card.")
Evoke {G}{U} (You may cast this spell for its evoke cost. If you do, it's sacrificed when it enters.)
(3/2)</t>
  </si>
  <si>
    <t>Creates two Clue tokens (sac, {2}: draw a card)</t>
  </si>
  <si>
    <t>Can be cast for its evoke cost, then sacrificed</t>
  </si>
  <si>
    <t>Yavimaya Coast</t>
  </si>
  <si>
    <t>{T}: Add {C}.
{T}: Add {G} or {U}. This land deals 1 damage to you.</t>
  </si>
  <si>
    <t>{T}: Add {C}. / {T}: Add {G} or {U}. This land deals 1 damage to you.</t>
  </si>
  <si>
    <t>Zaffai and the Tempests</t>
  </si>
  <si>
    <t>Human Bard Sorcerer</t>
  </si>
  <si>
    <t>Once during each of your turns, you may cast an instant or sorcery spell from your hand without paying its mana cost.
(5/7)</t>
  </si>
  <si>
    <t>Once during each of your turns, cast an instant or sorcery from your hand without paying its mana cost</t>
  </si>
  <si>
    <t>5/7 body</t>
  </si>
  <si>
    <t>Abrade</t>
  </si>
  <si>
    <t>R</t>
  </si>
  <si>
    <t>Choose one —
• Abrade deals 3 damage to target creature.
• Destroy target artifact.</t>
  </si>
  <si>
    <t>Deals 3 damage to target creature, or destroys target artifact</t>
  </si>
  <si>
    <t>Hour of Devastation</t>
  </si>
  <si>
    <t>Advanced Reconstruction</t>
  </si>
  <si>
    <t>(Gain the next level as a sorcery to add its ability.)
At the beginning of your first main phase, mill a card, then exile a card from your graveyard at random. You may play the exiled card this turn.
{1}{R}: Level 2
Whenever one or more cards leave your graveyard, this Class deals 2 damage to each opponent.
{1}{R}: Level 3
Spells you cast from anywhere other than your hand cost {2} less to cast.</t>
  </si>
  <si>
    <t>Main phase: mill a card, then exile a random graveyard card you may play this turn</t>
  </si>
  <si>
    <t>Level 2: deals 2 damage to each opponent when cards leave your graveyard</t>
  </si>
  <si>
    <t>Level 3: spells cast from anywhere but hand cost {2} less</t>
  </si>
  <si>
    <t>Akoum Hellhound</t>
  </si>
  <si>
    <t>Elemental Dog</t>
  </si>
  <si>
    <t>Landfall — Whenever a land you control enters, this creature gets +2/+2 until end of turn.
(0/1)</t>
  </si>
  <si>
    <t>Gets +2/+2 until end of turn when a land you control enters</t>
  </si>
  <si>
    <t>Alexios, Deimos of Kosmos</t>
  </si>
  <si>
    <t>Human Berserker</t>
  </si>
  <si>
    <t>Trample
Alexios attacks each combat if able, can't be sacrificed, and can't attack its owner.
At the beginning of each player's upkeep, that player gains control of Alexios, untaps it, and puts a +1/+1 counter on it. It gains haste until end of turn.
(4/4)</t>
  </si>
  <si>
    <t>Must attack each combat, can't be sacrificed or attack you</t>
  </si>
  <si>
    <t>Passes to whoever's upkeep it is, untapped with a +1/+1 counter and haste</t>
  </si>
  <si>
    <t>Trample body that grows every turn cycle</t>
  </si>
  <si>
    <t>Ancestral Anger</t>
  </si>
  <si>
    <t>Target creature gains trample and gets +X/+0 until end of turn, where X is 1 plus the number of cards named Ancestral Anger in your graveyard.
Draw a card.</t>
  </si>
  <si>
    <t>Target creature gains trample and gets +X/+0, where X is 1 plus the number of copies of this card in your graveyard</t>
  </si>
  <si>
    <t>Anger</t>
  </si>
  <si>
    <t>Incarnation</t>
  </si>
  <si>
    <t>Haste
As long as this card is in your graveyard and you control a Mountain, creatures you control have haste.
(2/2)</t>
  </si>
  <si>
    <t>While in your graveyard with a Mountain, your creatures can attack the turn they enter</t>
  </si>
  <si>
    <t>Ashling, Rekindled</t>
  </si>
  <si>
    <t>Ashling, Rekindled {1}{R} — Legendary Creature — Elemental Sorcerer (1/3)
Whenever this creature enters or transforms into Ashling, Rekindled, you may discard a card. If you do, draw a card.
At the beginning of your first main phase, you may pay {U}. If you do, transform Ashling.
//
Ashling, Rimebound — Legendary Creature — Elemental Wizard (1/3)
Whenever this creature transforms into Ashling, Rimebound and at the beginning of your first main phase, add two mana of any one color. Spend this mana only to cast spells with mana value 4 or greater.
At the beginning of your first main phase, you may pay {R}. If you do, transform Ashling.</t>
  </si>
  <si>
    <t>When it enters or transforms into Ashling, Rekindled, you may discard a card to draw a card</t>
  </si>
  <si>
    <t>At the beginning of your first main phase you may pay {U} to transform it</t>
  </si>
  <si>
    <t>Back face Ashling, Rimebound: on transforming and each first main phase, add two mana of any one color for spells with mana value 4 or greater</t>
  </si>
  <si>
    <t>Atsushi, the Blazing Sky</t>
  </si>
  <si>
    <t>Dragon Spirit</t>
  </si>
  <si>
    <t>Flying, trample
When Atsushi dies, choose one —
• Exile the top two cards of your library. Until the end of your next turn, you may play those cards.
• Create three Treasure tokens.
(4/4)</t>
  </si>
  <si>
    <t>Flying body that deals extra combat damage through blockers</t>
  </si>
  <si>
    <t>Dies: exile top two library cards to play until next turn's end</t>
  </si>
  <si>
    <t>Or dies: create three Treasure tokens</t>
  </si>
  <si>
    <t>Barrage of Expendables</t>
  </si>
  <si>
    <t>{R}, Sacrifice a creature: This enchantment deals 1 damage to any target.</t>
  </si>
  <si>
    <t>{R}, sacrifice a creature: deals 1 damage to any target</t>
  </si>
  <si>
    <t>Magic 2014</t>
  </si>
  <si>
    <t>Battle Hymn</t>
  </si>
  <si>
    <t>Add {R} for each creature you control.</t>
  </si>
  <si>
    <t>Add {R} for each creature you control</t>
  </si>
  <si>
    <t>Beetleback Chief</t>
  </si>
  <si>
    <t>Goblin Warrior</t>
  </si>
  <si>
    <t>When this creature enters, create two 1/1 red Goblin creature tokens.
(2/2)</t>
  </si>
  <si>
    <t>Creates two 1/1 Goblin tokens when it enters</t>
  </si>
  <si>
    <t>Planechase 2012</t>
  </si>
  <si>
    <t>Big Score</t>
  </si>
  <si>
    <t>As an additional cost to cast this spell, discard a card.
Draw two cards and create two Treasure tokens. (They're artifacts with "{T}, Sacrifice this token: Add one mana of any color.")</t>
  </si>
  <si>
    <t>Discard a card to draw two cards and create two Treasure tokens</t>
  </si>
  <si>
    <t>Blasphemous Act</t>
  </si>
  <si>
    <t>This spell costs {1} less to cast for each creature on the battlefield.
Blasphemous Act deals 13 damage to each creature.</t>
  </si>
  <si>
    <t>Deals 13 damage to each creature</t>
  </si>
  <si>
    <t>Costs {1} less for each creature on the battlefield</t>
  </si>
  <si>
    <t>Blazing Firesinger</t>
  </si>
  <si>
    <t>Blazing Firesinger {2}{R} — Creature — Dwarf Bard (2/3)
This creature enters prepared. (While it's prepared, you may cast a copy of its spell. Doing so unprepares it.)
//
Seething Song {2}{R} — Instant
Add {R}{R}{R}{R}{R}.</t>
  </si>
  <si>
    <t>Enters prepared — you may cast a copy of Seething Song to add {R}{R}{R}{R}{R}</t>
  </si>
  <si>
    <t>2/3 body</t>
  </si>
  <si>
    <t>Bloodthirsty Adversary</t>
  </si>
  <si>
    <t>Haste
When this creature enters, you may pay {2}{R} any number of times. When you pay this cost one or more times, put that many +1/+1 counters on this creature, then exile up to that many target instant and/or sorcery cards with mana value 3 or less from your graveyard and copy them. You may cast any number of the copies without paying their mana costs.
(2/2)</t>
  </si>
  <si>
    <t>Haste</t>
  </si>
  <si>
    <t>When this creature enters, you may pay {2}{R} any number of times. When you pay this cost one or more times, put that ma</t>
  </si>
  <si>
    <t>Boar-q-pine</t>
  </si>
  <si>
    <t>Boar Porcupine</t>
  </si>
  <si>
    <t>Whenever you cast a noncreature spell, put a +1/+1 counter on this creature.
(2/2)</t>
  </si>
  <si>
    <t>Gets a +1/+1 counter whenever you cast a noncreature spell</t>
  </si>
  <si>
    <t>Boldwyr Aggressor</t>
  </si>
  <si>
    <t>Giant Warrior</t>
  </si>
  <si>
    <t>Double strike
Other Giants you control have double strike.
(2/5)</t>
  </si>
  <si>
    <t>Other Giants you control have double strike</t>
  </si>
  <si>
    <t>Double strike on a 2/5 body</t>
  </si>
  <si>
    <t>Bolt Bend</t>
  </si>
  <si>
    <t>This spell costs {3} less to cast if you control a creature with power 4 or greater.
Change the target of target spell or ability with a single target.</t>
  </si>
  <si>
    <t>Bombur, Gentle Dreamer</t>
  </si>
  <si>
    <t>Storied (If you control three or more artifacts, legendaries, and/or Sagas, you have an enduring story for the rest of the game.)
Bombur doesn't untap during your untap step unless you have an enduring story.
(5/3)</t>
  </si>
  <si>
    <t>A 5/3 that does not untap during your untap step unless you have an enduring story</t>
  </si>
  <si>
    <t>Storied - you have an enduring story for the rest of the game once you control three or more artifacts, legendaries, and/or Sagas</t>
  </si>
  <si>
    <t>Bothersome Noisemaker</t>
  </si>
  <si>
    <t>Whenever you cast a noncreature spell, amass Goblins 1. (Put a +1/+1 counter on an Army you control. It's also a Goblin. If you don't control an Army, create a 0/0 black Goblin Army creature token first.)
(2/2)</t>
  </si>
  <si>
    <t>Whenever you cast a noncreature spell, put a +1/+1 counter on a Goblin Army you control, creating a 0/0 one first if you have none</t>
  </si>
  <si>
    <t>Brightstone Ritual</t>
  </si>
  <si>
    <t>Add {R} for each Goblin on the battlefield.</t>
  </si>
  <si>
    <t>Add {R} for each Goblin on the battlefield</t>
  </si>
  <si>
    <t>Burn, Burn, Tree and Fern</t>
  </si>
  <si>
    <t>Saga</t>
  </si>
  <si>
    <t>(As this Saga enters and after your draw step, add a lore counter. Sacrifice after IV.)
I — This Saga deals 6 damage to target creature an opponent controls.
II — Destroy target artifact an opponent controls.
III, IV — Add {R}.</t>
  </si>
  <si>
    <t>Chapter I: deals 6 damage to target creature an opponent controls</t>
  </si>
  <si>
    <t>Chapter II: destroy target artifact an opponent controls</t>
  </si>
  <si>
    <t>Chapters III and IV: add {R}</t>
  </si>
  <si>
    <t>Burning Curiosity</t>
  </si>
  <si>
    <t>As an additional cost to cast this spell, you may blight 1. (You may put a -1/-1 counter on a creature you control.)
Exile the top two cards of your library. If this spell's additional cost was paid, exile the top three cards instead. Until the end of your next turn, you may play those cards.</t>
  </si>
  <si>
    <t>Exiles top two cards of library to play until end of next turn</t>
  </si>
  <si>
    <t>Optionally put a -1/-1 counter on a creature to exile three instead</t>
  </si>
  <si>
    <t>C 0129</t>
  </si>
  <si>
    <t>Jim Pavelec</t>
  </si>
  <si>
    <t>Cathartic Pyre</t>
  </si>
  <si>
    <t>Choose one —
• Cathartic Pyre deals 3 damage to target creature or planeswalker.
• Discard up to two cards, then draw that many cards.</t>
  </si>
  <si>
    <t>Deals 3 damage to a creature or planeswalker</t>
  </si>
  <si>
    <t>Or discard up to two cards and draw that many</t>
  </si>
  <si>
    <t>Cathartic Reunion</t>
  </si>
  <si>
    <t>As an additional cost to cast this spell, discard two cards.
Draw three cards.</t>
  </si>
  <si>
    <t>Discard two cards to draw three cards</t>
  </si>
  <si>
    <t>Chancellor of the Forge</t>
  </si>
  <si>
    <t>Phyrexian Giant</t>
  </si>
  <si>
    <t>You may reveal this card from your opening hand. If you do, at the beginning of the first upkeep, create a 1/1 red Phyrexian Goblin creature token with haste.
When this creature enters, create X 1/1 red Phyrexian Goblin creature tokens with haste, where X is the number of creatures you control.
(5/5)</t>
  </si>
  <si>
    <t>You may reveal this card from your opening hand. If you do, at the beginning of the first upkeep, create a 1/1 red Phyre</t>
  </si>
  <si>
    <t>When this creature enters, create X 1/1 red Phyrexian Goblin creature tokens with haste, where X is the number of creatu</t>
  </si>
  <si>
    <t>Chaos Warp</t>
  </si>
  <si>
    <t>The owner of target permanent shuffles it into their library, then reveals the top card of their library. If it's a permanent card, they put it onto the battlefield.</t>
  </si>
  <si>
    <t>Shuffles target permanent into its owner's library, who may hit a new permanent off the top</t>
  </si>
  <si>
    <t>Charging Strifeknight</t>
  </si>
  <si>
    <t>Haste
{T}, Discard a card: Draw a card.
(3/3)</t>
  </si>
  <si>
    <t>{T}, discard a card: Draw a card</t>
  </si>
  <si>
    <t>3/3 haste body</t>
  </si>
  <si>
    <t>Cinder Strike</t>
  </si>
  <si>
    <t>As an additional cost to cast this spell, you may blight 1. (You may put a -1/-1 counter on a creature you control.)
Cinder Strike deals 2 damage to target creature. It deals 4 damage to that creature instead if this spell's additional cost was paid.</t>
  </si>
  <si>
    <t>Deals 2 damage to target creature</t>
  </si>
  <si>
    <t>Deals 4 instead if you put a -1/-1 counter on a creature you control</t>
  </si>
  <si>
    <t>BL0081</t>
  </si>
  <si>
    <t>Combustion Technique</t>
  </si>
  <si>
    <t>Combustion Technique deals damage equal to 2 plus the number of Lesson cards in your graveyard to target creature. If that creature would die this turn, exile it instead.</t>
  </si>
  <si>
    <t>Deals 2 plus Lesson cards in graveyard damage to target creature</t>
  </si>
  <si>
    <t>Exiles that creature instead of letting it die this turn</t>
  </si>
  <si>
    <t>Conspicuous Snoop</t>
  </si>
  <si>
    <t>Goblin Rogue</t>
  </si>
  <si>
    <t>Play with the top card of your library revealed.
You may cast Goblin spells from the top of your library.
As long as the top card of your library is a Goblin card, this creature has all activated abilities of that card.
(2/2)</t>
  </si>
  <si>
    <t>Play with the top card of your library revealed.
You may cast Goblin spells from the top of your library.
As long as the</t>
  </si>
  <si>
    <t>Conspiracy Theorist</t>
  </si>
  <si>
    <t>Whenever this creature attacks, you may pay {1} and discard a card. If you do, draw a card.
Whenever you discard one or more nonland cards, you may exile one of them from your graveyard. If you do, you may cast it this turn.
(2/2)</t>
  </si>
  <si>
    <t>Attacking lets you pay {1} and discard a card to draw a card</t>
  </si>
  <si>
    <t>Discarding a nonland card lets you exile it and cast it this turn</t>
  </si>
  <si>
    <t>Demand Answers</t>
  </si>
  <si>
    <t>As an additional cost to cast this spell, sacrifice an artifact or discard a card.
Draw two cards.</t>
  </si>
  <si>
    <t>Draw two cards</t>
  </si>
  <si>
    <t>As an additional cost to cast this spell, sacrifice an artifact or discard a card</t>
  </si>
  <si>
    <t>Den of the Bugbear</t>
  </si>
  <si>
    <t>If you control two or more other lands, this land enters tapped.
{T}: Add {R}.
{3}{R}: Until end of turn, this land becomes a 3/2 red Goblin creature with "Whenever this creature attacks, create a 1/1 red Goblin creature token that's tapped and attacking." It's still a land.</t>
  </si>
  <si>
    <t>If you control two or more other lands, this land enters tapped.
{T}: Add {R}.
{3}{R}: Until end of turn, this land beco</t>
  </si>
  <si>
    <t>Dori, Bearer of Friends</t>
  </si>
  <si>
    <t>Dwarf Warrior</t>
  </si>
  <si>
    <t>Trample
When Dori enters, create a Treasure token. (It's an artifact with "{T}, Sacrifice this token: Add one mana of any color.")
(3/2)</t>
  </si>
  <si>
    <t>Enters: create a Treasure token</t>
  </si>
  <si>
    <t>Trample</t>
  </si>
  <si>
    <t>Dragon Fodder</t>
  </si>
  <si>
    <t>Create two 1/1 red Goblin creature tokens.</t>
  </si>
  <si>
    <t>Creates two 1/1 Goblin tokens</t>
  </si>
  <si>
    <t>Dwarven Mauler</t>
  </si>
  <si>
    <t>Equip abilities you activate that target this creature cost {2} less to activate.
(2/1)</t>
  </si>
  <si>
    <t>Reduces equip costs targeting itself by {2}</t>
  </si>
  <si>
    <t>Cheap 1-drop body</t>
  </si>
  <si>
    <t>Empty the Warrens</t>
  </si>
  <si>
    <t>Create two 1/1 red Goblin creature tokens.
Storm (When you cast this spell, copy it for each spell cast before it this turn.)</t>
  </si>
  <si>
    <t>Copied for each spell already cast this turn (Storm)</t>
  </si>
  <si>
    <t>Enraged Flamecaster</t>
  </si>
  <si>
    <t>Reach
Whenever you cast a spell with mana value 4 or greater, this creature deals 2 damage to each opponent.
(3/2)</t>
  </si>
  <si>
    <t>Burn</t>
  </si>
  <si>
    <t>Deals 2 damage to each opponent when you cast a spell MV 4 or greater</t>
  </si>
  <si>
    <t>Explosive Prodigy</t>
  </si>
  <si>
    <t>Vivid — When this creature enters, it deals X damage to target creature an opponent controls, where X is the number of colors among permanents you control.
(1/1)</t>
  </si>
  <si>
    <t>Enters: deals X damage to target creature an opponent controls, where X is the number of colors among your permanents</t>
  </si>
  <si>
    <t>Expressive Firedancer</t>
  </si>
  <si>
    <t>Human Sorcerer</t>
  </si>
  <si>
    <t>Opus — Whenever you cast an instant or sorcery spell, this creature gets +1/+1 until end of turn. If five or more mana was spent to cast that spell, this creature also gains double strike until end of turn.
(2/2)</t>
  </si>
  <si>
    <t>Opus — whenever you cast an instant or sorcery, this creature gets +1/+1 until end of turn</t>
  </si>
  <si>
    <t>It also gains double strike if five or more mana was spent to cast that spell</t>
  </si>
  <si>
    <t>Fable of the Mirror-Breaker</t>
  </si>
  <si>
    <t>Fable of the Mirror-Breaker {2}{R} — Enchantment — Saga
(As this Saga enters and after your draw step, add a lore counter.)
I — Create a 2/2 red Goblin Shaman creature token with "Whenever this token attacks, create a Treasure token."
II — You may discard up to two cards. If you do, draw that many cards.
III — Exile this Saga, then return it to the battlefield transformed under your control.
//
Reflection of Kiki-Jiki — Enchantment Creature — Goblin Shaman (2/2)
{1}, {T}: Create a token that's a copy of another target nonlegendary creature you control, except it has haste. Sacrifice it at the beginning of the next end step.</t>
  </si>
  <si>
    <t>(As this Saga enters and after your draw step, add a lore counter.)
I — Create a 2/2 red Goblin Shaman creature token wi</t>
  </si>
  <si>
    <t>Faithless Looting</t>
  </si>
  <si>
    <t>Draw two cards, then discard two cards.
Flashback {2}{R} (You may cast this card from your graveyard for its flashback cost. Then exile it.)</t>
  </si>
  <si>
    <t>Draw two cards, then discard two cards</t>
  </si>
  <si>
    <t>Flashback lets you cast it again from graveyard</t>
  </si>
  <si>
    <t>Fanatical Firebrand</t>
  </si>
  <si>
    <t>Goblin Pirate</t>
  </si>
  <si>
    <t>Haste (This creature can attack and {T} as soon as it comes under your control.)
{T}, Sacrifice this creature: It deals 1 damage to any target.
(1/1)</t>
  </si>
  <si>
    <t>Sacrifice: deals 1 damage to any target</t>
  </si>
  <si>
    <t>Can attack immediately (haste)</t>
  </si>
  <si>
    <t>Fateful Tempest</t>
  </si>
  <si>
    <t>Council's dilemma — Starting with you, each player votes for past or present. You mill a card for each past vote, then Fateful Tempest deals damage to each opponent equal to the total mana value of cards milled this way. Exile the top card of your library for each present vote. Until the end of your next turn, you may play the exiled cards.</t>
  </si>
  <si>
    <t>Deals damage to each opponent equal to mana value milled by votes</t>
  </si>
  <si>
    <t>Exiles cards you may play until end of next turn for present votes</t>
  </si>
  <si>
    <t>Fervor</t>
  </si>
  <si>
    <t>Creatures you control have haste. (They can attack and {T} as soon as they come under your control.)</t>
  </si>
  <si>
    <t>Fire Diamond</t>
  </si>
  <si>
    <t>This artifact enters tapped.
{T}: Add {R}.</t>
  </si>
  <si>
    <t>Taps for {R} (enters tapped)</t>
  </si>
  <si>
    <t>Fire Nation Cadets</t>
  </si>
  <si>
    <t>This creature has firebending 2 as long as there's a Lesson card in your graveyard. (Whenever this creature attacks, add {R}{R}. This mana lasts until end of combat.)
{2}: This creature gets +1/+0 until end of turn.
(1/2)</t>
  </si>
  <si>
    <t>{2}: It gets +1/+0 until end of turn</t>
  </si>
  <si>
    <t>Has firebending 2 while a Lesson card is in your graveyard - whenever it attacks, add {R}{R} until end of combat</t>
  </si>
  <si>
    <t>Flame-Chain Mauler</t>
  </si>
  <si>
    <t>Elemental Warrior</t>
  </si>
  <si>
    <t>{1}{R}: This creature gets +1/+0 and gains menace until end of turn. (It can't be blocked except by two or more creatures.)
(2/2)</t>
  </si>
  <si>
    <t>{1}{R}: This creature gets +1/+0 and gains menace until end of turn</t>
  </si>
  <si>
    <t>Flamekin Gildweaver</t>
  </si>
  <si>
    <t>Trample
When this creature enters, create a Treasure token. (It's an artifact with "{T}, Sacrifice this token: Add one mana of any color.")
(4/3)</t>
  </si>
  <si>
    <t>4/3 trample body</t>
  </si>
  <si>
    <t>Flashback</t>
  </si>
  <si>
    <t>Target instant or sorcery card in your graveyard gains flashback until end of turn. The flashback cost is equal to its mana cost. (You may cast that card from your graveyard for its flashback cost. Then exile it.)</t>
  </si>
  <si>
    <t>Target instant or sorcery card in your graveyard gains flashback until end of turn for its mana cost</t>
  </si>
  <si>
    <t>Foundry Street Denizen</t>
  </si>
  <si>
    <t>Whenever another red creature you control enters, this creature gets +1/+0 until end of turn.
(1/1)</t>
  </si>
  <si>
    <t>Gets +1/+0 until end of turn whenever another red creature you control enters</t>
  </si>
  <si>
    <t>Gandalf, Goblins' Bane</t>
  </si>
  <si>
    <t>Avatar Wizard</t>
  </si>
  <si>
    <t>Gandalf, Goblins' Bane {2}{R} — Legendary Creature — Avatar Wizard (2/3)
Whenever you cast a noncreature spell, Gandalf gets +1/+1 until end of turn and deals 1 damage to each opponent.
//
Flameshape {1}{R} — Sorcery — Adventure
Look at the top two cards of your library and exile them face down. For as long as they remain exiled, you may play them if you control a Wizard.</t>
  </si>
  <si>
    <t>Whenever you cast a noncreature spell, Gandalf gets +1/+1 until end of turn and deals 1 damage to each opponent</t>
  </si>
  <si>
    <t>Flameshape {1}{R}: exile the top two cards face down and play them for as long as you control a Wizard</t>
  </si>
  <si>
    <t>Garrison Excavator</t>
  </si>
  <si>
    <t>Orc Sorcerer</t>
  </si>
  <si>
    <t>Menace (This creature can't be blocked except by two or more creatures.)
Whenever one or more cards leave your graveyard, create a 2/2 red and white Spirit creature token.
(3/4)</t>
  </si>
  <si>
    <t>Whenever one or more cards leave your graveyard, create a 2/2 Spirit token</t>
  </si>
  <si>
    <t>Menace on a 3/4 body</t>
  </si>
  <si>
    <t>Getaway Barrel</t>
  </si>
  <si>
    <t>When this artifact is put into a graveyard from the battlefield, reveal the top thirteen cards of your library. Put a random creature card from among them onto the battlefield. Put the rest on the bottom of your library in a random order.</t>
  </si>
  <si>
    <t>When this artifact is put into a graveyard from the battlefield, reveal the top thirteen cards of your library. Put a ra</t>
  </si>
  <si>
    <t>Ghor-Clan Wrecker</t>
  </si>
  <si>
    <t>Riot (This creature enters with your choice of a +1/+1 counter or haste.)
Menace (This creature can't be blocked except by two or more creatures.)
(2/2)</t>
  </si>
  <si>
    <t>Enters with a +1/+1 counter or haste, your choice</t>
  </si>
  <si>
    <t>Can't be blocked except by two or more creatures</t>
  </si>
  <si>
    <t>Glóin the Mighty</t>
  </si>
  <si>
    <t>Glóin the Mighty {3}{R} — Legendary Creature — Dwarf Warrior (4/3)
At the beginning of your first main phase, add {R}{R}.
//
Easy Pickings {2}{R} — Sorcery — Adventure
Easy Pickings deals 1 damage to each creature your opponents control. (Then exile this card. You may cast the creature later from exile.)</t>
  </si>
  <si>
    <t>At the beginning of your first main phase, add {R}{R}</t>
  </si>
  <si>
    <t>Back face Easy Pickings {2}{R}: deals 1 damage to each creature your opponents control</t>
  </si>
  <si>
    <t>Goblin Bombardment</t>
  </si>
  <si>
    <t>Sacrifice a creature: This enchantment deals 1 damage to any target.</t>
  </si>
  <si>
    <t>Sacrifice a creature: deals 1 damage to any target</t>
  </si>
  <si>
    <t>Goblin Chieftain</t>
  </si>
  <si>
    <t>Haste (This creature can attack and {T} as soon as it comes under your control.)
Other Goblin creatures you control get +1/+1 and have haste.
(2/2)</t>
  </si>
  <si>
    <t xml:space="preserve">Haste (This creature can attack and {T} as soon as it comes under your control.)
Other Goblin creatures you control get </t>
  </si>
  <si>
    <t>Goblin Gathering</t>
  </si>
  <si>
    <t>Create a number of 1/1 red Goblin creature tokens equal to two plus the number of cards named Goblin Gathering in your graveyard.</t>
  </si>
  <si>
    <t>Creates two 1/1 Goblin tokens, plus one more per copy in your graveyard</t>
  </si>
  <si>
    <t>Goblin Glasswright // Craft with Pride</t>
  </si>
  <si>
    <t>Goblin Sorcerer</t>
  </si>
  <si>
    <t>Goblin Glasswright {1}{R} — Creature — Goblin Sorcerer (2/2)
This creature enters prepared. (While it's prepared, you may cast a copy of its spell. Doing so unprepares it.)
//
Craft with Pride {R} — Sorcery
Create a Treasure token. (It's an artifact with "{T}, Sacrifice this token: Add one mana of any color.")</t>
  </si>
  <si>
    <t>Enters prepared — you may cast a copy of Craft with Pride to create a Treasure token</t>
  </si>
  <si>
    <t>2/2 body</t>
  </si>
  <si>
    <t>Goblin Instigator</t>
  </si>
  <si>
    <t>When this creature enters, create a 1/1 red Goblin creature token.
(1/1)</t>
  </si>
  <si>
    <t>Creates a 1/1 Goblin token when it enters</t>
  </si>
  <si>
    <t>Goblin Lackey</t>
  </si>
  <si>
    <t>Whenever this creature deals damage to a player, you may put a Goblin permanent card from your hand onto the battlefield.
(1/1)</t>
  </si>
  <si>
    <t>Whenever this creature deals damage to a player, you may put a Goblin permanent card from your hand onto the battlefield</t>
  </si>
  <si>
    <t>Goblin Matron</t>
  </si>
  <si>
    <t>When this creature enters, you may search your library for a Goblin card, reveal that card, put it into your hand, then shuffle.
(1/1)</t>
  </si>
  <si>
    <t>Searches library for a Goblin card to hand when it enters</t>
  </si>
  <si>
    <t>Portal Second Age</t>
  </si>
  <si>
    <t>Goblin Motivator</t>
  </si>
  <si>
    <t>{T}: Target creature gains haste until end of turn. (It can attack and {T} this turn.)
(1/1)</t>
  </si>
  <si>
    <t>Tap: target creature gains haste until end of turn</t>
  </si>
  <si>
    <t>Goblin Oriflamme</t>
  </si>
  <si>
    <t>Attacking creatures you control get +1/+0.</t>
  </si>
  <si>
    <t>Attacking creatures you control get +1/+0</t>
  </si>
  <si>
    <t>Goblin Piledriver</t>
  </si>
  <si>
    <t>Protection from blue (This creature can't be blocked, targeted, dealt damage, or enchanted by anything blue.)
Whenever this creature attacks, it gets +2/+0 until end of turn for each other attacking Goblin.
(1/2)</t>
  </si>
  <si>
    <t>Protection from blue (This creature can't be blocked, targeted, dealt damage, or enchanted by anything blue.)
Whenever t</t>
  </si>
  <si>
    <t>Goblin Rabblemaster</t>
  </si>
  <si>
    <t>Other Goblin creatures you control attack each combat if able.
At the beginning of combat on your turn, create a 1/1 red Goblin creature token with haste.
Whenever this creature attacks, it gets +1/+0 until end of turn for each other attacking Goblin.
(2/2)</t>
  </si>
  <si>
    <t>Creates a 1/1 Goblin that must attack at each of your combats</t>
  </si>
  <si>
    <t>Gets +1/+0 per other attacking Goblin; other Goblins must attack</t>
  </si>
  <si>
    <t>Goblin Rally</t>
  </si>
  <si>
    <t>Create four 1/1 red Goblin creature tokens.</t>
  </si>
  <si>
    <t>Creates four 1/1 Goblin tokens</t>
  </si>
  <si>
    <t>Goblin Recruiter</t>
  </si>
  <si>
    <t>When this creature enters, search your library for any number of Goblin cards, reveal them, then shuffle and put those cards on top in any order.
(1/1)</t>
  </si>
  <si>
    <t>When this creature enters, search your library for any number of Goblin cards, reveal them, then shuffle and put those c</t>
  </si>
  <si>
    <t>Visions</t>
  </si>
  <si>
    <t>Goblin Ringleader</t>
  </si>
  <si>
    <t>Haste (This creature can attack and {T} as soon as it comes under your control.)
When this creature enters, reveal the top four cards of your library. Put all Goblin cards revealed this way into your hand and the rest on the bottom of your library in any order.
(2/2)</t>
  </si>
  <si>
    <t>Reveals top four cards, puts all Goblin cards found into hand</t>
  </si>
  <si>
    <t>Can attack immediately when it enters (haste)</t>
  </si>
  <si>
    <t>Goblin Trashmaster</t>
  </si>
  <si>
    <t>Other Goblins you control get +1/+1.
Sacrifice a Goblin: Destroy target artifact.
(3/3)</t>
  </si>
  <si>
    <t>Other Goblins you control get +1/+1.
Sacrifice a Goblin: Destroy target artifact.</t>
  </si>
  <si>
    <t>Goblin Warchief</t>
  </si>
  <si>
    <t>Goblin spells you cast cost {1} less to cast.
Goblins you control have haste.
(2/2)</t>
  </si>
  <si>
    <t>Goblin spells you cast cost {1} less</t>
  </si>
  <si>
    <t>Goblins you control have haste</t>
  </si>
  <si>
    <t>Great Furnace</t>
  </si>
  <si>
    <t>Artifact Land</t>
  </si>
  <si>
    <t>{T}: Add {R}.</t>
  </si>
  <si>
    <t>Gristle Glutton</t>
  </si>
  <si>
    <t>Goblin Scout</t>
  </si>
  <si>
    <t>{T}, Blight 1: Discard a card. If you do, draw a card. (To blight 1, put a -1/-1 counter on a creature you control.)
(1/3)</t>
  </si>
  <si>
    <t>Put a -1/-1 counter on a creature to loot (discard then draw)</t>
  </si>
  <si>
    <t>C 0144</t>
  </si>
  <si>
    <t>Gundabad Opportunist</t>
  </si>
  <si>
    <t>When this creature enters, exile the top card of your library. Until the end of your next turn, you may play that card.
(4/2)</t>
  </si>
  <si>
    <t>Exiles the top card of your library when it enters; you may play it until your next turn ends</t>
  </si>
  <si>
    <t>C 0101</t>
  </si>
  <si>
    <t>Michele Giorgi</t>
  </si>
  <si>
    <t>Hanweir Garrison</t>
  </si>
  <si>
    <t>Whenever this creature attacks, create two 1/1 red Human creature tokens that are tapped and attacking.
(Melds with Hanweir Battlements.)
(2/3)</t>
  </si>
  <si>
    <t>Creates two 1/1 Human tokens, tapped and attacking, whenever it attacks</t>
  </si>
  <si>
    <t>Hobgoblin Bandit Lord</t>
  </si>
  <si>
    <t>Other Goblins you control get +1/+1.
{R}, {T}: This creature deals damage equal to the number of Goblins that entered the battlefield under your control this turn to any target.
(2/3)</t>
  </si>
  <si>
    <t>Other Goblins you control get +1/+1.
{R}, {T}: This creature deals damage equal to the number of Goblins that entered the battlefield under your control this turn to any target.</t>
  </si>
  <si>
    <t>Hordeling Outburst</t>
  </si>
  <si>
    <t>Create three 1/1 red Goblin creature tokens.</t>
  </si>
  <si>
    <t>Creates three 1/1 Goblin tokens</t>
  </si>
  <si>
    <t>Impact Tremors</t>
  </si>
  <si>
    <t>Whenever a creature you control enters, this enchantment deals 1 damage to each opponent.</t>
  </si>
  <si>
    <t>Whenever a creature you control enters, deals 1 damage to each opponent</t>
  </si>
  <si>
    <t>Impolite Entrance</t>
  </si>
  <si>
    <t>Target creature gains trample and haste until end of turn.
Draw a card.</t>
  </si>
  <si>
    <t>Target creature gains trample and haste until end of turn</t>
  </si>
  <si>
    <t>Iron Hills Stalwart</t>
  </si>
  <si>
    <t>Reach, trample
When this creature enters, attach target Equipment you control to up to one target creature you control.
(4/5)</t>
  </si>
  <si>
    <t>Reach, trample</t>
  </si>
  <si>
    <t>Enters: attach target Equipment you control to up to one target creature you control</t>
  </si>
  <si>
    <t>Jeska's Will</t>
  </si>
  <si>
    <t>Choose one. If you control a commander as you cast this spell, you may choose both instead.
• Add {R} for each card in target opponent's hand.
• Exile the top three cards of your library. You may play them this turn.</t>
  </si>
  <si>
    <t>Choose one. If you control a commander as you cast this spell, you may choose both instead</t>
  </si>
  <si>
    <t>• Add {R} for each card in target opponent's hand</t>
  </si>
  <si>
    <t>• Exile the top three cards of your library. You may play them this turn</t>
  </si>
  <si>
    <t>Kiki-Jiki, Mirror Breaker</t>
  </si>
  <si>
    <t>Goblin Shaman</t>
  </si>
  <si>
    <t>Haste
{T}: Create a token that's a copy of target nonlegendary creature you control, except it has haste. Sacrifice it at the beginning of the next end step.
(2/2)</t>
  </si>
  <si>
    <t xml:space="preserve">{T}: Create a token that's a copy of target nonlegendary creature you control, except it has haste. Sacrifice it at the </t>
  </si>
  <si>
    <t>Kindle the Inner Flame</t>
  </si>
  <si>
    <t>Kindred Sorcery</t>
  </si>
  <si>
    <t>Create a token that's a copy of target creature you control, except it has haste and "At the beginning of the end step, sacrifice this token."
Flashback—{1}{R}, Behold three Elementals. (You may cast this card from your graveyard for its flashback cost. Then exile it. To behold an Elemental, choose an Elemental you control or reveal an Elemental card from your hand.)</t>
  </si>
  <si>
    <t>Copy/Clone</t>
  </si>
  <si>
    <t>Create a token copy of target creature you control with haste, sacrificed at the beginning of the end step</t>
  </si>
  <si>
    <t>Flashback {1}{R} and behold three Elementals: cast it from your graveyard, then exile it</t>
  </si>
  <si>
    <t>Krenko, Mob Boss</t>
  </si>
  <si>
    <t>{T}: Create X 1/1 red Goblin creature tokens, where X is the number of Goblins you control.
(3/3)</t>
  </si>
  <si>
    <t>Tap: creates X 1/1 Goblin tokens, X = Goblins you control</t>
  </si>
  <si>
    <t>Magic 2013</t>
  </si>
  <si>
    <t>Krenko, Tin Street Kingpin</t>
  </si>
  <si>
    <t>Whenever Krenko attacks, put a +1/+1 counter on it, then create a number of 1/1 red Goblin creature tokens equal to Krenko's power.
(1/2)</t>
  </si>
  <si>
    <t>Whenever Krenko attacks, put a +1/+1 counter on it, then create a number of 1/1 red Goblin creature tokens equal to Kren</t>
  </si>
  <si>
    <t>Krenko's Command</t>
  </si>
  <si>
    <t>Kulrath Zealot</t>
  </si>
  <si>
    <t>When this creature enters, exile the top card of your library. Until the end of your next turn, you may play that card.
Basic landcycling {1}{R} ({1}{R}, Discard this card: Search your library for a basic land card, reveal it, put it into your hand, then shuffle.)
(6/5)</t>
  </si>
  <si>
    <t>Exiles top card of library to play until end of next turn</t>
  </si>
  <si>
    <t>Can discard for {1}{R} to tutor a basic land to hand</t>
  </si>
  <si>
    <t>Laelia, the Blade Reforged</t>
  </si>
  <si>
    <t>Spirit Warrior</t>
  </si>
  <si>
    <t>Haste
Whenever Laelia attacks, exile the top card of your library. You may play that card this turn.
Whenever one or more cards are put into exile from your library and/or your graveyard, put a +1/+1 counter on Laelia.
(2/2)</t>
  </si>
  <si>
    <t>Attacking exiles the top library card to play this turn</t>
  </si>
  <si>
    <t>Gets a +1/+1 counter whenever cards are exiled from library or graveyard</t>
  </si>
  <si>
    <t>Legion Warboss</t>
  </si>
  <si>
    <t>Mentor (Whenever this creature attacks, put a +1/+1 counter on target attacking creature with lesser power.)
At the beginning of combat on your turn, create a 1/1 red Goblin creature token. That token gains haste until end of turn and attacks this combat if able.
(2/2)</t>
  </si>
  <si>
    <t>Combat: creates a hasty 1/1 Goblin token that attacks</t>
  </si>
  <si>
    <t>Puts a +1/+1 counter on an attacker with lesser power</t>
  </si>
  <si>
    <t>Light Up the Stage</t>
  </si>
  <si>
    <t>Spectacle {R} (You may cast this spell for its spectacle cost rather than its mana cost if an opponent lost life this turn.)
Exile the top two cards of your library. Until the end of your next turn, you may play those cards.</t>
  </si>
  <si>
    <t>Exiles top two cards of library; may play them until end of next turn</t>
  </si>
  <si>
    <t>Castable for {R} if an opponent lost life this turn</t>
  </si>
  <si>
    <t>Massive Raid</t>
  </si>
  <si>
    <t>Massive Raid deals damage to any target equal to the number of creatures you control.</t>
  </si>
  <si>
    <t>Massive Raid deals damage to any target equal to the number of creatures you control</t>
  </si>
  <si>
    <t>Mica, Reader of Ruins</t>
  </si>
  <si>
    <t>Human Artificer</t>
  </si>
  <si>
    <t>Ward—Pay 3 life. (Whenever this creature becomes the target of a spell or ability an opponent controls, counter it unless that player pays 3 life.)
Whenever you cast an instant or sorcery spell, you may sacrifice an artifact. If you do, copy that spell and you may choose new targets for the copy.
(4/4)</t>
  </si>
  <si>
    <t>Whenever you cast an instant or sorcery, you may sacrifice an artifact to copy it and choose new targets</t>
  </si>
  <si>
    <t>Ward — pay 3 life</t>
  </si>
  <si>
    <t>Misty Mountains Raider</t>
  </si>
  <si>
    <t>Whenever you attack, amass Goblins 2. (Put two +1/+1 counters on an Army you control. It's also a Goblin. If you don't control an Army, create a 0/0 black Goblin Army creature token first.)
(4/4)</t>
  </si>
  <si>
    <t>Whenever you attack, amass Goblins 2 — put two +1/+1 counters on an Army you control, creating a 0/0 Goblin Army token first if you have none</t>
  </si>
  <si>
    <t>Mizzix's Mastery</t>
  </si>
  <si>
    <t>Exile target card that's an instant or sorcery from your graveyard. For each card exiled this way, copy it, and you may cast the copy without paying its mana cost. Exile Mizzix's Mastery.
Overload {5}{R}{R}{R} (You may cast this spell for its overload cost. If you do, change "target" in its text to "each.")</t>
  </si>
  <si>
    <t xml:space="preserve">Exile target card that's an instant or sorcery from your graveyard. For each card exiled this way, copy it, and you may </t>
  </si>
  <si>
    <t>Overload {5}{R}{R}{R}</t>
  </si>
  <si>
    <t>Mogg War Marshal</t>
  </si>
  <si>
    <t>Echo {1}{R} (At the beginning of your upkeep, if this came under your control since the beginning of your last upkeep, sacrifice it unless you pay its echo cost.)
When this creature enters or dies, create a 1/1 red Goblin creature token.
(1/1)</t>
  </si>
  <si>
    <t>Creates a 1/1 Goblin token when it enters or dies</t>
  </si>
  <si>
    <t>Sacrifice it next upkeep unless you pay {1}{R} (Echo)</t>
  </si>
  <si>
    <t>Molten Echoes</t>
  </si>
  <si>
    <t>As this enchantment enters, choose a creature type.
Whenever a nontoken creature you control of the chosen type enters, create a token that's a copy of that creature. That token gains haste. Exile it at the beginning of the next end step.</t>
  </si>
  <si>
    <t xml:space="preserve">As this enchantment enters, choose a creature type.
Whenever a nontoken creature you control of the chosen type enters, </t>
  </si>
  <si>
    <t>Commander 2020</t>
  </si>
  <si>
    <t>Monastery Raid</t>
  </si>
  <si>
    <t>Freerunning {X}{R} (You may cast this spell for its freerunning cost if you dealt combat damage to a player this turn with an Assassin or commander.)
Exile the top two cards of your library. If this spell's freerunning cost was paid, exile the top X cards of your library instead. You may play the exiled cards until the end of your next turn.</t>
  </si>
  <si>
    <t>Exiles top two cards to play until end of next turn</t>
  </si>
  <si>
    <t>Freerunning lets you pay {X}{R} to exile X cards instead</t>
  </si>
  <si>
    <t>U 0035</t>
  </si>
  <si>
    <t>Alexandre Honore</t>
  </si>
  <si>
    <t>Muxus, Goblin Grandee</t>
  </si>
  <si>
    <t>Goblin Noble</t>
  </si>
  <si>
    <t>When Muxus enters, reveal the top six cards of your library. Put all Goblin creature cards with mana value 5 or less from among them onto the battlefield and the rest on the bottom of your library in a random order.
Whenever Muxus attacks, it gets +1/+1 until end of turn for each other Goblin you control.
(4/4)</t>
  </si>
  <si>
    <t>When Muxus enters, reveal the top six cards of your library. Put all Goblin creature cards with mana value 5 or less fro</t>
  </si>
  <si>
    <t>Naktamun Lorespinner // Wheel of Fortune</t>
  </si>
  <si>
    <t>Jackal Wizard</t>
  </si>
  <si>
    <t>Naktamun Lorespinner {2}{R} — Creature — Jackal Wizard (3/3)
At the beginning of your upkeep, if a player has one or fewer cards in hand, this creature becomes prepared. (While it's prepared, you may cast a copy of its spell. Doing so unprepares it.)
//
Wheel of Fortune {2}{R} — Sorcery
Each player discards their hand, then draws seven cards.</t>
  </si>
  <si>
    <t>Front: becomes prepared to recast its spell when a player is low on cards</t>
  </si>
  <si>
    <t>Back (Wheel of Fortune): each player discards hand, draws seven</t>
  </si>
  <si>
    <t>BL0065</t>
  </si>
  <si>
    <t>Ogre Battledriver</t>
  </si>
  <si>
    <t>Whenever another creature you control enters, that creature gets +2/+0 and gains haste until end of turn. (It can attack and {T} this turn.)
(3/3)</t>
  </si>
  <si>
    <t>Other creatures get +2/+0 and haste when they enter</t>
  </si>
  <si>
    <t>Óin the Brave</t>
  </si>
  <si>
    <t>Storied (If you control three or more artifacts, legendaries, and/or Sagas, you have an enduring story for the rest of the game.)
As long as you have an enduring story, Óin gets +1/+0 and has haste.
{1}, {T}, Discard a card: Draw a card.
(1/3)</t>
  </si>
  <si>
    <t>{1}, {T}, Discard a card: Draw a card</t>
  </si>
  <si>
    <t>Gets +1/+0 and has haste as long as you have an enduring story</t>
  </si>
  <si>
    <t>Outpost Siege</t>
  </si>
  <si>
    <t>As this enchantment enters, choose Khans or Dragons.
• Khans — At the beginning of your upkeep, exile the top card of your library. Until end of turn, you may play that card.
• Dragons — Whenever a creature you control leaves the battlefield, this enchantment deals 1 damage to any target.</t>
  </si>
  <si>
    <t>Choose a mode as it enters</t>
  </si>
  <si>
    <t>Khans: each upkeep, exile top card and may play it this turn</t>
  </si>
  <si>
    <t>Dragons: whenever a creature you control leaves the battlefield, deals 1 damage to any target</t>
  </si>
  <si>
    <t>Pashalik Mons</t>
  </si>
  <si>
    <t>Whenever Pashalik Mons or another Goblin you control dies, Pashalik Mons deals 1 damage to any target.
{3}{R}, Sacrifice a Goblin: Create two 1/1 red Goblin creature tokens.
(2/2)</t>
  </si>
  <si>
    <t>Whenever Pashalik Mons or another Goblin you control dies, Pashalik Mons deals 1 damage to any target.
{3}{R}, Sacrifice</t>
  </si>
  <si>
    <t>Professional Face-Breaker</t>
  </si>
  <si>
    <t>Menace
Whenever one or more creatures you control deal combat damage to a player, create a Treasure token.
Sacrifice a Treasure: Exile the top card of your library. You may play that card this turn.
(2/3)</t>
  </si>
  <si>
    <t>Menace
Whenever one or more creatures you control deal combat damage to a player, create a Treasure token.
Sacrifice a T</t>
  </si>
  <si>
    <t>Purphoros, God of the Forge</t>
  </si>
  <si>
    <t>Legendary Enchantment Creature</t>
  </si>
  <si>
    <t>Indestructible
As long as your devotion to red is less than five, Purphoros isn't a creature.
Whenever another creature you control enters, Purphoros deals 2 damage to each opponent.
{2}{R}: Creatures you control get +1/+0 until end of turn.
(6/5)</t>
  </si>
  <si>
    <t>Deals 2 damage to each opponent when another creature you control enters</t>
  </si>
  <si>
    <t>{2}{R}: your creatures get +1/+0 until end of turn</t>
  </si>
  <si>
    <t>Indestructible; only a creature at devotion to red 5+</t>
  </si>
  <si>
    <t>Purphoros's Intervention</t>
  </si>
  <si>
    <t>Choose one —
• Create an X/1 red Elemental creature token with trample and haste. Sacrifice it at the beginning of the next end step.
• Purphoros's Intervention deals twice X damage to target creature or planeswalker.</t>
  </si>
  <si>
    <t>X damage to target creature/planeswalker, or make an X/1 hasty trampler</t>
  </si>
  <si>
    <t>Quest for the Goblin Lord</t>
  </si>
  <si>
    <t>Whenever a Goblin you control enters, you may put a quest counter on this enchantment.
As long as this enchantment has five or more quest counters on it, creatures you control get +2/+0.</t>
  </si>
  <si>
    <t>Gains a quest counter whenever a Goblin you control enters</t>
  </si>
  <si>
    <t>At five or more counters, your creatures get +2/+0</t>
  </si>
  <si>
    <t>Ragged Short Spear</t>
  </si>
  <si>
    <t>When this Equipment enters, you may discard a card. If you do, draw two cards.
Equipped creature gets +2/+0.
Equip {3} ({3}: Attach to target creature you control. Equip only as a sorcery.)</t>
  </si>
  <si>
    <t>Enters: discard a card to draw two</t>
  </si>
  <si>
    <t>Equipped creature gets +2/+0</t>
  </si>
  <si>
    <t>BL0021</t>
  </si>
  <si>
    <t>Raid Bombardment</t>
  </si>
  <si>
    <t>Whenever a creature you control with power 2 or less attacks, this enchantment deals 1 damage to the player or planeswalker that creature is attacking.</t>
  </si>
  <si>
    <t>Whenever a creature you control with power 2 or less attacks, deals 1 damage to what it's attacking</t>
  </si>
  <si>
    <t>Reckless Bushwhacker</t>
  </si>
  <si>
    <t>Goblin Warrior Ally</t>
  </si>
  <si>
    <t>Surge {1}{R} (You may cast this spell for its surge cost if you or a teammate has cast another spell this turn.)
Haste
When this creature enters, if its surge cost was paid, other creatures you control get +1/+0 and gain haste until end of turn.
(2/1)</t>
  </si>
  <si>
    <t>Surge {1}{R}</t>
  </si>
  <si>
    <t>When this creature enters, if its surge cost was paid, other creatures you control get +1/+0 and gain haste until end of</t>
  </si>
  <si>
    <t>Reckless Ransacking</t>
  </si>
  <si>
    <t>Target creature gets +3/+2 until end of turn. Create a Treasure token. (It's an artifact with "{T}, Sacrifice this token: Add one mana of any color.")</t>
  </si>
  <si>
    <t>Target creature gets +3/+2 until end of turn</t>
  </si>
  <si>
    <t>Creates a Treasure token</t>
  </si>
  <si>
    <t>Relic Retriever</t>
  </si>
  <si>
    <t>Spirit Monkey</t>
  </si>
  <si>
    <t>First strike
At the beginning of each end step, if a card left your graveyard this turn, create a Treasure token. (It's an artifact with "{T}, Sacrifice this token: Add one mana of any color.")
(2/1)</t>
  </si>
  <si>
    <t>End step: create a Treasure token if a card left your graveyard this turn</t>
  </si>
  <si>
    <t>Rubble Rouser</t>
  </si>
  <si>
    <t>Dwarf Sorcerer</t>
  </si>
  <si>
    <t>When this creature enters, you may discard a card. If you do, draw a card.
{T}, Exile a card from your graveyard: Add {R}. When you do, this creature deals 1 damage to each opponent.
(1/4)</t>
  </si>
  <si>
    <t>{T}, exile a card from your graveyard: Add {R}, and this creature deals 1 damage to each opponent</t>
  </si>
  <si>
    <t>Enters: you may discard a card, and if you do, draw a card</t>
  </si>
  <si>
    <t>Rummaging Goblin</t>
  </si>
  <si>
    <t>{T}, Discard a card: Draw a card.
(1/1)</t>
  </si>
  <si>
    <t>Tap, discard a card: draw a card</t>
  </si>
  <si>
    <t>Rundvelt Hordemaster</t>
  </si>
  <si>
    <t>Other Goblins you control get +1/+1.
Whenever this creature or another Goblin you control dies, exile the top card of your library. If it's a Goblin creature card, you may cast that card until the end of your next turn.
(1/1)</t>
  </si>
  <si>
    <t>Other Goblins you control get +1/+1.
Whenever this creature or another Goblin you control dies, exile the top card of yo</t>
  </si>
  <si>
    <t>Seize the Spoils</t>
  </si>
  <si>
    <t>As an additional cost to cast this spell, discard a card.
Draw two cards and create a Treasure token. (It's an artifact with "{T}, Sacrifice this token: Add one mana of any color.")</t>
  </si>
  <si>
    <t>Discard a card as an additional cost</t>
  </si>
  <si>
    <t>Draw two cards and create a Treasure token</t>
  </si>
  <si>
    <t>Shared Animosity</t>
  </si>
  <si>
    <t>Whenever a creature you control attacks, it gets +1/+0 until end of turn for each other attacking creature that shares a creature type with it.</t>
  </si>
  <si>
    <t>Whenever a creature you control attacks, it gets +1/+0 until end of turn for each other attacking creature that shares a</t>
  </si>
  <si>
    <t>Siege Smash</t>
  </si>
  <si>
    <t>Split second (As long as this spell is on the stack, players can't cast spells or activate abilities that aren't mana abilities.)
Choose one —
• Destroy target artifact.
• Target creature gets +3/+2 and gains trample until end of turn.</t>
  </si>
  <si>
    <t>Split second: nobody can respond while it is on the stack</t>
  </si>
  <si>
    <t>Destroys an artifact</t>
  </si>
  <si>
    <t>Or gives a creature +3/+2 and trample</t>
  </si>
  <si>
    <t>BL0082</t>
  </si>
  <si>
    <t>Siege-Gang Commander</t>
  </si>
  <si>
    <t>When this creature enters, create three 1/1 red Goblin creature tokens.
{1}{R}, Sacrifice a Goblin: This creature deals 2 damage to any target.
(2/2)</t>
  </si>
  <si>
    <t>Creates three 1/1 Goblin tokens when it enters</t>
  </si>
  <si>
    <t>{1}{R}, sacrifice a Goblin: deals 2 damage to any target</t>
  </si>
  <si>
    <t>Skirk Fire Marshal</t>
  </si>
  <si>
    <t>Protection from red
Tap five untapped Goblins you control: This creature deals 10 damage to each creature and each player.
(2/2)</t>
  </si>
  <si>
    <t>Protection from red</t>
  </si>
  <si>
    <t>Tap five untapped Goblins you control: This creature deals 10 damage to each creature and each player</t>
  </si>
  <si>
    <t>Skirk Prospector</t>
  </si>
  <si>
    <t>Sacrifice a Goblin: Add {R}.
(1/1)</t>
  </si>
  <si>
    <t>Sacrifice a Goblin: add {R}</t>
  </si>
  <si>
    <t>Smaug, the Great Calamity</t>
  </si>
  <si>
    <t>Smaug, the Great Calamity {5}{R}{R} — Legendary Creature — Dragon (5/5)
Flying
//
Spew Flame {4}{R} — Sorcery — Adventure
Spew Flame deals 5 damage to target creature. (Then exile this card. You may cast the creature later from exile.)</t>
  </si>
  <si>
    <t>Back face Spew Flame {4}{R}: deals 5 damage to target creature</t>
  </si>
  <si>
    <t>C 0109</t>
  </si>
  <si>
    <t>Chris Cold</t>
  </si>
  <si>
    <t>Sourbread Auntie</t>
  </si>
  <si>
    <t>When this creature enters, you may blight 2. If you do, create two 1/1 black and red Goblin creature tokens. (To blight 2, put two -1/-1 counters on a creature you control.)
(4/3)</t>
  </si>
  <si>
    <t>May put two -1/-1 counters on a creature to make two Goblin tokens</t>
  </si>
  <si>
    <t>Spirit of Resilience</t>
  </si>
  <si>
    <t>Whenever one or more cards leave your graveyard, put a +1/+1 counter on this creature, then you may have this creature become a copy of an artifact or creature card from among those cards until end of turn.
(2/2)</t>
  </si>
  <si>
    <t>Gets a +1/+1 counter whenever cards leave your graveyard</t>
  </si>
  <si>
    <t>May become a copy of an artifact/creature card that just left your graveyard until end of turn</t>
  </si>
  <si>
    <t>Squee, Dubious Monarch</t>
  </si>
  <si>
    <t>Haste
Whenever Squee attacks, create a 1/1 red Goblin creature token that's tapped and attacking.
You may cast this card from your graveyard by paying {3}{R} and exiling four other cards from your graveyard rather than paying its mana cost.
(2/2)</t>
  </si>
  <si>
    <t>Attacking creates a tapped and attacking 1/1 Goblin token</t>
  </si>
  <si>
    <t>Can be cast from graveyard by exiling four other graveyard cards instead of paying its cost</t>
  </si>
  <si>
    <t>Squee, Goblin Nabob</t>
  </si>
  <si>
    <t>At the beginning of your upkeep, you may return this card from your graveyard to your hand.
(1/1)</t>
  </si>
  <si>
    <t>Upkeep: you may return this card from graveyard to your hand</t>
  </si>
  <si>
    <t>Squee, the Immortal</t>
  </si>
  <si>
    <t>You may cast this card from your graveyard or from exile.
(2/1)</t>
  </si>
  <si>
    <t>You may cast this card from your graveyard or from exile</t>
  </si>
  <si>
    <t>Steal the Show</t>
  </si>
  <si>
    <t>Choose one or both —
• Target player discards any number of cards, then draws that many cards.
• Steal the Show deals damage equal to the number of instant and sorcery cards in your graveyard to target creature or planeswalker.</t>
  </si>
  <si>
    <t>Choose one or both — target player discards any number of cards, then draws that many</t>
  </si>
  <si>
    <t>And/or deal damage equal to the instants and sorceries in your graveyard to a creature or planeswalker</t>
  </si>
  <si>
    <t>Tempt with Vengeance</t>
  </si>
  <si>
    <t>Tempting offer — Create X 1/1 red Elemental creature tokens with haste. Each opponent may create X 1/1 red Elemental creature tokens with haste. For each opponent who does, create X 1/1 red Elemental creature tokens with haste.</t>
  </si>
  <si>
    <t>Creates X 1/1 hasty Elemental tokens</t>
  </si>
  <si>
    <t>Opponents may match it, then you get that many more tokens</t>
  </si>
  <si>
    <t>The Misty Mountains Cold</t>
  </si>
  <si>
    <t>(As this Saga enters and after your draw step, add a lore counter. Sacrifice after IV.)
I, II, III, IV — Create a Treasure token. Then if you control four or more Treasures, sacrifice this Saga. If you do, create a 6/6 red Dragon creature token with flying. (A Treasure token is an artifact with "{T}, Sacrifice this token: Add one mana of any color.")</t>
  </si>
  <si>
    <t>Chapters I through IV: create a Treasure token</t>
  </si>
  <si>
    <t>Sacrifice it once you control four or more Treasures to create a 6/6 red Dragon token with flying</t>
  </si>
  <si>
    <t>Thrill of Possibility</t>
  </si>
  <si>
    <t>As an additional cost to cast this spell, discard a card.
Draw two cards.</t>
  </si>
  <si>
    <t>Tidings of War</t>
  </si>
  <si>
    <t>Amass Goblins 1. If this spell was cast from a graveyard, amass Goblins 3 instead. (To amass Goblins X, put X +1/+1 counters on an Army you control. It's also a Goblin. If you don't control an Army, create a 0/0 black Goblin Army creature token first.)
Flashback {3}{R} (You may cast this card from your graveyard for its flashback cost. Then exile it.)</t>
  </si>
  <si>
    <t>Amass Goblins 1. If this spell was cast from a graveyard, amass Goblins 3 instead</t>
  </si>
  <si>
    <t>Flashback {3}{R}</t>
  </si>
  <si>
    <t>Tome Blast</t>
  </si>
  <si>
    <t>Tome Blast deals 2 damage to any target.
Flashback {4}{R} (You may cast this card from your graveyard for its flashback cost. Then exile it.)</t>
  </si>
  <si>
    <t>Deals 2 damage to any target</t>
  </si>
  <si>
    <t>Flashback {4}{R}</t>
  </si>
  <si>
    <t>Tweeze</t>
  </si>
  <si>
    <t>Tweeze deals 3 damage to any target. You may discard a card. If you do, draw a card.</t>
  </si>
  <si>
    <t>Deals 3 damage to any target</t>
  </si>
  <si>
    <t>May discard a card to draw a card</t>
  </si>
  <si>
    <t>Underworld Breach</t>
  </si>
  <si>
    <t>Each nonland card in your graveyard has escape. The escape cost is equal to the card's mana cost plus exile three other cards from your graveyard. (You may cast cards from your graveyard for their escape cost.)
At the beginning of the end step, sacrifice this enchantment.</t>
  </si>
  <si>
    <t xml:space="preserve">Each nonland card in your graveyard has escape. The escape cost is equal to the card's mana cost plus exile three other </t>
  </si>
  <si>
    <t>Unexpected Windfall</t>
  </si>
  <si>
    <t>As an additional cost to cast this spell, discard a card</t>
  </si>
  <si>
    <t>Draw two cards and create two Treasure tokens</t>
  </si>
  <si>
    <t>Valakut Exploration</t>
  </si>
  <si>
    <t>Landfall — Whenever a land you control enters, exile the top card of your library. You may play that card for as long as it remains exiled.
At the beginning of your end step, if there are cards exiled with this enchantment, put them into their owner's graveyard, then this enchantment deals that much damage to each opponent.</t>
  </si>
  <si>
    <t>A land you control entering exiles the top library card, playable while exiled</t>
  </si>
  <si>
    <t>End step: cards exiled this way go to graveyard and deal that much damage to each opponent</t>
  </si>
  <si>
    <t>Vandalblast</t>
  </si>
  <si>
    <t>Destroy target artifact you don't control.
Overload {4}{R} (You may cast this spell for its overload cost. If you do, change "target" in its text to "each.")</t>
  </si>
  <si>
    <t>Destroys target artifact you don't control</t>
  </si>
  <si>
    <t>Overload {4}{R}: destroys every artifact you don't control</t>
  </si>
  <si>
    <t>Voldaren Epicure</t>
  </si>
  <si>
    <t>When this creature enters, it deals 1 damage to each opponent. Create a Blood token. (It's an artifact with "{1}, {T}, Discard a card, Sacrifice this token: Draw a card.")
(1/1)</t>
  </si>
  <si>
    <t>Deals 1 damage to each opponent when it enters</t>
  </si>
  <si>
    <t>Creates a Blood token (sacrifice + discard: draw a card)</t>
  </si>
  <si>
    <t>Wartime Protestors</t>
  </si>
  <si>
    <t>Human Rebel Ally</t>
  </si>
  <si>
    <t>Haste
Whenever another Ally you control enters, put a +1/+1 counter on that creature and it gains haste until end of turn.
(4/4)</t>
  </si>
  <si>
    <t>Whenever another Ally you control enters, put a +1/+1 counter on that creature and it gains haste until end of turn</t>
  </si>
  <si>
    <t>Witty Roastmaster</t>
  </si>
  <si>
    <t>Devil Citizen</t>
  </si>
  <si>
    <t>Alliance — Whenever another creature you control enters, this creature deals 1 damage to each opponent.
(3/2)</t>
  </si>
  <si>
    <t>Whenever another creature you control enters, deals 1 damage to each opponent</t>
  </si>
  <si>
    <t>Aetherize</t>
  </si>
  <si>
    <t>U</t>
  </si>
  <si>
    <t>Return all attacking creatures to their owner's hand.</t>
  </si>
  <si>
    <t>Returns all attacking creatures to their owners' hands</t>
  </si>
  <si>
    <t>BL0012</t>
  </si>
  <si>
    <t>Bilbo Baggins, Burglar // Take a Glance</t>
  </si>
  <si>
    <t>Halfling Rogue</t>
  </si>
  <si>
    <t>Bilbo Baggins, Burglar {2}{U} — Legendary Creature — Halfling Rogue (2/1)
When Bilbo Baggins enters, draw a card.
//
Take a Glance {U} — Sorcery — Adventure
Scry 2. (Then exile this card. You may cast the creature later from exile.)</t>
  </si>
  <si>
    <t>Take a Glance {U} — Adventure: scry 2, then cast Bilbo later from exile</t>
  </si>
  <si>
    <t>Blizzard Strix</t>
  </si>
  <si>
    <t>Snow Creature</t>
  </si>
  <si>
    <t>Flash
Flying
When this creature enters, if you control another snow permanent, exile target permanent other than this creature. Return that card to the battlefield under its owner's control at the beginning of the next end step.
(3/2)</t>
  </si>
  <si>
    <t>Exiles target permanent when it enters if you control a snow permanent</t>
  </si>
  <si>
    <t>Returns that permanent at the next end step</t>
  </si>
  <si>
    <t>Brainstorm</t>
  </si>
  <si>
    <t>Draw three cards, then put two cards from your hand on top of your library in any order.</t>
  </si>
  <si>
    <t>Draw three cards, then put two cards from your hand on top of your library in any order</t>
  </si>
  <si>
    <t>Contentious Plan</t>
  </si>
  <si>
    <t>Proliferate. (Choose any number of permanents and/or players, then give each another counter of each kind already there.)
Draw a card.</t>
  </si>
  <si>
    <t>Counterspell</t>
  </si>
  <si>
    <t>Counter target spell.</t>
  </si>
  <si>
    <t>Counters target spell</t>
  </si>
  <si>
    <t>Deepglow Skate</t>
  </si>
  <si>
    <t>Fish</t>
  </si>
  <si>
    <t>When this creature enters, double the number of each kind of counter on any number of target permanents.
(3/3)</t>
  </si>
  <si>
    <t>Doubles each kind of counter on any number of target permanents when it enters</t>
  </si>
  <si>
    <t>Divert Disaster</t>
  </si>
  <si>
    <t>Counter target spell unless its controller pays {2}. If they do, you create a Lander token. (It's an artifact with "{2}, {T}, Sacrifice this token: Search your library for a basic land card, put it onto the battlefield tapped, then shuffle.")</t>
  </si>
  <si>
    <t>Counters a spell unless its controller pays 2</t>
  </si>
  <si>
    <t>If they pay, you get a Lander token that fetches a tapped basic</t>
  </si>
  <si>
    <t>Edge of Eternities</t>
  </si>
  <si>
    <t>Dream Stalker</t>
  </si>
  <si>
    <t>Illusion</t>
  </si>
  <si>
    <t>When this creature enters, return a permanent you control to its owner's hand.
(1/5)</t>
  </si>
  <si>
    <t>When this creature enters, return a permanent you control to its owner's hand</t>
  </si>
  <si>
    <t>Elvenking's Harper</t>
  </si>
  <si>
    <t>Elf Bard</t>
  </si>
  <si>
    <t>{4}{U}: Target creature can't be blocked this turn.
(2/2)</t>
  </si>
  <si>
    <t>{4}{U}: Target creature can't be blocked this turn</t>
  </si>
  <si>
    <t>Enchanted River's Grasp</t>
  </si>
  <si>
    <t>Enchant creature
When this Aura enters, tap enchanted creature and remove all counters from it.
Enchanted creature loses all abilities and doesn't untap during its controller's untap step.</t>
  </si>
  <si>
    <t>Enchant creature</t>
  </si>
  <si>
    <t>When this Aura enters, tap enchanted creature and remove all counters from it</t>
  </si>
  <si>
    <t>Enchanted creature loses all abilities and doesn't untap during its controller's untap step</t>
  </si>
  <si>
    <t>Essence Scatter</t>
  </si>
  <si>
    <t>Counter target creature spell.</t>
  </si>
  <si>
    <t>Counter target creature spell</t>
  </si>
  <si>
    <t>Faerie Duelist</t>
  </si>
  <si>
    <t>Flash
Flying
When this creature enters, target creature an opponent controls gets -2/-0 until end of turn.
(1/2)</t>
  </si>
  <si>
    <t>Target opponent creature gets -2/-0 until end of turn when it enters</t>
  </si>
  <si>
    <t>Fblthp, the Lost</t>
  </si>
  <si>
    <t>Homunculus</t>
  </si>
  <si>
    <t>When Fblthp enters, draw a card. If it entered from your library or was cast from your library, draw two cards instead.
When Fblthp becomes the target of a spell, shuffle Fblthp into its owner's library.
(1/1)</t>
  </si>
  <si>
    <t>When Fblthp enters, draw a card. If it entered from your library or was cast from your library, draw two cards instead</t>
  </si>
  <si>
    <t>When Fblthp becomes the target of a spell, shuffle Fblthp into its owner's library</t>
  </si>
  <si>
    <t>Flow State</t>
  </si>
  <si>
    <t>Look at the top three cards of your library. Put one of them into your hand and the rest on the bottom of your library in any order. If there is an instant card and a sorcery card in your graveyard, instead put two of them into your hand and the rest on the bottom of your library in any order.</t>
  </si>
  <si>
    <t>Look at the top three cards and put one into your hand</t>
  </si>
  <si>
    <t>Take two of them instead if there is both an instant and a sorcery in your graveyard</t>
  </si>
  <si>
    <t>Flux Channeler</t>
  </si>
  <si>
    <t>Whenever you cast a noncreature spell, proliferate. (Choose any number of permanents and/or players, then give each another counter of each kind already there.)
(2/2)</t>
  </si>
  <si>
    <t>Proliferate whenever you cast a noncreature spell</t>
  </si>
  <si>
    <t>Fractal Anomaly</t>
  </si>
  <si>
    <t>Create a 0/0 green and blue Fractal creature token and put X +1/+1 counters on it, where X is the number of cards you've drawn this turn.</t>
  </si>
  <si>
    <t>Create a 0/0 Fractal token with a +1/+1 counter for each card you have drawn this turn</t>
  </si>
  <si>
    <t>Frantic Search</t>
  </si>
  <si>
    <t>Draw two cards, then discard two cards. Untap up to three lands.</t>
  </si>
  <si>
    <t>Draw two cards, then discard two cards. Untap up to three lands</t>
  </si>
  <si>
    <t>Urza's Legacy</t>
  </si>
  <si>
    <t>Freed from the Real</t>
  </si>
  <si>
    <t>Enchant creature
{U}: Tap enchanted creature.
{U}: Untap enchanted creature.</t>
  </si>
  <si>
    <t>{U}: Tap enchanted creature</t>
  </si>
  <si>
    <t>{U}: Untap enchanted creature</t>
  </si>
  <si>
    <t>Saviors of Kamigawa</t>
  </si>
  <si>
    <t>Fuel for the Cause</t>
  </si>
  <si>
    <t>Counter target spell, then proliferate. (Choose any number of permanents and/or players, then give each another counter of each kind already there.)</t>
  </si>
  <si>
    <t>Counter target spell, then proliferate</t>
  </si>
  <si>
    <t>Gandalf, Wandering Wizard</t>
  </si>
  <si>
    <t>Ward {3} (Whenever this creature becomes the target of a spell or ability an opponent controls, counter it unless that player pays {3}.)
{6}: Gandalf's owner shuffles him into their library and draws three cards.
(4/5)</t>
  </si>
  <si>
    <t>{6}: Shuffle him into your library and draw three cards</t>
  </si>
  <si>
    <t>Ward {3}</t>
  </si>
  <si>
    <t>BL0053</t>
  </si>
  <si>
    <t>Giant Koi</t>
  </si>
  <si>
    <t>Waterbend {3}: This creature can't be blocked this turn. (While paying a waterbend cost, you can tap your artifacts and creatures to help. Each one pays for {1}.)
Islandcycling {2} ({2}, Discard this card: Search your library for an Island card, reveal it, put it into your hand, then shuffle.)
(5/7)</t>
  </si>
  <si>
    <t>Waterbend {3}: it cannot be blocked this turn (tap artifacts and creatures to help pay)</t>
  </si>
  <si>
    <t>Islandcycling {2}: discard it to search your library for an Island</t>
  </si>
  <si>
    <t>Glamer Gifter</t>
  </si>
  <si>
    <t>Faerie Wizard</t>
  </si>
  <si>
    <t>Flash
Flying
When this creature enters, choose up to one other target creature. Until end of turn, that creature has base power and toughness 4/4 and gains all creature types.
(1/2)</t>
  </si>
  <si>
    <t>Target creature becomes a 4/4 with every creature type until end of turn</t>
  </si>
  <si>
    <t>Glamermite</t>
  </si>
  <si>
    <t>Flash
Flying
When this creature enters, choose one —
• Tap target creature.
• Untap target creature.
(2/2)</t>
  </si>
  <si>
    <t>Taps or untaps target creature when it enters</t>
  </si>
  <si>
    <t>Flash flying body</t>
  </si>
  <si>
    <t>Gran-Gran</t>
  </si>
  <si>
    <t>Whenever Gran-Gran becomes tapped, draw a card, then discard a card.
Noncreature spells you cast cost {1} less to cast as long as there are three or more Lesson cards in your graveyard.
(1/2)</t>
  </si>
  <si>
    <t>Draws then discards a card whenever it becomes tapped</t>
  </si>
  <si>
    <t>Noncreature spells cost {1} less with three or more Lessons in your graveyard</t>
  </si>
  <si>
    <t>Ichormoon Gauntlet</t>
  </si>
  <si>
    <t>Planeswalkers you control have "[0]: Proliferate" and "[−12]: Take an extra turn after this one."
Whenever you cast a noncreature spell, choose a counter on target permanent. Put an additional counter of that kind on that permanent.</t>
  </si>
  <si>
    <t>Planeswalkers you control have "[0]: Proliferate" and "[−12]: Take an extra turn after this one."
Whenever you cast a no</t>
  </si>
  <si>
    <t>Inexorable Tide</t>
  </si>
  <si>
    <t>Whenever you cast a spell, proliferate. (Choose any number of permanents and/or players, then give each another counter of each kind already there.)</t>
  </si>
  <si>
    <t>Whenever you cast a spell, proliferate</t>
  </si>
  <si>
    <t>Intruder Alarm</t>
  </si>
  <si>
    <t>Creatures don't untap during their controllers' untap steps.
Whenever a creature enters, untap all creatures.</t>
  </si>
  <si>
    <t>Creatures don't untap during their controllers' untap steps</t>
  </si>
  <si>
    <t>Whenever a creature enters, untap all creatures</t>
  </si>
  <si>
    <t>Lake-town Mariners // Gone Fishing</t>
  </si>
  <si>
    <t>Lake-town Mariners {4}{U}{U} — Creature — Human Citizen (6/5)
Vigilance
Ward {2} (Whenever this creature becomes the target of a spell or ability an opponent controls, counter it unless that player pays {2}.)
//
Gone Fishing {3}{U} — Instant — Adventure
Exile two target creatures and/or lands you control, then return them to the battlefield under their owner's control.</t>
  </si>
  <si>
    <t>Gone Fishing {3}{U} — Adventure: exile two target creatures and/or lands you control, then return them to the battlefield</t>
  </si>
  <si>
    <t>6/5 vigilance body with ward {2}</t>
  </si>
  <si>
    <t>Long Lake Nuisance</t>
  </si>
  <si>
    <t>Flying
When this creature enters, recruit. (Draw a card, then discard a card. If you discarded a nonland card, create a 1/1 white Human Soldier creature token.)
(3/1)</t>
  </si>
  <si>
    <t>Enters: recruit — draw a card, then discard a card, creating a 1/1 Human Soldier token if you discarded a nonland card</t>
  </si>
  <si>
    <t>3/1 flying body</t>
  </si>
  <si>
    <t>Loyal Inventor</t>
  </si>
  <si>
    <t>Vigilance
When this creature enters, you may search your library for an artifact card, reveal it, then shuffle. Put that card into your hand if you control an Assassin. Otherwise, put that card on top of your library.
(2/3)</t>
  </si>
  <si>
    <t>Searches library for an artifact card when it enters</t>
  </si>
  <si>
    <t>Puts it in hand if you control an Assassin, else on top of library</t>
  </si>
  <si>
    <t>Man-o'-War</t>
  </si>
  <si>
    <t>Jellyfish</t>
  </si>
  <si>
    <t>When this creature enters, return target creature to its owner's hand.
(2/2)</t>
  </si>
  <si>
    <t>When this creature enters, return target creature to its owner's hand</t>
  </si>
  <si>
    <t>Master's Councillors</t>
  </si>
  <si>
    <t>Vigilance
This creature gets +2/+0 for each graveyard with seven or more cards in it.
Whenever you draw your second card each turn, target player mills three cards. (They put the top three cards of their library into their graveyard.)
(1/3)</t>
  </si>
  <si>
    <t>Gets +2/+0 for each graveyard with seven or more cards in it</t>
  </si>
  <si>
    <t>Whenever you draw your second card each turn, target player mills three cards</t>
  </si>
  <si>
    <t>Mirrorform</t>
  </si>
  <si>
    <t>Each nonland permanent you control becomes a copy of target non-Aura permanent.</t>
  </si>
  <si>
    <t>Each nonland permanent you control becomes a copy of target non-Aura permanent</t>
  </si>
  <si>
    <t>Mulldrifter</t>
  </si>
  <si>
    <t>Flying
When this creature enters, draw two cards.
Evoke {2}{U} (You may cast this spell for its evoke cost. If you do, it's sacrificed when it enters.)
(2/2)</t>
  </si>
  <si>
    <t>Draws two cards when it enters</t>
  </si>
  <si>
    <t>Can be cast for {2}{U}, sacrificing itself immediately (Evoke)</t>
  </si>
  <si>
    <t>BL0073</t>
  </si>
  <si>
    <t>Muse's Encouragement</t>
  </si>
  <si>
    <t>Create a 3/3 blue and red Elemental creature token with flying.
Surveil 2. (Look at the top two cards of your library, then put any number of them into your graveyard and the rest on top of your library in any order.)</t>
  </si>
  <si>
    <t>Create a 3/3 Elemental token with flying</t>
  </si>
  <si>
    <t>Surveil 2</t>
  </si>
  <si>
    <t>Mystic Remora</t>
  </si>
  <si>
    <t>Cumulative upkeep {1} (At the beginning of your upkeep, put an age counter on this permanent, then sacrifice it unless you pay its upkeep cost for each age counter on it.)
Whenever an opponent casts a noncreature spell, you may draw a card unless that player pays {4}.</t>
  </si>
  <si>
    <t>Whenever an opponent casts a noncreature spell, you may draw a card unless that player pays {4}</t>
  </si>
  <si>
    <t>Cumulative upkeep {1}</t>
  </si>
  <si>
    <t>Negate</t>
  </si>
  <si>
    <t>Counter target noncreature spell.</t>
  </si>
  <si>
    <t>Counters target noncreature spell</t>
  </si>
  <si>
    <t>BL0071</t>
  </si>
  <si>
    <t>Octopus Form</t>
  </si>
  <si>
    <t>Target creature you control gets +1/+1 and gains hexproof until end of turn. Untap it. (It can't be the target of spells or abilities your opponents control.)</t>
  </si>
  <si>
    <t>Target creature you control gets +1/+1 and can't be targeted by opponents until end of turn</t>
  </si>
  <si>
    <t>Untaps that creature</t>
  </si>
  <si>
    <t>Old Fat Spider Can't See Me</t>
  </si>
  <si>
    <t>(As this Saga enters and after your draw step, add a lore counter. Sacrifice after IV.)
I — Target creature you control gains hexproof for as long as this Saga remains on the battlefield.
II — Prevent all damage that would be dealt by up to one target creature for as long as this Saga remains on the battlefield.
III, IV — Draw a card.</t>
  </si>
  <si>
    <t>Chapter I: a creature you control gains hexproof while the Saga lasts</t>
  </si>
  <si>
    <t>Chapter II: prevents all damage from one creature while the Saga lasts</t>
  </si>
  <si>
    <t>Chapters III and IV: draw a card each</t>
  </si>
  <si>
    <t>Peregrine Drake</t>
  </si>
  <si>
    <t>Drake</t>
  </si>
  <si>
    <t>Flying
When this creature enters, untap up to five lands.
(2/3)</t>
  </si>
  <si>
    <t>Untaps up to five lands when it enters</t>
  </si>
  <si>
    <t>Plunder the Trollshaws</t>
  </si>
  <si>
    <t>Draw a card. If this spell was cast from a graveyard, draw two cards instead.
Flashback {3}{U} (You may cast this card from your graveyard for its flashback cost. Then exile it.)</t>
  </si>
  <si>
    <t>Draw a card, or two cards if it was cast from a graveyard</t>
  </si>
  <si>
    <t>Flashback {3}{U}: cast it from your graveyard, then exile it</t>
  </si>
  <si>
    <t>Prologue to Phyresis</t>
  </si>
  <si>
    <t>Each opponent gets a poison counter.
Draw a card.</t>
  </si>
  <si>
    <t>Rhystic Study</t>
  </si>
  <si>
    <t>Whenever an opponent casts a spell, you may draw a card unless that player pays {1}.</t>
  </si>
  <si>
    <t>Prophecy</t>
  </si>
  <si>
    <t>Rime Chill</t>
  </si>
  <si>
    <t>Vivid — This spell costs {1} less to cast for each color among permanents you control.
Tap up to two target creatures. Put a stun counter on each of them. (If a permanent with a stun counter would become untapped, remove one from it instead.)
Draw a card.</t>
  </si>
  <si>
    <t>Tap up to two target creatures and put a stun counter on each of them</t>
  </si>
  <si>
    <t>Vivid — costs {1} less to cast for each color among permanents you control</t>
  </si>
  <si>
    <t>Rimekin Recluse</t>
  </si>
  <si>
    <t>Elemental Wizard</t>
  </si>
  <si>
    <t>When this creature enters, return up to one other target creature to its owner's hand.
(3/2)</t>
  </si>
  <si>
    <t>Enters: return up to one other target creature to its owner's hand</t>
  </si>
  <si>
    <t>Run Behind</t>
  </si>
  <si>
    <t>This spell costs {1} less to cast if it targets an attacking creature.
Target creature's owner puts it on their choice of the top or bottom of their library.</t>
  </si>
  <si>
    <t>Target creature's owner puts it on their choice of the top or bottom of their library</t>
  </si>
  <si>
    <t>Costs {1} less to cast if it targets an attacking creature</t>
  </si>
  <si>
    <t>Serum Snare</t>
  </si>
  <si>
    <t>Return target nonland permanent to its owner's hand. If that permanent had mana value 3 or less, proliferate. (Choose any number of permanents and/or players, then give each another counter of each kind already there.)</t>
  </si>
  <si>
    <t>Return target nonland permanent to its owner's hand. If that permanent had mana value 3 or less, proliferate</t>
  </si>
  <si>
    <t>Shinestriker</t>
  </si>
  <si>
    <t>Flying
Vivid — When this creature enters, draw cards equal to the number of colors among permanents you control.
(3/3)</t>
  </si>
  <si>
    <t>Draws a card for each color among permanents you control</t>
  </si>
  <si>
    <t>Shrieking Drake</t>
  </si>
  <si>
    <t>Flying
When this creature enters, return a creature you control to its owner's hand.
(1/1)</t>
  </si>
  <si>
    <t>When this creature enters, return a creature you control to its owner's hand</t>
  </si>
  <si>
    <t>Silvergill Peddler</t>
  </si>
  <si>
    <t>Merfolk Citizen</t>
  </si>
  <si>
    <t>Whenever this creature becomes tapped, draw a card, then discard a card.
(2/3)</t>
  </si>
  <si>
    <t>Whenever this creature becomes tapped, draw a card, then discard a card</t>
  </si>
  <si>
    <t>Siren's Ruse</t>
  </si>
  <si>
    <t>Exile target creature you control, then return that card to the battlefield under its owner's control. If a Pirate was exiled this way, draw a card.</t>
  </si>
  <si>
    <t>Draw a card if the exiled creature was a Pirate</t>
  </si>
  <si>
    <t>Spellbook Seeker // Careful Study</t>
  </si>
  <si>
    <t>Bird Wizard</t>
  </si>
  <si>
    <t>Spellbook Seeker {3}{U} — Creature — Bird Wizard (3/3)
Flying
This creature enters prepared. (While it's prepared, you may cast a copy of its spell. Doing so unprepares it.)
//
Careful Study {U} — Sorcery
Draw two cards, then discard two cards.</t>
  </si>
  <si>
    <t>Enters prepared — you may cast a copy of Careful Study to draw two cards, then discard two</t>
  </si>
  <si>
    <t>3/3 flying body</t>
  </si>
  <si>
    <t>Steady Progress</t>
  </si>
  <si>
    <t>Proliferate, then draw a card</t>
  </si>
  <si>
    <t>Stratosoarer</t>
  </si>
  <si>
    <t>Flying
When this creature enters, target creature gains flying until end of turn.
Basic landcycling {1}{U} ({1}{U}, Discard this card: Search your library for a basic land card, reveal it, put it into your hand, then shuffle.)
(3/5)</t>
  </si>
  <si>
    <t>Gives target creature flying until end of turn when it enters</t>
  </si>
  <si>
    <t>Basic landcycling: discard for {1}{U} to fetch a basic land</t>
  </si>
  <si>
    <t>Summit Sentinel</t>
  </si>
  <si>
    <t>Elemental Soldier</t>
  </si>
  <si>
    <t>When this creature dies, draw a card.
(1/3)</t>
  </si>
  <si>
    <t>When it dies, draw a card</t>
  </si>
  <si>
    <t>Tekuthal, Inquiry Dominus</t>
  </si>
  <si>
    <t>Flying
If you would proliferate, proliferate twice instead.
{1}{U/P}{U/P}, Remove three counters from among other artifacts, creatures, and planeswalkers you control: Put an indestructible counter on Tekuthal. ({U/P} can be paid with either {U} or 2 life.)
(3/5)</t>
  </si>
  <si>
    <t>Doubles your proliferate triggers into two proliferates</t>
  </si>
  <si>
    <t>Remove three counters from your permanents to add an indestructible counter to itself</t>
  </si>
  <si>
    <t>Temporal Cleansing</t>
  </si>
  <si>
    <t>Convoke (Your creatures can help cast this spell. Each creature you tap while casting this spell pays for {1} or one mana of that creature's color.)
The owner of target nonland permanent puts it into their library second from the top or on the bottom.</t>
  </si>
  <si>
    <t>Puts target nonland permanent into its owner's library second from top or on bottom</t>
  </si>
  <si>
    <t>Your creatures can tap to help pay its cost</t>
  </si>
  <si>
    <t>Tezzeret's Gambit</t>
  </si>
  <si>
    <t>({U/P} can be paid with either {U} or 2 life.)
Draw two cards, then proliferate. (Choose any number of permanents and/or players, then give each another counter of each kind already there.)</t>
  </si>
  <si>
    <t>Draw two cards, then proliferate</t>
  </si>
  <si>
    <t>Can pay 2 life instead of {U}</t>
  </si>
  <si>
    <t>Thranduil's Decree</t>
  </si>
  <si>
    <t>Counter target spell. If a permanent spell is countered this way, exile it instead of putting it into its owner's graveyard. You may cast that card without paying its mana cost for as long as it remains exiled.</t>
  </si>
  <si>
    <t>Counter target spell</t>
  </si>
  <si>
    <t>If a permanent spell is countered this way, exile it instead and you may cast it without paying its mana cost while it remains exiled</t>
  </si>
  <si>
    <t>Thrummingbird</t>
  </si>
  <si>
    <t>Phyrexian Bird Horror</t>
  </si>
  <si>
    <t>Flying
Whenever this creature deals combat damage to a player, proliferate. (Choose any number of permanents and/or players, then give each another counter of each kind already there.)
(1/1)</t>
  </si>
  <si>
    <t>Proliferate when it deals combat damage to a player</t>
  </si>
  <si>
    <t>Uneasy Partings</t>
  </si>
  <si>
    <t>This spell costs {1} less to cast if it targets an attacking nontoken creature.
Target creature's owner puts it on their choice of the top or bottom of their library.</t>
  </si>
  <si>
    <t>Target creature's owner puts it on the top or bottom of their library</t>
  </si>
  <si>
    <t>Costs {1} less to cast if it targets an attacking nontoken creature</t>
  </si>
  <si>
    <t>C 0058</t>
  </si>
  <si>
    <t>Unexpected Assistance</t>
  </si>
  <si>
    <t>Convoke (Your creatures can help cast this spell. Each creature you tap while casting this spell pays for {1} or one mana of that creature's color.)
Draw three cards, then discard a card.</t>
  </si>
  <si>
    <t>Tapping your creatures can help pay its cost</t>
  </si>
  <si>
    <t>Draw three cards, then discard a card</t>
  </si>
  <si>
    <t>BL0087</t>
  </si>
  <si>
    <t>Unwelcome Sprite</t>
  </si>
  <si>
    <t>Flying
Whenever you cast a spell during an opponent's turn, surveil 2. (Look at the top two cards of your library. You may put any number of them into your graveyard and the rest on top of your library in any order.)
(2/1)</t>
  </si>
  <si>
    <t>Surveils 2 whenever you cast a spell during an opponent's turn</t>
  </si>
  <si>
    <t>BL0041</t>
  </si>
  <si>
    <t>Viral Drake</t>
  </si>
  <si>
    <t>Phyrexian Drake</t>
  </si>
  <si>
    <t>Flying
Infect (This creature deals damage to creatures in the form of -1/-1 counters and to players in the form of poison counters.)
{3}{U}: Proliferate. (Choose any number of permanents and/or players, then give each another counter of each kind already there.)
(1/4)</t>
  </si>
  <si>
    <t>Deals damage as -1/-1 counters to creatures, poison counters to players</t>
  </si>
  <si>
    <t>{3}{U}: Proliferate</t>
  </si>
  <si>
    <t>Wanderwine Distracter</t>
  </si>
  <si>
    <t>Merfolk Wizard</t>
  </si>
  <si>
    <t>Whenever this creature becomes tapped, target creature an opponent controls gets -3/-0 until end of turn.
(4/3)</t>
  </si>
  <si>
    <t>Target opponent creature gets -3/-0 until end of turn whenever this becomes tapped</t>
  </si>
  <si>
    <t>An Unexpected Party // At the Door</t>
  </si>
  <si>
    <t>An Unexpected Party {2}{W}{W} — Enchantment
As this enchantment enters, choose a creature type.
Creatures you control of the chosen type get +2/+2.
//
At the Door {X}{2}{W} — Sorcery — Adventure
Create X 2/2 red Dwarf creature tokens. (Then exile this card. You may cast the enchantment later from exile.)</t>
  </si>
  <si>
    <t>Creatures you control of the creature type chosen as it entered get +2/+2</t>
  </si>
  <si>
    <t>At the Door {X}{2}{W} — Adventure: create X 2/2 Dwarf tokens, then cast the enchantment later from exile</t>
  </si>
  <si>
    <t>Anointed Procession</t>
  </si>
  <si>
    <t>If an effect would create one or more tokens under your control, it creates twice that many of those tokens instead.</t>
  </si>
  <si>
    <t>Ao, the Dawn Sky</t>
  </si>
  <si>
    <t>Flying, vigilance
When Ao dies, choose one —
• Look at the top seven cards of your library. Put any number of nonland permanent cards with total mana value 4 or less from among them onto the battlefield. Put the rest on the bottom of your library in a random order.
• Put two +1/+1 counters on each permanent you control that's a creature or Vehicle.
(5/4)</t>
  </si>
  <si>
    <t>When it dies, puts nonland permanents totaling mana value 4 or less from top 7 onto the battlefield</t>
  </si>
  <si>
    <t>Or puts two +1/+1 counters on each creature and Vehicle you control</t>
  </si>
  <si>
    <t>Appeal to Eirdu</t>
  </si>
  <si>
    <t>Convoke (Your creatures can help cast this spell. Each creature you tap while casting this spell pays for {1} or one mana of that creature's color.)
One or two target creatures each get +2/+1 until end of turn.</t>
  </si>
  <si>
    <t>One or two target creatures each get +2/+1 until end of turn</t>
  </si>
  <si>
    <t>Convoke — tap creatures you control to help pay for it</t>
  </si>
  <si>
    <t>Approach of the Second Sun</t>
  </si>
  <si>
    <t>If this spell was cast from your hand and you've cast another spell named Approach of the Second Sun this game, you win the game. Otherwise, put Approach of the Second Sun into its owner's library seventh from the top and you gain 7 life.</t>
  </si>
  <si>
    <t>Archaeomancer's Map</t>
  </si>
  <si>
    <t>When this artifact enters, search your library for up to two basic Plains cards, reveal them, put them into your hand, then shuffle.
Whenever a land an opponent controls enters, if that player controls more lands than you, you may put a land card from your hand onto the battlefield.</t>
  </si>
  <si>
    <t>Enters: search for up to two basic Plains, put them into hand</t>
  </si>
  <si>
    <t>An opponent with more lands playing a land lets you put a land from hand onto the battlefield</t>
  </si>
  <si>
    <t>Ascendant Dustspeaker</t>
  </si>
  <si>
    <t>Orc Cleric</t>
  </si>
  <si>
    <t>Flying
When this creature enters, put a +1/+1 counter on another target creature you control.
At the beginning of combat on your turn, exile up to one target card from a graveyard.
(3/4)</t>
  </si>
  <si>
    <t>At the beginning of combat on your turn, exile up to one target card from a graveyard</t>
  </si>
  <si>
    <t>Enters: put a +1/+1 counter on another target creature you control</t>
  </si>
  <si>
    <t>3/4 flying body</t>
  </si>
  <si>
    <t>Augusta, Order Returned</t>
  </si>
  <si>
    <t>Spirit Advisor</t>
  </si>
  <si>
    <t>Flying, vigilance
Whenever Augusta attacks, each player exiles a card from their graveyard. When one or more nonland cards are exiled this way, put that many +1/+1 counters on target attacking creature.
(1/3)</t>
  </si>
  <si>
    <t>Flying body that also stays untapped when attacking</t>
  </si>
  <si>
    <t>Attacking makes each player exile a card from their graveyard</t>
  </si>
  <si>
    <t>Puts a +1/+1 counter on an attacker for each nonland card exiled this way</t>
  </si>
  <si>
    <t>Austere Command</t>
  </si>
  <si>
    <t>Choose two —
• Destroy all artifacts.
• Destroy all enchantments.
• Destroy all creatures with mana value 3 or less.
• Destroy all creatures with mana value 4 or greater.</t>
  </si>
  <si>
    <t>Choose two — Destroy all artifacts; or Destroy all enchantments; or Destroy all creatures with mana value 3 or less; or Destroy all creatures with mana value 4 or greater</t>
  </si>
  <si>
    <t>Bofur, Reliable Guardian</t>
  </si>
  <si>
    <t>Dwarf Scout</t>
  </si>
  <si>
    <t>Bofur, Reliable Guardian {W} — Legendary Creature — Dwarf Scout (1/1)
Lifelink
//
Concerted Care {1}{W} — Instant — Adventure
Target artifact or creature you control gains hexproof and indestructible until end of turn. (Then exile this card. You may cast the creature later from exile.)</t>
  </si>
  <si>
    <t>Lifelink</t>
  </si>
  <si>
    <t>Back face Concerted Care {1}{W}: target artifact or creature you control gains hexproof and indestructible until end of turn</t>
  </si>
  <si>
    <t>Bronze Guardian</t>
  </si>
  <si>
    <t>Double strike
Ward {2} (Whenever this creature becomes the target of a spell or ability an opponent controls, counter it unless that player pays {2}.)
Other artifacts you control have ward {2}.
Bronze Guardian's power is equal to the number of artifacts you control.
(*/5)</t>
  </si>
  <si>
    <t>Its power equals the number of artifacts you control</t>
  </si>
  <si>
    <t>Other artifacts you control can't be targeted by opponents without them paying {2}</t>
  </si>
  <si>
    <t>Deals combat damage twice each combat</t>
  </si>
  <si>
    <t>Brought Back</t>
  </si>
  <si>
    <t>Choose up to two target permanent cards in your graveyard that were put there from the battlefield this turn. Return them to the battlefield tapped.</t>
  </si>
  <si>
    <t>Choose up to two target permanent cards in your graveyard that were put there from the battlefield this turn. Return the</t>
  </si>
  <si>
    <t>Burdened Stoneback</t>
  </si>
  <si>
    <t>This creature enters with two -1/-1 counters on it.
{1}{W}, Remove a counter from this creature: Target creature gains indestructible until end of turn. Activate only as a sorcery. (Damage and effects that say "destroy" don't destroy it. If its toughness is 0 or less, it still dies.)
(4/4)</t>
  </si>
  <si>
    <t>Remove a counter: give target creature indestructible until end of turn</t>
  </si>
  <si>
    <t>Cast Out</t>
  </si>
  <si>
    <t>Flash
When this enchantment enters, exile target nonland permanent an opponent controls until this enchantment leaves the battlefield.
Cycling {W} ({W}, Discard this card: Draw a card.)</t>
  </si>
  <si>
    <t>Enters: exiles target nonland permanent an opponent controls until this leaves</t>
  </si>
  <si>
    <t>Discard for {W} to draw a card instead of casting</t>
  </si>
  <si>
    <t>Cathar Commando</t>
  </si>
  <si>
    <t>Flash
{1}, Sacrifice this creature: Destroy target artifact or enchantment.
(3/1)</t>
  </si>
  <si>
    <t>Sacrifice this creature to destroy target artifact or enchantment</t>
  </si>
  <si>
    <t>Ceaseless Conflict</t>
  </si>
  <si>
    <t>Destroy all creatures. Then create a 3/2 red and white Spirit creature token for each nontoken creature you controlled that was destroyed this way.</t>
  </si>
  <si>
    <t>Destroys all creatures</t>
  </si>
  <si>
    <t>Creates a 3/2 Spirit token for each of your nontoken creatures destroyed this way</t>
  </si>
  <si>
    <t>Charming Prince</t>
  </si>
  <si>
    <t>Human Noble</t>
  </si>
  <si>
    <t>When this creature enters, choose one —
• Scry 2.
• You gain 3 life.
• Exile another target creature you own. Return it to the battlefield under your control at the beginning of the next end step.
(2/2)</t>
  </si>
  <si>
    <t>Choose one when it enters: Scry 2, gain 3 life, or blink another target creature you own</t>
  </si>
  <si>
    <t>Chocobo Knights</t>
  </si>
  <si>
    <t>Whenever you attack, creatures you control with counters on them gain double strike until end of turn.
(3/3)</t>
  </si>
  <si>
    <t>Creatures you control with counters gain double strike when you attack</t>
  </si>
  <si>
    <t>Civic Stalwart</t>
  </si>
  <si>
    <t>Elephant Soldier</t>
  </si>
  <si>
    <t>When this creature enters, creatures you control get +1/+1 until end of turn.
(3/3)</t>
  </si>
  <si>
    <t>Creatures you control get +1/+1 until end of turn when it enters</t>
  </si>
  <si>
    <t>Claim Jumper</t>
  </si>
  <si>
    <t>Rabbit Mercenary</t>
  </si>
  <si>
    <t>Vigilance
When this creature enters, if an opponent controls more lands than you, you may search your library for a Plains card and put it onto the battlefield tapped. Then if an opponent controls more lands than you, repeat this process once. If you search your library this way, shuffle.
(3/3)</t>
  </si>
  <si>
    <t>Fetches a Plains onto the battlefield tapped if you're land-light</t>
  </si>
  <si>
    <t>Repeats the fetch once more if still behind on lands</t>
  </si>
  <si>
    <t>Cloud's Limit Break</t>
  </si>
  <si>
    <t>Tiered (Choose one additional cost.)
• Cross-Slash — {0} — Destroy target tapped creature.
• Blade Beam — {1} — Destroy any number of target tapped creatures with different controllers.
• Omnislash — {3}{W} — Destroy all tapped creatures.</t>
  </si>
  <si>
    <t>Destroy target tapped creature</t>
  </si>
  <si>
    <t>Or destroy any number of target tapped creatures with different controllers</t>
  </si>
  <si>
    <t>Or destroy all tapped creatures for {3}{W} more</t>
  </si>
  <si>
    <t>Collective Effort</t>
  </si>
  <si>
    <t>Escalate—Tap an untapped creature you control. (Pay this cost for each mode chosen beyond the first.)
Choose one or more —
• Destroy target creature with power 4 or greater.
• Destroy target enchantment.
• Put a +1/+1 counter on each creature target player controls.</t>
  </si>
  <si>
    <t>Escalate: tap creatures to add modes beyond the first</t>
  </si>
  <si>
    <t>Modes: destroy power 4+ creature, destroy enchantment, or counter creatures</t>
  </si>
  <si>
    <t>Court Street Denizen</t>
  </si>
  <si>
    <t>Whenever another white creature you control enters, tap target creature an opponent controls.
(2/2)</t>
  </si>
  <si>
    <t>Taps target creature an opponent controls whenever another white creature you control enters</t>
  </si>
  <si>
    <t>Curious Farm Animals</t>
  </si>
  <si>
    <t>Boar Elk Bird Ox</t>
  </si>
  <si>
    <t>When this creature dies, you gain 3 life.
{2}, Sacrifice this creature: Destroy up to one target artifact or enchantment.
(1/1)</t>
  </si>
  <si>
    <t>Gain 3 life when this creature dies</t>
  </si>
  <si>
    <t>Sacrifice it to destroy target artifact or enchantment</t>
  </si>
  <si>
    <t>Danitha Capashen, Paragon</t>
  </si>
  <si>
    <t>First strike, vigilance, lifelink
Aura and Equipment spells you cast cost {1} less to cast.
(2/2)</t>
  </si>
  <si>
    <t>Reduces your Aura and Equipment spells by {1}</t>
  </si>
  <si>
    <t>First strike, vigilance, lifelink body</t>
  </si>
  <si>
    <t>Day of Judgment</t>
  </si>
  <si>
    <t>Destroy all creatures.</t>
  </si>
  <si>
    <t>Daydream</t>
  </si>
  <si>
    <t>Exile target creature you control, then return that card to the battlefield under its owner's control with a +1/+1 counter on it.
Flashback {2}{W} (You may cast this card from your graveyard for its flashback cost. Then exile it.)</t>
  </si>
  <si>
    <t>Exile target creature you control, then return it to the battlefield with a +1/+1 counter on it</t>
  </si>
  <si>
    <t>Flashback {2}{W}</t>
  </si>
  <si>
    <t>Destroy Evil</t>
  </si>
  <si>
    <t>Choose one —
• Destroy target creature with toughness 4 or greater.
• Destroy target enchantment.</t>
  </si>
  <si>
    <t>Destroys target creature with toughness 4 or greater</t>
  </si>
  <si>
    <t>Or destroys target enchantment instead</t>
  </si>
  <si>
    <t>BL0078</t>
  </si>
  <si>
    <t>Disenchant</t>
  </si>
  <si>
    <t>Destroy target artifact or enchantment.</t>
  </si>
  <si>
    <t>Destroys target artifact or enchantment</t>
  </si>
  <si>
    <t>Doomed Traveler</t>
  </si>
  <si>
    <t>When this creature dies, create a 1/1 white Spirit creature token with flying.
(1/1)</t>
  </si>
  <si>
    <t>Drogskol Shieldmate</t>
  </si>
  <si>
    <t>Spirit Soldier</t>
  </si>
  <si>
    <t>Flash
When this creature enters, other creatures you control get +0/+1 until end of turn.
(2/3)</t>
  </si>
  <si>
    <t>Gives other creatures you control +0/+1 until end of turn when it enters</t>
  </si>
  <si>
    <t>Flash creature</t>
  </si>
  <si>
    <t>Drumbellower</t>
  </si>
  <si>
    <t>Flying
Untap all creatures you control during each other player's untap step.
(2/1)</t>
  </si>
  <si>
    <t>Untaps all your creatures during each opponent's untap step</t>
  </si>
  <si>
    <t>Neon Dynasty Commander</t>
  </si>
  <si>
    <t>BL0057</t>
  </si>
  <si>
    <t>Duty Beyond Death</t>
  </si>
  <si>
    <t>As an additional cost to cast this spell, sacrifice a creature.
Creatures you control gain indestructible until end of turn. Put a +1/+1 counter on each creature you control. (Damage and effects that say "destroy" don't destroy those creatures.)</t>
  </si>
  <si>
    <t>Creatures you control gain indestructible until end of turn and each get a +1/+1 counter</t>
  </si>
  <si>
    <t>Additional cost: sacrifice a creature</t>
  </si>
  <si>
    <t>U 0004</t>
  </si>
  <si>
    <t>Zuzanna Wuzyk</t>
  </si>
  <si>
    <t>Tarkir: Dragonstorm</t>
  </si>
  <si>
    <t>Dwarven Provisioner</t>
  </si>
  <si>
    <t>Dwarf Citizen</t>
  </si>
  <si>
    <t>{3}{W}: Creatures you control get +1/+1 until end of turn.
(2/2)</t>
  </si>
  <si>
    <t>{3}{W}: Creatures you control get +1/+1 until end of turn</t>
  </si>
  <si>
    <t>Dwarven Shortsword</t>
  </si>
  <si>
    <t>When this Equipment enters, create a 2/2 red Dwarf creature token, then attach this Equipment to it.
Equipped creature gets +1/+2.
Equip {2} ({2}: Attach to target creature you control. Equip only as a sorcery.)</t>
  </si>
  <si>
    <t>Creates a 2/2 Dwarf token and attaches itself when it enters</t>
  </si>
  <si>
    <t>Equipped creature gets +1/+2</t>
  </si>
  <si>
    <t>Eager Glyphmage</t>
  </si>
  <si>
    <t>Cat Cleric</t>
  </si>
  <si>
    <t>When this creature enters, create a 1/1 white and black Inkling creature token with flying.
(3/3)</t>
  </si>
  <si>
    <t>Enters: create a 1/1 Inkling token with flying</t>
  </si>
  <si>
    <t>Eagle of the Great Shelf</t>
  </si>
  <si>
    <t>Bird Soldier</t>
  </si>
  <si>
    <t>Flying
Whenever this creature attacks, it gets +1/+1 until end of turn for each other creature you control.
(2/5)</t>
  </si>
  <si>
    <t>Whenever it attacks, it gets +1/+1 until end of turn for each other creature you control</t>
  </si>
  <si>
    <t>Earth Kingdom Jailer</t>
  </si>
  <si>
    <t>Human Soldier Ally</t>
  </si>
  <si>
    <t>When this creature enters, exile up to one target artifact, creature, or enchantment an opponent controls with mana value 3 or greater until this creature leaves the battlefield.
(3/3)</t>
  </si>
  <si>
    <t>Exiles an opponent's permanent (MV 3+) when it enters</t>
  </si>
  <si>
    <t>Exiled permanent returns if this creature leaves</t>
  </si>
  <si>
    <t>Ephemerate</t>
  </si>
  <si>
    <t>Exile target creature you control, then return it to the battlefield under its owner's control.
Rebound (If you cast this spell from your hand, exile it as it resolves. At the beginning of your next upkeep, you may cast this card from exile without paying its mana cost.)</t>
  </si>
  <si>
    <t>Rebound: cast again free next upkeep from exile</t>
  </si>
  <si>
    <t>Esgaroth Garrison</t>
  </si>
  <si>
    <t>Esgaroth Garrison's power is equal to the number of creatures you control.
When this creature enters, recruit. (Draw a card, then discard a card. If you discarded a nonland card, create a 1/1 white Human Soldier creature token.)
(*/5)</t>
  </si>
  <si>
    <t>Its power equals the number of creatures you control</t>
  </si>
  <si>
    <t>Expel the Interlopers</t>
  </si>
  <si>
    <t>Choose a number between 0 and 10. Destroy all creatures with power greater than or equal to the chosen number.</t>
  </si>
  <si>
    <t>Fall of the First Civilization</t>
  </si>
  <si>
    <t>(As this Saga enters and after your draw step, add a lore counter. Sacrifice after III.)
I — You and target opponent each draw two cards.
II — Exile target artifact an opponent controls.
III — Each player chooses three nonland permanents they control. Destroy all other nonland permanents.</t>
  </si>
  <si>
    <t>Chapter I: you and an opponent each draw two cards</t>
  </si>
  <si>
    <t>Chapter II: exile target opponent artifact</t>
  </si>
  <si>
    <t>Chapter III: each player keeps 3 nonland permanents, rest destroyed</t>
  </si>
  <si>
    <t>Fancy Footwork</t>
  </si>
  <si>
    <t>Untap one or two target creatures. They each get +2/+2 until end of turn.</t>
  </si>
  <si>
    <t>Untap one or two target creatures; each gets +2/+2 until end of turn</t>
  </si>
  <si>
    <t>Farewell</t>
  </si>
  <si>
    <t>Choose one or more —
• Exile all artifacts.
• Exile all creatures.
• Exile all enchantments.
• Exile all graveyards.</t>
  </si>
  <si>
    <t>Fateful Absence</t>
  </si>
  <si>
    <t>Destroy target creature or planeswalker. Its controller investigates. (Create a Clue token. It's an artifact with "{2}, Sacrifice this token: Draw a card.")</t>
  </si>
  <si>
    <t>Its controller creates a Clue token</t>
  </si>
  <si>
    <t>Fell the Mighty</t>
  </si>
  <si>
    <t>Destroy all creatures with power greater than target creature's power.</t>
  </si>
  <si>
    <t>Destroys all creatures with power greater than target creature's power</t>
  </si>
  <si>
    <t>Gather the Townsfolk</t>
  </si>
  <si>
    <t>Create two 1/1 white Human creature tokens.
Fateful hour — If you have 5 or less life, create five of those tokens instead.</t>
  </si>
  <si>
    <t>Creates two 1/1 Human tokens (five instead if you have 5 or less life)</t>
  </si>
  <si>
    <t>Generous Gift</t>
  </si>
  <si>
    <t>Destroy target permanent. Its controller creates a 3/3 green Elephant creature token.</t>
  </si>
  <si>
    <t>Destroys target permanent</t>
  </si>
  <si>
    <t>Its controller creates a 3/3 Elephant token</t>
  </si>
  <si>
    <t>Glider Kids</t>
  </si>
  <si>
    <t>Human Pilot Ally</t>
  </si>
  <si>
    <t>Flying
When this creature enters, scry 1. (Look at the top card of your library. You may put it on the bottom.)
(2/3)</t>
  </si>
  <si>
    <t>Enters: look at the top card of your library and you may put it on the bottom</t>
  </si>
  <si>
    <t>C 0021</t>
  </si>
  <si>
    <t>Ikeda-cpt</t>
  </si>
  <si>
    <t>Goldmeadow Nomad</t>
  </si>
  <si>
    <t>Kithkin Scout</t>
  </si>
  <si>
    <t>{W}, Exile this card from your graveyard: Create a 1/1 green and white Kithkin creature token. Activate only as a sorcery.
(1/2)</t>
  </si>
  <si>
    <t>{W}, exile this card from your graveyard: create a 1/1 Kithkin token, as a sorcery</t>
  </si>
  <si>
    <t>Grateful Apparition</t>
  </si>
  <si>
    <t>Flying
Whenever this creature deals combat damage to a player or planeswalker, proliferate. (Choose any number of permanents and/or players, then give each another counter of each kind already there.)
(1/1)</t>
  </si>
  <si>
    <t>Proliferates whenever it deals combat damage to a player or planeswalker</t>
  </si>
  <si>
    <t>Guardian of Faith</t>
  </si>
  <si>
    <t>Flash
Vigilance
When this creature enters, any number of other target creatures you control phase out. (Treat them and anything attached to them as though they don't exist until their controller's next turn.)
(3/2)</t>
  </si>
  <si>
    <t>Enters: any number of your other creatures become temporarily untargetable and safe from harm</t>
  </si>
  <si>
    <t>Guardian Scalelord</t>
  </si>
  <si>
    <t>Backup 1 (When this creature enters, put a +1/+1 counter on target creature. If that's another creature, it gains the following abilities until end of turn.)
Flying
Whenever this creature attacks, return target nonland permanent card with mana value X or less from your graveyard to the battlefield, where X is this creature's power.
(3/4)</t>
  </si>
  <si>
    <t>Backup 1: puts a +1/+1 counter on target creature, may share flying</t>
  </si>
  <si>
    <t>Attacking returns a permanent MV ≤ its power from graveyard</t>
  </si>
  <si>
    <t>Haystack</t>
  </si>
  <si>
    <t>{2}, {T}: Target creature you control phases out. (Treat it and anything attached to it as though they don't exist until your next turn.)</t>
  </si>
  <si>
    <t>Phases out target creature you control</t>
  </si>
  <si>
    <t>Hop to It</t>
  </si>
  <si>
    <t>Create three 1/1 white Rabbit creature tokens.</t>
  </si>
  <si>
    <t>Create three 1/1 Rabbit tokens</t>
  </si>
  <si>
    <t>U 0006</t>
  </si>
  <si>
    <t>Hunted Witness</t>
  </si>
  <si>
    <t>When this creature dies, create a 1/1 white Soldier creature token with lifelink.
(1/1)</t>
  </si>
  <si>
    <t>Creates a 1/1 lifelink Soldier token when it dies</t>
  </si>
  <si>
    <t>Indomitable Ancients</t>
  </si>
  <si>
    <t>Treefolk Warrior</t>
  </si>
  <si>
    <t>(2/10)</t>
  </si>
  <si>
    <t>Inspiring Overseer</t>
  </si>
  <si>
    <t>Angel Cleric</t>
  </si>
  <si>
    <t>Flying
When this creature enters, you gain 1 life and draw a card.
(2/1)</t>
  </si>
  <si>
    <t>Gains 1 life and draws a card when it enters</t>
  </si>
  <si>
    <t>Ironsoul Enforcer</t>
  </si>
  <si>
    <t>Human Samurai</t>
  </si>
  <si>
    <t>Whenever this creature or a commander you control attacks alone, return target artifact card from your graveyard to the battlefield.
(4/4)</t>
  </si>
  <si>
    <t>Returns target artifact card from your graveyard to the battlefield when it or your commander attacks alone</t>
  </si>
  <si>
    <t>Joined Researchers</t>
  </si>
  <si>
    <t>Human Cleric Wizard</t>
  </si>
  <si>
    <t>Joined Researchers {1}{W} — Creature — Human Cleric Wizard (2/2)
First strike
At the beginning of each end step, if an opponent has more cards in hand than you, this creature becomes prepared. (While it's prepared, you may cast a copy of its spell. Doing so unprepares it.)
//
Secret Rendezvous {1}{W}{W} — Sorcery
You and target opponent each draw three cards.</t>
  </si>
  <si>
    <t>Becomes prepared at each end step where an opponent has more cards in hand than you</t>
  </si>
  <si>
    <t>Secret Rendezvous: you and target opponent each draw three cards</t>
  </si>
  <si>
    <t>Kami of Ancient Law</t>
  </si>
  <si>
    <t>Sacrifice this creature: Destroy target enchantment.
(2/2)</t>
  </si>
  <si>
    <t>Sacrifice this creature to destroy target enchantment</t>
  </si>
  <si>
    <t>Kami of Old Stone</t>
  </si>
  <si>
    <t>(1/7)</t>
  </si>
  <si>
    <t>Karmic Guide</t>
  </si>
  <si>
    <t>Angel Spirit</t>
  </si>
  <si>
    <t>Flying, protection from black
Echo {3}{W}{W} (At the beginning of your upkeep, if this came under your control since the beginning of your last upkeep, sacrifice it unless you pay its echo cost.)
When this creature enters, return target creature card from your graveyard to the battlefield.
(2/2)</t>
  </si>
  <si>
    <t>Flying body that can't be blocked or targeted by black</t>
  </si>
  <si>
    <t>Enters: return target creature card from graveyard to battlefield</t>
  </si>
  <si>
    <t>Must pay {3}{W}{W} next upkeep or be sacrificed</t>
  </si>
  <si>
    <t>Kinbinding</t>
  </si>
  <si>
    <t>Creatures you control get +X/+X, where X is the number of creatures that entered the battlefield under your control this turn.
At the beginning of combat on your turn, create a 1/1 green and white Kithkin creature token.</t>
  </si>
  <si>
    <t>Creatures you control get +X/+X, where X is the number of creatures that entered under your control this turn</t>
  </si>
  <si>
    <t>At the beginning of combat on your turn, create a 1/1 Kithkin token</t>
  </si>
  <si>
    <t>Knight of Old Benalia</t>
  </si>
  <si>
    <t>Suspend 5—{W} (Rather than cast this card from your hand, you may pay {W} and exile it with five time counters on it. At the beginning of your upkeep, remove a time counter. When the last is removed, you may cast it without paying its mana cost. It has haste.)
When this creature enters, other creatures you control get +1/+1 until end of turn.
(3/3)</t>
  </si>
  <si>
    <t>Other creatures you control get +1/+1 until end of turn when it enters</t>
  </si>
  <si>
    <t>Suspend 5-{W}: cast later free with haste after counters removed</t>
  </si>
  <si>
    <t>Knight of the White Orchid</t>
  </si>
  <si>
    <t>First strike
When this creature enters, if an opponent controls more lands than you, you may search your library for a Plains card, put it onto the battlefield, then shuffle.
(2/2)</t>
  </si>
  <si>
    <t>Enters: if an opponent has more lands, search for a Plains onto the battlefield</t>
  </si>
  <si>
    <t>Kor Cartographer</t>
  </si>
  <si>
    <t>Kor Scout</t>
  </si>
  <si>
    <t>When this creature enters, you may search your library for a Plains card, put it onto the battlefield tapped, then shuffle.
(2/2)</t>
  </si>
  <si>
    <t>Searches your library for a Plains card and puts it onto the battlefield tapped when it enters</t>
  </si>
  <si>
    <t>Lake-town Lookout</t>
  </si>
  <si>
    <t>When this creature dies, recruit. (Draw a card, then discard a card. If you discarded a nonland card, create a 1/1 white Human Soldier creature token.)
(1/1)</t>
  </si>
  <si>
    <t>Draws then discards a card when it dies</t>
  </si>
  <si>
    <t>Creates a 1/1 Soldier token if a nonland card was discarded that way</t>
  </si>
  <si>
    <t>Lake-town Toymaker</t>
  </si>
  <si>
    <t>At the beginning of combat on your turn, if you've drawn two or more cards this turn, another target creature you control gets +3/+0 and gains first strike until end of turn.
(3/4)</t>
  </si>
  <si>
    <t>At the beginning of combat on your turn, if you have drawn two or more cards this turn, another target creature you control gets +3/+0 and gains first strike until end of turn</t>
  </si>
  <si>
    <t>Magnificent End</t>
  </si>
  <si>
    <t>This spell costs {3} less to cast if it targets a tapped creature.
Magnificent End deals 5 damage to target creature.</t>
  </si>
  <si>
    <t>Deals 5 damage to target creature</t>
  </si>
  <si>
    <t>Costs {3} less to cast if it targets a tapped creature</t>
  </si>
  <si>
    <t>Make Your Move</t>
  </si>
  <si>
    <t>Destroy target artifact, enchantment, or creature with power 4 or greater.</t>
  </si>
  <si>
    <t>Destroys target artifact, enchantment, or creature with power 4+</t>
  </si>
  <si>
    <t>Meanders Guide</t>
  </si>
  <si>
    <t>Merfolk Scout</t>
  </si>
  <si>
    <t>Whenever this creature attacks, you may tap another untapped Merfolk you control. When you do, return target creature card with mana value 3 or less from your graveyard to the battlefield.
(3/2)</t>
  </si>
  <si>
    <t>Returns target creature card with mana value 3 or less from graveyard to the battlefield when it attacks</t>
  </si>
  <si>
    <t>Requires tapping another untapped Merfolk you control</t>
  </si>
  <si>
    <t>Mentor of the Meek</t>
  </si>
  <si>
    <t>Whenever another creature you control with power 2 or less enters, you may pay {1}. If you do, draw a card.
(2/2)</t>
  </si>
  <si>
    <t>Whenever another creature you control with power 2 or less enters, you may pay {1}. If you do, draw a card.</t>
  </si>
  <si>
    <t>Moment of Glory</t>
  </si>
  <si>
    <t>Put a +1/+1 counter on target creature you control. If this spell was cast from a graveyard, also put a +1/+1 counter on each other creature you control.
Flashback {4}{W} (You may cast this card from your graveyard for its flashback cost. Then exile it.)</t>
  </si>
  <si>
    <t>Put a +1/+1 counter on target creature you control. If this spell was cast from a graveyard, also put a +1/+1 counter on</t>
  </si>
  <si>
    <t>Flashback {4}{W}</t>
  </si>
  <si>
    <t>Moonlit Lamenter</t>
  </si>
  <si>
    <t>This creature enters with a -1/-1 counter on it.
{1}{W}, Remove a counter from this creature: Draw a card. Activate only as a sorcery.
(2/5)</t>
  </si>
  <si>
    <t>Enters with a -1/-1 counter on itself</t>
  </si>
  <si>
    <t>Remove the counter (sorcery speed) to draw a card</t>
  </si>
  <si>
    <t>Nyx-Fleece Ram</t>
  </si>
  <si>
    <t>Enchantment Creature</t>
  </si>
  <si>
    <t>Sheep</t>
  </si>
  <si>
    <t>At the beginning of your upkeep, you gain 1 life.
(0/5)</t>
  </si>
  <si>
    <t>Gains 1 life each upkeep</t>
  </si>
  <si>
    <t>Ori, Keeper of Songs</t>
  </si>
  <si>
    <t>Storied (If you control three or more artifacts, legendaries, and/or Sagas, you have an enduring story for the rest of the game.)
As long as you have an enduring story, Ori gets +1/+0 and has vigilance.
(3/3)</t>
  </si>
  <si>
    <t>Gets +1/+0 and has vigilance as long as you have an enduring story</t>
  </si>
  <si>
    <t>C 0023</t>
  </si>
  <si>
    <t>Yigit Koroglu</t>
  </si>
  <si>
    <t>Path to Exile</t>
  </si>
  <si>
    <t>Exile target creature. Its controller may search their library for a basic land card, put that card onto the battlefield tapped, then shuffle.</t>
  </si>
  <si>
    <t>Its controller may search for a basic land onto the battlefield tapped</t>
  </si>
  <si>
    <t>Perimeter Captain</t>
  </si>
  <si>
    <t>Defender
Whenever a creature you control with defender blocks, you may gain 2 life.
(0/4)</t>
  </si>
  <si>
    <t>Whenever a creature you control with defender blocks, you may gain 2 life</t>
  </si>
  <si>
    <t>Primary Research</t>
  </si>
  <si>
    <t>When this enchantment enters, return target nonland permanent card with mana value 3 or less from your graveyard to the battlefield.
At the beginning of your end step, if a card left your graveyard this turn, draw a card.</t>
  </si>
  <si>
    <t>Enters: return a MV 3 or less nonland permanent card from graveyard to battlefield</t>
  </si>
  <si>
    <t>End step: draw a card if a card left your graveyard this turn</t>
  </si>
  <si>
    <t>Protector of the Wastes</t>
  </si>
  <si>
    <t>Flying
When this creature enters or becomes monstrous, exile up to two target artifacts and/or enchantments controlled by different players.
{4}{W}: Monstrosity 3. (If this creature isn't monstrous, put three +1/+1 counters on it and it becomes monstrous.)
(5/5)</t>
  </si>
  <si>
    <t>Exiles up to two target artifacts/enchantments when it enters or becomes monstrous</t>
  </si>
  <si>
    <t>{4}{W}: Monstrosity 3, adds three +1/+1 counters</t>
  </si>
  <si>
    <t>Rally the Ancestors</t>
  </si>
  <si>
    <t>Return each creature card with mana value X or less from your graveyard to the battlefield. Exile those creatures at the beginning of your next upkeep. Exile Rally the Ancestors.</t>
  </si>
  <si>
    <t>Return each creature card with mana value X or less from your graveyard to the battlefield. Exile those creatures at the</t>
  </si>
  <si>
    <t>Rehearsed Debater</t>
  </si>
  <si>
    <t>Djinn Bard</t>
  </si>
  <si>
    <t>Vigilance
Repartee — Whenever you cast an instant or sorcery spell that targets a creature, this creature gets +1/+1 until end of turn.
(3/3)</t>
  </si>
  <si>
    <t>Repartee — whenever you cast an instant or sorcery that targets a creature, this creature gets +1/+1 until end of turn</t>
  </si>
  <si>
    <t>Vigilance on a 3/3 body</t>
  </si>
  <si>
    <t>Release to Memory</t>
  </si>
  <si>
    <t>Exile target opponent's graveyard. For each creature card exiled this way, create a 1/1 colorless Spirit creature token.</t>
  </si>
  <si>
    <t>Reluctant Dounguard</t>
  </si>
  <si>
    <t>This creature enters with two -1/-1 counters on it.
Whenever another creature you control enters while this creature has a -1/-1 counter on it, remove a -1/-1 counter from this creature.
(4/4)</t>
  </si>
  <si>
    <t>Removes one of its own counters whenever another creature you control enters</t>
  </si>
  <si>
    <t>Remorseful Cleric</t>
  </si>
  <si>
    <t>Flying
Sacrifice this creature: Exile target player's graveyard.
(2/1)</t>
  </si>
  <si>
    <t>Sacrifice: exile target player's entire graveyard</t>
  </si>
  <si>
    <t>Repel Calamity</t>
  </si>
  <si>
    <t>Destroy target creature with power or toughness 4 or greater.</t>
  </si>
  <si>
    <t>Destroys target creature with power or toughness 4 or greater</t>
  </si>
  <si>
    <t>Restoration Angel</t>
  </si>
  <si>
    <t>Flash
Flying
When this creature enters, you may exile target non-Angel creature you control, then return that card to the battlefield under your control.
(3/4)</t>
  </si>
  <si>
    <t>When this creature enters, you may exile target non-Angel creature you control, then return that card to the battlefield</t>
  </si>
  <si>
    <t>Return to Dust</t>
  </si>
  <si>
    <t>Exile target artifact or enchantment. If you cast this spell during your main phase, you may exile up to one other target artifact or enchantment.</t>
  </si>
  <si>
    <t>Exiles target artifact or enchantment</t>
  </si>
  <si>
    <t>During your main phase, may exile a second artifact or enchantment</t>
  </si>
  <si>
    <t>Rhox Faithmender</t>
  </si>
  <si>
    <t>Rhino Monk</t>
  </si>
  <si>
    <t>Lifelink (Damage dealt by this creature also causes you to gain that much life.)
If you would gain life, you gain twice that much life instead.
(1/5)</t>
  </si>
  <si>
    <t>Doubles all life you gain</t>
  </si>
  <si>
    <t>Lifelink body</t>
  </si>
  <si>
    <t>Riverguard's Reflexes</t>
  </si>
  <si>
    <t>Target creature gets +2/+2 and gains first strike until end of turn. Untap it.</t>
  </si>
  <si>
    <t>Target creature gets +2/+2 until end of turn and untaps</t>
  </si>
  <si>
    <t>Deals its combat damage before creatures without this ability</t>
  </si>
  <si>
    <t>Rolling Stones</t>
  </si>
  <si>
    <t>Wall creatures can attack as though they didn't have defender.</t>
  </si>
  <si>
    <t>Salvation Colossus</t>
  </si>
  <si>
    <t>Flying, vigilance, trample
Whenever you attack, other creatures you control get +2/+2 and gain indestructible until end of turn.
Unearth—Pay eight {E}. (Pay eight energy counters: Return this card from your graveyard to the battlefield. It gains haste. Exile it at the beginning of the next end step or if it would leave the battlefield. Unearth only as a sorcery.)
(9/9)</t>
  </si>
  <si>
    <t>Other creatures you control get +2/+2 and become indestructible when you attack</t>
  </si>
  <si>
    <t>Can return from graveyard to the battlefield with haste by paying eight energy, then gets exiled</t>
  </si>
  <si>
    <t>Modern Horizons 3 Commander</t>
  </si>
  <si>
    <t>Selfless Spirit</t>
  </si>
  <si>
    <t>Flying
Sacrifice this creature: Creatures you control gain indestructible until end of turn.
(2/1)</t>
  </si>
  <si>
    <t>Sacrifice: your creatures can't be destroyed until end of turn</t>
  </si>
  <si>
    <t>Serra Paragon</t>
  </si>
  <si>
    <t>Flying
Once during each of your turns, you may play a land from your graveyard or cast a permanent spell with mana value 3 or less from your graveyard. If you do, it gains "When this permanent is put into a graveyard from the battlefield, exile it and you gain 2 life."
(3/4)</t>
  </si>
  <si>
    <t>Once per turn, play a land or cast a MV 3 or less permanent spell from your graveyard</t>
  </si>
  <si>
    <t>That permanent exiles itself and gains you 2 life when it leaves the battlefield</t>
  </si>
  <si>
    <t>Settle the Wreckage</t>
  </si>
  <si>
    <t>Exile all attacking creatures target player controls. That player may search their library for that many basic land cards, put those cards onto the battlefield tapped, then shuffle.</t>
  </si>
  <si>
    <t>Exile all attacking creatures target player controls</t>
  </si>
  <si>
    <t>That player may search their library for that many basic lands and put them onto the battlefield tapped</t>
  </si>
  <si>
    <t>Shattered Acolyte</t>
  </si>
  <si>
    <t>Dwarf Warlock</t>
  </si>
  <si>
    <t>Lifelink
{1}, Sacrifice this creature: Destroy target artifact or enchantment.
(2/2)</t>
  </si>
  <si>
    <t>{1}, sacrifice this creature: destroy target artifact or enchantment</t>
  </si>
  <si>
    <t>Shore Lurker</t>
  </si>
  <si>
    <t>Flying
When this creature enters, surveil 1. (Look at the top card of your library. You may put it into your graveyard.)
(3/3)</t>
  </si>
  <si>
    <t>Surveil 1 when it enters</t>
  </si>
  <si>
    <t>Skrelv, Defector Mite</t>
  </si>
  <si>
    <t>Legendary Artifact Creature</t>
  </si>
  <si>
    <t>Phyrexian Mite</t>
  </si>
  <si>
    <t>Toxic 1 (Players dealt combat damage by this creature also get a poison counter.)
Skrelv can't block.
{W/P}, {T}: Choose a color. Another target creature you control gains toxic 1 and hexproof from that color until end of turn. It can't be blocked by creatures of that color this turn. ({W/P} can be paid with either {W} or 2 life.)
(1/1)</t>
  </si>
  <si>
    <t>Toxic 1</t>
  </si>
  <si>
    <t>Skrelv can't block</t>
  </si>
  <si>
    <t xml:space="preserve">{W/P}, {T}: Choose a color. Another target creature you control gains toxic 1 and hexproof from that color until end of </t>
  </si>
  <si>
    <t>Skyclave Apparition</t>
  </si>
  <si>
    <t>Kor Spirit</t>
  </si>
  <si>
    <t>When this creature enters, exile up to one target nonland, nontoken permanent you don't control with mana value 4 or less.
When this creature leaves the battlefield, the exiled card's owner creates an X/X blue Illusion creature token, where X is the mana value of the exiled card.
(2/2)</t>
  </si>
  <si>
    <t>Enters: exile a nonland, nontoken permanent an opponent controls with MV 4 or less</t>
  </si>
  <si>
    <t>Leaves the battlefield: that permanent's owner gets an X/X token, X = its mana value</t>
  </si>
  <si>
    <t>Slaughter the Strong</t>
  </si>
  <si>
    <t>Each player chooses any number of creatures they control with total power 4 or less, then sacrifices all other creatures they control.</t>
  </si>
  <si>
    <t>Each player chooses any number of creatures they control with total power 4 or less, then sacrifices all other creatures</t>
  </si>
  <si>
    <t>Smothering Tithe</t>
  </si>
  <si>
    <t>Whenever an opponent draws a card, that player may pay {2}. If the player doesn't, you create a Treasure token. (It's an artifact with "{T}, Sacrifice this token: Add one mana of any color.")</t>
  </si>
  <si>
    <t>Whenever an opponent draws a card, that player may pay {2}. If the player doesn't, you create a Treasure token. (It's an</t>
  </si>
  <si>
    <t>Spiral into Solitude</t>
  </si>
  <si>
    <t>Enchant creature
Enchanted creature can't attack or block.
{1}{W}, Blight 1, Sacrifice this Aura: Exile enchanted creature. (To blight 1, put a -1/-1 counter on a creature you control.)</t>
  </si>
  <si>
    <t>Enchanted creature can't attack or block</t>
  </si>
  <si>
    <t>Pay {1}{W}, blight 1, sacrifice: exile enchanted creature</t>
  </si>
  <si>
    <t>Stalwart Shield-Bearers</t>
  </si>
  <si>
    <t>Defender
Other creatures you control with defender get +0/+2.
(0/3)</t>
  </si>
  <si>
    <t>Other creatures you control with defender get +0/+2</t>
  </si>
  <si>
    <t>Stand Up for Yourself</t>
  </si>
  <si>
    <t>Destroy target creature with power 3 or greater.</t>
  </si>
  <si>
    <t>Destroys target creature with power 3 or greater</t>
  </si>
  <si>
    <t>U 0034</t>
  </si>
  <si>
    <t>Nathaniel Himawan</t>
  </si>
  <si>
    <t>Stone Docent</t>
  </si>
  <si>
    <t>Spirit Chimera</t>
  </si>
  <si>
    <t>{W}, Exile this card from your graveyard: You gain 2 life. Surveil 1. Activate only as a sorcery. (Look at the top card of your library. You may put it into your graveyard.)
(3/1)</t>
  </si>
  <si>
    <t>{W}, exile this card from your graveyard: gain 2 life and surveil 1, as a sorcery</t>
  </si>
  <si>
    <t>3/1 body</t>
  </si>
  <si>
    <t>Stonecloaker</t>
  </si>
  <si>
    <t>Gargoyle</t>
  </si>
  <si>
    <t>Flash
Flying
When this creature enters, return a creature you control to its owner's hand.
When this creature enters, exile target card from a graveyard.
(3/2)</t>
  </si>
  <si>
    <t>Planar Chaos</t>
  </si>
  <si>
    <t>Sun Titan</t>
  </si>
  <si>
    <t>Giant</t>
  </si>
  <si>
    <t>Vigilance
Whenever this creature enters or attacks, you may return target permanent card with mana value 3 or less from your graveyard to the battlefield.
(6/6)</t>
  </si>
  <si>
    <t>6/6 body that can block after attacking</t>
  </si>
  <si>
    <t>Enters or attacks: return a MV 3 or less permanent from graveyard to battlefield</t>
  </si>
  <si>
    <t>Sun-Dappled Celebrant</t>
  </si>
  <si>
    <t>Convoke (Your creatures can help cast this spell. Each creature you tap while casting this spell pays for {1} or one mana of that creature's color.)
Vigilance
(5/6)</t>
  </si>
  <si>
    <t>Can be cast for less by tapping creatures (convoke)</t>
  </si>
  <si>
    <t>Suture Priest</t>
  </si>
  <si>
    <t>Phyrexian Cleric</t>
  </si>
  <si>
    <t>Whenever another creature you control enters, you may gain 1 life.
Whenever a creature an opponent controls enters, you may have that player lose 1 life.
(1/1)</t>
  </si>
  <si>
    <t>May cause an opponent to lose 1 life whenever a creature they control enters</t>
  </si>
  <si>
    <t>Teleportation Circle</t>
  </si>
  <si>
    <t>At the beginning of your end step, exile up to one target artifact or creature you control, then return that card to the battlefield under its owner's control.</t>
  </si>
  <si>
    <t>At the beginning of your end step, exile up to one target artifact or creature you control, then return that card to the</t>
  </si>
  <si>
    <t>Teshar, Ancestor's Apostle</t>
  </si>
  <si>
    <t>Flying
Whenever you cast a historic spell, return target creature card with mana value 3 or less from your graveyard to the battlefield. (Artifacts, legendaries, and Sagas are historic.)
(2/2)</t>
  </si>
  <si>
    <t>Casting a historic spell returns a MV 3 or less creature card from graveyard to battlefield</t>
  </si>
  <si>
    <t>The Eternal Wanderer</t>
  </si>
  <si>
    <t>No more than one creature can attack The Eternal Wanderer each combat.
+1: Exile up to one target artifact or creature. Return that card to the battlefield under its owner's control at the beginning of that player's next end step.
0: Create a 2/2 white Samurai creature token with double strike.
−4: For each player, choose a creature that player controls. Each player sacrifices all creatures they control not chosen this way.
(Loyalty 5)</t>
  </si>
  <si>
    <t>+1: exiles an artifact or creature, returns it at that player's next end step</t>
  </si>
  <si>
    <t>0: creates a 2/2 white Samurai token with double strike</t>
  </si>
  <si>
    <t>-4: each player keeps one chosen creature, sacrifices the rest</t>
  </si>
  <si>
    <t>The Restoration of Eiganjo</t>
  </si>
  <si>
    <t>The Restoration of Eiganjo {2}{W} — Enchantment — Saga
(As this Saga enters and after your draw step, add a lore counter.)
I — Search your library for a basic Plains card, reveal it, put it into your hand, then shuffle.
II — You may discard a card. When you do, return target permanent card with mana value 2 or less from your graveyard to the battlefield tapped.
III — Exile this Saga, then return it to the battlefield transformed under your control.
//
Architect of Restoration — Enchantment Creature — Fox Monk (3/4)
Vigilance
Whenever this creature attacks or blocks, create a 1/1 colorless Spirit creature token.</t>
  </si>
  <si>
    <t>Chapter I: search library for a basic Plains to hand</t>
  </si>
  <si>
    <t>Chapter II: discard a card to reanimate a permanent MV 2 or less</t>
  </si>
  <si>
    <t>Chapter III: transforms into a creature that makes Spirit tokens on attack/block</t>
  </si>
  <si>
    <t>Thorin's Last Stand</t>
  </si>
  <si>
    <t>Choose one —
• Creatures you control get +2/+1 until end of turn.
• Destroy target artifact or enchantment. You gain 2 life.</t>
  </si>
  <si>
    <t>Creatures you control get +2/+1 until end of turn</t>
  </si>
  <si>
    <t>Or destroy target artifact or enchantment and you gain 2 life</t>
  </si>
  <si>
    <t>C 0026</t>
  </si>
  <si>
    <t>John Di Giovanni</t>
  </si>
  <si>
    <t>Thoughtweft Imbuer</t>
  </si>
  <si>
    <t>Whenever a creature you control attacks alone, it gets +X/+X until end of turn, where X is the number of Kithkin you control.
(0/5)</t>
  </si>
  <si>
    <t>Whenever a creature you control attacks alone, it gets +X/+X until end of turn, where X is the number of Kithkin you control</t>
  </si>
  <si>
    <t>Timid Shieldbearer</t>
  </si>
  <si>
    <t>{4}{W}: Creatures you control get +1/+1 until end of turn.
(2/2)</t>
  </si>
  <si>
    <t>{4}{W}: your creatures get +1/+1 until end of turn</t>
  </si>
  <si>
    <t>Tocasia's Welcome</t>
  </si>
  <si>
    <t>Whenever one or more creatures you control with mana value 3 or less enter, draw a card. This ability triggers only once each turn.</t>
  </si>
  <si>
    <t>Creatures with MV 3 or less entering draws a card, once per turn</t>
  </si>
  <si>
    <t>The Brothers' War</t>
  </si>
  <si>
    <t>Tragic Arrogance</t>
  </si>
  <si>
    <t>For each player, you choose from among the permanents that player controls an artifact, a creature, an enchantment, and a planeswalker. Then each player sacrifices all other nonland permanents they control.</t>
  </si>
  <si>
    <t>Each player keeps one artifact, creature, enchantment, and planeswalker</t>
  </si>
  <si>
    <t>Sacrifices all other nonland permanents</t>
  </si>
  <si>
    <t>Unbreakable Formation</t>
  </si>
  <si>
    <t>Creatures you control gain indestructible until end of turn.
Addendum — If you cast this spell during your main phase, put a +1/+1 counter on each of those creatures and they gain vigilance until end of turn.</t>
  </si>
  <si>
    <t>Addendum — If you cast this spell during your main phase, put a +1/+1 counter on each of those creatures and they gain v</t>
  </si>
  <si>
    <t>Valorous Stance</t>
  </si>
  <si>
    <t>Choose one —
• Target creature gains indestructible until end of turn. (Damage and effects that say "destroy" don't destroy it.)
• Destroy target creature with toughness 4 or greater.</t>
  </si>
  <si>
    <t>Choose one: target creature can't be destroyed this turn</t>
  </si>
  <si>
    <t>Or destroys target creature with toughness 4 or greater</t>
  </si>
  <si>
    <t>Vanguard of the Restless</t>
  </si>
  <si>
    <t>Flying
Spirits you control get +1/+1 for each time you've cast your commander from the command zone this game.
Whenever a Spirit you control enters, you may pay {2}{W}. If you do, return this card from your graveyard to the battlefield.
(2/2)</t>
  </si>
  <si>
    <t>Spirits you control get +1/+1 for each time you've cast your commander from the command zone</t>
  </si>
  <si>
    <t>A Spirit entering lets you pay {2}{W} to return this from graveyard to battlefield</t>
  </si>
  <si>
    <t>Velvetwing Butterflies // Gaze in Wonder</t>
  </si>
  <si>
    <t>Velvetwing Butterflies {2}{W} — Creature — Insect (2/2)
Flying
//
Gaze in Wonder {1}{W} — Instant — Adventure
Tap one or two target creatures. (Then exile this card. You may cast the creature later from exile.)</t>
  </si>
  <si>
    <t>Gaze in Wonder {1}{W} — Adventure: tap one or two target creatures, then cast the creature later from exile</t>
  </si>
  <si>
    <t>2/2 flying body</t>
  </si>
  <si>
    <t>Venat, Heart of Hydaelyn</t>
  </si>
  <si>
    <t>Elder Wizard</t>
  </si>
  <si>
    <t>Venat, Heart of Hydaelyn {1}{W}{W} — Legendary Creature — Elder Wizard (3/3)
Whenever you cast a legendary spell, draw a card. This ability triggers only once each turn.
Hero's Sundering — {7}, {T}: Exile target nonland permanent. Transform Venat. Activate only as a sorcery.
//
Hydaelyn, the Mothercrystal — Legendary Creature — God (4/4)
Indestructible
Blessing of Light — At the beginning of combat on your turn, put a +1/+1 counter on another target creature you control. Until your next turn, it gains indestructible. If that creature is legendary, draw a card.</t>
  </si>
  <si>
    <t>Casting a legendary spell draws a card, once per turn</t>
  </si>
  <si>
    <t>Pay {7}, tap: exile target nonland permanent, then transform</t>
  </si>
  <si>
    <t>Back side is unkillable; combat: give a creature a +1/+1 counter and protection, drawing a card if it's legendary</t>
  </si>
  <si>
    <t>Vow to Erebor</t>
  </si>
  <si>
    <t>Untap target creature you control. It gets +2/+2 until end of turn. If it's a Dwarf, you may attach an Equipment you control to it.</t>
  </si>
  <si>
    <t>Untap target creature you control and it gets +2/+2 until end of turn</t>
  </si>
  <si>
    <t>If it's a Dwarf, you may attach an Equipment you control to it</t>
  </si>
  <si>
    <t>Wakestone Gargoyle</t>
  </si>
  <si>
    <t>Defender, flying
{1}{W}: Creatures you control with defender can attack this turn as though they didn't have defender.
(3/4)</t>
  </si>
  <si>
    <t>Lets your defender creatures attack this turn for {1}{W}</t>
  </si>
  <si>
    <t>Defender, flying body</t>
  </si>
  <si>
    <t>Wall of Omens</t>
  </si>
  <si>
    <t>Wall of Resurgence</t>
  </si>
  <si>
    <t>Defender
When this creature enters, you may put three +1/+1 counters on target land you control. If you do, that land becomes a 0/0 Elemental creature with haste that's still a land.
(0/6)</t>
  </si>
  <si>
    <t>Puts three +1/+1 counters on target land you control when it enters</t>
  </si>
  <si>
    <t>That land becomes a 3/3 creature with haste (still a land)</t>
  </si>
  <si>
    <t>Wall of Reverence</t>
  </si>
  <si>
    <t>Spirit Wall</t>
  </si>
  <si>
    <t>Defender, flying
At the beginning of your end step, you may gain life equal to the power of target creature you control.
(1/6)</t>
  </si>
  <si>
    <t>May gain life equal to a target creature's power each end step</t>
  </si>
  <si>
    <t>Wave of Reckoning</t>
  </si>
  <si>
    <t>Each creature deals damage to itself equal to its power.</t>
  </si>
  <si>
    <t>Each creature deals damage to itself equal to its power</t>
  </si>
  <si>
    <t>White Orchid Phantom</t>
  </si>
  <si>
    <t>Flying, first strike
When this creature enters, destroy up to one target nonbasic land. Its controller may search their library for a basic land card, put it onto the battlefield tapped, then shuffle.
(2/2)</t>
  </si>
  <si>
    <t>Destroys target nonbasic land when it enters</t>
  </si>
  <si>
    <t>Its controller may search for a basic land instead</t>
  </si>
  <si>
    <t>Flying first strike body</t>
  </si>
  <si>
    <t>Whitemane Lion</t>
  </si>
  <si>
    <t>Flash
When this creature enters, return a creature you control to its owner's hand.
(2/2)</t>
  </si>
  <si>
    <t>Wild Pack Squad</t>
  </si>
  <si>
    <t>Human Mercenary</t>
  </si>
  <si>
    <t>At the beginning of combat on your turn, up to one target creature gains first strike and vigilance until end of turn.
(2/3)</t>
  </si>
  <si>
    <t>Gives target creature first strike and vigilance at combat start</t>
  </si>
  <si>
    <t>Windborn Muse</t>
  </si>
  <si>
    <t>Flying
Creatures can't attack you unless their controller pays {2} for each creature they control that's attacking you.
(2/3)</t>
  </si>
  <si>
    <t>Creatures can't attack you unless their controller pays {2} for each creature they control that's attacking you</t>
  </si>
  <si>
    <t>Legions</t>
  </si>
  <si>
    <t>Winds of Abandon</t>
  </si>
  <si>
    <t>Exile target creature you don't control. For each creature exiled this way, its controller searches their library for a basic land card. Those players put those cards onto the battlefield tapped, then shuffle.
Overload {4}{W}{W} (You may cast this spell for its overload cost. If you do, change "target" in its text to "each.")</t>
  </si>
  <si>
    <t>Exiles target creature you don't control</t>
  </si>
  <si>
    <t>Its controller searches for a basic land put onto the battlefield tapped</t>
  </si>
  <si>
    <t>Overload cost hits every creature you don't control</t>
  </si>
  <si>
    <t>Wingmantle Chaplain</t>
  </si>
  <si>
    <t>Defender
When this creature enters, create a 1/1 white Bird creature token with flying for each creature with defender you control.
Whenever another creature you control with defender enters, create a 1/1 white Bird creature token with flying.
(0/3)</t>
  </si>
  <si>
    <t>Creates a 1/1 flying Bird token for each defender you control, on ETB</t>
  </si>
  <si>
    <t>Creates another Bird token whenever a defender creature enters</t>
  </si>
  <si>
    <t>Winnowing</t>
  </si>
  <si>
    <t>Convoke (Your creatures can help cast this spell. Each creature you tap while casting this spell pays for {1} or one mana of that creature's color.)
For each player, you choose a creature that player controls. Then each player sacrifices all other creatures they control that don't share a creature type with the chosen creature they control.</t>
  </si>
  <si>
    <t>Each player sacrifices creatures not sharing a type with a chosen one</t>
  </si>
  <si>
    <t>Yip Yip!</t>
  </si>
  <si>
    <t>Target creature you control gets +2/+2 until end of turn. If that creature is an Ally, it also gains flying until end of turn.</t>
  </si>
  <si>
    <t>Target creature you control gets +2/+2 until end of turn; if it is an Ally, it also gains flying</t>
  </si>
  <si>
    <t>Zetalpa, Primal Dawn</t>
  </si>
  <si>
    <t>Elder Dinosaur</t>
  </si>
  <si>
    <t>Flying, double strike, vigilance, trample, indestructible
(4/8)</t>
  </si>
  <si>
    <t>Evasive double-strike attacker that dodges most removal</t>
  </si>
  <si>
    <t>Very hard to kill in combat or by damage</t>
  </si>
  <si>
    <t>Deck ID</t>
  </si>
  <si>
    <t>D1</t>
  </si>
  <si>
    <t>D2</t>
  </si>
  <si>
    <t>D3</t>
  </si>
  <si>
    <t>D4</t>
  </si>
  <si>
    <t>D5</t>
  </si>
  <si>
    <t>D6</t>
  </si>
  <si>
    <t>D7</t>
  </si>
  <si>
    <t>Strategy</t>
  </si>
  <si>
    <t>Lorehold spirit recursion. Fill the graveyard with cheap instants, sorceries and artifacts, then turn each one into a 3/2 Spirit and cast it again for free. The graveyard is the resource, not a byproduct.</t>
  </si>
  <si>
    <t>Creature-flood value. Every creature spell draws a card and drops a land, so board, mana and hand all grow on the same trigger. The deck wins by simply doing more per turn than anyone else.</t>
  </si>
  <si>
    <t>Proliferate control. Land a counter on anything that matters, then add to every counter on the board each end step until the accumulated advantage ends the game. The pod's control seat.</t>
  </si>
  <si>
    <t>Toughness fortress. Creatures deal combat damage equal to toughness and ignore defender, so the same permanents that hold the ground are the offense. Nothing in the deck is a dead card on either side of the table.</t>
  </si>
  <si>
    <t>Token drain. Shadrix fires two modes every combat, flooding the board with evasive bodies while draining the table. Wins through the air and through incremental life loss rather than through combat math.</t>
  </si>
  <si>
    <t>Goblin go-wide. Krenko doubles the board every activation, then a damage payoff converts bodies into a win without needing combat to connect. The fastest clock in the pod.</t>
  </si>
  <si>
    <t>Sultai exile-and-cast value, deliberately green-blue forward with black as the answer suite. Kept entirely off proliferate and +1/+1 counters so it never competes with Atraxa for cards or for a role at the table. Wins on card advantage, not board dominance.</t>
  </si>
  <si>
    <t>Engine</t>
  </si>
  <si>
    <t>Quintorius exiles a noncreature card from your graveyard each end step and makes a 3/2 Spirit; sacrifice a Spirit to cast that exiled card without paying its cost. 33 cards in the deck move cards out of the graveyard to keep the trigger fed, backed by 16 recursion pieces.</t>
  </si>
  <si>
    <t>Chulane's cast trigger plus 45 enter-the-battlefield creatures and 7 blink or bounce effects (Ephemerate, Soulherder, Temur Sabertooth) to re-run them. Freed from the Real is the combo line with a mana-producing creature. Ancient Greenwarden doubles every land trigger.</t>
  </si>
  <si>
    <t>Atraxa's end-step proliferate with 18 proliferate sources and 18 counter payoffs: Ichormoon Gauntlet, Innkeeper's Talent, Branching Evolution, Inexorable Tide, Flux Channeler, Karn's Bastion and Viral Drake.</t>
  </si>
  <si>
    <t>Felothar's static rewrite over 20 defenders and 22 high-toughness bodies. His sacrifice ability turns a fat blocker into a fistful of cards. Canopy Gargantuan adds counters equal to each creature's toughness every upkeep, compounding both halves at once.</t>
  </si>
  <si>
    <t>Shadrix's combat trigger plus 16 token producers and 11 drain payoffs: Cruel Celebrant, Elas il-Kor, Kambal Profiteering Mayor, Teysa Karlov, Pitiless Plunderer and Genesis Chamber. Every token that enters or dies converts into life swing.</t>
  </si>
  <si>
    <t>Krenko's tap ability with Thousand-Year Elixir and Thornbite Staff to untap him, so the token count squares instead of doubling. Purphoros turns every token that enters into 2 damage per opponent, which makes the engine lethal without attacking.</t>
  </si>
  <si>
    <t>Maralen and every Elf or Faerie that enters exile the top two cards of an opponent's library, and you cast them free up to the number of Elves and Faeries you control. 12 tribal bodies and 13 draw pieces keep both halves fed; Phyrexian Arena guarantees the extra card each upkeep.</t>
  </si>
  <si>
    <t>Attack Mechanics</t>
  </si>
  <si>
    <t>Go wide with 3/2 Spirit tokens under anthem effects. Every removal spell they answer comes back, so the board rebuilds faster than opponents can clear it. Gandalf, Goblins' Bane converts the noncreature spell density into reach damage.</t>
  </si>
  <si>
    <t>Widest creature count in the pod at 52. Zendikar's Roil turns Chulane's free land drops into 2/2 bodies, and the board outgrows blockers rather than evading them.</t>
  </si>
  <si>
    <t>Atraxa herself is a 4/4 flying deathtouch lifelink clock. Viral Drake converts proliferate into poison counters as a second, faster win route while +1/+1 counter creatures grow past blockers.</t>
  </si>
  <si>
    <t>Walls swing for their toughness, which is where the deck's stats actually live. Damage scales with the same numbers that make the board hard to attack into.</t>
  </si>
  <si>
    <t>21 fliers make the swarm evasive. Moonshaker Cavalry is the one-card finisher, giving the whole board flying and a mass pump; Odric spreads the best keyword across every creature.</t>
  </si>
  <si>
    <t>Shared Animosity plus Goblin Chieftain, Goblin Warchief and Patchwork Banner turn a wide board into one lethal swing. 13 haste sources mean tokens attack the turn they arrive.</t>
  </si>
  <si>
    <t>Maralen's 4/5 flying body plus 12 evasive creatures. The deck is not trying to win the board, it is trying to play two opponents' worth of cards each turn and close with fliers.</t>
  </si>
  <si>
    <t>Defense Mechanics</t>
  </si>
  <si>
    <t>Cheap instant-speed removal that doubles as graveyard fuel, Spirits as free chump blockers, and Deflecting Palm to turn a lethal swing back on its controller.</t>
  </si>
  <si>
    <t>9 removal spells, a wall of enter-the-battlefield blockers, and Chulane's own bounce ability to rescue a creature and re-buy its trigger.</t>
  </si>
  <si>
    <t>Heaviest interaction in the pod at 10 removal including sweepers, plus lifelink on the commander to buy turns against aggression.</t>
  </si>
  <si>
    <t>The board is the defense: 20 defenders, 14 lifegain pieces and protection spells. The strongest ground defense of the seven.</t>
  </si>
  <si>
    <t>9 removal plus 18 lifegain pieces to stay out of burn range, with Vault of the Archangel as the combat reset.</t>
  </si>
  <si>
    <t>Thinnest defense of the seven by design. Goblin Bombardment as the sacrifice outlet and reach, Swiftfoot Boots protecting Krenko, and raw speed as the answer to slower decks.</t>
  </si>
  <si>
    <t>Deepest interaction in the pod at 30 removal-tagged cards, including Counterspell, Day of Black Sun and Ritual of Soot. Black gives the answers to the pod's token and proliferate engines.</t>
  </si>
  <si>
    <t>Ramp Mechanic</t>
  </si>
  <si>
    <t>10 pieces, weighted to 2-mana rocks and Equipment-based land fetch so the curve stays under 3. 38 lands, 9 nonbasic, none entering tapped.</t>
  </si>
  <si>
    <t>11 dedicated pieces on top of Chulane's free land drops. 38 lands, 7 nonbasic, none entering tapped.</t>
  </si>
  <si>
    <t>10 pieces weighted toward four-colour fixing rather than raw acceleration. 37 lands, 7 nonbasic, none entering tapped.</t>
  </si>
  <si>
    <t>11 pieces, several of them defender-ramp creatures that block and produce mana in the same slot. 38 lands, 7 nonbasic, none entering tapped. 48 total mana sources, most in the pod.</t>
  </si>
  <si>
    <t>10 pieces, mostly 2-mana rocks. 38 lands, 7 nonbasic, none entering tapped.</t>
  </si>
  <si>
    <t>9 pieces, mostly 2-mana rocks and rituals to deploy Krenko a turn early. 37 lands, 7 nonbasic, none entering tapped.</t>
  </si>
  <si>
    <t>10 pieces. 38 lands, all basics because D1 through D6 had first claim on the duals, so the mana base is slower to fix but literally never enters tapped.</t>
  </si>
  <si>
    <t>Trey's Master MtG Commander Excel Legend</t>
  </si>
  <si>
    <t>All decks adhere to: High B2 - High B3 bracket range. Max 2 GCs per deck, prefer 0, but want 1 if needed to shore up a deck.</t>
  </si>
  <si>
    <t>Deck Definitions and IDs</t>
  </si>
  <si>
    <t>Deck Commander</t>
  </si>
  <si>
    <t>Deck Core Strategy</t>
  </si>
  <si>
    <t>Target Card Count Color Coding</t>
  </si>
  <si>
    <t>#AFEAFF</t>
  </si>
  <si>
    <t>Final B3 Target State (No Upgrades, this is a final for the deck's stated strategy and limits)</t>
  </si>
  <si>
    <t>#CCC0DA</t>
  </si>
  <si>
    <t>Long Term Temp Card (Last cards to change out as they're good for the deck, there just happens to be a better upgrade to finalize the deck I'll want to buy)</t>
  </si>
  <si>
    <t>#FCD8BA</t>
  </si>
  <si>
    <t>Short Term Temp Card (First to update/replace as soon as possible as the card adds little to no value to the deck)</t>
  </si>
  <si>
    <t>ReplacementID</t>
  </si>
  <si>
    <t>Name</t>
  </si>
  <si>
    <t>Price</t>
  </si>
  <si>
    <t>GT Actual Price</t>
  </si>
  <si>
    <t>Decks</t>
  </si>
  <si>
    <t>Copies Needed</t>
  </si>
  <si>
    <t>D2,D3,D7</t>
  </si>
  <si>
    <t>D1,D5,D6</t>
  </si>
  <si>
    <t>Destroy target creature or planeswalker. // As this land enters, you may pay 3 life. If you don't, it enters tapped.
{T}: Add {B}.</t>
  </si>
  <si>
    <t>BL0015</t>
  </si>
  <si>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</si>
  <si>
    <t>D4,D5</t>
  </si>
  <si>
    <t>Psychosis Crawler's power and toughness are each equal to the number of cards in your hand.
Whenever you draw a card, each opponent loses 1 life.</t>
  </si>
  <si>
    <t>D4,D5,D6,D7</t>
  </si>
  <si>
    <t>D1,D2,D3,D4,D5,D6,D7</t>
  </si>
  <si>
    <t>BG</t>
  </si>
  <si>
    <t>D4,D7</t>
  </si>
  <si>
    <t>D2,D4,D7</t>
  </si>
  <si>
    <t>D2,D3,D4,D7</t>
  </si>
  <si>
    <t>D1,D6</t>
  </si>
  <si>
    <t>Whenever one or more other creatures die, draw a card. This ability triggers only once each turn.</t>
  </si>
  <si>
    <t>BL0010</t>
  </si>
  <si>
    <t>RW</t>
  </si>
  <si>
    <t>Choose one — Boros Charm deals 4 damage to each opponent; or permanents you control gain indestructible until end of turn; or target creature gains double strike until end of turn.</t>
  </si>
  <si>
    <t>Whenever a nontoken creature enters the battlefield under your control, if it doesn't have the same name as another creature you control or a creature card in your graveyard, draw a card.</t>
  </si>
  <si>
    <t>D2,D4</t>
  </si>
  <si>
    <t>Landfall — Whenever a land you control enters, proliferate.</t>
  </si>
  <si>
    <t>Proliferate. Draw a card.</t>
  </si>
  <si>
    <t>WBG</t>
  </si>
  <si>
    <t>Defender. When Wall of Blossoms enters, draw a card.</t>
  </si>
  <si>
    <t>Grave Titan</t>
  </si>
  <si>
    <t>Deathtouch. Whenever Grave Titan enters or attacks, create two 2/2 black Zombie creature tokens.</t>
  </si>
  <si>
    <t>Adeline, Resplendent Cathar</t>
  </si>
  <si>
    <t>Vigilance. Adeline's power is equal to the number of creatures you control. Whenever you attack, for each opponent, create a 1/1 white Human creature token that's tapped and attacking that player or a planeswalker they control.</t>
  </si>
  <si>
    <t>Spellstutter Sprite</t>
  </si>
  <si>
    <t>Flash, flying. When Spellstutter Sprite enters, counter target spell with mana value X or less, where X is the number of Faeries you control.</t>
  </si>
  <si>
    <t>Faerie Mastermind</t>
  </si>
  <si>
    <t>Flash, flying. Whenever an opponent draws their second card each turn, you draw a card. {3}{U}: Each player draws a card.</t>
  </si>
  <si>
    <t>Halo Forager</t>
  </si>
  <si>
    <t>UB</t>
  </si>
  <si>
    <t>Flying. When Halo Forager enters, you may pay {X}. When you do, you may cast target instant or sorcery card with mana value X from a graveyard without paying its mana cost. If that spell would be put into a graveyard, exile it instead.</t>
  </si>
  <si>
    <t>You draw two cards and you lose 2 life.</t>
  </si>
  <si>
    <t>{T}: Draw a card. Activate only if you created a token this turn. {8},{T}, Sacrifice: Create a 10/10 colorless Eldrazi creature token.</t>
  </si>
  <si>
    <t>Equipped creature has haste and shroud. Equip {0}.</t>
  </si>
  <si>
    <t>Faerie Formation</t>
  </si>
  <si>
    <t>Flying. {3}{U}: Create a 1/1 blue Faerie creature token with flying. Draw a card.</t>
  </si>
  <si>
    <t>Scion of Oona</t>
  </si>
  <si>
    <t>Flash, flying. Other Faeries you control get +1/+1 and have shroud.</t>
  </si>
  <si>
    <t>Bloom Hulk</t>
  </si>
  <si>
    <t>When Bloom Hulk enters, proliferate.</t>
  </si>
  <si>
    <t>Preordain</t>
  </si>
  <si>
    <t>Scry 2, then draw a card.</t>
  </si>
  <si>
    <t>Tormenting Voice</t>
  </si>
  <si>
    <t>As an additional cost to cast this spell, discard a card. Draw two cards.</t>
  </si>
  <si>
    <t>Mystic Snake</t>
  </si>
  <si>
    <t>GU</t>
  </si>
  <si>
    <t>Flash. When Mystic Snake enters, counter target spell.</t>
  </si>
  <si>
    <t>Wanderer's Strike</t>
  </si>
  <si>
    <t>Exile target creature. Proliferate.</t>
  </si>
  <si>
    <t>Pollenbright Druid</t>
  </si>
  <si>
    <t>When Pollenbright Druid enters, choose one — Put a +1/+1 counter on target creature; or proliferate.</t>
  </si>
  <si>
    <t>Defender. When Wall of Omens enters, draw a card.</t>
  </si>
  <si>
    <t>Vine Trellis</t>
  </si>
  <si>
    <t>Defender. {T}: Add {G}.</t>
  </si>
  <si>
    <t>Defender. Put a -0/-1 counter on Wall of Roots: Add {G}. Activate only once each turn.</t>
  </si>
  <si>
    <t>Defender. {T}, Tap an untapped creature you control: Add one mana of any color.</t>
  </si>
  <si>
    <t>Flawless Maneuver</t>
  </si>
  <si>
    <t>If you control a commander, you may cast this spell without paying its mana cost. Creatures you control gain indestructible until end of turn.</t>
  </si>
  <si>
    <t>Lightning Bolt</t>
  </si>
  <si>
    <t>Lightning Bolt deals 3 damage to any target.</t>
  </si>
  <si>
    <t>Goblin Cratermaker</t>
  </si>
  <si>
    <t>{1}, Sacrifice Goblin Cratermaker: Choose one — It deals 2 damage to target creature; or destroy target colorless nonland permanent.</t>
  </si>
  <si>
    <t>Latchkey Faerie</t>
  </si>
  <si>
    <t>Prowl {2}{U}. Flying. When Latchkey Faerie enters, if its prowl cost was paid, draw a card.</t>
  </si>
  <si>
    <t>Ravenous Chupacabra</t>
  </si>
  <si>
    <t>When Ravenous Chupacabra enters, destroy target creature an opponent controls.</t>
  </si>
  <si>
    <t>Elvish Mystic</t>
  </si>
  <si>
    <t>{T}: Add {G}.</t>
  </si>
  <si>
    <t>Fyndhorn Elves</t>
  </si>
  <si>
    <t>Fact or Fiction</t>
  </si>
  <si>
    <t>Reveal the top five cards of your library. An opponent separates those cards into two piles. Put one pile into your hand and the other into your graveyard.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</si>
</sst>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0"/>
    <numFmt numFmtId="166" formatCode="\$#,##0"/>
  </numFmts>
  <fonts count="14">
    <font>
      <sz val="11"/>
      <color theme="1"/>
      <name val="Calibri"/>
      <family val="2"/>
      <charset val="1"/>
    </font>
    <font>
      <b/>
      <sz val="11"/>
      <color theme="1"/>
      <name val="Calibri"/>
      <family val="2"/>
    </font>
    <font>
      <b/>
      <sz val="10"/>
      <color rgb="FFFFFFFF"/>
      <name val="Satoshi"/>
    </font>
    <font>
      <b/>
      <sz val="10"/>
      <color theme="1"/>
      <name val="Satoshi"/>
    </font>
    <font>
      <sz val="10"/>
      <name val="Satoshi"/>
    </font>
    <font>
      <sz val="10"/>
      <color theme="1"/>
      <name val="Satoshi"/>
    </font>
    <font>
      <sz val="10"/>
      <color rgb="FF9A9A9A"/>
      <name val="Satoshi"/>
    </font>
    <font>
      <b/>
      <sz val="10"/>
      <name val="Satoshi"/>
    </font>
    <font>
      <b/>
      <sz val="10"/>
      <color rgb="FF1B5E20"/>
      <name val="Satoshi"/>
    </font>
    <font>
      <sz val="11"/>
      <color theme="1"/>
      <name val="Calibri"/>
      <family val="2"/>
    </font>
    <font>
      <b/>
      <sz val="10"/>
      <color theme="0"/>
      <name val="Satoshi"/>
    </font>
    <font>
      <b/>
      <sz val="14"/>
      <color theme="1"/>
      <name val="Calibri"/>
      <family val="2"/>
    </font>
    <font>
      <sz val="11"/>
      <color theme="1"/>
      <name val="Calibri"/>
      <family val="2"/>
      <charset val="1"/>
    </font>
    <font>
      <b/>
      <sz val="11"/>
      <name val="Calibri"/>
    </font>
  </fonts>
  <fills count="33">
    <fill>
      <patternFill patternType="none"/>
    </fill>
    <fill>
      <patternFill patternType="gray125"/>
    </fill>
    <fill>
      <patternFill patternType="solid">
        <fgColor theme="3" tint="0.59999389629810485"/>
        <bgColor indexed="64"/>
      </patternFill>
    </fill>
    <fill>
      <patternFill patternType="solid">
        <fgColor theme="6"/>
        <bgColor indexed="64"/>
      </patternFill>
    </fill>
    <fill>
      <patternFill patternType="solid">
        <fgColor rgb="FF1F4E78"/>
        <bgColor rgb="FF2E5E4E"/>
      </patternFill>
    </fill>
    <fill>
      <patternFill patternType="solid">
        <fgColor rgb="FF00B050"/>
        <bgColor rgb="FF2E5E4E"/>
      </patternFill>
    </fill>
    <fill>
      <patternFill patternType="solid">
        <fgColor theme="2" tint="-0.499984740745262"/>
        <bgColor rgb="FF2E5E4E"/>
      </patternFill>
    </fill>
    <fill>
      <patternFill patternType="solid">
        <fgColor rgb="FF7030A0"/>
        <bgColor rgb="FF2E5E4E"/>
      </patternFill>
    </fill>
    <fill>
      <patternFill patternType="solid">
        <fgColor rgb="FFE2EFDA"/>
      </patternFill>
    </fill>
    <fill>
      <patternFill patternType="solid">
        <fgColor theme="7"/>
        <bgColor rgb="FF2E5E4E"/>
      </patternFill>
    </fill>
    <fill>
      <patternFill patternType="solid">
        <fgColor rgb="FFFFC000"/>
        <bgColor indexed="64"/>
      </patternFill>
    </fill>
    <fill>
      <patternFill patternType="solid">
        <fgColor theme="7" tint="0.79998168889431442"/>
        <bgColor indexed="64"/>
      </patternFill>
    </fill>
    <fill>
      <patternFill patternType="solid">
        <fgColor rgb="FF00B0F0"/>
        <bgColor indexed="64"/>
      </patternFill>
    </fill>
    <fill>
      <patternFill patternType="solid">
        <fgColor theme="6" tint="0.39997558519241921"/>
        <bgColor rgb="FF2E5E4E"/>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7" tint="0.39997558519241921"/>
        <bgColor rgb="FF2E5E4E"/>
      </patternFill>
    </fill>
    <fill>
      <patternFill patternType="solid">
        <fgColor theme="3" tint="0.39997558519241921"/>
        <bgColor rgb="FF2E5E4E"/>
      </patternFill>
    </fill>
    <fill>
      <patternFill patternType="solid">
        <fgColor theme="4" tint="0.59999389629810485"/>
        <bgColor rgb="FF2E5E4E"/>
      </patternFill>
    </fill>
    <fill>
      <patternFill patternType="solid">
        <fgColor theme="6" tint="-0.249977111117893"/>
        <bgColor rgb="FF2E5E4E"/>
      </patternFill>
    </fill>
    <fill>
      <patternFill patternType="solid">
        <fgColor rgb="FFFFFF00"/>
        <bgColor indexed="64"/>
      </patternFill>
    </fill>
    <fill>
      <patternFill patternType="solid">
        <fgColor rgb="FF1DFF83"/>
        <bgColor rgb="FF2E5E4E"/>
      </patternFill>
    </fill>
    <fill>
      <patternFill patternType="solid">
        <fgColor rgb="FF0070C0"/>
        <bgColor indexed="64"/>
      </patternFill>
    </fill>
    <fill>
      <patternFill patternType="solid">
        <fgColor rgb="FFAFEAFF"/>
        <bgColor indexed="64"/>
      </patternFill>
    </fill>
    <fill>
      <patternFill patternType="solid">
        <fgColor rgb="FFCCC0DA"/>
        <bgColor indexed="64"/>
      </patternFill>
    </fill>
    <fill>
      <patternFill patternType="solid">
        <fgColor rgb="FFFCD8BA"/>
        <bgColor indexed="64"/>
      </patternFill>
    </fill>
    <fill>
      <patternFill patternType="solid">
        <fgColor theme="3" tint="0.79998168889431442"/>
        <bgColor indexed="64"/>
      </patternFill>
    </fill>
    <fill>
      <patternFill patternType="solid">
        <fgColor rgb="FFAFEAFF"/>
      </patternFill>
    </fill>
    <fill>
      <patternFill patternType="solid">
        <fgColor rgb="FFCCC0DA"/>
      </patternFill>
    </fill>
    <fill>
      <patternFill patternType="solid">
        <fgColor rgb="FFFCD8BA"/>
      </patternFill>
    </fill>
    <fill>
      <patternFill patternType="solid"/>
    </fill>
  </fills>
  <borders count="20">
    <border>
      <left/>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style="thin">
        <color rgb="FFD9D9D9"/>
      </right>
      <top/>
      <bottom/>
      <diagonal/>
    </border>
    <border>
      <left style="thin">
        <color rgb="FFD3D8DE"/>
      </left>
      <right style="thin">
        <color rgb="FFD3D8DE"/>
      </right>
      <top style="thin">
        <color rgb="FFD3D8DE"/>
      </top>
      <bottom style="thin">
        <color rgb="FFD3D8DE"/>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rgb="FFD3D8DE"/>
      </left>
      <right style="thin">
        <color rgb="FFD3D8DE"/>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D3D8DE"/>
      </left>
      <right style="thin">
        <color rgb="FFD3D8DE"/>
      </right>
      <top style="thin">
        <color rgb="FFD3D8DE"/>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s>
  <cellStyleXfs count="2">
    <xf numFmtId="0" fontId="0" fillId="0" borderId="0"/>
    <xf numFmtId="44" fontId="12" fillId="0" borderId="0"/>
  </cellStyleXfs>
  <cellXfs count="141">
    <xf numFmtId="0" fontId="0" fillId="0" borderId="0" xfId="0"/>
    <xf numFmtId="0" fontId="0" fillId="0" borderId="0" xfId="0" applyAlignment="1">
      <alignment horizontal="center"/>
    </xf>
    <xf numFmtId="0" fontId="0" fillId="11" borderId="0" xfId="0" applyFill="1"/>
    <xf numFmtId="0" fontId="1" fillId="12" borderId="1" xfId="0" applyFont="1" applyFill="1" applyBorder="1"/>
    <xf numFmtId="0" fontId="0" fillId="12" borderId="0" xfId="0" applyFill="1"/>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1" fillId="15" borderId="1" xfId="0" applyFont="1" applyFill="1" applyBorder="1"/>
    <xf numFmtId="0" fontId="0" fillId="15" borderId="0" xfId="0" applyFill="1"/>
    <xf numFmtId="0" fontId="9" fillId="2" borderId="1" xfId="0" applyFont="1" applyFill="1" applyBorder="1" applyAlignment="1">
      <alignment horizontal="center"/>
    </xf>
    <xf numFmtId="0" fontId="9" fillId="3" borderId="0" xfId="0" applyFont="1" applyFill="1" applyAlignment="1">
      <alignment horizontal="center"/>
    </xf>
    <xf numFmtId="0" fontId="9" fillId="14" borderId="0" xfId="0" applyFont="1" applyFill="1" applyAlignment="1">
      <alignment horizontal="center"/>
    </xf>
    <xf numFmtId="0" fontId="9" fillId="16" borderId="0" xfId="0" applyFont="1" applyFill="1" applyAlignment="1">
      <alignment horizontal="center"/>
    </xf>
    <xf numFmtId="0" fontId="9" fillId="17" borderId="1" xfId="0" applyFont="1" applyFill="1" applyBorder="1" applyAlignment="1">
      <alignment horizontal="center"/>
    </xf>
    <xf numFmtId="0" fontId="9" fillId="11" borderId="0" xfId="0" applyFont="1" applyFill="1" applyAlignment="1">
      <alignment horizontal="center"/>
    </xf>
    <xf numFmtId="0" fontId="1" fillId="0" borderId="0" xfId="0" applyFont="1" applyAlignment="1">
      <alignment horizontal="center"/>
    </xf>
    <xf numFmtId="0" fontId="1" fillId="2" borderId="0" xfId="0" applyFont="1" applyFill="1"/>
    <xf numFmtId="0" fontId="1" fillId="16" borderId="0" xfId="0" applyFont="1" applyFill="1"/>
    <xf numFmtId="0" fontId="1" fillId="11" borderId="0" xfId="0" applyFont="1" applyFill="1" applyAlignment="1">
      <alignment horizontal="center"/>
    </xf>
    <xf numFmtId="0" fontId="1" fillId="14" borderId="0" xfId="0" applyFont="1" applyFill="1" applyAlignment="1">
      <alignment horizontal="center"/>
    </xf>
    <xf numFmtId="0" fontId="1" fillId="16" borderId="0" xfId="0" applyFont="1" applyFill="1" applyAlignment="1">
      <alignment horizontal="center"/>
    </xf>
    <xf numFmtId="0" fontId="1" fillId="10" borderId="0" xfId="0" applyFont="1" applyFill="1" applyAlignment="1">
      <alignment horizontal="center"/>
    </xf>
    <xf numFmtId="0" fontId="1" fillId="17" borderId="1" xfId="0" applyFont="1" applyFill="1" applyBorder="1" applyAlignment="1">
      <alignment horizontal="center"/>
    </xf>
    <xf numFmtId="0" fontId="2" fillId="4" borderId="2"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2" fillId="19" borderId="3" xfId="0" applyFont="1" applyFill="1" applyBorder="1" applyAlignment="1">
      <alignment horizontal="center" vertical="center" wrapText="1"/>
    </xf>
    <xf numFmtId="0" fontId="7" fillId="18"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7" fillId="20" borderId="2"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5" fillId="0" borderId="2" xfId="0" applyFont="1" applyBorder="1" applyAlignment="1">
      <alignment vertical="center"/>
    </xf>
    <xf numFmtId="0" fontId="5" fillId="0" borderId="2" xfId="0" applyFont="1" applyBorder="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4" fillId="0" borderId="2" xfId="0" applyFont="1" applyBorder="1" applyAlignment="1">
      <alignment horizontal="center" vertical="center" wrapText="1"/>
    </xf>
    <xf numFmtId="164" fontId="5" fillId="0" borderId="2" xfId="0" applyNumberFormat="1" applyFont="1" applyBorder="1" applyAlignment="1">
      <alignment vertical="center"/>
    </xf>
    <xf numFmtId="165" fontId="4" fillId="0" borderId="2" xfId="0" applyNumberFormat="1" applyFont="1" applyBorder="1" applyAlignment="1">
      <alignmen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4" fillId="0" borderId="11"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5" fillId="0" borderId="5" xfId="0" applyFont="1" applyBorder="1" applyAlignment="1">
      <alignment vertical="center" wrapText="1"/>
    </xf>
    <xf numFmtId="0" fontId="4" fillId="0" borderId="0" xfId="0" applyFont="1" applyAlignment="1">
      <alignment vertical="center" wrapText="1"/>
    </xf>
    <xf numFmtId="0" fontId="6" fillId="0" borderId="0" xfId="0" applyFont="1" applyAlignment="1">
      <alignment vertical="center" wrapText="1"/>
    </xf>
    <xf numFmtId="0" fontId="5" fillId="0" borderId="2" xfId="0" applyFont="1" applyBorder="1" applyAlignment="1">
      <alignment horizontal="left" vertical="center" wrapText="1"/>
    </xf>
    <xf numFmtId="0" fontId="8" fillId="8" borderId="0" xfId="0" applyFont="1" applyFill="1" applyAlignment="1">
      <alignment vertical="center" wrapText="1"/>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4" fillId="0" borderId="0" xfId="0" applyFont="1" applyAlignment="1">
      <alignment horizontal="left" vertical="center" wrapText="1"/>
    </xf>
    <xf numFmtId="165" fontId="4" fillId="0" borderId="0" xfId="0" applyNumberFormat="1" applyFont="1" applyAlignment="1">
      <alignment vertical="center" wrapText="1"/>
    </xf>
    <xf numFmtId="165" fontId="4" fillId="0" borderId="3" xfId="0" applyNumberFormat="1" applyFont="1" applyBorder="1" applyAlignment="1">
      <alignment vertical="center"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0" fillId="0" borderId="0" xfId="0" applyAlignment="1">
      <alignment horizontal="center" vertical="center"/>
    </xf>
    <xf numFmtId="0" fontId="5" fillId="0" borderId="3" xfId="0" applyFont="1" applyBorder="1" applyAlignment="1">
      <alignment vertical="center"/>
    </xf>
    <xf numFmtId="0" fontId="5" fillId="0" borderId="3" xfId="0" applyFont="1" applyBorder="1" applyAlignment="1">
      <alignment horizontal="center" vertical="center"/>
    </xf>
    <xf numFmtId="164" fontId="5" fillId="0" borderId="0" xfId="0" applyNumberFormat="1" applyFont="1" applyAlignment="1">
      <alignment vertical="center"/>
    </xf>
    <xf numFmtId="0" fontId="10" fillId="21" borderId="2" xfId="0" applyFont="1" applyFill="1"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1" fillId="16" borderId="0" xfId="0" applyFont="1" applyFill="1" applyAlignment="1">
      <alignment horizontal="left" vertical="top" wrapText="1"/>
    </xf>
    <xf numFmtId="166" fontId="0" fillId="11" borderId="0" xfId="0" applyNumberFormat="1" applyFill="1"/>
    <xf numFmtId="0" fontId="2" fillId="23" borderId="11" xfId="0" applyFont="1" applyFill="1" applyBorder="1" applyAlignment="1">
      <alignment horizontal="center" vertical="center" wrapText="1"/>
    </xf>
    <xf numFmtId="0" fontId="0" fillId="0" borderId="5" xfId="0" applyBorder="1" applyAlignment="1">
      <alignment vertical="top"/>
    </xf>
    <xf numFmtId="0" fontId="5" fillId="22" borderId="0" xfId="0" applyFont="1" applyFill="1" applyAlignment="1">
      <alignment horizontal="center" vertical="center" wrapText="1"/>
    </xf>
    <xf numFmtId="0" fontId="4" fillId="0" borderId="0" xfId="0" applyFont="1" applyAlignment="1">
      <alignment vertical="center"/>
    </xf>
    <xf numFmtId="0" fontId="1" fillId="0" borderId="0" xfId="0" applyFont="1"/>
    <xf numFmtId="0" fontId="1" fillId="0" borderId="0" xfId="0" applyFont="1" applyAlignment="1">
      <alignment horizontal="right"/>
    </xf>
    <xf numFmtId="0" fontId="5" fillId="0" borderId="0" xfId="0" applyFont="1"/>
    <xf numFmtId="0" fontId="3" fillId="0" borderId="0" xfId="0" applyFont="1" applyAlignment="1">
      <alignment horizontal="center" vertical="center"/>
    </xf>
    <xf numFmtId="0" fontId="11" fillId="0" borderId="0" xfId="0" applyFont="1"/>
    <xf numFmtId="0" fontId="11" fillId="0" borderId="0" xfId="0" applyFont="1" applyAlignment="1">
      <alignment vertical="top"/>
    </xf>
    <xf numFmtId="0" fontId="0" fillId="25" borderId="0" xfId="0" applyFill="1"/>
    <xf numFmtId="0" fontId="0" fillId="26" borderId="0" xfId="0" applyFill="1"/>
    <xf numFmtId="0" fontId="0" fillId="27" borderId="0" xfId="0" applyFill="1"/>
    <xf numFmtId="0" fontId="1" fillId="0" borderId="12" xfId="0" applyFont="1" applyBorder="1" applyAlignment="1">
      <alignment horizontal="center" vertical="top"/>
    </xf>
    <xf numFmtId="0" fontId="1" fillId="0" borderId="14" xfId="0" applyFont="1" applyBorder="1" applyAlignment="1">
      <alignment horizontal="center" vertical="top"/>
    </xf>
    <xf numFmtId="0" fontId="1" fillId="0" borderId="13" xfId="0" applyFont="1" applyBorder="1" applyAlignment="1">
      <alignment horizontal="right"/>
    </xf>
    <xf numFmtId="0" fontId="1" fillId="12" borderId="13" xfId="0" applyFont="1" applyFill="1" applyBorder="1" applyAlignment="1">
      <alignment horizontal="center" vertical="center"/>
    </xf>
    <xf numFmtId="0" fontId="1" fillId="28" borderId="13" xfId="0" applyFont="1" applyFill="1" applyBorder="1" applyAlignment="1">
      <alignment horizontal="right"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0" fillId="0" borderId="13" xfId="0" applyBorder="1" applyAlignment="1">
      <alignment vertical="top" wrapText="1"/>
    </xf>
    <xf numFmtId="0" fontId="5" fillId="30" borderId="16" xfId="0" applyFont="1" applyFill="1" applyBorder="1" applyAlignment="1">
      <alignment horizontal="center" vertical="center"/>
    </xf>
    <xf numFmtId="0" fontId="5" fillId="29" borderId="0" xfId="0" applyFont="1" applyFill="1" applyAlignment="1">
      <alignment horizontal="center" vertical="center"/>
    </xf>
    <xf numFmtId="0" fontId="5" fillId="30" borderId="0" xfId="0" applyFont="1" applyFill="1" applyAlignment="1">
      <alignment horizontal="center" vertical="center"/>
    </xf>
    <xf numFmtId="0" fontId="5" fillId="31" borderId="0" xfId="0" applyFont="1" applyFill="1" applyAlignment="1">
      <alignment horizontal="center" vertical="center"/>
    </xf>
    <xf numFmtId="0" fontId="5" fillId="29" borderId="16" xfId="0" applyFont="1" applyFill="1" applyBorder="1" applyAlignment="1">
      <alignment horizontal="center" vertical="center"/>
    </xf>
    <xf numFmtId="0" fontId="5" fillId="31" borderId="16" xfId="0" applyFont="1" applyFill="1" applyBorder="1" applyAlignment="1">
      <alignment horizontal="center" vertical="center"/>
    </xf>
    <xf numFmtId="0" fontId="5" fillId="29" borderId="15" xfId="0" applyFont="1" applyFill="1" applyBorder="1" applyAlignment="1">
      <alignment horizontal="center" vertical="center"/>
    </xf>
    <xf numFmtId="0" fontId="5" fillId="30" borderId="15" xfId="0" applyFont="1" applyFill="1" applyBorder="1" applyAlignment="1">
      <alignment horizontal="center" vertical="center"/>
    </xf>
    <xf numFmtId="0" fontId="5" fillId="31" borderId="15" xfId="0" applyFont="1" applyFill="1" applyBorder="1" applyAlignment="1">
      <alignment horizontal="center" vertical="center"/>
    </xf>
    <xf numFmtId="164" fontId="5" fillId="0" borderId="0" xfId="0" applyNumberFormat="1" applyFont="1"/>
    <xf numFmtId="0" fontId="0" fillId="29" borderId="0" xfId="0" applyFill="1" applyAlignment="1">
      <alignment horizontal="center" vertical="center"/>
    </xf>
    <xf numFmtId="0" fontId="4" fillId="0" borderId="4" xfId="0" applyFont="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164" fontId="5" fillId="0" borderId="0" xfId="1" applyNumberFormat="1" applyFont="1" applyAlignment="1">
      <alignment horizontal="right" vertical="top" wrapText="1"/>
    </xf>
    <xf numFmtId="164" fontId="5" fillId="0" borderId="0" xfId="0" applyNumberFormat="1" applyFont="1" applyAlignment="1">
      <alignment horizontal="right" vertical="top" wrapText="1"/>
    </xf>
    <xf numFmtId="0" fontId="13" fillId="24" borderId="0" xfId="0" applyFont="1" applyFill="1" applyAlignment="1">
      <alignment horizontal="center" vertical="center"/>
    </xf>
    <xf numFmtId="0" fontId="13" fillId="0" borderId="0" xfId="0" applyFont="1"/>
    <xf numFmtId="0" fontId="4" fillId="0" borderId="15" xfId="0" applyFont="1" applyBorder="1" applyAlignment="1">
      <alignment horizontal="center" vertical="center" wrapText="1"/>
    </xf>
    <xf numFmtId="0" fontId="5"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6" fillId="0" borderId="5" xfId="0" applyFont="1" applyBorder="1" applyAlignment="1">
      <alignment vertical="center" wrapText="1"/>
    </xf>
    <xf numFmtId="0" fontId="5" fillId="0" borderId="4" xfId="0" applyFont="1" applyBorder="1" applyAlignment="1">
      <alignment vertical="center"/>
    </xf>
    <xf numFmtId="0" fontId="5" fillId="32" borderId="0" xfId="0" applyFont="1" applyFill="1" applyAlignment="1">
      <alignment horizontal="center" vertical="center"/>
    </xf>
    <xf numFmtId="0" fontId="5" fillId="32" borderId="15" xfId="0" applyFont="1" applyFill="1" applyBorder="1" applyAlignment="1">
      <alignment horizontal="center" vertical="center"/>
    </xf>
    <xf numFmtId="0" fontId="9" fillId="2" borderId="1" xfId="0" applyFont="1" applyFill="1" applyBorder="1" applyAlignment="1">
      <alignment horizontal="center"/>
    </xf>
    <xf numFmtId="0" fontId="0" fillId="0" borderId="1" xfId="0" applyBorder="1"/>
    <xf numFmtId="0" fontId="1" fillId="3" borderId="0" xfId="0" applyFont="1" applyFill="1" applyAlignment="1">
      <alignment horizontal="center"/>
    </xf>
    <xf numFmtId="0" fontId="0" fillId="0" borderId="0" xfId="0"/>
    <xf numFmtId="0" fontId="4" fillId="0" borderId="0" xfId="0" applyFont="1" applyBorder="1" applyAlignment="1">
      <alignment vertical="center" wrapText="1"/>
    </xf>
    <xf numFmtId="0" fontId="5" fillId="0" borderId="0" xfId="0" applyFont="1" applyBorder="1" applyAlignment="1">
      <alignment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vertical="center"/>
    </xf>
    <xf numFmtId="0" fontId="5" fillId="0" borderId="0" xfId="0" applyFont="1" applyBorder="1" applyAlignment="1">
      <alignment horizontal="center" vertical="center" wrapText="1"/>
    </xf>
    <xf numFmtId="0" fontId="5" fillId="0" borderId="0" xfId="0" applyFont="1" applyBorder="1" applyAlignment="1">
      <alignment vertical="center"/>
    </xf>
    <xf numFmtId="0" fontId="4" fillId="0" borderId="0" xfId="0" applyFont="1" applyBorder="1" applyAlignment="1">
      <alignment horizontal="left" vertical="center" wrapText="1"/>
    </xf>
    <xf numFmtId="165" fontId="4" fillId="0" borderId="0" xfId="0" applyNumberFormat="1" applyFont="1" applyBorder="1" applyAlignment="1">
      <alignment vertical="center" wrapText="1"/>
    </xf>
    <xf numFmtId="0" fontId="5" fillId="31" borderId="0" xfId="0" applyFont="1" applyFill="1" applyBorder="1" applyAlignment="1">
      <alignment horizontal="center" vertical="center"/>
    </xf>
    <xf numFmtId="0" fontId="6" fillId="0" borderId="0" xfId="0" applyFont="1" applyBorder="1" applyAlignment="1">
      <alignment vertical="center" wrapText="1"/>
    </xf>
    <xf numFmtId="0" fontId="5" fillId="0" borderId="5" xfId="0" applyFont="1" applyBorder="1" applyAlignment="1">
      <alignment vertical="center"/>
    </xf>
    <xf numFmtId="0" fontId="5" fillId="0" borderId="4" xfId="0" applyFont="1" applyBorder="1" applyAlignment="1">
      <alignment vertical="center" wrapText="1"/>
    </xf>
    <xf numFmtId="164" fontId="5" fillId="0" borderId="0" xfId="0" applyNumberFormat="1" applyFont="1" applyBorder="1" applyAlignment="1">
      <alignment vertical="center"/>
    </xf>
    <xf numFmtId="0" fontId="5" fillId="30" borderId="0" xfId="0" applyFont="1" applyFill="1" applyBorder="1" applyAlignment="1">
      <alignment horizontal="center" vertical="center"/>
    </xf>
    <xf numFmtId="0" fontId="5" fillId="29" borderId="0" xfId="0" applyFont="1" applyFill="1" applyBorder="1" applyAlignment="1">
      <alignment horizontal="center" vertical="center"/>
    </xf>
    <xf numFmtId="0" fontId="8" fillId="8" borderId="0" xfId="0" applyFont="1" applyFill="1" applyBorder="1" applyAlignment="1">
      <alignment vertical="center" wrapText="1"/>
    </xf>
  </cellXfs>
  <cellStyles count="2">
    <cellStyle name="Currency" xfId="1" builtinId="4"/>
    <cellStyle name="Normal" xfId="0" builtinId="0"/>
  </cellStyles>
  <dxfs count="15">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2DCDB"/>
          <bgColor rgb="FF000000"/>
        </patternFill>
      </fill>
    </dxf>
    <dxf>
      <fill>
        <patternFill patternType="solid">
          <fgColor rgb="FFFCD8BA"/>
          <bgColor rgb="FFFFFFFF"/>
        </patternFill>
      </fill>
    </dxf>
    <dxf>
      <fill>
        <patternFill>
          <bgColor theme="5" tint="0.79998168889431442"/>
        </patternFill>
      </fill>
    </dxf>
    <dxf>
      <fill>
        <patternFill>
          <bgColor rgb="FF92D050"/>
        </patternFill>
      </fill>
    </dxf>
    <dxf>
      <fill>
        <patternFill>
          <bgColor theme="3" tint="0.59996337778862885"/>
        </patternFill>
      </fill>
    </dxf>
    <dxf>
      <fill>
        <patternFill patternType="solid">
          <fgColor rgb="FFAFEA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workbookViewId="0">
      <selection sqref="A1:XFD1"/>
    </sheetView>
  </sheetViews>
  <sheetFormatPr defaultRowHeight="14.4"/>
  <cols>
    <col min="1" max="1" width="20" customWidth="1"/>
    <col min="2" max="8" width="46" customWidth="1"/>
  </cols>
  <sheetData>
    <row r="1" spans="1:8">
      <c r="A1" s="77" t="s">
        <v>3790</v>
      </c>
      <c r="B1" s="86" t="s">
        <v>3791</v>
      </c>
      <c r="C1" s="86" t="s">
        <v>3792</v>
      </c>
      <c r="D1" s="86" t="s">
        <v>3793</v>
      </c>
      <c r="E1" s="86" t="s">
        <v>3794</v>
      </c>
      <c r="F1" s="86" t="s">
        <v>3795</v>
      </c>
      <c r="G1" s="86" t="s">
        <v>3796</v>
      </c>
      <c r="H1" s="85" t="s">
        <v>3797</v>
      </c>
    </row>
    <row r="2" spans="1:8">
      <c r="A2" s="87" t="s">
        <v>402</v>
      </c>
      <c r="B2" s="88" t="s">
        <v>2282</v>
      </c>
      <c r="C2" s="88" t="s">
        <v>2031</v>
      </c>
      <c r="D2" s="88" t="s">
        <v>1963</v>
      </c>
      <c r="E2" s="88" t="s">
        <v>2119</v>
      </c>
      <c r="F2" s="88" t="s">
        <v>399</v>
      </c>
      <c r="G2" s="88" t="s">
        <v>2776</v>
      </c>
      <c r="H2" s="88" t="s">
        <v>2203</v>
      </c>
    </row>
    <row r="3" spans="1:8" ht="108" customHeight="1">
      <c r="A3" s="89" t="s">
        <v>3798</v>
      </c>
      <c r="B3" s="95" t="s">
        <v>3799</v>
      </c>
      <c r="C3" s="95" t="s">
        <v>3800</v>
      </c>
      <c r="D3" s="95" t="s">
        <v>3801</v>
      </c>
      <c r="E3" s="95" t="s">
        <v>3802</v>
      </c>
      <c r="F3" s="95" t="s">
        <v>3803</v>
      </c>
      <c r="G3" s="95" t="s">
        <v>3804</v>
      </c>
      <c r="H3" s="95" t="s">
        <v>3805</v>
      </c>
    </row>
    <row r="4" spans="1:8" ht="108" customHeight="1">
      <c r="A4" s="89" t="s">
        <v>3806</v>
      </c>
      <c r="B4" s="95" t="s">
        <v>3807</v>
      </c>
      <c r="C4" s="95" t="s">
        <v>3808</v>
      </c>
      <c r="D4" s="95" t="s">
        <v>3809</v>
      </c>
      <c r="E4" s="95" t="s">
        <v>3810</v>
      </c>
      <c r="F4" s="95" t="s">
        <v>3811</v>
      </c>
      <c r="G4" s="95" t="s">
        <v>3812</v>
      </c>
      <c r="H4" s="95" t="s">
        <v>3813</v>
      </c>
    </row>
    <row r="5" spans="1:8" ht="108" customHeight="1">
      <c r="A5" s="89" t="s">
        <v>3814</v>
      </c>
      <c r="B5" s="95" t="s">
        <v>3815</v>
      </c>
      <c r="C5" s="95" t="s">
        <v>3816</v>
      </c>
      <c r="D5" s="95" t="s">
        <v>3817</v>
      </c>
      <c r="E5" s="95" t="s">
        <v>3818</v>
      </c>
      <c r="F5" s="95" t="s">
        <v>3819</v>
      </c>
      <c r="G5" s="95" t="s">
        <v>3820</v>
      </c>
      <c r="H5" s="95" t="s">
        <v>3821</v>
      </c>
    </row>
    <row r="6" spans="1:8" ht="108" customHeight="1">
      <c r="A6" s="89" t="s">
        <v>3822</v>
      </c>
      <c r="B6" s="95" t="s">
        <v>3823</v>
      </c>
      <c r="C6" s="95" t="s">
        <v>3824</v>
      </c>
      <c r="D6" s="95" t="s">
        <v>3825</v>
      </c>
      <c r="E6" s="95" t="s">
        <v>3826</v>
      </c>
      <c r="F6" s="95" t="s">
        <v>3827</v>
      </c>
      <c r="G6" s="95" t="s">
        <v>3828</v>
      </c>
      <c r="H6" s="95" t="s">
        <v>3829</v>
      </c>
    </row>
    <row r="7" spans="1:8" ht="108" customHeight="1">
      <c r="A7" s="89" t="s">
        <v>3830</v>
      </c>
      <c r="B7" s="95" t="s">
        <v>3831</v>
      </c>
      <c r="C7" s="95" t="s">
        <v>3832</v>
      </c>
      <c r="D7" s="95" t="s">
        <v>3833</v>
      </c>
      <c r="E7" s="95" t="s">
        <v>3834</v>
      </c>
      <c r="F7" s="95" t="s">
        <v>3835</v>
      </c>
      <c r="G7" s="95" t="s">
        <v>3836</v>
      </c>
      <c r="H7" s="95" t="s">
        <v>3837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election activeCell="A14" sqref="A14"/>
    </sheetView>
  </sheetViews>
  <sheetFormatPr defaultRowHeight="14.4"/>
  <cols>
    <col min="2" max="2" width="27.5546875" customWidth="1"/>
  </cols>
  <sheetData>
    <row r="1" spans="1:3">
      <c r="A1" s="76" t="s">
        <v>3838</v>
      </c>
    </row>
    <row r="2" spans="1:3">
      <c r="A2" t="s">
        <v>3839</v>
      </c>
    </row>
    <row r="4" spans="1:3" ht="18.75" customHeight="1">
      <c r="A4" s="80" t="s">
        <v>3840</v>
      </c>
    </row>
    <row r="5" spans="1:3">
      <c r="A5" s="76" t="s">
        <v>3790</v>
      </c>
      <c r="B5" s="76" t="s">
        <v>3841</v>
      </c>
      <c r="C5" s="76" t="s">
        <v>3842</v>
      </c>
    </row>
    <row r="6" spans="1:3">
      <c r="A6" s="73" t="s">
        <v>3791</v>
      </c>
      <c r="B6" s="73" t="s">
        <v>2282</v>
      </c>
    </row>
    <row r="7" spans="1:3">
      <c r="A7" s="73" t="s">
        <v>3792</v>
      </c>
      <c r="B7" s="73" t="s">
        <v>2031</v>
      </c>
    </row>
    <row r="8" spans="1:3">
      <c r="A8" s="73" t="s">
        <v>3793</v>
      </c>
      <c r="B8" s="73" t="s">
        <v>1963</v>
      </c>
    </row>
    <row r="9" spans="1:3">
      <c r="A9" s="73" t="s">
        <v>3794</v>
      </c>
      <c r="B9" s="73" t="s">
        <v>2119</v>
      </c>
    </row>
    <row r="10" spans="1:3">
      <c r="A10" s="73" t="s">
        <v>3795</v>
      </c>
      <c r="B10" s="73" t="s">
        <v>399</v>
      </c>
    </row>
    <row r="11" spans="1:3">
      <c r="A11" s="73" t="s">
        <v>3796</v>
      </c>
      <c r="B11" s="73" t="s">
        <v>2776</v>
      </c>
    </row>
    <row r="14" spans="1:3" ht="18.75" customHeight="1">
      <c r="A14" s="81" t="s">
        <v>3843</v>
      </c>
    </row>
    <row r="15" spans="1:3">
      <c r="A15" s="82" t="s">
        <v>3844</v>
      </c>
      <c r="B15" t="s">
        <v>3845</v>
      </c>
    </row>
    <row r="16" spans="1:3">
      <c r="A16" s="83" t="s">
        <v>3846</v>
      </c>
      <c r="B16" t="s">
        <v>3847</v>
      </c>
    </row>
    <row r="17" spans="1:2">
      <c r="A17" s="84" t="s">
        <v>3848</v>
      </c>
      <c r="B17" t="s">
        <v>3849</v>
      </c>
    </row>
    <row r="21" spans="1:2" ht="18.75" customHeight="1">
      <c r="A21" s="8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outlinePr summaryRight="0"/>
  </sheetPr>
  <dimension ref="A1:BD900"/>
  <sheetViews>
    <sheetView tabSelected="1" workbookViewId="0">
      <pane xSplit="1" ySplit="4" topLeftCell="B20" activePane="bottomRight" state="frozen"/>
      <selection pane="topRight"/>
      <selection pane="bottomLeft"/>
      <selection pane="bottomRight" activeCell="AZ39" sqref="AZ39"/>
    </sheetView>
  </sheetViews>
  <sheetFormatPr defaultColWidth="8.6640625" defaultRowHeight="14.4" outlineLevelCol="1"/>
  <cols>
    <col min="1" max="1" width="29.88671875" customWidth="1"/>
    <col min="2" max="2" width="7.33203125" customWidth="1"/>
    <col min="3" max="3" width="11.109375" customWidth="1" collapsed="1"/>
    <col min="4" max="4" width="18.44140625" hidden="1" customWidth="1" outlineLevel="1"/>
    <col min="5" max="5" width="20" hidden="1" customWidth="1" outlineLevel="1"/>
    <col min="6" max="6" width="7.33203125" hidden="1" customWidth="1" outlineLevel="1"/>
    <col min="7" max="7" width="80" hidden="1" customWidth="1" outlineLevel="1"/>
    <col min="8" max="11" width="25" hidden="1" customWidth="1" outlineLevel="1"/>
    <col min="12" max="12" width="12.6640625" customWidth="1" collapsed="1"/>
    <col min="13" max="14" width="8.6640625" hidden="1" customWidth="1" outlineLevel="1"/>
    <col min="15" max="16" width="12.6640625" style="69" hidden="1" customWidth="1" outlineLevel="1"/>
    <col min="17" max="17" width="12.6640625" hidden="1" customWidth="1" outlineLevel="1"/>
    <col min="18" max="19" width="8.6640625" hidden="1" customWidth="1" outlineLevel="1"/>
    <col min="20" max="21" width="12.6640625" style="69" hidden="1" customWidth="1" outlineLevel="1"/>
    <col min="22" max="22" width="23.88671875" hidden="1" customWidth="1" outlineLevel="1"/>
    <col min="23" max="23" width="8.5546875" style="1" customWidth="1"/>
    <col min="24" max="24" width="7.44140625" customWidth="1" collapsed="1"/>
    <col min="25" max="25" width="7" hidden="1" customWidth="1" outlineLevel="1"/>
    <col min="26" max="26" width="8.5546875" hidden="1" customWidth="1" outlineLevel="1"/>
    <col min="27" max="27" width="7.33203125" hidden="1" customWidth="1" outlineLevel="1"/>
    <col min="28" max="36" width="7.109375" hidden="1" customWidth="1" outlineLevel="1"/>
    <col min="37" max="37" width="7.5546875" customWidth="1"/>
    <col min="38" max="43" width="5" customWidth="1" outlineLevel="1"/>
    <col min="44" max="44" width="5.33203125" customWidth="1" outlineLevel="1"/>
    <col min="45" max="45" width="6.44140625" customWidth="1"/>
    <col min="46" max="52" width="5.6640625" customWidth="1" outlineLevel="1"/>
    <col min="53" max="53" width="7.44140625" customWidth="1"/>
    <col min="54" max="54" width="22.6640625" customWidth="1"/>
    <col min="55" max="55" width="31.6640625" customWidth="1" outlineLevel="1"/>
    <col min="56" max="56" width="26" customWidth="1" outlineLevel="1"/>
  </cols>
  <sheetData>
    <row r="1" spans="1:56" ht="14.4" customHeight="1">
      <c r="B1" s="5"/>
      <c r="AL1" s="79">
        <f t="shared" ref="AL1:AR1" si="0">100-AL2</f>
        <v>0</v>
      </c>
      <c r="AM1" s="79">
        <f t="shared" si="0"/>
        <v>0</v>
      </c>
      <c r="AN1" s="79">
        <f t="shared" si="0"/>
        <v>0</v>
      </c>
      <c r="AO1" s="79">
        <f t="shared" si="0"/>
        <v>0</v>
      </c>
      <c r="AP1" s="79">
        <f t="shared" si="0"/>
        <v>0</v>
      </c>
      <c r="AQ1" s="79">
        <f t="shared" si="0"/>
        <v>0</v>
      </c>
      <c r="AR1" s="79">
        <f t="shared" si="0"/>
        <v>2</v>
      </c>
      <c r="AT1" s="79">
        <f t="shared" ref="AT1:AZ1" si="1">100-AT2</f>
        <v>0</v>
      </c>
      <c r="AU1" s="79">
        <f t="shared" si="1"/>
        <v>0</v>
      </c>
      <c r="AV1" s="79">
        <f t="shared" si="1"/>
        <v>0</v>
      </c>
      <c r="AW1" s="79">
        <f t="shared" si="1"/>
        <v>0</v>
      </c>
      <c r="AX1" s="79">
        <f t="shared" si="1"/>
        <v>0</v>
      </c>
      <c r="AY1" s="79">
        <f t="shared" si="1"/>
        <v>9</v>
      </c>
      <c r="AZ1" s="79">
        <f t="shared" si="1"/>
        <v>2</v>
      </c>
    </row>
    <row r="2" spans="1:56" ht="15.6" customHeight="1">
      <c r="B2" s="6"/>
      <c r="W2" s="1">
        <f>SUM(AS3:BA3)</f>
        <v>1316</v>
      </c>
      <c r="X2" s="18" t="s">
        <v>0</v>
      </c>
      <c r="Y2" s="1"/>
      <c r="Z2" s="1"/>
      <c r="AA2" s="1"/>
      <c r="AB2" s="1"/>
      <c r="AC2" s="1"/>
      <c r="AD2" s="1"/>
      <c r="AE2" s="1"/>
      <c r="AF2" s="1"/>
      <c r="AG2" s="1"/>
      <c r="AH2" s="1"/>
      <c r="AI2" s="1"/>
      <c r="AJ2" s="1"/>
      <c r="AK2" s="19" t="s">
        <v>1</v>
      </c>
      <c r="AL2" s="79">
        <f t="shared" ref="AL2:AR2" si="2">SUM(AL5:AL1000)</f>
        <v>100</v>
      </c>
      <c r="AM2" s="79">
        <f t="shared" si="2"/>
        <v>100</v>
      </c>
      <c r="AN2" s="79">
        <f t="shared" si="2"/>
        <v>100</v>
      </c>
      <c r="AO2" s="79">
        <f t="shared" si="2"/>
        <v>100</v>
      </c>
      <c r="AP2" s="79">
        <f t="shared" si="2"/>
        <v>100</v>
      </c>
      <c r="AQ2" s="79">
        <f t="shared" si="2"/>
        <v>100</v>
      </c>
      <c r="AR2" s="79">
        <f t="shared" si="2"/>
        <v>98</v>
      </c>
      <c r="AS2" s="20" t="s">
        <v>2</v>
      </c>
      <c r="AT2" s="21">
        <f t="shared" ref="AT2:AZ2" si="3">SUM(AT$5:AT$999)</f>
        <v>100</v>
      </c>
      <c r="AU2" s="21">
        <f t="shared" si="3"/>
        <v>100</v>
      </c>
      <c r="AV2" s="21">
        <f t="shared" si="3"/>
        <v>100</v>
      </c>
      <c r="AW2" s="21">
        <f t="shared" si="3"/>
        <v>100</v>
      </c>
      <c r="AX2" s="21">
        <f t="shared" si="3"/>
        <v>100</v>
      </c>
      <c r="AY2" s="21">
        <f t="shared" si="3"/>
        <v>91</v>
      </c>
      <c r="AZ2" s="21">
        <f t="shared" si="3"/>
        <v>98</v>
      </c>
      <c r="BA2" s="22" t="s">
        <v>3</v>
      </c>
    </row>
    <row r="3" spans="1:56" ht="15" customHeight="1">
      <c r="B3" s="6"/>
      <c r="C3" s="16" t="s">
        <v>4</v>
      </c>
      <c r="D3" s="3"/>
      <c r="E3" s="3"/>
      <c r="F3" s="4"/>
      <c r="H3" s="4"/>
      <c r="I3" s="3"/>
      <c r="J3" s="3"/>
      <c r="K3" s="3"/>
      <c r="L3" s="17" t="s">
        <v>5</v>
      </c>
      <c r="M3" s="17"/>
      <c r="N3" s="17"/>
      <c r="O3" s="70"/>
      <c r="P3" s="70"/>
      <c r="Q3" s="17"/>
      <c r="R3" s="17"/>
      <c r="S3" s="17"/>
      <c r="T3" s="70"/>
      <c r="U3" s="70"/>
      <c r="V3" s="17"/>
      <c r="W3" s="15">
        <f>SUM(W5:W999)</f>
        <v>1316</v>
      </c>
      <c r="X3" s="14">
        <f>SUM(X5:X999)</f>
        <v>0</v>
      </c>
      <c r="Y3" s="2"/>
      <c r="Z3" s="2">
        <f>SUM(Z5:Z999)</f>
        <v>25</v>
      </c>
      <c r="AA3" s="71">
        <f>SUM(AA5:AA999)</f>
        <v>1390.2999999999972</v>
      </c>
      <c r="AB3" s="2"/>
      <c r="AC3" s="2"/>
      <c r="AD3" s="2"/>
      <c r="AE3" s="2"/>
      <c r="AF3" s="2"/>
      <c r="AG3" s="2"/>
      <c r="AH3" s="2"/>
      <c r="AI3" s="2"/>
      <c r="AJ3" s="2"/>
      <c r="AK3" s="11">
        <f>SUM(AK5:AK999)</f>
        <v>698</v>
      </c>
      <c r="AL3" s="121" t="s">
        <v>1</v>
      </c>
      <c r="AM3" s="122"/>
      <c r="AN3" s="122"/>
      <c r="AO3" s="122"/>
      <c r="AP3" s="122"/>
      <c r="AQ3" s="9"/>
      <c r="AR3" s="9"/>
      <c r="AS3" s="12">
        <f>SUM(AS5:AS999)</f>
        <v>689</v>
      </c>
      <c r="AT3" s="123" t="s">
        <v>6</v>
      </c>
      <c r="AU3" s="124"/>
      <c r="AV3" s="124"/>
      <c r="AW3" s="124"/>
      <c r="AX3" s="124"/>
      <c r="AY3" s="10"/>
      <c r="AZ3" s="10"/>
      <c r="BA3" s="13">
        <f>SUM(BA5:BA999)</f>
        <v>627</v>
      </c>
      <c r="BB3" s="7" t="s">
        <v>7</v>
      </c>
      <c r="BC3" s="8"/>
      <c r="BD3" s="8"/>
    </row>
    <row r="4" spans="1:56" ht="39.9" customHeight="1">
      <c r="A4" s="23" t="s">
        <v>8</v>
      </c>
      <c r="B4" s="24" t="s">
        <v>9</v>
      </c>
      <c r="C4" s="23" t="s">
        <v>10</v>
      </c>
      <c r="D4" s="25" t="s">
        <v>11</v>
      </c>
      <c r="E4" s="23" t="s">
        <v>12</v>
      </c>
      <c r="F4" s="23" t="s">
        <v>13</v>
      </c>
      <c r="G4" s="23" t="s">
        <v>14</v>
      </c>
      <c r="H4" s="23" t="s">
        <v>15</v>
      </c>
      <c r="I4" s="23" t="s">
        <v>16</v>
      </c>
      <c r="J4" s="23" t="s">
        <v>17</v>
      </c>
      <c r="K4" s="23" t="s">
        <v>18</v>
      </c>
      <c r="L4" s="67" t="s">
        <v>19</v>
      </c>
      <c r="M4" s="67" t="s">
        <v>20</v>
      </c>
      <c r="N4" s="67" t="s">
        <v>21</v>
      </c>
      <c r="O4" s="67" t="s">
        <v>22</v>
      </c>
      <c r="P4" s="67" t="s">
        <v>23</v>
      </c>
      <c r="Q4" s="26" t="s">
        <v>24</v>
      </c>
      <c r="R4" s="26" t="s">
        <v>25</v>
      </c>
      <c r="S4" s="26" t="s">
        <v>26</v>
      </c>
      <c r="T4" s="26" t="s">
        <v>27</v>
      </c>
      <c r="U4" s="26" t="s">
        <v>23</v>
      </c>
      <c r="V4" s="26" t="s">
        <v>28</v>
      </c>
      <c r="W4" s="27" t="s">
        <v>29</v>
      </c>
      <c r="X4" s="28" t="s">
        <v>30</v>
      </c>
      <c r="Y4" s="29" t="s">
        <v>31</v>
      </c>
      <c r="Z4" s="29" t="s">
        <v>32</v>
      </c>
      <c r="AA4" s="29" t="s">
        <v>33</v>
      </c>
      <c r="AB4" s="29" t="s">
        <v>34</v>
      </c>
      <c r="AC4" s="34" t="s">
        <v>35</v>
      </c>
      <c r="AD4" s="34" t="s">
        <v>36</v>
      </c>
      <c r="AE4" s="34" t="s">
        <v>37</v>
      </c>
      <c r="AF4" s="34" t="s">
        <v>38</v>
      </c>
      <c r="AG4" s="34" t="s">
        <v>39</v>
      </c>
      <c r="AH4" s="34" t="s">
        <v>40</v>
      </c>
      <c r="AI4" s="34" t="s">
        <v>41</v>
      </c>
      <c r="AJ4" s="34" t="s">
        <v>42</v>
      </c>
      <c r="AK4" s="30" t="s">
        <v>43</v>
      </c>
      <c r="AL4" s="23" t="s">
        <v>44</v>
      </c>
      <c r="AM4" s="23" t="s">
        <v>45</v>
      </c>
      <c r="AN4" s="23" t="s">
        <v>46</v>
      </c>
      <c r="AO4" s="23" t="s">
        <v>47</v>
      </c>
      <c r="AP4" s="23" t="s">
        <v>48</v>
      </c>
      <c r="AQ4" s="23" t="s">
        <v>49</v>
      </c>
      <c r="AR4" s="23" t="s">
        <v>50</v>
      </c>
      <c r="AS4" s="31" t="s">
        <v>51</v>
      </c>
      <c r="AT4" s="32" t="s">
        <v>52</v>
      </c>
      <c r="AU4" s="32" t="s">
        <v>53</v>
      </c>
      <c r="AV4" s="32" t="s">
        <v>54</v>
      </c>
      <c r="AW4" s="72" t="s">
        <v>55</v>
      </c>
      <c r="AX4" s="72" t="s">
        <v>56</v>
      </c>
      <c r="AY4" s="72" t="s">
        <v>57</v>
      </c>
      <c r="AZ4" s="72" t="s">
        <v>58</v>
      </c>
      <c r="BA4" s="33" t="s">
        <v>59</v>
      </c>
      <c r="BB4" s="23" t="s">
        <v>60</v>
      </c>
      <c r="BC4" s="23" t="s">
        <v>61</v>
      </c>
      <c r="BD4" s="23" t="s">
        <v>62</v>
      </c>
    </row>
    <row r="5" spans="1:56" ht="15" customHeight="1">
      <c r="A5" s="35" t="s">
        <v>1110</v>
      </c>
      <c r="B5" s="36" t="s">
        <v>96</v>
      </c>
      <c r="C5" s="38" t="s">
        <v>65</v>
      </c>
      <c r="D5" s="35" t="s">
        <v>105</v>
      </c>
      <c r="E5" s="35" t="s">
        <v>106</v>
      </c>
      <c r="F5" s="36">
        <v>3</v>
      </c>
      <c r="G5" s="75" t="s">
        <v>1111</v>
      </c>
      <c r="H5" s="35" t="s">
        <v>931</v>
      </c>
      <c r="I5" s="35" t="s">
        <v>932</v>
      </c>
      <c r="J5" s="35" t="s">
        <v>1112</v>
      </c>
      <c r="K5" s="35"/>
      <c r="L5" s="37"/>
      <c r="M5" s="37"/>
      <c r="N5" s="37"/>
      <c r="O5" s="68"/>
      <c r="P5" s="68"/>
      <c r="Q5" s="37"/>
      <c r="R5" s="37"/>
      <c r="S5" s="37"/>
      <c r="T5" s="68"/>
      <c r="U5" s="68"/>
      <c r="V5" s="35" t="s">
        <v>223</v>
      </c>
      <c r="W5" s="74">
        <v>1</v>
      </c>
      <c r="X5" s="39">
        <f>MAX(0,$AK5-$W5-$Z5)</f>
        <v>0</v>
      </c>
      <c r="Y5" s="35"/>
      <c r="Z5" s="35"/>
      <c r="AA5" s="40">
        <v>0.19</v>
      </c>
      <c r="AB5" s="41">
        <f>IF(AND($X5&gt;0,ISNUMBER($AA5)),$X5*$AA5,0)</f>
        <v>0</v>
      </c>
      <c r="AK5" s="39">
        <f>SUM(AL5:AR5)</f>
        <v>1</v>
      </c>
      <c r="AL5" s="90"/>
      <c r="AM5" s="38"/>
      <c r="AN5" s="38"/>
      <c r="AO5" s="38"/>
      <c r="AP5" s="38"/>
      <c r="AQ5" s="38"/>
      <c r="AR5" s="100">
        <v>1</v>
      </c>
      <c r="AS5" s="42">
        <f>SUM(AT5:AZ5)</f>
        <v>1</v>
      </c>
      <c r="AT5" s="48"/>
      <c r="AU5" s="48"/>
      <c r="AV5" s="48"/>
      <c r="AW5" s="48"/>
      <c r="AX5" s="48"/>
      <c r="AY5" s="48"/>
      <c r="AZ5" s="48">
        <v>1</v>
      </c>
      <c r="BA5" s="43">
        <f>IF((W5-SUM(AT5:AZ5))&lt;0,0,W5-SUM(AT5:AZ5))</f>
        <v>0</v>
      </c>
      <c r="BB5" s="35"/>
      <c r="BC5" s="37"/>
      <c r="BD5" s="130"/>
    </row>
    <row r="6" spans="1:56" ht="15" customHeight="1">
      <c r="A6" s="35" t="s">
        <v>1118</v>
      </c>
      <c r="B6" s="36" t="s">
        <v>96</v>
      </c>
      <c r="C6" s="38" t="s">
        <v>65</v>
      </c>
      <c r="D6" s="35" t="s">
        <v>84</v>
      </c>
      <c r="E6" s="35" t="s">
        <v>1119</v>
      </c>
      <c r="F6" s="35">
        <v>6</v>
      </c>
      <c r="G6" s="75" t="s">
        <v>1120</v>
      </c>
      <c r="H6" s="35" t="s">
        <v>78</v>
      </c>
      <c r="I6" s="35" t="s">
        <v>1121</v>
      </c>
      <c r="J6" s="35" t="s">
        <v>1122</v>
      </c>
      <c r="K6" s="35"/>
      <c r="L6" s="37"/>
      <c r="M6" s="37"/>
      <c r="N6" s="37"/>
      <c r="O6" s="68"/>
      <c r="P6" s="68"/>
      <c r="Q6" s="37"/>
      <c r="R6" s="37"/>
      <c r="S6" s="37"/>
      <c r="T6" s="68"/>
      <c r="U6" s="68"/>
      <c r="V6" s="35" t="s">
        <v>223</v>
      </c>
      <c r="W6" s="74">
        <v>1</v>
      </c>
      <c r="X6" s="39">
        <f>MAX(0,$AK6-$W6-$Z6)</f>
        <v>0</v>
      </c>
      <c r="Y6" s="35"/>
      <c r="Z6" s="35"/>
      <c r="AA6" s="35">
        <v>0.17</v>
      </c>
      <c r="AB6" s="41">
        <f>IF(AND($X6&gt;0,ISNUMBER($AA6)),$X6*$AA6,0)</f>
        <v>0</v>
      </c>
      <c r="AI6" s="63"/>
      <c r="AK6" s="39">
        <f>SUM(AL6:AR6)</f>
        <v>1</v>
      </c>
      <c r="AL6" s="90"/>
      <c r="AM6" s="38"/>
      <c r="AN6" s="38"/>
      <c r="AO6" s="38"/>
      <c r="AP6" s="38"/>
      <c r="AQ6" s="38"/>
      <c r="AR6" s="96">
        <v>1</v>
      </c>
      <c r="AS6" s="42">
        <f>SUM(AT6:AZ6)</f>
        <v>1</v>
      </c>
      <c r="AT6" s="48"/>
      <c r="AU6" s="48"/>
      <c r="AV6" s="48"/>
      <c r="AW6" s="48"/>
      <c r="AX6" s="48"/>
      <c r="AY6" s="48"/>
      <c r="AZ6" s="48">
        <v>1</v>
      </c>
      <c r="BA6" s="43">
        <f>IF((W6-SUM(AT6:AZ6))&lt;0,0,W6-SUM(AT6:AZ6))</f>
        <v>0</v>
      </c>
      <c r="BB6" s="35"/>
      <c r="BC6" s="37"/>
      <c r="BD6" s="37"/>
    </row>
    <row r="7" spans="1:56" ht="15" customHeight="1">
      <c r="A7" s="44" t="s">
        <v>1128</v>
      </c>
      <c r="B7" s="45" t="s">
        <v>96</v>
      </c>
      <c r="C7" s="46" t="s">
        <v>65</v>
      </c>
      <c r="D7" s="44" t="s">
        <v>341</v>
      </c>
      <c r="E7" s="44" t="s">
        <v>151</v>
      </c>
      <c r="F7" s="45">
        <v>3</v>
      </c>
      <c r="G7" s="75" t="s">
        <v>1129</v>
      </c>
      <c r="H7" s="44" t="s">
        <v>78</v>
      </c>
      <c r="I7" s="44" t="s">
        <v>1130</v>
      </c>
      <c r="J7" s="44" t="s">
        <v>1131</v>
      </c>
      <c r="K7" s="44" t="s">
        <v>1132</v>
      </c>
      <c r="L7" s="47"/>
      <c r="M7" s="47"/>
      <c r="N7" s="47"/>
      <c r="O7" s="68"/>
      <c r="P7" s="68"/>
      <c r="Q7" s="47"/>
      <c r="R7" s="47"/>
      <c r="S7" s="47"/>
      <c r="T7" s="68"/>
      <c r="U7" s="68"/>
      <c r="V7" s="44" t="s">
        <v>167</v>
      </c>
      <c r="W7" s="74">
        <v>1</v>
      </c>
      <c r="X7" s="39">
        <f>MAX(0,$AK7-$W7-$Z7)</f>
        <v>0</v>
      </c>
      <c r="Y7" s="44"/>
      <c r="Z7" s="44"/>
      <c r="AA7" s="44">
        <v>0.15</v>
      </c>
      <c r="AB7" s="44">
        <f>IF(AND($X7&gt;0,ISNUMBER($AA7)),$X7*$AA7,0)</f>
        <v>0</v>
      </c>
      <c r="AK7" s="39">
        <f>SUM(AL7:AR7)</f>
        <v>1</v>
      </c>
      <c r="AL7" s="90"/>
      <c r="AM7" s="38"/>
      <c r="AN7" s="38"/>
      <c r="AO7" s="38"/>
      <c r="AP7" s="38"/>
      <c r="AQ7" s="38"/>
      <c r="AR7" s="100">
        <v>1</v>
      </c>
      <c r="AS7" s="42">
        <f>SUM(AT7:AZ7)</f>
        <v>1</v>
      </c>
      <c r="AT7" s="48"/>
      <c r="AU7" s="48"/>
      <c r="AV7" s="48"/>
      <c r="AW7" s="48"/>
      <c r="AX7" s="48"/>
      <c r="AY7" s="48"/>
      <c r="AZ7" s="48">
        <v>1</v>
      </c>
      <c r="BA7" s="43">
        <f>IF((W7-SUM(AT7:AZ7))&lt;0,0,W7-SUM(AT7:AZ7))</f>
        <v>0</v>
      </c>
      <c r="BB7" s="44"/>
      <c r="BC7" s="47"/>
      <c r="BD7" s="126"/>
    </row>
    <row r="8" spans="1:56" ht="15" customHeight="1">
      <c r="A8" s="49" t="s">
        <v>1249</v>
      </c>
      <c r="B8" s="45" t="s">
        <v>1203</v>
      </c>
      <c r="C8" s="46" t="s">
        <v>65</v>
      </c>
      <c r="D8" s="44" t="s">
        <v>84</v>
      </c>
      <c r="E8" s="44" t="s">
        <v>1250</v>
      </c>
      <c r="F8" s="45">
        <v>6</v>
      </c>
      <c r="G8" s="75" t="s">
        <v>1251</v>
      </c>
      <c r="H8" s="44" t="s">
        <v>1252</v>
      </c>
      <c r="I8" s="44" t="s">
        <v>1253</v>
      </c>
      <c r="J8" s="44" t="s">
        <v>1254</v>
      </c>
      <c r="K8" s="44"/>
      <c r="L8" s="47"/>
      <c r="M8" s="47"/>
      <c r="N8" s="47"/>
      <c r="O8" s="68"/>
      <c r="P8" s="68"/>
      <c r="Q8" s="47"/>
      <c r="R8" s="47"/>
      <c r="S8" s="47"/>
      <c r="T8" s="68"/>
      <c r="U8" s="68"/>
      <c r="V8" s="44" t="s">
        <v>167</v>
      </c>
      <c r="W8" s="74">
        <v>1</v>
      </c>
      <c r="X8" s="39">
        <f>MAX(0,$AK8-$W8-$Z8)</f>
        <v>0</v>
      </c>
      <c r="Y8" s="44"/>
      <c r="Z8" s="44"/>
      <c r="AA8" s="44">
        <v>0.12</v>
      </c>
      <c r="AB8" s="44">
        <f>IF(AND($X8&gt;0,ISNUMBER($AA8)),$X8*$AA8,0)</f>
        <v>0</v>
      </c>
      <c r="AI8" s="63" t="s">
        <v>1255</v>
      </c>
      <c r="AK8" s="39">
        <f>SUM(AL8:AR8)</f>
        <v>1</v>
      </c>
      <c r="AL8" s="90"/>
      <c r="AM8" s="38"/>
      <c r="AN8" s="38"/>
      <c r="AO8" s="38"/>
      <c r="AP8" s="38"/>
      <c r="AQ8" s="38"/>
      <c r="AR8" s="96">
        <v>1</v>
      </c>
      <c r="AS8" s="42">
        <f>SUM(AT8:AZ8)</f>
        <v>1</v>
      </c>
      <c r="AT8" s="48"/>
      <c r="AU8" s="48"/>
      <c r="AV8" s="48"/>
      <c r="AW8" s="48"/>
      <c r="AX8" s="48"/>
      <c r="AY8" s="48"/>
      <c r="AZ8" s="48">
        <v>1</v>
      </c>
      <c r="BA8" s="43">
        <f>IF((W8-SUM(AT8:AZ8))&lt;0,0,W8-SUM(AT8:AZ8))</f>
        <v>0</v>
      </c>
      <c r="BB8" s="44"/>
      <c r="BC8" s="47"/>
      <c r="BD8" s="47"/>
    </row>
    <row r="9" spans="1:56" ht="15" customHeight="1">
      <c r="A9" s="49" t="s">
        <v>1291</v>
      </c>
      <c r="B9" s="39" t="s">
        <v>1203</v>
      </c>
      <c r="C9" s="46" t="s">
        <v>65</v>
      </c>
      <c r="D9" s="49" t="s">
        <v>84</v>
      </c>
      <c r="E9" s="49" t="s">
        <v>1292</v>
      </c>
      <c r="F9" s="39">
        <v>3</v>
      </c>
      <c r="G9" s="75" t="s">
        <v>1293</v>
      </c>
      <c r="H9" s="50" t="s">
        <v>238</v>
      </c>
      <c r="I9" s="50" t="s">
        <v>1294</v>
      </c>
      <c r="J9" s="50" t="s">
        <v>1295</v>
      </c>
      <c r="K9" s="50"/>
      <c r="L9" s="47"/>
      <c r="M9" s="47"/>
      <c r="N9" s="47"/>
      <c r="O9" s="68"/>
      <c r="P9" s="68"/>
      <c r="Q9" s="47"/>
      <c r="R9" s="47"/>
      <c r="S9" s="47"/>
      <c r="T9" s="68"/>
      <c r="U9" s="68"/>
      <c r="V9" s="50" t="s">
        <v>119</v>
      </c>
      <c r="W9" s="74">
        <v>1</v>
      </c>
      <c r="X9" s="39">
        <f>MAX(0,$AK9-$W9-$Z9)</f>
        <v>0</v>
      </c>
      <c r="Y9" s="39"/>
      <c r="Z9" s="39"/>
      <c r="AA9" s="41">
        <v>0.13</v>
      </c>
      <c r="AB9" s="41">
        <f>IF(AND($X9&gt;0,ISNUMBER($AA9)),$X9*$AA9,0)</f>
        <v>0</v>
      </c>
      <c r="AI9" s="63"/>
      <c r="AK9" s="39">
        <f>SUM(AL9:AR9)</f>
        <v>1</v>
      </c>
      <c r="AL9" s="90"/>
      <c r="AM9" s="38"/>
      <c r="AN9" s="38"/>
      <c r="AO9" s="38"/>
      <c r="AP9" s="38"/>
      <c r="AQ9" s="38"/>
      <c r="AR9" s="100">
        <v>1</v>
      </c>
      <c r="AS9" s="42">
        <f>SUM(AT9:AZ9)</f>
        <v>1</v>
      </c>
      <c r="AT9" s="48"/>
      <c r="AU9" s="48"/>
      <c r="AV9" s="48"/>
      <c r="AW9" s="48"/>
      <c r="AX9" s="48"/>
      <c r="AY9" s="48"/>
      <c r="AZ9" s="48">
        <v>1</v>
      </c>
      <c r="BA9" s="43">
        <f>IF((W9-SUM(AT9:AZ9))&lt;0,0,W9-SUM(AT9:AZ9))</f>
        <v>0</v>
      </c>
      <c r="BB9" s="49"/>
      <c r="BC9" s="47"/>
      <c r="BD9" s="47"/>
    </row>
    <row r="10" spans="1:56" ht="15" customHeight="1">
      <c r="A10" s="49" t="s">
        <v>1318</v>
      </c>
      <c r="B10" s="39" t="s">
        <v>1203</v>
      </c>
      <c r="C10" s="46" t="s">
        <v>65</v>
      </c>
      <c r="D10" s="49" t="s">
        <v>134</v>
      </c>
      <c r="E10" s="49"/>
      <c r="F10" s="39">
        <v>2</v>
      </c>
      <c r="G10" s="75" t="s">
        <v>1319</v>
      </c>
      <c r="H10" s="50" t="s">
        <v>172</v>
      </c>
      <c r="I10" s="50" t="s">
        <v>1320</v>
      </c>
      <c r="J10" s="50"/>
      <c r="K10" s="50"/>
      <c r="L10" s="46"/>
      <c r="M10" s="46"/>
      <c r="N10" s="46"/>
      <c r="O10" s="46"/>
      <c r="P10" s="46"/>
      <c r="Q10" s="46"/>
      <c r="R10" s="46"/>
      <c r="S10" s="46"/>
      <c r="T10" s="46"/>
      <c r="U10" s="46"/>
      <c r="V10" s="50" t="s">
        <v>1023</v>
      </c>
      <c r="W10" s="74">
        <v>1</v>
      </c>
      <c r="X10" s="39">
        <f>MAX(0,$AK10-$W10-$Z10)</f>
        <v>0</v>
      </c>
      <c r="Y10" s="39"/>
      <c r="Z10" s="39"/>
      <c r="AA10" s="41">
        <v>0.48</v>
      </c>
      <c r="AB10" s="41">
        <f>IF(AND($X10&gt;0,ISNUMBER($AA10)),$X10*$AA10,0)</f>
        <v>0</v>
      </c>
      <c r="AK10" s="39">
        <f>SUM(AL10:AR10)</f>
        <v>1</v>
      </c>
      <c r="AL10" s="90"/>
      <c r="AM10" s="38"/>
      <c r="AN10" s="38"/>
      <c r="AO10" s="38"/>
      <c r="AP10" s="38"/>
      <c r="AQ10" s="38"/>
      <c r="AR10" s="91">
        <v>1</v>
      </c>
      <c r="AS10" s="42">
        <f>SUM(AT10:AZ10)</f>
        <v>1</v>
      </c>
      <c r="AT10" s="48"/>
      <c r="AU10" s="48"/>
      <c r="AV10" s="48"/>
      <c r="AW10" s="48"/>
      <c r="AX10" s="48"/>
      <c r="AY10" s="48"/>
      <c r="AZ10" s="48">
        <v>1</v>
      </c>
      <c r="BA10" s="43">
        <f>IF((W10-SUM(AT10:AZ10))&lt;0,0,W10-SUM(AT10:AZ10))</f>
        <v>0</v>
      </c>
      <c r="BB10" s="49"/>
      <c r="BC10" s="47"/>
      <c r="BD10" s="47"/>
    </row>
    <row r="11" spans="1:56" ht="15" customHeight="1">
      <c r="A11" s="35" t="s">
        <v>1370</v>
      </c>
      <c r="B11" s="36" t="s">
        <v>1203</v>
      </c>
      <c r="C11" s="38" t="s">
        <v>65</v>
      </c>
      <c r="D11" s="35" t="s">
        <v>76</v>
      </c>
      <c r="E11" s="35"/>
      <c r="F11" s="35">
        <v>2</v>
      </c>
      <c r="G11" s="75" t="s">
        <v>1371</v>
      </c>
      <c r="H11" s="35" t="s">
        <v>1268</v>
      </c>
      <c r="I11" s="35" t="s">
        <v>1372</v>
      </c>
      <c r="J11" s="35" t="s">
        <v>1373</v>
      </c>
      <c r="K11" s="35"/>
      <c r="L11" s="37"/>
      <c r="M11" s="37"/>
      <c r="N11" s="37"/>
      <c r="O11" s="68"/>
      <c r="P11" s="68"/>
      <c r="Q11" s="37"/>
      <c r="R11" s="37"/>
      <c r="S11" s="37"/>
      <c r="T11" s="68"/>
      <c r="U11" s="68"/>
      <c r="V11" s="35" t="s">
        <v>223</v>
      </c>
      <c r="W11" s="74">
        <v>1</v>
      </c>
      <c r="X11" s="39">
        <f>MAX(0,$AK11-$W11-$Z11)</f>
        <v>0</v>
      </c>
      <c r="Y11" s="35"/>
      <c r="Z11" s="35"/>
      <c r="AA11" s="35">
        <v>0.14000000000000001</v>
      </c>
      <c r="AB11" s="41">
        <f>IF(AND($X11&gt;0,ISNUMBER($AA11)),$X11*$AA11,0)</f>
        <v>0</v>
      </c>
      <c r="AK11" s="39">
        <f>SUM(AL11:AR11)</f>
        <v>1</v>
      </c>
      <c r="AL11" s="90"/>
      <c r="AM11" s="38"/>
      <c r="AN11" s="38"/>
      <c r="AO11" s="38"/>
      <c r="AP11" s="38"/>
      <c r="AQ11" s="38"/>
      <c r="AR11" s="100">
        <v>1</v>
      </c>
      <c r="AS11" s="42">
        <f>SUM(AT11:AZ11)</f>
        <v>1</v>
      </c>
      <c r="AT11" s="48"/>
      <c r="AU11" s="48"/>
      <c r="AV11" s="48"/>
      <c r="AW11" s="48"/>
      <c r="AX11" s="48"/>
      <c r="AY11" s="48"/>
      <c r="AZ11" s="48">
        <v>1</v>
      </c>
      <c r="BA11" s="43">
        <f>IF((W11-SUM(AT11:AZ11))&lt;0,0,W11-SUM(AT11:AZ11))</f>
        <v>0</v>
      </c>
      <c r="BB11" s="35"/>
      <c r="BC11" s="37"/>
      <c r="BD11" s="37"/>
    </row>
    <row r="12" spans="1:56" ht="15" customHeight="1">
      <c r="A12" s="49" t="s">
        <v>1416</v>
      </c>
      <c r="B12" s="39" t="s">
        <v>1203</v>
      </c>
      <c r="C12" s="46" t="s">
        <v>65</v>
      </c>
      <c r="D12" s="49" t="s">
        <v>731</v>
      </c>
      <c r="E12" s="49" t="s">
        <v>732</v>
      </c>
      <c r="F12" s="39">
        <v>4</v>
      </c>
      <c r="G12" s="75" t="s">
        <v>1417</v>
      </c>
      <c r="H12" s="50" t="s">
        <v>172</v>
      </c>
      <c r="I12" s="50" t="s">
        <v>1418</v>
      </c>
      <c r="J12" s="50" t="s">
        <v>1419</v>
      </c>
      <c r="K12" s="50"/>
      <c r="L12" s="47"/>
      <c r="M12" s="47"/>
      <c r="N12" s="47"/>
      <c r="O12" s="68"/>
      <c r="P12" s="68"/>
      <c r="Q12" s="47"/>
      <c r="R12" s="47"/>
      <c r="S12" s="47"/>
      <c r="T12" s="68"/>
      <c r="U12" s="68"/>
      <c r="V12" s="50" t="s">
        <v>568</v>
      </c>
      <c r="W12" s="74">
        <v>1</v>
      </c>
      <c r="X12" s="39">
        <f>MAX(0,$AK12-$W12-$Z12)</f>
        <v>0</v>
      </c>
      <c r="Y12" s="39"/>
      <c r="Z12" s="39"/>
      <c r="AA12" s="41">
        <v>0.34</v>
      </c>
      <c r="AB12" s="41">
        <f>IF(AND($X12&gt;0,ISNUMBER($AA12)),$X12*$AA12,0)</f>
        <v>0</v>
      </c>
      <c r="AI12" s="63" t="s">
        <v>1420</v>
      </c>
      <c r="AK12" s="39">
        <f>SUM(AL12:AR12)</f>
        <v>1</v>
      </c>
      <c r="AL12" s="90"/>
      <c r="AM12" s="38"/>
      <c r="AN12" s="38"/>
      <c r="AO12" s="38"/>
      <c r="AP12" s="38"/>
      <c r="AQ12" s="38"/>
      <c r="AR12" s="96">
        <v>1</v>
      </c>
      <c r="AS12" s="42">
        <f>SUM(AT12:AZ12)</f>
        <v>1</v>
      </c>
      <c r="AT12" s="48"/>
      <c r="AU12" s="48"/>
      <c r="AV12" s="48"/>
      <c r="AW12" s="48"/>
      <c r="AX12" s="48"/>
      <c r="AY12" s="48"/>
      <c r="AZ12" s="48">
        <v>1</v>
      </c>
      <c r="BA12" s="43">
        <f>IF((W12-SUM(AT12:AZ12))&lt;0,0,W12-SUM(AT12:AZ12))</f>
        <v>0</v>
      </c>
      <c r="BB12" s="49"/>
      <c r="BC12" s="47"/>
      <c r="BD12" s="126"/>
    </row>
    <row r="13" spans="1:56" ht="15" customHeight="1">
      <c r="A13" s="49" t="s">
        <v>1436</v>
      </c>
      <c r="B13" s="39" t="s">
        <v>1203</v>
      </c>
      <c r="C13" s="46" t="s">
        <v>65</v>
      </c>
      <c r="D13" s="49" t="s">
        <v>84</v>
      </c>
      <c r="E13" s="49" t="s">
        <v>1250</v>
      </c>
      <c r="F13" s="39">
        <v>2</v>
      </c>
      <c r="G13" s="75" t="s">
        <v>1437</v>
      </c>
      <c r="H13" s="50" t="s">
        <v>162</v>
      </c>
      <c r="I13" s="50" t="s">
        <v>1438</v>
      </c>
      <c r="J13" s="50"/>
      <c r="K13" s="50"/>
      <c r="L13" s="108" t="s">
        <v>1439</v>
      </c>
      <c r="M13" s="46">
        <v>1</v>
      </c>
      <c r="N13" s="46">
        <v>1</v>
      </c>
      <c r="O13" s="68" t="s">
        <v>1440</v>
      </c>
      <c r="P13" s="110">
        <v>0.16</v>
      </c>
      <c r="Q13" s="47"/>
      <c r="R13" s="47"/>
      <c r="S13" s="47"/>
      <c r="T13" s="68"/>
      <c r="U13" s="68"/>
      <c r="V13" s="50" t="s">
        <v>119</v>
      </c>
      <c r="W13" s="74">
        <v>2</v>
      </c>
      <c r="X13" s="39">
        <f>MAX(0,$AK13-$W13-$Z13)</f>
        <v>0</v>
      </c>
      <c r="Y13" s="39"/>
      <c r="Z13" s="39"/>
      <c r="AA13" s="41">
        <v>0.16</v>
      </c>
      <c r="AB13" s="41">
        <f>IF(AND($X13&gt;0,ISNUMBER($AA13)),$X13*$AA13,0)</f>
        <v>0</v>
      </c>
      <c r="AD13" s="63"/>
      <c r="AI13" s="63"/>
      <c r="AK13" s="39">
        <f>SUM(AL13:AR13)</f>
        <v>2</v>
      </c>
      <c r="AL13" s="90"/>
      <c r="AM13" s="98">
        <v>1</v>
      </c>
      <c r="AN13" s="38"/>
      <c r="AO13" s="38"/>
      <c r="AP13" s="38"/>
      <c r="AQ13" s="38"/>
      <c r="AR13" s="100">
        <v>1</v>
      </c>
      <c r="AS13" s="42">
        <f>SUM(AT13:AZ13)</f>
        <v>2</v>
      </c>
      <c r="AT13" s="48"/>
      <c r="AU13" s="48">
        <v>1</v>
      </c>
      <c r="AV13" s="48"/>
      <c r="AW13" s="48"/>
      <c r="AX13" s="48"/>
      <c r="AY13" s="48"/>
      <c r="AZ13" s="48">
        <v>1</v>
      </c>
      <c r="BA13" s="43">
        <f>IF((W13-SUM(AT13:AZ13))&lt;0,0,W13-SUM(AT13:AZ13))</f>
        <v>0</v>
      </c>
      <c r="BB13" s="49"/>
      <c r="BC13" s="47"/>
      <c r="BD13" s="47"/>
    </row>
    <row r="14" spans="1:56" ht="15" customHeight="1">
      <c r="A14" s="44" t="s">
        <v>1454</v>
      </c>
      <c r="B14" s="45" t="s">
        <v>1203</v>
      </c>
      <c r="C14" s="46" t="s">
        <v>65</v>
      </c>
      <c r="D14" s="44" t="s">
        <v>84</v>
      </c>
      <c r="E14" s="44" t="s">
        <v>1455</v>
      </c>
      <c r="F14" s="45">
        <v>3</v>
      </c>
      <c r="G14" s="75" t="s">
        <v>1456</v>
      </c>
      <c r="H14" s="44" t="s">
        <v>238</v>
      </c>
      <c r="I14" s="44" t="s">
        <v>1457</v>
      </c>
      <c r="J14" s="44"/>
      <c r="K14" s="44"/>
      <c r="L14" s="108" t="s">
        <v>1458</v>
      </c>
      <c r="M14" s="46">
        <v>1</v>
      </c>
      <c r="N14" s="46">
        <v>1</v>
      </c>
      <c r="O14" s="68" t="s">
        <v>1459</v>
      </c>
      <c r="P14" s="110">
        <v>0.27</v>
      </c>
      <c r="Q14" s="47"/>
      <c r="R14" s="47"/>
      <c r="S14" s="47"/>
      <c r="T14" s="68"/>
      <c r="U14" s="68"/>
      <c r="V14" s="44" t="s">
        <v>167</v>
      </c>
      <c r="W14" s="74">
        <v>1</v>
      </c>
      <c r="X14" s="39">
        <f>MAX(0,$AK14-$W14-$Z14)</f>
        <v>0</v>
      </c>
      <c r="Y14" s="44"/>
      <c r="Z14" s="44"/>
      <c r="AA14" s="44">
        <v>0.27</v>
      </c>
      <c r="AB14" s="44">
        <f>IF(AND($X14&gt;0,ISNUMBER($AA14)),$X14*$AA14,0)</f>
        <v>0</v>
      </c>
      <c r="AK14" s="39">
        <f>SUM(AL14:AR14)</f>
        <v>1</v>
      </c>
      <c r="AL14" s="90"/>
      <c r="AM14" s="38"/>
      <c r="AN14" s="38"/>
      <c r="AO14" s="38"/>
      <c r="AP14" s="38"/>
      <c r="AQ14" s="38"/>
      <c r="AR14" s="100">
        <v>1</v>
      </c>
      <c r="AS14" s="42">
        <f>SUM(AT14:AZ14)</f>
        <v>1</v>
      </c>
      <c r="AT14" s="48"/>
      <c r="AU14" s="48"/>
      <c r="AV14" s="48"/>
      <c r="AW14" s="48"/>
      <c r="AX14" s="48"/>
      <c r="AY14" s="48"/>
      <c r="AZ14" s="48">
        <v>1</v>
      </c>
      <c r="BA14" s="43">
        <f>IF((W14-SUM(AT14:AZ14))&lt;0,0,W14-SUM(AT14:AZ14))</f>
        <v>0</v>
      </c>
      <c r="BB14" s="44"/>
      <c r="BC14" s="47"/>
      <c r="BD14" s="47"/>
    </row>
    <row r="15" spans="1:56" ht="15" customHeight="1">
      <c r="A15" s="35" t="s">
        <v>1460</v>
      </c>
      <c r="B15" s="36" t="s">
        <v>1203</v>
      </c>
      <c r="C15" s="38" t="s">
        <v>65</v>
      </c>
      <c r="D15" s="35" t="s">
        <v>84</v>
      </c>
      <c r="E15" s="35" t="s">
        <v>1461</v>
      </c>
      <c r="F15" s="36">
        <v>5</v>
      </c>
      <c r="G15" s="75" t="s">
        <v>1462</v>
      </c>
      <c r="H15" s="35" t="s">
        <v>293</v>
      </c>
      <c r="I15" s="35" t="s">
        <v>1463</v>
      </c>
      <c r="J15" s="35" t="s">
        <v>1464</v>
      </c>
      <c r="K15" s="35"/>
      <c r="L15" s="37"/>
      <c r="M15" s="37"/>
      <c r="N15" s="37"/>
      <c r="O15" s="68"/>
      <c r="P15" s="68"/>
      <c r="Q15" s="37"/>
      <c r="R15" s="37"/>
      <c r="S15" s="37"/>
      <c r="T15" s="68"/>
      <c r="U15" s="68"/>
      <c r="V15" s="35" t="s">
        <v>119</v>
      </c>
      <c r="W15" s="74">
        <v>1</v>
      </c>
      <c r="X15" s="39">
        <f>MAX(0,$AK15-$W15-$Z15)</f>
        <v>0</v>
      </c>
      <c r="Y15" s="35"/>
      <c r="Z15" s="35"/>
      <c r="AA15" s="40">
        <v>0.06</v>
      </c>
      <c r="AB15" s="41">
        <f>IF(AND($X15&gt;0,ISNUMBER($AA15)),$X15*$AA15,0)</f>
        <v>0</v>
      </c>
      <c r="AD15" s="63"/>
      <c r="AK15" s="39">
        <f>SUM(AL15:AR15)</f>
        <v>1</v>
      </c>
      <c r="AL15" s="90"/>
      <c r="AM15" s="38"/>
      <c r="AN15" s="38"/>
      <c r="AO15" s="38"/>
      <c r="AP15" s="38"/>
      <c r="AQ15" s="38"/>
      <c r="AR15" s="96">
        <v>1</v>
      </c>
      <c r="AS15" s="42">
        <f>SUM(AT15:AZ15)</f>
        <v>1</v>
      </c>
      <c r="AT15" s="48"/>
      <c r="AU15" s="48"/>
      <c r="AV15" s="48"/>
      <c r="AW15" s="48"/>
      <c r="AX15" s="48"/>
      <c r="AY15" s="48"/>
      <c r="AZ15" s="48">
        <v>1</v>
      </c>
      <c r="BA15" s="43">
        <f>IF((W15-SUM(AT15:AZ15))&lt;0,0,W15-SUM(AT15:AZ15))</f>
        <v>0</v>
      </c>
      <c r="BB15" s="35"/>
      <c r="BC15" s="37"/>
      <c r="BD15" s="37"/>
    </row>
    <row r="16" spans="1:56" ht="15" customHeight="1">
      <c r="A16" s="35" t="s">
        <v>1472</v>
      </c>
      <c r="B16" s="36" t="s">
        <v>1203</v>
      </c>
      <c r="C16" s="38" t="s">
        <v>65</v>
      </c>
      <c r="D16" s="35" t="s">
        <v>84</v>
      </c>
      <c r="E16" s="35" t="s">
        <v>1473</v>
      </c>
      <c r="F16" s="36">
        <v>2</v>
      </c>
      <c r="G16" s="75" t="s">
        <v>1474</v>
      </c>
      <c r="H16" s="35" t="s">
        <v>172</v>
      </c>
      <c r="I16" s="35" t="s">
        <v>1427</v>
      </c>
      <c r="J16" s="35" t="s">
        <v>378</v>
      </c>
      <c r="K16" s="35"/>
      <c r="L16" s="37"/>
      <c r="M16" s="37"/>
      <c r="N16" s="37"/>
      <c r="O16" s="68"/>
      <c r="P16" s="68"/>
      <c r="Q16" s="37"/>
      <c r="R16" s="37"/>
      <c r="S16" s="37"/>
      <c r="T16" s="68"/>
      <c r="U16" s="68"/>
      <c r="V16" s="35" t="s">
        <v>223</v>
      </c>
      <c r="W16" s="74">
        <v>1</v>
      </c>
      <c r="X16" s="39">
        <f>MAX(0,$AK16-$W16-$Z16)</f>
        <v>0</v>
      </c>
      <c r="Y16" s="35"/>
      <c r="Z16" s="35"/>
      <c r="AA16" s="40">
        <v>0.27</v>
      </c>
      <c r="AB16" s="41">
        <f>IF(AND($X16&gt;0,ISNUMBER($AA16)),$X16*$AA16,0)</f>
        <v>0</v>
      </c>
      <c r="AI16" t="s">
        <v>1475</v>
      </c>
      <c r="AK16" s="39">
        <f>SUM(AL16:AR16)</f>
        <v>1</v>
      </c>
      <c r="AL16" s="90"/>
      <c r="AM16" s="38"/>
      <c r="AN16" s="38"/>
      <c r="AO16" s="38"/>
      <c r="AP16" s="38"/>
      <c r="AQ16" s="38"/>
      <c r="AR16" s="101">
        <v>1</v>
      </c>
      <c r="AS16" s="42">
        <f>SUM(AT16:AZ16)</f>
        <v>1</v>
      </c>
      <c r="AT16" s="48"/>
      <c r="AU16" s="48"/>
      <c r="AV16" s="48"/>
      <c r="AW16" s="48"/>
      <c r="AX16" s="48"/>
      <c r="AY16" s="48"/>
      <c r="AZ16" s="48">
        <v>1</v>
      </c>
      <c r="BA16" s="43">
        <f>IF((W16-SUM(AT16:AZ16))&lt;0,0,W16-SUM(AT16:AZ16))</f>
        <v>0</v>
      </c>
      <c r="BB16" s="35"/>
      <c r="BC16" s="37"/>
      <c r="BD16" s="37"/>
    </row>
    <row r="17" spans="1:56" ht="15" customHeight="1">
      <c r="A17" s="49" t="s">
        <v>1492</v>
      </c>
      <c r="B17" s="39" t="s">
        <v>1203</v>
      </c>
      <c r="C17" s="46" t="s">
        <v>65</v>
      </c>
      <c r="D17" s="49" t="s">
        <v>84</v>
      </c>
      <c r="E17" s="49" t="s">
        <v>851</v>
      </c>
      <c r="F17" s="39">
        <v>2</v>
      </c>
      <c r="G17" s="75" t="s">
        <v>1493</v>
      </c>
      <c r="H17" s="50" t="s">
        <v>1239</v>
      </c>
      <c r="I17" s="50" t="s">
        <v>1494</v>
      </c>
      <c r="J17" s="50"/>
      <c r="K17" s="50"/>
      <c r="L17" s="47"/>
      <c r="M17" s="47"/>
      <c r="N17" s="47"/>
      <c r="O17" s="68"/>
      <c r="P17" s="68"/>
      <c r="Q17" s="47"/>
      <c r="R17" s="47"/>
      <c r="S17" s="47"/>
      <c r="T17" s="68"/>
      <c r="U17" s="68"/>
      <c r="V17" s="50" t="s">
        <v>196</v>
      </c>
      <c r="W17" s="74">
        <v>3</v>
      </c>
      <c r="X17" s="39">
        <f>MAX(0,$AK17-$W17-$Z17)</f>
        <v>0</v>
      </c>
      <c r="Y17" s="39"/>
      <c r="Z17" s="39"/>
      <c r="AA17" s="41">
        <v>0.34</v>
      </c>
      <c r="AB17" s="41">
        <f>IF(AND($X17&gt;0,ISNUMBER($AA17)),$X17*$AA17,0)</f>
        <v>0</v>
      </c>
      <c r="AI17" s="63"/>
      <c r="AK17" s="39">
        <f>SUM(AL17:AR17)</f>
        <v>2</v>
      </c>
      <c r="AL17" s="90"/>
      <c r="AM17" s="38"/>
      <c r="AN17" s="38"/>
      <c r="AO17" s="97">
        <v>1</v>
      </c>
      <c r="AP17" s="38"/>
      <c r="AQ17" s="38"/>
      <c r="AR17" s="96">
        <v>1</v>
      </c>
      <c r="AS17" s="42">
        <f>SUM(AT17:AZ17)</f>
        <v>2</v>
      </c>
      <c r="AT17" s="48"/>
      <c r="AU17" s="48"/>
      <c r="AV17" s="48"/>
      <c r="AW17" s="48">
        <v>1</v>
      </c>
      <c r="AX17" s="48"/>
      <c r="AY17" s="48"/>
      <c r="AZ17" s="48">
        <v>1</v>
      </c>
      <c r="BA17" s="43">
        <f>IF((W17-SUM(AT17:AZ17))&lt;0,0,W17-SUM(AT17:AZ17))</f>
        <v>1</v>
      </c>
      <c r="BB17" s="49"/>
      <c r="BC17" s="47"/>
      <c r="BD17" s="126"/>
    </row>
    <row r="18" spans="1:56" ht="15" customHeight="1">
      <c r="A18" s="35" t="s">
        <v>1543</v>
      </c>
      <c r="B18" s="36" t="s">
        <v>1203</v>
      </c>
      <c r="C18" s="38" t="s">
        <v>65</v>
      </c>
      <c r="D18" s="35" t="s">
        <v>134</v>
      </c>
      <c r="E18" s="35" t="s">
        <v>600</v>
      </c>
      <c r="F18" s="35">
        <v>2</v>
      </c>
      <c r="G18" s="75" t="s">
        <v>1544</v>
      </c>
      <c r="H18" s="35" t="s">
        <v>172</v>
      </c>
      <c r="I18" s="35" t="s">
        <v>1545</v>
      </c>
      <c r="J18" s="35"/>
      <c r="K18" s="35"/>
      <c r="L18" s="109" t="s">
        <v>1546</v>
      </c>
      <c r="M18" s="38">
        <v>1</v>
      </c>
      <c r="N18" s="38">
        <v>0</v>
      </c>
      <c r="O18" s="68" t="s">
        <v>1547</v>
      </c>
      <c r="P18" s="110">
        <v>0.43</v>
      </c>
      <c r="Q18" s="37"/>
      <c r="R18" s="37"/>
      <c r="S18" s="37"/>
      <c r="T18" s="68"/>
      <c r="U18" s="68"/>
      <c r="V18" s="35" t="s">
        <v>568</v>
      </c>
      <c r="W18" s="74">
        <v>1</v>
      </c>
      <c r="X18" s="39">
        <f>MAX(0,$AK18-$W18-$Z18)</f>
        <v>0</v>
      </c>
      <c r="Y18" s="35"/>
      <c r="Z18" s="35"/>
      <c r="AA18" s="35">
        <v>0.43</v>
      </c>
      <c r="AB18" s="41">
        <f>IF(AND($X18&gt;0,ISNUMBER($AA18)),$X18*$AA18,0)</f>
        <v>0</v>
      </c>
      <c r="AK18" s="39">
        <f>SUM(AL18:AR18)</f>
        <v>1</v>
      </c>
      <c r="AL18" s="90"/>
      <c r="AM18" s="38"/>
      <c r="AN18" s="38"/>
      <c r="AO18" s="38"/>
      <c r="AP18" s="38"/>
      <c r="AQ18" s="38"/>
      <c r="AR18" s="100">
        <v>1</v>
      </c>
      <c r="AS18" s="42">
        <f>SUM(AT18:AZ18)</f>
        <v>1</v>
      </c>
      <c r="AT18" s="48"/>
      <c r="AU18" s="48"/>
      <c r="AV18" s="48"/>
      <c r="AW18" s="48"/>
      <c r="AX18" s="48"/>
      <c r="AY18" s="48"/>
      <c r="AZ18" s="48">
        <v>1</v>
      </c>
      <c r="BA18" s="43">
        <f>IF((W18-SUM(AT18:AZ18))&lt;0,0,W18-SUM(AT18:AZ18))</f>
        <v>0</v>
      </c>
      <c r="BB18" s="35"/>
      <c r="BC18" s="37"/>
      <c r="BD18" s="130"/>
    </row>
    <row r="19" spans="1:56" ht="15" customHeight="1">
      <c r="A19" s="49" t="s">
        <v>1604</v>
      </c>
      <c r="B19" s="39" t="s">
        <v>1203</v>
      </c>
      <c r="C19" s="46" t="s">
        <v>65</v>
      </c>
      <c r="D19" s="49" t="s">
        <v>76</v>
      </c>
      <c r="E19" s="49"/>
      <c r="F19" s="39">
        <v>3</v>
      </c>
      <c r="G19" s="75" t="s">
        <v>1605</v>
      </c>
      <c r="H19" s="50" t="s">
        <v>78</v>
      </c>
      <c r="I19" s="50" t="s">
        <v>1606</v>
      </c>
      <c r="J19" s="50" t="s">
        <v>1607</v>
      </c>
      <c r="K19" s="50" t="s">
        <v>1608</v>
      </c>
      <c r="L19" s="47"/>
      <c r="M19" s="47"/>
      <c r="N19" s="47"/>
      <c r="O19" s="68"/>
      <c r="P19" s="68"/>
      <c r="Q19" s="47"/>
      <c r="R19" s="47"/>
      <c r="S19" s="47"/>
      <c r="T19" s="68"/>
      <c r="U19" s="68"/>
      <c r="V19" s="50" t="s">
        <v>119</v>
      </c>
      <c r="W19" s="74">
        <v>1</v>
      </c>
      <c r="X19" s="39">
        <f>MAX(0,$AK19-$W19-$Z19)</f>
        <v>0</v>
      </c>
      <c r="Y19" s="39"/>
      <c r="Z19" s="39"/>
      <c r="AA19" s="41">
        <v>0.17</v>
      </c>
      <c r="AB19" s="41">
        <f>IF(AND($X19&gt;0,ISNUMBER($AA19)),$X19*$AA19,0)</f>
        <v>0</v>
      </c>
      <c r="AK19" s="39">
        <f>SUM(AL19:AR19)</f>
        <v>1</v>
      </c>
      <c r="AL19" s="90"/>
      <c r="AM19" s="38"/>
      <c r="AN19" s="38"/>
      <c r="AO19" s="38"/>
      <c r="AP19" s="38"/>
      <c r="AQ19" s="38"/>
      <c r="AR19" s="100">
        <v>1</v>
      </c>
      <c r="AS19" s="42">
        <f>SUM(AT19:AZ19)</f>
        <v>1</v>
      </c>
      <c r="AT19" s="48"/>
      <c r="AU19" s="48"/>
      <c r="AV19" s="48"/>
      <c r="AW19" s="48"/>
      <c r="AX19" s="48"/>
      <c r="AY19" s="48"/>
      <c r="AZ19" s="48">
        <v>1</v>
      </c>
      <c r="BA19" s="43">
        <f>IF((W19-SUM(AT19:AZ19))&lt;0,0,W19-SUM(AT19:AZ19))</f>
        <v>0</v>
      </c>
      <c r="BB19" s="49"/>
      <c r="BC19" s="47"/>
      <c r="BD19" s="47"/>
    </row>
    <row r="20" spans="1:56" ht="15" customHeight="1">
      <c r="A20" s="49" t="s">
        <v>1629</v>
      </c>
      <c r="B20" s="39" t="s">
        <v>1203</v>
      </c>
      <c r="C20" s="46" t="s">
        <v>65</v>
      </c>
      <c r="D20" s="49" t="s">
        <v>84</v>
      </c>
      <c r="E20" s="49" t="s">
        <v>1630</v>
      </c>
      <c r="F20" s="39">
        <v>3</v>
      </c>
      <c r="G20" s="75" t="s">
        <v>1631</v>
      </c>
      <c r="H20" s="50" t="s">
        <v>172</v>
      </c>
      <c r="I20" s="50" t="s">
        <v>1632</v>
      </c>
      <c r="J20" s="50" t="s">
        <v>1633</v>
      </c>
      <c r="K20" s="50"/>
      <c r="L20" s="47"/>
      <c r="M20" s="47"/>
      <c r="N20" s="47"/>
      <c r="O20" s="68"/>
      <c r="P20" s="68"/>
      <c r="Q20" s="47"/>
      <c r="R20" s="47"/>
      <c r="S20" s="47"/>
      <c r="T20" s="68"/>
      <c r="U20" s="68"/>
      <c r="V20" s="50" t="s">
        <v>89</v>
      </c>
      <c r="W20" s="74">
        <v>1</v>
      </c>
      <c r="X20" s="39">
        <f>MAX(0,$AK20-$W20-$Z20)</f>
        <v>0</v>
      </c>
      <c r="Y20" s="39"/>
      <c r="Z20" s="39"/>
      <c r="AA20" s="41">
        <v>3.98</v>
      </c>
      <c r="AB20" s="41">
        <f>IF(AND($X20&gt;0,ISNUMBER($AA20)),$X20*$AA20,0)</f>
        <v>0</v>
      </c>
      <c r="AK20" s="39">
        <f>SUM(AL20:AR20)</f>
        <v>1</v>
      </c>
      <c r="AL20" s="90"/>
      <c r="AM20" s="38"/>
      <c r="AN20" s="38"/>
      <c r="AO20" s="38"/>
      <c r="AP20" s="38"/>
      <c r="AQ20" s="38"/>
      <c r="AR20" s="100">
        <v>1</v>
      </c>
      <c r="AS20" s="42">
        <f>SUM(AT20:AZ20)</f>
        <v>1</v>
      </c>
      <c r="AT20" s="48"/>
      <c r="AU20" s="48"/>
      <c r="AV20" s="48"/>
      <c r="AW20" s="48"/>
      <c r="AX20" s="48"/>
      <c r="AY20" s="48"/>
      <c r="AZ20" s="48">
        <v>1</v>
      </c>
      <c r="BA20" s="43">
        <f>IF((W20-SUM(AT20:AZ20))&lt;0,0,W20-SUM(AT20:AZ20))</f>
        <v>0</v>
      </c>
      <c r="BB20" s="49"/>
      <c r="BC20" s="47"/>
      <c r="BD20" s="47"/>
    </row>
    <row r="21" spans="1:56" ht="15" customHeight="1">
      <c r="A21" s="49" t="s">
        <v>1650</v>
      </c>
      <c r="B21" s="39" t="s">
        <v>1203</v>
      </c>
      <c r="C21" s="46" t="s">
        <v>65</v>
      </c>
      <c r="D21" s="49" t="s">
        <v>84</v>
      </c>
      <c r="E21" s="49" t="s">
        <v>1250</v>
      </c>
      <c r="F21" s="39">
        <v>3</v>
      </c>
      <c r="G21" s="75" t="s">
        <v>1651</v>
      </c>
      <c r="H21" s="50" t="s">
        <v>172</v>
      </c>
      <c r="I21" s="50" t="s">
        <v>1652</v>
      </c>
      <c r="J21" s="50"/>
      <c r="K21" s="50"/>
      <c r="L21" s="46"/>
      <c r="M21" s="46"/>
      <c r="N21" s="46"/>
      <c r="O21" s="68"/>
      <c r="P21" s="68"/>
      <c r="Q21" s="46"/>
      <c r="R21" s="46"/>
      <c r="S21" s="46"/>
      <c r="T21" s="68"/>
      <c r="U21" s="68"/>
      <c r="V21" s="50" t="s">
        <v>1653</v>
      </c>
      <c r="W21" s="74">
        <v>3</v>
      </c>
      <c r="X21" s="39">
        <f>MAX(0,$AK21-$W21-$Z21)</f>
        <v>0</v>
      </c>
      <c r="Y21" s="39"/>
      <c r="Z21" s="39"/>
      <c r="AA21" s="41">
        <v>0.26</v>
      </c>
      <c r="AB21" s="41">
        <f>IF(AND($X21&gt;0,ISNUMBER($AA21)),$X21*$AA21,0)</f>
        <v>0</v>
      </c>
      <c r="AK21" s="39">
        <f>SUM(AL21:AR21)</f>
        <v>3</v>
      </c>
      <c r="AL21" s="90"/>
      <c r="AM21" s="97">
        <v>1</v>
      </c>
      <c r="AN21" s="38"/>
      <c r="AO21" s="97">
        <v>1</v>
      </c>
      <c r="AP21" s="38"/>
      <c r="AQ21" s="38"/>
      <c r="AR21" s="100">
        <v>1</v>
      </c>
      <c r="AS21" s="42">
        <f>SUM(AT21:AZ21)</f>
        <v>3</v>
      </c>
      <c r="AT21" s="48"/>
      <c r="AU21" s="48">
        <v>1</v>
      </c>
      <c r="AV21" s="48"/>
      <c r="AW21" s="48">
        <v>1</v>
      </c>
      <c r="AX21" s="48"/>
      <c r="AY21" s="48"/>
      <c r="AZ21" s="48">
        <v>1</v>
      </c>
      <c r="BA21" s="43">
        <f>IF((W21-SUM(AT21:AZ21))&lt;0,0,W21-SUM(AT21:AZ21))</f>
        <v>0</v>
      </c>
      <c r="BB21" s="49"/>
      <c r="BC21" s="47"/>
      <c r="BD21" s="47"/>
    </row>
    <row r="22" spans="1:56" ht="15" customHeight="1">
      <c r="A22" s="35" t="s">
        <v>1668</v>
      </c>
      <c r="B22" s="36" t="s">
        <v>1203</v>
      </c>
      <c r="C22" s="38" t="s">
        <v>65</v>
      </c>
      <c r="D22" s="35" t="s">
        <v>134</v>
      </c>
      <c r="E22" s="35"/>
      <c r="F22" s="35">
        <v>4</v>
      </c>
      <c r="G22" s="75" t="s">
        <v>1669</v>
      </c>
      <c r="H22" s="35" t="s">
        <v>1252</v>
      </c>
      <c r="I22" s="35" t="s">
        <v>1670</v>
      </c>
      <c r="J22" s="35" t="s">
        <v>1671</v>
      </c>
      <c r="K22" s="35"/>
      <c r="L22" s="37"/>
      <c r="M22" s="37"/>
      <c r="N22" s="37"/>
      <c r="O22" s="68"/>
      <c r="P22" s="68"/>
      <c r="Q22" s="37"/>
      <c r="R22" s="37"/>
      <c r="S22" s="37"/>
      <c r="T22" s="68"/>
      <c r="U22" s="68"/>
      <c r="V22" s="35" t="s">
        <v>223</v>
      </c>
      <c r="W22" s="74">
        <v>1</v>
      </c>
      <c r="X22" s="39">
        <f>MAX(0,$AK22-$W22-$Z22)</f>
        <v>0</v>
      </c>
      <c r="Y22" s="35"/>
      <c r="Z22" s="35"/>
      <c r="AA22" s="35">
        <v>0.21</v>
      </c>
      <c r="AB22" s="41">
        <f>IF(AND($X22&gt;0,ISNUMBER($AA22)),$X22*$AA22,0)</f>
        <v>0</v>
      </c>
      <c r="AI22" s="63"/>
      <c r="AK22" s="39">
        <f>SUM(AL22:AR22)</f>
        <v>1</v>
      </c>
      <c r="AL22" s="90"/>
      <c r="AM22" s="38"/>
      <c r="AN22" s="38"/>
      <c r="AO22" s="38"/>
      <c r="AP22" s="38"/>
      <c r="AQ22" s="38"/>
      <c r="AR22" s="96">
        <v>1</v>
      </c>
      <c r="AS22" s="42">
        <f>SUM(AT22:AZ22)</f>
        <v>1</v>
      </c>
      <c r="AT22" s="48"/>
      <c r="AU22" s="48"/>
      <c r="AV22" s="48"/>
      <c r="AW22" s="48"/>
      <c r="AX22" s="48"/>
      <c r="AY22" s="48"/>
      <c r="AZ22" s="48">
        <v>1</v>
      </c>
      <c r="BA22" s="43">
        <f>IF((W22-SUM(AT22:AZ22))&lt;0,0,W22-SUM(AT22:AZ22))</f>
        <v>0</v>
      </c>
      <c r="BB22" s="35"/>
      <c r="BC22" s="37"/>
      <c r="BD22" s="37"/>
    </row>
    <row r="23" spans="1:56" ht="15" customHeight="1">
      <c r="A23" s="49" t="s">
        <v>1813</v>
      </c>
      <c r="B23" s="39" t="s">
        <v>64</v>
      </c>
      <c r="C23" s="46" t="s">
        <v>65</v>
      </c>
      <c r="D23" s="49" t="s">
        <v>68</v>
      </c>
      <c r="E23" s="49"/>
      <c r="F23" s="39">
        <v>0</v>
      </c>
      <c r="G23" s="75" t="s">
        <v>1814</v>
      </c>
      <c r="H23" s="50" t="s">
        <v>68</v>
      </c>
      <c r="I23" s="50" t="s">
        <v>1815</v>
      </c>
      <c r="J23" s="50" t="s">
        <v>1816</v>
      </c>
      <c r="K23" s="50"/>
      <c r="L23" s="47"/>
      <c r="M23" s="47"/>
      <c r="N23" s="47"/>
      <c r="O23" s="68"/>
      <c r="P23" s="68"/>
      <c r="Q23" s="47"/>
      <c r="R23" s="47"/>
      <c r="S23" s="47"/>
      <c r="T23" s="68"/>
      <c r="U23" s="68"/>
      <c r="V23" s="50" t="s">
        <v>167</v>
      </c>
      <c r="W23" s="74">
        <v>4</v>
      </c>
      <c r="X23" s="39">
        <f>MAX(0,$AK23-$W23-$Z23)</f>
        <v>0</v>
      </c>
      <c r="Y23" s="39"/>
      <c r="Z23" s="39"/>
      <c r="AA23" s="41">
        <v>0.18</v>
      </c>
      <c r="AB23" s="41">
        <f>IF(AND($X23&gt;0,ISNUMBER($AA23)),$X23*$AA23,0)</f>
        <v>0</v>
      </c>
      <c r="AK23" s="39">
        <f>SUM(AL23:AR23)</f>
        <v>3</v>
      </c>
      <c r="AL23" s="90"/>
      <c r="AM23" s="38"/>
      <c r="AN23" s="97">
        <v>1</v>
      </c>
      <c r="AO23" s="97">
        <v>1</v>
      </c>
      <c r="AP23" s="38"/>
      <c r="AQ23" s="38"/>
      <c r="AR23" s="100">
        <v>1</v>
      </c>
      <c r="AS23" s="42">
        <f>SUM(AT23:AZ23)</f>
        <v>3</v>
      </c>
      <c r="AT23" s="48"/>
      <c r="AU23" s="48"/>
      <c r="AV23" s="48">
        <v>1</v>
      </c>
      <c r="AW23" s="48">
        <v>1</v>
      </c>
      <c r="AX23" s="48"/>
      <c r="AY23" s="48"/>
      <c r="AZ23" s="48">
        <v>1</v>
      </c>
      <c r="BA23" s="43">
        <f>IF((W23-SUM(AT23:AZ23))&lt;0,0,W23-SUM(AT23:AZ23))</f>
        <v>1</v>
      </c>
      <c r="BB23" s="49"/>
      <c r="BC23" s="47"/>
      <c r="BD23" s="51"/>
    </row>
    <row r="24" spans="1:56" ht="15" customHeight="1">
      <c r="A24" s="49" t="s">
        <v>2203</v>
      </c>
      <c r="B24" s="39" t="s">
        <v>112</v>
      </c>
      <c r="C24" s="46" t="s">
        <v>65</v>
      </c>
      <c r="D24" s="49" t="s">
        <v>178</v>
      </c>
      <c r="E24" s="49" t="s">
        <v>2204</v>
      </c>
      <c r="F24" s="39">
        <v>5</v>
      </c>
      <c r="G24" s="75" t="s">
        <v>2205</v>
      </c>
      <c r="H24" s="50" t="s">
        <v>402</v>
      </c>
      <c r="I24" s="50" t="s">
        <v>2206</v>
      </c>
      <c r="J24" s="50" t="s">
        <v>2207</v>
      </c>
      <c r="K24" s="50"/>
      <c r="L24" s="47"/>
      <c r="M24" s="47"/>
      <c r="N24" s="47"/>
      <c r="O24" s="68"/>
      <c r="P24" s="68"/>
      <c r="Q24" s="47"/>
      <c r="R24" s="47"/>
      <c r="S24" s="47"/>
      <c r="T24" s="68"/>
      <c r="U24" s="68"/>
      <c r="V24" s="50" t="s">
        <v>119</v>
      </c>
      <c r="W24" s="74">
        <v>1</v>
      </c>
      <c r="X24" s="39">
        <f>MAX(0,$AK24-$W24-$Z24)</f>
        <v>0</v>
      </c>
      <c r="Y24" s="39"/>
      <c r="Z24" s="39"/>
      <c r="AA24" s="41">
        <v>0.4</v>
      </c>
      <c r="AB24" s="41">
        <f>IF(AND($X24&gt;0,ISNUMBER($AA24)),$X24*$AA24,0)</f>
        <v>0</v>
      </c>
      <c r="AK24" s="39">
        <f>SUM(AL24:AR24)</f>
        <v>1</v>
      </c>
      <c r="AL24" s="90"/>
      <c r="AM24" s="38"/>
      <c r="AN24" s="38"/>
      <c r="AO24" s="38"/>
      <c r="AP24" s="38"/>
      <c r="AQ24" s="38"/>
      <c r="AR24" s="100">
        <v>1</v>
      </c>
      <c r="AS24" s="42">
        <f>SUM(AT24:AZ24)</f>
        <v>1</v>
      </c>
      <c r="AT24" s="48"/>
      <c r="AU24" s="48"/>
      <c r="AV24" s="48"/>
      <c r="AW24" s="48"/>
      <c r="AX24" s="48"/>
      <c r="AY24" s="48"/>
      <c r="AZ24" s="48">
        <v>1</v>
      </c>
      <c r="BA24" s="43">
        <f>IF((W24-SUM(AT24:AZ24))&lt;0,0,W24-SUM(AT24:AZ24))</f>
        <v>0</v>
      </c>
      <c r="BB24" s="49"/>
      <c r="BC24" s="47"/>
      <c r="BD24" s="47"/>
    </row>
    <row r="25" spans="1:56" ht="15" customHeight="1">
      <c r="A25" s="44" t="s">
        <v>2218</v>
      </c>
      <c r="B25" s="45" t="s">
        <v>112</v>
      </c>
      <c r="C25" s="46" t="s">
        <v>65</v>
      </c>
      <c r="D25" s="44" t="s">
        <v>84</v>
      </c>
      <c r="E25" s="44" t="s">
        <v>1455</v>
      </c>
      <c r="F25" s="45">
        <v>3</v>
      </c>
      <c r="G25" s="75" t="s">
        <v>2219</v>
      </c>
      <c r="H25" s="44" t="s">
        <v>1182</v>
      </c>
      <c r="I25" s="44" t="s">
        <v>2220</v>
      </c>
      <c r="J25" s="44"/>
      <c r="K25" s="44"/>
      <c r="L25" s="46"/>
      <c r="M25" s="46"/>
      <c r="N25" s="46"/>
      <c r="O25" s="68"/>
      <c r="P25" s="68"/>
      <c r="Q25" s="46"/>
      <c r="R25" s="46"/>
      <c r="S25" s="46"/>
      <c r="T25" s="68"/>
      <c r="U25" s="68"/>
      <c r="V25" s="44" t="s">
        <v>167</v>
      </c>
      <c r="W25" s="74">
        <v>3</v>
      </c>
      <c r="X25" s="39">
        <f>MAX(0,$AK25-$W25-$Z25)</f>
        <v>0</v>
      </c>
      <c r="Y25" s="44"/>
      <c r="Z25" s="44"/>
      <c r="AA25" s="44">
        <v>0.15</v>
      </c>
      <c r="AB25" s="44">
        <f>IF(AND($X25&gt;0,ISNUMBER($AA25)),$X25*$AA25,0)</f>
        <v>0</v>
      </c>
      <c r="AD25" s="63"/>
      <c r="AK25" s="39">
        <f>SUM(AL25:AR25)</f>
        <v>2</v>
      </c>
      <c r="AL25" s="90"/>
      <c r="AM25" s="97">
        <v>1</v>
      </c>
      <c r="AN25" s="38"/>
      <c r="AO25" s="38"/>
      <c r="AP25" s="38"/>
      <c r="AQ25" s="38"/>
      <c r="AR25" s="100">
        <v>1</v>
      </c>
      <c r="AS25" s="42">
        <f>SUM(AT25:AZ25)</f>
        <v>2</v>
      </c>
      <c r="AT25" s="48"/>
      <c r="AU25" s="48">
        <v>1</v>
      </c>
      <c r="AV25" s="48"/>
      <c r="AW25" s="48"/>
      <c r="AX25" s="48"/>
      <c r="AY25" s="48"/>
      <c r="AZ25" s="48">
        <v>1</v>
      </c>
      <c r="BA25" s="43">
        <f>IF((W25-SUM(AT25:AZ25))&lt;0,0,W25-SUM(AT25:AZ25))</f>
        <v>1</v>
      </c>
      <c r="BB25" s="44"/>
      <c r="BC25" s="47"/>
      <c r="BD25" s="47"/>
    </row>
    <row r="26" spans="1:56" ht="15" customHeight="1">
      <c r="A26" s="49" t="s">
        <v>3001</v>
      </c>
      <c r="B26" s="39" t="s">
        <v>3002</v>
      </c>
      <c r="C26" s="46" t="s">
        <v>65</v>
      </c>
      <c r="D26" s="49" t="s">
        <v>76</v>
      </c>
      <c r="E26" s="49"/>
      <c r="F26" s="39">
        <v>4</v>
      </c>
      <c r="G26" s="75" t="s">
        <v>3003</v>
      </c>
      <c r="H26" s="50" t="s">
        <v>2190</v>
      </c>
      <c r="I26" s="50" t="s">
        <v>3004</v>
      </c>
      <c r="J26" s="50"/>
      <c r="K26" s="50"/>
      <c r="L26" s="47"/>
      <c r="M26" s="47"/>
      <c r="N26" s="47"/>
      <c r="O26" s="68"/>
      <c r="P26" s="68"/>
      <c r="Q26" s="47"/>
      <c r="R26" s="47"/>
      <c r="S26" s="47"/>
      <c r="T26" s="68"/>
      <c r="U26" s="68"/>
      <c r="V26" s="50" t="s">
        <v>217</v>
      </c>
      <c r="W26" s="74">
        <v>1</v>
      </c>
      <c r="X26" s="39">
        <f>MAX(0,$AK26-$W26-$Z26)</f>
        <v>0</v>
      </c>
      <c r="Y26" s="39"/>
      <c r="Z26" s="39"/>
      <c r="AA26" s="41">
        <v>0.62</v>
      </c>
      <c r="AB26" s="41">
        <f>IF(AND($X26&gt;0,ISNUMBER($AA26)),$X26*$AA26,0)</f>
        <v>0</v>
      </c>
      <c r="AI26" s="63" t="s">
        <v>3005</v>
      </c>
      <c r="AK26" s="39">
        <f>SUM(AL26:AR26)</f>
        <v>1</v>
      </c>
      <c r="AL26" s="90"/>
      <c r="AM26" s="38"/>
      <c r="AN26" s="38"/>
      <c r="AO26" s="38"/>
      <c r="AP26" s="38"/>
      <c r="AQ26" s="38"/>
      <c r="AR26" s="96">
        <v>1</v>
      </c>
      <c r="AS26" s="42">
        <f>SUM(AT26:AZ26)</f>
        <v>1</v>
      </c>
      <c r="AT26" s="48"/>
      <c r="AU26" s="48"/>
      <c r="AV26" s="48"/>
      <c r="AW26" s="48"/>
      <c r="AX26" s="48"/>
      <c r="AY26" s="48"/>
      <c r="AZ26" s="48">
        <v>1</v>
      </c>
      <c r="BA26" s="43">
        <f>IF((W26-SUM(AT26:AZ26))&lt;0,0,W26-SUM(AT26:AZ26))</f>
        <v>0</v>
      </c>
      <c r="BB26" s="49"/>
      <c r="BC26" s="47"/>
      <c r="BD26" s="47"/>
    </row>
    <row r="27" spans="1:56" ht="15" customHeight="1">
      <c r="A27" s="49" t="s">
        <v>3020</v>
      </c>
      <c r="B27" s="39" t="s">
        <v>3002</v>
      </c>
      <c r="C27" s="46" t="s">
        <v>65</v>
      </c>
      <c r="D27" s="49" t="s">
        <v>76</v>
      </c>
      <c r="E27" s="49"/>
      <c r="F27" s="39">
        <v>2</v>
      </c>
      <c r="G27" s="75" t="s">
        <v>3021</v>
      </c>
      <c r="H27" s="50" t="s">
        <v>2190</v>
      </c>
      <c r="I27" s="50" t="s">
        <v>3022</v>
      </c>
      <c r="J27" s="50"/>
      <c r="K27" s="50"/>
      <c r="L27" s="46"/>
      <c r="M27" s="46"/>
      <c r="N27" s="46"/>
      <c r="O27" s="46"/>
      <c r="P27" s="46"/>
      <c r="Q27" s="46"/>
      <c r="R27" s="46"/>
      <c r="S27" s="46"/>
      <c r="T27" s="46"/>
      <c r="U27" s="46"/>
      <c r="V27" s="50" t="s">
        <v>70</v>
      </c>
      <c r="W27" s="74">
        <v>1</v>
      </c>
      <c r="X27" s="39">
        <f>MAX(0,$AK27-$W27-$Z27)</f>
        <v>0</v>
      </c>
      <c r="Y27" s="39"/>
      <c r="Z27" s="39"/>
      <c r="AA27" s="41">
        <v>4</v>
      </c>
      <c r="AB27" s="41">
        <f>IF(AND($X27&gt;0,ISNUMBER($AA27)),$X27*$AA27,0)</f>
        <v>0</v>
      </c>
      <c r="AK27" s="39">
        <f>SUM(AL27:AR27)</f>
        <v>1</v>
      </c>
      <c r="AL27" s="90"/>
      <c r="AM27" s="38"/>
      <c r="AN27" s="38"/>
      <c r="AO27" s="38"/>
      <c r="AP27" s="38"/>
      <c r="AQ27" s="38"/>
      <c r="AR27" s="100">
        <v>1</v>
      </c>
      <c r="AS27" s="42">
        <f>SUM(AT27:AZ27)</f>
        <v>1</v>
      </c>
      <c r="AT27" s="48"/>
      <c r="AU27" s="48"/>
      <c r="AV27" s="48"/>
      <c r="AW27" s="48"/>
      <c r="AX27" s="48"/>
      <c r="AY27" s="48"/>
      <c r="AZ27" s="48">
        <v>1</v>
      </c>
      <c r="BA27" s="43">
        <f>IF((W27-SUM(AT27:AZ27))&lt;0,0,W27-SUM(AT27:AZ27))</f>
        <v>0</v>
      </c>
      <c r="BB27" s="49"/>
      <c r="BC27" s="47"/>
      <c r="BD27" s="47"/>
    </row>
    <row r="28" spans="1:56" ht="15" customHeight="1">
      <c r="A28" s="49" t="s">
        <v>3027</v>
      </c>
      <c r="B28" s="39" t="s">
        <v>3002</v>
      </c>
      <c r="C28" s="46" t="s">
        <v>65</v>
      </c>
      <c r="D28" s="49" t="s">
        <v>76</v>
      </c>
      <c r="E28" s="49"/>
      <c r="F28" s="39">
        <v>2</v>
      </c>
      <c r="G28" s="75" t="s">
        <v>3028</v>
      </c>
      <c r="H28" s="50" t="s">
        <v>2190</v>
      </c>
      <c r="I28" s="50" t="s">
        <v>3029</v>
      </c>
      <c r="J28" s="50" t="s">
        <v>3030</v>
      </c>
      <c r="K28" s="50"/>
      <c r="L28" s="47"/>
      <c r="M28" s="47"/>
      <c r="N28" s="47"/>
      <c r="O28" s="68"/>
      <c r="P28" s="68"/>
      <c r="Q28" s="47"/>
      <c r="R28" s="47"/>
      <c r="S28" s="47"/>
      <c r="T28" s="68"/>
      <c r="U28" s="68"/>
      <c r="V28" s="50" t="s">
        <v>3031</v>
      </c>
      <c r="W28" s="74">
        <v>1</v>
      </c>
      <c r="X28" s="39">
        <f>MAX(0,$AK28-$W28-$Z28)</f>
        <v>0</v>
      </c>
      <c r="Y28" s="39" t="s">
        <v>265</v>
      </c>
      <c r="Z28" s="39">
        <v>1</v>
      </c>
      <c r="AA28" s="41">
        <v>0.26</v>
      </c>
      <c r="AB28" s="41">
        <f>IF(AND($X28&gt;0,ISNUMBER($AA28)),$X28*$AA28,0)</f>
        <v>0</v>
      </c>
      <c r="AI28" s="63"/>
      <c r="AJ28" s="106">
        <v>1</v>
      </c>
      <c r="AK28" s="39">
        <f>SUM(AL28:AR28)</f>
        <v>1</v>
      </c>
      <c r="AL28" s="90"/>
      <c r="AM28" s="38"/>
      <c r="AN28" s="38"/>
      <c r="AO28" s="38"/>
      <c r="AP28" s="38"/>
      <c r="AQ28" s="38"/>
      <c r="AR28" s="100">
        <v>1</v>
      </c>
      <c r="AS28" s="42">
        <f>SUM(AT28:AZ28)</f>
        <v>1</v>
      </c>
      <c r="AT28" s="48"/>
      <c r="AU28" s="48"/>
      <c r="AV28" s="48"/>
      <c r="AW28" s="48"/>
      <c r="AX28" s="48"/>
      <c r="AY28" s="48"/>
      <c r="AZ28" s="48">
        <v>1</v>
      </c>
      <c r="BA28" s="43">
        <f>IF((W28-SUM(AT28:AZ28))&lt;0,0,W28-SUM(AT28:AZ28))</f>
        <v>0</v>
      </c>
      <c r="BB28" s="49"/>
      <c r="BC28" s="47"/>
      <c r="BD28" s="126"/>
    </row>
    <row r="29" spans="1:56" ht="15" customHeight="1">
      <c r="A29" s="35" t="s">
        <v>3036</v>
      </c>
      <c r="B29" s="36" t="s">
        <v>3002</v>
      </c>
      <c r="C29" s="38" t="s">
        <v>65</v>
      </c>
      <c r="D29" s="35" t="s">
        <v>84</v>
      </c>
      <c r="E29" s="35" t="s">
        <v>3037</v>
      </c>
      <c r="F29" s="36">
        <v>2</v>
      </c>
      <c r="G29" s="75" t="s">
        <v>3038</v>
      </c>
      <c r="H29" s="35" t="s">
        <v>2354</v>
      </c>
      <c r="I29" s="35" t="s">
        <v>3039</v>
      </c>
      <c r="J29" s="35"/>
      <c r="K29" s="35"/>
      <c r="L29" s="37"/>
      <c r="M29" s="37"/>
      <c r="N29" s="37"/>
      <c r="O29" s="68"/>
      <c r="P29" s="68"/>
      <c r="Q29" s="37"/>
      <c r="R29" s="37"/>
      <c r="S29" s="37"/>
      <c r="T29" s="68"/>
      <c r="U29" s="68"/>
      <c r="V29" s="35" t="s">
        <v>167</v>
      </c>
      <c r="W29" s="74">
        <v>1</v>
      </c>
      <c r="X29" s="39">
        <f>MAX(0,$AK29-$W29-$Z29)</f>
        <v>0</v>
      </c>
      <c r="Y29" s="35"/>
      <c r="Z29" s="35"/>
      <c r="AA29" s="40">
        <v>0.1</v>
      </c>
      <c r="AB29" s="41">
        <f>IF(AND($X29&gt;0,ISNUMBER($AA29)),$X29*$AA29,0)</f>
        <v>0</v>
      </c>
      <c r="AK29" s="39">
        <f>SUM(AL29:AR29)</f>
        <v>1</v>
      </c>
      <c r="AL29" s="90"/>
      <c r="AM29" s="38"/>
      <c r="AN29" s="38"/>
      <c r="AO29" s="38"/>
      <c r="AP29" s="38"/>
      <c r="AQ29" s="38"/>
      <c r="AR29" s="100">
        <v>1</v>
      </c>
      <c r="AS29" s="42">
        <f>SUM(AT29:AZ29)</f>
        <v>1</v>
      </c>
      <c r="AT29" s="48"/>
      <c r="AU29" s="48"/>
      <c r="AV29" s="48"/>
      <c r="AW29" s="48"/>
      <c r="AX29" s="48"/>
      <c r="AY29" s="48"/>
      <c r="AZ29" s="48">
        <v>1</v>
      </c>
      <c r="BA29" s="43">
        <f>IF((W29-SUM(AT29:AZ29))&lt;0,0,W29-SUM(AT29:AZ29))</f>
        <v>0</v>
      </c>
      <c r="BB29" s="35"/>
      <c r="BC29" s="37"/>
      <c r="BD29" s="130"/>
    </row>
    <row r="30" spans="1:56" ht="15" customHeight="1">
      <c r="A30" s="44" t="s">
        <v>3040</v>
      </c>
      <c r="B30" s="45" t="s">
        <v>3002</v>
      </c>
      <c r="C30" s="46" t="s">
        <v>65</v>
      </c>
      <c r="D30" s="44" t="s">
        <v>256</v>
      </c>
      <c r="E30" s="44" t="s">
        <v>468</v>
      </c>
      <c r="F30" s="45">
        <v>3</v>
      </c>
      <c r="G30" s="75" t="s">
        <v>3041</v>
      </c>
      <c r="H30" s="44" t="s">
        <v>78</v>
      </c>
      <c r="I30" s="44" t="s">
        <v>3042</v>
      </c>
      <c r="J30" s="44" t="s">
        <v>3043</v>
      </c>
      <c r="K30" s="44" t="s">
        <v>3044</v>
      </c>
      <c r="L30" s="47"/>
      <c r="M30" s="47"/>
      <c r="N30" s="47"/>
      <c r="O30" s="68"/>
      <c r="P30" s="68"/>
      <c r="Q30" s="47"/>
      <c r="R30" s="47"/>
      <c r="S30" s="47"/>
      <c r="T30" s="68"/>
      <c r="U30" s="68"/>
      <c r="V30" s="44" t="s">
        <v>167</v>
      </c>
      <c r="W30" s="74">
        <v>2</v>
      </c>
      <c r="X30" s="39">
        <f>MAX(0,$AK30-$W30-$Z30)</f>
        <v>0</v>
      </c>
      <c r="Y30" s="44"/>
      <c r="Z30" s="44"/>
      <c r="AA30" s="44">
        <v>0.15</v>
      </c>
      <c r="AB30" s="44">
        <f>IF(AND($X30&gt;0,ISNUMBER($AA30)),$X30*$AA30,0)</f>
        <v>0</v>
      </c>
      <c r="AI30" s="63"/>
      <c r="AK30" s="39">
        <f>SUM(AL30:AR30)</f>
        <v>1</v>
      </c>
      <c r="AL30" s="90"/>
      <c r="AM30" s="38"/>
      <c r="AN30" s="38"/>
      <c r="AO30" s="38"/>
      <c r="AP30" s="38"/>
      <c r="AQ30" s="38"/>
      <c r="AR30" s="96">
        <v>1</v>
      </c>
      <c r="AS30" s="42">
        <f>SUM(AT30:AZ30)</f>
        <v>1</v>
      </c>
      <c r="AT30" s="48"/>
      <c r="AU30" s="48"/>
      <c r="AV30" s="48"/>
      <c r="AW30" s="48"/>
      <c r="AX30" s="48"/>
      <c r="AY30" s="48"/>
      <c r="AZ30" s="48">
        <v>1</v>
      </c>
      <c r="BA30" s="43">
        <f>IF((W30-SUM(AT30:AZ30))&lt;0,0,W30-SUM(AT30:AZ30))</f>
        <v>1</v>
      </c>
      <c r="BB30" s="44"/>
      <c r="BC30" s="47"/>
      <c r="BD30" s="126"/>
    </row>
    <row r="31" spans="1:56" ht="15" customHeight="1">
      <c r="A31" s="35" t="s">
        <v>3045</v>
      </c>
      <c r="B31" s="36" t="s">
        <v>3002</v>
      </c>
      <c r="C31" s="38" t="s">
        <v>65</v>
      </c>
      <c r="D31" s="35" t="s">
        <v>76</v>
      </c>
      <c r="E31" s="35"/>
      <c r="F31" s="35">
        <v>2</v>
      </c>
      <c r="G31" s="75" t="s">
        <v>3046</v>
      </c>
      <c r="H31" s="35" t="s">
        <v>2190</v>
      </c>
      <c r="I31" s="35" t="s">
        <v>3047</v>
      </c>
      <c r="J31" s="35"/>
      <c r="K31" s="35"/>
      <c r="L31" s="37"/>
      <c r="M31" s="37"/>
      <c r="N31" s="37"/>
      <c r="O31" s="68"/>
      <c r="P31" s="68"/>
      <c r="Q31" s="37"/>
      <c r="R31" s="37"/>
      <c r="S31" s="37"/>
      <c r="T31" s="68"/>
      <c r="U31" s="68"/>
      <c r="V31" s="35" t="s">
        <v>790</v>
      </c>
      <c r="W31" s="74">
        <v>1</v>
      </c>
      <c r="X31" s="39">
        <f>MAX(0,$AK31-$W31-$Z31)</f>
        <v>0</v>
      </c>
      <c r="Y31" s="35"/>
      <c r="Z31" s="35"/>
      <c r="AA31" s="35">
        <v>7.0000000000000007E-2</v>
      </c>
      <c r="AB31" s="41">
        <f>IF(AND($X31&gt;0,ISNUMBER($AA31)),$X31*$AA31,0)</f>
        <v>0</v>
      </c>
      <c r="AI31" s="63"/>
      <c r="AK31" s="39">
        <f>SUM(AL31:AR31)</f>
        <v>1</v>
      </c>
      <c r="AL31" s="90"/>
      <c r="AM31" s="38"/>
      <c r="AN31" s="38"/>
      <c r="AO31" s="38"/>
      <c r="AP31" s="38"/>
      <c r="AQ31" s="38"/>
      <c r="AR31" s="100">
        <v>1</v>
      </c>
      <c r="AS31" s="42">
        <f>SUM(AT31:AZ31)</f>
        <v>1</v>
      </c>
      <c r="AT31" s="48"/>
      <c r="AU31" s="48"/>
      <c r="AV31" s="48"/>
      <c r="AW31" s="48"/>
      <c r="AX31" s="48"/>
      <c r="AY31" s="48"/>
      <c r="AZ31" s="48">
        <v>1</v>
      </c>
      <c r="BA31" s="43">
        <f>IF((W31-SUM(AT31:AZ31))&lt;0,0,W31-SUM(AT31:AZ31))</f>
        <v>0</v>
      </c>
      <c r="BB31" s="35"/>
      <c r="BC31" s="37"/>
      <c r="BD31" s="130"/>
    </row>
    <row r="32" spans="1:56" ht="15" customHeight="1">
      <c r="A32" s="49" t="s">
        <v>3048</v>
      </c>
      <c r="B32" s="39" t="s">
        <v>3002</v>
      </c>
      <c r="C32" s="46" t="s">
        <v>65</v>
      </c>
      <c r="D32" s="49" t="s">
        <v>84</v>
      </c>
      <c r="E32" s="49" t="s">
        <v>2421</v>
      </c>
      <c r="F32" s="39">
        <v>2</v>
      </c>
      <c r="G32" s="75" t="s">
        <v>3049</v>
      </c>
      <c r="H32" s="50" t="s">
        <v>78</v>
      </c>
      <c r="I32" s="50" t="s">
        <v>3050</v>
      </c>
      <c r="J32" s="50"/>
      <c r="K32" s="50"/>
      <c r="L32" s="47"/>
      <c r="M32" s="47"/>
      <c r="N32" s="47"/>
      <c r="O32" s="68"/>
      <c r="P32" s="68"/>
      <c r="Q32" s="47"/>
      <c r="R32" s="47"/>
      <c r="S32" s="47"/>
      <c r="T32" s="68"/>
      <c r="U32" s="68"/>
      <c r="V32" s="50" t="s">
        <v>145</v>
      </c>
      <c r="W32" s="74">
        <v>1</v>
      </c>
      <c r="X32" s="39">
        <f>MAX(0,$AK32-$W32-$Z32)</f>
        <v>0</v>
      </c>
      <c r="Y32" s="39"/>
      <c r="Z32" s="39"/>
      <c r="AA32" s="41">
        <v>0.09</v>
      </c>
      <c r="AB32" s="41">
        <f>IF(AND($X32&gt;0,ISNUMBER($AA32)),$X32*$AA32,0)</f>
        <v>0</v>
      </c>
      <c r="AI32" s="63"/>
      <c r="AJ32" s="63"/>
      <c r="AK32" s="39">
        <f>SUM(AL32:AR32)</f>
        <v>1</v>
      </c>
      <c r="AL32" s="90"/>
      <c r="AM32" s="38"/>
      <c r="AN32" s="38"/>
      <c r="AO32" s="38"/>
      <c r="AP32" s="38"/>
      <c r="AQ32" s="38"/>
      <c r="AR32" s="100">
        <v>1</v>
      </c>
      <c r="AS32" s="42">
        <f>SUM(AT32:AZ32)</f>
        <v>1</v>
      </c>
      <c r="AT32" s="48"/>
      <c r="AU32" s="48"/>
      <c r="AV32" s="48"/>
      <c r="AW32" s="48"/>
      <c r="AX32" s="48"/>
      <c r="AY32" s="48"/>
      <c r="AZ32" s="48">
        <v>1</v>
      </c>
      <c r="BA32" s="43">
        <f>IF((W32-SUM(AT32:AZ32))&lt;0,0,W32-SUM(AT32:AZ32))</f>
        <v>0</v>
      </c>
      <c r="BB32" s="49"/>
      <c r="BC32" s="47"/>
      <c r="BD32" s="47"/>
    </row>
    <row r="33" spans="1:56" ht="15" customHeight="1">
      <c r="A33" s="49" t="s">
        <v>3087</v>
      </c>
      <c r="B33" s="39" t="s">
        <v>3002</v>
      </c>
      <c r="C33" s="46" t="s">
        <v>65</v>
      </c>
      <c r="D33" s="49" t="s">
        <v>84</v>
      </c>
      <c r="E33" s="49" t="s">
        <v>3088</v>
      </c>
      <c r="F33" s="39">
        <v>2</v>
      </c>
      <c r="G33" s="75" t="s">
        <v>3089</v>
      </c>
      <c r="H33" s="50" t="s">
        <v>499</v>
      </c>
      <c r="I33" s="50" t="s">
        <v>3090</v>
      </c>
      <c r="J33" s="50"/>
      <c r="K33" s="50"/>
      <c r="L33" s="47"/>
      <c r="M33" s="47"/>
      <c r="N33" s="47"/>
      <c r="O33" s="68"/>
      <c r="P33" s="68"/>
      <c r="Q33" s="47"/>
      <c r="R33" s="47"/>
      <c r="S33" s="47"/>
      <c r="T33" s="68"/>
      <c r="U33" s="68"/>
      <c r="V33" s="50" t="s">
        <v>119</v>
      </c>
      <c r="W33" s="74">
        <v>1</v>
      </c>
      <c r="X33" s="39">
        <f>MAX(0,$AK33-$W33-$Z33)</f>
        <v>0</v>
      </c>
      <c r="Y33" s="39"/>
      <c r="Z33" s="39"/>
      <c r="AA33" s="41">
        <v>0.23</v>
      </c>
      <c r="AB33" s="41">
        <f>IF(AND($X33&gt;0,ISNUMBER($AA33)),$X33*$AA33,0)</f>
        <v>0</v>
      </c>
      <c r="AK33" s="39">
        <f>SUM(AL33:AR33)</f>
        <v>1</v>
      </c>
      <c r="AL33" s="90"/>
      <c r="AM33" s="38"/>
      <c r="AN33" s="38"/>
      <c r="AO33" s="38"/>
      <c r="AP33" s="38"/>
      <c r="AQ33" s="38"/>
      <c r="AR33" s="100">
        <v>1</v>
      </c>
      <c r="AS33" s="42">
        <f>SUM(AT33:AZ33)</f>
        <v>1</v>
      </c>
      <c r="AT33" s="48"/>
      <c r="AU33" s="48"/>
      <c r="AV33" s="48"/>
      <c r="AW33" s="48"/>
      <c r="AX33" s="48"/>
      <c r="AY33" s="48"/>
      <c r="AZ33" s="48">
        <v>1</v>
      </c>
      <c r="BA33" s="43">
        <f>IF((W33-SUM(AT33:AZ33))&lt;0,0,W33-SUM(AT33:AZ33))</f>
        <v>0</v>
      </c>
      <c r="BB33" s="49"/>
      <c r="BC33" s="47"/>
      <c r="BD33" s="47"/>
    </row>
    <row r="34" spans="1:56" ht="15" customHeight="1">
      <c r="A34" s="49" t="s">
        <v>3091</v>
      </c>
      <c r="B34" s="39" t="s">
        <v>3002</v>
      </c>
      <c r="C34" s="46" t="s">
        <v>65</v>
      </c>
      <c r="D34" s="49" t="s">
        <v>84</v>
      </c>
      <c r="E34" s="49" t="s">
        <v>2421</v>
      </c>
      <c r="F34" s="39">
        <v>3</v>
      </c>
      <c r="G34" s="75" t="s">
        <v>3092</v>
      </c>
      <c r="H34" s="50" t="s">
        <v>238</v>
      </c>
      <c r="I34" s="50" t="s">
        <v>3093</v>
      </c>
      <c r="J34" s="50" t="s">
        <v>3094</v>
      </c>
      <c r="K34" s="50"/>
      <c r="L34" s="47"/>
      <c r="M34" s="47"/>
      <c r="N34" s="47"/>
      <c r="O34" s="68"/>
      <c r="P34" s="68"/>
      <c r="Q34" s="47"/>
      <c r="R34" s="47"/>
      <c r="S34" s="47"/>
      <c r="T34" s="68"/>
      <c r="U34" s="68"/>
      <c r="V34" s="50" t="s">
        <v>119</v>
      </c>
      <c r="W34" s="74">
        <v>1</v>
      </c>
      <c r="X34" s="39">
        <f>MAX(0,$AK34-$W34-$Z34)</f>
        <v>0</v>
      </c>
      <c r="Y34" s="39"/>
      <c r="Z34" s="39"/>
      <c r="AA34" s="41">
        <v>0.24</v>
      </c>
      <c r="AB34" s="41">
        <f>IF(AND($X34&gt;0,ISNUMBER($AA34)),$X34*$AA34,0)</f>
        <v>0</v>
      </c>
      <c r="AI34" s="63"/>
      <c r="AK34" s="39">
        <f>SUM(AL34:AR34)</f>
        <v>1</v>
      </c>
      <c r="AL34" s="90"/>
      <c r="AM34" s="38"/>
      <c r="AN34" s="38"/>
      <c r="AO34" s="38"/>
      <c r="AP34" s="38"/>
      <c r="AQ34" s="38"/>
      <c r="AR34" s="100">
        <v>1</v>
      </c>
      <c r="AS34" s="42">
        <f>SUM(AT34:AZ34)</f>
        <v>1</v>
      </c>
      <c r="AT34" s="48"/>
      <c r="AU34" s="48"/>
      <c r="AV34" s="48"/>
      <c r="AW34" s="48"/>
      <c r="AX34" s="48"/>
      <c r="AY34" s="48"/>
      <c r="AZ34" s="48">
        <v>1</v>
      </c>
      <c r="BA34" s="43">
        <f>IF((W34-SUM(AT34:AZ34))&lt;0,0,W34-SUM(AT34:AZ34))</f>
        <v>0</v>
      </c>
      <c r="BB34" s="49"/>
      <c r="BC34" s="47"/>
      <c r="BD34" s="47"/>
    </row>
    <row r="35" spans="1:56" ht="15" customHeight="1">
      <c r="A35" s="44" t="s">
        <v>3162</v>
      </c>
      <c r="B35" s="45" t="s">
        <v>3002</v>
      </c>
      <c r="C35" s="46" t="s">
        <v>65</v>
      </c>
      <c r="D35" s="44" t="s">
        <v>76</v>
      </c>
      <c r="E35" s="44"/>
      <c r="F35" s="45">
        <v>2</v>
      </c>
      <c r="G35" s="75" t="s">
        <v>3163</v>
      </c>
      <c r="H35" s="44" t="s">
        <v>293</v>
      </c>
      <c r="I35" s="44" t="s">
        <v>3164</v>
      </c>
      <c r="J35" s="44" t="s">
        <v>3165</v>
      </c>
      <c r="K35" s="44"/>
      <c r="L35" s="47"/>
      <c r="M35" s="47"/>
      <c r="N35" s="47"/>
      <c r="O35" s="68"/>
      <c r="P35" s="68"/>
      <c r="Q35" s="47"/>
      <c r="R35" s="47"/>
      <c r="S35" s="47"/>
      <c r="T35" s="68"/>
      <c r="U35" s="68"/>
      <c r="V35" s="44" t="s">
        <v>167</v>
      </c>
      <c r="W35" s="74">
        <v>2</v>
      </c>
      <c r="X35" s="39">
        <f>MAX(0,$AK35-$W35-$Z35)</f>
        <v>0</v>
      </c>
      <c r="Y35" s="44"/>
      <c r="Z35" s="44"/>
      <c r="AA35" s="44">
        <v>0.18</v>
      </c>
      <c r="AB35" s="44">
        <f>IF(AND($X35&gt;0,ISNUMBER($AA35)),$X35*$AA35,0)</f>
        <v>0</v>
      </c>
      <c r="AE35" s="63" t="s">
        <v>1255</v>
      </c>
      <c r="AI35" s="63"/>
      <c r="AK35" s="39">
        <f>SUM(AL35:AR35)</f>
        <v>2</v>
      </c>
      <c r="AL35" s="90"/>
      <c r="AM35" s="38"/>
      <c r="AN35" s="99">
        <v>1</v>
      </c>
      <c r="AO35" s="38"/>
      <c r="AP35" s="38"/>
      <c r="AQ35" s="38"/>
      <c r="AR35" s="96">
        <v>1</v>
      </c>
      <c r="AS35" s="42">
        <f>SUM(AT35:AZ35)</f>
        <v>2</v>
      </c>
      <c r="AT35" s="48"/>
      <c r="AU35" s="48"/>
      <c r="AV35" s="48">
        <v>1</v>
      </c>
      <c r="AW35" s="48"/>
      <c r="AX35" s="48"/>
      <c r="AY35" s="48"/>
      <c r="AZ35" s="48">
        <v>1</v>
      </c>
      <c r="BA35" s="43">
        <f>IF((W35-SUM(AT35:AZ35))&lt;0,0,W35-SUM(AT35:AZ35))</f>
        <v>0</v>
      </c>
      <c r="BB35" s="44"/>
      <c r="BC35" s="47"/>
      <c r="BD35" s="47"/>
    </row>
    <row r="36" spans="1:56" ht="15" customHeight="1">
      <c r="A36" s="44" t="s">
        <v>3175</v>
      </c>
      <c r="B36" s="45" t="s">
        <v>3002</v>
      </c>
      <c r="C36" s="46" t="s">
        <v>65</v>
      </c>
      <c r="D36" s="44" t="s">
        <v>84</v>
      </c>
      <c r="E36" s="44" t="s">
        <v>3176</v>
      </c>
      <c r="F36" s="45">
        <v>3</v>
      </c>
      <c r="G36" s="75" t="s">
        <v>3177</v>
      </c>
      <c r="H36" s="44" t="s">
        <v>2190</v>
      </c>
      <c r="I36" s="44" t="s">
        <v>3178</v>
      </c>
      <c r="J36" s="44"/>
      <c r="K36" s="44"/>
      <c r="L36" s="47"/>
      <c r="M36" s="47"/>
      <c r="N36" s="47"/>
      <c r="O36" s="68"/>
      <c r="P36" s="68"/>
      <c r="Q36" s="47"/>
      <c r="R36" s="47"/>
      <c r="S36" s="47"/>
      <c r="T36" s="68"/>
      <c r="U36" s="68"/>
      <c r="V36" s="44" t="s">
        <v>119</v>
      </c>
      <c r="W36" s="74">
        <v>1</v>
      </c>
      <c r="X36" s="39">
        <f>MAX(0,$AK36-$W36-$Z36)</f>
        <v>0</v>
      </c>
      <c r="Y36" s="44"/>
      <c r="Z36" s="44"/>
      <c r="AA36" s="44">
        <v>0.23</v>
      </c>
      <c r="AB36" s="44">
        <f>IF(AND($X36&gt;0,ISNUMBER($AA36)),$X36*$AA36,0)</f>
        <v>0</v>
      </c>
      <c r="AK36" s="39">
        <f>SUM(AL36:AR36)</f>
        <v>1</v>
      </c>
      <c r="AL36" s="90"/>
      <c r="AM36" s="38"/>
      <c r="AN36" s="38"/>
      <c r="AO36" s="38"/>
      <c r="AP36" s="38"/>
      <c r="AQ36" s="38"/>
      <c r="AR36" s="100">
        <v>1</v>
      </c>
      <c r="AS36" s="42">
        <f>SUM(AT36:AZ36)</f>
        <v>1</v>
      </c>
      <c r="AT36" s="48"/>
      <c r="AU36" s="48"/>
      <c r="AV36" s="48"/>
      <c r="AW36" s="48"/>
      <c r="AX36" s="48"/>
      <c r="AY36" s="48"/>
      <c r="AZ36" s="48">
        <v>1</v>
      </c>
      <c r="BA36" s="43">
        <f>IF((W36-SUM(AT36:AZ36))&lt;0,0,W36-SUM(AT36:AZ36))</f>
        <v>0</v>
      </c>
      <c r="BB36" s="44"/>
      <c r="BC36" s="47"/>
      <c r="BD36" s="47"/>
    </row>
    <row r="37" spans="1:56" ht="15" customHeight="1">
      <c r="A37" s="49" t="s">
        <v>3206</v>
      </c>
      <c r="B37" s="39" t="s">
        <v>3002</v>
      </c>
      <c r="C37" s="46" t="s">
        <v>65</v>
      </c>
      <c r="D37" s="49" t="s">
        <v>84</v>
      </c>
      <c r="E37" s="49" t="s">
        <v>450</v>
      </c>
      <c r="F37" s="39">
        <v>5</v>
      </c>
      <c r="G37" s="75" t="s">
        <v>3207</v>
      </c>
      <c r="H37" s="50" t="s">
        <v>931</v>
      </c>
      <c r="I37" s="50" t="s">
        <v>3208</v>
      </c>
      <c r="J37" s="50" t="s">
        <v>3209</v>
      </c>
      <c r="K37" s="50"/>
      <c r="L37" s="47"/>
      <c r="M37" s="47"/>
      <c r="N37" s="47"/>
      <c r="O37" s="68"/>
      <c r="P37" s="68"/>
      <c r="Q37" s="47"/>
      <c r="R37" s="47"/>
      <c r="S37" s="47"/>
      <c r="T37" s="68"/>
      <c r="U37" s="68"/>
      <c r="V37" s="50" t="s">
        <v>119</v>
      </c>
      <c r="W37" s="74">
        <v>1</v>
      </c>
      <c r="X37" s="39">
        <f>MAX(0,$AK37-$W37-$Z37)</f>
        <v>0</v>
      </c>
      <c r="Y37" s="39"/>
      <c r="Z37" s="39"/>
      <c r="AA37" s="41">
        <v>0.09</v>
      </c>
      <c r="AB37" s="41">
        <f>IF(AND($X37&gt;0,ISNUMBER($AA37)),$X37*$AA37,0)</f>
        <v>0</v>
      </c>
      <c r="AD37" s="63"/>
      <c r="AK37" s="39">
        <f>SUM(AL37:AR37)</f>
        <v>1</v>
      </c>
      <c r="AL37" s="90"/>
      <c r="AM37" s="38"/>
      <c r="AN37" s="38"/>
      <c r="AO37" s="38"/>
      <c r="AP37" s="38"/>
      <c r="AQ37" s="38"/>
      <c r="AR37" s="96">
        <v>1</v>
      </c>
      <c r="AS37" s="42">
        <f>SUM(AT37:AZ37)</f>
        <v>1</v>
      </c>
      <c r="AT37" s="48"/>
      <c r="AU37" s="48"/>
      <c r="AV37" s="48"/>
      <c r="AW37" s="48"/>
      <c r="AX37" s="48"/>
      <c r="AY37" s="48"/>
      <c r="AZ37" s="48">
        <v>1</v>
      </c>
      <c r="BA37" s="43">
        <f>IF((W37-SUM(AT37:AZ37))&lt;0,0,W37-SUM(AT37:AZ37))</f>
        <v>0</v>
      </c>
      <c r="BB37" s="49"/>
      <c r="BC37" s="47"/>
      <c r="BD37" s="47"/>
    </row>
    <row r="38" spans="1:56" ht="15" customHeight="1">
      <c r="A38" s="44" t="s">
        <v>3210</v>
      </c>
      <c r="B38" s="45" t="s">
        <v>3002</v>
      </c>
      <c r="C38" s="46" t="s">
        <v>65</v>
      </c>
      <c r="D38" s="44" t="s">
        <v>84</v>
      </c>
      <c r="E38" s="44" t="s">
        <v>3211</v>
      </c>
      <c r="F38" s="45">
        <v>2</v>
      </c>
      <c r="G38" s="75" t="s">
        <v>3212</v>
      </c>
      <c r="H38" s="44" t="s">
        <v>293</v>
      </c>
      <c r="I38" s="44" t="s">
        <v>3213</v>
      </c>
      <c r="J38" s="44"/>
      <c r="K38" s="44"/>
      <c r="L38" s="47"/>
      <c r="M38" s="47"/>
      <c r="N38" s="47"/>
      <c r="O38" s="68"/>
      <c r="P38" s="68"/>
      <c r="Q38" s="47"/>
      <c r="R38" s="47"/>
      <c r="S38" s="47"/>
      <c r="T38" s="68"/>
      <c r="U38" s="68"/>
      <c r="V38" s="44" t="s">
        <v>119</v>
      </c>
      <c r="W38" s="74">
        <v>1</v>
      </c>
      <c r="X38" s="39">
        <f>MAX(0,$AK38-$W38-$Z38)</f>
        <v>0</v>
      </c>
      <c r="Y38" s="44"/>
      <c r="Z38" s="44"/>
      <c r="AA38" s="44">
        <v>7.0000000000000007E-2</v>
      </c>
      <c r="AB38" s="44">
        <f>IF(AND($X38&gt;0,ISNUMBER($AA38)),$X38*$AA38,0)</f>
        <v>0</v>
      </c>
      <c r="AI38" s="63"/>
      <c r="AK38" s="39">
        <f>SUM(AL38:AR38)</f>
        <v>1</v>
      </c>
      <c r="AL38" s="90"/>
      <c r="AM38" s="38"/>
      <c r="AN38" s="38"/>
      <c r="AO38" s="38"/>
      <c r="AP38" s="38"/>
      <c r="AQ38" s="38"/>
      <c r="AR38" s="96">
        <v>1</v>
      </c>
      <c r="AS38" s="42">
        <f>SUM(AT38:AZ38)</f>
        <v>1</v>
      </c>
      <c r="AT38" s="48"/>
      <c r="AU38" s="48"/>
      <c r="AV38" s="48"/>
      <c r="AW38" s="48"/>
      <c r="AX38" s="48"/>
      <c r="AY38" s="48"/>
      <c r="AZ38" s="48">
        <v>1</v>
      </c>
      <c r="BA38" s="43">
        <f>IF((W38-SUM(AT38:AZ38))&lt;0,0,W38-SUM(AT38:AZ38))</f>
        <v>0</v>
      </c>
      <c r="BB38" s="44"/>
      <c r="BC38" s="47"/>
      <c r="BD38" s="47"/>
    </row>
    <row r="39" spans="1:56" ht="15" customHeight="1">
      <c r="A39" s="49" t="s">
        <v>3239</v>
      </c>
      <c r="B39" s="39" t="s">
        <v>3002</v>
      </c>
      <c r="C39" s="46" t="s">
        <v>65</v>
      </c>
      <c r="D39" s="49" t="s">
        <v>76</v>
      </c>
      <c r="E39" s="49"/>
      <c r="F39" s="39">
        <v>5</v>
      </c>
      <c r="G39" s="75" t="s">
        <v>3240</v>
      </c>
      <c r="H39" s="50" t="s">
        <v>293</v>
      </c>
      <c r="I39" s="50" t="s">
        <v>3241</v>
      </c>
      <c r="J39" s="50" t="s">
        <v>3242</v>
      </c>
      <c r="K39" s="50"/>
      <c r="L39" s="47"/>
      <c r="M39" s="47"/>
      <c r="N39" s="47"/>
      <c r="O39" s="68"/>
      <c r="P39" s="68"/>
      <c r="Q39" s="47"/>
      <c r="R39" s="47"/>
      <c r="S39" s="47"/>
      <c r="T39" s="68"/>
      <c r="U39" s="68"/>
      <c r="V39" s="50" t="s">
        <v>119</v>
      </c>
      <c r="W39" s="74">
        <v>2</v>
      </c>
      <c r="X39" s="39">
        <f>MAX(0,$AK39-$W39-$Z39)</f>
        <v>0</v>
      </c>
      <c r="Y39" s="39"/>
      <c r="Z39" s="39"/>
      <c r="AA39" s="41">
        <v>0.22</v>
      </c>
      <c r="AB39" s="41">
        <f>IF(AND($X39&gt;0,ISNUMBER($AA39)),$X39*$AA39,0)</f>
        <v>0</v>
      </c>
      <c r="AI39" s="63" t="s">
        <v>3243</v>
      </c>
      <c r="AK39" s="39">
        <f>SUM(AL39:AR39)</f>
        <v>1</v>
      </c>
      <c r="AL39" s="90"/>
      <c r="AM39" s="38"/>
      <c r="AN39" s="38"/>
      <c r="AO39" s="38"/>
      <c r="AP39" s="38"/>
      <c r="AQ39" s="38"/>
      <c r="AR39" s="101">
        <v>1</v>
      </c>
      <c r="AS39" s="42">
        <f>SUM(AT39:AZ39)</f>
        <v>1</v>
      </c>
      <c r="AT39" s="48"/>
      <c r="AU39" s="48"/>
      <c r="AV39" s="48"/>
      <c r="AW39" s="48"/>
      <c r="AX39" s="48"/>
      <c r="AY39" s="48"/>
      <c r="AZ39" s="48">
        <v>1</v>
      </c>
      <c r="BA39" s="43">
        <f>IF((W39-SUM(AT39:AZ39))&lt;0,0,W39-SUM(AT39:AZ39))</f>
        <v>1</v>
      </c>
      <c r="BB39" s="49"/>
      <c r="BC39" s="47"/>
      <c r="BD39" s="47"/>
    </row>
    <row r="40" spans="1:56" ht="15" customHeight="1">
      <c r="A40" s="49" t="s">
        <v>3244</v>
      </c>
      <c r="B40" s="39" t="s">
        <v>3002</v>
      </c>
      <c r="C40" s="46" t="s">
        <v>65</v>
      </c>
      <c r="D40" s="49" t="s">
        <v>84</v>
      </c>
      <c r="E40" s="49" t="s">
        <v>2421</v>
      </c>
      <c r="F40" s="39">
        <v>2</v>
      </c>
      <c r="G40" s="75" t="s">
        <v>3245</v>
      </c>
      <c r="H40" s="50" t="s">
        <v>162</v>
      </c>
      <c r="I40" s="50" t="s">
        <v>3246</v>
      </c>
      <c r="J40" s="50"/>
      <c r="K40" s="50"/>
      <c r="L40" s="47"/>
      <c r="M40" s="47"/>
      <c r="N40" s="47"/>
      <c r="O40" s="68"/>
      <c r="P40" s="68"/>
      <c r="Q40" s="47"/>
      <c r="R40" s="47"/>
      <c r="S40" s="47"/>
      <c r="T40" s="68"/>
      <c r="U40" s="68"/>
      <c r="V40" s="50" t="s">
        <v>119</v>
      </c>
      <c r="W40" s="74">
        <v>1</v>
      </c>
      <c r="X40" s="39">
        <f>MAX(0,$AK40-$W40-$Z40)</f>
        <v>0</v>
      </c>
      <c r="Y40" s="39"/>
      <c r="Z40" s="39"/>
      <c r="AA40" s="41">
        <v>0.24</v>
      </c>
      <c r="AB40" s="41">
        <f>IF(AND($X40&gt;0,ISNUMBER($AA40)),$X40*$AA40,0)</f>
        <v>0</v>
      </c>
      <c r="AE40" s="63" t="s">
        <v>3247</v>
      </c>
      <c r="AK40" s="39">
        <f>SUM(AL40:AR40)</f>
        <v>1</v>
      </c>
      <c r="AL40" s="90"/>
      <c r="AM40" s="38"/>
      <c r="AN40" s="98">
        <v>1</v>
      </c>
      <c r="AO40" s="38"/>
      <c r="AP40" s="38"/>
      <c r="AQ40" s="38"/>
      <c r="AR40" s="100"/>
      <c r="AS40" s="42">
        <f>SUM(AT40:AZ40)</f>
        <v>1</v>
      </c>
      <c r="AT40" s="48"/>
      <c r="AU40" s="48"/>
      <c r="AV40" s="48">
        <v>1</v>
      </c>
      <c r="AW40" s="48"/>
      <c r="AX40" s="48"/>
      <c r="AY40" s="48"/>
      <c r="AZ40" s="48"/>
      <c r="BA40" s="43">
        <f>IF((W40-SUM(AT40:AZ40))&lt;0,0,W40-SUM(AT40:AZ40))</f>
        <v>0</v>
      </c>
      <c r="BB40" s="49"/>
      <c r="BC40" s="47"/>
      <c r="BD40" s="47"/>
    </row>
    <row r="41" spans="1:56" ht="15" customHeight="1">
      <c r="A41" s="49" t="s">
        <v>71</v>
      </c>
      <c r="B41" s="39" t="s">
        <v>64</v>
      </c>
      <c r="C41" s="46" t="s">
        <v>65</v>
      </c>
      <c r="D41" s="49" t="s">
        <v>66</v>
      </c>
      <c r="E41" s="49" t="s">
        <v>71</v>
      </c>
      <c r="F41" s="39">
        <v>0</v>
      </c>
      <c r="G41" s="75" t="s">
        <v>72</v>
      </c>
      <c r="H41" s="50" t="s">
        <v>68</v>
      </c>
      <c r="I41" s="50" t="s">
        <v>73</v>
      </c>
      <c r="J41" s="50"/>
      <c r="K41" s="50"/>
      <c r="L41" s="47"/>
      <c r="M41" s="47"/>
      <c r="N41" s="47"/>
      <c r="O41" s="68"/>
      <c r="P41" s="68"/>
      <c r="Q41" s="47"/>
      <c r="R41" s="47"/>
      <c r="S41" s="47"/>
      <c r="T41" s="68"/>
      <c r="U41" s="68"/>
      <c r="V41" s="50" t="s">
        <v>70</v>
      </c>
      <c r="W41" s="74">
        <v>83</v>
      </c>
      <c r="X41" s="39">
        <f>MAX(0,$AK41-$W41-$Z41)</f>
        <v>0</v>
      </c>
      <c r="Y41" s="39"/>
      <c r="Z41" s="39"/>
      <c r="AA41" s="41">
        <v>0.1</v>
      </c>
      <c r="AB41" s="41">
        <f>IF(AND($X41&gt;0,ISNUMBER($AA41)),$X41*$AA41,0)</f>
        <v>0</v>
      </c>
      <c r="AK41" s="39">
        <f>SUM(AL41:AR41)</f>
        <v>33</v>
      </c>
      <c r="AL41" s="90"/>
      <c r="AM41" s="38"/>
      <c r="AN41" s="97">
        <v>3</v>
      </c>
      <c r="AO41" s="97">
        <v>5</v>
      </c>
      <c r="AP41" s="97">
        <v>11</v>
      </c>
      <c r="AQ41" s="38"/>
      <c r="AR41" s="100">
        <v>14</v>
      </c>
      <c r="AS41" s="42">
        <f>SUM(AT41:AZ41)</f>
        <v>33</v>
      </c>
      <c r="AT41" s="48"/>
      <c r="AU41" s="48"/>
      <c r="AV41" s="48">
        <v>3</v>
      </c>
      <c r="AW41" s="48">
        <v>5</v>
      </c>
      <c r="AX41" s="48">
        <v>11</v>
      </c>
      <c r="AY41" s="48"/>
      <c r="AZ41" s="48">
        <v>14</v>
      </c>
      <c r="BA41" s="43">
        <f>IF((W41-SUM(AT41:AZ41))&lt;0,0,W41-SUM(AT41:AZ41))</f>
        <v>50</v>
      </c>
      <c r="BB41" s="49"/>
      <c r="BC41" s="47"/>
      <c r="BD41" s="47"/>
    </row>
    <row r="42" spans="1:56" ht="15" customHeight="1">
      <c r="A42" s="49" t="s">
        <v>1785</v>
      </c>
      <c r="B42" s="39" t="s">
        <v>64</v>
      </c>
      <c r="C42" s="46" t="s">
        <v>65</v>
      </c>
      <c r="D42" s="49" t="s">
        <v>66</v>
      </c>
      <c r="E42" s="49" t="s">
        <v>1785</v>
      </c>
      <c r="F42" s="39">
        <v>0</v>
      </c>
      <c r="G42" s="75" t="s">
        <v>1786</v>
      </c>
      <c r="H42" s="50" t="s">
        <v>68</v>
      </c>
      <c r="I42" s="50" t="s">
        <v>1787</v>
      </c>
      <c r="J42" s="50"/>
      <c r="K42" s="50"/>
      <c r="L42" s="47"/>
      <c r="M42" s="47"/>
      <c r="N42" s="47"/>
      <c r="O42" s="68"/>
      <c r="P42" s="68"/>
      <c r="Q42" s="47"/>
      <c r="R42" s="47"/>
      <c r="S42" s="47"/>
      <c r="T42" s="68"/>
      <c r="U42" s="68"/>
      <c r="V42" s="50" t="s">
        <v>70</v>
      </c>
      <c r="W42" s="74">
        <v>82</v>
      </c>
      <c r="X42" s="39">
        <f>MAX(0,$AK42-$W42-$Z42)</f>
        <v>0</v>
      </c>
      <c r="Y42" s="39"/>
      <c r="Z42" s="39"/>
      <c r="AA42" s="41">
        <v>0.1</v>
      </c>
      <c r="AB42" s="41">
        <f>IF(AND($X42&gt;0,ISNUMBER($AA42)),$X42*$AA42,0)</f>
        <v>0</v>
      </c>
      <c r="AK42" s="39">
        <f>SUM(AL42:AR42)</f>
        <v>27</v>
      </c>
      <c r="AL42" s="90"/>
      <c r="AM42" s="97">
        <v>7</v>
      </c>
      <c r="AN42" s="97">
        <v>7</v>
      </c>
      <c r="AO42" s="38"/>
      <c r="AP42" s="38"/>
      <c r="AQ42" s="38"/>
      <c r="AR42" s="100">
        <v>13</v>
      </c>
      <c r="AS42" s="42">
        <f>SUM(AT42:AZ42)</f>
        <v>27</v>
      </c>
      <c r="AT42" s="48"/>
      <c r="AU42" s="48">
        <v>7</v>
      </c>
      <c r="AV42" s="48">
        <v>7</v>
      </c>
      <c r="AW42" s="48"/>
      <c r="AX42" s="48"/>
      <c r="AY42" s="48"/>
      <c r="AZ42" s="48">
        <v>13</v>
      </c>
      <c r="BA42" s="43">
        <f>IF((W42-SUM(AT42:AZ42))&lt;0,0,W42-SUM(AT42:AZ42))</f>
        <v>55</v>
      </c>
      <c r="BB42" s="49"/>
      <c r="BC42" s="47"/>
      <c r="BD42" s="47"/>
    </row>
    <row r="43" spans="1:56" ht="15" customHeight="1">
      <c r="A43" s="49" t="s">
        <v>1742</v>
      </c>
      <c r="B43" s="39" t="s">
        <v>64</v>
      </c>
      <c r="C43" s="46" t="s">
        <v>65</v>
      </c>
      <c r="D43" s="49" t="s">
        <v>66</v>
      </c>
      <c r="E43" s="49" t="s">
        <v>1742</v>
      </c>
      <c r="F43" s="39">
        <v>0</v>
      </c>
      <c r="G43" s="75" t="s">
        <v>1743</v>
      </c>
      <c r="H43" s="50" t="s">
        <v>68</v>
      </c>
      <c r="I43" s="50" t="s">
        <v>1744</v>
      </c>
      <c r="J43" s="50"/>
      <c r="K43" s="50"/>
      <c r="L43" s="47"/>
      <c r="M43" s="47"/>
      <c r="N43" s="47"/>
      <c r="O43" s="68"/>
      <c r="P43" s="68"/>
      <c r="Q43" s="47"/>
      <c r="R43" s="47"/>
      <c r="S43" s="47"/>
      <c r="T43" s="68"/>
      <c r="U43" s="68"/>
      <c r="V43" s="50" t="s">
        <v>70</v>
      </c>
      <c r="W43" s="74">
        <v>80</v>
      </c>
      <c r="X43" s="39">
        <f>MAX(0,$AK43-$W43-$Z43)</f>
        <v>0</v>
      </c>
      <c r="Y43" s="39"/>
      <c r="Z43" s="39"/>
      <c r="AA43" s="41">
        <v>0.1</v>
      </c>
      <c r="AB43" s="41">
        <f>IF(AND($X43&gt;0,ISNUMBER($AA43)),$X43*$AA43,0)</f>
        <v>0</v>
      </c>
      <c r="AK43" s="39">
        <f>SUM(AL43:AR43)</f>
        <v>34</v>
      </c>
      <c r="AL43" s="90"/>
      <c r="AM43" s="97">
        <v>8</v>
      </c>
      <c r="AN43" s="97">
        <v>6</v>
      </c>
      <c r="AO43" s="97">
        <v>10</v>
      </c>
      <c r="AP43" s="38"/>
      <c r="AQ43" s="38"/>
      <c r="AR43" s="100">
        <v>10</v>
      </c>
      <c r="AS43" s="42">
        <f>SUM(AT43:AZ43)</f>
        <v>34</v>
      </c>
      <c r="AT43" s="48"/>
      <c r="AU43" s="48">
        <v>8</v>
      </c>
      <c r="AV43" s="48">
        <v>6</v>
      </c>
      <c r="AW43" s="48">
        <v>10</v>
      </c>
      <c r="AX43" s="48"/>
      <c r="AY43" s="48"/>
      <c r="AZ43" s="48">
        <v>10</v>
      </c>
      <c r="BA43" s="43">
        <f>IF((W43-SUM(AT43:AZ43))&lt;0,0,W43-SUM(AT43:AZ43))</f>
        <v>46</v>
      </c>
      <c r="BB43" s="49"/>
      <c r="BC43" s="47"/>
      <c r="BD43" s="47"/>
    </row>
    <row r="44" spans="1:56" ht="15" customHeight="1">
      <c r="A44" s="49" t="s">
        <v>546</v>
      </c>
      <c r="B44" s="39" t="s">
        <v>75</v>
      </c>
      <c r="C44" s="46" t="s">
        <v>65</v>
      </c>
      <c r="D44" s="44" t="s">
        <v>84</v>
      </c>
      <c r="E44" s="44" t="s">
        <v>547</v>
      </c>
      <c r="F44" s="45">
        <v>1</v>
      </c>
      <c r="G44" s="75" t="s">
        <v>548</v>
      </c>
      <c r="H44" s="44" t="s">
        <v>78</v>
      </c>
      <c r="I44" s="44" t="s">
        <v>549</v>
      </c>
      <c r="J44" s="44"/>
      <c r="K44" s="44"/>
      <c r="L44" s="47"/>
      <c r="M44" s="47"/>
      <c r="N44" s="47"/>
      <c r="O44" s="68"/>
      <c r="P44" s="68"/>
      <c r="Q44" s="47"/>
      <c r="R44" s="47"/>
      <c r="S44" s="47"/>
      <c r="T44" s="68"/>
      <c r="U44" s="68"/>
      <c r="V44" s="44" t="s">
        <v>119</v>
      </c>
      <c r="W44" s="74">
        <v>1</v>
      </c>
      <c r="X44" s="39">
        <f>MAX(0,$AK44-$W44-$Z44)</f>
        <v>0</v>
      </c>
      <c r="Y44" s="44"/>
      <c r="Z44" s="44"/>
      <c r="AA44" s="44">
        <v>0.2</v>
      </c>
      <c r="AB44" s="44">
        <f>IF(AND($X44&gt;0,ISNUMBER($AA44)),$X44*$AA44,0)</f>
        <v>0</v>
      </c>
      <c r="AI44" s="63"/>
      <c r="AJ44" s="63"/>
      <c r="AK44" s="39">
        <f>SUM(AL44:AR44)</f>
        <v>1</v>
      </c>
      <c r="AL44" s="90"/>
      <c r="AM44" s="38"/>
      <c r="AN44" s="38"/>
      <c r="AO44" s="38"/>
      <c r="AP44" s="38"/>
      <c r="AQ44" s="38"/>
      <c r="AR44" s="96">
        <v>1</v>
      </c>
      <c r="AS44" s="42">
        <f>SUM(AT44:AZ44)</f>
        <v>1</v>
      </c>
      <c r="AT44" s="48"/>
      <c r="AU44" s="48"/>
      <c r="AV44" s="48"/>
      <c r="AW44" s="48"/>
      <c r="AX44" s="48"/>
      <c r="AY44" s="48"/>
      <c r="AZ44" s="48">
        <v>1</v>
      </c>
      <c r="BA44" s="43">
        <f>IF((W44-SUM(AT44:AZ44))&lt;0,0,W44-SUM(AT44:AZ44))</f>
        <v>0</v>
      </c>
      <c r="BB44" s="44"/>
      <c r="BC44" s="47"/>
      <c r="BD44" s="47"/>
    </row>
    <row r="45" spans="1:56" ht="15" customHeight="1">
      <c r="A45" s="49" t="s">
        <v>262</v>
      </c>
      <c r="B45" s="39" t="s">
        <v>75</v>
      </c>
      <c r="C45" s="46" t="s">
        <v>65</v>
      </c>
      <c r="D45" s="49" t="s">
        <v>76</v>
      </c>
      <c r="E45" s="49"/>
      <c r="F45" s="39">
        <v>3</v>
      </c>
      <c r="G45" s="75" t="s">
        <v>263</v>
      </c>
      <c r="H45" s="50" t="s">
        <v>78</v>
      </c>
      <c r="I45" s="50" t="s">
        <v>264</v>
      </c>
      <c r="J45" s="50"/>
      <c r="K45" s="50"/>
      <c r="L45" s="47"/>
      <c r="M45" s="47"/>
      <c r="N45" s="47"/>
      <c r="O45" s="47"/>
      <c r="P45" s="47"/>
      <c r="Q45" s="47"/>
      <c r="R45" s="47"/>
      <c r="S45" s="47"/>
      <c r="T45" s="47"/>
      <c r="U45" s="47"/>
      <c r="V45" s="50" t="s">
        <v>119</v>
      </c>
      <c r="W45" s="74">
        <v>2</v>
      </c>
      <c r="X45" s="39">
        <f>MAX(0,$AK45-$W45-$Z45)</f>
        <v>0</v>
      </c>
      <c r="Y45" s="39" t="s">
        <v>265</v>
      </c>
      <c r="Z45" s="39">
        <v>1</v>
      </c>
      <c r="AA45" s="41">
        <v>0.25</v>
      </c>
      <c r="AB45" s="41">
        <f>IF(AND($X45&gt;0,ISNUMBER($AA45)),$X45*$AA45,0)</f>
        <v>0</v>
      </c>
      <c r="AE45" s="63"/>
      <c r="AG45" s="63" t="s">
        <v>266</v>
      </c>
      <c r="AJ45" s="106">
        <v>1</v>
      </c>
      <c r="AK45" s="39">
        <f>SUM(AL45:AR45)</f>
        <v>2</v>
      </c>
      <c r="AL45" s="90"/>
      <c r="AM45" s="38"/>
      <c r="AN45" s="38"/>
      <c r="AO45" s="38"/>
      <c r="AP45" s="99">
        <v>1</v>
      </c>
      <c r="AQ45" s="38"/>
      <c r="AR45" s="96">
        <v>1</v>
      </c>
      <c r="AS45" s="42">
        <f>SUM(AT45:AZ45)</f>
        <v>2</v>
      </c>
      <c r="AT45" s="48"/>
      <c r="AU45" s="48"/>
      <c r="AV45" s="48"/>
      <c r="AW45" s="48"/>
      <c r="AX45" s="48">
        <v>1</v>
      </c>
      <c r="AY45" s="48"/>
      <c r="AZ45" s="48">
        <v>1</v>
      </c>
      <c r="BA45" s="43">
        <f>IF((W45-SUM(AT45:AZ45))&lt;0,0,W45-SUM(AT45:AZ45))</f>
        <v>0</v>
      </c>
      <c r="BB45" s="49"/>
      <c r="BC45" s="47"/>
      <c r="BD45" s="47"/>
    </row>
    <row r="46" spans="1:56" ht="15" customHeight="1">
      <c r="A46" s="35" t="s">
        <v>559</v>
      </c>
      <c r="B46" s="36" t="s">
        <v>75</v>
      </c>
      <c r="C46" s="38" t="s">
        <v>65</v>
      </c>
      <c r="D46" s="35" t="s">
        <v>134</v>
      </c>
      <c r="E46" s="35"/>
      <c r="F46" s="36">
        <v>2</v>
      </c>
      <c r="G46" s="75" t="s">
        <v>560</v>
      </c>
      <c r="H46" s="35" t="s">
        <v>78</v>
      </c>
      <c r="I46" s="35" t="s">
        <v>518</v>
      </c>
      <c r="J46" s="35" t="s">
        <v>561</v>
      </c>
      <c r="K46" s="35"/>
      <c r="L46" s="37"/>
      <c r="M46" s="37"/>
      <c r="N46" s="37"/>
      <c r="O46" s="68"/>
      <c r="P46" s="68"/>
      <c r="Q46" s="37"/>
      <c r="R46" s="37"/>
      <c r="S46" s="37"/>
      <c r="T46" s="68"/>
      <c r="U46" s="68"/>
      <c r="V46" s="35" t="s">
        <v>119</v>
      </c>
      <c r="W46" s="74">
        <v>1</v>
      </c>
      <c r="X46" s="39">
        <f>MAX(0,$AK46-$W46-$Z46)</f>
        <v>0</v>
      </c>
      <c r="Y46" s="35"/>
      <c r="Z46" s="35"/>
      <c r="AA46" s="40">
        <v>0.18</v>
      </c>
      <c r="AB46" s="41">
        <f>IF(AND($X46&gt;0,ISNUMBER($AA46)),$X46*$AA46,0)</f>
        <v>0</v>
      </c>
      <c r="AK46" s="39">
        <f>SUM(AL46:AR46)</f>
        <v>1</v>
      </c>
      <c r="AL46" s="90"/>
      <c r="AM46" s="38"/>
      <c r="AN46" s="38"/>
      <c r="AO46" s="38"/>
      <c r="AP46" s="38"/>
      <c r="AQ46" s="38"/>
      <c r="AR46" s="100">
        <v>1</v>
      </c>
      <c r="AS46" s="42">
        <f>SUM(AT46:AZ46)</f>
        <v>1</v>
      </c>
      <c r="AT46" s="48"/>
      <c r="AU46" s="48"/>
      <c r="AV46" s="48"/>
      <c r="AW46" s="48"/>
      <c r="AX46" s="48"/>
      <c r="AY46" s="48"/>
      <c r="AZ46" s="48">
        <v>1</v>
      </c>
      <c r="BA46" s="43">
        <f>IF((W46-SUM(AT46:AZ46))&lt;0,0,W46-SUM(AT46:AZ46))</f>
        <v>0</v>
      </c>
      <c r="BB46" s="35"/>
      <c r="BC46" s="37"/>
      <c r="BD46" s="37"/>
    </row>
    <row r="47" spans="1:56" ht="15" customHeight="1">
      <c r="A47" s="49" t="s">
        <v>583</v>
      </c>
      <c r="B47" s="39" t="s">
        <v>75</v>
      </c>
      <c r="C47" s="46" t="s">
        <v>65</v>
      </c>
      <c r="D47" s="49" t="s">
        <v>76</v>
      </c>
      <c r="E47" s="49"/>
      <c r="F47" s="39">
        <v>4</v>
      </c>
      <c r="G47" s="75" t="s">
        <v>584</v>
      </c>
      <c r="H47" s="50" t="s">
        <v>78</v>
      </c>
      <c r="I47" s="50" t="s">
        <v>585</v>
      </c>
      <c r="J47" s="50" t="s">
        <v>586</v>
      </c>
      <c r="K47" s="50" t="s">
        <v>587</v>
      </c>
      <c r="L47" s="47"/>
      <c r="M47" s="47"/>
      <c r="N47" s="47"/>
      <c r="O47" s="47"/>
      <c r="P47" s="47"/>
      <c r="Q47" s="47"/>
      <c r="R47" s="47"/>
      <c r="S47" s="47"/>
      <c r="T47" s="47"/>
      <c r="U47" s="47"/>
      <c r="V47" s="50" t="s">
        <v>588</v>
      </c>
      <c r="W47" s="74">
        <v>1</v>
      </c>
      <c r="X47" s="39">
        <f>MAX(0,$AK47-$W47-$Z47)</f>
        <v>0</v>
      </c>
      <c r="Y47" s="39"/>
      <c r="Z47" s="39"/>
      <c r="AA47" s="41">
        <v>0.31</v>
      </c>
      <c r="AB47" s="41">
        <f>IF(AND($X47&gt;0,ISNUMBER($AA47)),$X47*$AA47,0)</f>
        <v>0</v>
      </c>
      <c r="AF47" s="63"/>
      <c r="AK47" s="39">
        <f>SUM(AL47:AR47)</f>
        <v>1</v>
      </c>
      <c r="AL47" s="90"/>
      <c r="AM47" s="38"/>
      <c r="AN47" s="38"/>
      <c r="AO47" s="38"/>
      <c r="AP47" s="38"/>
      <c r="AQ47" s="38"/>
      <c r="AR47" s="96">
        <v>1</v>
      </c>
      <c r="AS47" s="42">
        <f>SUM(AT47:AZ47)</f>
        <v>1</v>
      </c>
      <c r="AT47" s="48"/>
      <c r="AU47" s="48"/>
      <c r="AV47" s="48"/>
      <c r="AW47" s="48"/>
      <c r="AX47" s="48"/>
      <c r="AY47" s="48"/>
      <c r="AZ47" s="48">
        <v>1</v>
      </c>
      <c r="BA47" s="43">
        <f>IF((W47-SUM(AT47:AZ47))&lt;0,0,W47-SUM(AT47:AZ47))</f>
        <v>0</v>
      </c>
      <c r="BB47" s="49"/>
      <c r="BC47" s="47"/>
      <c r="BD47" s="47"/>
    </row>
    <row r="48" spans="1:56" ht="15" customHeight="1">
      <c r="A48" s="35" t="s">
        <v>593</v>
      </c>
      <c r="B48" s="36" t="s">
        <v>75</v>
      </c>
      <c r="C48" s="38" t="s">
        <v>65</v>
      </c>
      <c r="D48" s="35" t="s">
        <v>105</v>
      </c>
      <c r="E48" s="35" t="s">
        <v>151</v>
      </c>
      <c r="F48" s="36">
        <v>3</v>
      </c>
      <c r="G48" s="75" t="s">
        <v>594</v>
      </c>
      <c r="H48" s="35" t="s">
        <v>78</v>
      </c>
      <c r="I48" s="35" t="s">
        <v>595</v>
      </c>
      <c r="J48" s="35" t="s">
        <v>596</v>
      </c>
      <c r="K48" s="35" t="s">
        <v>597</v>
      </c>
      <c r="L48" s="37"/>
      <c r="M48" s="37"/>
      <c r="N48" s="37"/>
      <c r="O48" s="68"/>
      <c r="P48" s="68"/>
      <c r="Q48" s="37"/>
      <c r="R48" s="37"/>
      <c r="S48" s="37"/>
      <c r="T48" s="68"/>
      <c r="U48" s="68"/>
      <c r="V48" s="35" t="s">
        <v>167</v>
      </c>
      <c r="W48" s="74">
        <v>1</v>
      </c>
      <c r="X48" s="39">
        <f>MAX(0,$AK48-$W48-$Z48)</f>
        <v>0</v>
      </c>
      <c r="Y48" s="35"/>
      <c r="Z48" s="35"/>
      <c r="AA48" s="40">
        <v>0.15</v>
      </c>
      <c r="AB48" s="41">
        <f>IF(AND($X48&gt;0,ISNUMBER($AA48)),$X48*$AA48,0)</f>
        <v>0</v>
      </c>
      <c r="AI48" s="63" t="s">
        <v>598</v>
      </c>
      <c r="AK48" s="39">
        <f>SUM(AL48:AR48)</f>
        <v>1</v>
      </c>
      <c r="AL48" s="90"/>
      <c r="AM48" s="38"/>
      <c r="AN48" s="38"/>
      <c r="AO48" s="38"/>
      <c r="AP48" s="38"/>
      <c r="AQ48" s="38"/>
      <c r="AR48" s="96">
        <v>1</v>
      </c>
      <c r="AS48" s="42">
        <f>SUM(AT48:AZ48)</f>
        <v>1</v>
      </c>
      <c r="AT48" s="48"/>
      <c r="AU48" s="48"/>
      <c r="AV48" s="48"/>
      <c r="AW48" s="48"/>
      <c r="AX48" s="48"/>
      <c r="AY48" s="48"/>
      <c r="AZ48" s="48">
        <v>1</v>
      </c>
      <c r="BA48" s="43">
        <f>IF((W48-SUM(AT48:AZ48))&lt;0,0,W48-SUM(AT48:AZ48))</f>
        <v>0</v>
      </c>
      <c r="BB48" s="35"/>
      <c r="BC48" s="37"/>
      <c r="BD48" s="130"/>
    </row>
    <row r="49" spans="1:56" ht="15" customHeight="1">
      <c r="A49" s="49" t="s">
        <v>604</v>
      </c>
      <c r="B49" s="39" t="s">
        <v>75</v>
      </c>
      <c r="C49" s="46" t="s">
        <v>65</v>
      </c>
      <c r="D49" s="49" t="s">
        <v>134</v>
      </c>
      <c r="E49" s="49"/>
      <c r="F49" s="39">
        <v>2</v>
      </c>
      <c r="G49" s="75" t="s">
        <v>605</v>
      </c>
      <c r="H49" s="50" t="s">
        <v>474</v>
      </c>
      <c r="I49" s="50" t="s">
        <v>606</v>
      </c>
      <c r="J49" s="50"/>
      <c r="K49" s="50"/>
      <c r="L49" s="47"/>
      <c r="M49" s="47"/>
      <c r="N49" s="47"/>
      <c r="O49" s="68"/>
      <c r="P49" s="68"/>
      <c r="Q49" s="47"/>
      <c r="R49" s="47"/>
      <c r="S49" s="47"/>
      <c r="T49" s="68"/>
      <c r="U49" s="68"/>
      <c r="V49" s="50" t="s">
        <v>568</v>
      </c>
      <c r="W49" s="74">
        <v>1</v>
      </c>
      <c r="X49" s="39">
        <f>MAX(0,$AK49-$W49-$Z49)</f>
        <v>0</v>
      </c>
      <c r="Y49" s="39"/>
      <c r="Z49" s="39"/>
      <c r="AA49" s="41">
        <v>1.03</v>
      </c>
      <c r="AB49" s="41">
        <f>IF(AND($X49&gt;0,ISNUMBER($AA49)),$X49*$AA49,0)</f>
        <v>0</v>
      </c>
      <c r="AK49" s="39">
        <f>SUM(AL49:AR49)</f>
        <v>1</v>
      </c>
      <c r="AL49" s="90"/>
      <c r="AM49" s="38"/>
      <c r="AN49" s="38"/>
      <c r="AO49" s="38"/>
      <c r="AP49" s="38"/>
      <c r="AQ49" s="38"/>
      <c r="AR49" s="100">
        <v>1</v>
      </c>
      <c r="AS49" s="42">
        <f>SUM(AT49:AZ49)</f>
        <v>1</v>
      </c>
      <c r="AT49" s="48"/>
      <c r="AU49" s="48"/>
      <c r="AV49" s="48"/>
      <c r="AW49" s="48"/>
      <c r="AX49" s="48"/>
      <c r="AY49" s="48"/>
      <c r="AZ49" s="48">
        <v>1</v>
      </c>
      <c r="BA49" s="43">
        <f>IF((W49-SUM(AT49:AZ49))&lt;0,0,W49-SUM(AT49:AZ49))</f>
        <v>0</v>
      </c>
      <c r="BB49" s="49"/>
      <c r="BC49" s="47"/>
      <c r="BD49" s="47"/>
    </row>
    <row r="50" spans="1:56" ht="15" customHeight="1">
      <c r="A50" s="49" t="s">
        <v>651</v>
      </c>
      <c r="B50" s="39" t="s">
        <v>75</v>
      </c>
      <c r="C50" s="46" t="s">
        <v>65</v>
      </c>
      <c r="D50" s="49" t="s">
        <v>84</v>
      </c>
      <c r="E50" s="49" t="s">
        <v>652</v>
      </c>
      <c r="F50" s="39">
        <v>5</v>
      </c>
      <c r="G50" s="75" t="s">
        <v>653</v>
      </c>
      <c r="H50" s="50" t="s">
        <v>78</v>
      </c>
      <c r="I50" s="50" t="s">
        <v>654</v>
      </c>
      <c r="J50" s="50" t="s">
        <v>655</v>
      </c>
      <c r="K50" s="50"/>
      <c r="L50" s="47"/>
      <c r="M50" s="47"/>
      <c r="N50" s="47"/>
      <c r="O50" s="68"/>
      <c r="P50" s="68"/>
      <c r="Q50" s="47"/>
      <c r="R50" s="47"/>
      <c r="S50" s="47"/>
      <c r="T50" s="68"/>
      <c r="U50" s="68"/>
      <c r="V50" s="50" t="s">
        <v>119</v>
      </c>
      <c r="W50" s="74">
        <v>1</v>
      </c>
      <c r="X50" s="39">
        <f>MAX(0,$AK50-$W50-$Z50)</f>
        <v>0</v>
      </c>
      <c r="Y50" s="39"/>
      <c r="Z50" s="39"/>
      <c r="AA50" s="41">
        <v>0.3</v>
      </c>
      <c r="AB50" s="41">
        <f>IF(AND($X50&gt;0,ISNUMBER($AA50)),$X50*$AA50,0)</f>
        <v>0</v>
      </c>
      <c r="AI50" t="s">
        <v>656</v>
      </c>
      <c r="AK50" s="39">
        <f>SUM(AL50:AR50)</f>
        <v>1</v>
      </c>
      <c r="AL50" s="90"/>
      <c r="AM50" s="38"/>
      <c r="AN50" s="38"/>
      <c r="AO50" s="38"/>
      <c r="AP50" s="38"/>
      <c r="AQ50" s="38"/>
      <c r="AR50" s="101">
        <v>1</v>
      </c>
      <c r="AS50" s="42">
        <f>SUM(AT50:AZ50)</f>
        <v>1</v>
      </c>
      <c r="AT50" s="48"/>
      <c r="AU50" s="48"/>
      <c r="AV50" s="48"/>
      <c r="AW50" s="48"/>
      <c r="AX50" s="48"/>
      <c r="AY50" s="48"/>
      <c r="AZ50" s="48">
        <v>1</v>
      </c>
      <c r="BA50" s="43">
        <f>IF((W50-SUM(AT50:AZ50))&lt;0,0,W50-SUM(AT50:AZ50))</f>
        <v>0</v>
      </c>
      <c r="BB50" s="49"/>
      <c r="BC50" s="47"/>
      <c r="BD50" s="47"/>
    </row>
    <row r="51" spans="1:56" ht="15" customHeight="1">
      <c r="A51" s="49" t="s">
        <v>671</v>
      </c>
      <c r="B51" s="39" t="s">
        <v>75</v>
      </c>
      <c r="C51" s="46" t="s">
        <v>65</v>
      </c>
      <c r="D51" s="49" t="s">
        <v>84</v>
      </c>
      <c r="E51" s="49" t="s">
        <v>672</v>
      </c>
      <c r="F51" s="39">
        <v>3</v>
      </c>
      <c r="G51" s="75" t="s">
        <v>673</v>
      </c>
      <c r="H51" s="50" t="s">
        <v>162</v>
      </c>
      <c r="I51" s="50" t="s">
        <v>181</v>
      </c>
      <c r="J51" s="50" t="s">
        <v>674</v>
      </c>
      <c r="K51" s="50"/>
      <c r="L51" s="108" t="s">
        <v>675</v>
      </c>
      <c r="M51" s="46">
        <v>1</v>
      </c>
      <c r="N51" s="46">
        <v>1</v>
      </c>
      <c r="O51" s="68"/>
      <c r="P51" s="110">
        <v>0.24</v>
      </c>
      <c r="Q51" s="47"/>
      <c r="R51" s="47"/>
      <c r="S51" s="47"/>
      <c r="T51" s="68"/>
      <c r="U51" s="68"/>
      <c r="V51" s="50" t="s">
        <v>167</v>
      </c>
      <c r="W51" s="74">
        <v>2</v>
      </c>
      <c r="X51" s="39">
        <f>MAX(0,$AK51-$W51-$Z51)</f>
        <v>0</v>
      </c>
      <c r="Y51" s="39"/>
      <c r="Z51" s="39"/>
      <c r="AA51" s="41">
        <v>0.24</v>
      </c>
      <c r="AB51" s="41">
        <f>IF(AND($X51&gt;0,ISNUMBER($AA51)),$X51*$AA51,0)</f>
        <v>0</v>
      </c>
      <c r="AG51" s="63"/>
      <c r="AI51" s="63"/>
      <c r="AK51" s="39">
        <f>SUM(AL51:AR51)</f>
        <v>1</v>
      </c>
      <c r="AL51" s="90"/>
      <c r="AM51" s="38"/>
      <c r="AN51" s="38"/>
      <c r="AO51" s="38"/>
      <c r="AP51" s="38"/>
      <c r="AQ51" s="38"/>
      <c r="AR51" s="96">
        <v>1</v>
      </c>
      <c r="AS51" s="42">
        <f>SUM(AT51:AZ51)</f>
        <v>1</v>
      </c>
      <c r="AT51" s="48"/>
      <c r="AU51" s="48"/>
      <c r="AV51" s="48"/>
      <c r="AW51" s="48"/>
      <c r="AX51" s="48"/>
      <c r="AY51" s="48"/>
      <c r="AZ51" s="48">
        <v>1</v>
      </c>
      <c r="BA51" s="43">
        <f>IF((W51-SUM(AT51:AZ51))&lt;0,0,W51-SUM(AT51:AZ51))</f>
        <v>1</v>
      </c>
      <c r="BB51" s="49"/>
      <c r="BC51" s="47"/>
      <c r="BD51" s="47"/>
    </row>
    <row r="52" spans="1:56" ht="15" customHeight="1">
      <c r="A52" s="49" t="s">
        <v>682</v>
      </c>
      <c r="B52" s="39" t="s">
        <v>75</v>
      </c>
      <c r="C52" s="46" t="s">
        <v>65</v>
      </c>
      <c r="D52" s="49" t="s">
        <v>105</v>
      </c>
      <c r="E52" s="49"/>
      <c r="F52" s="39">
        <v>2</v>
      </c>
      <c r="G52" s="75" t="s">
        <v>683</v>
      </c>
      <c r="H52" s="50" t="s">
        <v>293</v>
      </c>
      <c r="I52" s="50" t="s">
        <v>684</v>
      </c>
      <c r="J52" s="50" t="s">
        <v>685</v>
      </c>
      <c r="K52" s="50"/>
      <c r="L52" s="47"/>
      <c r="M52" s="47"/>
      <c r="N52" s="47"/>
      <c r="O52" s="68"/>
      <c r="P52" s="68"/>
      <c r="Q52" s="47"/>
      <c r="R52" s="47"/>
      <c r="S52" s="47"/>
      <c r="T52" s="68"/>
      <c r="U52" s="68"/>
      <c r="V52" s="50" t="s">
        <v>588</v>
      </c>
      <c r="W52" s="74">
        <v>1</v>
      </c>
      <c r="X52" s="39">
        <f>MAX(0,$AK52-$W52-$Z52)</f>
        <v>0</v>
      </c>
      <c r="Y52" s="39"/>
      <c r="Z52" s="39"/>
      <c r="AA52" s="41">
        <v>0.18</v>
      </c>
      <c r="AB52" s="41">
        <f>IF(AND($X52&gt;0,ISNUMBER($AA52)),$X52*$AA52,0)</f>
        <v>0</v>
      </c>
      <c r="AK52" s="39">
        <f>SUM(AL52:AR52)</f>
        <v>1</v>
      </c>
      <c r="AL52" s="90"/>
      <c r="AM52" s="38"/>
      <c r="AN52" s="38"/>
      <c r="AO52" s="38"/>
      <c r="AP52" s="38"/>
      <c r="AQ52" s="38"/>
      <c r="AR52" s="100">
        <v>1</v>
      </c>
      <c r="AS52" s="42">
        <f>SUM(AT52:AZ52)</f>
        <v>1</v>
      </c>
      <c r="AT52" s="48"/>
      <c r="AU52" s="48"/>
      <c r="AV52" s="48"/>
      <c r="AW52" s="48"/>
      <c r="AX52" s="48"/>
      <c r="AY52" s="48"/>
      <c r="AZ52" s="48">
        <v>1</v>
      </c>
      <c r="BA52" s="43">
        <f>IF((W52-SUM(AT52:AZ52))&lt;0,0,W52-SUM(AT52:AZ52))</f>
        <v>0</v>
      </c>
      <c r="BB52" s="49"/>
      <c r="BC52" s="47"/>
      <c r="BD52" s="47"/>
    </row>
    <row r="53" spans="1:56" ht="15" customHeight="1">
      <c r="A53" s="49" t="s">
        <v>709</v>
      </c>
      <c r="B53" s="39" t="s">
        <v>75</v>
      </c>
      <c r="C53" s="46" t="s">
        <v>65</v>
      </c>
      <c r="D53" s="49" t="s">
        <v>76</v>
      </c>
      <c r="E53" s="49"/>
      <c r="F53" s="39">
        <v>1</v>
      </c>
      <c r="G53" s="75" t="s">
        <v>710</v>
      </c>
      <c r="H53" s="50" t="s">
        <v>78</v>
      </c>
      <c r="I53" s="50" t="s">
        <v>711</v>
      </c>
      <c r="J53" s="50" t="s">
        <v>712</v>
      </c>
      <c r="K53" s="50"/>
      <c r="L53" s="47"/>
      <c r="M53" s="47"/>
      <c r="N53" s="47"/>
      <c r="O53" s="68"/>
      <c r="P53" s="68"/>
      <c r="Q53" s="47"/>
      <c r="R53" s="47"/>
      <c r="S53" s="47"/>
      <c r="T53" s="68"/>
      <c r="U53" s="68"/>
      <c r="V53" s="50" t="s">
        <v>713</v>
      </c>
      <c r="W53" s="74">
        <v>1</v>
      </c>
      <c r="X53" s="39">
        <f>MAX(0,$AK53-$W53-$Z53)</f>
        <v>0</v>
      </c>
      <c r="Y53" s="39"/>
      <c r="Z53" s="39"/>
      <c r="AA53" s="41">
        <v>0.13</v>
      </c>
      <c r="AB53" s="41">
        <f>IF(AND($X53&gt;0,ISNUMBER($AA53)),$X53*$AA53,0)</f>
        <v>0</v>
      </c>
      <c r="AK53" s="39">
        <f>SUM(AL53:AR53)</f>
        <v>1</v>
      </c>
      <c r="AL53" s="90"/>
      <c r="AM53" s="38"/>
      <c r="AN53" s="38"/>
      <c r="AO53" s="38"/>
      <c r="AP53" s="38"/>
      <c r="AQ53" s="38"/>
      <c r="AR53" s="100">
        <v>1</v>
      </c>
      <c r="AS53" s="42">
        <f>SUM(AT53:AZ53)</f>
        <v>1</v>
      </c>
      <c r="AT53" s="48"/>
      <c r="AU53" s="48"/>
      <c r="AV53" s="48"/>
      <c r="AW53" s="48"/>
      <c r="AX53" s="48"/>
      <c r="AY53" s="48"/>
      <c r="AZ53" s="48">
        <v>1</v>
      </c>
      <c r="BA53" s="43">
        <f>IF((W53-SUM(AT53:AZ53))&lt;0,0,W53-SUM(AT53:AZ53))</f>
        <v>0</v>
      </c>
      <c r="BB53" s="49"/>
      <c r="BC53" s="47"/>
      <c r="BD53" s="47"/>
    </row>
    <row r="54" spans="1:56" ht="15" customHeight="1">
      <c r="A54" s="49" t="s">
        <v>714</v>
      </c>
      <c r="B54" s="39" t="s">
        <v>75</v>
      </c>
      <c r="C54" s="46" t="s">
        <v>65</v>
      </c>
      <c r="D54" s="49" t="s">
        <v>84</v>
      </c>
      <c r="E54" s="49" t="s">
        <v>715</v>
      </c>
      <c r="F54" s="39">
        <v>3</v>
      </c>
      <c r="G54" s="75" t="s">
        <v>716</v>
      </c>
      <c r="H54" s="50" t="s">
        <v>293</v>
      </c>
      <c r="I54" s="50" t="s">
        <v>717</v>
      </c>
      <c r="J54" s="50"/>
      <c r="K54" s="50"/>
      <c r="L54" s="47"/>
      <c r="M54" s="47"/>
      <c r="N54" s="47"/>
      <c r="O54" s="68"/>
      <c r="P54" s="68"/>
      <c r="Q54" s="47"/>
      <c r="R54" s="47"/>
      <c r="S54" s="47"/>
      <c r="T54" s="68"/>
      <c r="U54" s="68"/>
      <c r="V54" s="50" t="s">
        <v>119</v>
      </c>
      <c r="W54" s="74">
        <v>3</v>
      </c>
      <c r="X54" s="39">
        <f>MAX(0,$AK54-$W54-$Z54)</f>
        <v>0</v>
      </c>
      <c r="Y54" s="39"/>
      <c r="Z54" s="39"/>
      <c r="AA54" s="41">
        <v>7.0000000000000007E-2</v>
      </c>
      <c r="AB54" s="41">
        <f>IF(AND($X54&gt;0,ISNUMBER($AA54)),$X54*$AA54,0)</f>
        <v>0</v>
      </c>
      <c r="AG54" s="63"/>
      <c r="AI54" s="63"/>
      <c r="AK54" s="39">
        <f>SUM(AL54:AR54)</f>
        <v>1</v>
      </c>
      <c r="AL54" s="90"/>
      <c r="AM54" s="38"/>
      <c r="AN54" s="38"/>
      <c r="AO54" s="38"/>
      <c r="AP54" s="38"/>
      <c r="AQ54" s="38"/>
      <c r="AR54" s="96">
        <v>1</v>
      </c>
      <c r="AS54" s="42">
        <f>SUM(AT54:AZ54)</f>
        <v>1</v>
      </c>
      <c r="AT54" s="48"/>
      <c r="AU54" s="48"/>
      <c r="AV54" s="48"/>
      <c r="AW54" s="48"/>
      <c r="AX54" s="48"/>
      <c r="AY54" s="48"/>
      <c r="AZ54" s="48">
        <v>1</v>
      </c>
      <c r="BA54" s="43">
        <f>IF((W54-SUM(AT54:AZ54))&lt;0,0,W54-SUM(AT54:AZ54))</f>
        <v>2</v>
      </c>
      <c r="BB54" s="49"/>
      <c r="BC54" s="47"/>
      <c r="BD54" s="47"/>
    </row>
    <row r="55" spans="1:56" ht="15" customHeight="1">
      <c r="A55" s="35" t="s">
        <v>718</v>
      </c>
      <c r="B55" s="36" t="s">
        <v>75</v>
      </c>
      <c r="C55" s="38" t="s">
        <v>65</v>
      </c>
      <c r="D55" s="35" t="s">
        <v>84</v>
      </c>
      <c r="E55" s="35" t="s">
        <v>450</v>
      </c>
      <c r="F55" s="36">
        <v>1</v>
      </c>
      <c r="G55" s="75" t="s">
        <v>719</v>
      </c>
      <c r="H55" s="35" t="s">
        <v>233</v>
      </c>
      <c r="I55" s="35" t="s">
        <v>720</v>
      </c>
      <c r="J55" s="35" t="s">
        <v>721</v>
      </c>
      <c r="K55" s="35"/>
      <c r="L55" s="37"/>
      <c r="M55" s="37"/>
      <c r="N55" s="37"/>
      <c r="O55" s="68"/>
      <c r="P55" s="68"/>
      <c r="Q55" s="37"/>
      <c r="R55" s="37"/>
      <c r="S55" s="37"/>
      <c r="T55" s="68"/>
      <c r="U55" s="68"/>
      <c r="V55" s="35" t="s">
        <v>119</v>
      </c>
      <c r="W55" s="74">
        <v>1</v>
      </c>
      <c r="X55" s="39">
        <f>MAX(0,$AK55-$W55-$Z55)</f>
        <v>0</v>
      </c>
      <c r="Y55" s="35"/>
      <c r="Z55" s="35"/>
      <c r="AA55" s="40">
        <v>13.04</v>
      </c>
      <c r="AB55" s="41">
        <f>IF(AND($X55&gt;0,ISNUMBER($AA55)),$X55*$AA55,0)</f>
        <v>0</v>
      </c>
      <c r="AI55" t="s">
        <v>722</v>
      </c>
      <c r="AK55" s="39">
        <f>SUM(AL55:AR55)</f>
        <v>1</v>
      </c>
      <c r="AL55" s="90"/>
      <c r="AM55" s="38"/>
      <c r="AN55" s="38"/>
      <c r="AO55" s="38"/>
      <c r="AP55" s="38"/>
      <c r="AQ55" s="38"/>
      <c r="AR55" s="101">
        <v>1</v>
      </c>
      <c r="AS55" s="42">
        <f>SUM(AT55:AZ55)</f>
        <v>1</v>
      </c>
      <c r="AT55" s="48"/>
      <c r="AU55" s="48"/>
      <c r="AV55" s="48"/>
      <c r="AW55" s="48"/>
      <c r="AX55" s="48"/>
      <c r="AY55" s="48"/>
      <c r="AZ55" s="48">
        <v>1</v>
      </c>
      <c r="BA55" s="43">
        <f>IF((W55-SUM(AT55:AZ55))&lt;0,0,W55-SUM(AT55:AZ55))</f>
        <v>0</v>
      </c>
      <c r="BB55" s="35"/>
      <c r="BC55" s="37"/>
      <c r="BD55" s="37"/>
    </row>
    <row r="56" spans="1:56" ht="15" customHeight="1">
      <c r="A56" s="49" t="s">
        <v>146</v>
      </c>
      <c r="B56" s="39" t="s">
        <v>75</v>
      </c>
      <c r="C56" s="46" t="s">
        <v>65</v>
      </c>
      <c r="D56" s="49" t="s">
        <v>84</v>
      </c>
      <c r="E56" s="49" t="s">
        <v>147</v>
      </c>
      <c r="F56" s="39">
        <v>4</v>
      </c>
      <c r="G56" s="75" t="s">
        <v>148</v>
      </c>
      <c r="H56" s="50" t="s">
        <v>78</v>
      </c>
      <c r="I56" s="50" t="s">
        <v>149</v>
      </c>
      <c r="J56" s="50" t="s">
        <v>125</v>
      </c>
      <c r="K56" s="50"/>
      <c r="L56" s="47"/>
      <c r="M56" s="47"/>
      <c r="N56" s="47"/>
      <c r="O56" s="68"/>
      <c r="P56" s="68"/>
      <c r="Q56" s="47"/>
      <c r="R56" s="47"/>
      <c r="S56" s="47"/>
      <c r="T56" s="68"/>
      <c r="U56" s="68"/>
      <c r="V56" s="50" t="s">
        <v>119</v>
      </c>
      <c r="W56" s="74">
        <v>2</v>
      </c>
      <c r="X56" s="39">
        <f>MAX(0,$AK56-$W56-$Z56)</f>
        <v>0</v>
      </c>
      <c r="Y56" s="39"/>
      <c r="Z56" s="39"/>
      <c r="AA56" s="41">
        <v>0.22</v>
      </c>
      <c r="AB56" s="41">
        <f>IF(AND($X56&gt;0,ISNUMBER($AA56)),$X56*$AA56,0)</f>
        <v>0</v>
      </c>
      <c r="AI56" s="63"/>
      <c r="AK56" s="39">
        <f>SUM(AL56:AR56)</f>
        <v>2</v>
      </c>
      <c r="AL56" s="90"/>
      <c r="AM56" s="38"/>
      <c r="AN56" s="38"/>
      <c r="AO56" s="38"/>
      <c r="AP56" s="97">
        <v>1</v>
      </c>
      <c r="AQ56" s="38"/>
      <c r="AR56" s="100">
        <v>1</v>
      </c>
      <c r="AS56" s="42">
        <f>SUM(AT56:AZ56)</f>
        <v>2</v>
      </c>
      <c r="AT56" s="48"/>
      <c r="AU56" s="48"/>
      <c r="AV56" s="48"/>
      <c r="AW56" s="48"/>
      <c r="AX56" s="48">
        <v>1</v>
      </c>
      <c r="AY56" s="48"/>
      <c r="AZ56" s="48">
        <v>1</v>
      </c>
      <c r="BA56" s="43">
        <f>IF((W56-SUM(AT56:AZ56))&lt;0,0,W56-SUM(AT56:AZ56))</f>
        <v>0</v>
      </c>
      <c r="BB56" s="49"/>
      <c r="BC56" s="47"/>
      <c r="BD56" s="47"/>
    </row>
    <row r="57" spans="1:56" ht="15" customHeight="1">
      <c r="A57" s="49" t="s">
        <v>287</v>
      </c>
      <c r="B57" s="39" t="s">
        <v>75</v>
      </c>
      <c r="C57" s="46" t="s">
        <v>65</v>
      </c>
      <c r="D57" s="49" t="s">
        <v>84</v>
      </c>
      <c r="E57" s="49" t="s">
        <v>288</v>
      </c>
      <c r="F57" s="39">
        <v>3</v>
      </c>
      <c r="G57" s="75" t="s">
        <v>289</v>
      </c>
      <c r="H57" s="50" t="s">
        <v>153</v>
      </c>
      <c r="I57" s="50" t="s">
        <v>290</v>
      </c>
      <c r="J57" s="50"/>
      <c r="K57" s="50"/>
      <c r="L57" s="47"/>
      <c r="M57" s="47"/>
      <c r="N57" s="47"/>
      <c r="O57" s="68"/>
      <c r="P57" s="68"/>
      <c r="Q57" s="47"/>
      <c r="R57" s="47"/>
      <c r="S57" s="47"/>
      <c r="T57" s="68"/>
      <c r="U57" s="68"/>
      <c r="V57" s="50" t="s">
        <v>196</v>
      </c>
      <c r="W57" s="74">
        <v>2</v>
      </c>
      <c r="X57" s="39">
        <f>MAX(0,$AK57-$W57-$Z57)</f>
        <v>0</v>
      </c>
      <c r="Y57" s="39" t="s">
        <v>265</v>
      </c>
      <c r="Z57" s="39">
        <v>1</v>
      </c>
      <c r="AA57" s="41">
        <v>0.56999999999999995</v>
      </c>
      <c r="AB57" s="41">
        <f>IF(AND($X57&gt;0,ISNUMBER($AA57)),$X57*$AA57,0)</f>
        <v>0</v>
      </c>
      <c r="AG57" s="63"/>
      <c r="AJ57" s="106">
        <v>1</v>
      </c>
      <c r="AK57" s="39">
        <f>SUM(AL57:AR57)</f>
        <v>2</v>
      </c>
      <c r="AL57" s="90"/>
      <c r="AM57" s="38"/>
      <c r="AN57" s="38"/>
      <c r="AO57" s="38"/>
      <c r="AP57" s="97">
        <v>1</v>
      </c>
      <c r="AQ57" s="38"/>
      <c r="AR57" s="96">
        <v>1</v>
      </c>
      <c r="AS57" s="42">
        <f>SUM(AT57:AZ57)</f>
        <v>2</v>
      </c>
      <c r="AT57" s="48"/>
      <c r="AU57" s="48"/>
      <c r="AV57" s="48"/>
      <c r="AW57" s="48"/>
      <c r="AX57" s="48">
        <v>1</v>
      </c>
      <c r="AY57" s="48"/>
      <c r="AZ57" s="48">
        <v>1</v>
      </c>
      <c r="BA57" s="43">
        <f>IF((W57-SUM(AT57:AZ57))&lt;0,0,W57-SUM(AT57:AZ57))</f>
        <v>0</v>
      </c>
      <c r="BB57" s="49"/>
      <c r="BC57" s="47"/>
      <c r="BD57" s="47"/>
    </row>
    <row r="58" spans="1:56" ht="15" customHeight="1">
      <c r="A58" s="49" t="s">
        <v>745</v>
      </c>
      <c r="B58" s="39" t="s">
        <v>75</v>
      </c>
      <c r="C58" s="46" t="s">
        <v>83</v>
      </c>
      <c r="D58" s="49" t="s">
        <v>256</v>
      </c>
      <c r="E58" s="49"/>
      <c r="F58" s="39">
        <v>3</v>
      </c>
      <c r="G58" s="75" t="s">
        <v>746</v>
      </c>
      <c r="H58" s="50" t="s">
        <v>87</v>
      </c>
      <c r="I58" s="50" t="s">
        <v>746</v>
      </c>
      <c r="J58" s="50"/>
      <c r="K58" s="50"/>
      <c r="L58" s="47"/>
      <c r="M58" s="47"/>
      <c r="N58" s="47"/>
      <c r="O58" s="47"/>
      <c r="P58" s="47"/>
      <c r="Q58" s="47"/>
      <c r="R58" s="47"/>
      <c r="S58" s="47"/>
      <c r="T58" s="47"/>
      <c r="U58" s="47"/>
      <c r="V58" s="50" t="s">
        <v>747</v>
      </c>
      <c r="W58" s="74">
        <v>1</v>
      </c>
      <c r="X58" s="39">
        <f>MAX(0,$AK58-$W58-$Z58)</f>
        <v>0</v>
      </c>
      <c r="Y58" s="39"/>
      <c r="Z58" s="39"/>
      <c r="AA58" s="41">
        <v>3.74</v>
      </c>
      <c r="AB58" s="41">
        <f>IF(AND($X58&gt;0,ISNUMBER($AA58)),$X58*$AA58,0)</f>
        <v>0</v>
      </c>
      <c r="AK58" s="39">
        <f>SUM(AL58:AR58)</f>
        <v>1</v>
      </c>
      <c r="AL58" s="90"/>
      <c r="AM58" s="38"/>
      <c r="AN58" s="38"/>
      <c r="AO58" s="38"/>
      <c r="AP58" s="38"/>
      <c r="AQ58" s="38"/>
      <c r="AR58" s="100">
        <v>1</v>
      </c>
      <c r="AS58" s="42">
        <f>SUM(AT58:AZ58)</f>
        <v>1</v>
      </c>
      <c r="AT58" s="48"/>
      <c r="AU58" s="48"/>
      <c r="AV58" s="48"/>
      <c r="AW58" s="48"/>
      <c r="AX58" s="48"/>
      <c r="AY58" s="48"/>
      <c r="AZ58" s="48">
        <v>1</v>
      </c>
      <c r="BA58" s="43">
        <f>IF((W58-SUM(AT58:AZ58))&lt;0,0,W58-SUM(AT58:AZ58))</f>
        <v>0</v>
      </c>
      <c r="BB58" s="49"/>
      <c r="BC58" s="47"/>
      <c r="BD58" s="53"/>
    </row>
    <row r="59" spans="1:56" ht="15" customHeight="1">
      <c r="A59" s="35" t="s">
        <v>748</v>
      </c>
      <c r="B59" s="36" t="s">
        <v>75</v>
      </c>
      <c r="C59" s="38" t="s">
        <v>65</v>
      </c>
      <c r="D59" s="35" t="s">
        <v>134</v>
      </c>
      <c r="E59" s="35"/>
      <c r="F59" s="35">
        <v>5</v>
      </c>
      <c r="G59" s="75" t="s">
        <v>749</v>
      </c>
      <c r="H59" s="35" t="s">
        <v>474</v>
      </c>
      <c r="I59" s="35" t="s">
        <v>750</v>
      </c>
      <c r="J59" s="35"/>
      <c r="K59" s="35"/>
      <c r="L59" s="37"/>
      <c r="M59" s="37"/>
      <c r="N59" s="37"/>
      <c r="O59" s="68"/>
      <c r="P59" s="68"/>
      <c r="Q59" s="37"/>
      <c r="R59" s="37"/>
      <c r="S59" s="37"/>
      <c r="T59" s="68"/>
      <c r="U59" s="68"/>
      <c r="V59" s="35" t="s">
        <v>223</v>
      </c>
      <c r="W59" s="74">
        <v>1</v>
      </c>
      <c r="X59" s="39">
        <f>MAX(0,$AK59-$W59-$Z59)</f>
        <v>0</v>
      </c>
      <c r="Y59" s="39" t="s">
        <v>265</v>
      </c>
      <c r="Z59" s="39">
        <v>1</v>
      </c>
      <c r="AA59" s="35">
        <v>0.34</v>
      </c>
      <c r="AB59" s="41">
        <f>IF(AND($X59&gt;0,ISNUMBER($AA59)),$X59*$AA59,0)</f>
        <v>0</v>
      </c>
      <c r="AI59" s="63" t="s">
        <v>751</v>
      </c>
      <c r="AJ59" s="106">
        <v>1</v>
      </c>
      <c r="AK59" s="39">
        <f>SUM(AL59:AR59)</f>
        <v>1</v>
      </c>
      <c r="AL59" s="90"/>
      <c r="AM59" s="38"/>
      <c r="AN59" s="38"/>
      <c r="AO59" s="38"/>
      <c r="AP59" s="38"/>
      <c r="AQ59" s="38"/>
      <c r="AR59" s="101">
        <v>1</v>
      </c>
      <c r="AS59" s="42">
        <f>SUM(AT59:AZ59)</f>
        <v>1</v>
      </c>
      <c r="AT59" s="48"/>
      <c r="AU59" s="48"/>
      <c r="AV59" s="48"/>
      <c r="AW59" s="48"/>
      <c r="AX59" s="48"/>
      <c r="AY59" s="48"/>
      <c r="AZ59" s="48">
        <v>1</v>
      </c>
      <c r="BA59" s="43">
        <f>IF((W59-SUM(AT59:AZ59))&lt;0,0,W59-SUM(AT59:AZ59))</f>
        <v>0</v>
      </c>
      <c r="BB59" s="35"/>
      <c r="BC59" s="37"/>
      <c r="BD59" s="130"/>
    </row>
    <row r="60" spans="1:56" ht="15" customHeight="1">
      <c r="A60" s="49" t="s">
        <v>291</v>
      </c>
      <c r="B60" s="39" t="s">
        <v>75</v>
      </c>
      <c r="C60" s="46" t="s">
        <v>65</v>
      </c>
      <c r="D60" s="49" t="s">
        <v>134</v>
      </c>
      <c r="E60" s="49"/>
      <c r="F60" s="39">
        <v>3</v>
      </c>
      <c r="G60" s="75" t="s">
        <v>292</v>
      </c>
      <c r="H60" s="50" t="s">
        <v>293</v>
      </c>
      <c r="I60" s="50" t="s">
        <v>294</v>
      </c>
      <c r="J60" s="50" t="s">
        <v>295</v>
      </c>
      <c r="K60" s="50"/>
      <c r="L60" s="47"/>
      <c r="M60" s="47"/>
      <c r="N60" s="47"/>
      <c r="O60" s="47"/>
      <c r="P60" s="47"/>
      <c r="Q60" s="47"/>
      <c r="R60" s="47"/>
      <c r="S60" s="47"/>
      <c r="T60" s="47"/>
      <c r="U60" s="47"/>
      <c r="V60" s="50" t="s">
        <v>208</v>
      </c>
      <c r="W60" s="74">
        <v>1</v>
      </c>
      <c r="X60" s="39">
        <f>MAX(0,$AK60-$W60-$Z60)</f>
        <v>0</v>
      </c>
      <c r="Y60" s="39"/>
      <c r="Z60" s="39"/>
      <c r="AA60" s="41">
        <v>0.32</v>
      </c>
      <c r="AB60" s="41">
        <f>IF(AND($X60&gt;0,ISNUMBER($AA60)),$X60*$AA60,0)</f>
        <v>0</v>
      </c>
      <c r="AG60" s="63"/>
      <c r="AI60" t="s">
        <v>296</v>
      </c>
      <c r="AK60" s="39">
        <f>SUM(AL60:AR60)</f>
        <v>1</v>
      </c>
      <c r="AL60" s="90"/>
      <c r="AM60" s="38"/>
      <c r="AN60" s="38"/>
      <c r="AO60" s="38"/>
      <c r="AP60" s="99"/>
      <c r="AQ60" s="38"/>
      <c r="AR60" s="96">
        <v>1</v>
      </c>
      <c r="AS60" s="42">
        <f>SUM(AT60:AZ60)</f>
        <v>1</v>
      </c>
      <c r="AT60" s="48"/>
      <c r="AU60" s="48"/>
      <c r="AV60" s="48"/>
      <c r="AW60" s="48"/>
      <c r="AX60" s="48"/>
      <c r="AY60" s="48"/>
      <c r="AZ60" s="48">
        <v>1</v>
      </c>
      <c r="BA60" s="43">
        <f>IF((W60-SUM(AT60:AZ60))&lt;0,0,W60-SUM(AT60:AZ60))</f>
        <v>0</v>
      </c>
      <c r="BB60" s="49"/>
      <c r="BC60" s="47"/>
      <c r="BD60" s="126"/>
    </row>
    <row r="61" spans="1:56" ht="15" customHeight="1">
      <c r="A61" s="49" t="s">
        <v>776</v>
      </c>
      <c r="B61" s="39" t="s">
        <v>75</v>
      </c>
      <c r="C61" s="46" t="s">
        <v>65</v>
      </c>
      <c r="D61" s="49" t="s">
        <v>134</v>
      </c>
      <c r="E61" s="49"/>
      <c r="F61" s="39">
        <v>4</v>
      </c>
      <c r="G61" s="75" t="s">
        <v>777</v>
      </c>
      <c r="H61" s="50" t="s">
        <v>474</v>
      </c>
      <c r="I61" s="50" t="s">
        <v>778</v>
      </c>
      <c r="J61" s="50"/>
      <c r="K61" s="50"/>
      <c r="L61" s="47"/>
      <c r="M61" s="47"/>
      <c r="N61" s="47"/>
      <c r="O61" s="68"/>
      <c r="P61" s="68"/>
      <c r="Q61" s="47"/>
      <c r="R61" s="47"/>
      <c r="S61" s="47"/>
      <c r="T61" s="68"/>
      <c r="U61" s="68"/>
      <c r="V61" s="50" t="s">
        <v>779</v>
      </c>
      <c r="W61" s="74">
        <v>1</v>
      </c>
      <c r="X61" s="39">
        <f>MAX(0,$AK61-$W61-$Z61)</f>
        <v>0</v>
      </c>
      <c r="Y61" s="39"/>
      <c r="Z61" s="39"/>
      <c r="AA61" s="41">
        <v>0.28000000000000003</v>
      </c>
      <c r="AB61" s="41">
        <f>IF(AND($X61&gt;0,ISNUMBER($AA61)),$X61*$AA61,0)</f>
        <v>0</v>
      </c>
      <c r="AI61" t="s">
        <v>780</v>
      </c>
      <c r="AK61" s="39">
        <f>SUM(AL61:AR61)</f>
        <v>1</v>
      </c>
      <c r="AL61" s="90"/>
      <c r="AM61" s="38"/>
      <c r="AN61" s="38"/>
      <c r="AO61" s="38"/>
      <c r="AP61" s="38"/>
      <c r="AQ61" s="38"/>
      <c r="AR61" s="101">
        <v>1</v>
      </c>
      <c r="AS61" s="42">
        <f>SUM(AT61:AZ61)</f>
        <v>1</v>
      </c>
      <c r="AT61" s="48"/>
      <c r="AU61" s="48"/>
      <c r="AV61" s="48"/>
      <c r="AW61" s="48"/>
      <c r="AX61" s="48"/>
      <c r="AY61" s="48"/>
      <c r="AZ61" s="48">
        <v>1</v>
      </c>
      <c r="BA61" s="43">
        <f>IF((W61-SUM(AT61:AZ61))&lt;0,0,W61-SUM(AT61:AZ61))</f>
        <v>0</v>
      </c>
      <c r="BB61" s="49"/>
      <c r="BC61" s="47"/>
      <c r="BD61" s="47"/>
    </row>
    <row r="62" spans="1:56" ht="15" customHeight="1">
      <c r="A62" s="44" t="s">
        <v>797</v>
      </c>
      <c r="B62" s="45" t="s">
        <v>75</v>
      </c>
      <c r="C62" s="46" t="s">
        <v>65</v>
      </c>
      <c r="D62" s="44" t="s">
        <v>134</v>
      </c>
      <c r="E62" s="44"/>
      <c r="F62" s="45">
        <v>1</v>
      </c>
      <c r="G62" s="75" t="s">
        <v>798</v>
      </c>
      <c r="H62" s="44" t="s">
        <v>78</v>
      </c>
      <c r="I62" s="44" t="s">
        <v>545</v>
      </c>
      <c r="J62" s="44" t="s">
        <v>799</v>
      </c>
      <c r="K62" s="44"/>
      <c r="L62" s="47"/>
      <c r="M62" s="47"/>
      <c r="N62" s="47"/>
      <c r="O62" s="68"/>
      <c r="P62" s="68"/>
      <c r="Q62" s="47"/>
      <c r="R62" s="47"/>
      <c r="S62" s="47"/>
      <c r="T62" s="68"/>
      <c r="U62" s="68"/>
      <c r="V62" s="44" t="s">
        <v>167</v>
      </c>
      <c r="W62" s="74">
        <v>2</v>
      </c>
      <c r="X62" s="39">
        <f>MAX(0,$AK62-$W62-$Z62)</f>
        <v>0</v>
      </c>
      <c r="Y62" s="44"/>
      <c r="Z62" s="44"/>
      <c r="AA62" s="44">
        <v>0.13</v>
      </c>
      <c r="AB62" s="44">
        <f>IF(AND($X62&gt;0,ISNUMBER($AA62)),$X62*$AA62,0)</f>
        <v>0</v>
      </c>
      <c r="AK62" s="39">
        <f>SUM(AL62:AR62)</f>
        <v>1</v>
      </c>
      <c r="AL62" s="90"/>
      <c r="AM62" s="38"/>
      <c r="AN62" s="38"/>
      <c r="AO62" s="38"/>
      <c r="AP62" s="38"/>
      <c r="AQ62" s="38"/>
      <c r="AR62" s="100">
        <v>1</v>
      </c>
      <c r="AS62" s="42">
        <f>SUM(AT62:AZ62)</f>
        <v>1</v>
      </c>
      <c r="AT62" s="48"/>
      <c r="AU62" s="48"/>
      <c r="AV62" s="48"/>
      <c r="AW62" s="48"/>
      <c r="AX62" s="48"/>
      <c r="AY62" s="48"/>
      <c r="AZ62" s="48">
        <v>1</v>
      </c>
      <c r="BA62" s="43">
        <f>IF((W62-SUM(AT62:AZ62))&lt;0,0,W62-SUM(AT62:AZ62))</f>
        <v>1</v>
      </c>
      <c r="BB62" s="44"/>
      <c r="BC62" s="47"/>
      <c r="BD62" s="47"/>
    </row>
    <row r="63" spans="1:56" ht="15" customHeight="1">
      <c r="A63" s="44" t="s">
        <v>804</v>
      </c>
      <c r="B63" s="45" t="s">
        <v>75</v>
      </c>
      <c r="C63" s="46" t="s">
        <v>65</v>
      </c>
      <c r="D63" s="44" t="s">
        <v>256</v>
      </c>
      <c r="E63" s="44" t="s">
        <v>468</v>
      </c>
      <c r="F63" s="45">
        <v>3</v>
      </c>
      <c r="G63" s="75" t="s">
        <v>805</v>
      </c>
      <c r="H63" s="44" t="s">
        <v>78</v>
      </c>
      <c r="I63" s="44" t="s">
        <v>806</v>
      </c>
      <c r="J63" s="44" t="s">
        <v>807</v>
      </c>
      <c r="K63" s="44"/>
      <c r="L63" s="47"/>
      <c r="M63" s="47"/>
      <c r="N63" s="47"/>
      <c r="O63" s="68"/>
      <c r="P63" s="68"/>
      <c r="Q63" s="47"/>
      <c r="R63" s="47"/>
      <c r="S63" s="47"/>
      <c r="T63" s="68"/>
      <c r="U63" s="68"/>
      <c r="V63" s="44" t="s">
        <v>568</v>
      </c>
      <c r="W63" s="74">
        <v>1</v>
      </c>
      <c r="X63" s="39">
        <f>MAX(0,$AK63-$W63-$Z63)</f>
        <v>0</v>
      </c>
      <c r="Y63" s="44"/>
      <c r="Z63" s="44"/>
      <c r="AA63" s="44">
        <v>0.16</v>
      </c>
      <c r="AB63" s="44">
        <f>IF(AND($X63&gt;0,ISNUMBER($AA63)),$X63*$AA63,0)</f>
        <v>0</v>
      </c>
      <c r="AI63" s="63" t="s">
        <v>808</v>
      </c>
      <c r="AK63" s="39">
        <f>SUM(AL63:AR63)</f>
        <v>1</v>
      </c>
      <c r="AL63" s="90"/>
      <c r="AM63" s="38"/>
      <c r="AN63" s="38"/>
      <c r="AO63" s="38"/>
      <c r="AP63" s="38"/>
      <c r="AQ63" s="38"/>
      <c r="AR63" s="96">
        <v>1</v>
      </c>
      <c r="AS63" s="42">
        <f>SUM(AT63:AZ63)</f>
        <v>1</v>
      </c>
      <c r="AT63" s="48"/>
      <c r="AU63" s="48"/>
      <c r="AV63" s="48"/>
      <c r="AW63" s="48"/>
      <c r="AX63" s="48"/>
      <c r="AY63" s="48"/>
      <c r="AZ63" s="48">
        <v>1</v>
      </c>
      <c r="BA63" s="43">
        <f>IF((W63-SUM(AT63:AZ63))&lt;0,0,W63-SUM(AT63:AZ63))</f>
        <v>0</v>
      </c>
      <c r="BB63" s="44"/>
      <c r="BC63" s="47"/>
      <c r="BD63" s="47"/>
    </row>
    <row r="64" spans="1:56" ht="15" customHeight="1">
      <c r="A64" s="49" t="s">
        <v>297</v>
      </c>
      <c r="B64" s="39" t="s">
        <v>75</v>
      </c>
      <c r="C64" s="46" t="s">
        <v>65</v>
      </c>
      <c r="D64" s="49" t="s">
        <v>76</v>
      </c>
      <c r="E64" s="49"/>
      <c r="F64" s="39">
        <v>2</v>
      </c>
      <c r="G64" s="75" t="s">
        <v>298</v>
      </c>
      <c r="H64" s="50" t="s">
        <v>78</v>
      </c>
      <c r="I64" s="50" t="s">
        <v>299</v>
      </c>
      <c r="J64" s="50" t="s">
        <v>300</v>
      </c>
      <c r="K64" s="50"/>
      <c r="L64" s="47"/>
      <c r="M64" s="47"/>
      <c r="N64" s="47"/>
      <c r="O64" s="68"/>
      <c r="P64" s="68"/>
      <c r="Q64" s="47"/>
      <c r="R64" s="47"/>
      <c r="S64" s="47"/>
      <c r="T64" s="68"/>
      <c r="U64" s="68"/>
      <c r="V64" s="50" t="s">
        <v>70</v>
      </c>
      <c r="W64" s="74">
        <v>2</v>
      </c>
      <c r="X64" s="39">
        <f>MAX(0,$AK64-$W64-$Z64)</f>
        <v>0</v>
      </c>
      <c r="Y64" s="39" t="s">
        <v>265</v>
      </c>
      <c r="Z64" s="39">
        <v>1</v>
      </c>
      <c r="AA64" s="41">
        <v>0.24</v>
      </c>
      <c r="AB64" s="41">
        <f>IF(AND($X64&gt;0,ISNUMBER($AA64)),$X64*$AA64,0)</f>
        <v>0</v>
      </c>
      <c r="AG64" s="63" t="s">
        <v>301</v>
      </c>
      <c r="AJ64" s="106">
        <v>1</v>
      </c>
      <c r="AK64" s="39">
        <f>SUM(AL64:AR64)</f>
        <v>2</v>
      </c>
      <c r="AL64" s="90"/>
      <c r="AM64" s="38"/>
      <c r="AN64" s="38"/>
      <c r="AO64" s="38"/>
      <c r="AP64" s="99">
        <v>1</v>
      </c>
      <c r="AQ64" s="38"/>
      <c r="AR64" s="100">
        <v>1</v>
      </c>
      <c r="AS64" s="42">
        <f>SUM(AT64:AZ64)</f>
        <v>2</v>
      </c>
      <c r="AT64" s="48"/>
      <c r="AU64" s="48"/>
      <c r="AV64" s="48"/>
      <c r="AW64" s="48"/>
      <c r="AX64" s="48">
        <v>1</v>
      </c>
      <c r="AY64" s="48"/>
      <c r="AZ64" s="48">
        <v>1</v>
      </c>
      <c r="BA64" s="43">
        <f>IF((W64-SUM(AT64:AZ64))&lt;0,0,W64-SUM(AT64:AZ64))</f>
        <v>0</v>
      </c>
      <c r="BB64" s="49"/>
      <c r="BC64" s="47"/>
      <c r="BD64" s="47"/>
    </row>
    <row r="65" spans="1:56" ht="15" customHeight="1">
      <c r="A65" s="49" t="s">
        <v>837</v>
      </c>
      <c r="B65" s="39" t="s">
        <v>75</v>
      </c>
      <c r="C65" s="46" t="s">
        <v>65</v>
      </c>
      <c r="D65" s="49" t="s">
        <v>84</v>
      </c>
      <c r="E65" s="49" t="s">
        <v>288</v>
      </c>
      <c r="F65" s="39">
        <v>2</v>
      </c>
      <c r="G65" s="75" t="s">
        <v>838</v>
      </c>
      <c r="H65" s="50" t="s">
        <v>78</v>
      </c>
      <c r="I65" s="50" t="s">
        <v>839</v>
      </c>
      <c r="J65" s="50" t="s">
        <v>840</v>
      </c>
      <c r="K65" s="50"/>
      <c r="L65" s="47"/>
      <c r="M65" s="47"/>
      <c r="N65" s="47"/>
      <c r="O65" s="68"/>
      <c r="P65" s="68"/>
      <c r="Q65" s="47"/>
      <c r="R65" s="47"/>
      <c r="S65" s="47"/>
      <c r="T65" s="68"/>
      <c r="U65" s="68"/>
      <c r="V65" s="50" t="s">
        <v>841</v>
      </c>
      <c r="W65" s="74">
        <v>2</v>
      </c>
      <c r="X65" s="39">
        <f>MAX(0,$AK65-$W65-$Z65)</f>
        <v>0</v>
      </c>
      <c r="Y65" s="39" t="s">
        <v>265</v>
      </c>
      <c r="Z65" s="39">
        <v>1</v>
      </c>
      <c r="AA65" s="41">
        <v>0.27</v>
      </c>
      <c r="AB65" s="41">
        <f>IF(AND($X65&gt;0,ISNUMBER($AA65)),$X65*$AA65,0)</f>
        <v>0</v>
      </c>
      <c r="AI65" s="63"/>
      <c r="AJ65" s="106">
        <v>1</v>
      </c>
      <c r="AK65" s="39">
        <f>SUM(AL65:AR65)</f>
        <v>1</v>
      </c>
      <c r="AL65" s="90"/>
      <c r="AM65" s="38"/>
      <c r="AN65" s="38"/>
      <c r="AO65" s="38"/>
      <c r="AP65" s="38"/>
      <c r="AQ65" s="38"/>
      <c r="AR65" s="96">
        <v>1</v>
      </c>
      <c r="AS65" s="42">
        <f>SUM(AT65:AZ65)</f>
        <v>1</v>
      </c>
      <c r="AT65" s="48"/>
      <c r="AU65" s="48"/>
      <c r="AV65" s="48"/>
      <c r="AW65" s="48"/>
      <c r="AX65" s="48"/>
      <c r="AY65" s="48"/>
      <c r="AZ65" s="48">
        <v>1</v>
      </c>
      <c r="BA65" s="43">
        <f>IF((W65-SUM(AT65:AZ65))&lt;0,0,W65-SUM(AT65:AZ65))</f>
        <v>1</v>
      </c>
      <c r="BB65" s="49"/>
      <c r="BC65" s="47"/>
      <c r="BD65" s="47"/>
    </row>
    <row r="66" spans="1:56" ht="15" customHeight="1">
      <c r="A66" s="49" t="s">
        <v>879</v>
      </c>
      <c r="B66" s="39" t="s">
        <v>96</v>
      </c>
      <c r="C66" s="46" t="s">
        <v>65</v>
      </c>
      <c r="D66" s="49" t="s">
        <v>97</v>
      </c>
      <c r="E66" s="49" t="s">
        <v>880</v>
      </c>
      <c r="F66" s="39">
        <v>5</v>
      </c>
      <c r="G66" s="75" t="s">
        <v>881</v>
      </c>
      <c r="H66" s="50" t="s">
        <v>78</v>
      </c>
      <c r="I66" s="50" t="s">
        <v>882</v>
      </c>
      <c r="J66" s="50" t="s">
        <v>883</v>
      </c>
      <c r="K66" s="50" t="s">
        <v>884</v>
      </c>
      <c r="L66" s="47"/>
      <c r="M66" s="47"/>
      <c r="N66" s="47"/>
      <c r="O66" s="68"/>
      <c r="P66" s="68"/>
      <c r="Q66" s="47"/>
      <c r="R66" s="47"/>
      <c r="S66" s="47"/>
      <c r="T66" s="68"/>
      <c r="U66" s="68"/>
      <c r="V66" s="50" t="s">
        <v>471</v>
      </c>
      <c r="W66" s="74">
        <v>1</v>
      </c>
      <c r="X66" s="39">
        <f>MAX(0,$AK66-$W66-$Z66)</f>
        <v>0</v>
      </c>
      <c r="Y66" s="39" t="s">
        <v>265</v>
      </c>
      <c r="Z66" s="39">
        <v>1</v>
      </c>
      <c r="AA66" s="41">
        <v>0.32</v>
      </c>
      <c r="AB66" s="41">
        <f>IF(AND($X66&gt;0,ISNUMBER($AA66)),$X66*$AA66,0)</f>
        <v>0</v>
      </c>
      <c r="AH66" s="63"/>
      <c r="AI66" t="s">
        <v>885</v>
      </c>
      <c r="AJ66" s="106">
        <v>1</v>
      </c>
      <c r="AK66" s="39">
        <f>SUM(AL66:AR66)</f>
        <v>1</v>
      </c>
      <c r="AL66" s="90"/>
      <c r="AM66" s="38"/>
      <c r="AN66" s="38"/>
      <c r="AO66" s="38"/>
      <c r="AP66" s="38"/>
      <c r="AQ66" s="38"/>
      <c r="AR66" s="101">
        <v>1</v>
      </c>
      <c r="AS66" s="42">
        <f>SUM(AT66:AZ66)</f>
        <v>1</v>
      </c>
      <c r="AT66" s="48"/>
      <c r="AU66" s="48"/>
      <c r="AV66" s="48"/>
      <c r="AW66" s="48"/>
      <c r="AX66" s="48"/>
      <c r="AY66" s="48"/>
      <c r="AZ66" s="48">
        <v>1</v>
      </c>
      <c r="BA66" s="43">
        <f>IF((W66-SUM(AT66:AZ66))&lt;0,0,W66-SUM(AT66:AZ66))</f>
        <v>0</v>
      </c>
      <c r="BB66" s="49"/>
      <c r="BC66" s="47"/>
      <c r="BD66" s="47"/>
    </row>
    <row r="67" spans="1:56" ht="15" customHeight="1">
      <c r="A67" s="49" t="s">
        <v>996</v>
      </c>
      <c r="B67" s="39" t="s">
        <v>96</v>
      </c>
      <c r="C67" s="46" t="s">
        <v>65</v>
      </c>
      <c r="D67" s="49" t="s">
        <v>105</v>
      </c>
      <c r="E67" s="49" t="s">
        <v>151</v>
      </c>
      <c r="F67" s="39">
        <v>1</v>
      </c>
      <c r="G67" s="75" t="s">
        <v>997</v>
      </c>
      <c r="H67" s="50" t="s">
        <v>172</v>
      </c>
      <c r="I67" s="50" t="s">
        <v>998</v>
      </c>
      <c r="J67" s="50"/>
      <c r="K67" s="50"/>
      <c r="L67" s="47"/>
      <c r="M67" s="47"/>
      <c r="N67" s="47"/>
      <c r="O67" s="68"/>
      <c r="P67" s="68"/>
      <c r="Q67" s="47"/>
      <c r="R67" s="47"/>
      <c r="S67" s="47"/>
      <c r="T67" s="68"/>
      <c r="U67" s="68"/>
      <c r="V67" s="50" t="s">
        <v>841</v>
      </c>
      <c r="W67" s="74">
        <v>3</v>
      </c>
      <c r="X67" s="39">
        <f>MAX(0,$AK67-$W67-$Z67)</f>
        <v>0</v>
      </c>
      <c r="Y67" s="39"/>
      <c r="Z67" s="39"/>
      <c r="AA67" s="41">
        <v>0.14000000000000001</v>
      </c>
      <c r="AB67" s="41">
        <f>IF(AND($X67&gt;0,ISNUMBER($AA67)),$X67*$AA67,0)</f>
        <v>0</v>
      </c>
      <c r="AH67" s="63" t="s">
        <v>999</v>
      </c>
      <c r="AI67" t="s">
        <v>1000</v>
      </c>
      <c r="AK67" s="39">
        <f>SUM(AL67:AR67)</f>
        <v>2</v>
      </c>
      <c r="AL67" s="90"/>
      <c r="AM67" s="38"/>
      <c r="AN67" s="38"/>
      <c r="AO67" s="38"/>
      <c r="AP67" s="38"/>
      <c r="AQ67" s="99">
        <v>1</v>
      </c>
      <c r="AR67" s="101">
        <v>1</v>
      </c>
      <c r="AS67" s="42">
        <f>SUM(AT67:AZ67)</f>
        <v>2</v>
      </c>
      <c r="AT67" s="48"/>
      <c r="AU67" s="48"/>
      <c r="AV67" s="48"/>
      <c r="AW67" s="48"/>
      <c r="AX67" s="48"/>
      <c r="AY67" s="48">
        <v>1</v>
      </c>
      <c r="AZ67" s="48">
        <v>1</v>
      </c>
      <c r="BA67" s="43">
        <f>IF((W67-SUM(AT67:AZ67))&lt;0,0,W67-SUM(AT67:AZ67))</f>
        <v>1</v>
      </c>
      <c r="BB67" s="49"/>
      <c r="BC67" s="47"/>
      <c r="BD67" s="47"/>
    </row>
    <row r="68" spans="1:56" ht="15" customHeight="1">
      <c r="A68" s="49" t="s">
        <v>1015</v>
      </c>
      <c r="B68" s="39" t="s">
        <v>96</v>
      </c>
      <c r="C68" s="46" t="s">
        <v>65</v>
      </c>
      <c r="D68" s="49" t="s">
        <v>105</v>
      </c>
      <c r="E68" s="49"/>
      <c r="F68" s="39">
        <v>1</v>
      </c>
      <c r="G68" s="75" t="s">
        <v>1016</v>
      </c>
      <c r="H68" s="50" t="s">
        <v>314</v>
      </c>
      <c r="I68" s="50" t="s">
        <v>1017</v>
      </c>
      <c r="J68" s="50" t="s">
        <v>1018</v>
      </c>
      <c r="K68" s="50" t="s">
        <v>1019</v>
      </c>
      <c r="L68" s="47"/>
      <c r="M68" s="47"/>
      <c r="N68" s="47"/>
      <c r="O68" s="68"/>
      <c r="P68" s="68"/>
      <c r="Q68" s="47"/>
      <c r="R68" s="47"/>
      <c r="S68" s="47"/>
      <c r="T68" s="68"/>
      <c r="U68" s="68"/>
      <c r="V68" s="50" t="s">
        <v>167</v>
      </c>
      <c r="W68" s="74">
        <v>3</v>
      </c>
      <c r="X68" s="39">
        <f>MAX(0,$AK68-$W68-$Z68)</f>
        <v>0</v>
      </c>
      <c r="Y68" s="39"/>
      <c r="Z68" s="39"/>
      <c r="AA68" s="41">
        <v>0.26</v>
      </c>
      <c r="AB68" s="41">
        <f>IF(AND($X68&gt;0,ISNUMBER($AA68)),$X68*$AA68,0)</f>
        <v>0</v>
      </c>
      <c r="AK68" s="39">
        <f>SUM(AL68:AR68)</f>
        <v>2</v>
      </c>
      <c r="AL68" s="90"/>
      <c r="AM68" s="38"/>
      <c r="AN68" s="38"/>
      <c r="AO68" s="38"/>
      <c r="AP68" s="38"/>
      <c r="AQ68" s="98">
        <v>1</v>
      </c>
      <c r="AR68" s="100">
        <v>1</v>
      </c>
      <c r="AS68" s="42">
        <f>SUM(AT68:AZ68)</f>
        <v>1</v>
      </c>
      <c r="AT68" s="48"/>
      <c r="AU68" s="48"/>
      <c r="AV68" s="48"/>
      <c r="AW68" s="48"/>
      <c r="AX68" s="48"/>
      <c r="AY68" s="48"/>
      <c r="AZ68" s="48">
        <v>1</v>
      </c>
      <c r="BA68" s="43">
        <f>IF((W68-SUM(AT68:AZ68))&lt;0,0,W68-SUM(AT68:AZ68))</f>
        <v>2</v>
      </c>
      <c r="BB68" s="49"/>
      <c r="BC68" s="47"/>
      <c r="BD68" s="47"/>
    </row>
    <row r="69" spans="1:56" ht="15" customHeight="1">
      <c r="A69" s="49" t="s">
        <v>1070</v>
      </c>
      <c r="B69" s="39" t="s">
        <v>96</v>
      </c>
      <c r="C69" s="46" t="s">
        <v>65</v>
      </c>
      <c r="D69" s="49" t="s">
        <v>105</v>
      </c>
      <c r="E69" s="49"/>
      <c r="F69" s="39">
        <v>2</v>
      </c>
      <c r="G69" s="75" t="s">
        <v>1071</v>
      </c>
      <c r="H69" s="50" t="s">
        <v>314</v>
      </c>
      <c r="I69" s="50" t="s">
        <v>875</v>
      </c>
      <c r="J69" s="50" t="s">
        <v>1072</v>
      </c>
      <c r="K69" s="50"/>
      <c r="L69" s="47"/>
      <c r="M69" s="47"/>
      <c r="N69" s="47"/>
      <c r="O69" s="68"/>
      <c r="P69" s="68"/>
      <c r="Q69" s="47"/>
      <c r="R69" s="47"/>
      <c r="S69" s="47"/>
      <c r="T69" s="68"/>
      <c r="U69" s="68"/>
      <c r="V69" s="50" t="s">
        <v>196</v>
      </c>
      <c r="W69" s="74">
        <v>2</v>
      </c>
      <c r="X69" s="39">
        <f>MAX(0,$AK69-$W69-$Z69)</f>
        <v>0</v>
      </c>
      <c r="Y69" s="39"/>
      <c r="Z69" s="39"/>
      <c r="AA69" s="41">
        <v>0.2</v>
      </c>
      <c r="AB69" s="41">
        <f>IF(AND($X69&gt;0,ISNUMBER($AA69)),$X69*$AA69,0)</f>
        <v>0</v>
      </c>
      <c r="AF69" s="63" t="s">
        <v>1073</v>
      </c>
      <c r="AK69" s="39">
        <f>SUM(AL69:AR69)</f>
        <v>2</v>
      </c>
      <c r="AL69" s="90"/>
      <c r="AM69" s="38"/>
      <c r="AN69" s="38"/>
      <c r="AO69" s="99">
        <v>1</v>
      </c>
      <c r="AP69" s="38"/>
      <c r="AQ69" s="38"/>
      <c r="AR69" s="100">
        <v>1</v>
      </c>
      <c r="AS69" s="42">
        <f>SUM(AT69:AZ69)</f>
        <v>2</v>
      </c>
      <c r="AT69" s="48"/>
      <c r="AU69" s="48"/>
      <c r="AV69" s="48"/>
      <c r="AW69" s="48">
        <v>1</v>
      </c>
      <c r="AX69" s="48"/>
      <c r="AY69" s="48"/>
      <c r="AZ69" s="48">
        <v>1</v>
      </c>
      <c r="BA69" s="43">
        <f>IF((W69-SUM(AT69:AZ69))&lt;0,0,W69-SUM(AT69:AZ69))</f>
        <v>0</v>
      </c>
      <c r="BB69" s="49"/>
      <c r="BC69" s="47"/>
      <c r="BD69" s="47"/>
    </row>
    <row r="70" spans="1:56" ht="15" customHeight="1">
      <c r="A70" s="35" t="s">
        <v>530</v>
      </c>
      <c r="B70" s="36" t="s">
        <v>75</v>
      </c>
      <c r="C70" s="38" t="s">
        <v>65</v>
      </c>
      <c r="D70" s="35" t="s">
        <v>84</v>
      </c>
      <c r="E70" s="35" t="s">
        <v>531</v>
      </c>
      <c r="F70" s="35">
        <v>3</v>
      </c>
      <c r="G70" s="75" t="s">
        <v>532</v>
      </c>
      <c r="H70" s="35" t="s">
        <v>238</v>
      </c>
      <c r="I70" s="35" t="s">
        <v>533</v>
      </c>
      <c r="J70" s="35" t="s">
        <v>534</v>
      </c>
      <c r="K70" s="35"/>
      <c r="L70" s="109" t="s">
        <v>535</v>
      </c>
      <c r="M70" s="38">
        <v>1</v>
      </c>
      <c r="N70" s="38">
        <v>1</v>
      </c>
      <c r="O70" s="68"/>
      <c r="P70" s="110">
        <v>0.19</v>
      </c>
      <c r="Q70" s="37"/>
      <c r="R70" s="37"/>
      <c r="S70" s="37"/>
      <c r="T70" s="68"/>
      <c r="U70" s="68"/>
      <c r="V70" s="35" t="s">
        <v>223</v>
      </c>
      <c r="W70" s="74">
        <v>2</v>
      </c>
      <c r="X70" s="39">
        <f>MAX(0,$AK70-$W70-$Z70)</f>
        <v>0</v>
      </c>
      <c r="Y70" s="35"/>
      <c r="Z70" s="35"/>
      <c r="AA70" s="35">
        <v>0.19</v>
      </c>
      <c r="AB70" s="41">
        <f>IF(AND($X70&gt;0,ISNUMBER($AA70)),$X70*$AA70,0)</f>
        <v>0</v>
      </c>
      <c r="AK70" s="39">
        <f>SUM(AL70:AR70)</f>
        <v>0</v>
      </c>
      <c r="AL70" s="90"/>
      <c r="AM70" s="38"/>
      <c r="AN70" s="38"/>
      <c r="AO70" s="38"/>
      <c r="AP70" s="38"/>
      <c r="AQ70" s="38"/>
      <c r="AR70" s="91"/>
      <c r="AS70" s="42">
        <f>SUM(AT70:AZ70)</f>
        <v>0</v>
      </c>
      <c r="AT70" s="48"/>
      <c r="AU70" s="48"/>
      <c r="AV70" s="48"/>
      <c r="AW70" s="48"/>
      <c r="AX70" s="48"/>
      <c r="AY70" s="48"/>
      <c r="AZ70" s="48"/>
      <c r="BA70" s="43">
        <f>IF((W70-SUM(AT70:AZ70))&lt;0,0,W70-SUM(AT70:AZ70))</f>
        <v>2</v>
      </c>
      <c r="BB70" s="35"/>
      <c r="BC70" s="37"/>
      <c r="BD70" s="37"/>
    </row>
    <row r="71" spans="1:56" ht="15" customHeight="1">
      <c r="A71" s="49" t="s">
        <v>536</v>
      </c>
      <c r="B71" s="39" t="s">
        <v>75</v>
      </c>
      <c r="C71" s="46" t="s">
        <v>65</v>
      </c>
      <c r="D71" s="49" t="s">
        <v>134</v>
      </c>
      <c r="E71" s="49"/>
      <c r="F71" s="39">
        <v>2</v>
      </c>
      <c r="G71" s="75" t="s">
        <v>537</v>
      </c>
      <c r="H71" s="50" t="s">
        <v>78</v>
      </c>
      <c r="I71" s="50" t="s">
        <v>538</v>
      </c>
      <c r="J71" s="50" t="s">
        <v>539</v>
      </c>
      <c r="K71" s="50"/>
      <c r="L71" s="47"/>
      <c r="M71" s="47"/>
      <c r="N71" s="47"/>
      <c r="O71" s="68"/>
      <c r="P71" s="68"/>
      <c r="Q71" s="47"/>
      <c r="R71" s="47"/>
      <c r="S71" s="47"/>
      <c r="T71" s="68"/>
      <c r="U71" s="68"/>
      <c r="V71" s="50" t="s">
        <v>119</v>
      </c>
      <c r="W71" s="74">
        <v>1</v>
      </c>
      <c r="X71" s="39">
        <f>MAX(0,$AK71-$W71-$Z71)</f>
        <v>0</v>
      </c>
      <c r="Y71" s="39" t="s">
        <v>265</v>
      </c>
      <c r="Z71" s="39">
        <v>1</v>
      </c>
      <c r="AA71" s="41">
        <v>0.15</v>
      </c>
      <c r="AB71" s="41">
        <f>IF(AND($X71&gt;0,ISNUMBER($AA71)),$X71*$AA71,0)</f>
        <v>0</v>
      </c>
      <c r="AI71" s="63"/>
      <c r="AJ71" s="106">
        <v>1</v>
      </c>
      <c r="AK71" s="39">
        <f>SUM(AL71:AR71)</f>
        <v>0</v>
      </c>
      <c r="AL71" s="90"/>
      <c r="AM71" s="38"/>
      <c r="AN71" s="38"/>
      <c r="AO71" s="38"/>
      <c r="AP71" s="38"/>
      <c r="AQ71" s="38"/>
      <c r="AR71" s="91"/>
      <c r="AS71" s="42">
        <f>SUM(AT71:AZ71)</f>
        <v>0</v>
      </c>
      <c r="AT71" s="48"/>
      <c r="AU71" s="48"/>
      <c r="AV71" s="48"/>
      <c r="AW71" s="48"/>
      <c r="AX71" s="48"/>
      <c r="AY71" s="48"/>
      <c r="AZ71" s="48"/>
      <c r="BA71" s="43">
        <f>IF((W71-SUM(AT71:AZ71))&lt;0,0,W71-SUM(AT71:AZ71))</f>
        <v>1</v>
      </c>
      <c r="BB71" s="49"/>
      <c r="BC71" s="47"/>
      <c r="BD71" s="47"/>
    </row>
    <row r="72" spans="1:56" ht="15" customHeight="1">
      <c r="A72" s="49" t="s">
        <v>540</v>
      </c>
      <c r="B72" s="39" t="s">
        <v>75</v>
      </c>
      <c r="C72" s="46" t="s">
        <v>65</v>
      </c>
      <c r="D72" s="49" t="s">
        <v>134</v>
      </c>
      <c r="E72" s="49"/>
      <c r="F72" s="39">
        <v>5</v>
      </c>
      <c r="G72" s="75" t="s">
        <v>541</v>
      </c>
      <c r="H72" s="50" t="s">
        <v>153</v>
      </c>
      <c r="I72" s="50" t="s">
        <v>542</v>
      </c>
      <c r="J72" s="50"/>
      <c r="K72" s="50"/>
      <c r="L72" s="47"/>
      <c r="M72" s="47"/>
      <c r="N72" s="47"/>
      <c r="O72" s="68"/>
      <c r="P72" s="68"/>
      <c r="Q72" s="47"/>
      <c r="R72" s="47"/>
      <c r="S72" s="47"/>
      <c r="T72" s="68"/>
      <c r="U72" s="68"/>
      <c r="V72" s="50" t="s">
        <v>145</v>
      </c>
      <c r="W72" s="74">
        <v>1</v>
      </c>
      <c r="X72" s="39">
        <f>MAX(0,$AK72-$W72-$Z72)</f>
        <v>0</v>
      </c>
      <c r="Y72" s="39"/>
      <c r="Z72" s="39"/>
      <c r="AA72" s="41">
        <v>0.39</v>
      </c>
      <c r="AB72" s="41">
        <f>IF(AND($X72&gt;0,ISNUMBER($AA72)),$X72*$AA72,0)</f>
        <v>0</v>
      </c>
      <c r="AK72" s="39">
        <f>SUM(AL72:AR72)</f>
        <v>0</v>
      </c>
      <c r="AL72" s="90"/>
      <c r="AM72" s="38"/>
      <c r="AN72" s="38"/>
      <c r="AO72" s="38"/>
      <c r="AP72" s="38"/>
      <c r="AQ72" s="38"/>
      <c r="AR72" s="91"/>
      <c r="AS72" s="42">
        <f>SUM(AT72:AZ72)</f>
        <v>0</v>
      </c>
      <c r="AT72" s="48"/>
      <c r="AU72" s="48"/>
      <c r="AV72" s="48"/>
      <c r="AW72" s="48"/>
      <c r="AX72" s="48"/>
      <c r="AY72" s="48"/>
      <c r="AZ72" s="48"/>
      <c r="BA72" s="43">
        <f>IF((W72-SUM(AT72:AZ72))&lt;0,0,W72-SUM(AT72:AZ72))</f>
        <v>1</v>
      </c>
      <c r="BB72" s="49"/>
      <c r="BC72" s="47"/>
      <c r="BD72" s="47"/>
    </row>
    <row r="73" spans="1:56" ht="15" customHeight="1">
      <c r="A73" s="49" t="s">
        <v>255</v>
      </c>
      <c r="B73" s="39" t="s">
        <v>75</v>
      </c>
      <c r="C73" s="46" t="s">
        <v>65</v>
      </c>
      <c r="D73" s="49" t="s">
        <v>256</v>
      </c>
      <c r="E73" s="49"/>
      <c r="F73" s="39">
        <v>3</v>
      </c>
      <c r="G73" s="75" t="s">
        <v>257</v>
      </c>
      <c r="H73" s="50" t="s">
        <v>258</v>
      </c>
      <c r="I73" s="50" t="s">
        <v>259</v>
      </c>
      <c r="J73" s="50" t="s">
        <v>260</v>
      </c>
      <c r="K73" s="50"/>
      <c r="L73" s="47"/>
      <c r="M73" s="47"/>
      <c r="N73" s="47"/>
      <c r="O73" s="47"/>
      <c r="P73" s="47"/>
      <c r="Q73" s="47"/>
      <c r="R73" s="47"/>
      <c r="S73" s="47"/>
      <c r="T73" s="47"/>
      <c r="U73" s="47"/>
      <c r="V73" s="50" t="s">
        <v>261</v>
      </c>
      <c r="W73" s="74">
        <v>1</v>
      </c>
      <c r="X73" s="39">
        <f>MAX(0,$AK73-$W73-$Z73)</f>
        <v>0</v>
      </c>
      <c r="Y73" s="39"/>
      <c r="Z73" s="39"/>
      <c r="AA73" s="41">
        <v>0.36</v>
      </c>
      <c r="AB73" s="41">
        <f>IF(AND($X73&gt;0,ISNUMBER($AA73)),$X73*$AA73,0)</f>
        <v>0</v>
      </c>
      <c r="AK73" s="39">
        <f>SUM(AL73:AR73)</f>
        <v>1</v>
      </c>
      <c r="AL73" s="90"/>
      <c r="AM73" s="38"/>
      <c r="AN73" s="38"/>
      <c r="AO73" s="38"/>
      <c r="AP73" s="97">
        <v>1</v>
      </c>
      <c r="AQ73" s="38"/>
      <c r="AR73" s="91"/>
      <c r="AS73" s="42">
        <f>SUM(AT73:AZ73)</f>
        <v>1</v>
      </c>
      <c r="AT73" s="48"/>
      <c r="AU73" s="48"/>
      <c r="AV73" s="48"/>
      <c r="AW73" s="48"/>
      <c r="AX73" s="48">
        <v>1</v>
      </c>
      <c r="AY73" s="48"/>
      <c r="AZ73" s="48"/>
      <c r="BA73" s="43">
        <f>IF((W73-SUM(AT73:AZ73))&lt;0,0,W73-SUM(AT73:AZ73))</f>
        <v>0</v>
      </c>
      <c r="BB73" s="49"/>
      <c r="BC73" s="47"/>
      <c r="BD73" s="47"/>
    </row>
    <row r="74" spans="1:56" ht="15" customHeight="1">
      <c r="A74" s="44" t="s">
        <v>543</v>
      </c>
      <c r="B74" s="45" t="s">
        <v>75</v>
      </c>
      <c r="C74" s="46" t="s">
        <v>65</v>
      </c>
      <c r="D74" s="44" t="s">
        <v>76</v>
      </c>
      <c r="E74" s="44"/>
      <c r="F74" s="45">
        <v>3</v>
      </c>
      <c r="G74" s="75" t="s">
        <v>544</v>
      </c>
      <c r="H74" s="44" t="s">
        <v>78</v>
      </c>
      <c r="I74" s="44" t="s">
        <v>545</v>
      </c>
      <c r="J74" s="44"/>
      <c r="K74" s="44"/>
      <c r="L74" s="47"/>
      <c r="M74" s="47"/>
      <c r="N74" s="47"/>
      <c r="O74" s="68"/>
      <c r="P74" s="68"/>
      <c r="Q74" s="47"/>
      <c r="R74" s="47"/>
      <c r="S74" s="47"/>
      <c r="T74" s="68"/>
      <c r="U74" s="68"/>
      <c r="V74" s="44" t="s">
        <v>167</v>
      </c>
      <c r="W74" s="74">
        <v>1</v>
      </c>
      <c r="X74" s="39">
        <f>MAX(0,$AK74-$W74-$Z74)</f>
        <v>0</v>
      </c>
      <c r="Y74" s="44"/>
      <c r="Z74" s="44"/>
      <c r="AA74" s="44">
        <v>0.11</v>
      </c>
      <c r="AB74" s="44">
        <f>IF(AND($X74&gt;0,ISNUMBER($AA74)),$X74*$AA74,0)</f>
        <v>0</v>
      </c>
      <c r="AK74" s="39">
        <f>SUM(AL74:AR74)</f>
        <v>0</v>
      </c>
      <c r="AL74" s="90"/>
      <c r="AM74" s="38"/>
      <c r="AN74" s="38"/>
      <c r="AO74" s="38"/>
      <c r="AP74" s="38"/>
      <c r="AQ74" s="38"/>
      <c r="AR74" s="91"/>
      <c r="AS74" s="42">
        <f>SUM(AT74:AZ74)</f>
        <v>0</v>
      </c>
      <c r="AT74" s="48"/>
      <c r="AU74" s="48"/>
      <c r="AV74" s="48"/>
      <c r="AW74" s="48"/>
      <c r="AX74" s="48"/>
      <c r="AY74" s="48"/>
      <c r="AZ74" s="48"/>
      <c r="BA74" s="43">
        <f>IF((W74-SUM(AT74:AZ74))&lt;0,0,W74-SUM(AT74:AZ74))</f>
        <v>1</v>
      </c>
      <c r="BB74" s="44"/>
      <c r="BC74" s="47"/>
      <c r="BD74" s="47"/>
    </row>
    <row r="75" spans="1:56" ht="15" customHeight="1">
      <c r="A75" s="49" t="s">
        <v>550</v>
      </c>
      <c r="B75" s="39" t="s">
        <v>75</v>
      </c>
      <c r="C75" s="46" t="s">
        <v>65</v>
      </c>
      <c r="D75" s="49" t="s">
        <v>84</v>
      </c>
      <c r="E75" s="49" t="s">
        <v>551</v>
      </c>
      <c r="F75" s="39">
        <v>2</v>
      </c>
      <c r="G75" s="75" t="s">
        <v>552</v>
      </c>
      <c r="H75" s="50" t="s">
        <v>258</v>
      </c>
      <c r="I75" s="50" t="s">
        <v>553</v>
      </c>
      <c r="J75" s="50"/>
      <c r="K75" s="50"/>
      <c r="L75" s="47"/>
      <c r="M75" s="47"/>
      <c r="N75" s="47"/>
      <c r="O75" s="47"/>
      <c r="P75" s="47"/>
      <c r="Q75" s="47"/>
      <c r="R75" s="47"/>
      <c r="S75" s="47"/>
      <c r="T75" s="47"/>
      <c r="U75" s="47"/>
      <c r="V75" s="50" t="s">
        <v>379</v>
      </c>
      <c r="W75" s="74">
        <v>1</v>
      </c>
      <c r="X75" s="39">
        <f>MAX(0,$AK75-$W75-$Z75)</f>
        <v>0</v>
      </c>
      <c r="Y75" s="39"/>
      <c r="Z75" s="39"/>
      <c r="AA75" s="41">
        <v>0.24</v>
      </c>
      <c r="AB75" s="41">
        <f>IF(AND($X75&gt;0,ISNUMBER($AA75)),$X75*$AA75,0)</f>
        <v>0</v>
      </c>
      <c r="AK75" s="39">
        <f>SUM(AL75:AR75)</f>
        <v>1</v>
      </c>
      <c r="AL75" s="90"/>
      <c r="AM75" s="38"/>
      <c r="AN75" s="38"/>
      <c r="AO75" s="97">
        <v>1</v>
      </c>
      <c r="AP75" s="38"/>
      <c r="AQ75" s="38"/>
      <c r="AR75" s="91"/>
      <c r="AS75" s="42">
        <f>SUM(AT75:AZ75)</f>
        <v>1</v>
      </c>
      <c r="AT75" s="48"/>
      <c r="AU75" s="48"/>
      <c r="AV75" s="48"/>
      <c r="AW75" s="48">
        <v>1</v>
      </c>
      <c r="AX75" s="48"/>
      <c r="AY75" s="48"/>
      <c r="AZ75" s="48"/>
      <c r="BA75" s="43">
        <f>IF((W75-SUM(AT75:AZ75))&lt;0,0,W75-SUM(AT75:AZ75))</f>
        <v>0</v>
      </c>
      <c r="BB75" s="49"/>
      <c r="BC75" s="47"/>
      <c r="BD75" s="47"/>
    </row>
    <row r="76" spans="1:56" ht="15" customHeight="1">
      <c r="A76" s="44" t="s">
        <v>554</v>
      </c>
      <c r="B76" s="45" t="s">
        <v>75</v>
      </c>
      <c r="C76" s="46" t="s">
        <v>65</v>
      </c>
      <c r="D76" s="44"/>
      <c r="E76" s="44"/>
      <c r="F76" s="44"/>
      <c r="H76" s="44"/>
      <c r="I76" s="44"/>
      <c r="J76" s="44"/>
      <c r="K76" s="44"/>
      <c r="L76" s="47"/>
      <c r="M76" s="47"/>
      <c r="N76" s="47"/>
      <c r="O76" s="47"/>
      <c r="P76" s="47"/>
      <c r="Q76" s="47"/>
      <c r="R76" s="47"/>
      <c r="S76" s="47"/>
      <c r="T76" s="47"/>
      <c r="U76" s="47"/>
      <c r="V76" s="44"/>
      <c r="W76" s="74">
        <v>0</v>
      </c>
      <c r="X76" s="39">
        <f>MAX(0,$AK76-$W76-$Z76)</f>
        <v>0</v>
      </c>
      <c r="Y76" s="44"/>
      <c r="Z76" s="44"/>
      <c r="AA76" s="44"/>
      <c r="AB76" s="44">
        <f>IF(AND($X76&gt;0,ISNUMBER($AA76)),$X76*$AA76,0)</f>
        <v>0</v>
      </c>
      <c r="AC76" s="47"/>
      <c r="AD76" s="47"/>
      <c r="AE76" s="47"/>
      <c r="AF76" s="47"/>
      <c r="AG76" s="47"/>
      <c r="AH76" s="47"/>
      <c r="AI76" s="47"/>
      <c r="AJ76" s="47"/>
      <c r="AK76" s="39">
        <f>SUM(AL76:AR76)</f>
        <v>0</v>
      </c>
      <c r="AL76" s="114"/>
      <c r="AM76" s="43"/>
      <c r="AN76" s="43"/>
      <c r="AO76" s="43"/>
      <c r="AP76" s="43"/>
      <c r="AQ76" s="43"/>
      <c r="AR76" s="116"/>
      <c r="AS76" s="42">
        <f>SUM(AT76:AZ76)</f>
        <v>0</v>
      </c>
      <c r="AT76" s="48"/>
      <c r="AU76" s="48"/>
      <c r="AV76" s="48"/>
      <c r="AW76" s="48"/>
      <c r="AX76" s="48"/>
      <c r="AY76" s="48"/>
      <c r="AZ76" s="48"/>
      <c r="BA76" s="43">
        <f>IF((W76-SUM(AT76:AZ76))&lt;0,0,W76-SUM(AT76:AZ76))</f>
        <v>0</v>
      </c>
      <c r="BB76" s="44"/>
      <c r="BC76" s="47"/>
      <c r="BD76" s="47"/>
    </row>
    <row r="77" spans="1:56" ht="15" customHeight="1">
      <c r="A77" s="49" t="s">
        <v>555</v>
      </c>
      <c r="B77" s="39" t="s">
        <v>75</v>
      </c>
      <c r="C77" s="46" t="s">
        <v>83</v>
      </c>
      <c r="D77" s="49" t="s">
        <v>84</v>
      </c>
      <c r="E77" s="49" t="s">
        <v>370</v>
      </c>
      <c r="F77" s="39">
        <v>2</v>
      </c>
      <c r="G77" s="75" t="s">
        <v>556</v>
      </c>
      <c r="H77" s="50" t="s">
        <v>87</v>
      </c>
      <c r="I77" s="50" t="s">
        <v>557</v>
      </c>
      <c r="J77" s="50"/>
      <c r="K77" s="50"/>
      <c r="L77" s="47"/>
      <c r="M77" s="47"/>
      <c r="N77" s="47"/>
      <c r="O77" s="47"/>
      <c r="P77" s="47"/>
      <c r="Q77" s="47"/>
      <c r="R77" s="47"/>
      <c r="S77" s="47"/>
      <c r="T77" s="47"/>
      <c r="U77" s="47"/>
      <c r="V77" s="50" t="s">
        <v>558</v>
      </c>
      <c r="W77" s="74">
        <v>0</v>
      </c>
      <c r="X77" s="39">
        <f>MAX(0,$AK77-$W77-$Z77)</f>
        <v>0</v>
      </c>
      <c r="Y77" s="39"/>
      <c r="Z77" s="39"/>
      <c r="AA77" s="41">
        <v>2.79</v>
      </c>
      <c r="AB77" s="41">
        <f>IF(AND($X77&gt;0,ISNUMBER($AA77)),$X77*$AA77,0)</f>
        <v>0</v>
      </c>
      <c r="AC77" s="59"/>
      <c r="AD77" s="59"/>
      <c r="AE77" s="59"/>
      <c r="AF77" s="59"/>
      <c r="AG77" s="59"/>
      <c r="AH77" s="59"/>
      <c r="AI77" s="59"/>
      <c r="AJ77" s="59"/>
      <c r="AK77" s="39">
        <f>SUM(AL77:AR77)</f>
        <v>0</v>
      </c>
      <c r="AL77" s="114"/>
      <c r="AM77" s="43"/>
      <c r="AN77" s="43"/>
      <c r="AO77" s="43"/>
      <c r="AP77" s="43"/>
      <c r="AQ77" s="43"/>
      <c r="AR77" s="116"/>
      <c r="AS77" s="42">
        <f>SUM(AT77:AZ77)</f>
        <v>0</v>
      </c>
      <c r="AT77" s="48"/>
      <c r="AU77" s="48"/>
      <c r="AV77" s="48"/>
      <c r="AW77" s="48"/>
      <c r="AX77" s="48"/>
      <c r="AY77" s="48"/>
      <c r="AZ77" s="48"/>
      <c r="BA77" s="43">
        <f>IF((W77-SUM(AT77:AZ77))&lt;0,0,W77-SUM(AT77:AZ77))</f>
        <v>0</v>
      </c>
      <c r="BB77" s="49"/>
      <c r="BC77" s="47"/>
      <c r="BD77" s="53"/>
    </row>
    <row r="78" spans="1:56" ht="15" customHeight="1">
      <c r="A78" s="49" t="s">
        <v>267</v>
      </c>
      <c r="B78" s="39" t="s">
        <v>75</v>
      </c>
      <c r="C78" s="46" t="s">
        <v>65</v>
      </c>
      <c r="D78" s="49" t="s">
        <v>268</v>
      </c>
      <c r="E78" s="49" t="s">
        <v>269</v>
      </c>
      <c r="F78" s="39">
        <v>3</v>
      </c>
      <c r="G78" s="75" t="s">
        <v>270</v>
      </c>
      <c r="H78" s="50" t="s">
        <v>153</v>
      </c>
      <c r="I78" s="50" t="s">
        <v>271</v>
      </c>
      <c r="J78" s="50" t="s">
        <v>272</v>
      </c>
      <c r="K78" s="50"/>
      <c r="L78" s="47"/>
      <c r="M78" s="47"/>
      <c r="N78" s="47"/>
      <c r="O78" s="47"/>
      <c r="P78" s="47"/>
      <c r="Q78" s="47"/>
      <c r="R78" s="47"/>
      <c r="S78" s="47"/>
      <c r="T78" s="47"/>
      <c r="U78" s="47"/>
      <c r="V78" s="50" t="s">
        <v>119</v>
      </c>
      <c r="W78" s="74">
        <v>1</v>
      </c>
      <c r="X78" s="39">
        <f>MAX(0,$AK78-$W78-$Z78)</f>
        <v>0</v>
      </c>
      <c r="Y78" s="39"/>
      <c r="Z78" s="39"/>
      <c r="AA78" s="41">
        <v>0.31</v>
      </c>
      <c r="AB78" s="41">
        <f>IF(AND($X78&gt;0,ISNUMBER($AA78)),$X78*$AA78,0)</f>
        <v>0</v>
      </c>
      <c r="AK78" s="39">
        <f>SUM(AL78:AR78)</f>
        <v>1</v>
      </c>
      <c r="AL78" s="90"/>
      <c r="AM78" s="38"/>
      <c r="AN78" s="38"/>
      <c r="AO78" s="38"/>
      <c r="AP78" s="97">
        <v>1</v>
      </c>
      <c r="AQ78" s="38"/>
      <c r="AR78" s="91"/>
      <c r="AS78" s="42">
        <f>SUM(AT78:AZ78)</f>
        <v>1</v>
      </c>
      <c r="AT78" s="48"/>
      <c r="AU78" s="48"/>
      <c r="AV78" s="48"/>
      <c r="AW78" s="48"/>
      <c r="AX78" s="48">
        <v>1</v>
      </c>
      <c r="AY78" s="48"/>
      <c r="AZ78" s="48"/>
      <c r="BA78" s="43">
        <f>IF((W78-SUM(AT78:AZ78))&lt;0,0,W78-SUM(AT78:AZ78))</f>
        <v>0</v>
      </c>
      <c r="BB78" s="49"/>
      <c r="BC78" s="47"/>
      <c r="BD78" s="47"/>
    </row>
    <row r="79" spans="1:56" ht="15" customHeight="1">
      <c r="A79" s="44" t="s">
        <v>562</v>
      </c>
      <c r="B79" s="45" t="s">
        <v>75</v>
      </c>
      <c r="C79" s="46" t="s">
        <v>65</v>
      </c>
      <c r="D79" s="44" t="s">
        <v>84</v>
      </c>
      <c r="E79" s="44" t="s">
        <v>308</v>
      </c>
      <c r="F79" s="45">
        <v>3</v>
      </c>
      <c r="G79" s="75" t="s">
        <v>563</v>
      </c>
      <c r="H79" s="44" t="s">
        <v>564</v>
      </c>
      <c r="I79" s="44" t="s">
        <v>565</v>
      </c>
      <c r="J79" s="44" t="s">
        <v>566</v>
      </c>
      <c r="K79" s="44" t="s">
        <v>567</v>
      </c>
      <c r="L79" s="47"/>
      <c r="M79" s="47"/>
      <c r="N79" s="47"/>
      <c r="O79" s="47"/>
      <c r="P79" s="47"/>
      <c r="Q79" s="47"/>
      <c r="R79" s="47"/>
      <c r="S79" s="47"/>
      <c r="T79" s="47"/>
      <c r="U79" s="47"/>
      <c r="V79" s="44" t="s">
        <v>568</v>
      </c>
      <c r="W79" s="74">
        <v>0</v>
      </c>
      <c r="X79" s="39">
        <f>MAX(0,$AK79-$W79-$Z79)</f>
        <v>0</v>
      </c>
      <c r="Y79" s="44"/>
      <c r="Z79" s="44"/>
      <c r="AA79" s="44">
        <v>0.22</v>
      </c>
      <c r="AB79" s="44">
        <f>IF(AND($X79&gt;0,ISNUMBER($AA79)),$X79*$AA79,0)</f>
        <v>0</v>
      </c>
      <c r="AC79" s="47"/>
      <c r="AD79" s="47"/>
      <c r="AE79" s="47"/>
      <c r="AF79" s="47"/>
      <c r="AG79" s="47"/>
      <c r="AH79" s="47"/>
      <c r="AI79" s="47"/>
      <c r="AJ79" s="47"/>
      <c r="AK79" s="39">
        <f>SUM(AL79:AR79)</f>
        <v>0</v>
      </c>
      <c r="AL79" s="115"/>
      <c r="AM79" s="46"/>
      <c r="AN79" s="46"/>
      <c r="AO79" s="46"/>
      <c r="AP79" s="46"/>
      <c r="AQ79" s="46"/>
      <c r="AR79" s="116"/>
      <c r="AS79" s="42">
        <f>SUM(AT79:AZ79)</f>
        <v>0</v>
      </c>
      <c r="AT79" s="48"/>
      <c r="AU79" s="48"/>
      <c r="AV79" s="48"/>
      <c r="AW79" s="48"/>
      <c r="AX79" s="48"/>
      <c r="AY79" s="48"/>
      <c r="AZ79" s="48"/>
      <c r="BA79" s="43">
        <f>IF((W79-SUM(AT79:AZ79))&lt;0,0,W79-SUM(AT79:AZ79))</f>
        <v>0</v>
      </c>
      <c r="BB79" s="44"/>
      <c r="BC79" s="47"/>
      <c r="BD79" s="47"/>
    </row>
    <row r="80" spans="1:56" ht="15" customHeight="1">
      <c r="A80" s="49" t="s">
        <v>569</v>
      </c>
      <c r="B80" s="39" t="s">
        <v>75</v>
      </c>
      <c r="C80" s="46" t="s">
        <v>83</v>
      </c>
      <c r="D80" s="49" t="s">
        <v>341</v>
      </c>
      <c r="E80" s="49"/>
      <c r="F80" s="39">
        <v>6</v>
      </c>
      <c r="G80" s="75" t="s">
        <v>570</v>
      </c>
      <c r="H80" s="50" t="s">
        <v>100</v>
      </c>
      <c r="I80" s="50" t="s">
        <v>571</v>
      </c>
      <c r="J80" s="50" t="s">
        <v>572</v>
      </c>
      <c r="K80" s="50" t="s">
        <v>573</v>
      </c>
      <c r="L80" s="47"/>
      <c r="M80" s="47"/>
      <c r="N80" s="47"/>
      <c r="O80" s="47"/>
      <c r="P80" s="47"/>
      <c r="Q80" s="47"/>
      <c r="R80" s="47"/>
      <c r="S80" s="47"/>
      <c r="T80" s="47"/>
      <c r="U80" s="47"/>
      <c r="V80" s="50" t="s">
        <v>281</v>
      </c>
      <c r="W80" s="74">
        <v>0</v>
      </c>
      <c r="X80" s="39">
        <f>MAX(0,$AK80-$W80-$Z80)</f>
        <v>0</v>
      </c>
      <c r="Y80" s="39"/>
      <c r="Z80" s="39"/>
      <c r="AA80" s="41">
        <v>8.44</v>
      </c>
      <c r="AB80" s="41">
        <f>IF(AND($X80&gt;0,ISNUMBER($AA80)),$X80*$AA80,0)</f>
        <v>0</v>
      </c>
      <c r="AC80" s="59"/>
      <c r="AD80" s="59"/>
      <c r="AE80" s="59"/>
      <c r="AF80" s="59"/>
      <c r="AG80" s="59"/>
      <c r="AH80" s="59"/>
      <c r="AI80" s="59"/>
      <c r="AJ80" s="59"/>
      <c r="AK80" s="39">
        <f>SUM(AL80:AR80)</f>
        <v>0</v>
      </c>
      <c r="AL80" s="114"/>
      <c r="AM80" s="43"/>
      <c r="AN80" s="43"/>
      <c r="AO80" s="43"/>
      <c r="AP80" s="43"/>
      <c r="AQ80" s="43"/>
      <c r="AR80" s="116"/>
      <c r="AS80" s="42">
        <f>SUM(AT80:AZ80)</f>
        <v>0</v>
      </c>
      <c r="AT80" s="48"/>
      <c r="AU80" s="48"/>
      <c r="AV80" s="48"/>
      <c r="AW80" s="48"/>
      <c r="AX80" s="48"/>
      <c r="AY80" s="48"/>
      <c r="AZ80" s="48"/>
      <c r="BA80" s="43">
        <f>IF((W80-SUM(AT80:AZ80))&lt;0,0,W80-SUM(AT80:AZ80))</f>
        <v>0</v>
      </c>
      <c r="BB80" s="49"/>
      <c r="BC80" s="47"/>
      <c r="BD80" s="47"/>
    </row>
    <row r="81" spans="1:56" ht="15" customHeight="1">
      <c r="A81" s="44" t="s">
        <v>574</v>
      </c>
      <c r="B81" s="45" t="s">
        <v>75</v>
      </c>
      <c r="C81" s="46" t="s">
        <v>65</v>
      </c>
      <c r="D81" s="44" t="s">
        <v>178</v>
      </c>
      <c r="E81" s="44" t="s">
        <v>575</v>
      </c>
      <c r="F81" s="45">
        <v>3</v>
      </c>
      <c r="G81" s="75" t="s">
        <v>576</v>
      </c>
      <c r="H81" s="44" t="s">
        <v>293</v>
      </c>
      <c r="I81" s="44" t="s">
        <v>577</v>
      </c>
      <c r="J81" s="44"/>
      <c r="K81" s="44"/>
      <c r="L81" s="108"/>
      <c r="M81" s="46"/>
      <c r="N81" s="46"/>
      <c r="O81" s="68"/>
      <c r="P81" s="110"/>
      <c r="Q81" s="108"/>
      <c r="R81" s="46"/>
      <c r="S81" s="46"/>
      <c r="T81" s="68"/>
      <c r="U81" s="111"/>
      <c r="V81" s="44" t="s">
        <v>379</v>
      </c>
      <c r="W81" s="74">
        <v>0</v>
      </c>
      <c r="X81" s="39">
        <f>MAX(0,$AK81-$W81-$Z81)</f>
        <v>0</v>
      </c>
      <c r="Y81" s="44"/>
      <c r="Z81" s="44"/>
      <c r="AA81" s="44">
        <v>4.8</v>
      </c>
      <c r="AB81" s="44">
        <f>IF(AND($X81&gt;0,ISNUMBER($AA81)),$X81*$AA81,0)</f>
        <v>0</v>
      </c>
      <c r="AK81" s="39">
        <f>SUM(AL81:AR81)</f>
        <v>0</v>
      </c>
      <c r="AL81" s="90"/>
      <c r="AM81" s="38"/>
      <c r="AN81" s="38"/>
      <c r="AO81" s="38"/>
      <c r="AP81" s="38"/>
      <c r="AQ81" s="38"/>
      <c r="AR81" s="91"/>
      <c r="AS81" s="42">
        <f>SUM(AT81:AZ81)</f>
        <v>0</v>
      </c>
      <c r="AT81" s="48"/>
      <c r="AU81" s="48"/>
      <c r="AV81" s="48"/>
      <c r="AW81" s="48"/>
      <c r="AX81" s="48"/>
      <c r="AY81" s="48"/>
      <c r="AZ81" s="48"/>
      <c r="BA81" s="43">
        <f>IF((W81-SUM(AT81:AZ81))&lt;0,0,W81-SUM(AT81:AZ81))</f>
        <v>0</v>
      </c>
      <c r="BB81" s="44"/>
      <c r="BC81" s="47"/>
      <c r="BD81" s="47"/>
    </row>
    <row r="82" spans="1:56" ht="15" customHeight="1">
      <c r="A82" s="49" t="s">
        <v>578</v>
      </c>
      <c r="B82" s="39" t="s">
        <v>75</v>
      </c>
      <c r="C82" s="46" t="s">
        <v>83</v>
      </c>
      <c r="D82" s="49" t="s">
        <v>84</v>
      </c>
      <c r="E82" s="49" t="s">
        <v>579</v>
      </c>
      <c r="F82" s="39">
        <v>1</v>
      </c>
      <c r="G82" s="75" t="s">
        <v>580</v>
      </c>
      <c r="H82" s="50" t="s">
        <v>92</v>
      </c>
      <c r="I82" s="50" t="s">
        <v>581</v>
      </c>
      <c r="J82" s="50"/>
      <c r="K82" s="50"/>
      <c r="L82" s="46"/>
      <c r="M82" s="46"/>
      <c r="N82" s="46"/>
      <c r="O82" s="46"/>
      <c r="P82" s="46"/>
      <c r="Q82" s="46"/>
      <c r="R82" s="46"/>
      <c r="S82" s="46"/>
      <c r="T82" s="46"/>
      <c r="U82" s="46"/>
      <c r="V82" s="50" t="s">
        <v>582</v>
      </c>
      <c r="W82" s="74">
        <v>0</v>
      </c>
      <c r="X82" s="39">
        <f>MAX(0,$AK82-$W82-$Z82)</f>
        <v>0</v>
      </c>
      <c r="Y82" s="39"/>
      <c r="Z82" s="39"/>
      <c r="AA82" s="41">
        <v>3.66</v>
      </c>
      <c r="AB82" s="41">
        <f>IF(AND($X82&gt;0,ISNUMBER($AA82)),$X82*$AA82,0)</f>
        <v>0</v>
      </c>
      <c r="AC82" s="59"/>
      <c r="AD82" s="59"/>
      <c r="AE82" s="59"/>
      <c r="AF82" s="59"/>
      <c r="AG82" s="59"/>
      <c r="AH82" s="59"/>
      <c r="AI82" s="59"/>
      <c r="AJ82" s="59"/>
      <c r="AK82" s="39">
        <f>SUM(AL82:AR82)</f>
        <v>0</v>
      </c>
      <c r="AL82" s="114"/>
      <c r="AM82" s="43"/>
      <c r="AN82" s="43"/>
      <c r="AO82" s="43"/>
      <c r="AP82" s="43"/>
      <c r="AQ82" s="43"/>
      <c r="AR82" s="116"/>
      <c r="AS82" s="42">
        <f>SUM(AT82:AZ82)</f>
        <v>0</v>
      </c>
      <c r="AT82" s="48"/>
      <c r="AU82" s="48"/>
      <c r="AV82" s="48"/>
      <c r="AW82" s="48"/>
      <c r="AX82" s="48"/>
      <c r="AY82" s="48"/>
      <c r="AZ82" s="48"/>
      <c r="BA82" s="43">
        <f>IF((W82-SUM(AT82:AZ82))&lt;0,0,W82-SUM(AT82:AZ82))</f>
        <v>0</v>
      </c>
      <c r="BB82" s="49"/>
      <c r="BC82" s="47"/>
      <c r="BD82" s="47"/>
    </row>
    <row r="83" spans="1:56" ht="15" customHeight="1">
      <c r="A83" s="49" t="s">
        <v>589</v>
      </c>
      <c r="B83" s="39" t="s">
        <v>75</v>
      </c>
      <c r="C83" s="46" t="s">
        <v>65</v>
      </c>
      <c r="D83" s="49" t="s">
        <v>76</v>
      </c>
      <c r="E83" s="49"/>
      <c r="F83" s="39">
        <v>2</v>
      </c>
      <c r="G83" s="75" t="s">
        <v>590</v>
      </c>
      <c r="H83" s="50" t="s">
        <v>92</v>
      </c>
      <c r="I83" s="50" t="s">
        <v>591</v>
      </c>
      <c r="J83" s="50"/>
      <c r="K83" s="50"/>
      <c r="L83" s="47"/>
      <c r="M83" s="47"/>
      <c r="N83" s="47"/>
      <c r="O83" s="47"/>
      <c r="P83" s="47"/>
      <c r="Q83" s="47"/>
      <c r="R83" s="47"/>
      <c r="S83" s="47"/>
      <c r="T83" s="47"/>
      <c r="U83" s="47"/>
      <c r="V83" s="50" t="s">
        <v>592</v>
      </c>
      <c r="W83" s="74">
        <v>0</v>
      </c>
      <c r="X83" s="39">
        <f>MAX(0,$AK83-$W83-$Z83)</f>
        <v>0</v>
      </c>
      <c r="Y83" s="39"/>
      <c r="Z83" s="39"/>
      <c r="AA83" s="41">
        <v>0.24</v>
      </c>
      <c r="AB83" s="41">
        <f>IF(AND($X83&gt;0,ISNUMBER($AA83)),$X83*$AA83,0)</f>
        <v>0</v>
      </c>
      <c r="AC83" s="59"/>
      <c r="AD83" s="59"/>
      <c r="AE83" s="59"/>
      <c r="AF83" s="59"/>
      <c r="AG83" s="59"/>
      <c r="AH83" s="59"/>
      <c r="AI83" s="59"/>
      <c r="AJ83" s="59"/>
      <c r="AK83" s="39">
        <f>SUM(AL83:AR83)</f>
        <v>0</v>
      </c>
      <c r="AL83" s="114"/>
      <c r="AM83" s="43"/>
      <c r="AN83" s="43"/>
      <c r="AO83" s="43"/>
      <c r="AP83" s="43"/>
      <c r="AQ83" s="43"/>
      <c r="AR83" s="116"/>
      <c r="AS83" s="42">
        <f>SUM(AT83:AZ83)</f>
        <v>0</v>
      </c>
      <c r="AT83" s="48"/>
      <c r="AU83" s="48"/>
      <c r="AV83" s="48"/>
      <c r="AW83" s="48"/>
      <c r="AX83" s="48"/>
      <c r="AY83" s="48"/>
      <c r="AZ83" s="48"/>
      <c r="BA83" s="43">
        <f>IF((W83-SUM(AT83:AZ83))&lt;0,0,W83-SUM(AT83:AZ83))</f>
        <v>0</v>
      </c>
      <c r="BB83" s="49"/>
      <c r="BC83" s="47"/>
      <c r="BD83" s="47"/>
    </row>
    <row r="84" spans="1:56" ht="15" customHeight="1">
      <c r="A84" s="49" t="s">
        <v>599</v>
      </c>
      <c r="B84" s="39" t="s">
        <v>75</v>
      </c>
      <c r="C84" s="46" t="s">
        <v>65</v>
      </c>
      <c r="D84" s="49" t="s">
        <v>134</v>
      </c>
      <c r="E84" s="49" t="s">
        <v>600</v>
      </c>
      <c r="F84" s="39">
        <v>2</v>
      </c>
      <c r="G84" s="75" t="s">
        <v>601</v>
      </c>
      <c r="H84" s="50" t="s">
        <v>108</v>
      </c>
      <c r="I84" s="50" t="s">
        <v>602</v>
      </c>
      <c r="J84" s="50" t="s">
        <v>603</v>
      </c>
      <c r="K84" s="50"/>
      <c r="L84" s="47"/>
      <c r="M84" s="47"/>
      <c r="N84" s="47"/>
      <c r="O84" s="68"/>
      <c r="P84" s="68"/>
      <c r="Q84" s="47"/>
      <c r="R84" s="47"/>
      <c r="S84" s="47"/>
      <c r="T84" s="68"/>
      <c r="U84" s="68"/>
      <c r="V84" s="50" t="s">
        <v>568</v>
      </c>
      <c r="W84" s="74">
        <v>1</v>
      </c>
      <c r="X84" s="39">
        <f>MAX(0,$AK84-$W84-$Z84)</f>
        <v>0</v>
      </c>
      <c r="Y84" s="39"/>
      <c r="Z84" s="39"/>
      <c r="AA84" s="41">
        <v>0.12</v>
      </c>
      <c r="AB84" s="41">
        <f>IF(AND($X84&gt;0,ISNUMBER($AA84)),$X84*$AA84,0)</f>
        <v>0</v>
      </c>
      <c r="AK84" s="39">
        <f>SUM(AL84:AR84)</f>
        <v>0</v>
      </c>
      <c r="AL84" s="90"/>
      <c r="AM84" s="38"/>
      <c r="AN84" s="38"/>
      <c r="AO84" s="38"/>
      <c r="AP84" s="38"/>
      <c r="AQ84" s="38"/>
      <c r="AR84" s="91"/>
      <c r="AS84" s="42">
        <f>SUM(AT84:AZ84)</f>
        <v>0</v>
      </c>
      <c r="AT84" s="48"/>
      <c r="AU84" s="48"/>
      <c r="AV84" s="48"/>
      <c r="AW84" s="48"/>
      <c r="AX84" s="48"/>
      <c r="AY84" s="48"/>
      <c r="AZ84" s="48"/>
      <c r="BA84" s="43">
        <f>IF((W84-SUM(AT84:AZ84))&lt;0,0,W84-SUM(AT84:AZ84))</f>
        <v>1</v>
      </c>
      <c r="BB84" s="49"/>
      <c r="BC84" s="47"/>
      <c r="BD84" s="47"/>
    </row>
    <row r="85" spans="1:56" ht="15" customHeight="1">
      <c r="A85" s="49" t="s">
        <v>273</v>
      </c>
      <c r="B85" s="39" t="s">
        <v>75</v>
      </c>
      <c r="C85" s="46" t="s">
        <v>65</v>
      </c>
      <c r="D85" s="49" t="s">
        <v>76</v>
      </c>
      <c r="E85" s="49"/>
      <c r="F85" s="39">
        <v>2</v>
      </c>
      <c r="G85" s="75" t="s">
        <v>274</v>
      </c>
      <c r="H85" s="50" t="s">
        <v>92</v>
      </c>
      <c r="I85" s="50" t="s">
        <v>275</v>
      </c>
      <c r="J85" s="50"/>
      <c r="K85" s="50"/>
      <c r="L85" s="47"/>
      <c r="M85" s="47"/>
      <c r="N85" s="47"/>
      <c r="O85" s="47"/>
      <c r="P85" s="47"/>
      <c r="Q85" s="47"/>
      <c r="R85" s="47"/>
      <c r="S85" s="47"/>
      <c r="T85" s="47"/>
      <c r="U85" s="47"/>
      <c r="V85" s="50" t="s">
        <v>276</v>
      </c>
      <c r="W85" s="74">
        <v>1</v>
      </c>
      <c r="X85" s="39">
        <f>MAX(0,$AK85-$W85-$Z85)</f>
        <v>0</v>
      </c>
      <c r="Y85" s="39"/>
      <c r="Z85" s="39"/>
      <c r="AA85" s="41">
        <v>0.26</v>
      </c>
      <c r="AB85" s="41">
        <f>IF(AND($X85&gt;0,ISNUMBER($AA85)),$X85*$AA85,0)</f>
        <v>0</v>
      </c>
      <c r="AG85" s="63"/>
      <c r="AK85" s="39">
        <f>SUM(AL85:AR85)</f>
        <v>1</v>
      </c>
      <c r="AL85" s="90"/>
      <c r="AM85" s="38"/>
      <c r="AN85" s="38"/>
      <c r="AO85" s="38"/>
      <c r="AP85" s="98">
        <v>1</v>
      </c>
      <c r="AQ85" s="38"/>
      <c r="AR85" s="91"/>
      <c r="AS85" s="42">
        <f>SUM(AT85:AZ85)</f>
        <v>1</v>
      </c>
      <c r="AT85" s="48"/>
      <c r="AU85" s="48"/>
      <c r="AV85" s="48"/>
      <c r="AW85" s="48"/>
      <c r="AX85" s="48">
        <v>1</v>
      </c>
      <c r="AY85" s="48"/>
      <c r="AZ85" s="48"/>
      <c r="BA85" s="43">
        <f>IF((W85-SUM(AT85:AZ85))&lt;0,0,W85-SUM(AT85:AZ85))</f>
        <v>0</v>
      </c>
      <c r="BB85" s="49"/>
      <c r="BC85" s="47"/>
      <c r="BD85" s="47"/>
    </row>
    <row r="86" spans="1:56" ht="15" customHeight="1">
      <c r="A86" s="49" t="s">
        <v>607</v>
      </c>
      <c r="B86" s="39" t="s">
        <v>75</v>
      </c>
      <c r="C86" s="46" t="s">
        <v>65</v>
      </c>
      <c r="D86" s="49" t="s">
        <v>178</v>
      </c>
      <c r="E86" s="49" t="s">
        <v>608</v>
      </c>
      <c r="F86" s="39">
        <v>2</v>
      </c>
      <c r="G86" s="75" t="s">
        <v>609</v>
      </c>
      <c r="H86" s="50" t="s">
        <v>238</v>
      </c>
      <c r="I86" s="50" t="s">
        <v>610</v>
      </c>
      <c r="J86" s="50" t="s">
        <v>611</v>
      </c>
      <c r="K86" s="50"/>
      <c r="L86" s="47"/>
      <c r="M86" s="47"/>
      <c r="N86" s="47"/>
      <c r="O86" s="68"/>
      <c r="P86" s="68"/>
      <c r="Q86" s="47"/>
      <c r="R86" s="47"/>
      <c r="S86" s="47"/>
      <c r="T86" s="68"/>
      <c r="U86" s="68"/>
      <c r="V86" s="50" t="s">
        <v>588</v>
      </c>
      <c r="W86" s="74">
        <v>1</v>
      </c>
      <c r="X86" s="39">
        <f>MAX(0,$AK86-$W86-$Z86)</f>
        <v>0</v>
      </c>
      <c r="Y86" s="39"/>
      <c r="Z86" s="39"/>
      <c r="AA86" s="41">
        <v>0.42</v>
      </c>
      <c r="AB86" s="41">
        <f>IF(AND($X86&gt;0,ISNUMBER($AA86)),$X86*$AA86,0)</f>
        <v>0</v>
      </c>
      <c r="AK86" s="39">
        <f>SUM(AL86:AR86)</f>
        <v>0</v>
      </c>
      <c r="AL86" s="90"/>
      <c r="AM86" s="38"/>
      <c r="AN86" s="38"/>
      <c r="AO86" s="38"/>
      <c r="AP86" s="38"/>
      <c r="AQ86" s="38"/>
      <c r="AR86" s="91"/>
      <c r="AS86" s="42">
        <f>SUM(AT86:AZ86)</f>
        <v>0</v>
      </c>
      <c r="AT86" s="48"/>
      <c r="AU86" s="48"/>
      <c r="AV86" s="48"/>
      <c r="AW86" s="48"/>
      <c r="AX86" s="48"/>
      <c r="AY86" s="48"/>
      <c r="AZ86" s="48"/>
      <c r="BA86" s="43">
        <f>IF((W86-SUM(AT86:AZ86))&lt;0,0,W86-SUM(AT86:AZ86))</f>
        <v>1</v>
      </c>
      <c r="BB86" s="49"/>
      <c r="BC86" s="47"/>
      <c r="BD86" s="47"/>
    </row>
    <row r="87" spans="1:56" ht="15" customHeight="1">
      <c r="A87" s="49" t="s">
        <v>612</v>
      </c>
      <c r="B87" s="39" t="s">
        <v>75</v>
      </c>
      <c r="C87" s="46" t="s">
        <v>83</v>
      </c>
      <c r="D87" s="49" t="s">
        <v>134</v>
      </c>
      <c r="E87" s="49"/>
      <c r="F87" s="39">
        <v>4</v>
      </c>
      <c r="G87" s="75" t="s">
        <v>613</v>
      </c>
      <c r="H87" s="50" t="s">
        <v>100</v>
      </c>
      <c r="I87" s="50" t="s">
        <v>614</v>
      </c>
      <c r="J87" s="50"/>
      <c r="K87" s="50"/>
      <c r="L87" s="47"/>
      <c r="M87" s="47"/>
      <c r="N87" s="47"/>
      <c r="O87" s="47"/>
      <c r="P87" s="47"/>
      <c r="Q87" s="47"/>
      <c r="R87" s="47"/>
      <c r="S87" s="47"/>
      <c r="T87" s="47"/>
      <c r="U87" s="47"/>
      <c r="V87" s="50" t="s">
        <v>615</v>
      </c>
      <c r="W87" s="74">
        <v>0</v>
      </c>
      <c r="X87" s="39">
        <f>MAX(0,$AK87-$W87-$Z87)</f>
        <v>0</v>
      </c>
      <c r="Y87" s="39"/>
      <c r="Z87" s="39"/>
      <c r="AA87" s="41">
        <v>1.1000000000000001</v>
      </c>
      <c r="AB87" s="41">
        <f>IF(AND($X87&gt;0,ISNUMBER($AA87)),$X87*$AA87,0)</f>
        <v>0</v>
      </c>
      <c r="AC87" s="59"/>
      <c r="AD87" s="59"/>
      <c r="AE87" s="59"/>
      <c r="AF87" s="59"/>
      <c r="AG87" s="59"/>
      <c r="AH87" s="59"/>
      <c r="AI87" s="59"/>
      <c r="AJ87" s="59"/>
      <c r="AK87" s="39">
        <f>SUM(AL87:AR87)</f>
        <v>0</v>
      </c>
      <c r="AL87" s="114"/>
      <c r="AM87" s="43"/>
      <c r="AN87" s="43"/>
      <c r="AO87" s="43"/>
      <c r="AP87" s="43"/>
      <c r="AQ87" s="43"/>
      <c r="AR87" s="116"/>
      <c r="AS87" s="42">
        <f>SUM(AT87:AZ87)</f>
        <v>0</v>
      </c>
      <c r="AT87" s="48"/>
      <c r="AU87" s="48"/>
      <c r="AV87" s="48"/>
      <c r="AW87" s="48"/>
      <c r="AX87" s="48"/>
      <c r="AY87" s="48"/>
      <c r="AZ87" s="48"/>
      <c r="BA87" s="43">
        <f>IF((W87-SUM(AT87:AZ87))&lt;0,0,W87-SUM(AT87:AZ87))</f>
        <v>0</v>
      </c>
      <c r="BB87" s="49"/>
      <c r="BC87" s="47"/>
      <c r="BD87" s="47"/>
    </row>
    <row r="88" spans="1:56" ht="15" customHeight="1">
      <c r="A88" s="49" t="s">
        <v>616</v>
      </c>
      <c r="B88" s="39" t="s">
        <v>75</v>
      </c>
      <c r="C88" s="46" t="s">
        <v>83</v>
      </c>
      <c r="D88" s="49" t="s">
        <v>256</v>
      </c>
      <c r="E88" s="49"/>
      <c r="F88" s="39">
        <v>5</v>
      </c>
      <c r="G88" s="75" t="s">
        <v>617</v>
      </c>
      <c r="H88" s="50" t="s">
        <v>87</v>
      </c>
      <c r="I88" s="50" t="s">
        <v>617</v>
      </c>
      <c r="J88" s="50"/>
      <c r="K88" s="50"/>
      <c r="L88" s="47"/>
      <c r="M88" s="47"/>
      <c r="N88" s="47"/>
      <c r="O88" s="47"/>
      <c r="P88" s="47"/>
      <c r="Q88" s="47"/>
      <c r="R88" s="47"/>
      <c r="S88" s="47"/>
      <c r="T88" s="47"/>
      <c r="U88" s="47"/>
      <c r="V88" s="50" t="s">
        <v>618</v>
      </c>
      <c r="W88" s="74">
        <v>0</v>
      </c>
      <c r="X88" s="39">
        <f>MAX(0,$AK88-$W88-$Z88)</f>
        <v>0</v>
      </c>
      <c r="Y88" s="39"/>
      <c r="Z88" s="39"/>
      <c r="AA88" s="41">
        <v>15.62</v>
      </c>
      <c r="AB88" s="41">
        <f>IF(AND($X88&gt;0,ISNUMBER($AA88)),$X88*$AA88,0)</f>
        <v>0</v>
      </c>
      <c r="AC88" s="59"/>
      <c r="AD88" s="59"/>
      <c r="AE88" s="59"/>
      <c r="AF88" s="59"/>
      <c r="AG88" s="59"/>
      <c r="AH88" s="59"/>
      <c r="AI88" s="59"/>
      <c r="AJ88" s="59"/>
      <c r="AK88" s="39">
        <f>SUM(AL88:AR88)</f>
        <v>0</v>
      </c>
      <c r="AL88" s="114"/>
      <c r="AM88" s="43"/>
      <c r="AN88" s="43"/>
      <c r="AO88" s="43"/>
      <c r="AP88" s="43"/>
      <c r="AQ88" s="43"/>
      <c r="AR88" s="116"/>
      <c r="AS88" s="42">
        <f>SUM(AT88:AZ88)</f>
        <v>0</v>
      </c>
      <c r="AT88" s="48"/>
      <c r="AU88" s="48"/>
      <c r="AV88" s="48"/>
      <c r="AW88" s="48"/>
      <c r="AX88" s="48"/>
      <c r="AY88" s="48"/>
      <c r="AZ88" s="48"/>
      <c r="BA88" s="43">
        <f>IF((W88-SUM(AT88:AZ88))&lt;0,0,W88-SUM(AT88:AZ88))</f>
        <v>0</v>
      </c>
      <c r="BB88" s="49"/>
      <c r="BC88" s="47"/>
      <c r="BD88" s="47"/>
    </row>
    <row r="89" spans="1:56" ht="15" customHeight="1">
      <c r="A89" s="44" t="s">
        <v>619</v>
      </c>
      <c r="B89" s="45" t="s">
        <v>75</v>
      </c>
      <c r="C89" s="46" t="s">
        <v>65</v>
      </c>
      <c r="D89" s="44" t="s">
        <v>84</v>
      </c>
      <c r="E89" s="44" t="s">
        <v>620</v>
      </c>
      <c r="F89" s="45">
        <v>5</v>
      </c>
      <c r="G89" s="75" t="s">
        <v>621</v>
      </c>
      <c r="H89" s="44" t="s">
        <v>238</v>
      </c>
      <c r="I89" s="44" t="s">
        <v>622</v>
      </c>
      <c r="J89" s="44" t="s">
        <v>623</v>
      </c>
      <c r="K89" s="44"/>
      <c r="L89" s="108" t="s">
        <v>624</v>
      </c>
      <c r="M89" s="46">
        <v>1</v>
      </c>
      <c r="N89" s="46">
        <v>0</v>
      </c>
      <c r="O89" s="68" t="s">
        <v>625</v>
      </c>
      <c r="P89" s="110">
        <v>1.05</v>
      </c>
      <c r="Q89" s="108" t="s">
        <v>626</v>
      </c>
      <c r="R89" s="46">
        <v>1</v>
      </c>
      <c r="S89" s="46">
        <v>1</v>
      </c>
      <c r="T89" s="68" t="s">
        <v>627</v>
      </c>
      <c r="U89" s="111">
        <v>0.28000000000000003</v>
      </c>
      <c r="V89" s="44" t="s">
        <v>167</v>
      </c>
      <c r="W89" s="74">
        <v>2</v>
      </c>
      <c r="X89" s="39">
        <f>MAX(0,$AK89-$W89-$Z89)</f>
        <v>0</v>
      </c>
      <c r="Y89" s="44"/>
      <c r="Z89" s="44"/>
      <c r="AA89" s="44">
        <v>1.05</v>
      </c>
      <c r="AB89" s="44">
        <f>IF(AND($X89&gt;0,ISNUMBER($AA89)),$X89*$AA89,0)</f>
        <v>0</v>
      </c>
      <c r="AK89" s="39">
        <f>SUM(AL89:AR89)</f>
        <v>0</v>
      </c>
      <c r="AL89" s="90"/>
      <c r="AM89" s="38"/>
      <c r="AN89" s="38"/>
      <c r="AO89" s="38"/>
      <c r="AP89" s="38"/>
      <c r="AQ89" s="38"/>
      <c r="AR89" s="91"/>
      <c r="AS89" s="42">
        <f>SUM(AT89:AZ89)</f>
        <v>0</v>
      </c>
      <c r="AT89" s="48"/>
      <c r="AU89" s="48"/>
      <c r="AV89" s="48"/>
      <c r="AW89" s="48"/>
      <c r="AX89" s="48"/>
      <c r="AY89" s="48"/>
      <c r="AZ89" s="48"/>
      <c r="BA89" s="43">
        <f>IF((W89-SUM(AT89:AZ89))&lt;0,0,W89-SUM(AT89:AZ89))</f>
        <v>2</v>
      </c>
      <c r="BB89" s="44"/>
      <c r="BC89" s="47"/>
      <c r="BD89" s="47"/>
    </row>
    <row r="90" spans="1:56" ht="15" customHeight="1">
      <c r="A90" s="49" t="s">
        <v>277</v>
      </c>
      <c r="B90" s="39" t="s">
        <v>75</v>
      </c>
      <c r="C90" s="46" t="s">
        <v>65</v>
      </c>
      <c r="D90" s="49" t="s">
        <v>256</v>
      </c>
      <c r="E90" s="49"/>
      <c r="F90" s="39">
        <v>2</v>
      </c>
      <c r="G90" s="75" t="s">
        <v>278</v>
      </c>
      <c r="H90" s="50" t="s">
        <v>153</v>
      </c>
      <c r="I90" s="50" t="s">
        <v>279</v>
      </c>
      <c r="J90" s="50" t="s">
        <v>280</v>
      </c>
      <c r="K90" s="50"/>
      <c r="L90" s="47"/>
      <c r="M90" s="47"/>
      <c r="N90" s="47"/>
      <c r="O90" s="47"/>
      <c r="P90" s="47"/>
      <c r="Q90" s="47"/>
      <c r="R90" s="47"/>
      <c r="S90" s="47"/>
      <c r="T90" s="47"/>
      <c r="U90" s="47"/>
      <c r="V90" s="50" t="s">
        <v>281</v>
      </c>
      <c r="W90" s="74">
        <v>1</v>
      </c>
      <c r="X90" s="39">
        <f>MAX(0,$AK90-$W90-$Z90)</f>
        <v>0</v>
      </c>
      <c r="Y90" s="39"/>
      <c r="Z90" s="39"/>
      <c r="AA90" s="41">
        <v>1.02</v>
      </c>
      <c r="AB90" s="41">
        <f>IF(AND($X90&gt;0,ISNUMBER($AA90)),$X90*$AA90,0)</f>
        <v>0</v>
      </c>
      <c r="AG90" t="s">
        <v>282</v>
      </c>
      <c r="AK90" s="39">
        <f>SUM(AL90:AR90)</f>
        <v>1</v>
      </c>
      <c r="AL90" s="90"/>
      <c r="AM90" s="38"/>
      <c r="AN90" s="38"/>
      <c r="AO90" s="38"/>
      <c r="AP90" s="99">
        <v>1</v>
      </c>
      <c r="AQ90" s="38"/>
      <c r="AR90" s="91"/>
      <c r="AS90" s="42">
        <f>SUM(AT90:AZ90)</f>
        <v>1</v>
      </c>
      <c r="AT90" s="48"/>
      <c r="AU90" s="48"/>
      <c r="AV90" s="48"/>
      <c r="AW90" s="48"/>
      <c r="AX90" s="48">
        <v>1</v>
      </c>
      <c r="AY90" s="48"/>
      <c r="AZ90" s="48"/>
      <c r="BA90" s="43">
        <f>IF((W90-SUM(AT90:AZ90))&lt;0,0,W90-SUM(AT90:AZ90))</f>
        <v>0</v>
      </c>
      <c r="BB90" s="49"/>
      <c r="BC90" s="47"/>
      <c r="BD90" s="47"/>
    </row>
    <row r="91" spans="1:56" ht="15" customHeight="1">
      <c r="A91" s="44" t="s">
        <v>628</v>
      </c>
      <c r="B91" s="45" t="s">
        <v>75</v>
      </c>
      <c r="C91" s="46" t="s">
        <v>65</v>
      </c>
      <c r="D91" s="44" t="s">
        <v>134</v>
      </c>
      <c r="E91" s="44"/>
      <c r="F91" s="45">
        <v>2</v>
      </c>
      <c r="G91" s="75" t="s">
        <v>629</v>
      </c>
      <c r="H91" s="44" t="s">
        <v>258</v>
      </c>
      <c r="I91" s="44" t="s">
        <v>630</v>
      </c>
      <c r="J91" s="44"/>
      <c r="K91" s="44"/>
      <c r="L91" s="108"/>
      <c r="M91" s="46"/>
      <c r="N91" s="46"/>
      <c r="O91" s="68"/>
      <c r="P91" s="110"/>
      <c r="Q91" s="108"/>
      <c r="R91" s="46"/>
      <c r="S91" s="46"/>
      <c r="T91" s="68"/>
      <c r="U91" s="111"/>
      <c r="V91" s="44" t="s">
        <v>331</v>
      </c>
      <c r="W91" s="74">
        <v>0</v>
      </c>
      <c r="X91" s="39">
        <f>MAX(0,$AK91-$W91-$Z91)</f>
        <v>0</v>
      </c>
      <c r="Y91" s="44"/>
      <c r="Z91" s="44"/>
      <c r="AA91" s="44">
        <v>0.4</v>
      </c>
      <c r="AB91" s="44">
        <f>IF(AND($X91&gt;0,ISNUMBER($AA91)),$X91*$AA91,0)</f>
        <v>0</v>
      </c>
      <c r="AK91" s="39">
        <f>SUM(AL91:AR91)</f>
        <v>0</v>
      </c>
      <c r="AL91" s="90"/>
      <c r="AM91" s="38"/>
      <c r="AN91" s="38"/>
      <c r="AO91" s="38"/>
      <c r="AP91" s="38"/>
      <c r="AQ91" s="38"/>
      <c r="AR91" s="91"/>
      <c r="AS91" s="42">
        <f>SUM(AT91:AZ91)</f>
        <v>0</v>
      </c>
      <c r="AT91" s="48"/>
      <c r="AU91" s="48"/>
      <c r="AV91" s="48"/>
      <c r="AW91" s="48"/>
      <c r="AX91" s="48"/>
      <c r="AY91" s="48"/>
      <c r="AZ91" s="48"/>
      <c r="BA91" s="43">
        <f>IF((W91-SUM(AT91:AZ91))&lt;0,0,W91-SUM(AT91:AZ91))</f>
        <v>0</v>
      </c>
      <c r="BB91" s="44"/>
      <c r="BC91" s="47"/>
      <c r="BD91" s="47"/>
    </row>
    <row r="92" spans="1:56" ht="15" customHeight="1">
      <c r="A92" s="49" t="s">
        <v>631</v>
      </c>
      <c r="B92" s="39" t="s">
        <v>75</v>
      </c>
      <c r="C92" s="46" t="s">
        <v>65</v>
      </c>
      <c r="D92" s="49" t="s">
        <v>134</v>
      </c>
      <c r="E92" s="49"/>
      <c r="F92" s="39">
        <v>2</v>
      </c>
      <c r="G92" s="75" t="s">
        <v>632</v>
      </c>
      <c r="H92" s="50" t="s">
        <v>78</v>
      </c>
      <c r="I92" s="50" t="s">
        <v>633</v>
      </c>
      <c r="J92" s="50" t="s">
        <v>634</v>
      </c>
      <c r="K92" s="50"/>
      <c r="L92" s="47"/>
      <c r="M92" s="47"/>
      <c r="N92" s="47"/>
      <c r="O92" s="47"/>
      <c r="P92" s="47"/>
      <c r="Q92" s="47"/>
      <c r="R92" s="47"/>
      <c r="S92" s="47"/>
      <c r="T92" s="47"/>
      <c r="U92" s="47"/>
      <c r="V92" s="50" t="s">
        <v>635</v>
      </c>
      <c r="W92" s="74">
        <v>1</v>
      </c>
      <c r="X92" s="39">
        <f>MAX(0,$AK92-$W92-$Z92)</f>
        <v>0</v>
      </c>
      <c r="Y92" s="39"/>
      <c r="Z92" s="39"/>
      <c r="AA92" s="41">
        <v>0.17</v>
      </c>
      <c r="AB92" s="41">
        <f>IF(AND($X92&gt;0,ISNUMBER($AA92)),$X92*$AA92,0)</f>
        <v>0</v>
      </c>
      <c r="AF92" s="63" t="s">
        <v>266</v>
      </c>
      <c r="AK92" s="39">
        <f>SUM(AL92:AR92)</f>
        <v>1</v>
      </c>
      <c r="AL92" s="90"/>
      <c r="AM92" s="38"/>
      <c r="AN92" s="38"/>
      <c r="AO92" s="99">
        <v>1</v>
      </c>
      <c r="AP92" s="38"/>
      <c r="AQ92" s="38"/>
      <c r="AR92" s="91"/>
      <c r="AS92" s="42">
        <f>SUM(AT92:AZ92)</f>
        <v>1</v>
      </c>
      <c r="AT92" s="48"/>
      <c r="AU92" s="48"/>
      <c r="AV92" s="48"/>
      <c r="AW92" s="48">
        <v>1</v>
      </c>
      <c r="AX92" s="48"/>
      <c r="AY92" s="48"/>
      <c r="AZ92" s="48"/>
      <c r="BA92" s="43">
        <f>IF((W92-SUM(AT92:AZ92))&lt;0,0,W92-SUM(AT92:AZ92))</f>
        <v>0</v>
      </c>
      <c r="BB92" s="49"/>
      <c r="BC92" s="47"/>
      <c r="BD92" s="47"/>
    </row>
    <row r="93" spans="1:56" ht="15" customHeight="1">
      <c r="A93" s="44" t="s">
        <v>636</v>
      </c>
      <c r="B93" s="45" t="s">
        <v>75</v>
      </c>
      <c r="C93" s="46" t="s">
        <v>65</v>
      </c>
      <c r="D93" s="44" t="s">
        <v>76</v>
      </c>
      <c r="E93" s="44"/>
      <c r="F93" s="45">
        <v>4</v>
      </c>
      <c r="G93" s="75" t="s">
        <v>637</v>
      </c>
      <c r="H93" s="44" t="s">
        <v>78</v>
      </c>
      <c r="I93" s="44" t="s">
        <v>638</v>
      </c>
      <c r="J93" s="44" t="s">
        <v>639</v>
      </c>
      <c r="K93" s="44" t="s">
        <v>640</v>
      </c>
      <c r="L93" s="108"/>
      <c r="M93" s="46"/>
      <c r="N93" s="46"/>
      <c r="O93" s="68"/>
      <c r="P93" s="110"/>
      <c r="Q93" s="108"/>
      <c r="R93" s="46"/>
      <c r="S93" s="46"/>
      <c r="T93" s="68"/>
      <c r="U93" s="111"/>
      <c r="V93" s="44" t="s">
        <v>641</v>
      </c>
      <c r="W93" s="74">
        <v>0</v>
      </c>
      <c r="X93" s="39">
        <f>MAX(0,$AK93-$W93-$Z93)</f>
        <v>0</v>
      </c>
      <c r="Y93" s="44"/>
      <c r="Z93" s="44"/>
      <c r="AA93" s="44">
        <v>5.01</v>
      </c>
      <c r="AB93" s="44">
        <f>IF(AND($X93&gt;0,ISNUMBER($AA93)),$X93*$AA93,0)</f>
        <v>0</v>
      </c>
      <c r="AK93" s="39">
        <f>SUM(AL93:AR93)</f>
        <v>0</v>
      </c>
      <c r="AL93" s="90"/>
      <c r="AM93" s="38"/>
      <c r="AN93" s="38"/>
      <c r="AO93" s="38"/>
      <c r="AP93" s="38"/>
      <c r="AQ93" s="38"/>
      <c r="AR93" s="91"/>
      <c r="AS93" s="42">
        <f>SUM(AT93:AZ93)</f>
        <v>0</v>
      </c>
      <c r="AT93" s="48"/>
      <c r="AU93" s="48"/>
      <c r="AV93" s="48"/>
      <c r="AW93" s="48"/>
      <c r="AX93" s="48"/>
      <c r="AY93" s="48"/>
      <c r="AZ93" s="48"/>
      <c r="BA93" s="43">
        <f>IF((W93-SUM(AT93:AZ93))&lt;0,0,W93-SUM(AT93:AZ93))</f>
        <v>0</v>
      </c>
      <c r="BB93" s="44"/>
      <c r="BC93" s="47"/>
      <c r="BD93" s="47"/>
    </row>
    <row r="94" spans="1:56" ht="15" customHeight="1">
      <c r="A94" s="44" t="s">
        <v>642</v>
      </c>
      <c r="B94" s="45" t="s">
        <v>75</v>
      </c>
      <c r="C94" s="46" t="s">
        <v>65</v>
      </c>
      <c r="D94" s="44" t="s">
        <v>84</v>
      </c>
      <c r="E94" s="44" t="s">
        <v>643</v>
      </c>
      <c r="F94" s="45">
        <v>2</v>
      </c>
      <c r="G94" s="75" t="s">
        <v>644</v>
      </c>
      <c r="H94" s="44" t="s">
        <v>238</v>
      </c>
      <c r="I94" s="44" t="s">
        <v>645</v>
      </c>
      <c r="J94" s="44"/>
      <c r="K94" s="44"/>
      <c r="L94" s="108" t="s">
        <v>646</v>
      </c>
      <c r="M94" s="46">
        <v>1</v>
      </c>
      <c r="N94" s="46">
        <v>1</v>
      </c>
      <c r="O94" s="68"/>
      <c r="P94" s="110">
        <v>0.21</v>
      </c>
      <c r="Q94" s="47"/>
      <c r="R94" s="47"/>
      <c r="S94" s="47"/>
      <c r="T94" s="68"/>
      <c r="U94" s="68"/>
      <c r="V94" s="44" t="s">
        <v>167</v>
      </c>
      <c r="W94" s="74">
        <v>4</v>
      </c>
      <c r="X94" s="39">
        <f>MAX(0,$AK94-$W94-$Z94)</f>
        <v>0</v>
      </c>
      <c r="Y94" s="44"/>
      <c r="Z94" s="44"/>
      <c r="AA94" s="44">
        <v>0.21</v>
      </c>
      <c r="AB94" s="44">
        <f>IF(AND($X94&gt;0,ISNUMBER($AA94)),$X94*$AA94,0)</f>
        <v>0</v>
      </c>
      <c r="AK94" s="39">
        <f>SUM(AL94:AR94)</f>
        <v>0</v>
      </c>
      <c r="AL94" s="90"/>
      <c r="AM94" s="38"/>
      <c r="AN94" s="38"/>
      <c r="AO94" s="38"/>
      <c r="AP94" s="38"/>
      <c r="AQ94" s="38"/>
      <c r="AR94" s="91"/>
      <c r="AS94" s="42">
        <f>SUM(AT94:AZ94)</f>
        <v>0</v>
      </c>
      <c r="AT94" s="48"/>
      <c r="AU94" s="48"/>
      <c r="AV94" s="48"/>
      <c r="AW94" s="48"/>
      <c r="AX94" s="48"/>
      <c r="AY94" s="48"/>
      <c r="AZ94" s="48"/>
      <c r="BA94" s="43">
        <f>IF((W94-SUM(AT94:AZ94))&lt;0,0,W94-SUM(AT94:AZ94))</f>
        <v>4</v>
      </c>
      <c r="BB94" s="44"/>
      <c r="BC94" s="47"/>
      <c r="BD94" s="47"/>
    </row>
    <row r="95" spans="1:56" ht="15" customHeight="1">
      <c r="A95" s="44" t="s">
        <v>647</v>
      </c>
      <c r="B95" s="45" t="s">
        <v>75</v>
      </c>
      <c r="C95" s="46" t="s">
        <v>65</v>
      </c>
      <c r="D95" s="44" t="s">
        <v>134</v>
      </c>
      <c r="E95" s="44"/>
      <c r="F95" s="45">
        <v>4</v>
      </c>
      <c r="G95" s="75" t="s">
        <v>648</v>
      </c>
      <c r="H95" s="44" t="s">
        <v>115</v>
      </c>
      <c r="I95" s="44" t="s">
        <v>649</v>
      </c>
      <c r="J95" s="44" t="s">
        <v>650</v>
      </c>
      <c r="K95" s="44"/>
      <c r="L95" s="47"/>
      <c r="M95" s="47"/>
      <c r="N95" s="47"/>
      <c r="O95" s="68"/>
      <c r="P95" s="68"/>
      <c r="Q95" s="47"/>
      <c r="R95" s="47"/>
      <c r="S95" s="47"/>
      <c r="T95" s="68"/>
      <c r="U95" s="68"/>
      <c r="V95" s="44" t="s">
        <v>167</v>
      </c>
      <c r="W95" s="74">
        <v>1</v>
      </c>
      <c r="X95" s="39">
        <f>MAX(0,$AK95-$W95-$Z95)</f>
        <v>0</v>
      </c>
      <c r="Y95" s="44"/>
      <c r="Z95" s="44"/>
      <c r="AA95" s="44">
        <v>0.19</v>
      </c>
      <c r="AB95" s="44">
        <f>IF(AND($X95&gt;0,ISNUMBER($AA95)),$X95*$AA95,0)</f>
        <v>0</v>
      </c>
      <c r="AK95" s="39">
        <f>SUM(AL95:AR95)</f>
        <v>0</v>
      </c>
      <c r="AL95" s="90"/>
      <c r="AM95" s="38"/>
      <c r="AN95" s="38"/>
      <c r="AO95" s="38"/>
      <c r="AP95" s="38"/>
      <c r="AQ95" s="38"/>
      <c r="AR95" s="91"/>
      <c r="AS95" s="42">
        <f>SUM(AT95:AZ95)</f>
        <v>0</v>
      </c>
      <c r="AT95" s="48"/>
      <c r="AU95" s="48"/>
      <c r="AV95" s="48"/>
      <c r="AW95" s="48"/>
      <c r="AX95" s="48"/>
      <c r="AY95" s="48"/>
      <c r="AZ95" s="48"/>
      <c r="BA95" s="43">
        <f>IF((W95-SUM(AT95:AZ95))&lt;0,0,W95-SUM(AT95:AZ95))</f>
        <v>1</v>
      </c>
      <c r="BB95" s="44"/>
      <c r="BC95" s="47"/>
      <c r="BD95" s="47"/>
    </row>
    <row r="96" spans="1:56" ht="15" customHeight="1">
      <c r="A96" s="49" t="s">
        <v>657</v>
      </c>
      <c r="B96" s="39" t="s">
        <v>75</v>
      </c>
      <c r="C96" s="46" t="s">
        <v>65</v>
      </c>
      <c r="D96" s="49" t="s">
        <v>76</v>
      </c>
      <c r="E96" s="49"/>
      <c r="F96" s="39">
        <v>2</v>
      </c>
      <c r="G96" s="75" t="s">
        <v>658</v>
      </c>
      <c r="H96" s="50" t="s">
        <v>78</v>
      </c>
      <c r="I96" s="50" t="s">
        <v>659</v>
      </c>
      <c r="J96" s="50"/>
      <c r="K96" s="50"/>
      <c r="L96" s="47"/>
      <c r="M96" s="47"/>
      <c r="N96" s="47"/>
      <c r="O96" s="47"/>
      <c r="P96" s="47"/>
      <c r="Q96" s="47"/>
      <c r="R96" s="47"/>
      <c r="S96" s="47"/>
      <c r="T96" s="47"/>
      <c r="U96" s="47"/>
      <c r="V96" s="50" t="s">
        <v>660</v>
      </c>
      <c r="W96" s="74">
        <v>1</v>
      </c>
      <c r="X96" s="39">
        <f>MAX(0,$AK96-$W96-$Z96)</f>
        <v>0</v>
      </c>
      <c r="Y96" s="39"/>
      <c r="Z96" s="39"/>
      <c r="AA96" s="41">
        <v>0.56999999999999995</v>
      </c>
      <c r="AB96" s="41">
        <f>IF(AND($X96&gt;0,ISNUMBER($AA96)),$X96*$AA96,0)</f>
        <v>0</v>
      </c>
      <c r="AK96" s="39">
        <f>SUM(AL96:AR96)</f>
        <v>1</v>
      </c>
      <c r="AL96" s="90"/>
      <c r="AM96" s="38"/>
      <c r="AN96" s="97">
        <v>1</v>
      </c>
      <c r="AO96" s="38"/>
      <c r="AP96" s="38"/>
      <c r="AQ96" s="38"/>
      <c r="AR96" s="91"/>
      <c r="AS96" s="42">
        <f>SUM(AT96:AZ96)</f>
        <v>1</v>
      </c>
      <c r="AT96" s="48"/>
      <c r="AU96" s="48"/>
      <c r="AV96" s="48">
        <v>1</v>
      </c>
      <c r="AW96" s="48"/>
      <c r="AX96" s="48"/>
      <c r="AY96" s="48"/>
      <c r="AZ96" s="48"/>
      <c r="BA96" s="43">
        <f>IF((W96-SUM(AT96:AZ96))&lt;0,0,W96-SUM(AT96:AZ96))</f>
        <v>0</v>
      </c>
      <c r="BB96" s="49"/>
      <c r="BC96" s="47"/>
      <c r="BD96" s="47"/>
    </row>
    <row r="97" spans="1:56" ht="15" customHeight="1">
      <c r="A97" s="49" t="s">
        <v>661</v>
      </c>
      <c r="B97" s="39" t="s">
        <v>75</v>
      </c>
      <c r="C97" s="46" t="s">
        <v>65</v>
      </c>
      <c r="D97" s="49" t="s">
        <v>178</v>
      </c>
      <c r="E97" s="49" t="s">
        <v>662</v>
      </c>
      <c r="F97" s="39">
        <v>2</v>
      </c>
      <c r="G97" s="75" t="s">
        <v>663</v>
      </c>
      <c r="H97" s="50" t="s">
        <v>100</v>
      </c>
      <c r="I97" s="50" t="s">
        <v>664</v>
      </c>
      <c r="J97" s="50" t="s">
        <v>665</v>
      </c>
      <c r="K97" s="50"/>
      <c r="L97" s="47"/>
      <c r="M97" s="47"/>
      <c r="N97" s="47"/>
      <c r="O97" s="47"/>
      <c r="P97" s="47"/>
      <c r="Q97" s="47"/>
      <c r="R97" s="47"/>
      <c r="S97" s="47"/>
      <c r="T97" s="47"/>
      <c r="U97" s="47"/>
      <c r="V97" s="50" t="s">
        <v>167</v>
      </c>
      <c r="W97" s="74">
        <v>1</v>
      </c>
      <c r="X97" s="39">
        <f>MAX(0,$AK97-$W97-$Z97)</f>
        <v>0</v>
      </c>
      <c r="Y97" s="39"/>
      <c r="Z97" s="39"/>
      <c r="AA97" s="41">
        <v>2.52</v>
      </c>
      <c r="AB97" s="41">
        <f>IF(AND($X97&gt;0,ISNUMBER($AA97)),$X97*$AA97,0)</f>
        <v>0</v>
      </c>
      <c r="AE97" t="s">
        <v>666</v>
      </c>
      <c r="AK97" s="39">
        <f>SUM(AL97:AR97)</f>
        <v>1</v>
      </c>
      <c r="AL97" s="90"/>
      <c r="AM97" s="38"/>
      <c r="AN97" s="99">
        <v>1</v>
      </c>
      <c r="AO97" s="38"/>
      <c r="AP97" s="38"/>
      <c r="AQ97" s="38"/>
      <c r="AR97" s="91"/>
      <c r="AS97" s="42">
        <f>SUM(AT97:AZ97)</f>
        <v>1</v>
      </c>
      <c r="AT97" s="48"/>
      <c r="AU97" s="48"/>
      <c r="AV97" s="48">
        <v>1</v>
      </c>
      <c r="AW97" s="48"/>
      <c r="AX97" s="48"/>
      <c r="AY97" s="48"/>
      <c r="AZ97" s="48"/>
      <c r="BA97" s="43">
        <f>IF((W97-SUM(AT97:AZ97))&lt;0,0,W97-SUM(AT97:AZ97))</f>
        <v>0</v>
      </c>
      <c r="BB97" s="49"/>
      <c r="BC97" s="47"/>
      <c r="BD97" s="47"/>
    </row>
    <row r="98" spans="1:56" ht="15" customHeight="1">
      <c r="A98" s="44" t="s">
        <v>667</v>
      </c>
      <c r="B98" s="45" t="s">
        <v>75</v>
      </c>
      <c r="C98" s="46" t="s">
        <v>65</v>
      </c>
      <c r="D98" s="44" t="s">
        <v>178</v>
      </c>
      <c r="E98" s="44" t="s">
        <v>662</v>
      </c>
      <c r="F98" s="45">
        <v>4</v>
      </c>
      <c r="G98" s="75" t="s">
        <v>668</v>
      </c>
      <c r="H98" s="44" t="s">
        <v>238</v>
      </c>
      <c r="I98" s="44" t="s">
        <v>669</v>
      </c>
      <c r="J98" s="44" t="s">
        <v>670</v>
      </c>
      <c r="K98" s="44"/>
      <c r="L98" s="47"/>
      <c r="M98" s="47"/>
      <c r="N98" s="47"/>
      <c r="O98" s="68"/>
      <c r="P98" s="68"/>
      <c r="Q98" s="47"/>
      <c r="R98" s="47"/>
      <c r="S98" s="47"/>
      <c r="T98" s="68"/>
      <c r="U98" s="68"/>
      <c r="V98" s="44" t="s">
        <v>167</v>
      </c>
      <c r="W98" s="74">
        <v>2</v>
      </c>
      <c r="X98" s="39">
        <f>MAX(0,$AK98-$W98-$Z98)</f>
        <v>0</v>
      </c>
      <c r="Y98" s="44"/>
      <c r="Z98" s="44"/>
      <c r="AA98" s="44">
        <v>0.11</v>
      </c>
      <c r="AB98" s="44">
        <f>IF(AND($X98&gt;0,ISNUMBER($AA98)),$X98*$AA98,0)</f>
        <v>0</v>
      </c>
      <c r="AK98" s="39">
        <f>SUM(AL98:AR98)</f>
        <v>0</v>
      </c>
      <c r="AL98" s="90"/>
      <c r="AM98" s="38"/>
      <c r="AN98" s="38"/>
      <c r="AO98" s="38"/>
      <c r="AP98" s="38"/>
      <c r="AQ98" s="38"/>
      <c r="AR98" s="91"/>
      <c r="AS98" s="42">
        <f>SUM(AT98:AZ98)</f>
        <v>0</v>
      </c>
      <c r="AT98" s="48"/>
      <c r="AU98" s="48"/>
      <c r="AV98" s="48"/>
      <c r="AW98" s="48"/>
      <c r="AX98" s="48"/>
      <c r="AY98" s="48"/>
      <c r="AZ98" s="48"/>
      <c r="BA98" s="43">
        <f>IF((W98-SUM(AT98:AZ98))&lt;0,0,W98-SUM(AT98:AZ98))</f>
        <v>2</v>
      </c>
      <c r="BB98" s="44"/>
      <c r="BC98" s="47"/>
      <c r="BD98" s="47"/>
    </row>
    <row r="99" spans="1:56" ht="15" customHeight="1">
      <c r="A99" s="49" t="s">
        <v>676</v>
      </c>
      <c r="B99" s="39" t="s">
        <v>75</v>
      </c>
      <c r="C99" s="46" t="s">
        <v>65</v>
      </c>
      <c r="D99" s="49" t="s">
        <v>84</v>
      </c>
      <c r="E99" s="49" t="s">
        <v>677</v>
      </c>
      <c r="F99" s="39">
        <v>3</v>
      </c>
      <c r="G99" s="75" t="s">
        <v>678</v>
      </c>
      <c r="H99" s="50" t="s">
        <v>679</v>
      </c>
      <c r="I99" s="50" t="s">
        <v>680</v>
      </c>
      <c r="J99" s="50" t="s">
        <v>681</v>
      </c>
      <c r="K99" s="50"/>
      <c r="L99" s="47"/>
      <c r="M99" s="47"/>
      <c r="N99" s="47"/>
      <c r="O99" s="68"/>
      <c r="P99" s="68"/>
      <c r="Q99" s="47"/>
      <c r="R99" s="47"/>
      <c r="S99" s="47"/>
      <c r="T99" s="68"/>
      <c r="U99" s="68"/>
      <c r="V99" s="50" t="s">
        <v>119</v>
      </c>
      <c r="W99" s="74">
        <v>2</v>
      </c>
      <c r="X99" s="39">
        <f>MAX(0,$AK99-$W99-$Z99)</f>
        <v>0</v>
      </c>
      <c r="Y99" s="39"/>
      <c r="Z99" s="39"/>
      <c r="AA99" s="41">
        <v>0.14000000000000001</v>
      </c>
      <c r="AB99" s="41">
        <f>IF(AND($X99&gt;0,ISNUMBER($AA99)),$X99*$AA99,0)</f>
        <v>0</v>
      </c>
      <c r="AK99" s="39">
        <f>SUM(AL99:AR99)</f>
        <v>0</v>
      </c>
      <c r="AL99" s="90"/>
      <c r="AM99" s="38"/>
      <c r="AN99" s="38"/>
      <c r="AO99" s="38"/>
      <c r="AP99" s="38"/>
      <c r="AQ99" s="38"/>
      <c r="AR99" s="91"/>
      <c r="AS99" s="42">
        <f>SUM(AT99:AZ99)</f>
        <v>0</v>
      </c>
      <c r="AT99" s="48"/>
      <c r="AU99" s="48"/>
      <c r="AV99" s="48"/>
      <c r="AW99" s="48"/>
      <c r="AX99" s="48"/>
      <c r="AY99" s="48"/>
      <c r="AZ99" s="48"/>
      <c r="BA99" s="43">
        <f>IF((W99-SUM(AT99:AZ99))&lt;0,0,W99-SUM(AT99:AZ99))</f>
        <v>2</v>
      </c>
      <c r="BB99" s="49"/>
      <c r="BC99" s="47"/>
      <c r="BD99" s="47"/>
    </row>
    <row r="100" spans="1:56" ht="15" customHeight="1">
      <c r="A100" s="49" t="s">
        <v>686</v>
      </c>
      <c r="B100" s="39" t="s">
        <v>75</v>
      </c>
      <c r="C100" s="46" t="s">
        <v>65</v>
      </c>
      <c r="D100" s="49" t="s">
        <v>134</v>
      </c>
      <c r="E100" s="49"/>
      <c r="F100" s="39">
        <v>3</v>
      </c>
      <c r="G100" s="75" t="s">
        <v>687</v>
      </c>
      <c r="H100" s="50" t="s">
        <v>293</v>
      </c>
      <c r="I100" s="50" t="s">
        <v>688</v>
      </c>
      <c r="J100" s="50"/>
      <c r="K100" s="50"/>
      <c r="L100" s="47"/>
      <c r="M100" s="47"/>
      <c r="N100" s="47"/>
      <c r="O100" s="47"/>
      <c r="P100" s="47"/>
      <c r="Q100" s="47"/>
      <c r="R100" s="47"/>
      <c r="S100" s="47"/>
      <c r="T100" s="47"/>
      <c r="U100" s="47"/>
      <c r="V100" s="50" t="s">
        <v>471</v>
      </c>
      <c r="W100" s="74">
        <v>0</v>
      </c>
      <c r="X100" s="39">
        <f>MAX(0,$AK100-$W100-$Z100)</f>
        <v>0</v>
      </c>
      <c r="Y100" s="39"/>
      <c r="Z100" s="39"/>
      <c r="AA100" s="41">
        <v>0.52</v>
      </c>
      <c r="AB100" s="41">
        <f>IF(AND($X100&gt;0,ISNUMBER($AA100)),$X100*$AA100,0)</f>
        <v>0</v>
      </c>
      <c r="AC100" s="59"/>
      <c r="AD100" s="59"/>
      <c r="AE100" s="59"/>
      <c r="AF100" s="59"/>
      <c r="AG100" s="59"/>
      <c r="AH100" s="59"/>
      <c r="AI100" s="59"/>
      <c r="AJ100" s="59"/>
      <c r="AK100" s="39">
        <f>SUM(AL100:AR100)</f>
        <v>0</v>
      </c>
      <c r="AL100" s="114"/>
      <c r="AM100" s="43"/>
      <c r="AN100" s="43"/>
      <c r="AO100" s="43"/>
      <c r="AP100" s="43"/>
      <c r="AQ100" s="43"/>
      <c r="AR100" s="116"/>
      <c r="AS100" s="42">
        <f>SUM(AT100:AZ100)</f>
        <v>0</v>
      </c>
      <c r="AT100" s="48"/>
      <c r="AU100" s="48"/>
      <c r="AV100" s="48"/>
      <c r="AW100" s="48"/>
      <c r="AX100" s="48"/>
      <c r="AY100" s="48"/>
      <c r="AZ100" s="48"/>
      <c r="BA100" s="43">
        <f>IF((W100-SUM(AT100:AZ100))&lt;0,0,W100-SUM(AT100:AZ100))</f>
        <v>0</v>
      </c>
      <c r="BB100" s="49"/>
      <c r="BC100" s="47"/>
      <c r="BD100" s="53"/>
    </row>
    <row r="101" spans="1:56" ht="15" customHeight="1">
      <c r="A101" s="44" t="s">
        <v>689</v>
      </c>
      <c r="B101" s="45" t="s">
        <v>75</v>
      </c>
      <c r="C101" s="46" t="s">
        <v>65</v>
      </c>
      <c r="D101" s="44" t="s">
        <v>76</v>
      </c>
      <c r="E101" s="44"/>
      <c r="F101" s="45">
        <v>2</v>
      </c>
      <c r="G101" s="75" t="s">
        <v>690</v>
      </c>
      <c r="H101" s="44" t="s">
        <v>78</v>
      </c>
      <c r="I101" s="44" t="s">
        <v>691</v>
      </c>
      <c r="J101" s="44"/>
      <c r="K101" s="44"/>
      <c r="L101" s="108"/>
      <c r="M101" s="46"/>
      <c r="N101" s="46"/>
      <c r="O101" s="68"/>
      <c r="P101" s="110"/>
      <c r="Q101" s="108"/>
      <c r="R101" s="46"/>
      <c r="S101" s="46"/>
      <c r="T101" s="68"/>
      <c r="U101" s="111"/>
      <c r="V101" s="44" t="s">
        <v>692</v>
      </c>
      <c r="W101" s="74">
        <v>0</v>
      </c>
      <c r="X101" s="39">
        <f>MAX(0,$AK101-$W101-$Z101)</f>
        <v>0</v>
      </c>
      <c r="Y101" s="44"/>
      <c r="Z101" s="44"/>
      <c r="AA101" s="44">
        <v>0.33</v>
      </c>
      <c r="AB101" s="44">
        <f>IF(AND($X101&gt;0,ISNUMBER($AA101)),$X101*$AA101,0)</f>
        <v>0</v>
      </c>
      <c r="AK101" s="39">
        <f>SUM(AL101:AR101)</f>
        <v>0</v>
      </c>
      <c r="AL101" s="90"/>
      <c r="AM101" s="38"/>
      <c r="AN101" s="38"/>
      <c r="AO101" s="38"/>
      <c r="AP101" s="38"/>
      <c r="AQ101" s="38"/>
      <c r="AR101" s="91"/>
      <c r="AS101" s="42">
        <f>SUM(AT101:AZ101)</f>
        <v>0</v>
      </c>
      <c r="AT101" s="48"/>
      <c r="AU101" s="48"/>
      <c r="AV101" s="48"/>
      <c r="AW101" s="48"/>
      <c r="AX101" s="48"/>
      <c r="AY101" s="48"/>
      <c r="AZ101" s="48"/>
      <c r="BA101" s="43">
        <f>IF((W101-SUM(AT101:AZ101))&lt;0,0,W101-SUM(AT101:AZ101))</f>
        <v>0</v>
      </c>
      <c r="BB101" s="44"/>
      <c r="BC101" s="47"/>
      <c r="BD101" s="47"/>
    </row>
    <row r="102" spans="1:56" ht="15" customHeight="1">
      <c r="A102" s="49" t="s">
        <v>74</v>
      </c>
      <c r="B102" s="39" t="s">
        <v>75</v>
      </c>
      <c r="C102" s="46" t="s">
        <v>65</v>
      </c>
      <c r="D102" s="49" t="s">
        <v>76</v>
      </c>
      <c r="E102" s="49"/>
      <c r="F102" s="39">
        <v>4</v>
      </c>
      <c r="G102" s="75" t="s">
        <v>77</v>
      </c>
      <c r="H102" s="50" t="s">
        <v>78</v>
      </c>
      <c r="I102" s="50" t="s">
        <v>79</v>
      </c>
      <c r="J102" s="50" t="s">
        <v>80</v>
      </c>
      <c r="K102" s="50"/>
      <c r="L102" s="47"/>
      <c r="M102" s="47"/>
      <c r="N102" s="47"/>
      <c r="O102" s="47"/>
      <c r="P102" s="47"/>
      <c r="Q102" s="47"/>
      <c r="R102" s="47"/>
      <c r="S102" s="47"/>
      <c r="T102" s="47"/>
      <c r="U102" s="47"/>
      <c r="V102" s="50" t="s">
        <v>81</v>
      </c>
      <c r="W102" s="74">
        <v>1</v>
      </c>
      <c r="X102" s="39">
        <f>MAX(0,$AK102-$W102-$Z102)</f>
        <v>0</v>
      </c>
      <c r="Y102" s="39"/>
      <c r="Z102" s="39"/>
      <c r="AA102" s="41">
        <v>0.25</v>
      </c>
      <c r="AB102" s="41">
        <f>IF(AND($X102&gt;0,ISNUMBER($AA102)),$X102*$AA102,0)</f>
        <v>0</v>
      </c>
      <c r="AG102" s="63"/>
      <c r="AK102" s="39">
        <f>SUM(AL102:AR102)</f>
        <v>1</v>
      </c>
      <c r="AL102" s="90"/>
      <c r="AM102" s="38"/>
      <c r="AN102" s="97">
        <v>1</v>
      </c>
      <c r="AO102" s="38"/>
      <c r="AP102" s="38"/>
      <c r="AQ102" s="38"/>
      <c r="AR102" s="91"/>
      <c r="AS102" s="42">
        <f>SUM(AT102:AZ102)</f>
        <v>1</v>
      </c>
      <c r="AT102" s="48"/>
      <c r="AU102" s="48"/>
      <c r="AV102" s="48">
        <v>1</v>
      </c>
      <c r="AW102" s="48"/>
      <c r="AX102" s="48"/>
      <c r="AY102" s="48"/>
      <c r="AZ102" s="48"/>
      <c r="BA102" s="43">
        <f>IF((W102-SUM(AT102:AZ102))&lt;0,0,W102-SUM(AT102:AZ102))</f>
        <v>0</v>
      </c>
      <c r="BB102" s="49"/>
      <c r="BC102" s="47"/>
      <c r="BD102" s="47"/>
    </row>
    <row r="103" spans="1:56" ht="15" customHeight="1">
      <c r="A103" s="49" t="s">
        <v>693</v>
      </c>
      <c r="B103" s="39" t="s">
        <v>75</v>
      </c>
      <c r="C103" s="46" t="s">
        <v>65</v>
      </c>
      <c r="D103" s="49" t="s">
        <v>76</v>
      </c>
      <c r="E103" s="49"/>
      <c r="F103" s="39">
        <v>2</v>
      </c>
      <c r="G103" s="75" t="s">
        <v>694</v>
      </c>
      <c r="H103" s="50" t="s">
        <v>78</v>
      </c>
      <c r="I103" s="50" t="s">
        <v>695</v>
      </c>
      <c r="J103" s="50" t="s">
        <v>696</v>
      </c>
      <c r="K103" s="50"/>
      <c r="L103" s="47"/>
      <c r="M103" s="47"/>
      <c r="N103" s="47"/>
      <c r="O103" s="47"/>
      <c r="P103" s="47"/>
      <c r="Q103" s="47"/>
      <c r="R103" s="47"/>
      <c r="S103" s="47"/>
      <c r="T103" s="47"/>
      <c r="U103" s="47"/>
      <c r="V103" s="50" t="s">
        <v>697</v>
      </c>
      <c r="W103" s="74">
        <v>1</v>
      </c>
      <c r="X103" s="39">
        <f>MAX(0,$AK103-$W103-$Z103)</f>
        <v>0</v>
      </c>
      <c r="Y103" s="39"/>
      <c r="Z103" s="39"/>
      <c r="AA103" s="41">
        <v>0.25</v>
      </c>
      <c r="AB103" s="41">
        <f>IF(AND($X103&gt;0,ISNUMBER($AA103)),$X103*$AA103,0)</f>
        <v>0</v>
      </c>
      <c r="AK103" s="39">
        <f>SUM(AL103:AR103)</f>
        <v>1</v>
      </c>
      <c r="AL103" s="90"/>
      <c r="AM103" s="38"/>
      <c r="AN103" s="97">
        <v>1</v>
      </c>
      <c r="AO103" s="38"/>
      <c r="AP103" s="38"/>
      <c r="AQ103" s="38"/>
      <c r="AR103" s="91"/>
      <c r="AS103" s="42">
        <f>SUM(AT103:AZ103)</f>
        <v>1</v>
      </c>
      <c r="AT103" s="48"/>
      <c r="AU103" s="48"/>
      <c r="AV103" s="48">
        <v>1</v>
      </c>
      <c r="AW103" s="48"/>
      <c r="AX103" s="48"/>
      <c r="AY103" s="48"/>
      <c r="AZ103" s="48"/>
      <c r="BA103" s="43">
        <f>IF((W103-SUM(AT103:AZ103))&lt;0,0,W103-SUM(AT103:AZ103))</f>
        <v>0</v>
      </c>
      <c r="BB103" s="49"/>
      <c r="BC103" s="47"/>
      <c r="BD103" s="47"/>
    </row>
    <row r="104" spans="1:56" ht="15" customHeight="1">
      <c r="A104" s="49" t="s">
        <v>698</v>
      </c>
      <c r="B104" s="39" t="s">
        <v>75</v>
      </c>
      <c r="C104" s="46" t="s">
        <v>83</v>
      </c>
      <c r="D104" s="49" t="s">
        <v>84</v>
      </c>
      <c r="E104" s="49" t="s">
        <v>699</v>
      </c>
      <c r="F104" s="39">
        <v>3</v>
      </c>
      <c r="G104" s="75" t="s">
        <v>700</v>
      </c>
      <c r="H104" s="50" t="s">
        <v>238</v>
      </c>
      <c r="I104" s="50" t="s">
        <v>701</v>
      </c>
      <c r="J104" s="50"/>
      <c r="K104" s="50"/>
      <c r="L104" s="47"/>
      <c r="M104" s="47"/>
      <c r="N104" s="47"/>
      <c r="O104" s="47"/>
      <c r="P104" s="47"/>
      <c r="Q104" s="47"/>
      <c r="R104" s="47"/>
      <c r="S104" s="47"/>
      <c r="T104" s="47"/>
      <c r="U104" s="47"/>
      <c r="V104" s="50" t="s">
        <v>635</v>
      </c>
      <c r="W104" s="74">
        <v>0</v>
      </c>
      <c r="X104" s="39">
        <f>MAX(0,$AK104-$W104-$Z104)</f>
        <v>0</v>
      </c>
      <c r="Y104" s="39"/>
      <c r="Z104" s="39"/>
      <c r="AA104" s="41">
        <v>0.19</v>
      </c>
      <c r="AB104" s="41">
        <f>IF(AND($X104&gt;0,ISNUMBER($AA104)),$X104*$AA104,0)</f>
        <v>0</v>
      </c>
      <c r="AC104" s="59"/>
      <c r="AD104" s="59"/>
      <c r="AE104" s="59"/>
      <c r="AF104" s="59"/>
      <c r="AG104" s="59"/>
      <c r="AH104" s="59"/>
      <c r="AI104" s="59"/>
      <c r="AJ104" s="59"/>
      <c r="AK104" s="39">
        <f>SUM(AL104:AR104)</f>
        <v>0</v>
      </c>
      <c r="AL104" s="114"/>
      <c r="AM104" s="43"/>
      <c r="AN104" s="43"/>
      <c r="AO104" s="43"/>
      <c r="AP104" s="43"/>
      <c r="AQ104" s="43"/>
      <c r="AR104" s="116"/>
      <c r="AS104" s="42">
        <f>SUM(AT104:AZ104)</f>
        <v>0</v>
      </c>
      <c r="AT104" s="48"/>
      <c r="AU104" s="48"/>
      <c r="AV104" s="48"/>
      <c r="AW104" s="48"/>
      <c r="AX104" s="48"/>
      <c r="AY104" s="48"/>
      <c r="AZ104" s="48"/>
      <c r="BA104" s="43">
        <f>IF((W104-SUM(AT104:AZ104))&lt;0,0,W104-SUM(AT104:AZ104))</f>
        <v>0</v>
      </c>
      <c r="BB104" s="49"/>
      <c r="BC104" s="47"/>
      <c r="BD104" s="53"/>
    </row>
    <row r="105" spans="1:56" ht="15" customHeight="1">
      <c r="A105" s="35" t="s">
        <v>702</v>
      </c>
      <c r="B105" s="36" t="s">
        <v>75</v>
      </c>
      <c r="C105" s="38" t="s">
        <v>65</v>
      </c>
      <c r="D105" s="35" t="s">
        <v>76</v>
      </c>
      <c r="E105" s="35"/>
      <c r="F105" s="36">
        <v>1</v>
      </c>
      <c r="G105" s="75" t="s">
        <v>703</v>
      </c>
      <c r="H105" s="35" t="s">
        <v>227</v>
      </c>
      <c r="I105" s="35" t="s">
        <v>704</v>
      </c>
      <c r="J105" s="35"/>
      <c r="K105" s="35"/>
      <c r="L105" s="37"/>
      <c r="M105" s="37"/>
      <c r="N105" s="37"/>
      <c r="O105" s="68"/>
      <c r="P105" s="68"/>
      <c r="Q105" s="37"/>
      <c r="R105" s="37"/>
      <c r="S105" s="37"/>
      <c r="T105" s="68"/>
      <c r="U105" s="68"/>
      <c r="V105" s="35" t="s">
        <v>223</v>
      </c>
      <c r="W105" s="74">
        <v>1</v>
      </c>
      <c r="X105" s="39">
        <f>MAX(0,$AK105-$W105-$Z105)</f>
        <v>0</v>
      </c>
      <c r="Y105" s="35"/>
      <c r="Z105" s="35"/>
      <c r="AA105" s="40">
        <v>0.2</v>
      </c>
      <c r="AB105" s="41">
        <f>IF(AND($X105&gt;0,ISNUMBER($AA105)),$X105*$AA105,0)</f>
        <v>0</v>
      </c>
      <c r="AK105" s="39">
        <f>SUM(AL105:AR105)</f>
        <v>0</v>
      </c>
      <c r="AL105" s="90"/>
      <c r="AM105" s="38"/>
      <c r="AN105" s="38"/>
      <c r="AO105" s="38"/>
      <c r="AP105" s="38"/>
      <c r="AQ105" s="38"/>
      <c r="AR105" s="91"/>
      <c r="AS105" s="42">
        <f>SUM(AT105:AZ105)</f>
        <v>0</v>
      </c>
      <c r="AT105" s="48"/>
      <c r="AU105" s="48"/>
      <c r="AV105" s="48"/>
      <c r="AW105" s="48"/>
      <c r="AX105" s="48"/>
      <c r="AY105" s="48"/>
      <c r="AZ105" s="48"/>
      <c r="BA105" s="43">
        <f>IF((W105-SUM(AT105:AZ105))&lt;0,0,W105-SUM(AT105:AZ105))</f>
        <v>1</v>
      </c>
      <c r="BB105" s="35"/>
      <c r="BC105" s="37"/>
      <c r="BD105" s="37"/>
    </row>
    <row r="106" spans="1:56" ht="15" customHeight="1">
      <c r="A106" s="49" t="s">
        <v>705</v>
      </c>
      <c r="B106" s="39" t="s">
        <v>75</v>
      </c>
      <c r="C106" s="46" t="s">
        <v>65</v>
      </c>
      <c r="D106" s="49" t="s">
        <v>84</v>
      </c>
      <c r="E106" s="49" t="s">
        <v>620</v>
      </c>
      <c r="F106" s="39">
        <v>4</v>
      </c>
      <c r="G106" s="75" t="s">
        <v>706</v>
      </c>
      <c r="H106" s="50" t="s">
        <v>258</v>
      </c>
      <c r="I106" s="50" t="s">
        <v>164</v>
      </c>
      <c r="J106" s="50" t="s">
        <v>707</v>
      </c>
      <c r="K106" s="50"/>
      <c r="L106" s="47"/>
      <c r="M106" s="47"/>
      <c r="N106" s="47"/>
      <c r="O106" s="47"/>
      <c r="P106" s="47"/>
      <c r="Q106" s="47"/>
      <c r="R106" s="47"/>
      <c r="S106" s="47"/>
      <c r="T106" s="47"/>
      <c r="U106" s="47"/>
      <c r="V106" s="50" t="s">
        <v>708</v>
      </c>
      <c r="W106" s="74">
        <v>0</v>
      </c>
      <c r="X106" s="39">
        <f>MAX(0,$AK106-$W106-$Z106)</f>
        <v>0</v>
      </c>
      <c r="Y106" s="39"/>
      <c r="Z106" s="39"/>
      <c r="AA106" s="41">
        <v>1.43</v>
      </c>
      <c r="AB106" s="41">
        <f>IF(AND($X106&gt;0,ISNUMBER($AA106)),$X106*$AA106,0)</f>
        <v>0</v>
      </c>
      <c r="AC106" s="59"/>
      <c r="AD106" s="59"/>
      <c r="AE106" s="59"/>
      <c r="AF106" s="59"/>
      <c r="AG106" s="59"/>
      <c r="AH106" s="59"/>
      <c r="AI106" s="59"/>
      <c r="AJ106" s="59"/>
      <c r="AK106" s="39">
        <f>SUM(AL106:AR106)</f>
        <v>0</v>
      </c>
      <c r="AL106" s="114"/>
      <c r="AM106" s="43"/>
      <c r="AN106" s="43"/>
      <c r="AO106" s="43"/>
      <c r="AP106" s="43"/>
      <c r="AQ106" s="43"/>
      <c r="AR106" s="116"/>
      <c r="AS106" s="42">
        <f>SUM(AT106:AZ106)</f>
        <v>0</v>
      </c>
      <c r="AT106" s="48"/>
      <c r="AU106" s="48"/>
      <c r="AV106" s="48"/>
      <c r="AW106" s="48"/>
      <c r="AX106" s="48"/>
      <c r="AY106" s="48"/>
      <c r="AZ106" s="48"/>
      <c r="BA106" s="43">
        <f>IF((W106-SUM(AT106:AZ106))&lt;0,0,W106-SUM(AT106:AZ106))</f>
        <v>0</v>
      </c>
      <c r="BB106" s="49"/>
      <c r="BC106" s="47"/>
      <c r="BD106" s="53"/>
    </row>
    <row r="107" spans="1:56" ht="15" customHeight="1">
      <c r="A107" s="44" t="s">
        <v>723</v>
      </c>
      <c r="B107" s="45" t="s">
        <v>75</v>
      </c>
      <c r="C107" s="46" t="s">
        <v>65</v>
      </c>
      <c r="D107" s="44" t="s">
        <v>84</v>
      </c>
      <c r="E107" s="44" t="s">
        <v>724</v>
      </c>
      <c r="F107" s="45">
        <v>3</v>
      </c>
      <c r="G107" s="75" t="s">
        <v>725</v>
      </c>
      <c r="H107" s="44" t="s">
        <v>293</v>
      </c>
      <c r="I107" s="44" t="s">
        <v>726</v>
      </c>
      <c r="J107" s="44"/>
      <c r="K107" s="44"/>
      <c r="L107" s="108"/>
      <c r="M107" s="46"/>
      <c r="N107" s="46"/>
      <c r="O107" s="68"/>
      <c r="P107" s="110"/>
      <c r="Q107" s="108"/>
      <c r="R107" s="46"/>
      <c r="S107" s="46"/>
      <c r="T107" s="68"/>
      <c r="U107" s="111"/>
      <c r="V107" s="44" t="s">
        <v>692</v>
      </c>
      <c r="W107" s="74">
        <v>0</v>
      </c>
      <c r="X107" s="39">
        <f>MAX(0,$AK107-$W107-$Z107)</f>
        <v>0</v>
      </c>
      <c r="Y107" s="44"/>
      <c r="Z107" s="44"/>
      <c r="AA107" s="44">
        <v>0.32</v>
      </c>
      <c r="AB107" s="44">
        <f>IF(AND($X107&gt;0,ISNUMBER($AA107)),$X107*$AA107,0)</f>
        <v>0</v>
      </c>
      <c r="AK107" s="39">
        <f>SUM(AL107:AR107)</f>
        <v>0</v>
      </c>
      <c r="AL107" s="90"/>
      <c r="AM107" s="38"/>
      <c r="AN107" s="38"/>
      <c r="AO107" s="38"/>
      <c r="AP107" s="38"/>
      <c r="AQ107" s="38"/>
      <c r="AR107" s="91"/>
      <c r="AS107" s="42">
        <f>SUM(AT107:AZ107)</f>
        <v>0</v>
      </c>
      <c r="AT107" s="48"/>
      <c r="AU107" s="48"/>
      <c r="AV107" s="48"/>
      <c r="AW107" s="48"/>
      <c r="AX107" s="48"/>
      <c r="AY107" s="48"/>
      <c r="AZ107" s="48"/>
      <c r="BA107" s="43">
        <f>IF((W107-SUM(AT107:AZ107))&lt;0,0,W107-SUM(AT107:AZ107))</f>
        <v>0</v>
      </c>
      <c r="BB107" s="44"/>
      <c r="BC107" s="47"/>
      <c r="BD107" s="47"/>
    </row>
    <row r="108" spans="1:56" ht="15" customHeight="1">
      <c r="A108" s="49" t="s">
        <v>283</v>
      </c>
      <c r="B108" s="39" t="s">
        <v>75</v>
      </c>
      <c r="C108" s="46" t="s">
        <v>65</v>
      </c>
      <c r="D108" s="49" t="s">
        <v>84</v>
      </c>
      <c r="E108" s="49" t="s">
        <v>284</v>
      </c>
      <c r="F108" s="39">
        <v>3</v>
      </c>
      <c r="G108" s="75" t="s">
        <v>285</v>
      </c>
      <c r="H108" s="50" t="s">
        <v>258</v>
      </c>
      <c r="I108" s="50" t="s">
        <v>286</v>
      </c>
      <c r="J108" s="50"/>
      <c r="K108" s="50"/>
      <c r="L108" s="47"/>
      <c r="M108" s="47"/>
      <c r="N108" s="47"/>
      <c r="O108" s="47"/>
      <c r="P108" s="47"/>
      <c r="Q108" s="47"/>
      <c r="R108" s="47"/>
      <c r="S108" s="47"/>
      <c r="T108" s="47"/>
      <c r="U108" s="47"/>
      <c r="V108" s="50" t="s">
        <v>132</v>
      </c>
      <c r="W108" s="74">
        <v>1</v>
      </c>
      <c r="X108" s="39">
        <f>MAX(0,$AK108-$W108-$Z108)</f>
        <v>0</v>
      </c>
      <c r="Y108" s="39"/>
      <c r="Z108" s="39"/>
      <c r="AA108" s="41">
        <v>0.31</v>
      </c>
      <c r="AB108" s="41">
        <f>IF(AND($X108&gt;0,ISNUMBER($AA108)),$X108*$AA108,0)</f>
        <v>0</v>
      </c>
      <c r="AK108" s="39">
        <f>SUM(AL108:AR108)</f>
        <v>1</v>
      </c>
      <c r="AL108" s="90"/>
      <c r="AM108" s="38"/>
      <c r="AN108" s="38"/>
      <c r="AO108" s="38"/>
      <c r="AP108" s="97">
        <v>1</v>
      </c>
      <c r="AQ108" s="38"/>
      <c r="AR108" s="91"/>
      <c r="AS108" s="42">
        <f>SUM(AT108:AZ108)</f>
        <v>1</v>
      </c>
      <c r="AT108" s="48"/>
      <c r="AU108" s="48"/>
      <c r="AV108" s="48"/>
      <c r="AW108" s="48"/>
      <c r="AX108" s="48">
        <v>1</v>
      </c>
      <c r="AY108" s="48"/>
      <c r="AZ108" s="48"/>
      <c r="BA108" s="43">
        <f>IF((W108-SUM(AT108:AZ108))&lt;0,0,W108-SUM(AT108:AZ108))</f>
        <v>0</v>
      </c>
      <c r="BB108" s="49"/>
      <c r="BC108" s="47"/>
      <c r="BD108" s="47"/>
    </row>
    <row r="109" spans="1:56" ht="15" customHeight="1">
      <c r="A109" s="49" t="s">
        <v>727</v>
      </c>
      <c r="B109" s="39" t="s">
        <v>75</v>
      </c>
      <c r="C109" s="46" t="s">
        <v>83</v>
      </c>
      <c r="D109" s="49" t="s">
        <v>134</v>
      </c>
      <c r="E109" s="49"/>
      <c r="F109" s="39">
        <v>2</v>
      </c>
      <c r="G109" s="75" t="s">
        <v>728</v>
      </c>
      <c r="H109" s="50" t="s">
        <v>408</v>
      </c>
      <c r="I109" s="50" t="s">
        <v>728</v>
      </c>
      <c r="J109" s="50"/>
      <c r="K109" s="50"/>
      <c r="L109" s="46"/>
      <c r="M109" s="46"/>
      <c r="N109" s="46"/>
      <c r="O109" s="46"/>
      <c r="P109" s="46"/>
      <c r="Q109" s="46"/>
      <c r="R109" s="46"/>
      <c r="S109" s="46"/>
      <c r="T109" s="46"/>
      <c r="U109" s="46"/>
      <c r="V109" s="50" t="s">
        <v>729</v>
      </c>
      <c r="W109" s="74">
        <v>0</v>
      </c>
      <c r="X109" s="39">
        <f>MAX(0,$AK109-$W109-$Z109)</f>
        <v>0</v>
      </c>
      <c r="Y109" s="39"/>
      <c r="Z109" s="39"/>
      <c r="AA109" s="41">
        <v>0.28999999999999998</v>
      </c>
      <c r="AB109" s="41">
        <f>IF(AND($X109&gt;0,ISNUMBER($AA109)),$X109*$AA109,0)</f>
        <v>0</v>
      </c>
      <c r="AC109" s="59"/>
      <c r="AD109" s="59"/>
      <c r="AE109" s="59"/>
      <c r="AF109" s="59"/>
      <c r="AG109" s="59"/>
      <c r="AH109" s="59"/>
      <c r="AI109" s="59"/>
      <c r="AJ109" s="59"/>
      <c r="AK109" s="39">
        <f>SUM(AL109:AR109)</f>
        <v>0</v>
      </c>
      <c r="AL109" s="114"/>
      <c r="AM109" s="43"/>
      <c r="AN109" s="43"/>
      <c r="AO109" s="43"/>
      <c r="AP109" s="43"/>
      <c r="AQ109" s="43"/>
      <c r="AR109" s="116"/>
      <c r="AS109" s="42">
        <f>SUM(AT109:AZ109)</f>
        <v>0</v>
      </c>
      <c r="AT109" s="48"/>
      <c r="AU109" s="48"/>
      <c r="AV109" s="48"/>
      <c r="AW109" s="48"/>
      <c r="AX109" s="48"/>
      <c r="AY109" s="48"/>
      <c r="AZ109" s="48"/>
      <c r="BA109" s="43">
        <f>IF((W109-SUM(AT109:AZ109))&lt;0,0,W109-SUM(AT109:AZ109))</f>
        <v>0</v>
      </c>
      <c r="BB109" s="49"/>
      <c r="BC109" s="47"/>
      <c r="BD109" s="53"/>
    </row>
    <row r="110" spans="1:56" ht="15" customHeight="1">
      <c r="A110" s="44" t="s">
        <v>730</v>
      </c>
      <c r="B110" s="45" t="s">
        <v>75</v>
      </c>
      <c r="C110" s="46" t="s">
        <v>65</v>
      </c>
      <c r="D110" s="44" t="s">
        <v>731</v>
      </c>
      <c r="E110" s="44" t="s">
        <v>732</v>
      </c>
      <c r="F110" s="45">
        <v>1</v>
      </c>
      <c r="G110" s="75" t="s">
        <v>733</v>
      </c>
      <c r="H110" s="44" t="s">
        <v>258</v>
      </c>
      <c r="I110" s="44" t="s">
        <v>734</v>
      </c>
      <c r="J110" s="44" t="s">
        <v>735</v>
      </c>
      <c r="K110" s="44"/>
      <c r="L110" s="47"/>
      <c r="M110" s="47"/>
      <c r="N110" s="47"/>
      <c r="O110" s="68"/>
      <c r="P110" s="68"/>
      <c r="Q110" s="47"/>
      <c r="R110" s="47"/>
      <c r="S110" s="47"/>
      <c r="T110" s="68"/>
      <c r="U110" s="68"/>
      <c r="V110" s="44" t="s">
        <v>568</v>
      </c>
      <c r="W110" s="74">
        <v>1</v>
      </c>
      <c r="X110" s="39">
        <f>MAX(0,$AK110-$W110-$Z110)</f>
        <v>0</v>
      </c>
      <c r="Y110" s="44"/>
      <c r="Z110" s="44"/>
      <c r="AA110" s="44">
        <v>0.31</v>
      </c>
      <c r="AB110" s="44">
        <f>IF(AND($X110&gt;0,ISNUMBER($AA110)),$X110*$AA110,0)</f>
        <v>0</v>
      </c>
      <c r="AK110" s="39">
        <f>SUM(AL110:AR110)</f>
        <v>0</v>
      </c>
      <c r="AL110" s="90"/>
      <c r="AM110" s="38"/>
      <c r="AN110" s="38"/>
      <c r="AO110" s="38"/>
      <c r="AP110" s="38"/>
      <c r="AQ110" s="38"/>
      <c r="AR110" s="91"/>
      <c r="AS110" s="42">
        <f>SUM(AT110:AZ110)</f>
        <v>0</v>
      </c>
      <c r="AT110" s="48"/>
      <c r="AU110" s="48"/>
      <c r="AV110" s="48"/>
      <c r="AW110" s="48"/>
      <c r="AX110" s="48"/>
      <c r="AY110" s="48"/>
      <c r="AZ110" s="48"/>
      <c r="BA110" s="43">
        <f>IF((W110-SUM(AT110:AZ110))&lt;0,0,W110-SUM(AT110:AZ110))</f>
        <v>1</v>
      </c>
      <c r="BB110" s="44"/>
      <c r="BC110" s="47"/>
      <c r="BD110" s="47"/>
    </row>
    <row r="111" spans="1:56" ht="15" customHeight="1">
      <c r="A111" s="49" t="s">
        <v>736</v>
      </c>
      <c r="B111" s="39" t="s">
        <v>75</v>
      </c>
      <c r="C111" s="46" t="s">
        <v>65</v>
      </c>
      <c r="D111" s="49" t="s">
        <v>84</v>
      </c>
      <c r="E111" s="49" t="s">
        <v>737</v>
      </c>
      <c r="F111" s="39">
        <v>3</v>
      </c>
      <c r="G111" s="75" t="s">
        <v>738</v>
      </c>
      <c r="H111" s="50" t="s">
        <v>153</v>
      </c>
      <c r="I111" s="50" t="s">
        <v>739</v>
      </c>
      <c r="J111" s="50"/>
      <c r="K111" s="50"/>
      <c r="L111" s="46"/>
      <c r="M111" s="46"/>
      <c r="N111" s="46"/>
      <c r="O111" s="46"/>
      <c r="P111" s="46"/>
      <c r="Q111" s="46"/>
      <c r="R111" s="46"/>
      <c r="S111" s="46"/>
      <c r="T111" s="46"/>
      <c r="U111" s="46"/>
      <c r="V111" s="50" t="s">
        <v>740</v>
      </c>
      <c r="W111" s="74">
        <v>0</v>
      </c>
      <c r="X111" s="39">
        <f>MAX(0,$AK111-$W111-$Z111)</f>
        <v>0</v>
      </c>
      <c r="Y111" s="39"/>
      <c r="Z111" s="39"/>
      <c r="AA111" s="41">
        <v>0.96</v>
      </c>
      <c r="AB111" s="41">
        <f>IF(AND($X111&gt;0,ISNUMBER($AA111)),$X111*$AA111,0)</f>
        <v>0</v>
      </c>
      <c r="AC111" s="59"/>
      <c r="AD111" s="59"/>
      <c r="AE111" s="59"/>
      <c r="AF111" s="59"/>
      <c r="AG111" s="59"/>
      <c r="AH111" s="59"/>
      <c r="AI111" s="59"/>
      <c r="AJ111" s="59"/>
      <c r="AK111" s="39">
        <f>SUM(AL111:AR111)</f>
        <v>0</v>
      </c>
      <c r="AL111" s="114"/>
      <c r="AM111" s="43"/>
      <c r="AN111" s="43"/>
      <c r="AO111" s="43"/>
      <c r="AP111" s="43"/>
      <c r="AQ111" s="43"/>
      <c r="AR111" s="116"/>
      <c r="AS111" s="42">
        <f>SUM(AT111:AZ111)</f>
        <v>0</v>
      </c>
      <c r="AT111" s="48"/>
      <c r="AU111" s="48"/>
      <c r="AV111" s="48"/>
      <c r="AW111" s="48"/>
      <c r="AX111" s="48"/>
      <c r="AY111" s="48"/>
      <c r="AZ111" s="48"/>
      <c r="BA111" s="43">
        <f>IF((W111-SUM(AT111:AZ111))&lt;0,0,W111-SUM(AT111:AZ111))</f>
        <v>0</v>
      </c>
      <c r="BB111" s="49"/>
      <c r="BC111" s="47"/>
      <c r="BD111" s="53"/>
    </row>
    <row r="112" spans="1:56" ht="15" customHeight="1">
      <c r="A112" s="49" t="s">
        <v>741</v>
      </c>
      <c r="B112" s="39" t="s">
        <v>75</v>
      </c>
      <c r="C112" s="46" t="s">
        <v>65</v>
      </c>
      <c r="D112" s="49" t="s">
        <v>134</v>
      </c>
      <c r="E112" s="49"/>
      <c r="F112" s="39">
        <v>3</v>
      </c>
      <c r="G112" s="75" t="s">
        <v>742</v>
      </c>
      <c r="H112" s="50" t="s">
        <v>293</v>
      </c>
      <c r="I112" s="50" t="s">
        <v>743</v>
      </c>
      <c r="J112" s="50"/>
      <c r="K112" s="50"/>
      <c r="L112" s="47"/>
      <c r="M112" s="47"/>
      <c r="N112" s="47"/>
      <c r="O112" s="47"/>
      <c r="P112" s="47"/>
      <c r="Q112" s="47"/>
      <c r="R112" s="47"/>
      <c r="S112" s="47"/>
      <c r="T112" s="47"/>
      <c r="U112" s="47"/>
      <c r="V112" s="50" t="s">
        <v>311</v>
      </c>
      <c r="W112" s="74">
        <v>1</v>
      </c>
      <c r="X112" s="39">
        <f>MAX(0,$AK112-$W112-$Z112)</f>
        <v>0</v>
      </c>
      <c r="Y112" s="39"/>
      <c r="Z112" s="39"/>
      <c r="AA112" s="41">
        <v>0.27</v>
      </c>
      <c r="AB112" s="41">
        <f>IF(AND($X112&gt;0,ISNUMBER($AA112)),$X112*$AA112,0)</f>
        <v>0</v>
      </c>
      <c r="AE112" s="63" t="s">
        <v>744</v>
      </c>
      <c r="AK112" s="39">
        <f>SUM(AL112:AR112)</f>
        <v>1</v>
      </c>
      <c r="AL112" s="90"/>
      <c r="AM112" s="38"/>
      <c r="AN112" s="98">
        <v>1</v>
      </c>
      <c r="AO112" s="38"/>
      <c r="AP112" s="38"/>
      <c r="AQ112" s="38"/>
      <c r="AR112" s="91"/>
      <c r="AS112" s="42">
        <f>SUM(AT112:AZ112)</f>
        <v>1</v>
      </c>
      <c r="AT112" s="48"/>
      <c r="AU112" s="48"/>
      <c r="AV112" s="48">
        <v>1</v>
      </c>
      <c r="AW112" s="48"/>
      <c r="AX112" s="48"/>
      <c r="AY112" s="48"/>
      <c r="AZ112" s="48"/>
      <c r="BA112" s="43">
        <f>IF((W112-SUM(AT112:AZ112))&lt;0,0,W112-SUM(AT112:AZ112))</f>
        <v>0</v>
      </c>
      <c r="BB112" s="49"/>
      <c r="BC112" s="47"/>
      <c r="BD112" s="47"/>
    </row>
    <row r="113" spans="1:56" ht="15" customHeight="1">
      <c r="A113" s="49" t="s">
        <v>82</v>
      </c>
      <c r="B113" s="39" t="s">
        <v>75</v>
      </c>
      <c r="C113" s="46" t="s">
        <v>83</v>
      </c>
      <c r="D113" s="49" t="s">
        <v>84</v>
      </c>
      <c r="E113" s="49" t="s">
        <v>85</v>
      </c>
      <c r="F113" s="39">
        <v>4</v>
      </c>
      <c r="G113" s="75" t="s">
        <v>86</v>
      </c>
      <c r="H113" s="50" t="s">
        <v>87</v>
      </c>
      <c r="I113" s="50" t="s">
        <v>88</v>
      </c>
      <c r="J113" s="50"/>
      <c r="K113" s="50"/>
      <c r="L113" s="47"/>
      <c r="M113" s="47"/>
      <c r="N113" s="47"/>
      <c r="O113" s="47"/>
      <c r="P113" s="47"/>
      <c r="Q113" s="47"/>
      <c r="R113" s="47"/>
      <c r="S113" s="47"/>
      <c r="T113" s="47"/>
      <c r="U113" s="47"/>
      <c r="V113" s="50" t="s">
        <v>89</v>
      </c>
      <c r="W113" s="74">
        <v>1</v>
      </c>
      <c r="X113" s="39">
        <f>MAX(0,$AK113-$W113-$Z113)</f>
        <v>0</v>
      </c>
      <c r="Y113" s="39"/>
      <c r="Z113" s="39"/>
      <c r="AA113" s="41">
        <v>3.42</v>
      </c>
      <c r="AB113" s="41">
        <f>IF(AND($X113&gt;0,ISNUMBER($AA113)),$X113*$AA113,0)</f>
        <v>0</v>
      </c>
      <c r="AK113" s="39">
        <f>SUM(AL113:AR113)</f>
        <v>1</v>
      </c>
      <c r="AL113" s="90"/>
      <c r="AM113" s="38"/>
      <c r="AN113" s="38"/>
      <c r="AO113" s="97"/>
      <c r="AP113" s="97">
        <v>1</v>
      </c>
      <c r="AQ113" s="38"/>
      <c r="AR113" s="91"/>
      <c r="AS113" s="42">
        <f>SUM(AT113:AZ113)</f>
        <v>1</v>
      </c>
      <c r="AT113" s="48"/>
      <c r="AU113" s="48"/>
      <c r="AV113" s="48"/>
      <c r="AW113" s="48"/>
      <c r="AX113" s="48">
        <v>1</v>
      </c>
      <c r="AY113" s="48"/>
      <c r="AZ113" s="48"/>
      <c r="BA113" s="43">
        <f>IF((W113-SUM(AT113:AZ113))&lt;0,0,W113-SUM(AT113:AZ113))</f>
        <v>0</v>
      </c>
      <c r="BB113" s="49"/>
      <c r="BC113" s="47"/>
      <c r="BD113" s="126"/>
    </row>
    <row r="114" spans="1:56" ht="15" customHeight="1">
      <c r="A114" s="49" t="s">
        <v>752</v>
      </c>
      <c r="B114" s="39" t="s">
        <v>75</v>
      </c>
      <c r="C114" s="46" t="s">
        <v>65</v>
      </c>
      <c r="D114" s="49" t="s">
        <v>84</v>
      </c>
      <c r="E114" s="49" t="s">
        <v>225</v>
      </c>
      <c r="F114" s="39">
        <v>2</v>
      </c>
      <c r="G114" s="75" t="s">
        <v>753</v>
      </c>
      <c r="H114" s="50" t="s">
        <v>92</v>
      </c>
      <c r="I114" s="50" t="s">
        <v>754</v>
      </c>
      <c r="J114" s="50"/>
      <c r="K114" s="50"/>
      <c r="L114" s="47"/>
      <c r="M114" s="47"/>
      <c r="N114" s="47"/>
      <c r="O114" s="47"/>
      <c r="P114" s="47"/>
      <c r="Q114" s="47"/>
      <c r="R114" s="47"/>
      <c r="S114" s="47"/>
      <c r="T114" s="47"/>
      <c r="U114" s="47"/>
      <c r="V114" s="50" t="s">
        <v>145</v>
      </c>
      <c r="W114" s="74">
        <v>0</v>
      </c>
      <c r="X114" s="39">
        <f>MAX(0,$AK114-$W114-$Z114)</f>
        <v>0</v>
      </c>
      <c r="Y114" s="39"/>
      <c r="Z114" s="39"/>
      <c r="AA114" s="41">
        <v>0.59</v>
      </c>
      <c r="AB114" s="41">
        <f>IF(AND($X114&gt;0,ISNUMBER($AA114)),$X114*$AA114,0)</f>
        <v>0</v>
      </c>
      <c r="AC114" s="59"/>
      <c r="AD114" s="59"/>
      <c r="AE114" s="59"/>
      <c r="AF114" s="59"/>
      <c r="AG114" s="59"/>
      <c r="AH114" s="59"/>
      <c r="AI114" s="59"/>
      <c r="AJ114" s="59"/>
      <c r="AK114" s="39">
        <f>SUM(AL114:AR114)</f>
        <v>0</v>
      </c>
      <c r="AL114" s="114"/>
      <c r="AM114" s="43"/>
      <c r="AN114" s="43"/>
      <c r="AO114" s="43"/>
      <c r="AP114" s="43"/>
      <c r="AQ114" s="43"/>
      <c r="AR114" s="116"/>
      <c r="AS114" s="42">
        <f>SUM(AT114:AZ114)</f>
        <v>0</v>
      </c>
      <c r="AT114" s="48"/>
      <c r="AU114" s="48"/>
      <c r="AV114" s="48"/>
      <c r="AW114" s="48"/>
      <c r="AX114" s="48"/>
      <c r="AY114" s="48"/>
      <c r="AZ114" s="48"/>
      <c r="BA114" s="43">
        <f>IF((W114-SUM(AT114:AZ114))&lt;0,0,W114-SUM(AT114:AZ114))</f>
        <v>0</v>
      </c>
      <c r="BB114" s="49"/>
      <c r="BC114" s="47"/>
      <c r="BD114" s="53"/>
    </row>
    <row r="115" spans="1:56" ht="15" customHeight="1">
      <c r="A115" s="35" t="s">
        <v>755</v>
      </c>
      <c r="B115" s="36" t="s">
        <v>75</v>
      </c>
      <c r="C115" s="38" t="s">
        <v>65</v>
      </c>
      <c r="D115" s="35" t="s">
        <v>134</v>
      </c>
      <c r="E115" s="35"/>
      <c r="F115" s="35">
        <v>3</v>
      </c>
      <c r="G115" s="75" t="s">
        <v>756</v>
      </c>
      <c r="H115" s="35" t="s">
        <v>115</v>
      </c>
      <c r="I115" s="35" t="s">
        <v>757</v>
      </c>
      <c r="J115" s="35" t="s">
        <v>758</v>
      </c>
      <c r="K115" s="35"/>
      <c r="L115" s="37"/>
      <c r="M115" s="37"/>
      <c r="N115" s="37"/>
      <c r="O115" s="68"/>
      <c r="P115" s="68"/>
      <c r="Q115" s="37"/>
      <c r="R115" s="37"/>
      <c r="S115" s="37"/>
      <c r="T115" s="68"/>
      <c r="U115" s="68"/>
      <c r="V115" s="35" t="s">
        <v>223</v>
      </c>
      <c r="W115" s="74">
        <v>1</v>
      </c>
      <c r="X115" s="39">
        <f>MAX(0,$AK115-$W115-$Z115)</f>
        <v>0</v>
      </c>
      <c r="Y115" s="35"/>
      <c r="Z115" s="35"/>
      <c r="AA115" s="35">
        <v>0.16</v>
      </c>
      <c r="AB115" s="41">
        <f>IF(AND($X115&gt;0,ISNUMBER($AA115)),$X115*$AA115,0)</f>
        <v>0</v>
      </c>
      <c r="AK115" s="39">
        <f>SUM(AL115:AR115)</f>
        <v>0</v>
      </c>
      <c r="AL115" s="90"/>
      <c r="AM115" s="38"/>
      <c r="AN115" s="38"/>
      <c r="AO115" s="38"/>
      <c r="AP115" s="38"/>
      <c r="AQ115" s="38"/>
      <c r="AR115" s="91"/>
      <c r="AS115" s="42">
        <f>SUM(AT115:AZ115)</f>
        <v>0</v>
      </c>
      <c r="AT115" s="48"/>
      <c r="AU115" s="48"/>
      <c r="AV115" s="48"/>
      <c r="AW115" s="48"/>
      <c r="AX115" s="48"/>
      <c r="AY115" s="48"/>
      <c r="AZ115" s="48"/>
      <c r="BA115" s="43">
        <f>IF((W115-SUM(AT115:AZ115))&lt;0,0,W115-SUM(AT115:AZ115))</f>
        <v>1</v>
      </c>
      <c r="BB115" s="35"/>
      <c r="BC115" s="37"/>
      <c r="BD115" s="37"/>
    </row>
    <row r="116" spans="1:56" ht="15" customHeight="1">
      <c r="A116" s="35" t="s">
        <v>759</v>
      </c>
      <c r="B116" s="36" t="s">
        <v>75</v>
      </c>
      <c r="C116" s="38" t="s">
        <v>65</v>
      </c>
      <c r="D116" s="35" t="s">
        <v>76</v>
      </c>
      <c r="E116" s="35"/>
      <c r="F116" s="35">
        <v>2</v>
      </c>
      <c r="G116" s="75" t="s">
        <v>760</v>
      </c>
      <c r="H116" s="35" t="s">
        <v>499</v>
      </c>
      <c r="I116" s="35" t="s">
        <v>761</v>
      </c>
      <c r="J116" s="35" t="s">
        <v>762</v>
      </c>
      <c r="K116" s="35"/>
      <c r="L116" s="37"/>
      <c r="M116" s="37"/>
      <c r="N116" s="37"/>
      <c r="O116" s="68"/>
      <c r="P116" s="68"/>
      <c r="Q116" s="37"/>
      <c r="R116" s="37"/>
      <c r="S116" s="37"/>
      <c r="T116" s="68"/>
      <c r="U116" s="68"/>
      <c r="V116" s="35" t="s">
        <v>223</v>
      </c>
      <c r="W116" s="74">
        <v>1</v>
      </c>
      <c r="X116" s="39">
        <f>MAX(0,$AK116-$W116-$Z116)</f>
        <v>0</v>
      </c>
      <c r="Y116" s="35"/>
      <c r="Z116" s="35"/>
      <c r="AA116" s="35">
        <v>0.2</v>
      </c>
      <c r="AB116" s="41">
        <f>IF(AND($X116&gt;0,ISNUMBER($AA116)),$X116*$AA116,0)</f>
        <v>0</v>
      </c>
      <c r="AK116" s="39">
        <f>SUM(AL116:AR116)</f>
        <v>0</v>
      </c>
      <c r="AL116" s="90"/>
      <c r="AM116" s="38"/>
      <c r="AN116" s="38"/>
      <c r="AO116" s="38"/>
      <c r="AP116" s="38"/>
      <c r="AQ116" s="38"/>
      <c r="AR116" s="91"/>
      <c r="AS116" s="42">
        <f>SUM(AT116:AZ116)</f>
        <v>0</v>
      </c>
      <c r="AT116" s="48"/>
      <c r="AU116" s="48"/>
      <c r="AV116" s="48"/>
      <c r="AW116" s="48"/>
      <c r="AX116" s="48"/>
      <c r="AY116" s="48"/>
      <c r="AZ116" s="48"/>
      <c r="BA116" s="43">
        <f>IF((W116-SUM(AT116:AZ116))&lt;0,0,W116-SUM(AT116:AZ116))</f>
        <v>1</v>
      </c>
      <c r="BB116" s="35"/>
      <c r="BC116" s="37"/>
      <c r="BD116" s="37"/>
    </row>
    <row r="117" spans="1:56" ht="15" customHeight="1">
      <c r="A117" s="44" t="s">
        <v>763</v>
      </c>
      <c r="B117" s="45" t="s">
        <v>75</v>
      </c>
      <c r="C117" s="46" t="s">
        <v>65</v>
      </c>
      <c r="D117" s="44" t="s">
        <v>134</v>
      </c>
      <c r="E117" s="44"/>
      <c r="F117" s="45">
        <v>3</v>
      </c>
      <c r="G117" s="75" t="s">
        <v>764</v>
      </c>
      <c r="H117" s="44" t="s">
        <v>293</v>
      </c>
      <c r="I117" s="44" t="s">
        <v>765</v>
      </c>
      <c r="J117" s="44" t="s">
        <v>766</v>
      </c>
      <c r="K117" s="44"/>
      <c r="L117" s="47"/>
      <c r="M117" s="47"/>
      <c r="N117" s="47"/>
      <c r="O117" s="68"/>
      <c r="P117" s="68"/>
      <c r="Q117" s="47"/>
      <c r="R117" s="47"/>
      <c r="S117" s="47"/>
      <c r="T117" s="68"/>
      <c r="U117" s="68"/>
      <c r="V117" s="44" t="s">
        <v>167</v>
      </c>
      <c r="W117" s="74">
        <v>3</v>
      </c>
      <c r="X117" s="39">
        <f>MAX(0,$AK117-$W117-$Z117)</f>
        <v>0</v>
      </c>
      <c r="Y117" s="44"/>
      <c r="Z117" s="44"/>
      <c r="AA117" s="44">
        <v>0.17</v>
      </c>
      <c r="AB117" s="44">
        <f>IF(AND($X117&gt;0,ISNUMBER($AA117)),$X117*$AA117,0)</f>
        <v>0</v>
      </c>
      <c r="AE117" s="63"/>
      <c r="AG117" s="63"/>
      <c r="AK117" s="39">
        <f>SUM(AL117:AR117)</f>
        <v>1</v>
      </c>
      <c r="AL117" s="90"/>
      <c r="AM117" s="38"/>
      <c r="AN117" s="97">
        <v>1</v>
      </c>
      <c r="AO117" s="38"/>
      <c r="AP117" s="38"/>
      <c r="AQ117" s="38"/>
      <c r="AR117" s="91"/>
      <c r="AS117" s="42">
        <f>SUM(AT117:AZ117)</f>
        <v>1</v>
      </c>
      <c r="AT117" s="48"/>
      <c r="AU117" s="48"/>
      <c r="AV117" s="48">
        <v>1</v>
      </c>
      <c r="AW117" s="48"/>
      <c r="AX117" s="48"/>
      <c r="AY117" s="48"/>
      <c r="AZ117" s="48"/>
      <c r="BA117" s="43">
        <f>IF((W117-SUM(AT117:AZ117))&lt;0,0,W117-SUM(AT117:AZ117))</f>
        <v>2</v>
      </c>
      <c r="BB117" s="44"/>
      <c r="BC117" s="47"/>
      <c r="BD117" s="47"/>
    </row>
    <row r="118" spans="1:56" ht="15" customHeight="1">
      <c r="A118" s="44" t="s">
        <v>767</v>
      </c>
      <c r="B118" s="45" t="s">
        <v>75</v>
      </c>
      <c r="C118" s="46" t="s">
        <v>65</v>
      </c>
      <c r="D118" s="44" t="s">
        <v>84</v>
      </c>
      <c r="E118" s="44" t="s">
        <v>768</v>
      </c>
      <c r="F118" s="45">
        <v>2</v>
      </c>
      <c r="G118" s="75" t="s">
        <v>769</v>
      </c>
      <c r="H118" s="44" t="s">
        <v>238</v>
      </c>
      <c r="I118" s="44" t="s">
        <v>770</v>
      </c>
      <c r="J118" s="44" t="s">
        <v>771</v>
      </c>
      <c r="K118" s="44"/>
      <c r="L118" s="47"/>
      <c r="M118" s="47"/>
      <c r="N118" s="47"/>
      <c r="O118" s="68"/>
      <c r="P118" s="68"/>
      <c r="Q118" s="47"/>
      <c r="R118" s="47"/>
      <c r="S118" s="47"/>
      <c r="T118" s="68"/>
      <c r="U118" s="68"/>
      <c r="V118" s="44" t="s">
        <v>167</v>
      </c>
      <c r="W118" s="74">
        <v>1</v>
      </c>
      <c r="X118" s="39">
        <f>MAX(0,$AK118-$W118-$Z118)</f>
        <v>0</v>
      </c>
      <c r="Y118" s="44"/>
      <c r="Z118" s="44"/>
      <c r="AA118" s="44">
        <v>0.18</v>
      </c>
      <c r="AB118" s="44">
        <f>IF(AND($X118&gt;0,ISNUMBER($AA118)),$X118*$AA118,0)</f>
        <v>0</v>
      </c>
      <c r="AK118" s="39">
        <f>SUM(AL118:AR118)</f>
        <v>0</v>
      </c>
      <c r="AL118" s="90"/>
      <c r="AM118" s="38"/>
      <c r="AN118" s="38"/>
      <c r="AO118" s="38"/>
      <c r="AP118" s="38"/>
      <c r="AQ118" s="38"/>
      <c r="AR118" s="91"/>
      <c r="AS118" s="42">
        <f>SUM(AT118:AZ118)</f>
        <v>0</v>
      </c>
      <c r="AT118" s="48"/>
      <c r="AU118" s="48"/>
      <c r="AV118" s="48"/>
      <c r="AW118" s="48"/>
      <c r="AX118" s="48"/>
      <c r="AY118" s="48"/>
      <c r="AZ118" s="48"/>
      <c r="BA118" s="43">
        <f>IF((W118-SUM(AT118:AZ118))&lt;0,0,W118-SUM(AT118:AZ118))</f>
        <v>1</v>
      </c>
      <c r="BB118" s="44"/>
      <c r="BC118" s="47"/>
      <c r="BD118" s="47"/>
    </row>
    <row r="119" spans="1:56" ht="15" customHeight="1">
      <c r="A119" s="35" t="s">
        <v>772</v>
      </c>
      <c r="B119" s="36" t="s">
        <v>75</v>
      </c>
      <c r="C119" s="38" t="s">
        <v>65</v>
      </c>
      <c r="D119" s="35" t="s">
        <v>84</v>
      </c>
      <c r="E119" s="35" t="s">
        <v>269</v>
      </c>
      <c r="F119" s="36">
        <v>3</v>
      </c>
      <c r="G119" s="75" t="s">
        <v>773</v>
      </c>
      <c r="H119" s="35" t="s">
        <v>115</v>
      </c>
      <c r="I119" s="35" t="s">
        <v>774</v>
      </c>
      <c r="J119" s="35" t="s">
        <v>775</v>
      </c>
      <c r="K119" s="35"/>
      <c r="L119" s="37"/>
      <c r="M119" s="37"/>
      <c r="N119" s="37"/>
      <c r="O119" s="68"/>
      <c r="P119" s="68"/>
      <c r="Q119" s="37"/>
      <c r="R119" s="37"/>
      <c r="S119" s="37"/>
      <c r="T119" s="68"/>
      <c r="U119" s="68"/>
      <c r="V119" s="35" t="s">
        <v>119</v>
      </c>
      <c r="W119" s="74">
        <v>1</v>
      </c>
      <c r="X119" s="39">
        <f>MAX(0,$AK119-$W119-$Z119)</f>
        <v>0</v>
      </c>
      <c r="Y119" s="35"/>
      <c r="Z119" s="35"/>
      <c r="AA119" s="40">
        <v>0.13</v>
      </c>
      <c r="AB119" s="41">
        <f>IF(AND($X119&gt;0,ISNUMBER($AA119)),$X119*$AA119,0)</f>
        <v>0</v>
      </c>
      <c r="AK119" s="39">
        <f>SUM(AL119:AR119)</f>
        <v>0</v>
      </c>
      <c r="AL119" s="90"/>
      <c r="AM119" s="38"/>
      <c r="AN119" s="38"/>
      <c r="AO119" s="38"/>
      <c r="AP119" s="38"/>
      <c r="AQ119" s="38"/>
      <c r="AR119" s="91"/>
      <c r="AS119" s="42">
        <f>SUM(AT119:AZ119)</f>
        <v>0</v>
      </c>
      <c r="AT119" s="48"/>
      <c r="AU119" s="48"/>
      <c r="AV119" s="48"/>
      <c r="AW119" s="48"/>
      <c r="AX119" s="48"/>
      <c r="AY119" s="48"/>
      <c r="AZ119" s="48"/>
      <c r="BA119" s="43">
        <f>IF((W119-SUM(AT119:AZ119))&lt;0,0,W119-SUM(AT119:AZ119))</f>
        <v>1</v>
      </c>
      <c r="BB119" s="35"/>
      <c r="BC119" s="37"/>
      <c r="BD119" s="37"/>
    </row>
    <row r="120" spans="1:56" ht="15" customHeight="1">
      <c r="A120" s="35" t="s">
        <v>781</v>
      </c>
      <c r="B120" s="36" t="s">
        <v>75</v>
      </c>
      <c r="C120" s="38" t="s">
        <v>65</v>
      </c>
      <c r="D120" s="35" t="s">
        <v>84</v>
      </c>
      <c r="E120" s="35" t="s">
        <v>782</v>
      </c>
      <c r="F120" s="35">
        <v>5</v>
      </c>
      <c r="G120" s="75" t="s">
        <v>783</v>
      </c>
      <c r="H120" s="35" t="s">
        <v>238</v>
      </c>
      <c r="I120" s="35" t="s">
        <v>784</v>
      </c>
      <c r="J120" s="35" t="s">
        <v>785</v>
      </c>
      <c r="K120" s="35" t="s">
        <v>786</v>
      </c>
      <c r="L120" s="37"/>
      <c r="M120" s="37"/>
      <c r="N120" s="37"/>
      <c r="O120" s="68"/>
      <c r="P120" s="68"/>
      <c r="Q120" s="37"/>
      <c r="R120" s="37"/>
      <c r="S120" s="37"/>
      <c r="T120" s="68"/>
      <c r="U120" s="68"/>
      <c r="V120" s="35" t="s">
        <v>223</v>
      </c>
      <c r="W120" s="74">
        <v>1</v>
      </c>
      <c r="X120" s="39">
        <f>MAX(0,$AK120-$W120-$Z120)</f>
        <v>0</v>
      </c>
      <c r="Y120" s="35"/>
      <c r="Z120" s="35"/>
      <c r="AA120" s="35">
        <v>0.19</v>
      </c>
      <c r="AB120" s="41">
        <f>IF(AND($X120&gt;0,ISNUMBER($AA120)),$X120*$AA120,0)</f>
        <v>0</v>
      </c>
      <c r="AK120" s="39">
        <f>SUM(AL120:AR120)</f>
        <v>0</v>
      </c>
      <c r="AL120" s="90"/>
      <c r="AM120" s="38"/>
      <c r="AN120" s="38"/>
      <c r="AO120" s="38"/>
      <c r="AP120" s="38"/>
      <c r="AQ120" s="38"/>
      <c r="AR120" s="91"/>
      <c r="AS120" s="42">
        <f>SUM(AT120:AZ120)</f>
        <v>0</v>
      </c>
      <c r="AT120" s="48"/>
      <c r="AU120" s="48"/>
      <c r="AV120" s="48"/>
      <c r="AW120" s="48"/>
      <c r="AX120" s="48"/>
      <c r="AY120" s="48"/>
      <c r="AZ120" s="48"/>
      <c r="BA120" s="43">
        <f>IF((W120-SUM(AT120:AZ120))&lt;0,0,W120-SUM(AT120:AZ120))</f>
        <v>1</v>
      </c>
      <c r="BB120" s="35"/>
      <c r="BC120" s="37"/>
      <c r="BD120" s="37"/>
    </row>
    <row r="121" spans="1:56" ht="15" customHeight="1">
      <c r="A121" s="49" t="s">
        <v>787</v>
      </c>
      <c r="B121" s="39" t="s">
        <v>75</v>
      </c>
      <c r="C121" s="46" t="s">
        <v>65</v>
      </c>
      <c r="D121" s="49" t="s">
        <v>134</v>
      </c>
      <c r="E121" s="49"/>
      <c r="F121" s="39">
        <v>2</v>
      </c>
      <c r="G121" s="75" t="s">
        <v>788</v>
      </c>
      <c r="H121" s="50" t="s">
        <v>293</v>
      </c>
      <c r="I121" s="50" t="s">
        <v>789</v>
      </c>
      <c r="J121" s="50"/>
      <c r="K121" s="50"/>
      <c r="L121" s="47"/>
      <c r="M121" s="47"/>
      <c r="N121" s="47"/>
      <c r="O121" s="47"/>
      <c r="P121" s="47"/>
      <c r="Q121" s="47"/>
      <c r="R121" s="47"/>
      <c r="S121" s="47"/>
      <c r="T121" s="47"/>
      <c r="U121" s="47"/>
      <c r="V121" s="50" t="s">
        <v>790</v>
      </c>
      <c r="W121" s="74">
        <v>0</v>
      </c>
      <c r="X121" s="39">
        <f>MAX(0,$AK121-$W121-$Z121)</f>
        <v>0</v>
      </c>
      <c r="Y121" s="39"/>
      <c r="Z121" s="39"/>
      <c r="AA121" s="41">
        <v>3.67</v>
      </c>
      <c r="AB121" s="41">
        <f>IF(AND($X121&gt;0,ISNUMBER($AA121)),$X121*$AA121,0)</f>
        <v>0</v>
      </c>
      <c r="AC121" s="59"/>
      <c r="AD121" s="59"/>
      <c r="AE121" s="59"/>
      <c r="AF121" s="59"/>
      <c r="AG121" s="59"/>
      <c r="AH121" s="59"/>
      <c r="AI121" s="59"/>
      <c r="AJ121" s="59"/>
      <c r="AK121" s="39">
        <f>SUM(AL121:AR121)</f>
        <v>0</v>
      </c>
      <c r="AL121" s="114"/>
      <c r="AM121" s="43"/>
      <c r="AN121" s="43"/>
      <c r="AO121" s="43"/>
      <c r="AP121" s="43"/>
      <c r="AQ121" s="43"/>
      <c r="AR121" s="116"/>
      <c r="AS121" s="42">
        <f>SUM(AT121:AZ121)</f>
        <v>0</v>
      </c>
      <c r="AT121" s="48"/>
      <c r="AU121" s="48"/>
      <c r="AV121" s="48"/>
      <c r="AW121" s="48"/>
      <c r="AX121" s="48"/>
      <c r="AY121" s="48"/>
      <c r="AZ121" s="48"/>
      <c r="BA121" s="43">
        <f>IF((W121-SUM(AT121:AZ121))&lt;0,0,W121-SUM(AT121:AZ121))</f>
        <v>0</v>
      </c>
      <c r="BB121" s="49"/>
      <c r="BC121" s="47"/>
      <c r="BD121" s="47"/>
    </row>
    <row r="122" spans="1:56" ht="15" customHeight="1">
      <c r="A122" s="49" t="s">
        <v>791</v>
      </c>
      <c r="B122" s="39" t="s">
        <v>75</v>
      </c>
      <c r="C122" s="46" t="s">
        <v>65</v>
      </c>
      <c r="D122" s="49" t="s">
        <v>84</v>
      </c>
      <c r="E122" s="49" t="s">
        <v>792</v>
      </c>
      <c r="F122" s="39">
        <v>2</v>
      </c>
      <c r="G122" s="75" t="s">
        <v>793</v>
      </c>
      <c r="H122" s="50" t="s">
        <v>794</v>
      </c>
      <c r="I122" s="50" t="s">
        <v>795</v>
      </c>
      <c r="J122" s="50" t="s">
        <v>796</v>
      </c>
      <c r="K122" s="50"/>
      <c r="L122" s="47"/>
      <c r="M122" s="47"/>
      <c r="N122" s="47"/>
      <c r="O122" s="47"/>
      <c r="P122" s="47"/>
      <c r="Q122" s="47"/>
      <c r="R122" s="47"/>
      <c r="S122" s="47"/>
      <c r="T122" s="47"/>
      <c r="U122" s="47"/>
      <c r="V122" s="50" t="s">
        <v>692</v>
      </c>
      <c r="W122" s="74">
        <v>0</v>
      </c>
      <c r="X122" s="39">
        <f>MAX(0,$AK122-$W122-$Z122)</f>
        <v>0</v>
      </c>
      <c r="Y122" s="39"/>
      <c r="Z122" s="39"/>
      <c r="AA122" s="41">
        <v>0.88</v>
      </c>
      <c r="AB122" s="41">
        <f>IF(AND($X122&gt;0,ISNUMBER($AA122)),$X122*$AA122,0)</f>
        <v>0</v>
      </c>
      <c r="AC122" s="59"/>
      <c r="AD122" s="59"/>
      <c r="AE122" s="59"/>
      <c r="AF122" s="59"/>
      <c r="AG122" s="59"/>
      <c r="AH122" s="59"/>
      <c r="AI122" s="59"/>
      <c r="AJ122" s="59"/>
      <c r="AK122" s="39">
        <f>SUM(AL122:AR122)</f>
        <v>0</v>
      </c>
      <c r="AL122" s="114"/>
      <c r="AM122" s="43"/>
      <c r="AN122" s="43"/>
      <c r="AO122" s="43"/>
      <c r="AP122" s="43"/>
      <c r="AQ122" s="43"/>
      <c r="AR122" s="116"/>
      <c r="AS122" s="42">
        <f>SUM(AT122:AZ122)</f>
        <v>0</v>
      </c>
      <c r="AT122" s="48"/>
      <c r="AU122" s="48"/>
      <c r="AV122" s="48"/>
      <c r="AW122" s="48"/>
      <c r="AX122" s="48"/>
      <c r="AY122" s="48"/>
      <c r="AZ122" s="48"/>
      <c r="BA122" s="43">
        <f>IF((W122-SUM(AT122:AZ122))&lt;0,0,W122-SUM(AT122:AZ122))</f>
        <v>0</v>
      </c>
      <c r="BB122" s="49"/>
      <c r="BC122" s="47"/>
      <c r="BD122" s="47"/>
    </row>
    <row r="123" spans="1:56" ht="15" customHeight="1">
      <c r="A123" s="49" t="s">
        <v>800</v>
      </c>
      <c r="B123" s="39" t="s">
        <v>75</v>
      </c>
      <c r="C123" s="46" t="s">
        <v>65</v>
      </c>
      <c r="D123" s="49" t="s">
        <v>84</v>
      </c>
      <c r="E123" s="49" t="s">
        <v>801</v>
      </c>
      <c r="F123" s="39">
        <v>2</v>
      </c>
      <c r="G123" s="75" t="s">
        <v>802</v>
      </c>
      <c r="H123" s="50" t="s">
        <v>108</v>
      </c>
      <c r="I123" s="50" t="s">
        <v>803</v>
      </c>
      <c r="J123" s="50"/>
      <c r="K123" s="50"/>
      <c r="L123" s="47"/>
      <c r="M123" s="47"/>
      <c r="N123" s="47"/>
      <c r="O123" s="68"/>
      <c r="P123" s="68"/>
      <c r="Q123" s="47"/>
      <c r="R123" s="47"/>
      <c r="S123" s="47"/>
      <c r="T123" s="68"/>
      <c r="U123" s="68"/>
      <c r="V123" s="50" t="s">
        <v>167</v>
      </c>
      <c r="W123" s="74">
        <v>2</v>
      </c>
      <c r="X123" s="39">
        <f>MAX(0,$AK123-$W123-$Z123)</f>
        <v>0</v>
      </c>
      <c r="Y123" s="39"/>
      <c r="Z123" s="39"/>
      <c r="AA123" s="41">
        <v>0.15</v>
      </c>
      <c r="AB123" s="41">
        <f>IF(AND($X123&gt;0,ISNUMBER($AA123)),$X123*$AA123,0)</f>
        <v>0</v>
      </c>
      <c r="AK123" s="39">
        <f>SUM(AL123:AR123)</f>
        <v>0</v>
      </c>
      <c r="AL123" s="90"/>
      <c r="AM123" s="38"/>
      <c r="AN123" s="38"/>
      <c r="AO123" s="38"/>
      <c r="AP123" s="38"/>
      <c r="AQ123" s="38"/>
      <c r="AR123" s="91"/>
      <c r="AS123" s="42">
        <f>SUM(AT123:AZ123)</f>
        <v>0</v>
      </c>
      <c r="AT123" s="48"/>
      <c r="AU123" s="48"/>
      <c r="AV123" s="48"/>
      <c r="AW123" s="48"/>
      <c r="AX123" s="48"/>
      <c r="AY123" s="48"/>
      <c r="AZ123" s="48"/>
      <c r="BA123" s="43">
        <f>IF((W123-SUM(AT123:AZ123))&lt;0,0,W123-SUM(AT123:AZ123))</f>
        <v>2</v>
      </c>
      <c r="BB123" s="49"/>
      <c r="BC123" s="47"/>
      <c r="BD123" s="47"/>
    </row>
    <row r="124" spans="1:56" ht="15" customHeight="1">
      <c r="A124" s="49" t="s">
        <v>809</v>
      </c>
      <c r="B124" s="39" t="s">
        <v>75</v>
      </c>
      <c r="C124" s="46" t="s">
        <v>83</v>
      </c>
      <c r="D124" s="49" t="s">
        <v>731</v>
      </c>
      <c r="E124" s="49"/>
      <c r="F124" s="39">
        <v>2</v>
      </c>
      <c r="G124" s="75" t="s">
        <v>810</v>
      </c>
      <c r="H124" s="50" t="s">
        <v>87</v>
      </c>
      <c r="I124" s="50" t="s">
        <v>811</v>
      </c>
      <c r="J124" s="50"/>
      <c r="K124" s="50"/>
      <c r="L124" s="47"/>
      <c r="M124" s="47"/>
      <c r="N124" s="47"/>
      <c r="O124" s="47"/>
      <c r="P124" s="47"/>
      <c r="Q124" s="47"/>
      <c r="R124" s="47"/>
      <c r="S124" s="47"/>
      <c r="T124" s="47"/>
      <c r="U124" s="47"/>
      <c r="V124" s="50" t="s">
        <v>692</v>
      </c>
      <c r="W124" s="74">
        <v>0</v>
      </c>
      <c r="X124" s="39">
        <f>MAX(0,$AK124-$W124-$Z124)</f>
        <v>0</v>
      </c>
      <c r="Y124" s="39"/>
      <c r="Z124" s="39"/>
      <c r="AA124" s="41">
        <v>25.01</v>
      </c>
      <c r="AB124" s="41">
        <f>IF(AND($X124&gt;0,ISNUMBER($AA124)),$X124*$AA124,0)</f>
        <v>0</v>
      </c>
      <c r="AC124" s="59"/>
      <c r="AD124" s="59"/>
      <c r="AE124" s="59"/>
      <c r="AF124" s="59"/>
      <c r="AG124" s="59"/>
      <c r="AH124" s="59"/>
      <c r="AI124" s="59"/>
      <c r="AJ124" s="59"/>
      <c r="AK124" s="39">
        <f>SUM(AL124:AR124)</f>
        <v>0</v>
      </c>
      <c r="AL124" s="114"/>
      <c r="AM124" s="43"/>
      <c r="AN124" s="43"/>
      <c r="AO124" s="43"/>
      <c r="AP124" s="43"/>
      <c r="AQ124" s="43"/>
      <c r="AR124" s="116"/>
      <c r="AS124" s="42">
        <f>SUM(AT124:AZ124)</f>
        <v>0</v>
      </c>
      <c r="AT124" s="48"/>
      <c r="AU124" s="48"/>
      <c r="AV124" s="48"/>
      <c r="AW124" s="48"/>
      <c r="AX124" s="48"/>
      <c r="AY124" s="48"/>
      <c r="AZ124" s="48"/>
      <c r="BA124" s="43">
        <f>IF((W124-SUM(AT124:AZ124))&lt;0,0,W124-SUM(AT124:AZ124))</f>
        <v>0</v>
      </c>
      <c r="BB124" s="49"/>
      <c r="BC124" s="47"/>
      <c r="BD124" s="47"/>
    </row>
    <row r="125" spans="1:56" ht="15" customHeight="1">
      <c r="A125" s="49" t="s">
        <v>812</v>
      </c>
      <c r="B125" s="39" t="s">
        <v>75</v>
      </c>
      <c r="C125" s="46" t="s">
        <v>65</v>
      </c>
      <c r="D125" s="49" t="s">
        <v>84</v>
      </c>
      <c r="E125" s="49" t="s">
        <v>813</v>
      </c>
      <c r="F125" s="39">
        <v>1</v>
      </c>
      <c r="G125" s="75" t="s">
        <v>814</v>
      </c>
      <c r="H125" s="50" t="s">
        <v>815</v>
      </c>
      <c r="I125" s="50" t="s">
        <v>816</v>
      </c>
      <c r="J125" s="50" t="s">
        <v>125</v>
      </c>
      <c r="K125" s="50"/>
      <c r="L125" s="47"/>
      <c r="M125" s="47"/>
      <c r="N125" s="47"/>
      <c r="O125" s="68"/>
      <c r="P125" s="68"/>
      <c r="Q125" s="47"/>
      <c r="R125" s="47"/>
      <c r="S125" s="47"/>
      <c r="T125" s="68"/>
      <c r="U125" s="68"/>
      <c r="V125" s="50" t="s">
        <v>145</v>
      </c>
      <c r="W125" s="74">
        <v>1</v>
      </c>
      <c r="X125" s="39">
        <f>MAX(0,$AK125-$W125-$Z125)</f>
        <v>0</v>
      </c>
      <c r="Y125" s="39"/>
      <c r="Z125" s="39"/>
      <c r="AA125" s="41">
        <v>0.14000000000000001</v>
      </c>
      <c r="AB125" s="41">
        <f>IF(AND($X125&gt;0,ISNUMBER($AA125)),$X125*$AA125,0)</f>
        <v>0</v>
      </c>
      <c r="AK125" s="39">
        <f>SUM(AL125:AR125)</f>
        <v>0</v>
      </c>
      <c r="AL125" s="90"/>
      <c r="AM125" s="38"/>
      <c r="AN125" s="38"/>
      <c r="AO125" s="38"/>
      <c r="AP125" s="38"/>
      <c r="AQ125" s="38"/>
      <c r="AR125" s="91"/>
      <c r="AS125" s="42">
        <f>SUM(AT125:AZ125)</f>
        <v>0</v>
      </c>
      <c r="AT125" s="48"/>
      <c r="AU125" s="48"/>
      <c r="AV125" s="48"/>
      <c r="AW125" s="48"/>
      <c r="AX125" s="48"/>
      <c r="AY125" s="48"/>
      <c r="AZ125" s="48"/>
      <c r="BA125" s="43">
        <f>IF((W125-SUM(AT125:AZ125))&lt;0,0,W125-SUM(AT125:AZ125))</f>
        <v>1</v>
      </c>
      <c r="BB125" s="49"/>
      <c r="BC125" s="47"/>
      <c r="BD125" s="47"/>
    </row>
    <row r="126" spans="1:56" ht="15" customHeight="1">
      <c r="A126" s="49" t="s">
        <v>817</v>
      </c>
      <c r="B126" s="39" t="s">
        <v>75</v>
      </c>
      <c r="C126" s="46" t="s">
        <v>65</v>
      </c>
      <c r="D126" s="49" t="s">
        <v>84</v>
      </c>
      <c r="E126" s="49" t="s">
        <v>818</v>
      </c>
      <c r="F126" s="39">
        <v>4</v>
      </c>
      <c r="G126" s="75" t="s">
        <v>819</v>
      </c>
      <c r="H126" s="50" t="s">
        <v>233</v>
      </c>
      <c r="I126" s="50" t="s">
        <v>820</v>
      </c>
      <c r="J126" s="50" t="s">
        <v>821</v>
      </c>
      <c r="K126" s="50"/>
      <c r="L126" s="46"/>
      <c r="M126" s="46"/>
      <c r="N126" s="46"/>
      <c r="O126" s="46"/>
      <c r="P126" s="46"/>
      <c r="Q126" s="46"/>
      <c r="R126" s="46"/>
      <c r="S126" s="46"/>
      <c r="T126" s="46"/>
      <c r="U126" s="46"/>
      <c r="V126" s="50" t="s">
        <v>822</v>
      </c>
      <c r="W126" s="74">
        <v>1</v>
      </c>
      <c r="X126" s="39">
        <f>MAX(0,$AK126-$W126-$Z126)</f>
        <v>0</v>
      </c>
      <c r="Y126" s="39"/>
      <c r="Z126" s="39"/>
      <c r="AA126" s="41">
        <v>2.94</v>
      </c>
      <c r="AB126" s="41">
        <f>IF(AND($X126&gt;0,ISNUMBER($AA126)),$X126*$AA126,0)</f>
        <v>0</v>
      </c>
      <c r="AK126" s="39">
        <f>SUM(AL126:AR126)</f>
        <v>1</v>
      </c>
      <c r="AL126" s="90"/>
      <c r="AM126" s="38"/>
      <c r="AN126" s="38"/>
      <c r="AO126" s="97">
        <v>1</v>
      </c>
      <c r="AP126" s="38"/>
      <c r="AQ126" s="38"/>
      <c r="AR126" s="91"/>
      <c r="AS126" s="42">
        <f>SUM(AT126:AZ126)</f>
        <v>1</v>
      </c>
      <c r="AT126" s="48"/>
      <c r="AU126" s="48"/>
      <c r="AV126" s="48"/>
      <c r="AW126" s="48">
        <v>1</v>
      </c>
      <c r="AX126" s="48"/>
      <c r="AY126" s="48"/>
      <c r="AZ126" s="48"/>
      <c r="BA126" s="43">
        <f>IF((W126-SUM(AT126:AZ126))&lt;0,0,W126-SUM(AT126:AZ126))</f>
        <v>0</v>
      </c>
      <c r="BB126" s="49"/>
      <c r="BC126" s="47"/>
      <c r="BD126" s="55" t="s">
        <v>823</v>
      </c>
    </row>
    <row r="127" spans="1:56" ht="15" customHeight="1">
      <c r="A127" s="49" t="s">
        <v>824</v>
      </c>
      <c r="B127" s="39" t="s">
        <v>75</v>
      </c>
      <c r="C127" s="46" t="s">
        <v>65</v>
      </c>
      <c r="D127" s="49" t="s">
        <v>256</v>
      </c>
      <c r="E127" s="49"/>
      <c r="F127" s="39">
        <v>4</v>
      </c>
      <c r="G127" s="75" t="s">
        <v>825</v>
      </c>
      <c r="H127" s="50" t="s">
        <v>233</v>
      </c>
      <c r="I127" s="50" t="s">
        <v>826</v>
      </c>
      <c r="J127" s="50" t="s">
        <v>827</v>
      </c>
      <c r="K127" s="50" t="s">
        <v>828</v>
      </c>
      <c r="L127" s="47"/>
      <c r="M127" s="47"/>
      <c r="N127" s="47"/>
      <c r="O127" s="68"/>
      <c r="P127" s="68"/>
      <c r="Q127" s="47"/>
      <c r="R127" s="47"/>
      <c r="S127" s="47"/>
      <c r="T127" s="68"/>
      <c r="U127" s="68"/>
      <c r="V127" s="50" t="s">
        <v>240</v>
      </c>
      <c r="W127" s="74">
        <v>1</v>
      </c>
      <c r="X127" s="39">
        <f>MAX(0,$AK127-$W127-$Z127)</f>
        <v>0</v>
      </c>
      <c r="Y127" s="39"/>
      <c r="Z127" s="39"/>
      <c r="AA127" s="41">
        <v>0.21</v>
      </c>
      <c r="AB127" s="41">
        <f>IF(AND($X127&gt;0,ISNUMBER($AA127)),$X127*$AA127,0)</f>
        <v>0</v>
      </c>
      <c r="AK127" s="39">
        <f>SUM(AL127:AR127)</f>
        <v>0</v>
      </c>
      <c r="AL127" s="90"/>
      <c r="AM127" s="38"/>
      <c r="AN127" s="38"/>
      <c r="AO127" s="38"/>
      <c r="AP127" s="38"/>
      <c r="AQ127" s="38"/>
      <c r="AR127" s="91"/>
      <c r="AS127" s="42">
        <f>SUM(AT127:AZ127)</f>
        <v>0</v>
      </c>
      <c r="AT127" s="48"/>
      <c r="AU127" s="48"/>
      <c r="AV127" s="48"/>
      <c r="AW127" s="48"/>
      <c r="AX127" s="48"/>
      <c r="AY127" s="48"/>
      <c r="AZ127" s="48"/>
      <c r="BA127" s="43">
        <f>IF((W127-SUM(AT127:AZ127))&lt;0,0,W127-SUM(AT127:AZ127))</f>
        <v>1</v>
      </c>
      <c r="BB127" s="49"/>
      <c r="BC127" s="47"/>
      <c r="BD127" s="47"/>
    </row>
    <row r="128" spans="1:56" ht="15" customHeight="1">
      <c r="A128" s="49" t="s">
        <v>829</v>
      </c>
      <c r="B128" s="39" t="s">
        <v>75</v>
      </c>
      <c r="C128" s="46" t="s">
        <v>65</v>
      </c>
      <c r="D128" s="49" t="s">
        <v>76</v>
      </c>
      <c r="E128" s="49"/>
      <c r="F128" s="39">
        <v>2</v>
      </c>
      <c r="G128" s="75" t="s">
        <v>830</v>
      </c>
      <c r="H128" s="50" t="s">
        <v>115</v>
      </c>
      <c r="I128" s="50" t="s">
        <v>831</v>
      </c>
      <c r="J128" s="50" t="s">
        <v>832</v>
      </c>
      <c r="K128" s="50"/>
      <c r="L128" s="47"/>
      <c r="M128" s="47"/>
      <c r="N128" s="47"/>
      <c r="O128" s="68"/>
      <c r="P128" s="68"/>
      <c r="Q128" s="47"/>
      <c r="R128" s="47"/>
      <c r="S128" s="47"/>
      <c r="T128" s="68"/>
      <c r="U128" s="68"/>
      <c r="V128" s="50" t="s">
        <v>119</v>
      </c>
      <c r="W128" s="74">
        <v>1</v>
      </c>
      <c r="X128" s="39">
        <f>MAX(0,$AK128-$W128-$Z128)</f>
        <v>0</v>
      </c>
      <c r="Y128" s="39"/>
      <c r="Z128" s="39"/>
      <c r="AA128" s="41">
        <v>0.25</v>
      </c>
      <c r="AB128" s="41">
        <f>IF(AND($X128&gt;0,ISNUMBER($AA128)),$X128*$AA128,0)</f>
        <v>0</v>
      </c>
      <c r="AK128" s="39">
        <f>SUM(AL128:AR128)</f>
        <v>0</v>
      </c>
      <c r="AL128" s="90"/>
      <c r="AM128" s="38"/>
      <c r="AN128" s="38"/>
      <c r="AO128" s="38"/>
      <c r="AP128" s="38"/>
      <c r="AQ128" s="38"/>
      <c r="AR128" s="91"/>
      <c r="AS128" s="42">
        <f>SUM(AT128:AZ128)</f>
        <v>0</v>
      </c>
      <c r="AT128" s="48"/>
      <c r="AU128" s="48"/>
      <c r="AV128" s="48"/>
      <c r="AW128" s="48"/>
      <c r="AX128" s="48"/>
      <c r="AY128" s="48"/>
      <c r="AZ128" s="48"/>
      <c r="BA128" s="43">
        <f>IF((W128-SUM(AT128:AZ128))&lt;0,0,W128-SUM(AT128:AZ128))</f>
        <v>1</v>
      </c>
      <c r="BB128" s="49"/>
      <c r="BC128" s="47"/>
      <c r="BD128" s="47"/>
    </row>
    <row r="129" spans="1:56" ht="15" customHeight="1">
      <c r="A129" s="49" t="s">
        <v>833</v>
      </c>
      <c r="B129" s="39" t="s">
        <v>75</v>
      </c>
      <c r="C129" s="46" t="s">
        <v>65</v>
      </c>
      <c r="D129" s="49" t="s">
        <v>76</v>
      </c>
      <c r="E129" s="49"/>
      <c r="F129" s="39">
        <v>3</v>
      </c>
      <c r="G129" s="75" t="s">
        <v>834</v>
      </c>
      <c r="H129" s="50" t="s">
        <v>78</v>
      </c>
      <c r="I129" s="50" t="s">
        <v>835</v>
      </c>
      <c r="J129" s="50" t="s">
        <v>836</v>
      </c>
      <c r="K129" s="50"/>
      <c r="L129" s="47"/>
      <c r="M129" s="47"/>
      <c r="N129" s="47"/>
      <c r="O129" s="68"/>
      <c r="P129" s="68"/>
      <c r="Q129" s="47"/>
      <c r="R129" s="47"/>
      <c r="S129" s="47"/>
      <c r="T129" s="68"/>
      <c r="U129" s="68"/>
      <c r="V129" s="50" t="s">
        <v>145</v>
      </c>
      <c r="W129" s="74">
        <v>1</v>
      </c>
      <c r="X129" s="39">
        <f>MAX(0,$AK129-$W129-$Z129)</f>
        <v>0</v>
      </c>
      <c r="Y129" s="39"/>
      <c r="Z129" s="39"/>
      <c r="AA129" s="41">
        <v>0.19</v>
      </c>
      <c r="AB129" s="41">
        <f>IF(AND($X129&gt;0,ISNUMBER($AA129)),$X129*$AA129,0)</f>
        <v>0</v>
      </c>
      <c r="AK129" s="39">
        <f>SUM(AL129:AR129)</f>
        <v>0</v>
      </c>
      <c r="AL129" s="90"/>
      <c r="AM129" s="38"/>
      <c r="AN129" s="38"/>
      <c r="AO129" s="38"/>
      <c r="AP129" s="38"/>
      <c r="AQ129" s="38"/>
      <c r="AR129" s="91"/>
      <c r="AS129" s="42">
        <f>SUM(AT129:AZ129)</f>
        <v>0</v>
      </c>
      <c r="AT129" s="48"/>
      <c r="AU129" s="48"/>
      <c r="AV129" s="48"/>
      <c r="AW129" s="48"/>
      <c r="AX129" s="48"/>
      <c r="AY129" s="48"/>
      <c r="AZ129" s="48"/>
      <c r="BA129" s="43">
        <f>IF((W129-SUM(AT129:AZ129))&lt;0,0,W129-SUM(AT129:AZ129))</f>
        <v>1</v>
      </c>
      <c r="BB129" s="49"/>
      <c r="BC129" s="47"/>
      <c r="BD129" s="47"/>
    </row>
    <row r="130" spans="1:56" ht="15" customHeight="1">
      <c r="A130" s="49" t="s">
        <v>90</v>
      </c>
      <c r="B130" s="39" t="s">
        <v>75</v>
      </c>
      <c r="C130" s="46" t="s">
        <v>65</v>
      </c>
      <c r="D130" s="49" t="s">
        <v>76</v>
      </c>
      <c r="E130" s="49"/>
      <c r="F130" s="39">
        <v>1</v>
      </c>
      <c r="G130" s="75" t="s">
        <v>91</v>
      </c>
      <c r="H130" s="50" t="s">
        <v>92</v>
      </c>
      <c r="I130" s="50" t="s">
        <v>93</v>
      </c>
      <c r="J130" s="50"/>
      <c r="K130" s="50"/>
      <c r="L130" s="47"/>
      <c r="M130" s="47"/>
      <c r="N130" s="47"/>
      <c r="O130" s="47"/>
      <c r="P130" s="47"/>
      <c r="Q130" s="47"/>
      <c r="R130" s="47"/>
      <c r="S130" s="47"/>
      <c r="T130" s="47"/>
      <c r="U130" s="47"/>
      <c r="V130" s="50" t="s">
        <v>94</v>
      </c>
      <c r="W130" s="74">
        <v>1</v>
      </c>
      <c r="X130" s="39">
        <f>MAX(0,$AK130-$W130-$Z130)</f>
        <v>0</v>
      </c>
      <c r="Y130" s="39"/>
      <c r="Z130" s="39"/>
      <c r="AA130" s="41">
        <v>0.39</v>
      </c>
      <c r="AB130" s="41">
        <f>IF(AND($X130&gt;0,ISNUMBER($AA130)),$X130*$AA130,0)</f>
        <v>0</v>
      </c>
      <c r="AG130" s="63"/>
      <c r="AK130" s="39">
        <f>SUM(AL130:AR130)</f>
        <v>1</v>
      </c>
      <c r="AL130" s="90"/>
      <c r="AM130" s="38"/>
      <c r="AN130" s="38"/>
      <c r="AO130" s="38"/>
      <c r="AP130" s="97">
        <v>1</v>
      </c>
      <c r="AQ130" s="38"/>
      <c r="AR130" s="91"/>
      <c r="AS130" s="42">
        <f>SUM(AT130:AZ130)</f>
        <v>1</v>
      </c>
      <c r="AT130" s="48"/>
      <c r="AU130" s="48"/>
      <c r="AV130" s="48"/>
      <c r="AW130" s="48"/>
      <c r="AX130" s="48">
        <v>1</v>
      </c>
      <c r="AY130" s="48"/>
      <c r="AZ130" s="48"/>
      <c r="BA130" s="43">
        <f>IF((W130-SUM(AT130:AZ130))&lt;0,0,W130-SUM(AT130:AZ130))</f>
        <v>0</v>
      </c>
      <c r="BB130" s="49"/>
      <c r="BC130" s="47"/>
      <c r="BD130" s="47"/>
    </row>
    <row r="131" spans="1:56" ht="15" customHeight="1">
      <c r="A131" s="49" t="s">
        <v>302</v>
      </c>
      <c r="B131" s="39" t="s">
        <v>75</v>
      </c>
      <c r="C131" s="46" t="s">
        <v>65</v>
      </c>
      <c r="D131" s="49" t="s">
        <v>84</v>
      </c>
      <c r="E131" s="49" t="s">
        <v>303</v>
      </c>
      <c r="F131" s="39">
        <v>1</v>
      </c>
      <c r="G131" s="75" t="s">
        <v>304</v>
      </c>
      <c r="H131" s="50" t="s">
        <v>92</v>
      </c>
      <c r="I131" s="50" t="s">
        <v>305</v>
      </c>
      <c r="J131" s="50"/>
      <c r="K131" s="50"/>
      <c r="L131" s="47"/>
      <c r="M131" s="47"/>
      <c r="N131" s="47"/>
      <c r="O131" s="47"/>
      <c r="P131" s="47"/>
      <c r="Q131" s="47"/>
      <c r="R131" s="47"/>
      <c r="S131" s="47"/>
      <c r="T131" s="47"/>
      <c r="U131" s="47"/>
      <c r="V131" s="50" t="s">
        <v>306</v>
      </c>
      <c r="W131" s="74">
        <v>1</v>
      </c>
      <c r="X131" s="39">
        <f>MAX(0,$AK131-$W131-$Z131)</f>
        <v>0</v>
      </c>
      <c r="Y131" s="39"/>
      <c r="Z131" s="39"/>
      <c r="AA131" s="41">
        <v>0.41</v>
      </c>
      <c r="AB131" s="41">
        <f>IF(AND($X131&gt;0,ISNUMBER($AA131)),$X131*$AA131,0)</f>
        <v>0</v>
      </c>
      <c r="AG131" s="63"/>
      <c r="AK131" s="39">
        <f>SUM(AL131:AR131)</f>
        <v>1</v>
      </c>
      <c r="AL131" s="90"/>
      <c r="AM131" s="38"/>
      <c r="AN131" s="38"/>
      <c r="AO131" s="38"/>
      <c r="AP131" s="98">
        <v>1</v>
      </c>
      <c r="AQ131" s="38"/>
      <c r="AR131" s="91"/>
      <c r="AS131" s="42">
        <f>SUM(AT131:AZ131)</f>
        <v>1</v>
      </c>
      <c r="AT131" s="48"/>
      <c r="AU131" s="48"/>
      <c r="AV131" s="48"/>
      <c r="AW131" s="48"/>
      <c r="AX131" s="48">
        <v>1</v>
      </c>
      <c r="AY131" s="48"/>
      <c r="AZ131" s="48"/>
      <c r="BA131" s="43">
        <f>IF((W131-SUM(AT131:AZ131))&lt;0,0,W131-SUM(AT131:AZ131))</f>
        <v>0</v>
      </c>
      <c r="BB131" s="49"/>
      <c r="BC131" s="47"/>
      <c r="BD131" s="47"/>
    </row>
    <row r="132" spans="1:56" ht="15" customHeight="1">
      <c r="A132" s="49" t="s">
        <v>842</v>
      </c>
      <c r="B132" s="39" t="s">
        <v>75</v>
      </c>
      <c r="C132" s="46" t="s">
        <v>83</v>
      </c>
      <c r="D132" s="49" t="s">
        <v>434</v>
      </c>
      <c r="E132" s="49" t="s">
        <v>843</v>
      </c>
      <c r="F132" s="39">
        <v>6</v>
      </c>
      <c r="G132" s="75" t="s">
        <v>844</v>
      </c>
      <c r="H132" s="50" t="s">
        <v>845</v>
      </c>
      <c r="I132" s="50" t="s">
        <v>846</v>
      </c>
      <c r="J132" s="50"/>
      <c r="K132" s="50"/>
      <c r="L132" s="46"/>
      <c r="M132" s="46"/>
      <c r="N132" s="46"/>
      <c r="O132" s="46"/>
      <c r="P132" s="46"/>
      <c r="Q132" s="46"/>
      <c r="R132" s="46"/>
      <c r="S132" s="46"/>
      <c r="T132" s="46"/>
      <c r="U132" s="46"/>
      <c r="V132" s="50" t="s">
        <v>471</v>
      </c>
      <c r="W132" s="74">
        <v>0</v>
      </c>
      <c r="X132" s="39">
        <f>MAX(0,$AK132-$W132-$Z132)</f>
        <v>0</v>
      </c>
      <c r="Y132" s="39"/>
      <c r="Z132" s="39"/>
      <c r="AA132" s="41">
        <v>0.94</v>
      </c>
      <c r="AB132" s="41">
        <f>IF(AND($X132&gt;0,ISNUMBER($AA132)),$X132*$AA132,0)</f>
        <v>0</v>
      </c>
      <c r="AC132" s="59"/>
      <c r="AD132" s="59"/>
      <c r="AE132" s="59"/>
      <c r="AF132" s="59"/>
      <c r="AG132" s="59"/>
      <c r="AH132" s="59"/>
      <c r="AI132" s="59"/>
      <c r="AJ132" s="59"/>
      <c r="AK132" s="39">
        <f>SUM(AL132:AR132)</f>
        <v>0</v>
      </c>
      <c r="AL132" s="114"/>
      <c r="AM132" s="43"/>
      <c r="AN132" s="43"/>
      <c r="AO132" s="43"/>
      <c r="AP132" s="43"/>
      <c r="AQ132" s="43"/>
      <c r="AR132" s="116"/>
      <c r="AS132" s="42">
        <f>SUM(AT132:AZ132)</f>
        <v>0</v>
      </c>
      <c r="AT132" s="48"/>
      <c r="AU132" s="48"/>
      <c r="AV132" s="48"/>
      <c r="AW132" s="48"/>
      <c r="AX132" s="48"/>
      <c r="AY132" s="48"/>
      <c r="AZ132" s="48"/>
      <c r="BA132" s="43">
        <f>IF((W132-SUM(AT132:AZ132))&lt;0,0,W132-SUM(AT132:AZ132))</f>
        <v>0</v>
      </c>
      <c r="BB132" s="49"/>
      <c r="BC132" s="47"/>
      <c r="BD132" s="53"/>
    </row>
    <row r="133" spans="1:56" ht="15" customHeight="1">
      <c r="A133" s="49" t="s">
        <v>847</v>
      </c>
      <c r="B133" s="39" t="s">
        <v>75</v>
      </c>
      <c r="C133" s="46" t="s">
        <v>65</v>
      </c>
      <c r="D133" s="49" t="s">
        <v>76</v>
      </c>
      <c r="E133" s="49"/>
      <c r="F133" s="39">
        <v>3</v>
      </c>
      <c r="G133" s="75" t="s">
        <v>848</v>
      </c>
      <c r="H133" s="50" t="s">
        <v>78</v>
      </c>
      <c r="I133" s="50" t="s">
        <v>849</v>
      </c>
      <c r="J133" s="50"/>
      <c r="K133" s="50"/>
      <c r="L133" s="47"/>
      <c r="M133" s="47"/>
      <c r="N133" s="47"/>
      <c r="O133" s="47"/>
      <c r="P133" s="47"/>
      <c r="Q133" s="47"/>
      <c r="R133" s="47"/>
      <c r="S133" s="47"/>
      <c r="T133" s="47"/>
      <c r="U133" s="47"/>
      <c r="V133" s="50" t="s">
        <v>471</v>
      </c>
      <c r="W133" s="74">
        <v>0</v>
      </c>
      <c r="X133" s="39">
        <f>MAX(0,$AK133-$W133-$Z133)</f>
        <v>0</v>
      </c>
      <c r="Y133" s="39"/>
      <c r="Z133" s="39"/>
      <c r="AA133" s="41">
        <v>0.39</v>
      </c>
      <c r="AB133" s="41">
        <f>IF(AND($X133&gt;0,ISNUMBER($AA133)),$X133*$AA133,0)</f>
        <v>0</v>
      </c>
      <c r="AC133" s="59"/>
      <c r="AD133" s="59"/>
      <c r="AE133" s="59"/>
      <c r="AF133" s="59"/>
      <c r="AG133" s="59"/>
      <c r="AH133" s="59"/>
      <c r="AI133" s="59"/>
      <c r="AJ133" s="59"/>
      <c r="AK133" s="39">
        <f>SUM(AL133:AR133)</f>
        <v>0</v>
      </c>
      <c r="AL133" s="114"/>
      <c r="AM133" s="43"/>
      <c r="AN133" s="43"/>
      <c r="AO133" s="43"/>
      <c r="AP133" s="43"/>
      <c r="AQ133" s="43"/>
      <c r="AR133" s="116"/>
      <c r="AS133" s="42">
        <f>SUM(AT133:AZ133)</f>
        <v>0</v>
      </c>
      <c r="AT133" s="48"/>
      <c r="AU133" s="48"/>
      <c r="AV133" s="48"/>
      <c r="AW133" s="48"/>
      <c r="AX133" s="48"/>
      <c r="AY133" s="48"/>
      <c r="AZ133" s="48"/>
      <c r="BA133" s="43">
        <f>IF((W133-SUM(AT133:AZ133))&lt;0,0,W133-SUM(AT133:AZ133))</f>
        <v>0</v>
      </c>
      <c r="BB133" s="49"/>
      <c r="BC133" s="47"/>
      <c r="BD133" s="47"/>
    </row>
    <row r="134" spans="1:56" ht="15" customHeight="1">
      <c r="A134" s="49" t="s">
        <v>850</v>
      </c>
      <c r="B134" s="39" t="s">
        <v>75</v>
      </c>
      <c r="C134" s="46" t="s">
        <v>65</v>
      </c>
      <c r="D134" s="49" t="s">
        <v>84</v>
      </c>
      <c r="E134" s="49" t="s">
        <v>851</v>
      </c>
      <c r="F134" s="39">
        <v>3</v>
      </c>
      <c r="G134" s="75" t="s">
        <v>852</v>
      </c>
      <c r="H134" s="50" t="s">
        <v>238</v>
      </c>
      <c r="I134" s="50" t="s">
        <v>853</v>
      </c>
      <c r="J134" s="50" t="s">
        <v>854</v>
      </c>
      <c r="K134" s="50"/>
      <c r="L134" s="47"/>
      <c r="M134" s="47"/>
      <c r="N134" s="47"/>
      <c r="O134" s="47"/>
      <c r="P134" s="47"/>
      <c r="Q134" s="47"/>
      <c r="R134" s="47"/>
      <c r="S134" s="47"/>
      <c r="T134" s="47"/>
      <c r="U134" s="47"/>
      <c r="V134" s="50" t="s">
        <v>481</v>
      </c>
      <c r="W134" s="74">
        <v>0</v>
      </c>
      <c r="X134" s="39">
        <f>MAX(0,$AK134-$W134-$Z134)</f>
        <v>0</v>
      </c>
      <c r="Y134" s="39"/>
      <c r="Z134" s="39"/>
      <c r="AA134" s="41">
        <v>2.02</v>
      </c>
      <c r="AB134" s="41">
        <f>IF(AND($X134&gt;0,ISNUMBER($AA134)),$X134*$AA134,0)</f>
        <v>0</v>
      </c>
      <c r="AC134" s="59"/>
      <c r="AD134" s="59"/>
      <c r="AE134" s="59"/>
      <c r="AF134" s="59"/>
      <c r="AG134" s="59"/>
      <c r="AH134" s="59"/>
      <c r="AI134" s="59"/>
      <c r="AJ134" s="59"/>
      <c r="AK134" s="39">
        <f>SUM(AL134:AR134)</f>
        <v>0</v>
      </c>
      <c r="AL134" s="114"/>
      <c r="AM134" s="43"/>
      <c r="AN134" s="43"/>
      <c r="AO134" s="43"/>
      <c r="AP134" s="43"/>
      <c r="AQ134" s="43"/>
      <c r="AR134" s="116"/>
      <c r="AS134" s="42">
        <f>SUM(AT134:AZ134)</f>
        <v>0</v>
      </c>
      <c r="AT134" s="48"/>
      <c r="AU134" s="48"/>
      <c r="AV134" s="48"/>
      <c r="AW134" s="48"/>
      <c r="AX134" s="48"/>
      <c r="AY134" s="48"/>
      <c r="AZ134" s="48"/>
      <c r="BA134" s="43">
        <f>IF((W134-SUM(AT134:AZ134))&lt;0,0,W134-SUM(AT134:AZ134))</f>
        <v>0</v>
      </c>
      <c r="BB134" s="49"/>
      <c r="BC134" s="47"/>
      <c r="BD134" s="47"/>
    </row>
    <row r="135" spans="1:56" ht="15" customHeight="1">
      <c r="A135" s="49" t="s">
        <v>855</v>
      </c>
      <c r="B135" s="39" t="s">
        <v>75</v>
      </c>
      <c r="C135" s="46" t="s">
        <v>65</v>
      </c>
      <c r="D135" s="49" t="s">
        <v>84</v>
      </c>
      <c r="E135" s="49" t="s">
        <v>856</v>
      </c>
      <c r="F135" s="39">
        <v>3</v>
      </c>
      <c r="G135" s="75" t="s">
        <v>857</v>
      </c>
      <c r="H135" s="50" t="s">
        <v>794</v>
      </c>
      <c r="I135" s="50" t="s">
        <v>858</v>
      </c>
      <c r="J135" s="50" t="s">
        <v>859</v>
      </c>
      <c r="K135" s="50" t="s">
        <v>821</v>
      </c>
      <c r="L135" s="47"/>
      <c r="M135" s="47"/>
      <c r="N135" s="47"/>
      <c r="O135" s="47"/>
      <c r="P135" s="47"/>
      <c r="Q135" s="47"/>
      <c r="R135" s="47"/>
      <c r="S135" s="47"/>
      <c r="T135" s="47"/>
      <c r="U135" s="47"/>
      <c r="V135" s="50" t="s">
        <v>860</v>
      </c>
      <c r="W135" s="74">
        <v>1</v>
      </c>
      <c r="X135" s="39">
        <f>MAX(0,$AK135-$W135-$Z135)</f>
        <v>0</v>
      </c>
      <c r="Y135" s="39"/>
      <c r="Z135" s="39"/>
      <c r="AA135" s="41">
        <v>0.24</v>
      </c>
      <c r="AB135" s="41">
        <f>IF(AND($X135&gt;0,ISNUMBER($AA135)),$X135*$AA135,0)</f>
        <v>0</v>
      </c>
      <c r="AK135" s="39">
        <f>SUM(AL135:AR135)</f>
        <v>1</v>
      </c>
      <c r="AL135" s="90"/>
      <c r="AM135" s="38"/>
      <c r="AN135" s="38"/>
      <c r="AO135" s="97">
        <v>1</v>
      </c>
      <c r="AP135" s="38"/>
      <c r="AQ135" s="38"/>
      <c r="AR135" s="91"/>
      <c r="AS135" s="42">
        <f>SUM(AT135:AZ135)</f>
        <v>1</v>
      </c>
      <c r="AT135" s="48"/>
      <c r="AU135" s="48"/>
      <c r="AV135" s="48"/>
      <c r="AW135" s="48">
        <v>1</v>
      </c>
      <c r="AX135" s="48"/>
      <c r="AY135" s="48"/>
      <c r="AZ135" s="48"/>
      <c r="BA135" s="43">
        <f>IF((W135-SUM(AT135:AZ135))&lt;0,0,W135-SUM(AT135:AZ135))</f>
        <v>0</v>
      </c>
      <c r="BB135" s="49"/>
      <c r="BC135" s="47"/>
      <c r="BD135" s="47"/>
    </row>
    <row r="136" spans="1:56" ht="15" customHeight="1">
      <c r="A136" s="35" t="s">
        <v>861</v>
      </c>
      <c r="B136" s="36" t="s">
        <v>75</v>
      </c>
      <c r="C136" s="38" t="s">
        <v>65</v>
      </c>
      <c r="D136" s="35" t="s">
        <v>76</v>
      </c>
      <c r="E136" s="35"/>
      <c r="F136" s="36">
        <v>4</v>
      </c>
      <c r="G136" s="75" t="s">
        <v>862</v>
      </c>
      <c r="H136" s="35" t="s">
        <v>78</v>
      </c>
      <c r="I136" s="35" t="s">
        <v>518</v>
      </c>
      <c r="J136" s="35"/>
      <c r="K136" s="35"/>
      <c r="L136" s="37"/>
      <c r="M136" s="37"/>
      <c r="N136" s="37"/>
      <c r="O136" s="68"/>
      <c r="P136" s="68"/>
      <c r="Q136" s="37"/>
      <c r="R136" s="37"/>
      <c r="S136" s="37"/>
      <c r="T136" s="68"/>
      <c r="U136" s="68"/>
      <c r="V136" s="35" t="s">
        <v>223</v>
      </c>
      <c r="W136" s="74">
        <v>1</v>
      </c>
      <c r="X136" s="39">
        <f>MAX(0,$AK136-$W136-$Z136)</f>
        <v>0</v>
      </c>
      <c r="Y136" s="35"/>
      <c r="Z136" s="35"/>
      <c r="AA136" s="40">
        <v>0.11</v>
      </c>
      <c r="AB136" s="41">
        <f>IF(AND($X136&gt;0,ISNUMBER($AA136)),$X136*$AA136,0)</f>
        <v>0</v>
      </c>
      <c r="AI136" s="63"/>
      <c r="AK136" s="39">
        <f>SUM(AL136:AR136)</f>
        <v>0</v>
      </c>
      <c r="AL136" s="90"/>
      <c r="AM136" s="38"/>
      <c r="AN136" s="38"/>
      <c r="AO136" s="38"/>
      <c r="AP136" s="38"/>
      <c r="AQ136" s="38"/>
      <c r="AR136" s="91"/>
      <c r="AS136" s="42">
        <f>SUM(AT136:AZ136)</f>
        <v>0</v>
      </c>
      <c r="AT136" s="48"/>
      <c r="AU136" s="48"/>
      <c r="AV136" s="48"/>
      <c r="AW136" s="48"/>
      <c r="AX136" s="48"/>
      <c r="AY136" s="48"/>
      <c r="AZ136" s="48"/>
      <c r="BA136" s="43">
        <f>IF((W136-SUM(AT136:AZ136))&lt;0,0,W136-SUM(AT136:AZ136))</f>
        <v>1</v>
      </c>
      <c r="BB136" s="35"/>
      <c r="BC136" s="37"/>
      <c r="BD136" s="37"/>
    </row>
    <row r="137" spans="1:56" ht="15" customHeight="1">
      <c r="A137" s="49" t="s">
        <v>863</v>
      </c>
      <c r="B137" s="39" t="s">
        <v>75</v>
      </c>
      <c r="C137" s="46" t="s">
        <v>83</v>
      </c>
      <c r="D137" s="49" t="s">
        <v>84</v>
      </c>
      <c r="E137" s="49" t="s">
        <v>864</v>
      </c>
      <c r="F137" s="39">
        <v>3</v>
      </c>
      <c r="G137" s="75" t="s">
        <v>865</v>
      </c>
      <c r="H137" s="50" t="s">
        <v>92</v>
      </c>
      <c r="I137" s="50" t="s">
        <v>866</v>
      </c>
      <c r="J137" s="50"/>
      <c r="K137" s="50"/>
      <c r="L137" s="46"/>
      <c r="M137" s="46"/>
      <c r="N137" s="46"/>
      <c r="O137" s="46"/>
      <c r="P137" s="46"/>
      <c r="Q137" s="46"/>
      <c r="R137" s="46"/>
      <c r="S137" s="46"/>
      <c r="T137" s="46"/>
      <c r="U137" s="46"/>
      <c r="V137" s="50" t="s">
        <v>440</v>
      </c>
      <c r="W137" s="74">
        <v>0</v>
      </c>
      <c r="X137" s="39">
        <f>MAX(0,$AK137-$W137-$Z137)</f>
        <v>0</v>
      </c>
      <c r="Y137" s="39"/>
      <c r="Z137" s="39"/>
      <c r="AA137" s="41">
        <v>0.21</v>
      </c>
      <c r="AB137" s="41">
        <f>IF(AND($X137&gt;0,ISNUMBER($AA137)),$X137*$AA137,0)</f>
        <v>0</v>
      </c>
      <c r="AC137" s="59"/>
      <c r="AD137" s="59"/>
      <c r="AE137" s="59"/>
      <c r="AF137" s="59"/>
      <c r="AG137" s="59"/>
      <c r="AH137" s="59"/>
      <c r="AI137" s="59"/>
      <c r="AJ137" s="59"/>
      <c r="AK137" s="39">
        <f>SUM(AL137:AR137)</f>
        <v>0</v>
      </c>
      <c r="AL137" s="114"/>
      <c r="AM137" s="43"/>
      <c r="AN137" s="43"/>
      <c r="AO137" s="43"/>
      <c r="AP137" s="43"/>
      <c r="AQ137" s="43"/>
      <c r="AR137" s="116"/>
      <c r="AS137" s="42">
        <f>SUM(AT137:AZ137)</f>
        <v>0</v>
      </c>
      <c r="AT137" s="48"/>
      <c r="AU137" s="48"/>
      <c r="AV137" s="48"/>
      <c r="AW137" s="48"/>
      <c r="AX137" s="48"/>
      <c r="AY137" s="48"/>
      <c r="AZ137" s="48"/>
      <c r="BA137" s="43">
        <f>IF((W137-SUM(AT137:AZ137))&lt;0,0,W137-SUM(AT137:AZ137))</f>
        <v>0</v>
      </c>
      <c r="BB137" s="49"/>
      <c r="BC137" s="47"/>
      <c r="BD137" s="53"/>
    </row>
    <row r="138" spans="1:56" ht="15" customHeight="1">
      <c r="A138" s="49" t="s">
        <v>867</v>
      </c>
      <c r="B138" s="39" t="s">
        <v>75</v>
      </c>
      <c r="C138" s="46" t="s">
        <v>83</v>
      </c>
      <c r="D138" s="49" t="s">
        <v>178</v>
      </c>
      <c r="E138" s="49" t="s">
        <v>868</v>
      </c>
      <c r="F138" s="39">
        <v>3</v>
      </c>
      <c r="G138" s="75" t="s">
        <v>869</v>
      </c>
      <c r="H138" s="50" t="s">
        <v>92</v>
      </c>
      <c r="I138" s="50" t="s">
        <v>870</v>
      </c>
      <c r="J138" s="50"/>
      <c r="K138" s="50"/>
      <c r="L138" s="46"/>
      <c r="M138" s="46"/>
      <c r="N138" s="46"/>
      <c r="O138" s="46"/>
      <c r="P138" s="46"/>
      <c r="Q138" s="46"/>
      <c r="R138" s="46"/>
      <c r="S138" s="46"/>
      <c r="T138" s="46"/>
      <c r="U138" s="46"/>
      <c r="V138" s="50" t="s">
        <v>388</v>
      </c>
      <c r="W138" s="74">
        <v>0</v>
      </c>
      <c r="X138" s="39">
        <f>MAX(0,$AK138-$W138-$Z138)</f>
        <v>0</v>
      </c>
      <c r="Y138" s="39"/>
      <c r="Z138" s="39"/>
      <c r="AA138" s="41">
        <v>0.3</v>
      </c>
      <c r="AB138" s="41">
        <f>IF(AND($X138&gt;0,ISNUMBER($AA138)),$X138*$AA138,0)</f>
        <v>0</v>
      </c>
      <c r="AC138" s="59"/>
      <c r="AD138" s="59"/>
      <c r="AE138" s="59"/>
      <c r="AF138" s="59"/>
      <c r="AG138" s="59"/>
      <c r="AH138" s="59"/>
      <c r="AI138" s="59"/>
      <c r="AJ138" s="59"/>
      <c r="AK138" s="39">
        <f>SUM(AL138:AR138)</f>
        <v>0</v>
      </c>
      <c r="AL138" s="114"/>
      <c r="AM138" s="43"/>
      <c r="AN138" s="43"/>
      <c r="AO138" s="43"/>
      <c r="AP138" s="43"/>
      <c r="AQ138" s="43"/>
      <c r="AR138" s="116"/>
      <c r="AS138" s="42">
        <f>SUM(AT138:AZ138)</f>
        <v>0</v>
      </c>
      <c r="AT138" s="48"/>
      <c r="AU138" s="48"/>
      <c r="AV138" s="48"/>
      <c r="AW138" s="48"/>
      <c r="AX138" s="48"/>
      <c r="AY138" s="48"/>
      <c r="AZ138" s="48"/>
      <c r="BA138" s="43">
        <f>IF((W138-SUM(AT138:AZ138))&lt;0,0,W138-SUM(AT138:AZ138))</f>
        <v>0</v>
      </c>
      <c r="BB138" s="49"/>
      <c r="BC138" s="47"/>
      <c r="BD138" s="53"/>
    </row>
    <row r="139" spans="1:56" ht="15" customHeight="1">
      <c r="A139" s="49" t="s">
        <v>307</v>
      </c>
      <c r="B139" s="39" t="s">
        <v>75</v>
      </c>
      <c r="C139" s="46" t="s">
        <v>65</v>
      </c>
      <c r="D139" s="49" t="s">
        <v>84</v>
      </c>
      <c r="E139" s="49" t="s">
        <v>308</v>
      </c>
      <c r="F139" s="39">
        <v>2</v>
      </c>
      <c r="G139" s="75" t="s">
        <v>309</v>
      </c>
      <c r="H139" s="50" t="s">
        <v>258</v>
      </c>
      <c r="I139" s="50" t="s">
        <v>310</v>
      </c>
      <c r="J139" s="50"/>
      <c r="K139" s="50"/>
      <c r="L139" s="47"/>
      <c r="M139" s="47"/>
      <c r="N139" s="47"/>
      <c r="O139" s="47"/>
      <c r="P139" s="47"/>
      <c r="Q139" s="47"/>
      <c r="R139" s="47"/>
      <c r="S139" s="47"/>
      <c r="T139" s="47"/>
      <c r="U139" s="47"/>
      <c r="V139" s="50" t="s">
        <v>311</v>
      </c>
      <c r="W139" s="74">
        <v>1</v>
      </c>
      <c r="X139" s="39">
        <f>MAX(0,$AK139-$W139-$Z139)</f>
        <v>0</v>
      </c>
      <c r="Y139" s="39"/>
      <c r="Z139" s="39"/>
      <c r="AA139" s="41">
        <v>1.32</v>
      </c>
      <c r="AB139" s="41">
        <f>IF(AND($X139&gt;0,ISNUMBER($AA139)),$X139*$AA139,0)</f>
        <v>0</v>
      </c>
      <c r="AK139" s="39">
        <f>SUM(AL139:AR139)</f>
        <v>1</v>
      </c>
      <c r="AL139" s="90"/>
      <c r="AM139" s="38"/>
      <c r="AN139" s="38"/>
      <c r="AO139" s="38"/>
      <c r="AP139" s="97">
        <v>1</v>
      </c>
      <c r="AQ139" s="38"/>
      <c r="AR139" s="91"/>
      <c r="AS139" s="42">
        <f>SUM(AT139:AZ139)</f>
        <v>1</v>
      </c>
      <c r="AT139" s="48"/>
      <c r="AU139" s="48"/>
      <c r="AV139" s="48"/>
      <c r="AW139" s="48"/>
      <c r="AX139" s="48">
        <v>1</v>
      </c>
      <c r="AY139" s="48"/>
      <c r="AZ139" s="48"/>
      <c r="BA139" s="43">
        <f>IF((W139-SUM(AT139:AZ139))&lt;0,0,W139-SUM(AT139:AZ139))</f>
        <v>0</v>
      </c>
      <c r="BB139" s="49"/>
      <c r="BC139" s="47"/>
      <c r="BD139" s="47"/>
    </row>
    <row r="140" spans="1:56" ht="15" customHeight="1">
      <c r="A140" s="49" t="s">
        <v>871</v>
      </c>
      <c r="B140" s="39" t="s">
        <v>96</v>
      </c>
      <c r="C140" s="46" t="s">
        <v>83</v>
      </c>
      <c r="D140" s="49" t="s">
        <v>105</v>
      </c>
      <c r="E140" s="49"/>
      <c r="F140" s="39">
        <v>4</v>
      </c>
      <c r="G140" s="75" t="s">
        <v>872</v>
      </c>
      <c r="H140" s="50" t="s">
        <v>233</v>
      </c>
      <c r="I140" s="50" t="s">
        <v>872</v>
      </c>
      <c r="J140" s="50"/>
      <c r="K140" s="50"/>
      <c r="L140" s="46"/>
      <c r="M140" s="46"/>
      <c r="N140" s="46"/>
      <c r="O140" s="46"/>
      <c r="P140" s="46"/>
      <c r="Q140" s="46"/>
      <c r="R140" s="46"/>
      <c r="S140" s="46"/>
      <c r="T140" s="46"/>
      <c r="U140" s="46"/>
      <c r="V140" s="50" t="s">
        <v>103</v>
      </c>
      <c r="W140" s="74">
        <v>0</v>
      </c>
      <c r="X140" s="39">
        <f>MAX(0,$AK140-$W140-$Z140)</f>
        <v>0</v>
      </c>
      <c r="Y140" s="39"/>
      <c r="Z140" s="39"/>
      <c r="AA140" s="41">
        <v>20.45</v>
      </c>
      <c r="AB140" s="41">
        <f>IF(AND($X140&gt;0,ISNUMBER($AA140)),$X140*$AA140,0)</f>
        <v>0</v>
      </c>
      <c r="AC140" s="59"/>
      <c r="AD140" s="59"/>
      <c r="AE140" s="59"/>
      <c r="AF140" s="59"/>
      <c r="AG140" s="59"/>
      <c r="AH140" s="59"/>
      <c r="AI140" s="59"/>
      <c r="AJ140" s="59"/>
      <c r="AK140" s="39">
        <f>SUM(AL140:AR140)</f>
        <v>0</v>
      </c>
      <c r="AL140" s="114"/>
      <c r="AM140" s="43"/>
      <c r="AN140" s="43"/>
      <c r="AO140" s="43"/>
      <c r="AP140" s="43"/>
      <c r="AQ140" s="43"/>
      <c r="AR140" s="116"/>
      <c r="AS140" s="42">
        <f>SUM(AT140:AZ140)</f>
        <v>0</v>
      </c>
      <c r="AT140" s="48"/>
      <c r="AU140" s="48"/>
      <c r="AV140" s="48"/>
      <c r="AW140" s="48"/>
      <c r="AX140" s="48"/>
      <c r="AY140" s="48"/>
      <c r="AZ140" s="48"/>
      <c r="BA140" s="43">
        <f>IF((W140-SUM(AT140:AZ140))&lt;0,0,W140-SUM(AT140:AZ140))</f>
        <v>0</v>
      </c>
      <c r="BB140" s="49"/>
      <c r="BC140" s="47"/>
      <c r="BD140" s="47"/>
    </row>
    <row r="141" spans="1:56" ht="15" customHeight="1">
      <c r="A141" s="49" t="s">
        <v>873</v>
      </c>
      <c r="B141" s="39" t="s">
        <v>96</v>
      </c>
      <c r="C141" s="46" t="s">
        <v>65</v>
      </c>
      <c r="D141" s="49" t="s">
        <v>105</v>
      </c>
      <c r="E141" s="49"/>
      <c r="F141" s="39">
        <v>3</v>
      </c>
      <c r="G141" s="75" t="s">
        <v>874</v>
      </c>
      <c r="H141" s="50" t="s">
        <v>314</v>
      </c>
      <c r="I141" s="50" t="s">
        <v>875</v>
      </c>
      <c r="J141" s="50" t="s">
        <v>876</v>
      </c>
      <c r="K141" s="50" t="s">
        <v>877</v>
      </c>
      <c r="L141" s="47"/>
      <c r="M141" s="47"/>
      <c r="N141" s="47"/>
      <c r="O141" s="47"/>
      <c r="P141" s="47"/>
      <c r="Q141" s="47"/>
      <c r="R141" s="47"/>
      <c r="S141" s="47"/>
      <c r="T141" s="47"/>
      <c r="U141" s="47"/>
      <c r="V141" s="50" t="s">
        <v>878</v>
      </c>
      <c r="W141" s="74">
        <v>1</v>
      </c>
      <c r="X141" s="39">
        <f>MAX(0,$AK141-$W141-$Z141)</f>
        <v>0</v>
      </c>
      <c r="Y141" s="39"/>
      <c r="Z141" s="39"/>
      <c r="AA141" s="41">
        <v>0.51</v>
      </c>
      <c r="AB141" s="41">
        <f>IF(AND($X141&gt;0,ISNUMBER($AA141)),$X141*$AA141,0)</f>
        <v>0</v>
      </c>
      <c r="AE141" s="63"/>
      <c r="AK141" s="39">
        <f>SUM(AL141:AR141)</f>
        <v>1</v>
      </c>
      <c r="AL141" s="90"/>
      <c r="AM141" s="38"/>
      <c r="AN141" s="98">
        <v>1</v>
      </c>
      <c r="AO141" s="38"/>
      <c r="AP141" s="38"/>
      <c r="AQ141" s="38"/>
      <c r="AR141" s="91"/>
      <c r="AS141" s="42">
        <f>SUM(AT141:AZ141)</f>
        <v>1</v>
      </c>
      <c r="AT141" s="48"/>
      <c r="AU141" s="48"/>
      <c r="AV141" s="48">
        <v>1</v>
      </c>
      <c r="AW141" s="48"/>
      <c r="AX141" s="48"/>
      <c r="AY141" s="48"/>
      <c r="AZ141" s="48"/>
      <c r="BA141" s="43">
        <f>IF((W141-SUM(AT141:AZ141))&lt;0,0,W141-SUM(AT141:AZ141))</f>
        <v>0</v>
      </c>
      <c r="BB141" s="49"/>
      <c r="BC141" s="47"/>
      <c r="BD141" s="47"/>
    </row>
    <row r="142" spans="1:56" ht="15" customHeight="1">
      <c r="A142" s="49" t="s">
        <v>312</v>
      </c>
      <c r="B142" s="39" t="s">
        <v>96</v>
      </c>
      <c r="C142" s="46" t="s">
        <v>65</v>
      </c>
      <c r="D142" s="49" t="s">
        <v>105</v>
      </c>
      <c r="E142" s="49"/>
      <c r="F142" s="39">
        <v>2</v>
      </c>
      <c r="G142" s="75" t="s">
        <v>313</v>
      </c>
      <c r="H142" s="50" t="s">
        <v>314</v>
      </c>
      <c r="I142" s="50" t="s">
        <v>315</v>
      </c>
      <c r="J142" s="50"/>
      <c r="K142" s="50"/>
      <c r="L142" s="46"/>
      <c r="M142" s="46"/>
      <c r="N142" s="46"/>
      <c r="O142" s="46"/>
      <c r="P142" s="46"/>
      <c r="Q142" s="46"/>
      <c r="R142" s="46"/>
      <c r="S142" s="46"/>
      <c r="T142" s="46"/>
      <c r="U142" s="46"/>
      <c r="V142" s="50" t="s">
        <v>204</v>
      </c>
      <c r="W142" s="74">
        <v>4</v>
      </c>
      <c r="X142" s="39">
        <f>MAX(0,$AK142-$W142-$Z142)</f>
        <v>0</v>
      </c>
      <c r="Y142" s="39"/>
      <c r="Z142" s="39"/>
      <c r="AA142" s="41">
        <v>0.41</v>
      </c>
      <c r="AB142" s="41">
        <f>IF(AND($X142&gt;0,ISNUMBER($AA142)),$X142*$AA142,0)</f>
        <v>0</v>
      </c>
      <c r="AK142" s="39">
        <f>SUM(AL142:AR142)</f>
        <v>4</v>
      </c>
      <c r="AL142" s="102">
        <v>1</v>
      </c>
      <c r="AM142" s="97">
        <v>1</v>
      </c>
      <c r="AN142" s="38"/>
      <c r="AO142" s="38"/>
      <c r="AP142" s="97">
        <v>1</v>
      </c>
      <c r="AQ142" s="97">
        <v>1</v>
      </c>
      <c r="AR142" s="91"/>
      <c r="AS142" s="42">
        <f>SUM(AT142:AZ142)</f>
        <v>4</v>
      </c>
      <c r="AT142" s="48">
        <v>1</v>
      </c>
      <c r="AU142" s="48">
        <v>1</v>
      </c>
      <c r="AV142" s="48"/>
      <c r="AW142" s="48"/>
      <c r="AX142" s="48">
        <v>1</v>
      </c>
      <c r="AY142" s="48">
        <v>1</v>
      </c>
      <c r="AZ142" s="48"/>
      <c r="BA142" s="43">
        <f>IF((W142-SUM(AT142:AZ142))&lt;0,0,W142-SUM(AT142:AZ142))</f>
        <v>0</v>
      </c>
      <c r="BB142" s="49"/>
      <c r="BC142" s="47"/>
      <c r="BD142" s="53"/>
    </row>
    <row r="143" spans="1:56" ht="15" customHeight="1">
      <c r="A143" s="49" t="s">
        <v>886</v>
      </c>
      <c r="B143" s="39" t="s">
        <v>96</v>
      </c>
      <c r="C143" s="46" t="s">
        <v>65</v>
      </c>
      <c r="D143" s="49" t="s">
        <v>84</v>
      </c>
      <c r="E143" s="49" t="s">
        <v>887</v>
      </c>
      <c r="F143" s="39">
        <v>9</v>
      </c>
      <c r="G143" s="75" t="s">
        <v>888</v>
      </c>
      <c r="H143" s="50" t="s">
        <v>889</v>
      </c>
      <c r="I143" s="50" t="s">
        <v>890</v>
      </c>
      <c r="J143" s="50" t="s">
        <v>891</v>
      </c>
      <c r="K143" s="50" t="s">
        <v>892</v>
      </c>
      <c r="L143" s="47"/>
      <c r="M143" s="47"/>
      <c r="N143" s="47"/>
      <c r="O143" s="68"/>
      <c r="P143" s="68"/>
      <c r="Q143" s="47"/>
      <c r="R143" s="47"/>
      <c r="S143" s="47"/>
      <c r="T143" s="68"/>
      <c r="U143" s="68"/>
      <c r="V143" s="50" t="s">
        <v>196</v>
      </c>
      <c r="W143" s="74">
        <v>1</v>
      </c>
      <c r="X143" s="39">
        <f>MAX(0,$AK143-$W143-$Z143)</f>
        <v>0</v>
      </c>
      <c r="Y143" s="39"/>
      <c r="Z143" s="39"/>
      <c r="AA143" s="41">
        <v>0.46</v>
      </c>
      <c r="AB143" s="41">
        <f>IF(AND($X143&gt;0,ISNUMBER($AA143)),$X143*$AA143,0)</f>
        <v>0</v>
      </c>
      <c r="AK143" s="39">
        <f>SUM(AL143:AR143)</f>
        <v>0</v>
      </c>
      <c r="AL143" s="90"/>
      <c r="AM143" s="38"/>
      <c r="AN143" s="38"/>
      <c r="AO143" s="38"/>
      <c r="AP143" s="38"/>
      <c r="AQ143" s="38"/>
      <c r="AR143" s="91"/>
      <c r="AS143" s="42">
        <f>SUM(AT143:AZ143)</f>
        <v>0</v>
      </c>
      <c r="AT143" s="48"/>
      <c r="AU143" s="48"/>
      <c r="AV143" s="48"/>
      <c r="AW143" s="48"/>
      <c r="AX143" s="48"/>
      <c r="AY143" s="48"/>
      <c r="AZ143" s="48"/>
      <c r="BA143" s="43">
        <f>IF((W143-SUM(AT143:AZ143))&lt;0,0,W143-SUM(AT143:AZ143))</f>
        <v>1</v>
      </c>
      <c r="BB143" s="49"/>
      <c r="BC143" s="47"/>
      <c r="BD143" s="47"/>
    </row>
    <row r="144" spans="1:56" ht="15" customHeight="1">
      <c r="A144" s="49" t="s">
        <v>893</v>
      </c>
      <c r="B144" s="39" t="s">
        <v>96</v>
      </c>
      <c r="C144" s="46" t="s">
        <v>83</v>
      </c>
      <c r="D144" s="49" t="s">
        <v>105</v>
      </c>
      <c r="E144" s="49"/>
      <c r="F144" s="39">
        <v>3</v>
      </c>
      <c r="G144" s="75" t="s">
        <v>894</v>
      </c>
      <c r="H144" s="50" t="s">
        <v>87</v>
      </c>
      <c r="I144" s="50" t="s">
        <v>894</v>
      </c>
      <c r="J144" s="50"/>
      <c r="K144" s="50"/>
      <c r="L144" s="47"/>
      <c r="M144" s="47"/>
      <c r="N144" s="47"/>
      <c r="O144" s="47"/>
      <c r="P144" s="47"/>
      <c r="Q144" s="47"/>
      <c r="R144" s="47"/>
      <c r="S144" s="47"/>
      <c r="T144" s="47"/>
      <c r="U144" s="47"/>
      <c r="V144" s="50" t="s">
        <v>895</v>
      </c>
      <c r="W144" s="74">
        <v>0</v>
      </c>
      <c r="X144" s="39">
        <f>MAX(0,$AK144-$W144-$Z144)</f>
        <v>0</v>
      </c>
      <c r="Y144" s="39"/>
      <c r="Z144" s="39"/>
      <c r="AA144" s="41">
        <v>12.59</v>
      </c>
      <c r="AB144" s="41">
        <f>IF(AND($X144&gt;0,ISNUMBER($AA144)),$X144*$AA144,0)</f>
        <v>0</v>
      </c>
      <c r="AC144" s="59"/>
      <c r="AD144" s="59"/>
      <c r="AE144" s="59"/>
      <c r="AF144" s="59"/>
      <c r="AG144" s="59"/>
      <c r="AH144" s="59"/>
      <c r="AI144" s="59"/>
      <c r="AJ144" s="59"/>
      <c r="AK144" s="39">
        <f>SUM(AL144:AR144)</f>
        <v>0</v>
      </c>
      <c r="AL144" s="114"/>
      <c r="AM144" s="43"/>
      <c r="AN144" s="43"/>
      <c r="AO144" s="43"/>
      <c r="AP144" s="43"/>
      <c r="AQ144" s="43"/>
      <c r="AR144" s="116"/>
      <c r="AS144" s="42">
        <f>SUM(AT144:AZ144)</f>
        <v>0</v>
      </c>
      <c r="AT144" s="48"/>
      <c r="AU144" s="48"/>
      <c r="AV144" s="48"/>
      <c r="AW144" s="48"/>
      <c r="AX144" s="48"/>
      <c r="AY144" s="48"/>
      <c r="AZ144" s="48"/>
      <c r="BA144" s="43">
        <f>IF((W144-SUM(AT144:AZ144))&lt;0,0,W144-SUM(AT144:AZ144))</f>
        <v>0</v>
      </c>
      <c r="BB144" s="49"/>
      <c r="BC144" s="47"/>
      <c r="BD144" s="47"/>
    </row>
    <row r="145" spans="1:56" ht="15" customHeight="1">
      <c r="A145" s="49" t="s">
        <v>896</v>
      </c>
      <c r="B145" s="39" t="s">
        <v>96</v>
      </c>
      <c r="C145" s="46" t="s">
        <v>65</v>
      </c>
      <c r="D145" s="49" t="s">
        <v>105</v>
      </c>
      <c r="E145" s="49"/>
      <c r="F145" s="39">
        <v>0</v>
      </c>
      <c r="G145" s="75" t="s">
        <v>897</v>
      </c>
      <c r="H145" s="50" t="s">
        <v>314</v>
      </c>
      <c r="I145" s="50" t="s">
        <v>898</v>
      </c>
      <c r="J145" s="50" t="s">
        <v>899</v>
      </c>
      <c r="K145" s="50"/>
      <c r="L145" s="47"/>
      <c r="M145" s="47"/>
      <c r="N145" s="47"/>
      <c r="O145" s="47"/>
      <c r="P145" s="47"/>
      <c r="Q145" s="47"/>
      <c r="R145" s="47"/>
      <c r="S145" s="47"/>
      <c r="T145" s="47"/>
      <c r="U145" s="47"/>
      <c r="V145" s="50" t="s">
        <v>900</v>
      </c>
      <c r="W145" s="74">
        <v>1</v>
      </c>
      <c r="X145" s="39">
        <f>MAX(0,$AK145-$W145-$Z145)</f>
        <v>0</v>
      </c>
      <c r="Y145" s="39"/>
      <c r="Z145" s="39"/>
      <c r="AA145" s="41">
        <v>0.24</v>
      </c>
      <c r="AB145" s="41">
        <f>IF(AND($X145&gt;0,ISNUMBER($AA145)),$X145*$AA145,0)</f>
        <v>0</v>
      </c>
      <c r="AK145" s="39">
        <f>SUM(AL145:AR145)</f>
        <v>1</v>
      </c>
      <c r="AL145" s="90"/>
      <c r="AM145" s="38"/>
      <c r="AN145" s="97">
        <v>1</v>
      </c>
      <c r="AO145" s="38"/>
      <c r="AP145" s="38"/>
      <c r="AQ145" s="38"/>
      <c r="AR145" s="91"/>
      <c r="AS145" s="42">
        <f>SUM(AT145:AZ145)</f>
        <v>1</v>
      </c>
      <c r="AT145" s="48"/>
      <c r="AU145" s="48"/>
      <c r="AV145" s="48">
        <v>1</v>
      </c>
      <c r="AW145" s="48"/>
      <c r="AX145" s="48"/>
      <c r="AY145" s="48"/>
      <c r="AZ145" s="48"/>
      <c r="BA145" s="43">
        <f>IF((W145-SUM(AT145:AZ145))&lt;0,0,W145-SUM(AT145:AZ145))</f>
        <v>0</v>
      </c>
      <c r="BB145" s="49"/>
      <c r="BC145" s="47"/>
      <c r="BD145" s="47"/>
    </row>
    <row r="146" spans="1:56" ht="15" customHeight="1">
      <c r="A146" s="49" t="s">
        <v>901</v>
      </c>
      <c r="B146" s="39" t="s">
        <v>96</v>
      </c>
      <c r="C146" s="46" t="s">
        <v>65</v>
      </c>
      <c r="D146" s="49" t="s">
        <v>105</v>
      </c>
      <c r="E146" s="44"/>
      <c r="F146" s="39">
        <v>2</v>
      </c>
      <c r="G146" s="75" t="s">
        <v>902</v>
      </c>
      <c r="H146" s="50" t="s">
        <v>314</v>
      </c>
      <c r="I146" s="50" t="s">
        <v>903</v>
      </c>
      <c r="J146" s="44"/>
      <c r="K146" s="44"/>
      <c r="L146" s="47"/>
      <c r="M146" s="47"/>
      <c r="N146" s="47"/>
      <c r="O146" s="47"/>
      <c r="P146" s="47"/>
      <c r="Q146" s="47"/>
      <c r="R146" s="47"/>
      <c r="S146" s="47"/>
      <c r="T146" s="47"/>
      <c r="U146" s="47"/>
      <c r="V146" s="50" t="s">
        <v>904</v>
      </c>
      <c r="W146" s="74">
        <v>1</v>
      </c>
      <c r="X146" s="39">
        <f>MAX(0,$AK146-$W146-$Z146)</f>
        <v>0</v>
      </c>
      <c r="Y146" s="39"/>
      <c r="Z146" s="39"/>
      <c r="AA146" s="41">
        <v>0.3</v>
      </c>
      <c r="AB146" s="41">
        <f>IF(AND($X146&gt;0,ISNUMBER($AA146)),$X146*$AA146,0)</f>
        <v>0</v>
      </c>
      <c r="AK146" s="39">
        <f>SUM(AL146:AR146)</f>
        <v>1</v>
      </c>
      <c r="AL146" s="90"/>
      <c r="AM146" s="38"/>
      <c r="AN146" s="97">
        <v>1</v>
      </c>
      <c r="AO146" s="38"/>
      <c r="AP146" s="38"/>
      <c r="AQ146" s="38"/>
      <c r="AR146" s="91"/>
      <c r="AS146" s="42">
        <f>SUM(AT146:AZ146)</f>
        <v>1</v>
      </c>
      <c r="AT146" s="48"/>
      <c r="AU146" s="48"/>
      <c r="AV146" s="48">
        <v>1</v>
      </c>
      <c r="AW146" s="48"/>
      <c r="AX146" s="48"/>
      <c r="AY146" s="48"/>
      <c r="AZ146" s="48"/>
      <c r="BA146" s="43">
        <f>IF((W146-SUM(AT146:AZ146))&lt;0,0,W146-SUM(AT146:AZ146))</f>
        <v>0</v>
      </c>
      <c r="BB146" s="44"/>
      <c r="BC146" s="47"/>
      <c r="BD146" s="47"/>
    </row>
    <row r="147" spans="1:56" ht="15" customHeight="1">
      <c r="A147" s="49" t="s">
        <v>905</v>
      </c>
      <c r="B147" s="39" t="s">
        <v>96</v>
      </c>
      <c r="C147" s="46" t="s">
        <v>65</v>
      </c>
      <c r="D147" s="49" t="s">
        <v>105</v>
      </c>
      <c r="E147" s="49"/>
      <c r="F147" s="39">
        <v>1</v>
      </c>
      <c r="G147" s="75" t="s">
        <v>906</v>
      </c>
      <c r="H147" s="50" t="s">
        <v>108</v>
      </c>
      <c r="I147" s="50" t="s">
        <v>907</v>
      </c>
      <c r="J147" s="50" t="s">
        <v>908</v>
      </c>
      <c r="K147" s="50" t="s">
        <v>909</v>
      </c>
      <c r="L147" s="47"/>
      <c r="M147" s="47"/>
      <c r="N147" s="47"/>
      <c r="O147" s="47"/>
      <c r="P147" s="47"/>
      <c r="Q147" s="47"/>
      <c r="R147" s="47"/>
      <c r="S147" s="47"/>
      <c r="T147" s="47"/>
      <c r="U147" s="47"/>
      <c r="V147" s="50" t="s">
        <v>368</v>
      </c>
      <c r="W147" s="74">
        <v>1</v>
      </c>
      <c r="X147" s="39">
        <f>MAX(0,$AK147-$W147-$Z147)</f>
        <v>0</v>
      </c>
      <c r="Y147" s="39"/>
      <c r="Z147" s="39"/>
      <c r="AA147" s="41">
        <v>0.27</v>
      </c>
      <c r="AB147" s="41">
        <f>IF(AND($X147&gt;0,ISNUMBER($AA147)),$X147*$AA147,0)</f>
        <v>0</v>
      </c>
      <c r="AK147" s="39">
        <f>SUM(AL147:AR147)</f>
        <v>1</v>
      </c>
      <c r="AL147" s="102">
        <v>1</v>
      </c>
      <c r="AM147" s="38"/>
      <c r="AN147" s="38"/>
      <c r="AO147" s="38"/>
      <c r="AP147" s="38"/>
      <c r="AQ147" s="38"/>
      <c r="AR147" s="91"/>
      <c r="AS147" s="42">
        <f>SUM(AT147:AZ147)</f>
        <v>1</v>
      </c>
      <c r="AT147" s="48">
        <v>1</v>
      </c>
      <c r="AU147" s="48"/>
      <c r="AV147" s="48"/>
      <c r="AW147" s="48"/>
      <c r="AX147" s="48"/>
      <c r="AY147" s="48"/>
      <c r="AZ147" s="48"/>
      <c r="BA147" s="43">
        <f>IF((W147-SUM(AT147:AZ147))&lt;0,0,W147-SUM(AT147:AZ147))</f>
        <v>0</v>
      </c>
      <c r="BB147" s="49"/>
      <c r="BC147" s="47"/>
      <c r="BD147" s="47"/>
    </row>
    <row r="148" spans="1:56" ht="15" customHeight="1">
      <c r="A148" s="49" t="s">
        <v>910</v>
      </c>
      <c r="B148" s="39" t="s">
        <v>96</v>
      </c>
      <c r="C148" s="46" t="s">
        <v>65</v>
      </c>
      <c r="D148" s="49" t="s">
        <v>105</v>
      </c>
      <c r="E148" s="49"/>
      <c r="F148" s="39">
        <v>3</v>
      </c>
      <c r="G148" s="75" t="s">
        <v>911</v>
      </c>
      <c r="H148" s="50" t="s">
        <v>314</v>
      </c>
      <c r="I148" s="50" t="s">
        <v>875</v>
      </c>
      <c r="J148" s="50" t="s">
        <v>912</v>
      </c>
      <c r="K148" s="50" t="s">
        <v>913</v>
      </c>
      <c r="L148" s="47"/>
      <c r="M148" s="47"/>
      <c r="N148" s="47"/>
      <c r="O148" s="47"/>
      <c r="P148" s="47"/>
      <c r="Q148" s="47"/>
      <c r="R148" s="47"/>
      <c r="S148" s="47"/>
      <c r="T148" s="47"/>
      <c r="U148" s="47"/>
      <c r="V148" s="50" t="s">
        <v>398</v>
      </c>
      <c r="W148" s="74">
        <v>0</v>
      </c>
      <c r="X148" s="39">
        <f>MAX(0,$AK148-$W148-$Z148)</f>
        <v>0</v>
      </c>
      <c r="Y148" s="39"/>
      <c r="Z148" s="39"/>
      <c r="AA148" s="41">
        <v>0.22</v>
      </c>
      <c r="AB148" s="41">
        <f>IF(AND($X148&gt;0,ISNUMBER($AA148)),$X148*$AA148,0)</f>
        <v>0</v>
      </c>
      <c r="AC148" s="59"/>
      <c r="AD148" s="59"/>
      <c r="AE148" s="59"/>
      <c r="AF148" s="59"/>
      <c r="AG148" s="59"/>
      <c r="AH148" s="59"/>
      <c r="AI148" s="59"/>
      <c r="AJ148" s="59"/>
      <c r="AK148" s="39">
        <f>SUM(AL148:AR148)</f>
        <v>0</v>
      </c>
      <c r="AL148" s="114"/>
      <c r="AM148" s="43"/>
      <c r="AN148" s="43"/>
      <c r="AO148" s="43"/>
      <c r="AP148" s="43"/>
      <c r="AQ148" s="43"/>
      <c r="AR148" s="116"/>
      <c r="AS148" s="42">
        <f>SUM(AT148:AZ148)</f>
        <v>0</v>
      </c>
      <c r="AT148" s="48"/>
      <c r="AU148" s="48"/>
      <c r="AV148" s="48"/>
      <c r="AW148" s="48"/>
      <c r="AX148" s="48"/>
      <c r="AY148" s="48"/>
      <c r="AZ148" s="48"/>
      <c r="BA148" s="43">
        <f>IF((W148-SUM(AT148:AZ148))&lt;0,0,W148-SUM(AT148:AZ148))</f>
        <v>0</v>
      </c>
      <c r="BB148" s="49"/>
      <c r="BC148" s="47"/>
      <c r="BD148" s="47"/>
    </row>
    <row r="149" spans="1:56" ht="15" customHeight="1">
      <c r="A149" s="44" t="s">
        <v>914</v>
      </c>
      <c r="B149" s="36" t="s">
        <v>96</v>
      </c>
      <c r="C149" s="38" t="s">
        <v>65</v>
      </c>
      <c r="D149" s="35" t="s">
        <v>97</v>
      </c>
      <c r="E149" s="35" t="s">
        <v>915</v>
      </c>
      <c r="F149" s="36">
        <v>4</v>
      </c>
      <c r="G149" s="75" t="s">
        <v>916</v>
      </c>
      <c r="H149" s="35" t="s">
        <v>238</v>
      </c>
      <c r="I149" s="35" t="s">
        <v>917</v>
      </c>
      <c r="J149" s="35" t="s">
        <v>918</v>
      </c>
      <c r="K149" s="35"/>
      <c r="L149" s="37"/>
      <c r="M149" s="37"/>
      <c r="N149" s="37"/>
      <c r="O149" s="68"/>
      <c r="P149" s="68"/>
      <c r="Q149" s="37"/>
      <c r="R149" s="37"/>
      <c r="S149" s="37"/>
      <c r="T149" s="68"/>
      <c r="U149" s="68"/>
      <c r="V149" s="35" t="s">
        <v>223</v>
      </c>
      <c r="W149" s="74">
        <v>3</v>
      </c>
      <c r="X149" s="39">
        <f>MAX(0,$AK149-$W149-$Z149)</f>
        <v>0</v>
      </c>
      <c r="Y149" s="35"/>
      <c r="Z149" s="35"/>
      <c r="AA149" s="40">
        <v>7.0000000000000007E-2</v>
      </c>
      <c r="AB149" s="41">
        <f>IF(AND($X149&gt;0,ISNUMBER($AA149)),$X149*$AA149,0)</f>
        <v>0</v>
      </c>
      <c r="AK149" s="39">
        <f>SUM(AL149:AR149)</f>
        <v>0</v>
      </c>
      <c r="AL149" s="90"/>
      <c r="AM149" s="38"/>
      <c r="AN149" s="38"/>
      <c r="AO149" s="38"/>
      <c r="AP149" s="38"/>
      <c r="AQ149" s="38"/>
      <c r="AR149" s="91"/>
      <c r="AS149" s="42">
        <f>SUM(AT149:AZ149)</f>
        <v>0</v>
      </c>
      <c r="AT149" s="48"/>
      <c r="AU149" s="48"/>
      <c r="AV149" s="48"/>
      <c r="AW149" s="48"/>
      <c r="AX149" s="48"/>
      <c r="AY149" s="48"/>
      <c r="AZ149" s="48"/>
      <c r="BA149" s="43">
        <f>IF((W149-SUM(AT149:AZ149))&lt;0,0,W149-SUM(AT149:AZ149))</f>
        <v>3</v>
      </c>
      <c r="BB149" s="35"/>
      <c r="BC149" s="37"/>
      <c r="BD149" s="37"/>
    </row>
    <row r="150" spans="1:56" ht="15" customHeight="1">
      <c r="A150" s="49" t="s">
        <v>919</v>
      </c>
      <c r="B150" s="39" t="s">
        <v>96</v>
      </c>
      <c r="C150" s="46" t="s">
        <v>65</v>
      </c>
      <c r="D150" s="49" t="s">
        <v>341</v>
      </c>
      <c r="E150" s="49" t="s">
        <v>151</v>
      </c>
      <c r="F150" s="39">
        <v>3</v>
      </c>
      <c r="G150" s="75" t="s">
        <v>920</v>
      </c>
      <c r="H150" s="50" t="s">
        <v>172</v>
      </c>
      <c r="I150" s="50" t="s">
        <v>921</v>
      </c>
      <c r="J150" s="50" t="s">
        <v>154</v>
      </c>
      <c r="K150" s="50" t="s">
        <v>922</v>
      </c>
      <c r="L150" s="47"/>
      <c r="M150" s="47"/>
      <c r="N150" s="47"/>
      <c r="O150" s="47"/>
      <c r="P150" s="47"/>
      <c r="Q150" s="47"/>
      <c r="R150" s="47"/>
      <c r="S150" s="47"/>
      <c r="T150" s="47"/>
      <c r="U150" s="47"/>
      <c r="V150" s="50" t="s">
        <v>923</v>
      </c>
      <c r="W150" s="74">
        <v>1</v>
      </c>
      <c r="X150" s="39">
        <f>MAX(0,$AK150-$W150-$Z150)</f>
        <v>0</v>
      </c>
      <c r="Y150" s="39"/>
      <c r="Z150" s="39"/>
      <c r="AA150" s="41">
        <v>6.19</v>
      </c>
      <c r="AB150" s="41">
        <f>IF(AND($X150&gt;0,ISNUMBER($AA150)),$X150*$AA150,0)</f>
        <v>0</v>
      </c>
      <c r="AK150" s="39">
        <f>SUM(AL150:AR150)</f>
        <v>1</v>
      </c>
      <c r="AL150" s="90"/>
      <c r="AM150" s="38"/>
      <c r="AN150" s="97">
        <v>1</v>
      </c>
      <c r="AO150" s="38"/>
      <c r="AP150" s="38"/>
      <c r="AQ150" s="38"/>
      <c r="AR150" s="91"/>
      <c r="AS150" s="42">
        <f>SUM(AT150:AZ150)</f>
        <v>1</v>
      </c>
      <c r="AT150" s="48"/>
      <c r="AU150" s="48"/>
      <c r="AV150" s="48">
        <v>1</v>
      </c>
      <c r="AW150" s="48"/>
      <c r="AX150" s="48"/>
      <c r="AY150" s="48"/>
      <c r="AZ150" s="48"/>
      <c r="BA150" s="43">
        <f>IF((W150-SUM(AT150:AZ150))&lt;0,0,W150-SUM(AT150:AZ150))</f>
        <v>0</v>
      </c>
      <c r="BB150" s="49"/>
      <c r="BC150" s="47"/>
      <c r="BD150" s="47"/>
    </row>
    <row r="151" spans="1:56" ht="15" customHeight="1">
      <c r="A151" s="49" t="s">
        <v>924</v>
      </c>
      <c r="B151" s="39" t="s">
        <v>96</v>
      </c>
      <c r="C151" s="46" t="s">
        <v>65</v>
      </c>
      <c r="D151" s="49" t="s">
        <v>97</v>
      </c>
      <c r="E151" s="49" t="s">
        <v>925</v>
      </c>
      <c r="F151" s="39">
        <v>3</v>
      </c>
      <c r="G151" s="75" t="s">
        <v>926</v>
      </c>
      <c r="H151" s="50" t="s">
        <v>172</v>
      </c>
      <c r="I151" s="50" t="s">
        <v>927</v>
      </c>
      <c r="J151" s="50" t="s">
        <v>928</v>
      </c>
      <c r="K151" s="50"/>
      <c r="L151" s="47"/>
      <c r="M151" s="47"/>
      <c r="N151" s="47"/>
      <c r="O151" s="47"/>
      <c r="P151" s="47"/>
      <c r="Q151" s="47"/>
      <c r="R151" s="47"/>
      <c r="S151" s="47"/>
      <c r="T151" s="47"/>
      <c r="U151" s="47"/>
      <c r="V151" s="50" t="s">
        <v>208</v>
      </c>
      <c r="W151" s="74">
        <v>1</v>
      </c>
      <c r="X151" s="39">
        <f>MAX(0,$AK151-$W151-$Z151)</f>
        <v>0</v>
      </c>
      <c r="Y151" s="39"/>
      <c r="Z151" s="39"/>
      <c r="AA151" s="41">
        <v>0.28000000000000003</v>
      </c>
      <c r="AB151" s="41">
        <f>IF(AND($X151&gt;0,ISNUMBER($AA151)),$X151*$AA151,0)</f>
        <v>0</v>
      </c>
      <c r="AK151" s="39">
        <f>SUM(AL151:AR151)</f>
        <v>1</v>
      </c>
      <c r="AL151" s="90"/>
      <c r="AM151" s="38"/>
      <c r="AN151" s="38"/>
      <c r="AO151" s="97">
        <v>1</v>
      </c>
      <c r="AP151" s="38"/>
      <c r="AQ151" s="38"/>
      <c r="AR151" s="91"/>
      <c r="AS151" s="42">
        <f>SUM(AT151:AZ151)</f>
        <v>1</v>
      </c>
      <c r="AT151" s="48"/>
      <c r="AU151" s="48"/>
      <c r="AV151" s="48"/>
      <c r="AW151" s="48">
        <v>1</v>
      </c>
      <c r="AX151" s="48"/>
      <c r="AY151" s="48"/>
      <c r="AZ151" s="48"/>
      <c r="BA151" s="43">
        <f>IF((W151-SUM(AT151:AZ151))&lt;0,0,W151-SUM(AT151:AZ151))</f>
        <v>0</v>
      </c>
      <c r="BB151" s="49"/>
      <c r="BC151" s="47"/>
      <c r="BD151" s="47"/>
    </row>
    <row r="152" spans="1:56" ht="15" customHeight="1">
      <c r="A152" s="44" t="s">
        <v>929</v>
      </c>
      <c r="B152" s="45" t="s">
        <v>96</v>
      </c>
      <c r="C152" s="46" t="s">
        <v>65</v>
      </c>
      <c r="D152" s="44" t="s">
        <v>84</v>
      </c>
      <c r="E152" s="44" t="s">
        <v>121</v>
      </c>
      <c r="F152" s="45">
        <v>3</v>
      </c>
      <c r="G152" s="75" t="s">
        <v>930</v>
      </c>
      <c r="H152" s="44" t="s">
        <v>931</v>
      </c>
      <c r="I152" s="44" t="s">
        <v>932</v>
      </c>
      <c r="J152" s="44" t="s">
        <v>933</v>
      </c>
      <c r="K152" s="44"/>
      <c r="L152" s="108" t="s">
        <v>934</v>
      </c>
      <c r="M152" s="46">
        <v>1</v>
      </c>
      <c r="N152" s="46">
        <v>1</v>
      </c>
      <c r="O152" s="68" t="s">
        <v>935</v>
      </c>
      <c r="P152" s="110">
        <v>0.33</v>
      </c>
      <c r="Q152" s="47"/>
      <c r="R152" s="47"/>
      <c r="S152" s="47"/>
      <c r="T152" s="68"/>
      <c r="U152" s="68"/>
      <c r="V152" s="44" t="s">
        <v>119</v>
      </c>
      <c r="W152" s="74">
        <v>1</v>
      </c>
      <c r="X152" s="39">
        <f>MAX(0,$AK152-$W152-$Z152)</f>
        <v>0</v>
      </c>
      <c r="Y152" s="44"/>
      <c r="Z152" s="44"/>
      <c r="AA152" s="44">
        <v>0.33</v>
      </c>
      <c r="AB152" s="44">
        <f>IF(AND($X152&gt;0,ISNUMBER($AA152)),$X152*$AA152,0)</f>
        <v>0</v>
      </c>
      <c r="AD152" s="63"/>
      <c r="AK152" s="39">
        <f>SUM(AL152:AR152)</f>
        <v>1</v>
      </c>
      <c r="AL152" s="90"/>
      <c r="AM152" s="98">
        <v>1</v>
      </c>
      <c r="AN152" s="38"/>
      <c r="AO152" s="38"/>
      <c r="AP152" s="38"/>
      <c r="AQ152" s="38"/>
      <c r="AR152" s="91"/>
      <c r="AS152" s="42">
        <f>SUM(AT152:AZ152)</f>
        <v>1</v>
      </c>
      <c r="AT152" s="48"/>
      <c r="AU152" s="48">
        <v>1</v>
      </c>
      <c r="AV152" s="48"/>
      <c r="AW152" s="48"/>
      <c r="AX152" s="48"/>
      <c r="AY152" s="48"/>
      <c r="AZ152" s="48"/>
      <c r="BA152" s="43">
        <f>IF((W152-SUM(AT152:AZ152))&lt;0,0,W152-SUM(AT152:AZ152))</f>
        <v>0</v>
      </c>
      <c r="BB152" s="44"/>
      <c r="BC152" s="47"/>
      <c r="BD152" s="47"/>
    </row>
    <row r="153" spans="1:56" ht="15" customHeight="1">
      <c r="A153" s="49" t="s">
        <v>936</v>
      </c>
      <c r="B153" s="39" t="s">
        <v>96</v>
      </c>
      <c r="C153" s="46" t="s">
        <v>83</v>
      </c>
      <c r="D153" s="49" t="s">
        <v>105</v>
      </c>
      <c r="E153" s="49"/>
      <c r="F153" s="39">
        <v>3</v>
      </c>
      <c r="G153" s="75" t="s">
        <v>937</v>
      </c>
      <c r="H153" s="50" t="s">
        <v>314</v>
      </c>
      <c r="I153" s="50" t="s">
        <v>938</v>
      </c>
      <c r="J153" s="50" t="s">
        <v>939</v>
      </c>
      <c r="K153" s="50"/>
      <c r="L153" s="47"/>
      <c r="M153" s="47"/>
      <c r="N153" s="47"/>
      <c r="O153" s="47"/>
      <c r="P153" s="47"/>
      <c r="Q153" s="47"/>
      <c r="R153" s="47"/>
      <c r="S153" s="47"/>
      <c r="T153" s="47"/>
      <c r="U153" s="47"/>
      <c r="V153" s="50" t="s">
        <v>491</v>
      </c>
      <c r="W153" s="74">
        <v>1</v>
      </c>
      <c r="X153" s="39">
        <f>MAX(0,$AK153-$W153-$Z153)</f>
        <v>0</v>
      </c>
      <c r="Y153" s="39"/>
      <c r="Z153" s="39"/>
      <c r="AA153" s="41">
        <v>0.94</v>
      </c>
      <c r="AB153" s="41">
        <f>IF(AND($X153&gt;0,ISNUMBER($AA153)),$X153*$AA153,0)</f>
        <v>0</v>
      </c>
      <c r="AK153" s="39">
        <f>SUM(AL153:AR153)</f>
        <v>1</v>
      </c>
      <c r="AL153" s="90"/>
      <c r="AM153" s="38"/>
      <c r="AN153" s="97">
        <v>1</v>
      </c>
      <c r="AO153" s="38"/>
      <c r="AP153" s="38"/>
      <c r="AQ153" s="38"/>
      <c r="AR153" s="91"/>
      <c r="AS153" s="42">
        <f>SUM(AT153:AZ153)</f>
        <v>1</v>
      </c>
      <c r="AT153" s="48"/>
      <c r="AU153" s="48"/>
      <c r="AV153" s="48">
        <v>1</v>
      </c>
      <c r="AW153" s="48"/>
      <c r="AX153" s="48"/>
      <c r="AY153" s="48"/>
      <c r="AZ153" s="48"/>
      <c r="BA153" s="43">
        <f>IF((W153-SUM(AT153:AZ153))&lt;0,0,W153-SUM(AT153:AZ153))</f>
        <v>0</v>
      </c>
      <c r="BB153" s="49"/>
      <c r="BC153" s="47"/>
      <c r="BD153" s="47"/>
    </row>
    <row r="154" spans="1:56" ht="15" customHeight="1">
      <c r="A154" s="49" t="s">
        <v>940</v>
      </c>
      <c r="B154" s="39" t="s">
        <v>96</v>
      </c>
      <c r="C154" s="46" t="s">
        <v>65</v>
      </c>
      <c r="D154" s="49" t="s">
        <v>941</v>
      </c>
      <c r="E154" s="49"/>
      <c r="F154" s="39">
        <v>2</v>
      </c>
      <c r="G154" s="75" t="s">
        <v>942</v>
      </c>
      <c r="H154" s="50" t="s">
        <v>314</v>
      </c>
      <c r="I154" s="50" t="s">
        <v>943</v>
      </c>
      <c r="J154" s="50" t="s">
        <v>944</v>
      </c>
      <c r="K154" s="50"/>
      <c r="L154" s="47"/>
      <c r="M154" s="47"/>
      <c r="N154" s="47"/>
      <c r="O154" s="47"/>
      <c r="P154" s="47"/>
      <c r="Q154" s="47"/>
      <c r="R154" s="47"/>
      <c r="S154" s="47"/>
      <c r="T154" s="47"/>
      <c r="U154" s="47"/>
      <c r="V154" s="50" t="s">
        <v>945</v>
      </c>
      <c r="W154" s="74">
        <v>0</v>
      </c>
      <c r="X154" s="39">
        <f>MAX(0,$AK154-$W154-$Z154)</f>
        <v>0</v>
      </c>
      <c r="Y154" s="39"/>
      <c r="Z154" s="39"/>
      <c r="AA154" s="41">
        <v>1.72</v>
      </c>
      <c r="AB154" s="41">
        <f>IF(AND($X154&gt;0,ISNUMBER($AA154)),$X154*$AA154,0)</f>
        <v>0</v>
      </c>
      <c r="AC154" s="59"/>
      <c r="AD154" s="59"/>
      <c r="AE154" s="59"/>
      <c r="AF154" s="59"/>
      <c r="AG154" s="59"/>
      <c r="AH154" s="59"/>
      <c r="AI154" s="59"/>
      <c r="AJ154" s="59"/>
      <c r="AK154" s="39">
        <f>SUM(AL154:AR154)</f>
        <v>0</v>
      </c>
      <c r="AL154" s="114"/>
      <c r="AM154" s="43"/>
      <c r="AN154" s="43"/>
      <c r="AO154" s="43"/>
      <c r="AP154" s="43"/>
      <c r="AQ154" s="43"/>
      <c r="AR154" s="116"/>
      <c r="AS154" s="42">
        <f>SUM(AT154:AZ154)</f>
        <v>0</v>
      </c>
      <c r="AT154" s="48"/>
      <c r="AU154" s="48"/>
      <c r="AV154" s="48"/>
      <c r="AW154" s="48"/>
      <c r="AX154" s="48"/>
      <c r="AY154" s="48"/>
      <c r="AZ154" s="48"/>
      <c r="BA154" s="43">
        <f>IF((W154-SUM(AT154:AZ154))&lt;0,0,W154-SUM(AT154:AZ154))</f>
        <v>0</v>
      </c>
      <c r="BB154" s="49"/>
      <c r="BC154" s="47"/>
      <c r="BD154" s="47"/>
    </row>
    <row r="155" spans="1:56" ht="15" customHeight="1">
      <c r="A155" s="49" t="s">
        <v>946</v>
      </c>
      <c r="B155" s="39" t="s">
        <v>96</v>
      </c>
      <c r="C155" s="46" t="s">
        <v>65</v>
      </c>
      <c r="D155" s="49" t="s">
        <v>105</v>
      </c>
      <c r="E155" s="49"/>
      <c r="F155" s="39">
        <v>2</v>
      </c>
      <c r="G155" s="75" t="s">
        <v>947</v>
      </c>
      <c r="H155" s="50" t="s">
        <v>845</v>
      </c>
      <c r="I155" s="50" t="s">
        <v>948</v>
      </c>
      <c r="J155" s="50" t="s">
        <v>949</v>
      </c>
      <c r="K155" s="50"/>
      <c r="L155" s="47"/>
      <c r="M155" s="47"/>
      <c r="N155" s="47"/>
      <c r="O155" s="68"/>
      <c r="P155" s="68"/>
      <c r="Q155" s="47"/>
      <c r="R155" s="47"/>
      <c r="S155" s="47"/>
      <c r="T155" s="68"/>
      <c r="U155" s="68"/>
      <c r="V155" s="50" t="s">
        <v>950</v>
      </c>
      <c r="W155" s="74">
        <v>2</v>
      </c>
      <c r="X155" s="39">
        <f>MAX(0,$AK155-$W155-$Z155)</f>
        <v>0</v>
      </c>
      <c r="Y155" s="39"/>
      <c r="Z155" s="39"/>
      <c r="AA155" s="41">
        <v>0.38</v>
      </c>
      <c r="AB155" s="41">
        <f>IF(AND($X155&gt;0,ISNUMBER($AA155)),$X155*$AA155,0)</f>
        <v>0</v>
      </c>
      <c r="AK155" s="39">
        <f>SUM(AL155:AR155)</f>
        <v>1</v>
      </c>
      <c r="AL155" s="90"/>
      <c r="AM155" s="38"/>
      <c r="AN155" s="97">
        <v>1</v>
      </c>
      <c r="AO155" s="38"/>
      <c r="AP155" s="38"/>
      <c r="AQ155" s="38"/>
      <c r="AR155" s="91"/>
      <c r="AS155" s="42">
        <f>SUM(AT155:AZ155)</f>
        <v>1</v>
      </c>
      <c r="AT155" s="48"/>
      <c r="AU155" s="48"/>
      <c r="AV155" s="48">
        <v>1</v>
      </c>
      <c r="AW155" s="48"/>
      <c r="AX155" s="48"/>
      <c r="AY155" s="48"/>
      <c r="AZ155" s="48"/>
      <c r="BA155" s="43">
        <f>IF((W155-SUM(AT155:AZ155))&lt;0,0,W155-SUM(AT155:AZ155))</f>
        <v>1</v>
      </c>
      <c r="BB155" s="49"/>
      <c r="BC155" s="47"/>
      <c r="BD155" s="47"/>
    </row>
    <row r="156" spans="1:56" ht="15" customHeight="1">
      <c r="A156" s="49" t="s">
        <v>951</v>
      </c>
      <c r="B156" s="39" t="s">
        <v>96</v>
      </c>
      <c r="C156" s="46" t="s">
        <v>83</v>
      </c>
      <c r="D156" s="49" t="s">
        <v>105</v>
      </c>
      <c r="E156" s="49"/>
      <c r="F156" s="39">
        <v>6</v>
      </c>
      <c r="G156" s="75" t="s">
        <v>952</v>
      </c>
      <c r="H156" s="50" t="s">
        <v>845</v>
      </c>
      <c r="I156" s="50" t="s">
        <v>952</v>
      </c>
      <c r="J156" s="50"/>
      <c r="K156" s="50"/>
      <c r="L156" s="46"/>
      <c r="M156" s="46"/>
      <c r="N156" s="46"/>
      <c r="O156" s="46"/>
      <c r="P156" s="46"/>
      <c r="Q156" s="46"/>
      <c r="R156" s="46"/>
      <c r="S156" s="46"/>
      <c r="T156" s="46"/>
      <c r="U156" s="46"/>
      <c r="V156" s="50" t="s">
        <v>331</v>
      </c>
      <c r="W156" s="74">
        <v>0</v>
      </c>
      <c r="X156" s="39">
        <f>MAX(0,$AK156-$W156-$Z156)</f>
        <v>0</v>
      </c>
      <c r="Y156" s="39"/>
      <c r="Z156" s="39"/>
      <c r="AA156" s="41">
        <v>12.52</v>
      </c>
      <c r="AB156" s="41">
        <f>IF(AND($X156&gt;0,ISNUMBER($AA156)),$X156*$AA156,0)</f>
        <v>0</v>
      </c>
      <c r="AC156" s="59"/>
      <c r="AD156" s="59"/>
      <c r="AE156" s="59"/>
      <c r="AF156" s="59"/>
      <c r="AG156" s="59"/>
      <c r="AH156" s="59"/>
      <c r="AI156" s="59"/>
      <c r="AJ156" s="59"/>
      <c r="AK156" s="39">
        <f>SUM(AL156:AR156)</f>
        <v>0</v>
      </c>
      <c r="AL156" s="114"/>
      <c r="AM156" s="43"/>
      <c r="AN156" s="43"/>
      <c r="AO156" s="43"/>
      <c r="AP156" s="43"/>
      <c r="AQ156" s="43"/>
      <c r="AR156" s="116"/>
      <c r="AS156" s="42">
        <f>SUM(AT156:AZ156)</f>
        <v>0</v>
      </c>
      <c r="AT156" s="48"/>
      <c r="AU156" s="48"/>
      <c r="AV156" s="48"/>
      <c r="AW156" s="48"/>
      <c r="AX156" s="48"/>
      <c r="AY156" s="48"/>
      <c r="AZ156" s="48"/>
      <c r="BA156" s="43">
        <f>IF((W156-SUM(AT156:AZ156))&lt;0,0,W156-SUM(AT156:AZ156))</f>
        <v>0</v>
      </c>
      <c r="BB156" s="49"/>
      <c r="BC156" s="47"/>
      <c r="BD156" s="47"/>
    </row>
    <row r="157" spans="1:56" ht="15" customHeight="1">
      <c r="A157" s="49" t="s">
        <v>953</v>
      </c>
      <c r="B157" s="39" t="s">
        <v>96</v>
      </c>
      <c r="C157" s="46" t="s">
        <v>65</v>
      </c>
      <c r="D157" s="49" t="s">
        <v>97</v>
      </c>
      <c r="E157" s="49" t="s">
        <v>915</v>
      </c>
      <c r="F157" s="39">
        <v>2</v>
      </c>
      <c r="G157" s="75" t="s">
        <v>954</v>
      </c>
      <c r="H157" s="50" t="s">
        <v>115</v>
      </c>
      <c r="I157" s="50" t="s">
        <v>955</v>
      </c>
      <c r="J157" s="50"/>
      <c r="K157" s="50"/>
      <c r="L157" s="47"/>
      <c r="M157" s="47"/>
      <c r="N157" s="47"/>
      <c r="O157" s="47"/>
      <c r="P157" s="47"/>
      <c r="Q157" s="47"/>
      <c r="R157" s="47"/>
      <c r="S157" s="47"/>
      <c r="T157" s="47"/>
      <c r="U157" s="47"/>
      <c r="V157" s="50" t="s">
        <v>956</v>
      </c>
      <c r="W157" s="74">
        <v>1</v>
      </c>
      <c r="X157" s="39">
        <f>MAX(0,$AK157-$W157-$Z157)</f>
        <v>0</v>
      </c>
      <c r="Y157" s="39"/>
      <c r="Z157" s="39"/>
      <c r="AA157" s="41">
        <v>0.31</v>
      </c>
      <c r="AB157" s="41">
        <f>IF(AND($X157&gt;0,ISNUMBER($AA157)),$X157*$AA157,0)</f>
        <v>0</v>
      </c>
      <c r="AK157" s="39">
        <f>SUM(AL157:AR157)</f>
        <v>1</v>
      </c>
      <c r="AL157" s="102">
        <v>1</v>
      </c>
      <c r="AM157" s="38"/>
      <c r="AN157" s="38"/>
      <c r="AO157" s="38"/>
      <c r="AP157" s="38"/>
      <c r="AQ157" s="38"/>
      <c r="AR157" s="91"/>
      <c r="AS157" s="42">
        <f>SUM(AT157:AZ157)</f>
        <v>1</v>
      </c>
      <c r="AT157" s="48">
        <v>1</v>
      </c>
      <c r="AU157" s="48"/>
      <c r="AV157" s="48"/>
      <c r="AW157" s="48"/>
      <c r="AX157" s="48"/>
      <c r="AY157" s="48"/>
      <c r="AZ157" s="48"/>
      <c r="BA157" s="43">
        <f>IF((W157-SUM(AT157:AZ157))&lt;0,0,W157-SUM(AT157:AZ157))</f>
        <v>0</v>
      </c>
      <c r="BB157" s="49"/>
      <c r="BC157" s="47"/>
      <c r="BD157" s="47"/>
    </row>
    <row r="158" spans="1:56" ht="15" customHeight="1">
      <c r="A158" s="49" t="s">
        <v>957</v>
      </c>
      <c r="B158" s="39" t="s">
        <v>96</v>
      </c>
      <c r="C158" s="46" t="s">
        <v>65</v>
      </c>
      <c r="D158" s="49" t="s">
        <v>97</v>
      </c>
      <c r="E158" s="49" t="s">
        <v>851</v>
      </c>
      <c r="F158" s="39">
        <v>2</v>
      </c>
      <c r="G158" s="75" t="s">
        <v>958</v>
      </c>
      <c r="H158" s="50" t="s">
        <v>959</v>
      </c>
      <c r="I158" s="50" t="s">
        <v>960</v>
      </c>
      <c r="J158" s="50"/>
      <c r="K158" s="50"/>
      <c r="L158" s="47"/>
      <c r="M158" s="47"/>
      <c r="N158" s="47"/>
      <c r="O158" s="47"/>
      <c r="P158" s="47"/>
      <c r="Q158" s="47"/>
      <c r="R158" s="47"/>
      <c r="S158" s="47"/>
      <c r="T158" s="47"/>
      <c r="U158" s="47"/>
      <c r="V158" s="50" t="s">
        <v>204</v>
      </c>
      <c r="W158" s="74">
        <v>1</v>
      </c>
      <c r="X158" s="39">
        <f>MAX(0,$AK158-$W158-$Z158)</f>
        <v>0</v>
      </c>
      <c r="Y158" s="39"/>
      <c r="Z158" s="39"/>
      <c r="AA158" s="41">
        <v>0.75</v>
      </c>
      <c r="AB158" s="41">
        <f>IF(AND($X158&gt;0,ISNUMBER($AA158)),$X158*$AA158,0)</f>
        <v>0</v>
      </c>
      <c r="AF158" s="63"/>
      <c r="AK158" s="39">
        <f>SUM(AL158:AR158)</f>
        <v>1</v>
      </c>
      <c r="AL158" s="90"/>
      <c r="AM158" s="38"/>
      <c r="AN158" s="38"/>
      <c r="AO158" s="97">
        <v>1</v>
      </c>
      <c r="AP158" s="38"/>
      <c r="AQ158" s="38"/>
      <c r="AR158" s="91"/>
      <c r="AS158" s="42">
        <f>SUM(AT158:AZ158)</f>
        <v>1</v>
      </c>
      <c r="AT158" s="48"/>
      <c r="AU158" s="48"/>
      <c r="AV158" s="48"/>
      <c r="AW158" s="48">
        <v>1</v>
      </c>
      <c r="AX158" s="48"/>
      <c r="AY158" s="48"/>
      <c r="AZ158" s="48"/>
      <c r="BA158" s="43">
        <f>IF((W158-SUM(AT158:AZ158))&lt;0,0,W158-SUM(AT158:AZ158))</f>
        <v>0</v>
      </c>
      <c r="BB158" s="49"/>
      <c r="BC158" s="47"/>
      <c r="BD158" s="47"/>
    </row>
    <row r="159" spans="1:56" ht="15" customHeight="1">
      <c r="A159" s="49" t="s">
        <v>961</v>
      </c>
      <c r="B159" s="39" t="s">
        <v>96</v>
      </c>
      <c r="C159" s="46" t="s">
        <v>65</v>
      </c>
      <c r="D159" s="49" t="s">
        <v>105</v>
      </c>
      <c r="E159" s="49"/>
      <c r="F159" s="39">
        <v>1</v>
      </c>
      <c r="G159" s="75" t="s">
        <v>962</v>
      </c>
      <c r="H159" s="50" t="s">
        <v>108</v>
      </c>
      <c r="I159" s="50" t="s">
        <v>963</v>
      </c>
      <c r="J159" s="50" t="s">
        <v>908</v>
      </c>
      <c r="K159" s="50" t="s">
        <v>964</v>
      </c>
      <c r="L159" s="47"/>
      <c r="M159" s="47"/>
      <c r="N159" s="47"/>
      <c r="O159" s="47"/>
      <c r="P159" s="47"/>
      <c r="Q159" s="47"/>
      <c r="R159" s="47"/>
      <c r="S159" s="47"/>
      <c r="T159" s="47"/>
      <c r="U159" s="47"/>
      <c r="V159" s="50" t="s">
        <v>81</v>
      </c>
      <c r="W159" s="74">
        <v>1</v>
      </c>
      <c r="X159" s="39">
        <f>MAX(0,$AK159-$W159-$Z159)</f>
        <v>0</v>
      </c>
      <c r="Y159" s="39"/>
      <c r="Z159" s="39"/>
      <c r="AA159" s="41">
        <v>0.51</v>
      </c>
      <c r="AB159" s="41">
        <f>IF(AND($X159&gt;0,ISNUMBER($AA159)),$X159*$AA159,0)</f>
        <v>0</v>
      </c>
      <c r="AK159" s="39">
        <f>SUM(AL159:AR159)</f>
        <v>1</v>
      </c>
      <c r="AL159" s="102">
        <v>1</v>
      </c>
      <c r="AM159" s="38"/>
      <c r="AN159" s="38"/>
      <c r="AO159" s="38"/>
      <c r="AP159" s="38"/>
      <c r="AQ159" s="38"/>
      <c r="AR159" s="91"/>
      <c r="AS159" s="42">
        <f>SUM(AT159:AZ159)</f>
        <v>1</v>
      </c>
      <c r="AT159" s="48">
        <v>1</v>
      </c>
      <c r="AU159" s="48"/>
      <c r="AV159" s="48"/>
      <c r="AW159" s="48"/>
      <c r="AX159" s="48"/>
      <c r="AY159" s="48"/>
      <c r="AZ159" s="48"/>
      <c r="BA159" s="43">
        <f>IF((W159-SUM(AT159:AZ159))&lt;0,0,W159-SUM(AT159:AZ159))</f>
        <v>0</v>
      </c>
      <c r="BB159" s="49"/>
      <c r="BC159" s="47"/>
      <c r="BD159" s="47"/>
    </row>
    <row r="160" spans="1:56" ht="15" customHeight="1">
      <c r="A160" s="49" t="s">
        <v>965</v>
      </c>
      <c r="B160" s="39" t="s">
        <v>96</v>
      </c>
      <c r="C160" s="46" t="s">
        <v>65</v>
      </c>
      <c r="D160" s="49" t="s">
        <v>105</v>
      </c>
      <c r="E160" s="49"/>
      <c r="F160" s="39">
        <v>4</v>
      </c>
      <c r="G160" s="75" t="s">
        <v>966</v>
      </c>
      <c r="H160" s="50" t="s">
        <v>233</v>
      </c>
      <c r="I160" s="50" t="s">
        <v>967</v>
      </c>
      <c r="J160" s="50" t="s">
        <v>968</v>
      </c>
      <c r="K160" s="50" t="s">
        <v>969</v>
      </c>
      <c r="L160" s="47"/>
      <c r="M160" s="47"/>
      <c r="N160" s="47"/>
      <c r="O160" s="47"/>
      <c r="P160" s="47"/>
      <c r="Q160" s="47"/>
      <c r="R160" s="47"/>
      <c r="S160" s="47"/>
      <c r="T160" s="47"/>
      <c r="U160" s="47"/>
      <c r="V160" s="50" t="s">
        <v>319</v>
      </c>
      <c r="W160" s="74">
        <v>0</v>
      </c>
      <c r="X160" s="39">
        <f>MAX(0,$AK160-$W160-$Z160)</f>
        <v>0</v>
      </c>
      <c r="Y160" s="39"/>
      <c r="Z160" s="39"/>
      <c r="AA160" s="41">
        <v>0.36</v>
      </c>
      <c r="AB160" s="41">
        <f>IF(AND($X160&gt;0,ISNUMBER($AA160)),$X160*$AA160,0)</f>
        <v>0</v>
      </c>
      <c r="AC160" s="59"/>
      <c r="AD160" s="59"/>
      <c r="AE160" s="59"/>
      <c r="AF160" s="59"/>
      <c r="AG160" s="59"/>
      <c r="AH160" s="59"/>
      <c r="AI160" s="59"/>
      <c r="AJ160" s="59"/>
      <c r="AK160" s="39">
        <f>SUM(AL160:AR160)</f>
        <v>0</v>
      </c>
      <c r="AL160" s="114"/>
      <c r="AM160" s="43"/>
      <c r="AN160" s="43"/>
      <c r="AO160" s="43"/>
      <c r="AP160" s="43"/>
      <c r="AQ160" s="43"/>
      <c r="AR160" s="116"/>
      <c r="AS160" s="42">
        <f>SUM(AT160:AZ160)</f>
        <v>0</v>
      </c>
      <c r="AT160" s="48"/>
      <c r="AU160" s="48"/>
      <c r="AV160" s="48"/>
      <c r="AW160" s="48"/>
      <c r="AX160" s="48"/>
      <c r="AY160" s="48"/>
      <c r="AZ160" s="48"/>
      <c r="BA160" s="43">
        <f>IF((W160-SUM(AT160:AZ160))&lt;0,0,W160-SUM(AT160:AZ160))</f>
        <v>0</v>
      </c>
      <c r="BB160" s="49"/>
      <c r="BC160" s="47"/>
      <c r="BD160" s="47"/>
    </row>
    <row r="161" spans="1:56" ht="15" customHeight="1">
      <c r="A161" s="49" t="s">
        <v>970</v>
      </c>
      <c r="B161" s="39" t="s">
        <v>96</v>
      </c>
      <c r="C161" s="46" t="s">
        <v>65</v>
      </c>
      <c r="D161" s="49" t="s">
        <v>105</v>
      </c>
      <c r="E161" s="49"/>
      <c r="F161" s="39">
        <v>1</v>
      </c>
      <c r="G161" s="75" t="s">
        <v>971</v>
      </c>
      <c r="H161" s="50" t="s">
        <v>123</v>
      </c>
      <c r="I161" s="50" t="s">
        <v>972</v>
      </c>
      <c r="J161" s="50" t="s">
        <v>973</v>
      </c>
      <c r="K161" s="50"/>
      <c r="L161" s="108" t="s">
        <v>974</v>
      </c>
      <c r="M161" s="46">
        <v>1</v>
      </c>
      <c r="N161" s="46">
        <v>1</v>
      </c>
      <c r="O161" s="68" t="s">
        <v>975</v>
      </c>
      <c r="P161" s="110">
        <v>0.68</v>
      </c>
      <c r="Q161" s="47"/>
      <c r="R161" s="47"/>
      <c r="S161" s="47"/>
      <c r="T161" s="68"/>
      <c r="U161" s="68"/>
      <c r="V161" s="50" t="s">
        <v>119</v>
      </c>
      <c r="W161" s="74">
        <v>2</v>
      </c>
      <c r="X161" s="39">
        <f>MAX(0,$AK161-$W161-$Z161)</f>
        <v>0</v>
      </c>
      <c r="Y161" s="39"/>
      <c r="Z161" s="39"/>
      <c r="AA161" s="41">
        <v>0.68</v>
      </c>
      <c r="AB161" s="41">
        <f>IF(AND($X161&gt;0,ISNUMBER($AA161)),$X161*$AA161,0)</f>
        <v>0</v>
      </c>
      <c r="AK161" s="39">
        <f>SUM(AL161:AR161)</f>
        <v>0</v>
      </c>
      <c r="AL161" s="90"/>
      <c r="AM161" s="38"/>
      <c r="AN161" s="38"/>
      <c r="AO161" s="38"/>
      <c r="AP161" s="38"/>
      <c r="AQ161" s="38"/>
      <c r="AR161" s="91"/>
      <c r="AS161" s="42">
        <f>SUM(AT161:AZ161)</f>
        <v>0</v>
      </c>
      <c r="AT161" s="48"/>
      <c r="AU161" s="48"/>
      <c r="AV161" s="48"/>
      <c r="AW161" s="48"/>
      <c r="AX161" s="48"/>
      <c r="AY161" s="48"/>
      <c r="AZ161" s="48"/>
      <c r="BA161" s="43">
        <f>IF((W161-SUM(AT161:AZ161))&lt;0,0,W161-SUM(AT161:AZ161))</f>
        <v>2</v>
      </c>
      <c r="BB161" s="49"/>
      <c r="BC161" s="47"/>
      <c r="BD161" s="47"/>
    </row>
    <row r="162" spans="1:56" ht="15" customHeight="1">
      <c r="A162" s="49" t="s">
        <v>976</v>
      </c>
      <c r="B162" s="39" t="s">
        <v>96</v>
      </c>
      <c r="C162" s="46" t="s">
        <v>65</v>
      </c>
      <c r="D162" s="49" t="s">
        <v>105</v>
      </c>
      <c r="E162" s="49" t="s">
        <v>151</v>
      </c>
      <c r="F162" s="45">
        <v>2</v>
      </c>
      <c r="G162" s="75" t="s">
        <v>977</v>
      </c>
      <c r="H162" s="54" t="s">
        <v>499</v>
      </c>
      <c r="I162" s="54" t="s">
        <v>978</v>
      </c>
      <c r="J162" s="54" t="s">
        <v>979</v>
      </c>
      <c r="K162" s="54"/>
      <c r="L162" s="47"/>
      <c r="M162" s="47"/>
      <c r="N162" s="47"/>
      <c r="O162" s="68"/>
      <c r="P162" s="68"/>
      <c r="Q162" s="47"/>
      <c r="R162" s="47"/>
      <c r="S162" s="47"/>
      <c r="T162" s="68"/>
      <c r="U162" s="68"/>
      <c r="V162" s="54" t="s">
        <v>167</v>
      </c>
      <c r="W162" s="74">
        <v>2</v>
      </c>
      <c r="X162" s="39">
        <f>MAX(0,$AK162-$W162-$Z162)</f>
        <v>0</v>
      </c>
      <c r="Y162" s="44"/>
      <c r="Z162" s="44"/>
      <c r="AA162" s="44">
        <v>0.26</v>
      </c>
      <c r="AB162" s="41">
        <f>IF(AND($X162&gt;0,ISNUMBER($AA162)),$X162*$AA162,0)</f>
        <v>0</v>
      </c>
      <c r="AH162" t="s">
        <v>980</v>
      </c>
      <c r="AK162" s="39">
        <f>SUM(AL162:AR162)</f>
        <v>1</v>
      </c>
      <c r="AL162" s="90"/>
      <c r="AM162" s="38"/>
      <c r="AN162" s="38"/>
      <c r="AO162" s="38"/>
      <c r="AP162" s="38"/>
      <c r="AQ162" s="99">
        <v>1</v>
      </c>
      <c r="AR162" s="91"/>
      <c r="AS162" s="42">
        <f>SUM(AT162:AZ162)</f>
        <v>1</v>
      </c>
      <c r="AT162" s="48"/>
      <c r="AU162" s="48"/>
      <c r="AV162" s="48"/>
      <c r="AW162" s="48"/>
      <c r="AX162" s="48"/>
      <c r="AY162" s="48">
        <v>1</v>
      </c>
      <c r="AZ162" s="48"/>
      <c r="BA162" s="43">
        <f>IF((W162-SUM(AT162:AZ162))&lt;0,0,W162-SUM(AT162:AZ162))</f>
        <v>1</v>
      </c>
      <c r="BB162" s="44"/>
      <c r="BC162" s="47"/>
      <c r="BD162" s="47"/>
    </row>
    <row r="163" spans="1:56" ht="15" customHeight="1">
      <c r="A163" s="49" t="s">
        <v>981</v>
      </c>
      <c r="B163" s="39" t="s">
        <v>96</v>
      </c>
      <c r="C163" s="46" t="s">
        <v>65</v>
      </c>
      <c r="D163" s="49" t="s">
        <v>84</v>
      </c>
      <c r="E163" s="49" t="s">
        <v>887</v>
      </c>
      <c r="F163" s="39">
        <v>6</v>
      </c>
      <c r="G163" s="75" t="s">
        <v>982</v>
      </c>
      <c r="H163" s="50" t="s">
        <v>233</v>
      </c>
      <c r="I163" s="50" t="s">
        <v>983</v>
      </c>
      <c r="J163" s="50" t="s">
        <v>984</v>
      </c>
      <c r="K163" s="50" t="s">
        <v>985</v>
      </c>
      <c r="L163" s="47"/>
      <c r="M163" s="47"/>
      <c r="N163" s="47"/>
      <c r="O163" s="68"/>
      <c r="P163" s="68"/>
      <c r="Q163" s="47"/>
      <c r="R163" s="47"/>
      <c r="S163" s="47"/>
      <c r="T163" s="68"/>
      <c r="U163" s="68"/>
      <c r="V163" s="50" t="s">
        <v>641</v>
      </c>
      <c r="W163" s="74">
        <v>2</v>
      </c>
      <c r="X163" s="39">
        <f>MAX(0,$AK163-$W163-$Z163)</f>
        <v>0</v>
      </c>
      <c r="Y163" s="39"/>
      <c r="Z163" s="39"/>
      <c r="AA163" s="41">
        <v>0.31</v>
      </c>
      <c r="AB163" s="41">
        <f>IF(AND($X163&gt;0,ISNUMBER($AA163)),$X163*$AA163,0)</f>
        <v>0</v>
      </c>
      <c r="AK163" s="39">
        <f>SUM(AL163:AR163)</f>
        <v>0</v>
      </c>
      <c r="AL163" s="90"/>
      <c r="AM163" s="38"/>
      <c r="AN163" s="38"/>
      <c r="AO163" s="38"/>
      <c r="AP163" s="38"/>
      <c r="AQ163" s="38"/>
      <c r="AR163" s="91"/>
      <c r="AS163" s="42">
        <f>SUM(AT163:AZ163)</f>
        <v>0</v>
      </c>
      <c r="AT163" s="48"/>
      <c r="AU163" s="48"/>
      <c r="AV163" s="48"/>
      <c r="AW163" s="48"/>
      <c r="AX163" s="48"/>
      <c r="AY163" s="48"/>
      <c r="AZ163" s="48"/>
      <c r="BA163" s="43">
        <f>IF((W163-SUM(AT163:AZ163))&lt;0,0,W163-SUM(AT163:AZ163))</f>
        <v>2</v>
      </c>
      <c r="BB163" s="49"/>
      <c r="BC163" s="47"/>
      <c r="BD163" s="47"/>
    </row>
    <row r="164" spans="1:56" ht="15" customHeight="1">
      <c r="A164" s="49" t="s">
        <v>986</v>
      </c>
      <c r="B164" s="39" t="s">
        <v>96</v>
      </c>
      <c r="C164" s="46" t="s">
        <v>65</v>
      </c>
      <c r="D164" s="49" t="s">
        <v>84</v>
      </c>
      <c r="E164" s="49" t="s">
        <v>887</v>
      </c>
      <c r="F164" s="39">
        <v>6</v>
      </c>
      <c r="G164" s="75" t="s">
        <v>987</v>
      </c>
      <c r="H164" s="50" t="s">
        <v>238</v>
      </c>
      <c r="I164" s="50" t="s">
        <v>988</v>
      </c>
      <c r="J164" s="50" t="s">
        <v>989</v>
      </c>
      <c r="K164" s="50" t="s">
        <v>990</v>
      </c>
      <c r="L164" s="47"/>
      <c r="M164" s="47"/>
      <c r="N164" s="47"/>
      <c r="O164" s="68"/>
      <c r="P164" s="68"/>
      <c r="Q164" s="47"/>
      <c r="R164" s="47"/>
      <c r="S164" s="47"/>
      <c r="T164" s="68"/>
      <c r="U164" s="68"/>
      <c r="V164" s="50" t="s">
        <v>991</v>
      </c>
      <c r="W164" s="74">
        <v>1</v>
      </c>
      <c r="X164" s="39">
        <f>MAX(0,$AK164-$W164-$Z164)</f>
        <v>0</v>
      </c>
      <c r="Y164" s="39"/>
      <c r="Z164" s="39"/>
      <c r="AA164" s="41">
        <v>0.33</v>
      </c>
      <c r="AB164" s="41">
        <f>IF(AND($X164&gt;0,ISNUMBER($AA164)),$X164*$AA164,0)</f>
        <v>0</v>
      </c>
      <c r="AK164" s="39">
        <f>SUM(AL164:AR164)</f>
        <v>0</v>
      </c>
      <c r="AL164" s="90"/>
      <c r="AM164" s="38"/>
      <c r="AN164" s="38"/>
      <c r="AO164" s="38"/>
      <c r="AP164" s="38"/>
      <c r="AQ164" s="38"/>
      <c r="AR164" s="91"/>
      <c r="AS164" s="42">
        <f>SUM(AT164:AZ164)</f>
        <v>0</v>
      </c>
      <c r="AT164" s="48"/>
      <c r="AU164" s="48"/>
      <c r="AV164" s="48"/>
      <c r="AW164" s="48"/>
      <c r="AX164" s="48"/>
      <c r="AY164" s="48"/>
      <c r="AZ164" s="48"/>
      <c r="BA164" s="43">
        <f>IF((W164-SUM(AT164:AZ164))&lt;0,0,W164-SUM(AT164:AZ164))</f>
        <v>1</v>
      </c>
      <c r="BB164" s="49"/>
      <c r="BC164" s="47"/>
      <c r="BD164" s="47"/>
    </row>
    <row r="165" spans="1:56" ht="15" customHeight="1">
      <c r="A165" s="49" t="s">
        <v>992</v>
      </c>
      <c r="B165" s="39" t="s">
        <v>96</v>
      </c>
      <c r="C165" s="46" t="s">
        <v>65</v>
      </c>
      <c r="D165" s="49" t="s">
        <v>105</v>
      </c>
      <c r="E165" s="49"/>
      <c r="F165" s="39">
        <v>0</v>
      </c>
      <c r="G165" s="75" t="s">
        <v>993</v>
      </c>
      <c r="H165" s="50" t="s">
        <v>314</v>
      </c>
      <c r="I165" s="50" t="s">
        <v>994</v>
      </c>
      <c r="J165" s="50" t="s">
        <v>995</v>
      </c>
      <c r="K165" s="50"/>
      <c r="L165" s="47"/>
      <c r="M165" s="47"/>
      <c r="N165" s="47"/>
      <c r="O165" s="47"/>
      <c r="P165" s="47"/>
      <c r="Q165" s="47"/>
      <c r="R165" s="47"/>
      <c r="S165" s="47"/>
      <c r="T165" s="47"/>
      <c r="U165" s="47"/>
      <c r="V165" s="50" t="s">
        <v>175</v>
      </c>
      <c r="W165" s="74">
        <v>1</v>
      </c>
      <c r="X165" s="39">
        <f>MAX(0,$AK165-$W165-$Z165)</f>
        <v>0</v>
      </c>
      <c r="Y165" s="39"/>
      <c r="Z165" s="39"/>
      <c r="AA165" s="41">
        <v>0.28999999999999998</v>
      </c>
      <c r="AB165" s="41">
        <f>IF(AND($X165&gt;0,ISNUMBER($AA165)),$X165*$AA165,0)</f>
        <v>0</v>
      </c>
      <c r="AK165" s="39">
        <f>SUM(AL165:AR165)</f>
        <v>1</v>
      </c>
      <c r="AL165" s="90"/>
      <c r="AM165" s="38"/>
      <c r="AN165" s="97">
        <v>1</v>
      </c>
      <c r="AO165" s="38"/>
      <c r="AP165" s="38"/>
      <c r="AQ165" s="38"/>
      <c r="AR165" s="91"/>
      <c r="AS165" s="42">
        <f>SUM(AT165:AZ165)</f>
        <v>1</v>
      </c>
      <c r="AT165" s="48"/>
      <c r="AU165" s="48"/>
      <c r="AV165" s="48">
        <v>1</v>
      </c>
      <c r="AW165" s="48"/>
      <c r="AX165" s="48"/>
      <c r="AY165" s="48"/>
      <c r="AZ165" s="48"/>
      <c r="BA165" s="43">
        <f>IF((W165-SUM(AT165:AZ165))&lt;0,0,W165-SUM(AT165:AZ165))</f>
        <v>0</v>
      </c>
      <c r="BB165" s="49"/>
      <c r="BC165" s="47"/>
      <c r="BD165" s="47"/>
    </row>
    <row r="166" spans="1:56" ht="15" customHeight="1">
      <c r="A166" s="49" t="s">
        <v>1001</v>
      </c>
      <c r="B166" s="39" t="s">
        <v>96</v>
      </c>
      <c r="C166" s="46" t="s">
        <v>65</v>
      </c>
      <c r="D166" s="49" t="s">
        <v>105</v>
      </c>
      <c r="E166" s="49"/>
      <c r="F166" s="39">
        <v>2</v>
      </c>
      <c r="G166" s="75" t="s">
        <v>198</v>
      </c>
      <c r="H166" s="50" t="s">
        <v>314</v>
      </c>
      <c r="I166" s="50" t="s">
        <v>199</v>
      </c>
      <c r="J166" s="50"/>
      <c r="K166" s="50"/>
      <c r="L166" s="46"/>
      <c r="M166" s="46"/>
      <c r="N166" s="46"/>
      <c r="O166" s="46"/>
      <c r="P166" s="46"/>
      <c r="Q166" s="46"/>
      <c r="R166" s="46"/>
      <c r="S166" s="46"/>
      <c r="T166" s="46"/>
      <c r="U166" s="46"/>
      <c r="V166" s="50" t="s">
        <v>1002</v>
      </c>
      <c r="W166" s="74">
        <v>1</v>
      </c>
      <c r="X166" s="39">
        <f>MAX(0,$AK166-$W166-$Z166)</f>
        <v>0</v>
      </c>
      <c r="Y166" s="39"/>
      <c r="Z166" s="39"/>
      <c r="AA166" s="41">
        <v>0.85</v>
      </c>
      <c r="AB166" s="41">
        <f>IF(AND($X166&gt;0,ISNUMBER($AA166)),$X166*$AA166,0)</f>
        <v>0</v>
      </c>
      <c r="AK166" s="39">
        <f>SUM(AL166:AR166)</f>
        <v>1</v>
      </c>
      <c r="AL166" s="102">
        <v>1</v>
      </c>
      <c r="AM166" s="38"/>
      <c r="AN166" s="38"/>
      <c r="AO166" s="38"/>
      <c r="AP166" s="38"/>
      <c r="AQ166" s="38"/>
      <c r="AR166" s="91"/>
      <c r="AS166" s="42">
        <f>SUM(AT166:AZ166)</f>
        <v>1</v>
      </c>
      <c r="AT166" s="48">
        <v>1</v>
      </c>
      <c r="AU166" s="48"/>
      <c r="AV166" s="48"/>
      <c r="AW166" s="48"/>
      <c r="AX166" s="48"/>
      <c r="AY166" s="48"/>
      <c r="AZ166" s="48"/>
      <c r="BA166" s="43">
        <f>IF((W166-SUM(AT166:AZ166))&lt;0,0,W166-SUM(AT166:AZ166))</f>
        <v>0</v>
      </c>
      <c r="BB166" s="49"/>
      <c r="BC166" s="47"/>
      <c r="BD166" s="53"/>
    </row>
    <row r="167" spans="1:56" ht="15" customHeight="1">
      <c r="A167" s="49" t="s">
        <v>95</v>
      </c>
      <c r="B167" s="39" t="s">
        <v>96</v>
      </c>
      <c r="C167" s="46" t="s">
        <v>65</v>
      </c>
      <c r="D167" s="49" t="s">
        <v>97</v>
      </c>
      <c r="E167" s="49" t="s">
        <v>98</v>
      </c>
      <c r="F167" s="39">
        <v>3</v>
      </c>
      <c r="G167" s="75" t="s">
        <v>99</v>
      </c>
      <c r="H167" s="50" t="s">
        <v>100</v>
      </c>
      <c r="I167" s="50" t="s">
        <v>101</v>
      </c>
      <c r="J167" s="50" t="s">
        <v>102</v>
      </c>
      <c r="K167" s="50"/>
      <c r="L167" s="47"/>
      <c r="M167" s="47"/>
      <c r="N167" s="47"/>
      <c r="O167" s="47"/>
      <c r="P167" s="47"/>
      <c r="Q167" s="47"/>
      <c r="R167" s="47"/>
      <c r="S167" s="47"/>
      <c r="T167" s="47"/>
      <c r="U167" s="47"/>
      <c r="V167" s="50" t="s">
        <v>103</v>
      </c>
      <c r="W167" s="74">
        <v>1</v>
      </c>
      <c r="X167" s="39">
        <f>MAX(0,$AK167-$W167-$Z167)</f>
        <v>0</v>
      </c>
      <c r="Y167" s="39"/>
      <c r="Z167" s="39"/>
      <c r="AA167" s="41">
        <v>0.28000000000000003</v>
      </c>
      <c r="AB167" s="41">
        <f>IF(AND($X167&gt;0,ISNUMBER($AA167)),$X167*$AA167,0)</f>
        <v>0</v>
      </c>
      <c r="AK167" s="39">
        <f>SUM(AL167:AR167)</f>
        <v>0</v>
      </c>
      <c r="AL167" s="90"/>
      <c r="AM167" s="38"/>
      <c r="AN167" s="38"/>
      <c r="AO167" s="38"/>
      <c r="AP167" s="38"/>
      <c r="AQ167" s="38"/>
      <c r="AR167" s="91"/>
      <c r="AS167" s="42">
        <f>SUM(AT167:AZ167)</f>
        <v>0</v>
      </c>
      <c r="AT167" s="48"/>
      <c r="AU167" s="48"/>
      <c r="AV167" s="48"/>
      <c r="AW167" s="48"/>
      <c r="AX167" s="48"/>
      <c r="AY167" s="48"/>
      <c r="AZ167" s="48"/>
      <c r="BA167" s="43">
        <f>IF((W167-SUM(AT167:AZ167))&lt;0,0,W167-SUM(AT167:AZ167))</f>
        <v>1</v>
      </c>
      <c r="BB167" s="49"/>
      <c r="BC167" s="47"/>
      <c r="BD167" s="47"/>
    </row>
    <row r="168" spans="1:56" ht="15" customHeight="1">
      <c r="A168" s="44" t="s">
        <v>1003</v>
      </c>
      <c r="B168" s="45" t="s">
        <v>96</v>
      </c>
      <c r="C168" s="46" t="s">
        <v>65</v>
      </c>
      <c r="D168" s="44" t="s">
        <v>97</v>
      </c>
      <c r="E168" s="44" t="s">
        <v>1004</v>
      </c>
      <c r="F168" s="45">
        <v>2</v>
      </c>
      <c r="G168" s="75" t="s">
        <v>1005</v>
      </c>
      <c r="H168" s="44" t="s">
        <v>931</v>
      </c>
      <c r="I168" s="44" t="s">
        <v>1006</v>
      </c>
      <c r="J168" s="44" t="s">
        <v>1007</v>
      </c>
      <c r="K168" s="44"/>
      <c r="L168" s="108" t="s">
        <v>1008</v>
      </c>
      <c r="M168" s="46">
        <v>1</v>
      </c>
      <c r="N168" s="46">
        <v>1</v>
      </c>
      <c r="O168" s="68" t="s">
        <v>1009</v>
      </c>
      <c r="P168" s="110">
        <v>0.27</v>
      </c>
      <c r="Q168" s="47"/>
      <c r="R168" s="47"/>
      <c r="S168" s="47"/>
      <c r="T168" s="68"/>
      <c r="U168" s="68"/>
      <c r="V168" s="44" t="s">
        <v>119</v>
      </c>
      <c r="W168" s="74">
        <v>1</v>
      </c>
      <c r="X168" s="39">
        <f>MAX(0,$AK168-$W168-$Z168)</f>
        <v>0</v>
      </c>
      <c r="Y168" s="44"/>
      <c r="Z168" s="44"/>
      <c r="AA168" s="44">
        <v>0.27</v>
      </c>
      <c r="AB168" s="44">
        <f>IF(AND($X168&gt;0,ISNUMBER($AA168)),$X168*$AA168,0)</f>
        <v>0</v>
      </c>
      <c r="AD168" s="63"/>
      <c r="AI168" s="63"/>
      <c r="AK168" s="39">
        <f>SUM(AL168:AR168)</f>
        <v>1</v>
      </c>
      <c r="AL168" s="90"/>
      <c r="AM168" s="98">
        <v>1</v>
      </c>
      <c r="AN168" s="38"/>
      <c r="AO168" s="38"/>
      <c r="AP168" s="38"/>
      <c r="AQ168" s="38"/>
      <c r="AR168" s="96"/>
      <c r="AS168" s="42">
        <f>SUM(AT168:AZ168)</f>
        <v>1</v>
      </c>
      <c r="AT168" s="48"/>
      <c r="AU168" s="48">
        <v>1</v>
      </c>
      <c r="AV168" s="48"/>
      <c r="AW168" s="48"/>
      <c r="AX168" s="48"/>
      <c r="AY168" s="48"/>
      <c r="AZ168" s="48"/>
      <c r="BA168" s="43">
        <f>IF((W168-SUM(AT168:AZ168))&lt;0,0,W168-SUM(AT168:AZ168))</f>
        <v>0</v>
      </c>
      <c r="BB168" s="44"/>
      <c r="BC168" s="47"/>
      <c r="BD168" s="47"/>
    </row>
    <row r="169" spans="1:56" ht="15" customHeight="1">
      <c r="A169" s="49" t="s">
        <v>316</v>
      </c>
      <c r="B169" s="39" t="s">
        <v>96</v>
      </c>
      <c r="C169" s="46" t="s">
        <v>65</v>
      </c>
      <c r="D169" s="49" t="s">
        <v>105</v>
      </c>
      <c r="E169" s="49"/>
      <c r="F169" s="39">
        <v>2</v>
      </c>
      <c r="G169" s="75" t="s">
        <v>317</v>
      </c>
      <c r="H169" s="50" t="s">
        <v>153</v>
      </c>
      <c r="I169" s="50" t="s">
        <v>318</v>
      </c>
      <c r="J169" s="50"/>
      <c r="K169" s="50"/>
      <c r="L169" s="47"/>
      <c r="M169" s="47"/>
      <c r="N169" s="47"/>
      <c r="O169" s="47"/>
      <c r="P169" s="47"/>
      <c r="Q169" s="47"/>
      <c r="R169" s="47"/>
      <c r="S169" s="47"/>
      <c r="T169" s="47"/>
      <c r="U169" s="47"/>
      <c r="V169" s="50" t="s">
        <v>319</v>
      </c>
      <c r="W169" s="74">
        <v>1</v>
      </c>
      <c r="X169" s="39">
        <f>MAX(0,$AK169-$W169-$Z169)</f>
        <v>0</v>
      </c>
      <c r="Y169" s="39"/>
      <c r="Z169" s="39"/>
      <c r="AA169" s="41">
        <v>3.47</v>
      </c>
      <c r="AB169" s="41">
        <f>IF(AND($X169&gt;0,ISNUMBER($AA169)),$X169*$AA169,0)</f>
        <v>0</v>
      </c>
      <c r="AG169" t="s">
        <v>320</v>
      </c>
      <c r="AK169" s="39">
        <f>SUM(AL169:AR169)</f>
        <v>1</v>
      </c>
      <c r="AL169" s="90"/>
      <c r="AM169" s="38"/>
      <c r="AN169" s="38"/>
      <c r="AO169" s="38"/>
      <c r="AP169" s="99">
        <v>1</v>
      </c>
      <c r="AQ169" s="38"/>
      <c r="AR169" s="91"/>
      <c r="AS169" s="42">
        <f>SUM(AT169:AZ169)</f>
        <v>1</v>
      </c>
      <c r="AT169" s="48"/>
      <c r="AU169" s="48"/>
      <c r="AV169" s="48"/>
      <c r="AW169" s="48"/>
      <c r="AX169" s="48">
        <v>1</v>
      </c>
      <c r="AY169" s="48"/>
      <c r="AZ169" s="48"/>
      <c r="BA169" s="43">
        <f>IF((W169-SUM(AT169:AZ169))&lt;0,0,W169-SUM(AT169:AZ169))</f>
        <v>0</v>
      </c>
      <c r="BB169" s="49"/>
      <c r="BC169" s="47"/>
      <c r="BD169" s="47"/>
    </row>
    <row r="170" spans="1:56" ht="15" customHeight="1">
      <c r="A170" s="49" t="s">
        <v>1010</v>
      </c>
      <c r="B170" s="39" t="s">
        <v>96</v>
      </c>
      <c r="C170" s="46" t="s">
        <v>65</v>
      </c>
      <c r="D170" s="49" t="s">
        <v>105</v>
      </c>
      <c r="E170" s="49"/>
      <c r="F170" s="39">
        <v>1</v>
      </c>
      <c r="G170" s="75" t="s">
        <v>1011</v>
      </c>
      <c r="H170" s="50" t="s">
        <v>564</v>
      </c>
      <c r="I170" s="50" t="s">
        <v>1012</v>
      </c>
      <c r="J170" s="50" t="s">
        <v>1013</v>
      </c>
      <c r="K170" s="50"/>
      <c r="L170" s="46"/>
      <c r="M170" s="46"/>
      <c r="N170" s="46"/>
      <c r="O170" s="46"/>
      <c r="P170" s="46"/>
      <c r="Q170" s="46"/>
      <c r="R170" s="46"/>
      <c r="S170" s="46"/>
      <c r="T170" s="46"/>
      <c r="U170" s="46"/>
      <c r="V170" s="50" t="s">
        <v>1014</v>
      </c>
      <c r="W170" s="74">
        <v>1</v>
      </c>
      <c r="X170" s="39">
        <f>MAX(0,$AK170-$W170-$Z170)</f>
        <v>0</v>
      </c>
      <c r="Y170" s="39"/>
      <c r="Z170" s="39"/>
      <c r="AA170" s="41">
        <v>4.1500000000000004</v>
      </c>
      <c r="AB170" s="41">
        <f>IF(AND($X170&gt;0,ISNUMBER($AA170)),$X170*$AA170,0)</f>
        <v>0</v>
      </c>
      <c r="AK170" s="39">
        <f>SUM(AL170:AR170)</f>
        <v>1</v>
      </c>
      <c r="AL170" s="102">
        <v>1</v>
      </c>
      <c r="AM170" s="38"/>
      <c r="AN170" s="38"/>
      <c r="AO170" s="38"/>
      <c r="AP170" s="38"/>
      <c r="AQ170" s="38"/>
      <c r="AR170" s="91"/>
      <c r="AS170" s="42">
        <f>SUM(AT170:AZ170)</f>
        <v>1</v>
      </c>
      <c r="AT170" s="48">
        <v>1</v>
      </c>
      <c r="AU170" s="48"/>
      <c r="AV170" s="48"/>
      <c r="AW170" s="48"/>
      <c r="AX170" s="48"/>
      <c r="AY170" s="48"/>
      <c r="AZ170" s="48"/>
      <c r="BA170" s="43">
        <f>IF((W170-SUM(AT170:AZ170))&lt;0,0,W170-SUM(AT170:AZ170))</f>
        <v>0</v>
      </c>
      <c r="BB170" s="49"/>
      <c r="BC170" s="47"/>
      <c r="BD170" s="47"/>
    </row>
    <row r="171" spans="1:56" ht="15" customHeight="1">
      <c r="A171" s="49" t="s">
        <v>150</v>
      </c>
      <c r="B171" s="39" t="s">
        <v>96</v>
      </c>
      <c r="C171" s="46" t="s">
        <v>65</v>
      </c>
      <c r="D171" s="49" t="s">
        <v>105</v>
      </c>
      <c r="E171" s="49" t="s">
        <v>151</v>
      </c>
      <c r="F171" s="39">
        <v>2</v>
      </c>
      <c r="G171" s="75" t="s">
        <v>152</v>
      </c>
      <c r="H171" s="50" t="s">
        <v>153</v>
      </c>
      <c r="I171" s="50" t="s">
        <v>154</v>
      </c>
      <c r="J171" s="50" t="s">
        <v>155</v>
      </c>
      <c r="K171" s="50"/>
      <c r="L171" s="108" t="s">
        <v>156</v>
      </c>
      <c r="M171" s="46">
        <v>1</v>
      </c>
      <c r="N171" s="46">
        <v>1</v>
      </c>
      <c r="O171" s="68" t="s">
        <v>157</v>
      </c>
      <c r="P171" s="110">
        <v>0.42</v>
      </c>
      <c r="Q171" s="47"/>
      <c r="R171" s="47"/>
      <c r="S171" s="47"/>
      <c r="T171" s="68"/>
      <c r="U171" s="68"/>
      <c r="V171" s="50" t="s">
        <v>158</v>
      </c>
      <c r="W171" s="74">
        <v>1</v>
      </c>
      <c r="X171" s="39">
        <f>MAX(0,$AK171-$W171-$Z171)</f>
        <v>0</v>
      </c>
      <c r="Y171" s="39"/>
      <c r="Z171" s="39"/>
      <c r="AA171" s="41">
        <v>0.42</v>
      </c>
      <c r="AB171" s="41">
        <f>IF(AND($X171&gt;0,ISNUMBER($AA171)),$X171*$AA171,0)</f>
        <v>0</v>
      </c>
      <c r="AH171" s="63"/>
      <c r="AK171" s="39">
        <f>SUM(AL171:AR171)</f>
        <v>1</v>
      </c>
      <c r="AL171" s="90"/>
      <c r="AM171" s="38"/>
      <c r="AN171" s="38"/>
      <c r="AO171" s="38"/>
      <c r="AP171" s="97">
        <v>1</v>
      </c>
      <c r="AQ171" s="38"/>
      <c r="AR171" s="91"/>
      <c r="AS171" s="42">
        <f>SUM(AT171:AZ171)</f>
        <v>1</v>
      </c>
      <c r="AT171" s="48"/>
      <c r="AU171" s="48"/>
      <c r="AV171" s="48"/>
      <c r="AW171" s="48"/>
      <c r="AX171" s="48">
        <v>1</v>
      </c>
      <c r="AY171" s="48"/>
      <c r="AZ171" s="48"/>
      <c r="BA171" s="43">
        <f>IF((W171-SUM(AT171:AZ171))&lt;0,0,W171-SUM(AT171:AZ171))</f>
        <v>0</v>
      </c>
      <c r="BB171" s="49"/>
      <c r="BC171" s="47"/>
      <c r="BD171" s="47"/>
    </row>
    <row r="172" spans="1:56" ht="15" customHeight="1">
      <c r="A172" s="49" t="s">
        <v>1020</v>
      </c>
      <c r="B172" s="39" t="s">
        <v>96</v>
      </c>
      <c r="C172" s="46" t="s">
        <v>65</v>
      </c>
      <c r="D172" s="44" t="s">
        <v>105</v>
      </c>
      <c r="E172" s="44"/>
      <c r="F172" s="45">
        <v>2</v>
      </c>
      <c r="G172" s="75" t="s">
        <v>1021</v>
      </c>
      <c r="H172" s="44" t="s">
        <v>314</v>
      </c>
      <c r="I172" s="44" t="s">
        <v>1022</v>
      </c>
      <c r="J172" s="44"/>
      <c r="K172" s="44"/>
      <c r="L172" s="47"/>
      <c r="M172" s="47"/>
      <c r="N172" s="47"/>
      <c r="O172" s="47"/>
      <c r="P172" s="47"/>
      <c r="Q172" s="47"/>
      <c r="R172" s="47"/>
      <c r="S172" s="47"/>
      <c r="T172" s="47"/>
      <c r="U172" s="47"/>
      <c r="V172" s="44" t="s">
        <v>1023</v>
      </c>
      <c r="W172" s="74">
        <v>1</v>
      </c>
      <c r="X172" s="39">
        <f>MAX(0,$AK172-$W172-$Z172)</f>
        <v>0</v>
      </c>
      <c r="Y172" s="44"/>
      <c r="Z172" s="44"/>
      <c r="AA172" s="44">
        <v>0.36</v>
      </c>
      <c r="AB172" s="44">
        <f>IF(AND($X172&gt;0,ISNUMBER($AA172)),$X172*$AA172,0)</f>
        <v>0</v>
      </c>
      <c r="AK172" s="39">
        <f>SUM(AL172:AR172)</f>
        <v>1</v>
      </c>
      <c r="AL172" s="90"/>
      <c r="AM172" s="38"/>
      <c r="AN172" s="38"/>
      <c r="AO172" s="97">
        <v>1</v>
      </c>
      <c r="AP172" s="38"/>
      <c r="AQ172" s="38"/>
      <c r="AR172" s="91"/>
      <c r="AS172" s="42">
        <f>SUM(AT172:AZ172)</f>
        <v>1</v>
      </c>
      <c r="AT172" s="48"/>
      <c r="AU172" s="48"/>
      <c r="AV172" s="48"/>
      <c r="AW172" s="48">
        <v>1</v>
      </c>
      <c r="AX172" s="48"/>
      <c r="AY172" s="48"/>
      <c r="AZ172" s="48"/>
      <c r="BA172" s="43">
        <f>IF((W172-SUM(AT172:AZ172))&lt;0,0,W172-SUM(AT172:AZ172))</f>
        <v>0</v>
      </c>
      <c r="BB172" s="44"/>
      <c r="BC172" s="47"/>
      <c r="BD172" s="47"/>
    </row>
    <row r="173" spans="1:56" ht="15" customHeight="1">
      <c r="A173" s="49" t="s">
        <v>1024</v>
      </c>
      <c r="B173" s="39" t="s">
        <v>96</v>
      </c>
      <c r="C173" s="46" t="s">
        <v>65</v>
      </c>
      <c r="D173" s="49" t="s">
        <v>105</v>
      </c>
      <c r="E173" s="49"/>
      <c r="F173" s="39">
        <v>2</v>
      </c>
      <c r="G173" s="75" t="s">
        <v>1025</v>
      </c>
      <c r="H173" s="50" t="s">
        <v>293</v>
      </c>
      <c r="I173" s="50" t="s">
        <v>1026</v>
      </c>
      <c r="J173" s="50"/>
      <c r="K173" s="50"/>
      <c r="L173" s="47"/>
      <c r="M173" s="47"/>
      <c r="N173" s="47"/>
      <c r="O173" s="47"/>
      <c r="P173" s="47"/>
      <c r="Q173" s="47"/>
      <c r="R173" s="47"/>
      <c r="S173" s="47"/>
      <c r="T173" s="47"/>
      <c r="U173" s="47"/>
      <c r="V173" s="50" t="s">
        <v>660</v>
      </c>
      <c r="W173" s="74">
        <v>1</v>
      </c>
      <c r="X173" s="39">
        <f>MAX(0,$AK173-$W173-$Z173)</f>
        <v>0</v>
      </c>
      <c r="Y173" s="39"/>
      <c r="Z173" s="39"/>
      <c r="AA173" s="41">
        <v>1.45</v>
      </c>
      <c r="AB173" s="41">
        <f>IF(AND($X173&gt;0,ISNUMBER($AA173)),$X173*$AA173,0)</f>
        <v>0</v>
      </c>
      <c r="AK173" s="39">
        <f>SUM(AL173:AR173)</f>
        <v>1</v>
      </c>
      <c r="AL173" s="90"/>
      <c r="AM173" s="38"/>
      <c r="AN173" s="38"/>
      <c r="AO173" s="38"/>
      <c r="AP173" s="38"/>
      <c r="AQ173" s="97">
        <v>1</v>
      </c>
      <c r="AR173" s="91"/>
      <c r="AS173" s="42">
        <f>SUM(AT173:AZ173)</f>
        <v>1</v>
      </c>
      <c r="AT173" s="48"/>
      <c r="AU173" s="48"/>
      <c r="AV173" s="48"/>
      <c r="AW173" s="48"/>
      <c r="AX173" s="48"/>
      <c r="AY173" s="48">
        <v>1</v>
      </c>
      <c r="AZ173" s="48"/>
      <c r="BA173" s="43">
        <f>IF((W173-SUM(AT173:AZ173))&lt;0,0,W173-SUM(AT173:AZ173))</f>
        <v>0</v>
      </c>
      <c r="BB173" s="49"/>
      <c r="BC173" s="47"/>
      <c r="BD173" s="47"/>
    </row>
    <row r="174" spans="1:56" ht="15" customHeight="1">
      <c r="A174" s="49" t="s">
        <v>1027</v>
      </c>
      <c r="B174" s="39" t="s">
        <v>96</v>
      </c>
      <c r="C174" s="46" t="s">
        <v>83</v>
      </c>
      <c r="D174" s="49" t="s">
        <v>105</v>
      </c>
      <c r="E174" s="49"/>
      <c r="F174" s="39">
        <v>2</v>
      </c>
      <c r="G174" s="75" t="s">
        <v>1028</v>
      </c>
      <c r="H174" s="50" t="s">
        <v>87</v>
      </c>
      <c r="I174" s="50" t="s">
        <v>1029</v>
      </c>
      <c r="J174" s="50"/>
      <c r="K174" s="50"/>
      <c r="L174" s="47"/>
      <c r="M174" s="47"/>
      <c r="N174" s="47"/>
      <c r="O174" s="47"/>
      <c r="P174" s="47"/>
      <c r="Q174" s="47"/>
      <c r="R174" s="47"/>
      <c r="S174" s="47"/>
      <c r="T174" s="47"/>
      <c r="U174" s="47"/>
      <c r="V174" s="50" t="s">
        <v>139</v>
      </c>
      <c r="W174" s="74">
        <v>0</v>
      </c>
      <c r="X174" s="39">
        <f>MAX(0,$AK174-$W174-$Z174)</f>
        <v>0</v>
      </c>
      <c r="Y174" s="39"/>
      <c r="Z174" s="39"/>
      <c r="AA174" s="41">
        <v>1.85</v>
      </c>
      <c r="AB174" s="41">
        <f>IF(AND($X174&gt;0,ISNUMBER($AA174)),$X174*$AA174,0)</f>
        <v>0</v>
      </c>
      <c r="AC174" s="59"/>
      <c r="AD174" s="59"/>
      <c r="AE174" s="59"/>
      <c r="AF174" s="59"/>
      <c r="AG174" s="59"/>
      <c r="AH174" s="59"/>
      <c r="AI174" s="59"/>
      <c r="AJ174" s="59"/>
      <c r="AK174" s="39">
        <f>SUM(AL174:AR174)</f>
        <v>0</v>
      </c>
      <c r="AL174" s="114"/>
      <c r="AM174" s="43"/>
      <c r="AN174" s="43"/>
      <c r="AO174" s="43"/>
      <c r="AP174" s="43"/>
      <c r="AQ174" s="43"/>
      <c r="AR174" s="116"/>
      <c r="AS174" s="42">
        <f>SUM(AT174:AZ174)</f>
        <v>0</v>
      </c>
      <c r="AT174" s="48"/>
      <c r="AU174" s="48"/>
      <c r="AV174" s="48"/>
      <c r="AW174" s="48"/>
      <c r="AX174" s="48"/>
      <c r="AY174" s="48"/>
      <c r="AZ174" s="48"/>
      <c r="BA174" s="43">
        <f>IF((W174-SUM(AT174:AZ174))&lt;0,0,W174-SUM(AT174:AZ174))</f>
        <v>0</v>
      </c>
      <c r="BB174" s="49"/>
      <c r="BC174" s="47"/>
      <c r="BD174" s="53"/>
    </row>
    <row r="175" spans="1:56" ht="15" customHeight="1">
      <c r="A175" s="49" t="s">
        <v>1030</v>
      </c>
      <c r="B175" s="39" t="s">
        <v>96</v>
      </c>
      <c r="C175" s="46" t="s">
        <v>83</v>
      </c>
      <c r="D175" s="49" t="s">
        <v>105</v>
      </c>
      <c r="E175" s="49" t="s">
        <v>151</v>
      </c>
      <c r="F175" s="39">
        <v>2</v>
      </c>
      <c r="G175" s="75" t="s">
        <v>1031</v>
      </c>
      <c r="H175" s="50" t="s">
        <v>227</v>
      </c>
      <c r="I175" s="50" t="s">
        <v>1032</v>
      </c>
      <c r="J175" s="50" t="s">
        <v>1033</v>
      </c>
      <c r="K175" s="50"/>
      <c r="L175" s="47"/>
      <c r="M175" s="47"/>
      <c r="N175" s="47"/>
      <c r="O175" s="47"/>
      <c r="P175" s="47"/>
      <c r="Q175" s="47"/>
      <c r="R175" s="47"/>
      <c r="S175" s="47"/>
      <c r="T175" s="47"/>
      <c r="U175" s="47"/>
      <c r="V175" s="50" t="s">
        <v>481</v>
      </c>
      <c r="W175" s="74">
        <v>0</v>
      </c>
      <c r="X175" s="39">
        <f>MAX(0,$AK175-$W175-$Z175)</f>
        <v>0</v>
      </c>
      <c r="Y175" s="39"/>
      <c r="Z175" s="39"/>
      <c r="AA175" s="41">
        <v>4.59</v>
      </c>
      <c r="AB175" s="41">
        <f>IF(AND($X175&gt;0,ISNUMBER($AA175)),$X175*$AA175,0)</f>
        <v>0</v>
      </c>
      <c r="AC175" s="59"/>
      <c r="AD175" s="59"/>
      <c r="AE175" s="59"/>
      <c r="AF175" s="59"/>
      <c r="AG175" s="59"/>
      <c r="AH175" s="59"/>
      <c r="AI175" s="59"/>
      <c r="AJ175" s="59"/>
      <c r="AK175" s="39">
        <f>SUM(AL175:AR175)</f>
        <v>0</v>
      </c>
      <c r="AL175" s="114"/>
      <c r="AM175" s="43"/>
      <c r="AN175" s="43"/>
      <c r="AO175" s="43"/>
      <c r="AP175" s="43"/>
      <c r="AQ175" s="43"/>
      <c r="AR175" s="116"/>
      <c r="AS175" s="42">
        <f>SUM(AT175:AZ175)</f>
        <v>0</v>
      </c>
      <c r="AT175" s="48"/>
      <c r="AU175" s="48"/>
      <c r="AV175" s="48"/>
      <c r="AW175" s="48"/>
      <c r="AX175" s="48"/>
      <c r="AY175" s="48"/>
      <c r="AZ175" s="48"/>
      <c r="BA175" s="43">
        <f>IF((W175-SUM(AT175:AZ175))&lt;0,0,W175-SUM(AT175:AZ175))</f>
        <v>0</v>
      </c>
      <c r="BB175" s="49"/>
      <c r="BC175" s="47"/>
      <c r="BD175" s="53"/>
    </row>
    <row r="176" spans="1:56" ht="15" customHeight="1">
      <c r="A176" s="35" t="s">
        <v>1034</v>
      </c>
      <c r="B176" s="36" t="s">
        <v>96</v>
      </c>
      <c r="C176" s="38" t="s">
        <v>65</v>
      </c>
      <c r="D176" s="35" t="s">
        <v>84</v>
      </c>
      <c r="E176" s="35" t="s">
        <v>1035</v>
      </c>
      <c r="F176" s="35">
        <v>3</v>
      </c>
      <c r="G176" s="75" t="s">
        <v>1036</v>
      </c>
      <c r="H176" s="35" t="s">
        <v>172</v>
      </c>
      <c r="I176" s="35" t="s">
        <v>1037</v>
      </c>
      <c r="J176" s="35" t="s">
        <v>1038</v>
      </c>
      <c r="K176" s="35"/>
      <c r="L176" s="37"/>
      <c r="M176" s="37"/>
      <c r="N176" s="37"/>
      <c r="O176" s="68"/>
      <c r="P176" s="68"/>
      <c r="Q176" s="37"/>
      <c r="R176" s="37"/>
      <c r="S176" s="37"/>
      <c r="T176" s="68"/>
      <c r="U176" s="68"/>
      <c r="V176" s="35" t="s">
        <v>167</v>
      </c>
      <c r="W176" s="74">
        <v>1</v>
      </c>
      <c r="X176" s="39">
        <f>MAX(0,$AK176-$W176-$Z176)</f>
        <v>0</v>
      </c>
      <c r="Y176" s="35"/>
      <c r="Z176" s="35"/>
      <c r="AA176" s="35">
        <v>0.15</v>
      </c>
      <c r="AB176" s="41">
        <f>IF(AND($X176&gt;0,ISNUMBER($AA176)),$X176*$AA176,0)</f>
        <v>0</v>
      </c>
      <c r="AK176" s="39">
        <f>SUM(AL176:AR176)</f>
        <v>0</v>
      </c>
      <c r="AL176" s="90"/>
      <c r="AM176" s="38"/>
      <c r="AN176" s="38"/>
      <c r="AO176" s="38"/>
      <c r="AP176" s="38"/>
      <c r="AQ176" s="38"/>
      <c r="AR176" s="91"/>
      <c r="AS176" s="42">
        <f>SUM(AT176:AZ176)</f>
        <v>0</v>
      </c>
      <c r="AT176" s="48"/>
      <c r="AU176" s="48"/>
      <c r="AV176" s="48"/>
      <c r="AW176" s="48"/>
      <c r="AX176" s="48"/>
      <c r="AY176" s="48"/>
      <c r="AZ176" s="48"/>
      <c r="BA176" s="43">
        <f>IF((W176-SUM(AT176:AZ176))&lt;0,0,W176-SUM(AT176:AZ176))</f>
        <v>1</v>
      </c>
      <c r="BB176" s="35"/>
      <c r="BC176" s="37"/>
      <c r="BD176" s="37"/>
    </row>
    <row r="177" spans="1:56" ht="15" customHeight="1">
      <c r="A177" s="35" t="s">
        <v>1039</v>
      </c>
      <c r="B177" s="36" t="s">
        <v>96</v>
      </c>
      <c r="C177" s="38" t="s">
        <v>65</v>
      </c>
      <c r="D177" s="35" t="s">
        <v>97</v>
      </c>
      <c r="E177" s="35" t="s">
        <v>915</v>
      </c>
      <c r="F177" s="36">
        <v>2</v>
      </c>
      <c r="G177" s="75" t="s">
        <v>1040</v>
      </c>
      <c r="H177" s="35" t="s">
        <v>679</v>
      </c>
      <c r="I177" s="35" t="s">
        <v>1041</v>
      </c>
      <c r="J177" s="35"/>
      <c r="K177" s="35"/>
      <c r="L177" s="37"/>
      <c r="M177" s="37"/>
      <c r="N177" s="37"/>
      <c r="O177" s="68"/>
      <c r="P177" s="68"/>
      <c r="Q177" s="37"/>
      <c r="R177" s="37"/>
      <c r="S177" s="37"/>
      <c r="T177" s="68"/>
      <c r="U177" s="68"/>
      <c r="V177" s="35" t="s">
        <v>223</v>
      </c>
      <c r="W177" s="74">
        <v>1</v>
      </c>
      <c r="X177" s="39">
        <f>MAX(0,$AK177-$W177-$Z177)</f>
        <v>0</v>
      </c>
      <c r="Y177" s="35"/>
      <c r="Z177" s="35"/>
      <c r="AA177" s="40">
        <v>0.05</v>
      </c>
      <c r="AB177" s="41">
        <f>IF(AND($X177&gt;0,ISNUMBER($AA177)),$X177*$AA177,0)</f>
        <v>0</v>
      </c>
      <c r="AK177" s="39">
        <f>SUM(AL177:AR177)</f>
        <v>0</v>
      </c>
      <c r="AL177" s="90"/>
      <c r="AM177" s="38"/>
      <c r="AN177" s="38"/>
      <c r="AO177" s="38"/>
      <c r="AP177" s="38"/>
      <c r="AQ177" s="38"/>
      <c r="AR177" s="91"/>
      <c r="AS177" s="42">
        <f>SUM(AT177:AZ177)</f>
        <v>0</v>
      </c>
      <c r="AT177" s="48"/>
      <c r="AU177" s="48"/>
      <c r="AV177" s="48"/>
      <c r="AW177" s="48"/>
      <c r="AX177" s="48"/>
      <c r="AY177" s="48"/>
      <c r="AZ177" s="48"/>
      <c r="BA177" s="43">
        <f>IF((W177-SUM(AT177:AZ177))&lt;0,0,W177-SUM(AT177:AZ177))</f>
        <v>1</v>
      </c>
      <c r="BB177" s="35"/>
      <c r="BC177" s="37"/>
      <c r="BD177" s="37"/>
    </row>
    <row r="178" spans="1:56" ht="15" customHeight="1">
      <c r="A178" s="49" t="s">
        <v>1042</v>
      </c>
      <c r="B178" s="39" t="s">
        <v>96</v>
      </c>
      <c r="C178" s="46" t="s">
        <v>65</v>
      </c>
      <c r="D178" s="49" t="s">
        <v>105</v>
      </c>
      <c r="E178" s="49"/>
      <c r="F178" s="39">
        <v>3</v>
      </c>
      <c r="G178" s="75" t="s">
        <v>1043</v>
      </c>
      <c r="H178" s="50" t="s">
        <v>100</v>
      </c>
      <c r="I178" s="50" t="s">
        <v>1044</v>
      </c>
      <c r="J178" s="50" t="s">
        <v>1045</v>
      </c>
      <c r="K178" s="50"/>
      <c r="L178" s="47"/>
      <c r="M178" s="47"/>
      <c r="N178" s="47"/>
      <c r="O178" s="47"/>
      <c r="P178" s="47"/>
      <c r="Q178" s="47"/>
      <c r="R178" s="47"/>
      <c r="S178" s="47"/>
      <c r="T178" s="47"/>
      <c r="U178" s="47"/>
      <c r="V178" s="50" t="s">
        <v>1046</v>
      </c>
      <c r="W178" s="74">
        <v>0</v>
      </c>
      <c r="X178" s="39">
        <f>MAX(0,$AK178-$W178-$Z178)</f>
        <v>0</v>
      </c>
      <c r="Y178" s="39"/>
      <c r="Z178" s="39"/>
      <c r="AA178" s="41">
        <v>3.09</v>
      </c>
      <c r="AB178" s="41">
        <f>IF(AND($X178&gt;0,ISNUMBER($AA178)),$X178*$AA178,0)</f>
        <v>0</v>
      </c>
      <c r="AC178" s="59"/>
      <c r="AD178" s="59"/>
      <c r="AE178" s="59"/>
      <c r="AF178" s="59"/>
      <c r="AG178" s="59"/>
      <c r="AH178" s="59"/>
      <c r="AI178" s="59"/>
      <c r="AJ178" s="59"/>
      <c r="AK178" s="39">
        <f>SUM(AL178:AR178)</f>
        <v>0</v>
      </c>
      <c r="AL178" s="114"/>
      <c r="AM178" s="43"/>
      <c r="AN178" s="43"/>
      <c r="AO178" s="43"/>
      <c r="AP178" s="43"/>
      <c r="AQ178" s="43"/>
      <c r="AR178" s="116"/>
      <c r="AS178" s="42">
        <f>SUM(AT178:AZ178)</f>
        <v>0</v>
      </c>
      <c r="AT178" s="48"/>
      <c r="AU178" s="48"/>
      <c r="AV178" s="48"/>
      <c r="AW178" s="48"/>
      <c r="AX178" s="48"/>
      <c r="AY178" s="48"/>
      <c r="AZ178" s="48"/>
      <c r="BA178" s="43">
        <f>IF((W178-SUM(AT178:AZ178))&lt;0,0,W178-SUM(AT178:AZ178))</f>
        <v>0</v>
      </c>
      <c r="BB178" s="49"/>
      <c r="BC178" s="47"/>
      <c r="BD178" s="53"/>
    </row>
    <row r="179" spans="1:56" ht="15" customHeight="1">
      <c r="A179" s="49" t="s">
        <v>1047</v>
      </c>
      <c r="B179" s="39" t="s">
        <v>96</v>
      </c>
      <c r="C179" s="46" t="s">
        <v>65</v>
      </c>
      <c r="D179" s="49" t="s">
        <v>105</v>
      </c>
      <c r="E179" s="49" t="s">
        <v>151</v>
      </c>
      <c r="F179" s="39">
        <v>2</v>
      </c>
      <c r="G179" s="75" t="s">
        <v>1048</v>
      </c>
      <c r="H179" s="50" t="s">
        <v>293</v>
      </c>
      <c r="I179" s="50" t="s">
        <v>1049</v>
      </c>
      <c r="J179" s="50" t="s">
        <v>1050</v>
      </c>
      <c r="K179" s="50"/>
      <c r="L179" s="47"/>
      <c r="M179" s="47"/>
      <c r="N179" s="47"/>
      <c r="O179" s="47"/>
      <c r="P179" s="47"/>
      <c r="Q179" s="47"/>
      <c r="R179" s="47"/>
      <c r="S179" s="47"/>
      <c r="T179" s="47"/>
      <c r="U179" s="47"/>
      <c r="V179" s="50" t="s">
        <v>481</v>
      </c>
      <c r="W179" s="74">
        <v>0</v>
      </c>
      <c r="X179" s="39">
        <f>MAX(0,$AK179-$W179-$Z179)</f>
        <v>0</v>
      </c>
      <c r="Y179" s="39"/>
      <c r="Z179" s="39"/>
      <c r="AA179" s="41">
        <v>0.38</v>
      </c>
      <c r="AB179" s="41">
        <f>IF(AND($X179&gt;0,ISNUMBER($AA179)),$X179*$AA179,0)</f>
        <v>0</v>
      </c>
      <c r="AC179" s="59"/>
      <c r="AD179" s="59"/>
      <c r="AE179" s="59"/>
      <c r="AF179" s="59"/>
      <c r="AG179" s="59"/>
      <c r="AH179" s="59"/>
      <c r="AI179" s="59"/>
      <c r="AJ179" s="59"/>
      <c r="AK179" s="39">
        <f>SUM(AL179:AR179)</f>
        <v>0</v>
      </c>
      <c r="AL179" s="114"/>
      <c r="AM179" s="43"/>
      <c r="AN179" s="43"/>
      <c r="AO179" s="43"/>
      <c r="AP179" s="43"/>
      <c r="AQ179" s="43"/>
      <c r="AR179" s="116"/>
      <c r="AS179" s="42">
        <f>SUM(AT179:AZ179)</f>
        <v>0</v>
      </c>
      <c r="AT179" s="48"/>
      <c r="AU179" s="48"/>
      <c r="AV179" s="48"/>
      <c r="AW179" s="48"/>
      <c r="AX179" s="48"/>
      <c r="AY179" s="48"/>
      <c r="AZ179" s="48"/>
      <c r="BA179" s="43">
        <f>IF((W179-SUM(AT179:AZ179))&lt;0,0,W179-SUM(AT179:AZ179))</f>
        <v>0</v>
      </c>
      <c r="BB179" s="49"/>
      <c r="BC179" s="47"/>
      <c r="BD179" s="126"/>
    </row>
    <row r="180" spans="1:56" ht="15" customHeight="1">
      <c r="A180" s="49" t="s">
        <v>1051</v>
      </c>
      <c r="B180" s="39" t="s">
        <v>96</v>
      </c>
      <c r="C180" s="46" t="s">
        <v>65</v>
      </c>
      <c r="D180" s="49" t="s">
        <v>97</v>
      </c>
      <c r="E180" s="49" t="s">
        <v>915</v>
      </c>
      <c r="F180" s="39">
        <v>2</v>
      </c>
      <c r="G180" s="75" t="s">
        <v>1052</v>
      </c>
      <c r="H180" s="50" t="s">
        <v>314</v>
      </c>
      <c r="I180" s="50" t="s">
        <v>1053</v>
      </c>
      <c r="J180" s="50"/>
      <c r="K180" s="50"/>
      <c r="L180" s="47"/>
      <c r="M180" s="47"/>
      <c r="N180" s="47"/>
      <c r="O180" s="68"/>
      <c r="P180" s="68"/>
      <c r="Q180" s="47"/>
      <c r="R180" s="47"/>
      <c r="S180" s="47"/>
      <c r="T180" s="68"/>
      <c r="U180" s="68"/>
      <c r="V180" s="50" t="s">
        <v>615</v>
      </c>
      <c r="W180" s="74">
        <v>1</v>
      </c>
      <c r="X180" s="39">
        <f>MAX(0,$AK180-$W180-$Z180)</f>
        <v>0</v>
      </c>
      <c r="Y180" s="39"/>
      <c r="Z180" s="39"/>
      <c r="AA180" s="41">
        <v>0.27</v>
      </c>
      <c r="AB180" s="41">
        <f>IF(AND($X180&gt;0,ISNUMBER($AA180)),$X180*$AA180,0)</f>
        <v>0</v>
      </c>
      <c r="AK180" s="39">
        <f>SUM(AL180:AR180)</f>
        <v>1</v>
      </c>
      <c r="AL180" s="102">
        <v>1</v>
      </c>
      <c r="AM180" s="38"/>
      <c r="AN180" s="38"/>
      <c r="AO180" s="38"/>
      <c r="AP180" s="38"/>
      <c r="AQ180" s="38"/>
      <c r="AR180" s="91"/>
      <c r="AS180" s="42">
        <f>SUM(AT180:AZ180)</f>
        <v>1</v>
      </c>
      <c r="AT180" s="48">
        <v>1</v>
      </c>
      <c r="AU180" s="48"/>
      <c r="AV180" s="48"/>
      <c r="AW180" s="48"/>
      <c r="AX180" s="48"/>
      <c r="AY180" s="48"/>
      <c r="AZ180" s="48"/>
      <c r="BA180" s="43">
        <f>IF((W180-SUM(AT180:AZ180))&lt;0,0,W180-SUM(AT180:AZ180))</f>
        <v>0</v>
      </c>
      <c r="BB180" s="49"/>
      <c r="BC180" s="47"/>
      <c r="BD180" s="47"/>
    </row>
    <row r="181" spans="1:56" ht="15" customHeight="1">
      <c r="A181" s="49" t="s">
        <v>321</v>
      </c>
      <c r="B181" s="39" t="s">
        <v>96</v>
      </c>
      <c r="C181" s="46" t="s">
        <v>65</v>
      </c>
      <c r="D181" s="49" t="s">
        <v>105</v>
      </c>
      <c r="E181" s="49"/>
      <c r="F181" s="39">
        <v>2</v>
      </c>
      <c r="G181" s="75" t="s">
        <v>322</v>
      </c>
      <c r="H181" s="50" t="s">
        <v>314</v>
      </c>
      <c r="I181" s="50" t="s">
        <v>323</v>
      </c>
      <c r="J181" s="50" t="s">
        <v>324</v>
      </c>
      <c r="K181" s="50"/>
      <c r="L181" s="46"/>
      <c r="M181" s="46"/>
      <c r="N181" s="46"/>
      <c r="O181" s="46"/>
      <c r="P181" s="46"/>
      <c r="Q181" s="46"/>
      <c r="R181" s="46"/>
      <c r="S181" s="46"/>
      <c r="T181" s="46"/>
      <c r="U181" s="46"/>
      <c r="V181" s="50" t="s">
        <v>325</v>
      </c>
      <c r="W181" s="74">
        <v>3</v>
      </c>
      <c r="X181" s="39">
        <f>MAX(0,$AK181-$W181-$Z181)</f>
        <v>0</v>
      </c>
      <c r="Y181" s="39"/>
      <c r="Z181" s="39"/>
      <c r="AA181" s="41">
        <v>0.28999999999999998</v>
      </c>
      <c r="AB181" s="41">
        <f>IF(AND($X181&gt;0,ISNUMBER($AA181)),$X181*$AA181,0)</f>
        <v>0</v>
      </c>
      <c r="AK181" s="39">
        <f>SUM(AL181:AR181)</f>
        <v>3</v>
      </c>
      <c r="AL181" s="102">
        <v>1</v>
      </c>
      <c r="AM181" s="38"/>
      <c r="AN181" s="38"/>
      <c r="AO181" s="38"/>
      <c r="AP181" s="97">
        <v>1</v>
      </c>
      <c r="AQ181" s="97">
        <v>1</v>
      </c>
      <c r="AR181" s="91"/>
      <c r="AS181" s="42">
        <f>SUM(AT181:AZ181)</f>
        <v>3</v>
      </c>
      <c r="AT181" s="48">
        <v>1</v>
      </c>
      <c r="AU181" s="48"/>
      <c r="AV181" s="48"/>
      <c r="AW181" s="48"/>
      <c r="AX181" s="48">
        <v>1</v>
      </c>
      <c r="AY181" s="48">
        <v>1</v>
      </c>
      <c r="AZ181" s="48"/>
      <c r="BA181" s="43">
        <f>IF((W181-SUM(AT181:AZ181))&lt;0,0,W181-SUM(AT181:AZ181))</f>
        <v>0</v>
      </c>
      <c r="BB181" s="49"/>
      <c r="BC181" s="47"/>
      <c r="BD181" s="47"/>
    </row>
    <row r="182" spans="1:56" ht="15" customHeight="1">
      <c r="A182" s="49" t="s">
        <v>326</v>
      </c>
      <c r="B182" s="39" t="s">
        <v>96</v>
      </c>
      <c r="C182" s="46" t="s">
        <v>65</v>
      </c>
      <c r="D182" s="49" t="s">
        <v>97</v>
      </c>
      <c r="E182" s="49" t="s">
        <v>327</v>
      </c>
      <c r="F182" s="39">
        <v>7</v>
      </c>
      <c r="G182" s="75" t="s">
        <v>328</v>
      </c>
      <c r="H182" s="50" t="s">
        <v>153</v>
      </c>
      <c r="I182" s="50" t="s">
        <v>329</v>
      </c>
      <c r="J182" s="50" t="s">
        <v>330</v>
      </c>
      <c r="K182" s="50"/>
      <c r="L182" s="47"/>
      <c r="M182" s="47"/>
      <c r="N182" s="47"/>
      <c r="O182" s="47"/>
      <c r="P182" s="47"/>
      <c r="Q182" s="47"/>
      <c r="R182" s="47"/>
      <c r="S182" s="47"/>
      <c r="T182" s="47"/>
      <c r="U182" s="47"/>
      <c r="V182" s="50" t="s">
        <v>331</v>
      </c>
      <c r="W182" s="74">
        <v>1</v>
      </c>
      <c r="X182" s="39">
        <f>MAX(0,$AK182-$W182-$Z182)</f>
        <v>0</v>
      </c>
      <c r="Y182" s="39"/>
      <c r="Z182" s="39"/>
      <c r="AA182" s="41">
        <v>0.36</v>
      </c>
      <c r="AB182" s="41">
        <f>IF(AND($X182&gt;0,ISNUMBER($AA182)),$X182*$AA182,0)</f>
        <v>0</v>
      </c>
      <c r="AG182" s="63"/>
      <c r="AK182" s="39">
        <f>SUM(AL182:AR182)</f>
        <v>0</v>
      </c>
      <c r="AL182" s="90"/>
      <c r="AM182" s="38"/>
      <c r="AN182" s="38"/>
      <c r="AO182" s="38"/>
      <c r="AP182" s="99"/>
      <c r="AQ182" s="38"/>
      <c r="AR182" s="91"/>
      <c r="AS182" s="42">
        <f>SUM(AT182:AZ182)</f>
        <v>0</v>
      </c>
      <c r="AT182" s="48"/>
      <c r="AU182" s="48"/>
      <c r="AV182" s="48"/>
      <c r="AW182" s="48"/>
      <c r="AX182" s="48"/>
      <c r="AY182" s="48"/>
      <c r="AZ182" s="48"/>
      <c r="BA182" s="43">
        <f>IF((W182-SUM(AT182:AZ182))&lt;0,0,W182-SUM(AT182:AZ182))</f>
        <v>1</v>
      </c>
      <c r="BB182" s="49"/>
      <c r="BC182" s="47"/>
      <c r="BD182" s="47"/>
    </row>
    <row r="183" spans="1:56" ht="15" customHeight="1">
      <c r="A183" s="44" t="s">
        <v>159</v>
      </c>
      <c r="B183" s="45" t="s">
        <v>96</v>
      </c>
      <c r="C183" s="46" t="s">
        <v>65</v>
      </c>
      <c r="D183" s="44" t="s">
        <v>84</v>
      </c>
      <c r="E183" s="44" t="s">
        <v>160</v>
      </c>
      <c r="F183" s="45">
        <v>2</v>
      </c>
      <c r="G183" s="75" t="s">
        <v>161</v>
      </c>
      <c r="H183" s="44" t="s">
        <v>162</v>
      </c>
      <c r="I183" s="44" t="s">
        <v>163</v>
      </c>
      <c r="J183" s="44" t="s">
        <v>164</v>
      </c>
      <c r="K183" s="44"/>
      <c r="L183" s="108" t="s">
        <v>165</v>
      </c>
      <c r="M183" s="46">
        <v>1</v>
      </c>
      <c r="N183" s="46">
        <v>1</v>
      </c>
      <c r="O183" s="68" t="s">
        <v>166</v>
      </c>
      <c r="P183" s="110">
        <v>0.19</v>
      </c>
      <c r="Q183" s="47"/>
      <c r="R183" s="47"/>
      <c r="S183" s="47"/>
      <c r="T183" s="68"/>
      <c r="U183" s="68"/>
      <c r="V183" s="44" t="s">
        <v>167</v>
      </c>
      <c r="W183" s="74">
        <v>2</v>
      </c>
      <c r="X183" s="39">
        <f>MAX(0,$AK183-$W183-$Z183)</f>
        <v>0</v>
      </c>
      <c r="Y183" s="44"/>
      <c r="Z183" s="44"/>
      <c r="AA183" s="44">
        <v>0.19</v>
      </c>
      <c r="AB183" s="44">
        <f>IF(AND($X183&gt;0,ISNUMBER($AA183)),$X183*$AA183,0)</f>
        <v>0</v>
      </c>
      <c r="AF183" s="63" t="s">
        <v>168</v>
      </c>
      <c r="AG183" s="63"/>
      <c r="AK183" s="39">
        <f>SUM(AL183:AR183)</f>
        <v>2</v>
      </c>
      <c r="AL183" s="90"/>
      <c r="AM183" s="38"/>
      <c r="AN183" s="38"/>
      <c r="AO183" s="99">
        <v>1</v>
      </c>
      <c r="AP183" s="98">
        <v>1</v>
      </c>
      <c r="AQ183" s="38"/>
      <c r="AR183" s="91"/>
      <c r="AS183" s="42">
        <f>SUM(AT183:AZ183)</f>
        <v>2</v>
      </c>
      <c r="AT183" s="48"/>
      <c r="AU183" s="48"/>
      <c r="AV183" s="48"/>
      <c r="AW183" s="48">
        <v>1</v>
      </c>
      <c r="AX183" s="48">
        <v>1</v>
      </c>
      <c r="AY183" s="48"/>
      <c r="AZ183" s="48"/>
      <c r="BA183" s="43">
        <f>IF((W183-SUM(AT183:AZ183))&lt;0,0,W183-SUM(AT183:AZ183))</f>
        <v>0</v>
      </c>
      <c r="BB183" s="44"/>
      <c r="BC183" s="47"/>
      <c r="BD183" s="47"/>
    </row>
    <row r="184" spans="1:56" ht="15" customHeight="1">
      <c r="A184" s="49" t="s">
        <v>332</v>
      </c>
      <c r="B184" s="39" t="s">
        <v>96</v>
      </c>
      <c r="C184" s="46" t="s">
        <v>65</v>
      </c>
      <c r="D184" s="44" t="s">
        <v>105</v>
      </c>
      <c r="E184" s="44"/>
      <c r="F184" s="45">
        <v>2</v>
      </c>
      <c r="G184" s="75" t="s">
        <v>333</v>
      </c>
      <c r="H184" s="44" t="s">
        <v>314</v>
      </c>
      <c r="I184" s="44" t="s">
        <v>334</v>
      </c>
      <c r="J184" s="44"/>
      <c r="K184" s="44"/>
      <c r="L184" s="47"/>
      <c r="M184" s="47"/>
      <c r="N184" s="47"/>
      <c r="O184" s="47"/>
      <c r="P184" s="47"/>
      <c r="Q184" s="47"/>
      <c r="R184" s="47"/>
      <c r="S184" s="47"/>
      <c r="T184" s="47"/>
      <c r="U184" s="47"/>
      <c r="V184" s="44" t="s">
        <v>335</v>
      </c>
      <c r="W184" s="74">
        <v>2</v>
      </c>
      <c r="X184" s="39">
        <f>MAX(0,$AK184-$W184-$Z184)</f>
        <v>0</v>
      </c>
      <c r="Y184" s="44"/>
      <c r="Z184" s="44"/>
      <c r="AA184" s="44">
        <v>0.32</v>
      </c>
      <c r="AB184" s="44">
        <f>IF(AND($X184&gt;0,ISNUMBER($AA184)),$X184*$AA184,0)</f>
        <v>0</v>
      </c>
      <c r="AK184" s="39">
        <f>SUM(AL184:AR184)</f>
        <v>2</v>
      </c>
      <c r="AL184" s="90"/>
      <c r="AM184" s="38"/>
      <c r="AN184" s="38"/>
      <c r="AO184" s="97">
        <v>1</v>
      </c>
      <c r="AP184" s="97">
        <v>1</v>
      </c>
      <c r="AQ184" s="38"/>
      <c r="AR184" s="91"/>
      <c r="AS184" s="42">
        <f>SUM(AT184:AZ184)</f>
        <v>2</v>
      </c>
      <c r="AT184" s="48"/>
      <c r="AU184" s="48"/>
      <c r="AV184" s="48"/>
      <c r="AW184" s="48">
        <v>1</v>
      </c>
      <c r="AX184" s="48">
        <v>1</v>
      </c>
      <c r="AY184" s="48"/>
      <c r="AZ184" s="48"/>
      <c r="BA184" s="43">
        <f>IF((W184-SUM(AT184:AZ184))&lt;0,0,W184-SUM(AT184:AZ184))</f>
        <v>0</v>
      </c>
      <c r="BB184" s="44"/>
      <c r="BC184" s="47"/>
      <c r="BD184" s="47"/>
    </row>
    <row r="185" spans="1:56" ht="15" customHeight="1">
      <c r="A185" s="49" t="s">
        <v>1054</v>
      </c>
      <c r="B185" s="39" t="s">
        <v>96</v>
      </c>
      <c r="C185" s="46" t="s">
        <v>83</v>
      </c>
      <c r="D185" s="49" t="s">
        <v>105</v>
      </c>
      <c r="E185" s="49"/>
      <c r="F185" s="39">
        <v>4</v>
      </c>
      <c r="G185" s="75" t="s">
        <v>1055</v>
      </c>
      <c r="H185" s="50" t="s">
        <v>87</v>
      </c>
      <c r="I185" s="50" t="s">
        <v>1056</v>
      </c>
      <c r="J185" s="50"/>
      <c r="K185" s="50"/>
      <c r="L185" s="47"/>
      <c r="M185" s="47"/>
      <c r="N185" s="47"/>
      <c r="O185" s="47"/>
      <c r="P185" s="47"/>
      <c r="Q185" s="47"/>
      <c r="R185" s="47"/>
      <c r="S185" s="47"/>
      <c r="T185" s="47"/>
      <c r="U185" s="47"/>
      <c r="V185" s="50" t="s">
        <v>103</v>
      </c>
      <c r="W185" s="74">
        <v>0</v>
      </c>
      <c r="X185" s="39">
        <f>MAX(0,$AK185-$W185-$Z185)</f>
        <v>0</v>
      </c>
      <c r="Y185" s="39"/>
      <c r="Z185" s="39"/>
      <c r="AA185" s="41">
        <v>6.92</v>
      </c>
      <c r="AB185" s="41">
        <f>IF(AND($X185&gt;0,ISNUMBER($AA185)),$X185*$AA185,0)</f>
        <v>0</v>
      </c>
      <c r="AC185" s="59"/>
      <c r="AD185" s="59"/>
      <c r="AE185" s="59"/>
      <c r="AF185" s="59"/>
      <c r="AG185" s="59"/>
      <c r="AH185" s="59"/>
      <c r="AI185" s="59"/>
      <c r="AJ185" s="59"/>
      <c r="AK185" s="39">
        <f>SUM(AL185:AR185)</f>
        <v>0</v>
      </c>
      <c r="AL185" s="114"/>
      <c r="AM185" s="43"/>
      <c r="AN185" s="43"/>
      <c r="AO185" s="43"/>
      <c r="AP185" s="43"/>
      <c r="AQ185" s="43"/>
      <c r="AR185" s="116"/>
      <c r="AS185" s="42">
        <f>SUM(AT185:AZ185)</f>
        <v>0</v>
      </c>
      <c r="AT185" s="48"/>
      <c r="AU185" s="48"/>
      <c r="AV185" s="48"/>
      <c r="AW185" s="48"/>
      <c r="AX185" s="48"/>
      <c r="AY185" s="48"/>
      <c r="AZ185" s="48"/>
      <c r="BA185" s="43">
        <f>IF((W185-SUM(AT185:AZ185))&lt;0,0,W185-SUM(AT185:AZ185))</f>
        <v>0</v>
      </c>
      <c r="BB185" s="49"/>
      <c r="BC185" s="47"/>
      <c r="BD185" s="47"/>
    </row>
    <row r="186" spans="1:56" ht="15" customHeight="1">
      <c r="A186" s="49" t="s">
        <v>1057</v>
      </c>
      <c r="B186" s="39" t="s">
        <v>96</v>
      </c>
      <c r="C186" s="46" t="s">
        <v>65</v>
      </c>
      <c r="D186" s="49" t="s">
        <v>105</v>
      </c>
      <c r="E186" s="49"/>
      <c r="F186" s="39">
        <v>3</v>
      </c>
      <c r="G186" s="75" t="s">
        <v>1058</v>
      </c>
      <c r="H186" s="50" t="s">
        <v>446</v>
      </c>
      <c r="I186" s="50" t="s">
        <v>1059</v>
      </c>
      <c r="J186" s="50" t="s">
        <v>875</v>
      </c>
      <c r="K186" s="50"/>
      <c r="L186" s="47"/>
      <c r="M186" s="47"/>
      <c r="N186" s="47"/>
      <c r="O186" s="47"/>
      <c r="P186" s="47"/>
      <c r="Q186" s="47"/>
      <c r="R186" s="47"/>
      <c r="S186" s="47"/>
      <c r="T186" s="47"/>
      <c r="U186" s="47"/>
      <c r="V186" s="50" t="s">
        <v>1060</v>
      </c>
      <c r="W186" s="74">
        <v>1</v>
      </c>
      <c r="X186" s="39">
        <f>MAX(0,$AK186-$W186-$Z186)</f>
        <v>0</v>
      </c>
      <c r="Y186" s="39"/>
      <c r="Z186" s="39"/>
      <c r="AA186" s="41">
        <v>2.52</v>
      </c>
      <c r="AB186" s="41">
        <f>IF(AND($X186&gt;0,ISNUMBER($AA186)),$X186*$AA186,0)</f>
        <v>0</v>
      </c>
      <c r="AK186" s="39">
        <f>SUM(AL186:AR186)</f>
        <v>1</v>
      </c>
      <c r="AL186" s="90"/>
      <c r="AM186" s="38"/>
      <c r="AN186" s="38"/>
      <c r="AO186" s="38"/>
      <c r="AP186" s="38"/>
      <c r="AQ186" s="97">
        <v>1</v>
      </c>
      <c r="AR186" s="91"/>
      <c r="AS186" s="42">
        <f>SUM(AT186:AZ186)</f>
        <v>1</v>
      </c>
      <c r="AT186" s="48"/>
      <c r="AU186" s="48"/>
      <c r="AV186" s="48"/>
      <c r="AW186" s="48"/>
      <c r="AX186" s="48"/>
      <c r="AY186" s="48">
        <v>1</v>
      </c>
      <c r="AZ186" s="48"/>
      <c r="BA186" s="43">
        <f>IF((W186-SUM(AT186:AZ186))&lt;0,0,W186-SUM(AT186:AZ186))</f>
        <v>0</v>
      </c>
      <c r="BB186" s="49"/>
      <c r="BC186" s="47"/>
      <c r="BD186" s="126"/>
    </row>
    <row r="187" spans="1:56" ht="15" customHeight="1">
      <c r="A187" s="49" t="s">
        <v>1061</v>
      </c>
      <c r="B187" s="39" t="s">
        <v>96</v>
      </c>
      <c r="C187" s="46" t="s">
        <v>65</v>
      </c>
      <c r="D187" s="49" t="s">
        <v>105</v>
      </c>
      <c r="E187" s="49"/>
      <c r="F187" s="39">
        <v>2</v>
      </c>
      <c r="G187" s="75" t="s">
        <v>1062</v>
      </c>
      <c r="H187" s="50" t="s">
        <v>564</v>
      </c>
      <c r="I187" s="50" t="s">
        <v>1063</v>
      </c>
      <c r="J187" s="50" t="s">
        <v>1064</v>
      </c>
      <c r="K187" s="50"/>
      <c r="L187" s="47"/>
      <c r="M187" s="47"/>
      <c r="N187" s="47"/>
      <c r="O187" s="47"/>
      <c r="P187" s="47"/>
      <c r="Q187" s="47"/>
      <c r="R187" s="47"/>
      <c r="S187" s="47"/>
      <c r="T187" s="47"/>
      <c r="U187" s="47"/>
      <c r="V187" s="50" t="s">
        <v>103</v>
      </c>
      <c r="W187" s="74">
        <v>1</v>
      </c>
      <c r="X187" s="39">
        <f>MAX(0,$AK187-$W187-$Z187)</f>
        <v>0</v>
      </c>
      <c r="Y187" s="39"/>
      <c r="Z187" s="39"/>
      <c r="AA187" s="41">
        <v>0.28999999999999998</v>
      </c>
      <c r="AB187" s="41">
        <f>IF(AND($X187&gt;0,ISNUMBER($AA187)),$X187*$AA187,0)</f>
        <v>0</v>
      </c>
      <c r="AK187" s="39">
        <f>SUM(AL187:AR187)</f>
        <v>1</v>
      </c>
      <c r="AL187" s="102">
        <v>1</v>
      </c>
      <c r="AM187" s="38"/>
      <c r="AN187" s="38"/>
      <c r="AO187" s="38"/>
      <c r="AP187" s="38"/>
      <c r="AQ187" s="38"/>
      <c r="AR187" s="91"/>
      <c r="AS187" s="42">
        <f>SUM(AT187:AZ187)</f>
        <v>1</v>
      </c>
      <c r="AT187" s="48">
        <v>1</v>
      </c>
      <c r="AU187" s="48"/>
      <c r="AV187" s="48"/>
      <c r="AW187" s="48"/>
      <c r="AX187" s="48"/>
      <c r="AY187" s="48"/>
      <c r="AZ187" s="48"/>
      <c r="BA187" s="43">
        <f>IF((W187-SUM(AT187:AZ187))&lt;0,0,W187-SUM(AT187:AZ187))</f>
        <v>0</v>
      </c>
      <c r="BB187" s="49"/>
      <c r="BC187" s="47"/>
      <c r="BD187" s="47"/>
    </row>
    <row r="188" spans="1:56" ht="15" customHeight="1">
      <c r="A188" s="49" t="s">
        <v>169</v>
      </c>
      <c r="B188" s="39" t="s">
        <v>96</v>
      </c>
      <c r="C188" s="46" t="s">
        <v>65</v>
      </c>
      <c r="D188" s="49" t="s">
        <v>97</v>
      </c>
      <c r="E188" s="49" t="s">
        <v>170</v>
      </c>
      <c r="F188" s="39">
        <v>3</v>
      </c>
      <c r="G188" s="75" t="s">
        <v>171</v>
      </c>
      <c r="H188" s="50" t="s">
        <v>172</v>
      </c>
      <c r="I188" s="50" t="s">
        <v>173</v>
      </c>
      <c r="J188" s="50" t="s">
        <v>174</v>
      </c>
      <c r="K188" s="50"/>
      <c r="L188" s="47"/>
      <c r="M188" s="47"/>
      <c r="N188" s="47"/>
      <c r="O188" s="68"/>
      <c r="P188" s="68"/>
      <c r="Q188" s="47"/>
      <c r="R188" s="47"/>
      <c r="S188" s="47"/>
      <c r="T188" s="68"/>
      <c r="U188" s="68"/>
      <c r="V188" s="50" t="s">
        <v>175</v>
      </c>
      <c r="W188" s="74">
        <v>3</v>
      </c>
      <c r="X188" s="39">
        <f>MAX(0,$AK188-$W188-$Z188)</f>
        <v>0</v>
      </c>
      <c r="Y188" s="39"/>
      <c r="Z188" s="39"/>
      <c r="AA188" s="41">
        <v>0.17</v>
      </c>
      <c r="AB188" s="41">
        <f>IF(AND($X188&gt;0,ISNUMBER($AA188)),$X188*$AA188,0)</f>
        <v>0</v>
      </c>
      <c r="AD188" s="63"/>
      <c r="AG188" s="63" t="s">
        <v>176</v>
      </c>
      <c r="AH188" s="63" t="s">
        <v>176</v>
      </c>
      <c r="AI188" s="63"/>
      <c r="AK188" s="39">
        <f>SUM(AL188:AR188)</f>
        <v>3</v>
      </c>
      <c r="AL188" s="90"/>
      <c r="AM188" s="98">
        <v>1</v>
      </c>
      <c r="AN188" s="38"/>
      <c r="AO188" s="38"/>
      <c r="AP188" s="98">
        <v>1</v>
      </c>
      <c r="AQ188" s="99">
        <v>1</v>
      </c>
      <c r="AR188" s="91"/>
      <c r="AS188" s="42">
        <f>SUM(AT188:AZ188)</f>
        <v>3</v>
      </c>
      <c r="AT188" s="48"/>
      <c r="AU188" s="48">
        <v>1</v>
      </c>
      <c r="AV188" s="48"/>
      <c r="AW188" s="48"/>
      <c r="AX188" s="48">
        <v>1</v>
      </c>
      <c r="AY188" s="48">
        <v>1</v>
      </c>
      <c r="AZ188" s="48"/>
      <c r="BA188" s="43">
        <f>IF((W188-SUM(AT188:AZ188))&lt;0,0,W188-SUM(AT188:AZ188))</f>
        <v>0</v>
      </c>
      <c r="BB188" s="49"/>
      <c r="BC188" s="47"/>
      <c r="BD188" s="47"/>
    </row>
    <row r="189" spans="1:56" ht="15" customHeight="1">
      <c r="A189" s="49" t="s">
        <v>1065</v>
      </c>
      <c r="B189" s="39" t="s">
        <v>96</v>
      </c>
      <c r="C189" s="46" t="s">
        <v>65</v>
      </c>
      <c r="D189" s="49" t="s">
        <v>105</v>
      </c>
      <c r="E189" s="49"/>
      <c r="F189" s="39">
        <v>2</v>
      </c>
      <c r="G189" s="75" t="s">
        <v>1066</v>
      </c>
      <c r="H189" s="50" t="s">
        <v>314</v>
      </c>
      <c r="I189" s="50" t="s">
        <v>1067</v>
      </c>
      <c r="J189" s="50" t="s">
        <v>1068</v>
      </c>
      <c r="K189" s="50"/>
      <c r="L189" s="47"/>
      <c r="M189" s="47"/>
      <c r="N189" s="47"/>
      <c r="O189" s="47"/>
      <c r="P189" s="47"/>
      <c r="Q189" s="47"/>
      <c r="R189" s="47"/>
      <c r="S189" s="47"/>
      <c r="T189" s="47"/>
      <c r="U189" s="47"/>
      <c r="V189" s="50" t="s">
        <v>1069</v>
      </c>
      <c r="W189" s="74">
        <v>0</v>
      </c>
      <c r="X189" s="39">
        <f>MAX(0,$AK189-$W189-$Z189)</f>
        <v>0</v>
      </c>
      <c r="Y189" s="39"/>
      <c r="Z189" s="39"/>
      <c r="AA189" s="41">
        <v>0.4</v>
      </c>
      <c r="AB189" s="41">
        <f>IF(AND($X189&gt;0,ISNUMBER($AA189)),$X189*$AA189,0)</f>
        <v>0</v>
      </c>
      <c r="AC189" s="59"/>
      <c r="AD189" s="59"/>
      <c r="AE189" s="59"/>
      <c r="AF189" s="59"/>
      <c r="AG189" s="59"/>
      <c r="AH189" s="59"/>
      <c r="AI189" s="59"/>
      <c r="AJ189" s="59"/>
      <c r="AK189" s="39">
        <f>SUM(AL189:AR189)</f>
        <v>0</v>
      </c>
      <c r="AL189" s="114"/>
      <c r="AM189" s="43"/>
      <c r="AN189" s="43"/>
      <c r="AO189" s="43"/>
      <c r="AP189" s="43"/>
      <c r="AQ189" s="43"/>
      <c r="AR189" s="116"/>
      <c r="AS189" s="42">
        <f>SUM(AT189:AZ189)</f>
        <v>0</v>
      </c>
      <c r="AT189" s="48"/>
      <c r="AU189" s="48"/>
      <c r="AV189" s="48"/>
      <c r="AW189" s="48"/>
      <c r="AX189" s="48"/>
      <c r="AY189" s="48"/>
      <c r="AZ189" s="48"/>
      <c r="BA189" s="43">
        <f>IF((W189-SUM(AT189:AZ189))&lt;0,0,W189-SUM(AT189:AZ189))</f>
        <v>0</v>
      </c>
      <c r="BB189" s="49"/>
      <c r="BC189" s="47"/>
      <c r="BD189" s="47"/>
    </row>
    <row r="190" spans="1:56" ht="15" customHeight="1">
      <c r="A190" s="44" t="s">
        <v>1074</v>
      </c>
      <c r="B190" s="45" t="s">
        <v>96</v>
      </c>
      <c r="C190" s="46" t="s">
        <v>65</v>
      </c>
      <c r="D190" s="44" t="s">
        <v>97</v>
      </c>
      <c r="E190" s="44" t="s">
        <v>1075</v>
      </c>
      <c r="F190" s="45">
        <v>5</v>
      </c>
      <c r="G190" s="75" t="s">
        <v>1076</v>
      </c>
      <c r="H190" s="44" t="s">
        <v>293</v>
      </c>
      <c r="I190" s="44" t="s">
        <v>1077</v>
      </c>
      <c r="J190" s="44" t="s">
        <v>1078</v>
      </c>
      <c r="K190" s="44"/>
      <c r="L190" s="108"/>
      <c r="M190" s="46"/>
      <c r="N190" s="46"/>
      <c r="O190" s="68"/>
      <c r="P190" s="110"/>
      <c r="Q190" s="108"/>
      <c r="R190" s="46"/>
      <c r="S190" s="46"/>
      <c r="T190" s="68"/>
      <c r="U190" s="111"/>
      <c r="V190" s="44" t="s">
        <v>660</v>
      </c>
      <c r="W190" s="74">
        <v>0</v>
      </c>
      <c r="X190" s="39">
        <f>MAX(0,$AK190-$W190-$Z190)</f>
        <v>0</v>
      </c>
      <c r="Y190" s="44"/>
      <c r="Z190" s="44"/>
      <c r="AA190" s="44">
        <v>2.69</v>
      </c>
      <c r="AB190" s="44">
        <f>IF(AND($X190&gt;0,ISNUMBER($AA190)),$X190*$AA190,0)</f>
        <v>0</v>
      </c>
      <c r="AK190" s="39">
        <f>SUM(AL190:AR190)</f>
        <v>0</v>
      </c>
      <c r="AL190" s="90"/>
      <c r="AM190" s="38"/>
      <c r="AN190" s="38"/>
      <c r="AO190" s="38"/>
      <c r="AP190" s="38"/>
      <c r="AQ190" s="38"/>
      <c r="AR190" s="91"/>
      <c r="AS190" s="42">
        <f>SUM(AT190:AZ190)</f>
        <v>0</v>
      </c>
      <c r="AT190" s="48"/>
      <c r="AU190" s="48"/>
      <c r="AV190" s="48"/>
      <c r="AW190" s="48"/>
      <c r="AX190" s="48"/>
      <c r="AY190" s="48"/>
      <c r="AZ190" s="48"/>
      <c r="BA190" s="43">
        <f>IF((W190-SUM(AT190:AZ190))&lt;0,0,W190-SUM(AT190:AZ190))</f>
        <v>0</v>
      </c>
      <c r="BB190" s="44"/>
      <c r="BC190" s="47"/>
      <c r="BD190" s="47"/>
    </row>
    <row r="191" spans="1:56" ht="15" customHeight="1">
      <c r="A191" s="49" t="s">
        <v>1079</v>
      </c>
      <c r="B191" s="39" t="s">
        <v>96</v>
      </c>
      <c r="C191" s="46" t="s">
        <v>83</v>
      </c>
      <c r="D191" s="49" t="s">
        <v>105</v>
      </c>
      <c r="E191" s="49"/>
      <c r="F191" s="39">
        <v>2</v>
      </c>
      <c r="G191" s="75" t="s">
        <v>1080</v>
      </c>
      <c r="H191" s="50" t="s">
        <v>408</v>
      </c>
      <c r="I191" s="50" t="s">
        <v>1080</v>
      </c>
      <c r="J191" s="50"/>
      <c r="K191" s="50"/>
      <c r="L191" s="46"/>
      <c r="M191" s="46"/>
      <c r="N191" s="46"/>
      <c r="O191" s="46"/>
      <c r="P191" s="46"/>
      <c r="Q191" s="46"/>
      <c r="R191" s="46"/>
      <c r="S191" s="46"/>
      <c r="T191" s="46"/>
      <c r="U191" s="46"/>
      <c r="V191" s="50" t="s">
        <v>1081</v>
      </c>
      <c r="W191" s="74">
        <v>0</v>
      </c>
      <c r="X191" s="39">
        <f>MAX(0,$AK191-$W191-$Z191)</f>
        <v>0</v>
      </c>
      <c r="Y191" s="39"/>
      <c r="Z191" s="39"/>
      <c r="AA191" s="41">
        <v>14.81</v>
      </c>
      <c r="AB191" s="41">
        <f>IF(AND($X191&gt;0,ISNUMBER($AA191)),$X191*$AA191,0)</f>
        <v>0</v>
      </c>
      <c r="AC191" s="59"/>
      <c r="AD191" s="59"/>
      <c r="AE191" s="59"/>
      <c r="AF191" s="59"/>
      <c r="AG191" s="59"/>
      <c r="AH191" s="59"/>
      <c r="AI191" s="59"/>
      <c r="AJ191" s="59"/>
      <c r="AK191" s="39">
        <f>SUM(AL191:AR191)</f>
        <v>0</v>
      </c>
      <c r="AL191" s="114"/>
      <c r="AM191" s="43"/>
      <c r="AN191" s="43"/>
      <c r="AO191" s="43"/>
      <c r="AP191" s="43"/>
      <c r="AQ191" s="43"/>
      <c r="AR191" s="116"/>
      <c r="AS191" s="42">
        <f>SUM(AT191:AZ191)</f>
        <v>0</v>
      </c>
      <c r="AT191" s="48"/>
      <c r="AU191" s="48"/>
      <c r="AV191" s="48"/>
      <c r="AW191" s="48"/>
      <c r="AX191" s="48"/>
      <c r="AY191" s="48"/>
      <c r="AZ191" s="48"/>
      <c r="BA191" s="43">
        <f>IF((W191-SUM(AT191:AZ191))&lt;0,0,W191-SUM(AT191:AZ191))</f>
        <v>0</v>
      </c>
      <c r="BB191" s="49"/>
      <c r="BC191" s="47"/>
      <c r="BD191" s="126"/>
    </row>
    <row r="192" spans="1:56" ht="15" customHeight="1">
      <c r="A192" s="49" t="s">
        <v>1082</v>
      </c>
      <c r="B192" s="39" t="s">
        <v>96</v>
      </c>
      <c r="C192" s="46" t="s">
        <v>65</v>
      </c>
      <c r="D192" s="44" t="s">
        <v>105</v>
      </c>
      <c r="E192" s="44"/>
      <c r="F192" s="45">
        <v>2</v>
      </c>
      <c r="G192" s="75" t="s">
        <v>1083</v>
      </c>
      <c r="H192" s="44" t="s">
        <v>314</v>
      </c>
      <c r="I192" s="44" t="s">
        <v>1084</v>
      </c>
      <c r="J192" s="44"/>
      <c r="K192" s="44"/>
      <c r="L192" s="47"/>
      <c r="M192" s="47"/>
      <c r="N192" s="47"/>
      <c r="O192" s="47"/>
      <c r="P192" s="47"/>
      <c r="Q192" s="47"/>
      <c r="R192" s="47"/>
      <c r="S192" s="47"/>
      <c r="T192" s="47"/>
      <c r="U192" s="47"/>
      <c r="V192" s="44" t="s">
        <v>1085</v>
      </c>
      <c r="W192" s="74">
        <v>1</v>
      </c>
      <c r="X192" s="39">
        <f>MAX(0,$AK192-$W192-$Z192)</f>
        <v>0</v>
      </c>
      <c r="Y192" s="44"/>
      <c r="Z192" s="44"/>
      <c r="AA192" s="44">
        <v>0.44</v>
      </c>
      <c r="AB192" s="44">
        <f>IF(AND($X192&gt;0,ISNUMBER($AA192)),$X192*$AA192,0)</f>
        <v>0</v>
      </c>
      <c r="AK192" s="39">
        <f>SUM(AL192:AR192)</f>
        <v>1</v>
      </c>
      <c r="AL192" s="90"/>
      <c r="AM192" s="38"/>
      <c r="AN192" s="38"/>
      <c r="AO192" s="97">
        <v>1</v>
      </c>
      <c r="AP192" s="38"/>
      <c r="AQ192" s="38"/>
      <c r="AR192" s="91"/>
      <c r="AS192" s="42">
        <f>SUM(AT192:AZ192)</f>
        <v>1</v>
      </c>
      <c r="AT192" s="48"/>
      <c r="AU192" s="48"/>
      <c r="AV192" s="48"/>
      <c r="AW192" s="48">
        <v>1</v>
      </c>
      <c r="AX192" s="48"/>
      <c r="AY192" s="48"/>
      <c r="AZ192" s="48"/>
      <c r="BA192" s="43">
        <f>IF((W192-SUM(AT192:AZ192))&lt;0,0,W192-SUM(AT192:AZ192))</f>
        <v>0</v>
      </c>
      <c r="BB192" s="44"/>
      <c r="BC192" s="47"/>
      <c r="BD192" s="126"/>
    </row>
    <row r="193" spans="1:56" ht="15" customHeight="1">
      <c r="A193" s="49" t="s">
        <v>1086</v>
      </c>
      <c r="B193" s="39" t="s">
        <v>96</v>
      </c>
      <c r="C193" s="46" t="s">
        <v>65</v>
      </c>
      <c r="D193" s="49" t="s">
        <v>97</v>
      </c>
      <c r="E193" s="49" t="s">
        <v>1087</v>
      </c>
      <c r="F193" s="39">
        <v>4</v>
      </c>
      <c r="G193" s="75" t="s">
        <v>1088</v>
      </c>
      <c r="H193" s="50" t="s">
        <v>1089</v>
      </c>
      <c r="I193" s="50" t="s">
        <v>853</v>
      </c>
      <c r="J193" s="50" t="s">
        <v>1090</v>
      </c>
      <c r="K193" s="50"/>
      <c r="L193" s="47"/>
      <c r="M193" s="47"/>
      <c r="N193" s="47"/>
      <c r="O193" s="47"/>
      <c r="P193" s="47"/>
      <c r="Q193" s="47"/>
      <c r="R193" s="47"/>
      <c r="S193" s="47"/>
      <c r="T193" s="47"/>
      <c r="U193" s="47"/>
      <c r="V193" s="50" t="s">
        <v>379</v>
      </c>
      <c r="W193" s="74">
        <v>1</v>
      </c>
      <c r="X193" s="39">
        <f>MAX(0,$AK193-$W193-$Z193)</f>
        <v>0</v>
      </c>
      <c r="Y193" s="39"/>
      <c r="Z193" s="39"/>
      <c r="AA193" s="41">
        <v>0.35</v>
      </c>
      <c r="AB193" s="41">
        <f>IF(AND($X193&gt;0,ISNUMBER($AA193)),$X193*$AA193,0)</f>
        <v>0</v>
      </c>
      <c r="AF193" s="63"/>
      <c r="AK193" s="39">
        <f>SUM(AL193:AR193)</f>
        <v>1</v>
      </c>
      <c r="AL193" s="90"/>
      <c r="AM193" s="38"/>
      <c r="AN193" s="38"/>
      <c r="AO193" s="97">
        <v>1</v>
      </c>
      <c r="AP193" s="38"/>
      <c r="AQ193" s="38"/>
      <c r="AR193" s="91"/>
      <c r="AS193" s="42">
        <f>SUM(AT193:AZ193)</f>
        <v>1</v>
      </c>
      <c r="AT193" s="48"/>
      <c r="AU193" s="48"/>
      <c r="AV193" s="48"/>
      <c r="AW193" s="48">
        <v>1</v>
      </c>
      <c r="AX193" s="48"/>
      <c r="AY193" s="48"/>
      <c r="AZ193" s="48"/>
      <c r="BA193" s="43">
        <f>IF((W193-SUM(AT193:AZ193))&lt;0,0,W193-SUM(AT193:AZ193))</f>
        <v>0</v>
      </c>
      <c r="BB193" s="49"/>
      <c r="BC193" s="47"/>
      <c r="BD193" s="47"/>
    </row>
    <row r="194" spans="1:56" ht="15" customHeight="1">
      <c r="A194" s="49" t="s">
        <v>1091</v>
      </c>
      <c r="B194" s="39" t="s">
        <v>96</v>
      </c>
      <c r="C194" s="46" t="s">
        <v>65</v>
      </c>
      <c r="D194" s="49" t="s">
        <v>105</v>
      </c>
      <c r="E194" s="49"/>
      <c r="F194" s="39">
        <v>2</v>
      </c>
      <c r="G194" s="75" t="s">
        <v>1092</v>
      </c>
      <c r="H194" s="50" t="s">
        <v>314</v>
      </c>
      <c r="I194" s="50" t="s">
        <v>1093</v>
      </c>
      <c r="J194" s="50"/>
      <c r="K194" s="50"/>
      <c r="L194" s="47"/>
      <c r="M194" s="47"/>
      <c r="N194" s="47"/>
      <c r="O194" s="47"/>
      <c r="P194" s="47"/>
      <c r="Q194" s="47"/>
      <c r="R194" s="47"/>
      <c r="S194" s="47"/>
      <c r="T194" s="47"/>
      <c r="U194" s="47"/>
      <c r="V194" s="50" t="s">
        <v>904</v>
      </c>
      <c r="W194" s="74">
        <v>2</v>
      </c>
      <c r="X194" s="39">
        <f>MAX(0,$AK194-$W194-$Z194)</f>
        <v>0</v>
      </c>
      <c r="Y194" s="39"/>
      <c r="Z194" s="39"/>
      <c r="AA194" s="41">
        <v>0.35</v>
      </c>
      <c r="AB194" s="41">
        <f>IF(AND($X194&gt;0,ISNUMBER($AA194)),$X194*$AA194,0)</f>
        <v>0</v>
      </c>
      <c r="AK194" s="39">
        <v>1</v>
      </c>
      <c r="AL194" s="90"/>
      <c r="AM194" s="38"/>
      <c r="AN194" s="97">
        <v>1</v>
      </c>
      <c r="AO194" s="38"/>
      <c r="AP194" s="38"/>
      <c r="AQ194" s="38"/>
      <c r="AR194" s="100"/>
      <c r="AS194" s="42">
        <f>SUM(AT194:AZ194)</f>
        <v>1</v>
      </c>
      <c r="AT194" s="48"/>
      <c r="AU194" s="48"/>
      <c r="AV194" s="48">
        <v>1</v>
      </c>
      <c r="AW194" s="48"/>
      <c r="AX194" s="48"/>
      <c r="AY194" s="48"/>
      <c r="AZ194" s="48"/>
      <c r="BA194" s="43">
        <f>IF((W194-SUM(AT194:AZ194))&lt;0,0,W194-SUM(AT194:AZ194))</f>
        <v>1</v>
      </c>
      <c r="BB194" s="49"/>
      <c r="BC194" s="47"/>
      <c r="BD194" s="126"/>
    </row>
    <row r="195" spans="1:56" ht="15" customHeight="1">
      <c r="A195" s="49" t="s">
        <v>336</v>
      </c>
      <c r="B195" s="39" t="s">
        <v>96</v>
      </c>
      <c r="C195" s="46" t="s">
        <v>65</v>
      </c>
      <c r="D195" s="49" t="s">
        <v>105</v>
      </c>
      <c r="E195" s="49" t="s">
        <v>151</v>
      </c>
      <c r="F195" s="39">
        <v>1</v>
      </c>
      <c r="G195" s="75" t="s">
        <v>337</v>
      </c>
      <c r="H195" s="50" t="s">
        <v>293</v>
      </c>
      <c r="I195" s="50" t="s">
        <v>338</v>
      </c>
      <c r="J195" s="50" t="s">
        <v>339</v>
      </c>
      <c r="K195" s="50"/>
      <c r="L195" s="46"/>
      <c r="M195" s="46"/>
      <c r="N195" s="46"/>
      <c r="O195" s="46"/>
      <c r="P195" s="46"/>
      <c r="Q195" s="46"/>
      <c r="R195" s="46"/>
      <c r="S195" s="46"/>
      <c r="T195" s="46"/>
      <c r="U195" s="46"/>
      <c r="V195" s="50" t="s">
        <v>319</v>
      </c>
      <c r="W195" s="74">
        <v>2</v>
      </c>
      <c r="X195" s="39">
        <f>MAX(0,$AK195-$W195-$Z195)</f>
        <v>0</v>
      </c>
      <c r="Y195" s="39"/>
      <c r="Z195" s="39"/>
      <c r="AA195" s="41">
        <v>5.89</v>
      </c>
      <c r="AB195" s="41">
        <f>IF(AND($X195&gt;0,ISNUMBER($AA195)),$X195*$AA195,0)</f>
        <v>0</v>
      </c>
      <c r="AK195" s="39">
        <f>SUM(AL195:AR195)</f>
        <v>2</v>
      </c>
      <c r="AL195" s="90"/>
      <c r="AM195" s="38"/>
      <c r="AN195" s="38"/>
      <c r="AO195" s="38"/>
      <c r="AP195" s="97">
        <v>1</v>
      </c>
      <c r="AQ195" s="97">
        <v>1</v>
      </c>
      <c r="AR195" s="91"/>
      <c r="AS195" s="42">
        <f>SUM(AT195:AZ195)</f>
        <v>2</v>
      </c>
      <c r="AT195" s="48"/>
      <c r="AU195" s="48"/>
      <c r="AV195" s="48"/>
      <c r="AW195" s="48"/>
      <c r="AX195" s="48">
        <v>1</v>
      </c>
      <c r="AY195" s="48">
        <v>1</v>
      </c>
      <c r="AZ195" s="48"/>
      <c r="BA195" s="43">
        <f>IF((W195-SUM(AT195:AZ195))&lt;0,0,W195-SUM(AT195:AZ195))</f>
        <v>0</v>
      </c>
      <c r="BB195" s="49"/>
      <c r="BC195" s="47"/>
      <c r="BD195" s="47"/>
    </row>
    <row r="196" spans="1:56" ht="15" customHeight="1">
      <c r="A196" s="49" t="s">
        <v>104</v>
      </c>
      <c r="B196" s="39" t="s">
        <v>96</v>
      </c>
      <c r="C196" s="46" t="s">
        <v>65</v>
      </c>
      <c r="D196" s="49" t="s">
        <v>105</v>
      </c>
      <c r="E196" s="49" t="s">
        <v>106</v>
      </c>
      <c r="F196" s="39">
        <v>2</v>
      </c>
      <c r="G196" s="75" t="s">
        <v>107</v>
      </c>
      <c r="H196" s="50" t="s">
        <v>108</v>
      </c>
      <c r="I196" s="50" t="s">
        <v>109</v>
      </c>
      <c r="J196" s="50" t="s">
        <v>110</v>
      </c>
      <c r="K196" s="50"/>
      <c r="L196" s="47"/>
      <c r="M196" s="47"/>
      <c r="N196" s="47"/>
      <c r="O196" s="47"/>
      <c r="P196" s="47"/>
      <c r="Q196" s="47"/>
      <c r="R196" s="47"/>
      <c r="S196" s="47"/>
      <c r="T196" s="47"/>
      <c r="U196" s="47"/>
      <c r="V196" s="50" t="s">
        <v>103</v>
      </c>
      <c r="W196" s="74">
        <v>1</v>
      </c>
      <c r="X196" s="39">
        <f>MAX(0,$AK196-$W196-$Z196)</f>
        <v>0</v>
      </c>
      <c r="Y196" s="39"/>
      <c r="Z196" s="39"/>
      <c r="AA196" s="41">
        <v>1.71</v>
      </c>
      <c r="AB196" s="41">
        <f>IF(AND($X196&gt;0,ISNUMBER($AA196)),$X196*$AA196,0)</f>
        <v>0</v>
      </c>
      <c r="AK196" s="39">
        <f>SUM(AL196:AR196)</f>
        <v>0</v>
      </c>
      <c r="AL196" s="90"/>
      <c r="AM196" s="38"/>
      <c r="AN196" s="38"/>
      <c r="AO196" s="38"/>
      <c r="AP196" s="38"/>
      <c r="AQ196" s="38"/>
      <c r="AR196" s="91"/>
      <c r="AS196" s="42">
        <f>SUM(AT196:AZ196)</f>
        <v>0</v>
      </c>
      <c r="AT196" s="48"/>
      <c r="AU196" s="48"/>
      <c r="AV196" s="48"/>
      <c r="AW196" s="48"/>
      <c r="AX196" s="48"/>
      <c r="AY196" s="48"/>
      <c r="AZ196" s="48"/>
      <c r="BA196" s="43">
        <f>IF((W196-SUM(AT196:AZ196))&lt;0,0,W196-SUM(AT196:AZ196))</f>
        <v>1</v>
      </c>
      <c r="BB196" s="49"/>
      <c r="BC196" s="47"/>
      <c r="BD196" s="47"/>
    </row>
    <row r="197" spans="1:56" ht="15" customHeight="1">
      <c r="A197" s="49" t="s">
        <v>1094</v>
      </c>
      <c r="B197" s="39" t="s">
        <v>96</v>
      </c>
      <c r="C197" s="46" t="s">
        <v>65</v>
      </c>
      <c r="D197" s="49" t="s">
        <v>105</v>
      </c>
      <c r="E197" s="49"/>
      <c r="F197" s="39">
        <v>1</v>
      </c>
      <c r="G197" s="75" t="s">
        <v>1095</v>
      </c>
      <c r="H197" s="50" t="s">
        <v>314</v>
      </c>
      <c r="I197" s="50" t="s">
        <v>1096</v>
      </c>
      <c r="J197" s="50"/>
      <c r="K197" s="50"/>
      <c r="L197" s="46"/>
      <c r="M197" s="46"/>
      <c r="N197" s="46"/>
      <c r="O197" s="46"/>
      <c r="P197" s="46"/>
      <c r="Q197" s="46"/>
      <c r="R197" s="46"/>
      <c r="S197" s="46"/>
      <c r="T197" s="46"/>
      <c r="U197" s="46"/>
      <c r="V197" s="50" t="s">
        <v>70</v>
      </c>
      <c r="W197" s="74">
        <v>1</v>
      </c>
      <c r="X197" s="39">
        <f>MAX(0,$AK197-$W197-$Z197)</f>
        <v>0</v>
      </c>
      <c r="Y197" s="39" t="s">
        <v>1097</v>
      </c>
      <c r="Z197" s="39">
        <v>2</v>
      </c>
      <c r="AA197" s="41">
        <v>1.45</v>
      </c>
      <c r="AB197" s="41">
        <f>IF(AND($X197&gt;0,ISNUMBER($AA197)),$X197*$AA197,0)</f>
        <v>0</v>
      </c>
      <c r="AK197" s="39">
        <f>SUM(AL197:AR197)</f>
        <v>1</v>
      </c>
      <c r="AL197" s="90"/>
      <c r="AM197" s="97">
        <v>1</v>
      </c>
      <c r="AN197" s="38"/>
      <c r="AO197" s="38"/>
      <c r="AP197" s="38"/>
      <c r="AQ197" s="38"/>
      <c r="AR197" s="91"/>
      <c r="AS197" s="42">
        <f>SUM(AT197:AZ197)</f>
        <v>1</v>
      </c>
      <c r="AT197" s="48"/>
      <c r="AU197" s="48">
        <v>1</v>
      </c>
      <c r="AV197" s="48"/>
      <c r="AW197" s="48"/>
      <c r="AX197" s="48"/>
      <c r="AY197" s="48"/>
      <c r="AZ197" s="48"/>
      <c r="BA197" s="43">
        <f>IF((W197-SUM(AT197:AZ197))&lt;0,0,W197-SUM(AT197:AZ197))</f>
        <v>0</v>
      </c>
      <c r="BB197" s="49"/>
      <c r="BC197" s="47"/>
      <c r="BD197" s="134"/>
    </row>
    <row r="198" spans="1:56" ht="15" customHeight="1">
      <c r="A198" s="49" t="s">
        <v>1098</v>
      </c>
      <c r="B198" s="39" t="s">
        <v>96</v>
      </c>
      <c r="C198" s="46" t="s">
        <v>65</v>
      </c>
      <c r="D198" s="49" t="s">
        <v>97</v>
      </c>
      <c r="E198" s="49" t="s">
        <v>1087</v>
      </c>
      <c r="F198" s="39">
        <v>4</v>
      </c>
      <c r="G198" s="75" t="s">
        <v>1099</v>
      </c>
      <c r="H198" s="50" t="s">
        <v>172</v>
      </c>
      <c r="I198" s="50" t="s">
        <v>1100</v>
      </c>
      <c r="J198" s="50" t="s">
        <v>102</v>
      </c>
      <c r="K198" s="50"/>
      <c r="L198" s="47"/>
      <c r="M198" s="47"/>
      <c r="N198" s="47"/>
      <c r="O198" s="47"/>
      <c r="P198" s="47"/>
      <c r="Q198" s="47"/>
      <c r="R198" s="47"/>
      <c r="S198" s="47"/>
      <c r="T198" s="47"/>
      <c r="U198" s="47"/>
      <c r="V198" s="50" t="s">
        <v>481</v>
      </c>
      <c r="W198" s="74">
        <v>0</v>
      </c>
      <c r="X198" s="39">
        <f>MAX(0,$AK198-$W198-$Z198)</f>
        <v>0</v>
      </c>
      <c r="Y198" s="39"/>
      <c r="Z198" s="39"/>
      <c r="AA198" s="41">
        <v>0.28999999999999998</v>
      </c>
      <c r="AB198" s="41">
        <f>IF(AND($X198&gt;0,ISNUMBER($AA198)),$X198*$AA198,0)</f>
        <v>0</v>
      </c>
      <c r="AC198" s="59"/>
      <c r="AD198" s="59"/>
      <c r="AE198" s="59"/>
      <c r="AF198" s="59"/>
      <c r="AG198" s="59"/>
      <c r="AH198" s="59"/>
      <c r="AI198" s="59"/>
      <c r="AJ198" s="59"/>
      <c r="AK198" s="39">
        <f>SUM(AL198:AR198)</f>
        <v>0</v>
      </c>
      <c r="AL198" s="114"/>
      <c r="AM198" s="43"/>
      <c r="AN198" s="43"/>
      <c r="AO198" s="43"/>
      <c r="AP198" s="43"/>
      <c r="AQ198" s="43"/>
      <c r="AR198" s="116"/>
      <c r="AS198" s="42">
        <f>SUM(AT198:AZ198)</f>
        <v>0</v>
      </c>
      <c r="AT198" s="48"/>
      <c r="AU198" s="48"/>
      <c r="AV198" s="48"/>
      <c r="AW198" s="48"/>
      <c r="AX198" s="48"/>
      <c r="AY198" s="48"/>
      <c r="AZ198" s="48"/>
      <c r="BA198" s="43">
        <f>IF((W198-SUM(AT198:AZ198))&lt;0,0,W198-SUM(AT198:AZ198))</f>
        <v>0</v>
      </c>
      <c r="BB198" s="49"/>
      <c r="BC198" s="47"/>
      <c r="BD198" s="126"/>
    </row>
    <row r="199" spans="1:56" ht="15" customHeight="1">
      <c r="A199" s="49" t="s">
        <v>1101</v>
      </c>
      <c r="B199" s="39" t="s">
        <v>96</v>
      </c>
      <c r="C199" s="46" t="s">
        <v>65</v>
      </c>
      <c r="D199" s="49" t="s">
        <v>97</v>
      </c>
      <c r="E199" s="49" t="s">
        <v>1102</v>
      </c>
      <c r="F199" s="39">
        <v>6</v>
      </c>
      <c r="G199" s="75" t="s">
        <v>1103</v>
      </c>
      <c r="H199" s="50" t="s">
        <v>227</v>
      </c>
      <c r="I199" s="50" t="s">
        <v>1104</v>
      </c>
      <c r="J199" s="50" t="s">
        <v>1105</v>
      </c>
      <c r="K199" s="50"/>
      <c r="L199" s="47"/>
      <c r="M199" s="47"/>
      <c r="N199" s="47"/>
      <c r="O199" s="47"/>
      <c r="P199" s="47"/>
      <c r="Q199" s="47"/>
      <c r="R199" s="47"/>
      <c r="S199" s="47"/>
      <c r="T199" s="47"/>
      <c r="U199" s="47"/>
      <c r="V199" s="50" t="s">
        <v>860</v>
      </c>
      <c r="W199" s="74">
        <v>1</v>
      </c>
      <c r="X199" s="39">
        <f>MAX(0,$AK199-$W199-$Z199)</f>
        <v>0</v>
      </c>
      <c r="Y199" s="39"/>
      <c r="Z199" s="39"/>
      <c r="AA199" s="41">
        <v>0.89</v>
      </c>
      <c r="AB199" s="41">
        <f>IF(AND($X199&gt;0,ISNUMBER($AA199)),$X199*$AA199,0)</f>
        <v>0</v>
      </c>
      <c r="AK199" s="39">
        <f>SUM(AL199:AR199)</f>
        <v>0</v>
      </c>
      <c r="AL199" s="102"/>
      <c r="AM199" s="38"/>
      <c r="AN199" s="38"/>
      <c r="AO199" s="38"/>
      <c r="AP199" s="38"/>
      <c r="AQ199" s="38"/>
      <c r="AR199" s="91"/>
      <c r="AS199" s="42">
        <f>SUM(AT199:AZ199)</f>
        <v>0</v>
      </c>
      <c r="AT199" s="48"/>
      <c r="AU199" s="48"/>
      <c r="AV199" s="48"/>
      <c r="AW199" s="48"/>
      <c r="AX199" s="48"/>
      <c r="AY199" s="48"/>
      <c r="AZ199" s="48"/>
      <c r="BA199" s="43">
        <f>IF((W199-SUM(AT199:AZ199))&lt;0,0,W199-SUM(AT199:AZ199))</f>
        <v>1</v>
      </c>
      <c r="BB199" s="49"/>
      <c r="BC199" s="47"/>
      <c r="BD199" s="47"/>
    </row>
    <row r="200" spans="1:56" ht="15" customHeight="1">
      <c r="A200" s="44" t="s">
        <v>1106</v>
      </c>
      <c r="B200" s="45" t="s">
        <v>96</v>
      </c>
      <c r="C200" s="46" t="s">
        <v>65</v>
      </c>
      <c r="D200" s="44" t="s">
        <v>105</v>
      </c>
      <c r="E200" s="44" t="s">
        <v>151</v>
      </c>
      <c r="F200" s="45">
        <v>2</v>
      </c>
      <c r="G200" s="75" t="s">
        <v>1107</v>
      </c>
      <c r="H200" s="44" t="s">
        <v>153</v>
      </c>
      <c r="I200" s="44" t="s">
        <v>1108</v>
      </c>
      <c r="J200" s="44" t="s">
        <v>1109</v>
      </c>
      <c r="K200" s="44"/>
      <c r="L200" s="47"/>
      <c r="M200" s="47"/>
      <c r="N200" s="47"/>
      <c r="O200" s="68"/>
      <c r="P200" s="68"/>
      <c r="Q200" s="47"/>
      <c r="R200" s="47"/>
      <c r="S200" s="47"/>
      <c r="T200" s="68"/>
      <c r="U200" s="68"/>
      <c r="V200" s="44" t="s">
        <v>119</v>
      </c>
      <c r="W200" s="74">
        <v>1</v>
      </c>
      <c r="X200" s="39">
        <f>MAX(0,$AK200-$W200-$Z200)</f>
        <v>0</v>
      </c>
      <c r="Y200" s="44"/>
      <c r="Z200" s="44"/>
      <c r="AA200" s="44">
        <v>0.23</v>
      </c>
      <c r="AB200" s="44">
        <f>IF(AND($X200&gt;0,ISNUMBER($AA200)),$X200*$AA200,0)</f>
        <v>0</v>
      </c>
      <c r="AK200" s="39">
        <f>SUM(AL200:AR200)</f>
        <v>0</v>
      </c>
      <c r="AL200" s="90"/>
      <c r="AM200" s="38"/>
      <c r="AN200" s="38"/>
      <c r="AO200" s="38"/>
      <c r="AP200" s="38"/>
      <c r="AQ200" s="38"/>
      <c r="AR200" s="91"/>
      <c r="AS200" s="42">
        <f>SUM(AT200:AZ200)</f>
        <v>0</v>
      </c>
      <c r="AT200" s="48"/>
      <c r="AU200" s="48"/>
      <c r="AV200" s="48"/>
      <c r="AW200" s="48"/>
      <c r="AX200" s="48"/>
      <c r="AY200" s="48"/>
      <c r="AZ200" s="48"/>
      <c r="BA200" s="43">
        <f>IF((W200-SUM(AT200:AZ200))&lt;0,0,W200-SUM(AT200:AZ200))</f>
        <v>1</v>
      </c>
      <c r="BB200" s="44"/>
      <c r="BC200" s="47"/>
      <c r="BD200" s="126"/>
    </row>
    <row r="201" spans="1:56" ht="15" customHeight="1">
      <c r="A201" s="49" t="s">
        <v>1113</v>
      </c>
      <c r="B201" s="39" t="s">
        <v>96</v>
      </c>
      <c r="C201" s="46" t="s">
        <v>65</v>
      </c>
      <c r="D201" s="49" t="s">
        <v>105</v>
      </c>
      <c r="E201" s="49"/>
      <c r="F201" s="39">
        <v>3</v>
      </c>
      <c r="G201" s="75" t="s">
        <v>1114</v>
      </c>
      <c r="H201" s="50" t="s">
        <v>314</v>
      </c>
      <c r="I201" s="50" t="s">
        <v>1115</v>
      </c>
      <c r="J201" s="50" t="s">
        <v>1116</v>
      </c>
      <c r="K201" s="50" t="s">
        <v>1117</v>
      </c>
      <c r="L201" s="47"/>
      <c r="M201" s="47"/>
      <c r="N201" s="47"/>
      <c r="O201" s="47"/>
      <c r="P201" s="47"/>
      <c r="Q201" s="47"/>
      <c r="R201" s="47"/>
      <c r="S201" s="47"/>
      <c r="T201" s="47"/>
      <c r="U201" s="47"/>
      <c r="V201" s="50" t="s">
        <v>383</v>
      </c>
      <c r="W201" s="74">
        <v>1</v>
      </c>
      <c r="X201" s="39">
        <f>MAX(0,$AK201-$W201-$Z201)</f>
        <v>0</v>
      </c>
      <c r="Y201" s="39" t="s">
        <v>265</v>
      </c>
      <c r="Z201" s="39">
        <v>1</v>
      </c>
      <c r="AA201" s="41">
        <v>0.41</v>
      </c>
      <c r="AB201" s="41">
        <f>IF(AND($X201&gt;0,ISNUMBER($AA201)),$X201*$AA201,0)</f>
        <v>0</v>
      </c>
      <c r="AE201" s="63"/>
      <c r="AJ201" s="106">
        <v>1</v>
      </c>
      <c r="AK201" s="39">
        <f>SUM(AL201:AR201)</f>
        <v>1</v>
      </c>
      <c r="AL201" s="90"/>
      <c r="AM201" s="128"/>
      <c r="AN201" s="138">
        <v>1</v>
      </c>
      <c r="AO201" s="128"/>
      <c r="AP201" s="128"/>
      <c r="AQ201" s="128"/>
      <c r="AR201" s="91"/>
      <c r="AS201" s="42">
        <f>SUM(AT201:AZ201)</f>
        <v>1</v>
      </c>
      <c r="AT201" s="48"/>
      <c r="AU201" s="48"/>
      <c r="AV201" s="48">
        <v>1</v>
      </c>
      <c r="AW201" s="48"/>
      <c r="AX201" s="48"/>
      <c r="AY201" s="48"/>
      <c r="AZ201" s="48"/>
      <c r="BA201" s="43">
        <f>IF((W201-SUM(AT201:AZ201))&lt;0,0,W201-SUM(AT201:AZ201))</f>
        <v>0</v>
      </c>
      <c r="BB201" s="49"/>
      <c r="BC201" s="47"/>
      <c r="BD201" s="126"/>
    </row>
    <row r="202" spans="1:56" ht="15" customHeight="1">
      <c r="A202" s="49" t="s">
        <v>1123</v>
      </c>
      <c r="B202" s="39" t="s">
        <v>96</v>
      </c>
      <c r="C202" s="46" t="s">
        <v>65</v>
      </c>
      <c r="D202" s="49" t="s">
        <v>105</v>
      </c>
      <c r="E202" s="49" t="s">
        <v>151</v>
      </c>
      <c r="F202" s="39">
        <v>2</v>
      </c>
      <c r="G202" s="75" t="s">
        <v>1124</v>
      </c>
      <c r="H202" s="50" t="s">
        <v>227</v>
      </c>
      <c r="I202" s="50" t="s">
        <v>1125</v>
      </c>
      <c r="J202" s="50" t="s">
        <v>1126</v>
      </c>
      <c r="K202" s="50"/>
      <c r="L202" s="47"/>
      <c r="M202" s="47"/>
      <c r="N202" s="47"/>
      <c r="O202" s="47"/>
      <c r="P202" s="47"/>
      <c r="Q202" s="47"/>
      <c r="R202" s="47"/>
      <c r="S202" s="47"/>
      <c r="T202" s="47"/>
      <c r="U202" s="47"/>
      <c r="V202" s="50" t="s">
        <v>1127</v>
      </c>
      <c r="W202" s="74">
        <v>1</v>
      </c>
      <c r="X202" s="39">
        <f>MAX(0,$AK202-$W202-$Z202)</f>
        <v>0</v>
      </c>
      <c r="Y202" s="39"/>
      <c r="Z202" s="39"/>
      <c r="AA202" s="41">
        <v>2.2999999999999998</v>
      </c>
      <c r="AB202" s="41">
        <f>IF(AND($X202&gt;0,ISNUMBER($AA202)),$X202*$AA202,0)</f>
        <v>0</v>
      </c>
      <c r="AK202" s="39">
        <f>SUM(AL202:AR202)</f>
        <v>1</v>
      </c>
      <c r="AL202" s="90"/>
      <c r="AM202" s="38"/>
      <c r="AN202" s="38"/>
      <c r="AO202" s="38"/>
      <c r="AP202" s="38"/>
      <c r="AQ202" s="97">
        <v>1</v>
      </c>
      <c r="AR202" s="91"/>
      <c r="AS202" s="42">
        <f>SUM(AT202:AZ202)</f>
        <v>1</v>
      </c>
      <c r="AT202" s="48"/>
      <c r="AU202" s="48"/>
      <c r="AV202" s="48"/>
      <c r="AW202" s="48"/>
      <c r="AX202" s="48"/>
      <c r="AY202" s="48">
        <v>1</v>
      </c>
      <c r="AZ202" s="48"/>
      <c r="BA202" s="43">
        <f>IF((W202-SUM(AT202:AZ202))&lt;0,0,W202-SUM(AT202:AZ202))</f>
        <v>0</v>
      </c>
      <c r="BB202" s="49"/>
      <c r="BC202" s="47"/>
      <c r="BD202" s="126"/>
    </row>
    <row r="203" spans="1:56" ht="15" customHeight="1">
      <c r="A203" s="49" t="s">
        <v>340</v>
      </c>
      <c r="B203" s="39" t="s">
        <v>96</v>
      </c>
      <c r="C203" s="46" t="s">
        <v>65</v>
      </c>
      <c r="D203" s="49" t="s">
        <v>341</v>
      </c>
      <c r="E203" s="49" t="s">
        <v>151</v>
      </c>
      <c r="F203" s="39">
        <v>2</v>
      </c>
      <c r="G203" s="75" t="s">
        <v>342</v>
      </c>
      <c r="H203" s="50" t="s">
        <v>172</v>
      </c>
      <c r="I203" s="50" t="s">
        <v>154</v>
      </c>
      <c r="J203" s="50" t="s">
        <v>343</v>
      </c>
      <c r="K203" s="50"/>
      <c r="L203" s="46"/>
      <c r="M203" s="46"/>
      <c r="N203" s="46"/>
      <c r="O203" s="46"/>
      <c r="P203" s="46"/>
      <c r="Q203" s="46"/>
      <c r="R203" s="46"/>
      <c r="S203" s="46"/>
      <c r="T203" s="46"/>
      <c r="U203" s="46"/>
      <c r="V203" s="50" t="s">
        <v>344</v>
      </c>
      <c r="W203" s="74">
        <v>2</v>
      </c>
      <c r="X203" s="39">
        <f>MAX(0,$AK203-$W203-$Z203)</f>
        <v>0</v>
      </c>
      <c r="Y203" s="39"/>
      <c r="Z203" s="39"/>
      <c r="AA203" s="41">
        <v>6.13</v>
      </c>
      <c r="AB203" s="41">
        <f>IF(AND($X203&gt;0,ISNUMBER($AA203)),$X203*$AA203,0)</f>
        <v>0</v>
      </c>
      <c r="AK203" s="39">
        <f>SUM(AL203:AR203)</f>
        <v>2</v>
      </c>
      <c r="AL203" s="90"/>
      <c r="AM203" s="38"/>
      <c r="AN203" s="97">
        <v>1</v>
      </c>
      <c r="AO203" s="38"/>
      <c r="AP203" s="97">
        <v>1</v>
      </c>
      <c r="AQ203" s="97"/>
      <c r="AR203" s="91"/>
      <c r="AS203" s="42">
        <f>SUM(AT203:AZ203)</f>
        <v>2</v>
      </c>
      <c r="AT203" s="48"/>
      <c r="AU203" s="48"/>
      <c r="AV203" s="48">
        <v>1</v>
      </c>
      <c r="AW203" s="48"/>
      <c r="AX203" s="48">
        <v>1</v>
      </c>
      <c r="AY203" s="48"/>
      <c r="AZ203" s="48"/>
      <c r="BA203" s="43">
        <f>IF((W203-SUM(AT203:AZ203))&lt;0,0,W203-SUM(AT203:AZ203))</f>
        <v>0</v>
      </c>
      <c r="BB203" s="49"/>
      <c r="BC203" s="47"/>
      <c r="BD203" s="47"/>
    </row>
    <row r="204" spans="1:56" ht="15" customHeight="1">
      <c r="A204" s="49" t="s">
        <v>1133</v>
      </c>
      <c r="B204" s="39" t="s">
        <v>96</v>
      </c>
      <c r="C204" s="46" t="s">
        <v>65</v>
      </c>
      <c r="D204" s="49" t="s">
        <v>1134</v>
      </c>
      <c r="E204" s="49" t="s">
        <v>1135</v>
      </c>
      <c r="F204" s="39">
        <v>2</v>
      </c>
      <c r="G204" s="75" t="s">
        <v>1136</v>
      </c>
      <c r="H204" s="50" t="s">
        <v>100</v>
      </c>
      <c r="I204" s="50" t="s">
        <v>1137</v>
      </c>
      <c r="J204" s="50" t="s">
        <v>1138</v>
      </c>
      <c r="K204" s="50" t="s">
        <v>1139</v>
      </c>
      <c r="L204" s="47"/>
      <c r="M204" s="47"/>
      <c r="N204" s="47"/>
      <c r="O204" s="47"/>
      <c r="P204" s="47"/>
      <c r="Q204" s="47"/>
      <c r="R204" s="47"/>
      <c r="S204" s="47"/>
      <c r="T204" s="47"/>
      <c r="U204" s="47"/>
      <c r="V204" s="50" t="s">
        <v>1140</v>
      </c>
      <c r="W204" s="74">
        <v>1</v>
      </c>
      <c r="X204" s="39">
        <f>MAX(0,$AK204-$W204-$Z204)</f>
        <v>0</v>
      </c>
      <c r="Y204" s="39"/>
      <c r="Z204" s="39"/>
      <c r="AA204" s="41">
        <v>8.73</v>
      </c>
      <c r="AB204" s="41">
        <f>IF(AND($X204&gt;0,ISNUMBER($AA204)),$X204*$AA204,0)</f>
        <v>0</v>
      </c>
      <c r="AK204" s="39">
        <f>SUM(AL204:AR204)</f>
        <v>1</v>
      </c>
      <c r="AL204" s="90"/>
      <c r="AM204" s="38"/>
      <c r="AN204" s="38"/>
      <c r="AO204" s="38"/>
      <c r="AP204" s="38"/>
      <c r="AQ204" s="97">
        <v>1</v>
      </c>
      <c r="AR204" s="91"/>
      <c r="AS204" s="42">
        <f>SUM(AT204:AZ204)</f>
        <v>1</v>
      </c>
      <c r="AT204" s="48"/>
      <c r="AU204" s="48"/>
      <c r="AV204" s="48"/>
      <c r="AW204" s="48"/>
      <c r="AX204" s="48"/>
      <c r="AY204" s="48">
        <v>1</v>
      </c>
      <c r="AZ204" s="48"/>
      <c r="BA204" s="43">
        <f>IF((W204-SUM(AT204:AZ204))&lt;0,0,W204-SUM(AT204:AZ204))</f>
        <v>0</v>
      </c>
      <c r="BB204" s="49"/>
      <c r="BC204" s="47"/>
      <c r="BD204" s="47"/>
    </row>
    <row r="205" spans="1:56" ht="15" customHeight="1">
      <c r="A205" s="44" t="s">
        <v>1141</v>
      </c>
      <c r="B205" s="45" t="s">
        <v>96</v>
      </c>
      <c r="C205" s="46" t="s">
        <v>65</v>
      </c>
      <c r="D205" s="44" t="s">
        <v>105</v>
      </c>
      <c r="E205" s="44"/>
      <c r="F205" s="45">
        <v>2</v>
      </c>
      <c r="G205" s="75" t="s">
        <v>1142</v>
      </c>
      <c r="H205" s="44" t="s">
        <v>172</v>
      </c>
      <c r="I205" s="44" t="s">
        <v>1143</v>
      </c>
      <c r="J205" s="44" t="s">
        <v>1144</v>
      </c>
      <c r="K205" s="44"/>
      <c r="L205" s="108"/>
      <c r="M205" s="46"/>
      <c r="N205" s="46"/>
      <c r="O205" s="68"/>
      <c r="P205" s="110"/>
      <c r="Q205" s="108"/>
      <c r="R205" s="46"/>
      <c r="S205" s="46"/>
      <c r="T205" s="68"/>
      <c r="U205" s="111"/>
      <c r="V205" s="44" t="s">
        <v>1145</v>
      </c>
      <c r="W205" s="74">
        <v>0</v>
      </c>
      <c r="X205" s="39">
        <f>MAX(0,$AK205-$W205-$Z205)</f>
        <v>0</v>
      </c>
      <c r="Y205" s="44"/>
      <c r="Z205" s="44"/>
      <c r="AA205" s="44">
        <v>2.37</v>
      </c>
      <c r="AB205" s="44">
        <f>IF(AND($X205&gt;0,ISNUMBER($AA205)),$X205*$AA205,0)</f>
        <v>0</v>
      </c>
      <c r="AK205" s="39">
        <f>SUM(AL205:AR205)</f>
        <v>0</v>
      </c>
      <c r="AL205" s="90"/>
      <c r="AM205" s="38"/>
      <c r="AN205" s="38"/>
      <c r="AO205" s="38"/>
      <c r="AP205" s="38"/>
      <c r="AQ205" s="38"/>
      <c r="AR205" s="91"/>
      <c r="AS205" s="42">
        <f>SUM(AT205:AZ205)</f>
        <v>0</v>
      </c>
      <c r="AT205" s="48"/>
      <c r="AU205" s="48"/>
      <c r="AV205" s="48"/>
      <c r="AW205" s="48"/>
      <c r="AX205" s="48"/>
      <c r="AY205" s="48"/>
      <c r="AZ205" s="48"/>
      <c r="BA205" s="43">
        <f>IF((W205-SUM(AT205:AZ205))&lt;0,0,W205-SUM(AT205:AZ205))</f>
        <v>0</v>
      </c>
      <c r="BB205" s="44"/>
      <c r="BC205" s="47"/>
      <c r="BD205" s="126"/>
    </row>
    <row r="206" spans="1:56" ht="15" customHeight="1">
      <c r="A206" s="49" t="s">
        <v>1146</v>
      </c>
      <c r="B206" s="39" t="s">
        <v>96</v>
      </c>
      <c r="C206" s="46" t="s">
        <v>65</v>
      </c>
      <c r="D206" s="49" t="s">
        <v>105</v>
      </c>
      <c r="E206" s="49"/>
      <c r="F206" s="39">
        <v>3</v>
      </c>
      <c r="G206" s="75" t="s">
        <v>1147</v>
      </c>
      <c r="H206" s="50" t="s">
        <v>959</v>
      </c>
      <c r="I206" s="50" t="s">
        <v>1148</v>
      </c>
      <c r="J206" s="50" t="s">
        <v>1149</v>
      </c>
      <c r="K206" s="50"/>
      <c r="L206" s="47"/>
      <c r="M206" s="47"/>
      <c r="N206" s="47"/>
      <c r="O206" s="47"/>
      <c r="P206" s="47"/>
      <c r="Q206" s="47"/>
      <c r="R206" s="47"/>
      <c r="S206" s="47"/>
      <c r="T206" s="47"/>
      <c r="U206" s="47"/>
      <c r="V206" s="50" t="s">
        <v>1150</v>
      </c>
      <c r="W206" s="74">
        <v>1</v>
      </c>
      <c r="X206" s="39">
        <f>MAX(0,$AK206-$W206-$Z206)</f>
        <v>0</v>
      </c>
      <c r="Y206" s="39"/>
      <c r="Z206" s="39"/>
      <c r="AA206" s="41">
        <v>14.61</v>
      </c>
      <c r="AB206" s="41">
        <f>IF(AND($X206&gt;0,ISNUMBER($AA206)),$X206*$AA206,0)</f>
        <v>0</v>
      </c>
      <c r="AK206" s="39">
        <f>SUM(AL206:AR206)</f>
        <v>1</v>
      </c>
      <c r="AL206" s="90"/>
      <c r="AM206" s="38"/>
      <c r="AN206" s="38"/>
      <c r="AO206" s="38"/>
      <c r="AP206" s="38"/>
      <c r="AQ206" s="97">
        <v>1</v>
      </c>
      <c r="AR206" s="91"/>
      <c r="AS206" s="42">
        <f>SUM(AT206:AZ206)</f>
        <v>1</v>
      </c>
      <c r="AT206" s="48"/>
      <c r="AU206" s="48"/>
      <c r="AV206" s="48"/>
      <c r="AW206" s="48"/>
      <c r="AX206" s="48"/>
      <c r="AY206" s="48">
        <v>1</v>
      </c>
      <c r="AZ206" s="48"/>
      <c r="BA206" s="43">
        <f>IF((W206-SUM(AT206:AZ206))&lt;0,0,W206-SUM(AT206:AZ206))</f>
        <v>0</v>
      </c>
      <c r="BB206" s="49"/>
      <c r="BC206" s="47"/>
      <c r="BD206" s="126"/>
    </row>
    <row r="207" spans="1:56" ht="15" customHeight="1">
      <c r="A207" s="49" t="s">
        <v>1151</v>
      </c>
      <c r="B207" s="39" t="s">
        <v>96</v>
      </c>
      <c r="C207" s="46" t="s">
        <v>65</v>
      </c>
      <c r="D207" s="49" t="s">
        <v>105</v>
      </c>
      <c r="E207" s="49"/>
      <c r="F207" s="39">
        <v>2</v>
      </c>
      <c r="G207" s="75" t="s">
        <v>1152</v>
      </c>
      <c r="H207" s="50" t="s">
        <v>845</v>
      </c>
      <c r="I207" s="50" t="s">
        <v>1153</v>
      </c>
      <c r="J207" s="50"/>
      <c r="K207" s="50"/>
      <c r="L207" s="47"/>
      <c r="M207" s="47"/>
      <c r="N207" s="47"/>
      <c r="O207" s="47"/>
      <c r="P207" s="47"/>
      <c r="Q207" s="47"/>
      <c r="R207" s="47"/>
      <c r="S207" s="47"/>
      <c r="T207" s="47"/>
      <c r="U207" s="47"/>
      <c r="V207" s="50" t="s">
        <v>331</v>
      </c>
      <c r="W207" s="74">
        <v>1</v>
      </c>
      <c r="X207" s="39">
        <f>MAX(0,$AK207-$W207-$Z207)</f>
        <v>0</v>
      </c>
      <c r="Y207" s="39"/>
      <c r="Z207" s="39"/>
      <c r="AA207" s="41">
        <v>1.2</v>
      </c>
      <c r="AB207" s="41">
        <f>IF(AND($X207&gt;0,ISNUMBER($AA207)),$X207*$AA207,0)</f>
        <v>0</v>
      </c>
      <c r="AK207" s="39">
        <f>SUM(AL207:AR207)</f>
        <v>1</v>
      </c>
      <c r="AL207" s="90"/>
      <c r="AM207" s="38"/>
      <c r="AN207" s="97">
        <v>1</v>
      </c>
      <c r="AO207" s="38"/>
      <c r="AP207" s="38"/>
      <c r="AQ207" s="38"/>
      <c r="AR207" s="91"/>
      <c r="AS207" s="42">
        <f>SUM(AT207:AZ207)</f>
        <v>1</v>
      </c>
      <c r="AT207" s="48"/>
      <c r="AU207" s="48"/>
      <c r="AV207" s="48">
        <v>1</v>
      </c>
      <c r="AW207" s="48"/>
      <c r="AX207" s="48"/>
      <c r="AY207" s="48"/>
      <c r="AZ207" s="48"/>
      <c r="BA207" s="43">
        <f>IF((W207-SUM(AT207:AZ207))&lt;0,0,W207-SUM(AT207:AZ207))</f>
        <v>0</v>
      </c>
      <c r="BB207" s="49"/>
      <c r="BC207" s="47"/>
      <c r="BD207" s="126"/>
    </row>
    <row r="208" spans="1:56" ht="15" customHeight="1">
      <c r="A208" s="49" t="s">
        <v>1154</v>
      </c>
      <c r="B208" s="45" t="s">
        <v>96</v>
      </c>
      <c r="C208" s="46" t="s">
        <v>65</v>
      </c>
      <c r="D208" s="44" t="s">
        <v>341</v>
      </c>
      <c r="E208" s="44"/>
      <c r="F208" s="45">
        <v>2</v>
      </c>
      <c r="G208" s="75" t="s">
        <v>1155</v>
      </c>
      <c r="H208" s="44" t="s">
        <v>931</v>
      </c>
      <c r="I208" s="44" t="s">
        <v>932</v>
      </c>
      <c r="J208" s="44" t="s">
        <v>1156</v>
      </c>
      <c r="K208" s="44"/>
      <c r="L208" s="47"/>
      <c r="M208" s="47"/>
      <c r="N208" s="47"/>
      <c r="O208" s="68"/>
      <c r="P208" s="68"/>
      <c r="Q208" s="47"/>
      <c r="R208" s="47"/>
      <c r="S208" s="47"/>
      <c r="T208" s="68"/>
      <c r="U208" s="68"/>
      <c r="V208" s="44" t="s">
        <v>167</v>
      </c>
      <c r="W208" s="74">
        <v>1</v>
      </c>
      <c r="X208" s="39">
        <f>MAX(0,$AK208-$W208-$Z208)</f>
        <v>0</v>
      </c>
      <c r="Y208" s="44"/>
      <c r="Z208" s="44"/>
      <c r="AA208" s="44">
        <v>0.21</v>
      </c>
      <c r="AB208" s="44">
        <f>IF(AND($X208&gt;0,ISNUMBER($AA208)),$X208*$AA208,0)</f>
        <v>0</v>
      </c>
      <c r="AK208" s="39">
        <f>SUM(AL208:AR208)</f>
        <v>0</v>
      </c>
      <c r="AL208" s="90"/>
      <c r="AM208" s="38"/>
      <c r="AN208" s="38"/>
      <c r="AO208" s="38"/>
      <c r="AP208" s="38"/>
      <c r="AQ208" s="38"/>
      <c r="AR208" s="91"/>
      <c r="AS208" s="42">
        <f>SUM(AT208:AZ208)</f>
        <v>0</v>
      </c>
      <c r="AT208" s="48"/>
      <c r="AU208" s="48"/>
      <c r="AV208" s="48"/>
      <c r="AW208" s="48"/>
      <c r="AX208" s="48"/>
      <c r="AY208" s="48"/>
      <c r="AZ208" s="48"/>
      <c r="BA208" s="43">
        <f>IF((W208-SUM(AT208:AZ208))&lt;0,0,W208-SUM(AT208:AZ208))</f>
        <v>1</v>
      </c>
      <c r="BB208" s="44"/>
      <c r="BC208" s="47"/>
      <c r="BD208" s="126"/>
    </row>
    <row r="209" spans="1:56" ht="15" customHeight="1">
      <c r="A209" s="49" t="s">
        <v>1157</v>
      </c>
      <c r="B209" s="39" t="s">
        <v>96</v>
      </c>
      <c r="C209" s="46" t="s">
        <v>65</v>
      </c>
      <c r="D209" s="49" t="s">
        <v>105</v>
      </c>
      <c r="E209" s="49" t="s">
        <v>1158</v>
      </c>
      <c r="F209" s="39">
        <v>2</v>
      </c>
      <c r="G209" s="75" t="s">
        <v>1159</v>
      </c>
      <c r="H209" s="50" t="s">
        <v>293</v>
      </c>
      <c r="I209" s="50" t="s">
        <v>1160</v>
      </c>
      <c r="J209" s="50" t="s">
        <v>1161</v>
      </c>
      <c r="K209" s="50"/>
      <c r="L209" s="47"/>
      <c r="M209" s="47"/>
      <c r="N209" s="47"/>
      <c r="O209" s="47"/>
      <c r="P209" s="47"/>
      <c r="Q209" s="47"/>
      <c r="R209" s="47"/>
      <c r="S209" s="47"/>
      <c r="T209" s="47"/>
      <c r="U209" s="47"/>
      <c r="V209" s="50" t="s">
        <v>204</v>
      </c>
      <c r="W209" s="74">
        <v>1</v>
      </c>
      <c r="X209" s="39">
        <f>MAX(0,$AK209-$W209-$Z209)</f>
        <v>0</v>
      </c>
      <c r="Y209" s="39"/>
      <c r="Z209" s="39"/>
      <c r="AA209" s="41">
        <v>0.28000000000000003</v>
      </c>
      <c r="AB209" s="41">
        <f>IF(AND($X209&gt;0,ISNUMBER($AA209)),$X209*$AA209,0)</f>
        <v>0</v>
      </c>
      <c r="AE209" s="63" t="s">
        <v>1162</v>
      </c>
      <c r="AK209" s="39">
        <f>SUM(AL209:AR209)</f>
        <v>1</v>
      </c>
      <c r="AL209" s="90"/>
      <c r="AM209" s="38"/>
      <c r="AN209" s="98">
        <v>1</v>
      </c>
      <c r="AO209" s="38"/>
      <c r="AP209" s="38"/>
      <c r="AQ209" s="38"/>
      <c r="AR209" s="91"/>
      <c r="AS209" s="42">
        <f>SUM(AT209:AZ209)</f>
        <v>1</v>
      </c>
      <c r="AT209" s="48"/>
      <c r="AU209" s="48"/>
      <c r="AV209" s="48">
        <v>1</v>
      </c>
      <c r="AW209" s="48"/>
      <c r="AX209" s="48"/>
      <c r="AY209" s="48"/>
      <c r="AZ209" s="48"/>
      <c r="BA209" s="43">
        <f>IF((W209-SUM(AT209:AZ209))&lt;0,0,W209-SUM(AT209:AZ209))</f>
        <v>0</v>
      </c>
      <c r="BB209" s="49"/>
      <c r="BC209" s="47"/>
      <c r="BD209" s="126"/>
    </row>
    <row r="210" spans="1:56" ht="15" customHeight="1">
      <c r="A210" s="35" t="s">
        <v>1163</v>
      </c>
      <c r="B210" s="36" t="s">
        <v>96</v>
      </c>
      <c r="C210" s="38" t="s">
        <v>65</v>
      </c>
      <c r="D210" s="35" t="s">
        <v>84</v>
      </c>
      <c r="E210" s="35" t="s">
        <v>1164</v>
      </c>
      <c r="F210" s="36">
        <v>2</v>
      </c>
      <c r="G210" s="75" t="s">
        <v>1165</v>
      </c>
      <c r="H210" s="35" t="s">
        <v>172</v>
      </c>
      <c r="I210" s="35" t="s">
        <v>1166</v>
      </c>
      <c r="J210" s="35"/>
      <c r="K210" s="35"/>
      <c r="L210" s="109" t="s">
        <v>1167</v>
      </c>
      <c r="M210" s="38">
        <v>1</v>
      </c>
      <c r="N210" s="38">
        <v>0</v>
      </c>
      <c r="O210" s="68" t="s">
        <v>1168</v>
      </c>
      <c r="P210" s="110">
        <v>0.31</v>
      </c>
      <c r="Q210" s="37"/>
      <c r="R210" s="37"/>
      <c r="S210" s="37"/>
      <c r="T210" s="68"/>
      <c r="U210" s="68"/>
      <c r="V210" s="35" t="s">
        <v>167</v>
      </c>
      <c r="W210" s="74">
        <v>1</v>
      </c>
      <c r="X210" s="39">
        <f>MAX(0,$AK210-$W210-$Z210)</f>
        <v>0</v>
      </c>
      <c r="Y210" s="35"/>
      <c r="Z210" s="35"/>
      <c r="AA210" s="40">
        <v>0.31</v>
      </c>
      <c r="AB210" s="41">
        <f>IF(AND($X210&gt;0,ISNUMBER($AA210)),$X210*$AA210,0)</f>
        <v>0</v>
      </c>
      <c r="AK210" s="39">
        <f>SUM(AL210:AR210)</f>
        <v>1</v>
      </c>
      <c r="AL210" s="102">
        <v>1</v>
      </c>
      <c r="AM210" s="38"/>
      <c r="AN210" s="38"/>
      <c r="AO210" s="38"/>
      <c r="AP210" s="38"/>
      <c r="AQ210" s="38"/>
      <c r="AR210" s="91"/>
      <c r="AS210" s="42">
        <f>SUM(AT210:AZ210)</f>
        <v>1</v>
      </c>
      <c r="AT210" s="48">
        <v>1</v>
      </c>
      <c r="AU210" s="48"/>
      <c r="AV210" s="48"/>
      <c r="AW210" s="48"/>
      <c r="AX210" s="48"/>
      <c r="AY210" s="48"/>
      <c r="AZ210" s="48"/>
      <c r="BA210" s="43">
        <f>IF((W210-SUM(AT210:AZ210))&lt;0,0,W210-SUM(AT210:AZ210))</f>
        <v>0</v>
      </c>
      <c r="BB210" s="35"/>
      <c r="BC210" s="37"/>
      <c r="BD210" s="37"/>
    </row>
    <row r="211" spans="1:56" ht="15" customHeight="1">
      <c r="A211" s="49" t="s">
        <v>177</v>
      </c>
      <c r="B211" s="39" t="s">
        <v>96</v>
      </c>
      <c r="C211" s="46" t="s">
        <v>65</v>
      </c>
      <c r="D211" s="49" t="s">
        <v>178</v>
      </c>
      <c r="E211" s="49" t="s">
        <v>179</v>
      </c>
      <c r="F211" s="39">
        <v>5</v>
      </c>
      <c r="G211" s="75" t="s">
        <v>180</v>
      </c>
      <c r="H211" s="50" t="s">
        <v>172</v>
      </c>
      <c r="I211" s="50" t="s">
        <v>181</v>
      </c>
      <c r="J211" s="50" t="s">
        <v>182</v>
      </c>
      <c r="K211" s="50" t="s">
        <v>183</v>
      </c>
      <c r="L211" s="108" t="s">
        <v>184</v>
      </c>
      <c r="M211" s="46">
        <v>1</v>
      </c>
      <c r="N211" s="46">
        <v>1</v>
      </c>
      <c r="O211" s="68" t="s">
        <v>185</v>
      </c>
      <c r="P211" s="110">
        <v>1.87</v>
      </c>
      <c r="Q211" s="47"/>
      <c r="R211" s="47"/>
      <c r="S211" s="47"/>
      <c r="T211" s="68"/>
      <c r="U211" s="68"/>
      <c r="V211" s="50" t="s">
        <v>186</v>
      </c>
      <c r="W211" s="74">
        <v>1</v>
      </c>
      <c r="X211" s="39">
        <f>MAX(0,$AK211-$W211-$Z211)</f>
        <v>0</v>
      </c>
      <c r="Y211" s="39"/>
      <c r="Z211" s="39"/>
      <c r="AA211" s="41">
        <v>1.87</v>
      </c>
      <c r="AB211" s="41">
        <f>IF(AND($X211&gt;0,ISNUMBER($AA211)),$X211*$AA211,0)</f>
        <v>0</v>
      </c>
      <c r="AG211" t="s">
        <v>187</v>
      </c>
      <c r="AK211" s="39">
        <f>SUM(AL211:AR211)</f>
        <v>1</v>
      </c>
      <c r="AL211" s="90"/>
      <c r="AM211" s="38"/>
      <c r="AN211" s="38"/>
      <c r="AO211" s="38"/>
      <c r="AP211" s="99">
        <v>1</v>
      </c>
      <c r="AQ211" s="38"/>
      <c r="AR211" s="91"/>
      <c r="AS211" s="42">
        <f>SUM(AT211:AZ211)</f>
        <v>1</v>
      </c>
      <c r="AT211" s="48"/>
      <c r="AU211" s="48"/>
      <c r="AV211" s="48"/>
      <c r="AW211" s="48"/>
      <c r="AX211" s="48">
        <v>1</v>
      </c>
      <c r="AY211" s="48"/>
      <c r="AZ211" s="48"/>
      <c r="BA211" s="43">
        <f>IF((W211-SUM(AT211:AZ211))&lt;0,0,W211-SUM(AT211:AZ211))</f>
        <v>0</v>
      </c>
      <c r="BB211" s="49"/>
      <c r="BC211" s="47"/>
      <c r="BD211" s="47"/>
    </row>
    <row r="212" spans="1:56" ht="15" customHeight="1">
      <c r="A212" s="49" t="s">
        <v>1169</v>
      </c>
      <c r="B212" s="39" t="s">
        <v>96</v>
      </c>
      <c r="C212" s="46" t="s">
        <v>65</v>
      </c>
      <c r="D212" s="49" t="s">
        <v>105</v>
      </c>
      <c r="E212" s="49" t="s">
        <v>106</v>
      </c>
      <c r="F212" s="39">
        <v>2</v>
      </c>
      <c r="G212" s="75" t="s">
        <v>1170</v>
      </c>
      <c r="H212" s="50" t="s">
        <v>100</v>
      </c>
      <c r="I212" s="50" t="s">
        <v>1171</v>
      </c>
      <c r="J212" s="50" t="s">
        <v>1172</v>
      </c>
      <c r="K212" s="50" t="s">
        <v>1173</v>
      </c>
      <c r="L212" s="47"/>
      <c r="M212" s="47"/>
      <c r="N212" s="47"/>
      <c r="O212" s="47"/>
      <c r="P212" s="47"/>
      <c r="Q212" s="47"/>
      <c r="R212" s="47"/>
      <c r="S212" s="47"/>
      <c r="T212" s="47"/>
      <c r="U212" s="47"/>
      <c r="V212" s="50" t="s">
        <v>1174</v>
      </c>
      <c r="W212" s="74">
        <v>0</v>
      </c>
      <c r="X212" s="39">
        <f>MAX(0,$AK212-$W212-$Z212)</f>
        <v>0</v>
      </c>
      <c r="Y212" s="39"/>
      <c r="Z212" s="39"/>
      <c r="AA212" s="41">
        <v>0.38</v>
      </c>
      <c r="AB212" s="41">
        <f>IF(AND($X212&gt;0,ISNUMBER($AA212)),$X212*$AA212,0)</f>
        <v>0</v>
      </c>
      <c r="AC212" s="59"/>
      <c r="AD212" s="59"/>
      <c r="AE212" s="59"/>
      <c r="AF212" s="59"/>
      <c r="AG212" s="59"/>
      <c r="AH212" s="59"/>
      <c r="AI212" s="59"/>
      <c r="AJ212" s="59"/>
      <c r="AK212" s="39">
        <f>SUM(AL212:AR212)</f>
        <v>0</v>
      </c>
      <c r="AL212" s="114"/>
      <c r="AM212" s="43"/>
      <c r="AN212" s="43"/>
      <c r="AO212" s="43"/>
      <c r="AP212" s="43"/>
      <c r="AQ212" s="43"/>
      <c r="AR212" s="116"/>
      <c r="AS212" s="42">
        <f>SUM(AT212:AZ212)</f>
        <v>0</v>
      </c>
      <c r="AT212" s="48"/>
      <c r="AU212" s="48"/>
      <c r="AV212" s="48"/>
      <c r="AW212" s="48"/>
      <c r="AX212" s="48"/>
      <c r="AY212" s="48"/>
      <c r="AZ212" s="48"/>
      <c r="BA212" s="43">
        <f>IF((W212-SUM(AT212:AZ212))&lt;0,0,W212-SUM(AT212:AZ212))</f>
        <v>0</v>
      </c>
      <c r="BB212" s="49"/>
      <c r="BC212" s="47"/>
      <c r="BD212" s="47"/>
    </row>
    <row r="213" spans="1:56" ht="15" customHeight="1">
      <c r="A213" s="44" t="s">
        <v>1175</v>
      </c>
      <c r="B213" s="45" t="s">
        <v>96</v>
      </c>
      <c r="C213" s="46" t="s">
        <v>65</v>
      </c>
      <c r="D213" s="44" t="s">
        <v>105</v>
      </c>
      <c r="E213" s="44"/>
      <c r="F213" s="45">
        <v>5</v>
      </c>
      <c r="G213" s="75" t="s">
        <v>1176</v>
      </c>
      <c r="H213" s="44" t="s">
        <v>293</v>
      </c>
      <c r="I213" s="44" t="s">
        <v>1177</v>
      </c>
      <c r="J213" s="44" t="s">
        <v>1178</v>
      </c>
      <c r="K213" s="44" t="s">
        <v>1179</v>
      </c>
      <c r="L213" s="108"/>
      <c r="M213" s="46"/>
      <c r="N213" s="46"/>
      <c r="O213" s="68"/>
      <c r="P213" s="110"/>
      <c r="Q213" s="108"/>
      <c r="R213" s="46"/>
      <c r="S213" s="46"/>
      <c r="T213" s="68"/>
      <c r="U213" s="111"/>
      <c r="V213" s="44" t="s">
        <v>592</v>
      </c>
      <c r="W213" s="74">
        <v>0</v>
      </c>
      <c r="X213" s="39">
        <f>MAX(0,$AK213-$W213-$Z213)</f>
        <v>0</v>
      </c>
      <c r="Y213" s="44"/>
      <c r="Z213" s="44"/>
      <c r="AA213" s="44">
        <v>5.51</v>
      </c>
      <c r="AB213" s="44">
        <f>IF(AND($X213&gt;0,ISNUMBER($AA213)),$X213*$AA213,0)</f>
        <v>0</v>
      </c>
      <c r="AK213" s="39">
        <f>SUM(AL213:AR213)</f>
        <v>0</v>
      </c>
      <c r="AL213" s="90"/>
      <c r="AM213" s="38"/>
      <c r="AN213" s="38"/>
      <c r="AO213" s="38"/>
      <c r="AP213" s="38"/>
      <c r="AQ213" s="38"/>
      <c r="AR213" s="91"/>
      <c r="AS213" s="42">
        <f>SUM(AT213:AZ213)</f>
        <v>0</v>
      </c>
      <c r="AT213" s="48"/>
      <c r="AU213" s="48"/>
      <c r="AV213" s="48"/>
      <c r="AW213" s="48"/>
      <c r="AX213" s="48"/>
      <c r="AY213" s="48"/>
      <c r="AZ213" s="48"/>
      <c r="BA213" s="43">
        <f>IF((W213-SUM(AT213:AZ213))&lt;0,0,W213-SUM(AT213:AZ213))</f>
        <v>0</v>
      </c>
      <c r="BB213" s="44"/>
      <c r="BC213" s="47"/>
      <c r="BD213" s="126"/>
    </row>
    <row r="214" spans="1:56" ht="15" customHeight="1">
      <c r="A214" s="49" t="s">
        <v>1180</v>
      </c>
      <c r="B214" s="39" t="s">
        <v>96</v>
      </c>
      <c r="C214" s="46" t="s">
        <v>65</v>
      </c>
      <c r="D214" s="49" t="s">
        <v>105</v>
      </c>
      <c r="E214" s="49"/>
      <c r="F214" s="39">
        <v>1</v>
      </c>
      <c r="G214" s="75" t="s">
        <v>1181</v>
      </c>
      <c r="H214" s="50" t="s">
        <v>1182</v>
      </c>
      <c r="I214" s="50" t="s">
        <v>1183</v>
      </c>
      <c r="J214" s="50"/>
      <c r="K214" s="50"/>
      <c r="L214" s="47"/>
      <c r="M214" s="47"/>
      <c r="N214" s="47"/>
      <c r="O214" s="47"/>
      <c r="P214" s="47"/>
      <c r="Q214" s="47"/>
      <c r="R214" s="47"/>
      <c r="S214" s="47"/>
      <c r="T214" s="47"/>
      <c r="U214" s="47"/>
      <c r="V214" s="50" t="s">
        <v>1023</v>
      </c>
      <c r="W214" s="74">
        <v>1</v>
      </c>
      <c r="X214" s="39">
        <f>MAX(0,$AK214-$W214-$Z214)</f>
        <v>0</v>
      </c>
      <c r="Y214" s="39"/>
      <c r="Z214" s="39"/>
      <c r="AA214" s="41">
        <v>0.28000000000000003</v>
      </c>
      <c r="AB214" s="41">
        <f>IF(AND($X214&gt;0,ISNUMBER($AA214)),$X214*$AA214,0)</f>
        <v>0</v>
      </c>
      <c r="AK214" s="39">
        <f>SUM(AL214:AR214)</f>
        <v>0</v>
      </c>
      <c r="AL214" s="90"/>
      <c r="AM214" s="38"/>
      <c r="AN214" s="38"/>
      <c r="AO214" s="38"/>
      <c r="AP214" s="38"/>
      <c r="AQ214" s="38"/>
      <c r="AR214" s="91"/>
      <c r="AS214" s="42">
        <f>SUM(AT214:AZ214)</f>
        <v>0</v>
      </c>
      <c r="AT214" s="48"/>
      <c r="AU214" s="48"/>
      <c r="AV214" s="48"/>
      <c r="AW214" s="48"/>
      <c r="AX214" s="48"/>
      <c r="AY214" s="48"/>
      <c r="AZ214" s="48"/>
      <c r="BA214" s="43">
        <f>IF((W214-SUM(AT214:AZ214))&lt;0,0,W214-SUM(AT214:AZ214))</f>
        <v>1</v>
      </c>
      <c r="BB214" s="49"/>
      <c r="BC214" s="47"/>
      <c r="BD214" s="126"/>
    </row>
    <row r="215" spans="1:56" ht="15" customHeight="1">
      <c r="A215" s="49" t="s">
        <v>1184</v>
      </c>
      <c r="B215" s="39" t="s">
        <v>96</v>
      </c>
      <c r="C215" s="46" t="s">
        <v>65</v>
      </c>
      <c r="D215" s="49" t="s">
        <v>97</v>
      </c>
      <c r="E215" s="49" t="s">
        <v>1087</v>
      </c>
      <c r="F215" s="39">
        <v>1</v>
      </c>
      <c r="G215" s="75" t="s">
        <v>1185</v>
      </c>
      <c r="H215" s="50" t="s">
        <v>794</v>
      </c>
      <c r="I215" s="50" t="s">
        <v>1186</v>
      </c>
      <c r="J215" s="50" t="s">
        <v>1187</v>
      </c>
      <c r="K215" s="50"/>
      <c r="L215" s="47"/>
      <c r="M215" s="47"/>
      <c r="N215" s="47"/>
      <c r="O215" s="47"/>
      <c r="P215" s="47"/>
      <c r="Q215" s="47"/>
      <c r="R215" s="47"/>
      <c r="S215" s="47"/>
      <c r="T215" s="47"/>
      <c r="U215" s="47"/>
      <c r="V215" s="50" t="s">
        <v>379</v>
      </c>
      <c r="W215" s="74">
        <v>1</v>
      </c>
      <c r="X215" s="39">
        <f>MAX(0,$AK215-$W215-$Z215)</f>
        <v>0</v>
      </c>
      <c r="Y215" s="39"/>
      <c r="Z215" s="39"/>
      <c r="AA215" s="41">
        <v>0.23</v>
      </c>
      <c r="AB215" s="41">
        <f>IF(AND($X215&gt;0,ISNUMBER($AA215)),$X215*$AA215,0)</f>
        <v>0</v>
      </c>
      <c r="AK215" s="39">
        <f>SUM(AL215:AR215)</f>
        <v>1</v>
      </c>
      <c r="AL215" s="90"/>
      <c r="AM215" s="38"/>
      <c r="AN215" s="38"/>
      <c r="AO215" s="97">
        <v>1</v>
      </c>
      <c r="AP215" s="38"/>
      <c r="AQ215" s="38"/>
      <c r="AR215" s="91"/>
      <c r="AS215" s="42">
        <f>SUM(AT215:AZ215)</f>
        <v>1</v>
      </c>
      <c r="AT215" s="48"/>
      <c r="AU215" s="48"/>
      <c r="AV215" s="48"/>
      <c r="AW215" s="48">
        <v>1</v>
      </c>
      <c r="AX215" s="48"/>
      <c r="AY215" s="48"/>
      <c r="AZ215" s="48"/>
      <c r="BA215" s="43">
        <f>IF((W215-SUM(AT215:AZ215))&lt;0,0,W215-SUM(AT215:AZ215))</f>
        <v>0</v>
      </c>
      <c r="BB215" s="49"/>
      <c r="BC215" s="47"/>
      <c r="BD215" s="126"/>
    </row>
    <row r="216" spans="1:56" ht="15" customHeight="1">
      <c r="A216" s="49" t="s">
        <v>1188</v>
      </c>
      <c r="B216" s="39" t="s">
        <v>96</v>
      </c>
      <c r="C216" s="46" t="s">
        <v>65</v>
      </c>
      <c r="D216" s="49" t="s">
        <v>97</v>
      </c>
      <c r="E216" s="49" t="s">
        <v>851</v>
      </c>
      <c r="F216" s="39">
        <v>2</v>
      </c>
      <c r="G216" s="75" t="s">
        <v>1189</v>
      </c>
      <c r="H216" s="50" t="s">
        <v>238</v>
      </c>
      <c r="I216" s="50" t="s">
        <v>853</v>
      </c>
      <c r="J216" s="50" t="s">
        <v>1190</v>
      </c>
      <c r="K216" s="50"/>
      <c r="L216" s="47"/>
      <c r="M216" s="47"/>
      <c r="N216" s="47"/>
      <c r="O216" s="47"/>
      <c r="P216" s="47"/>
      <c r="Q216" s="47"/>
      <c r="R216" s="47"/>
      <c r="S216" s="47"/>
      <c r="T216" s="47"/>
      <c r="U216" s="47"/>
      <c r="V216" s="50" t="s">
        <v>1191</v>
      </c>
      <c r="W216" s="74">
        <v>0</v>
      </c>
      <c r="X216" s="39">
        <f>MAX(0,$AK216-$W216-$Z216)</f>
        <v>0</v>
      </c>
      <c r="Y216" s="39"/>
      <c r="Z216" s="39"/>
      <c r="AA216" s="41">
        <v>0.31</v>
      </c>
      <c r="AB216" s="41">
        <f>IF(AND($X216&gt;0,ISNUMBER($AA216)),$X216*$AA216,0)</f>
        <v>0</v>
      </c>
      <c r="AC216" s="59"/>
      <c r="AD216" s="59"/>
      <c r="AE216" s="59"/>
      <c r="AF216" s="59"/>
      <c r="AG216" s="59"/>
      <c r="AH216" s="59"/>
      <c r="AI216" s="59"/>
      <c r="AJ216" s="59"/>
      <c r="AK216" s="39">
        <f>SUM(AL216:AR216)</f>
        <v>0</v>
      </c>
      <c r="AL216" s="114"/>
      <c r="AM216" s="43"/>
      <c r="AN216" s="43"/>
      <c r="AO216" s="43"/>
      <c r="AP216" s="43"/>
      <c r="AQ216" s="43"/>
      <c r="AR216" s="116"/>
      <c r="AS216" s="42">
        <f>SUM(AT216:AZ216)</f>
        <v>0</v>
      </c>
      <c r="AT216" s="48"/>
      <c r="AU216" s="48"/>
      <c r="AV216" s="48"/>
      <c r="AW216" s="48"/>
      <c r="AX216" s="48"/>
      <c r="AY216" s="48"/>
      <c r="AZ216" s="48"/>
      <c r="BA216" s="43">
        <f>IF((W216-SUM(AT216:AZ216))&lt;0,0,W216-SUM(AT216:AZ216))</f>
        <v>0</v>
      </c>
      <c r="BB216" s="49"/>
      <c r="BC216" s="47"/>
      <c r="BD216" s="126"/>
    </row>
    <row r="217" spans="1:56" ht="15" customHeight="1">
      <c r="A217" s="49" t="s">
        <v>1192</v>
      </c>
      <c r="B217" s="39" t="s">
        <v>96</v>
      </c>
      <c r="C217" s="46" t="s">
        <v>83</v>
      </c>
      <c r="D217" s="49" t="s">
        <v>68</v>
      </c>
      <c r="E217" s="49"/>
      <c r="F217" s="39">
        <v>0</v>
      </c>
      <c r="G217" s="75" t="s">
        <v>1193</v>
      </c>
      <c r="H217" s="50" t="s">
        <v>87</v>
      </c>
      <c r="I217" s="50" t="s">
        <v>1193</v>
      </c>
      <c r="J217" s="50"/>
      <c r="K217" s="50"/>
      <c r="L217" s="47"/>
      <c r="M217" s="47"/>
      <c r="N217" s="47"/>
      <c r="O217" s="47"/>
      <c r="P217" s="47"/>
      <c r="Q217" s="47"/>
      <c r="R217" s="47"/>
      <c r="S217" s="47"/>
      <c r="T217" s="47"/>
      <c r="U217" s="47"/>
      <c r="V217" s="50" t="s">
        <v>132</v>
      </c>
      <c r="W217" s="74">
        <v>0</v>
      </c>
      <c r="X217" s="39">
        <f>MAX(0,$AK217-$W217-$Z217)</f>
        <v>0</v>
      </c>
      <c r="Y217" s="39"/>
      <c r="Z217" s="39"/>
      <c r="AA217" s="41">
        <v>5.57</v>
      </c>
      <c r="AB217" s="41">
        <f>IF(AND($X217&gt;0,ISNUMBER($AA217)),$X217*$AA217,0)</f>
        <v>0</v>
      </c>
      <c r="AC217" s="59"/>
      <c r="AD217" s="59"/>
      <c r="AE217" s="59"/>
      <c r="AF217" s="59"/>
      <c r="AG217" s="59"/>
      <c r="AH217" s="59"/>
      <c r="AI217" s="59"/>
      <c r="AJ217" s="59"/>
      <c r="AK217" s="39">
        <f>SUM(AL217:AR217)</f>
        <v>0</v>
      </c>
      <c r="AL217" s="114"/>
      <c r="AM217" s="43"/>
      <c r="AN217" s="43"/>
      <c r="AO217" s="43"/>
      <c r="AP217" s="43"/>
      <c r="AQ217" s="43"/>
      <c r="AR217" s="116"/>
      <c r="AS217" s="42">
        <f>SUM(AT217:AZ217)</f>
        <v>0</v>
      </c>
      <c r="AT217" s="48"/>
      <c r="AU217" s="48"/>
      <c r="AV217" s="48"/>
      <c r="AW217" s="48"/>
      <c r="AX217" s="48"/>
      <c r="AY217" s="48"/>
      <c r="AZ217" s="48"/>
      <c r="BA217" s="43">
        <f>IF((W217-SUM(AT217:AZ217))&lt;0,0,W217-SUM(AT217:AZ217))</f>
        <v>0</v>
      </c>
      <c r="BB217" s="49"/>
      <c r="BC217" s="47"/>
      <c r="BD217" s="126"/>
    </row>
    <row r="218" spans="1:56" ht="15" customHeight="1">
      <c r="A218" s="49" t="s">
        <v>1194</v>
      </c>
      <c r="B218" s="39" t="s">
        <v>96</v>
      </c>
      <c r="C218" s="46" t="s">
        <v>65</v>
      </c>
      <c r="D218" s="49" t="s">
        <v>97</v>
      </c>
      <c r="E218" s="49" t="s">
        <v>851</v>
      </c>
      <c r="F218" s="39">
        <v>3</v>
      </c>
      <c r="G218" s="75" t="s">
        <v>1195</v>
      </c>
      <c r="H218" s="50" t="s">
        <v>233</v>
      </c>
      <c r="I218" s="50" t="s">
        <v>1196</v>
      </c>
      <c r="J218" s="50" t="s">
        <v>1197</v>
      </c>
      <c r="K218" s="50"/>
      <c r="L218" s="47"/>
      <c r="M218" s="47"/>
      <c r="N218" s="47"/>
      <c r="O218" s="68"/>
      <c r="P218" s="68"/>
      <c r="Q218" s="47"/>
      <c r="R218" s="47"/>
      <c r="S218" s="47"/>
      <c r="T218" s="68"/>
      <c r="U218" s="68"/>
      <c r="V218" s="50" t="s">
        <v>81</v>
      </c>
      <c r="W218" s="74">
        <v>2</v>
      </c>
      <c r="X218" s="39">
        <f>MAX(0,$AK218-$W218-$Z218)</f>
        <v>0</v>
      </c>
      <c r="Y218" s="39"/>
      <c r="Z218" s="39"/>
      <c r="AA218" s="41">
        <v>0.9</v>
      </c>
      <c r="AB218" s="41">
        <f>IF(AND($X218&gt;0,ISNUMBER($AA218)),$X218*$AA218,0)</f>
        <v>0</v>
      </c>
      <c r="AK218" s="39">
        <f>SUM(AL218:AR218)</f>
        <v>1</v>
      </c>
      <c r="AL218" s="90"/>
      <c r="AM218" s="38"/>
      <c r="AN218" s="38"/>
      <c r="AO218" s="97">
        <v>1</v>
      </c>
      <c r="AP218" s="38"/>
      <c r="AQ218" s="38"/>
      <c r="AR218" s="91"/>
      <c r="AS218" s="42">
        <f>SUM(AT218:AZ218)</f>
        <v>1</v>
      </c>
      <c r="AT218" s="48"/>
      <c r="AU218" s="48"/>
      <c r="AV218" s="48"/>
      <c r="AW218" s="48">
        <v>1</v>
      </c>
      <c r="AX218" s="48"/>
      <c r="AY218" s="48"/>
      <c r="AZ218" s="48"/>
      <c r="BA218" s="43">
        <f>IF((W218-SUM(AT218:AZ218))&lt;0,0,W218-SUM(AT218:AZ218))</f>
        <v>1</v>
      </c>
      <c r="BB218" s="49"/>
      <c r="BC218" s="47"/>
      <c r="BD218" s="126"/>
    </row>
    <row r="219" spans="1:56" ht="15" customHeight="1">
      <c r="A219" s="44" t="s">
        <v>1198</v>
      </c>
      <c r="B219" s="45" t="s">
        <v>96</v>
      </c>
      <c r="C219" s="46" t="s">
        <v>65</v>
      </c>
      <c r="D219" s="44" t="s">
        <v>105</v>
      </c>
      <c r="E219" s="44" t="s">
        <v>151</v>
      </c>
      <c r="F219" s="45">
        <v>1</v>
      </c>
      <c r="G219" s="75" t="s">
        <v>1199</v>
      </c>
      <c r="H219" s="44" t="s">
        <v>123</v>
      </c>
      <c r="I219" s="44" t="s">
        <v>1200</v>
      </c>
      <c r="J219" s="44" t="s">
        <v>1201</v>
      </c>
      <c r="K219" s="44"/>
      <c r="L219" s="47"/>
      <c r="M219" s="47"/>
      <c r="N219" s="47"/>
      <c r="O219" s="68"/>
      <c r="P219" s="68"/>
      <c r="Q219" s="47"/>
      <c r="R219" s="47"/>
      <c r="S219" s="47"/>
      <c r="T219" s="68"/>
      <c r="U219" s="68"/>
      <c r="V219" s="44" t="s">
        <v>167</v>
      </c>
      <c r="W219" s="74">
        <v>2</v>
      </c>
      <c r="X219" s="39">
        <f>MAX(0,$AK219-$W219-$Z219)</f>
        <v>0</v>
      </c>
      <c r="Y219" s="44"/>
      <c r="Z219" s="44"/>
      <c r="AA219" s="44">
        <v>0.12</v>
      </c>
      <c r="AB219" s="44">
        <f>IF(AND($X219&gt;0,ISNUMBER($AA219)),$X219*$AA219,0)</f>
        <v>0</v>
      </c>
      <c r="AK219" s="39">
        <f>SUM(AL219:AR219)</f>
        <v>0</v>
      </c>
      <c r="AL219" s="90"/>
      <c r="AM219" s="38"/>
      <c r="AN219" s="38"/>
      <c r="AO219" s="38"/>
      <c r="AP219" s="38"/>
      <c r="AQ219" s="38"/>
      <c r="AR219" s="91"/>
      <c r="AS219" s="42">
        <f>SUM(AT219:AZ219)</f>
        <v>0</v>
      </c>
      <c r="AT219" s="48"/>
      <c r="AU219" s="48"/>
      <c r="AV219" s="48"/>
      <c r="AW219" s="48"/>
      <c r="AX219" s="48"/>
      <c r="AY219" s="48"/>
      <c r="AZ219" s="48"/>
      <c r="BA219" s="43">
        <f>IF((W219-SUM(AT219:AZ219))&lt;0,0,W219-SUM(AT219:AZ219))</f>
        <v>2</v>
      </c>
      <c r="BB219" s="44"/>
      <c r="BC219" s="47"/>
      <c r="BD219" s="47"/>
    </row>
    <row r="220" spans="1:56" ht="15" customHeight="1">
      <c r="A220" s="35" t="s">
        <v>1202</v>
      </c>
      <c r="B220" s="36" t="s">
        <v>1203</v>
      </c>
      <c r="C220" s="38" t="s">
        <v>65</v>
      </c>
      <c r="D220" s="35" t="s">
        <v>84</v>
      </c>
      <c r="E220" s="35" t="s">
        <v>1204</v>
      </c>
      <c r="F220" s="35">
        <v>1</v>
      </c>
      <c r="G220" s="75" t="s">
        <v>1205</v>
      </c>
      <c r="H220" s="35" t="s">
        <v>679</v>
      </c>
      <c r="I220" s="35" t="s">
        <v>1206</v>
      </c>
      <c r="J220" s="35" t="s">
        <v>1207</v>
      </c>
      <c r="K220" s="35"/>
      <c r="L220" s="37"/>
      <c r="M220" s="37"/>
      <c r="N220" s="37"/>
      <c r="O220" s="68"/>
      <c r="P220" s="68"/>
      <c r="Q220" s="37"/>
      <c r="R220" s="37"/>
      <c r="S220" s="37"/>
      <c r="T220" s="68"/>
      <c r="U220" s="68"/>
      <c r="V220" s="35" t="s">
        <v>223</v>
      </c>
      <c r="W220" s="74">
        <v>1</v>
      </c>
      <c r="X220" s="39">
        <f>MAX(0,$AK220-$W220-$Z220)</f>
        <v>0</v>
      </c>
      <c r="Y220" s="35"/>
      <c r="Z220" s="35"/>
      <c r="AA220" s="35">
        <v>0.28000000000000003</v>
      </c>
      <c r="AB220" s="41">
        <f>IF(AND($X220&gt;0,ISNUMBER($AA220)),$X220*$AA220,0)</f>
        <v>0</v>
      </c>
      <c r="AK220" s="39">
        <f>SUM(AL220:AR220)</f>
        <v>0</v>
      </c>
      <c r="AL220" s="90"/>
      <c r="AM220" s="38"/>
      <c r="AN220" s="38"/>
      <c r="AO220" s="38"/>
      <c r="AP220" s="38"/>
      <c r="AQ220" s="38"/>
      <c r="AR220" s="91"/>
      <c r="AS220" s="42">
        <f>SUM(AT220:AZ220)</f>
        <v>0</v>
      </c>
      <c r="AT220" s="48"/>
      <c r="AU220" s="48"/>
      <c r="AV220" s="48"/>
      <c r="AW220" s="48"/>
      <c r="AX220" s="48"/>
      <c r="AY220" s="48"/>
      <c r="AZ220" s="48"/>
      <c r="BA220" s="43">
        <f>IF((W220-SUM(AT220:AZ220))&lt;0,0,W220-SUM(AT220:AZ220))</f>
        <v>1</v>
      </c>
      <c r="BB220" s="35"/>
      <c r="BC220" s="37"/>
      <c r="BD220" s="37"/>
    </row>
    <row r="221" spans="1:56" ht="15" customHeight="1">
      <c r="A221" s="49" t="s">
        <v>1208</v>
      </c>
      <c r="B221" s="39" t="s">
        <v>1203</v>
      </c>
      <c r="C221" s="46" t="s">
        <v>65</v>
      </c>
      <c r="D221" s="49" t="s">
        <v>84</v>
      </c>
      <c r="E221" s="49" t="s">
        <v>450</v>
      </c>
      <c r="F221" s="39">
        <v>6</v>
      </c>
      <c r="G221" s="75" t="s">
        <v>1209</v>
      </c>
      <c r="H221" s="50" t="s">
        <v>100</v>
      </c>
      <c r="I221" s="50" t="s">
        <v>1210</v>
      </c>
      <c r="J221" s="50" t="s">
        <v>1211</v>
      </c>
      <c r="K221" s="50"/>
      <c r="L221" s="46"/>
      <c r="M221" s="46"/>
      <c r="N221" s="46"/>
      <c r="O221" s="46"/>
      <c r="P221" s="46"/>
      <c r="Q221" s="46"/>
      <c r="R221" s="46"/>
      <c r="S221" s="46"/>
      <c r="T221" s="46"/>
      <c r="U221" s="46"/>
      <c r="V221" s="50" t="s">
        <v>635</v>
      </c>
      <c r="W221" s="74">
        <v>1</v>
      </c>
      <c r="X221" s="39">
        <f>MAX(0,$AK221-$W221-$Z221)</f>
        <v>0</v>
      </c>
      <c r="Y221" s="39"/>
      <c r="Z221" s="39"/>
      <c r="AA221" s="41">
        <v>12.31</v>
      </c>
      <c r="AB221" s="41">
        <f>IF(AND($X221&gt;0,ISNUMBER($AA221)),$X221*$AA221,0)</f>
        <v>0</v>
      </c>
      <c r="AK221" s="39">
        <f>SUM(AL221:AR221)</f>
        <v>1</v>
      </c>
      <c r="AL221" s="90"/>
      <c r="AM221" s="97">
        <v>1</v>
      </c>
      <c r="AN221" s="38"/>
      <c r="AO221" s="38"/>
      <c r="AP221" s="38"/>
      <c r="AQ221" s="38"/>
      <c r="AR221" s="91"/>
      <c r="AS221" s="42">
        <f>SUM(AT221:AZ221)</f>
        <v>1</v>
      </c>
      <c r="AT221" s="48"/>
      <c r="AU221" s="48">
        <v>1</v>
      </c>
      <c r="AV221" s="48"/>
      <c r="AW221" s="48"/>
      <c r="AX221" s="48"/>
      <c r="AY221" s="48"/>
      <c r="AZ221" s="48"/>
      <c r="BA221" s="43">
        <f>IF((W221-SUM(AT221:AZ221))&lt;0,0,W221-SUM(AT221:AZ221))</f>
        <v>0</v>
      </c>
      <c r="BB221" s="49"/>
      <c r="BC221" s="47"/>
      <c r="BD221" s="126"/>
    </row>
    <row r="222" spans="1:56" ht="15" customHeight="1">
      <c r="A222" s="49" t="s">
        <v>1212</v>
      </c>
      <c r="B222" s="39" t="s">
        <v>1203</v>
      </c>
      <c r="C222" s="46" t="s">
        <v>65</v>
      </c>
      <c r="D222" s="49" t="s">
        <v>84</v>
      </c>
      <c r="E222" s="49" t="s">
        <v>1213</v>
      </c>
      <c r="F222" s="39">
        <v>4</v>
      </c>
      <c r="G222" s="75" t="s">
        <v>1214</v>
      </c>
      <c r="H222" s="50" t="s">
        <v>794</v>
      </c>
      <c r="I222" s="50" t="s">
        <v>939</v>
      </c>
      <c r="J222" s="50" t="s">
        <v>1215</v>
      </c>
      <c r="K222" s="50"/>
      <c r="L222" s="47"/>
      <c r="M222" s="47"/>
      <c r="N222" s="47"/>
      <c r="O222" s="47"/>
      <c r="P222" s="47"/>
      <c r="Q222" s="47"/>
      <c r="R222" s="47"/>
      <c r="S222" s="47"/>
      <c r="T222" s="47"/>
      <c r="U222" s="47"/>
      <c r="V222" s="50" t="s">
        <v>1216</v>
      </c>
      <c r="W222" s="74">
        <v>0</v>
      </c>
      <c r="X222" s="39">
        <f>MAX(0,$AK222-$W222-$Z222)</f>
        <v>0</v>
      </c>
      <c r="Y222" s="39"/>
      <c r="Z222" s="39"/>
      <c r="AA222" s="41">
        <v>1.87</v>
      </c>
      <c r="AB222" s="41">
        <f>IF(AND($X222&gt;0,ISNUMBER($AA222)),$X222*$AA222,0)</f>
        <v>0</v>
      </c>
      <c r="AC222" s="59"/>
      <c r="AD222" s="59"/>
      <c r="AE222" s="59"/>
      <c r="AF222" s="59"/>
      <c r="AG222" s="59"/>
      <c r="AH222" s="59"/>
      <c r="AI222" s="59"/>
      <c r="AJ222" s="59"/>
      <c r="AK222" s="39">
        <f>SUM(AL222:AR222)</f>
        <v>0</v>
      </c>
      <c r="AL222" s="114"/>
      <c r="AM222" s="43"/>
      <c r="AN222" s="43"/>
      <c r="AO222" s="43"/>
      <c r="AP222" s="43"/>
      <c r="AQ222" s="43"/>
      <c r="AR222" s="116"/>
      <c r="AS222" s="42">
        <f>SUM(AT222:AZ222)</f>
        <v>0</v>
      </c>
      <c r="AT222" s="48"/>
      <c r="AU222" s="48"/>
      <c r="AV222" s="48"/>
      <c r="AW222" s="48"/>
      <c r="AX222" s="48"/>
      <c r="AY222" s="48"/>
      <c r="AZ222" s="48"/>
      <c r="BA222" s="43">
        <f>IF((W222-SUM(AT222:AZ222))&lt;0,0,W222-SUM(AT222:AZ222))</f>
        <v>0</v>
      </c>
      <c r="BB222" s="49"/>
      <c r="BC222" s="47"/>
      <c r="BD222" s="53"/>
    </row>
    <row r="223" spans="1:56" ht="15" customHeight="1">
      <c r="A223" s="49" t="s">
        <v>1217</v>
      </c>
      <c r="B223" s="39" t="s">
        <v>1203</v>
      </c>
      <c r="C223" s="46" t="s">
        <v>65</v>
      </c>
      <c r="D223" s="49" t="s">
        <v>84</v>
      </c>
      <c r="E223" s="49" t="s">
        <v>1218</v>
      </c>
      <c r="F223" s="39">
        <v>1</v>
      </c>
      <c r="G223" s="75" t="s">
        <v>1219</v>
      </c>
      <c r="H223" s="50" t="s">
        <v>172</v>
      </c>
      <c r="I223" s="50" t="s">
        <v>1220</v>
      </c>
      <c r="J223" s="50" t="s">
        <v>1221</v>
      </c>
      <c r="K223" s="50"/>
      <c r="L223" s="47"/>
      <c r="M223" s="47"/>
      <c r="N223" s="47"/>
      <c r="O223" s="47"/>
      <c r="P223" s="47"/>
      <c r="Q223" s="47"/>
      <c r="R223" s="47"/>
      <c r="S223" s="47"/>
      <c r="T223" s="47"/>
      <c r="U223" s="47"/>
      <c r="V223" s="50" t="s">
        <v>281</v>
      </c>
      <c r="W223" s="74">
        <v>1</v>
      </c>
      <c r="X223" s="39">
        <f>MAX(0,$AK223-$W223-$Z223)</f>
        <v>0</v>
      </c>
      <c r="Y223" s="39"/>
      <c r="Z223" s="39"/>
      <c r="AA223" s="41">
        <v>0.23</v>
      </c>
      <c r="AB223" s="41">
        <f>IF(AND($X223&gt;0,ISNUMBER($AA223)),$X223*$AA223,0)</f>
        <v>0</v>
      </c>
      <c r="AF223" s="63" t="s">
        <v>1222</v>
      </c>
      <c r="AK223" s="39">
        <f>SUM(AL223:AR223)</f>
        <v>1</v>
      </c>
      <c r="AL223" s="90"/>
      <c r="AM223" s="38"/>
      <c r="AN223" s="38"/>
      <c r="AO223" s="99">
        <v>1</v>
      </c>
      <c r="AP223" s="38"/>
      <c r="AQ223" s="38"/>
      <c r="AR223" s="91"/>
      <c r="AS223" s="42">
        <f>SUM(AT223:AZ223)</f>
        <v>1</v>
      </c>
      <c r="AT223" s="48"/>
      <c r="AU223" s="48"/>
      <c r="AV223" s="48"/>
      <c r="AW223" s="48">
        <v>1</v>
      </c>
      <c r="AX223" s="48"/>
      <c r="AY223" s="48"/>
      <c r="AZ223" s="48"/>
      <c r="BA223" s="43">
        <f>IF((W223-SUM(AT223:AZ223))&lt;0,0,W223-SUM(AT223:AZ223))</f>
        <v>0</v>
      </c>
      <c r="BB223" s="49"/>
      <c r="BC223" s="47"/>
      <c r="BD223" s="126"/>
    </row>
    <row r="224" spans="1:56" ht="15" customHeight="1">
      <c r="A224" s="49" t="s">
        <v>1223</v>
      </c>
      <c r="B224" s="39" t="s">
        <v>1203</v>
      </c>
      <c r="C224" s="46" t="s">
        <v>65</v>
      </c>
      <c r="D224" s="49" t="s">
        <v>256</v>
      </c>
      <c r="E224" s="49"/>
      <c r="F224" s="39">
        <v>2</v>
      </c>
      <c r="G224" s="75" t="s">
        <v>1224</v>
      </c>
      <c r="H224" s="50" t="s">
        <v>794</v>
      </c>
      <c r="I224" s="50" t="s">
        <v>1225</v>
      </c>
      <c r="J224" s="50" t="s">
        <v>1226</v>
      </c>
      <c r="K224" s="50" t="s">
        <v>1227</v>
      </c>
      <c r="L224" s="47"/>
      <c r="M224" s="47"/>
      <c r="N224" s="47"/>
      <c r="O224" s="68"/>
      <c r="P224" s="68"/>
      <c r="Q224" s="47"/>
      <c r="R224" s="47"/>
      <c r="S224" s="47"/>
      <c r="T224" s="68"/>
      <c r="U224" s="68"/>
      <c r="V224" s="50" t="s">
        <v>1228</v>
      </c>
      <c r="W224" s="74">
        <v>1</v>
      </c>
      <c r="X224" s="39">
        <f>MAX(0,$AK224-$W224-$Z224)</f>
        <v>0</v>
      </c>
      <c r="Y224" s="39"/>
      <c r="Z224" s="39"/>
      <c r="AA224" s="41">
        <v>0.72</v>
      </c>
      <c r="AB224" s="41">
        <f>IF(AND($X224&gt;0,ISNUMBER($AA224)),$X224*$AA224,0)</f>
        <v>0</v>
      </c>
      <c r="AK224" s="39">
        <f>SUM(AL224:AR224)</f>
        <v>1</v>
      </c>
      <c r="AL224" s="90"/>
      <c r="AM224" s="38"/>
      <c r="AN224" s="38"/>
      <c r="AO224" s="97">
        <v>1</v>
      </c>
      <c r="AP224" s="38"/>
      <c r="AQ224" s="38"/>
      <c r="AR224" s="91"/>
      <c r="AS224" s="42">
        <f>SUM(AT224:AZ224)</f>
        <v>1</v>
      </c>
      <c r="AT224" s="48"/>
      <c r="AU224" s="48"/>
      <c r="AV224" s="48"/>
      <c r="AW224" s="48">
        <v>1</v>
      </c>
      <c r="AX224" s="48"/>
      <c r="AY224" s="48"/>
      <c r="AZ224" s="48"/>
      <c r="BA224" s="43">
        <f>IF((W224-SUM(AT224:AZ224))&lt;0,0,W224-SUM(AT224:AZ224))</f>
        <v>0</v>
      </c>
      <c r="BB224" s="49"/>
      <c r="BC224" s="47"/>
      <c r="BD224" s="126"/>
    </row>
    <row r="225" spans="1:56" ht="15" customHeight="1">
      <c r="A225" s="44" t="s">
        <v>1229</v>
      </c>
      <c r="B225" s="45" t="s">
        <v>1203</v>
      </c>
      <c r="C225" s="46" t="s">
        <v>65</v>
      </c>
      <c r="D225" s="44" t="s">
        <v>84</v>
      </c>
      <c r="E225" s="44" t="s">
        <v>1230</v>
      </c>
      <c r="F225" s="45">
        <v>2</v>
      </c>
      <c r="G225" s="75" t="s">
        <v>1231</v>
      </c>
      <c r="H225" s="44" t="s">
        <v>238</v>
      </c>
      <c r="I225" s="44" t="s">
        <v>1232</v>
      </c>
      <c r="J225" s="44" t="s">
        <v>1233</v>
      </c>
      <c r="K225" s="44"/>
      <c r="L225" s="108" t="s">
        <v>1234</v>
      </c>
      <c r="M225" s="46">
        <v>1</v>
      </c>
      <c r="N225" s="46">
        <v>1</v>
      </c>
      <c r="O225" s="68" t="s">
        <v>1235</v>
      </c>
      <c r="P225" s="110">
        <v>0.24</v>
      </c>
      <c r="Q225" s="47"/>
      <c r="R225" s="47"/>
      <c r="S225" s="47"/>
      <c r="T225" s="68"/>
      <c r="U225" s="68"/>
      <c r="V225" s="44" t="s">
        <v>167</v>
      </c>
      <c r="W225" s="74">
        <v>3</v>
      </c>
      <c r="X225" s="39">
        <f>MAX(0,$AK225-$W225-$Z225)</f>
        <v>0</v>
      </c>
      <c r="Y225" s="44"/>
      <c r="Z225" s="44"/>
      <c r="AA225" s="44">
        <v>0.24</v>
      </c>
      <c r="AB225" s="44">
        <f>IF(AND($X225&gt;0,ISNUMBER($AA225)),$X225*$AA225,0)</f>
        <v>0</v>
      </c>
      <c r="AK225" s="39">
        <f>SUM(AL225:AR225)</f>
        <v>0</v>
      </c>
      <c r="AL225" s="90"/>
      <c r="AM225" s="38"/>
      <c r="AN225" s="38"/>
      <c r="AO225" s="38"/>
      <c r="AP225" s="38"/>
      <c r="AQ225" s="38"/>
      <c r="AR225" s="91"/>
      <c r="AS225" s="42">
        <f>SUM(AT225:AZ225)</f>
        <v>0</v>
      </c>
      <c r="AT225" s="48"/>
      <c r="AU225" s="48"/>
      <c r="AV225" s="48"/>
      <c r="AW225" s="48"/>
      <c r="AX225" s="48"/>
      <c r="AY225" s="48"/>
      <c r="AZ225" s="48"/>
      <c r="BA225" s="43">
        <f>IF((W225-SUM(AT225:AZ225))&lt;0,0,W225-SUM(AT225:AZ225))</f>
        <v>3</v>
      </c>
      <c r="BB225" s="44"/>
      <c r="BC225" s="47"/>
      <c r="BD225" s="47"/>
    </row>
    <row r="226" spans="1:56" ht="15" customHeight="1">
      <c r="A226" s="49" t="s">
        <v>1236</v>
      </c>
      <c r="B226" s="39" t="s">
        <v>1203</v>
      </c>
      <c r="C226" s="46" t="s">
        <v>65</v>
      </c>
      <c r="D226" s="49" t="s">
        <v>84</v>
      </c>
      <c r="E226" s="49" t="s">
        <v>1237</v>
      </c>
      <c r="F226" s="39">
        <v>3</v>
      </c>
      <c r="G226" s="75" t="s">
        <v>1238</v>
      </c>
      <c r="H226" s="50" t="s">
        <v>1239</v>
      </c>
      <c r="I226" s="50" t="s">
        <v>1240</v>
      </c>
      <c r="J226" s="50"/>
      <c r="K226" s="50"/>
      <c r="L226" s="46"/>
      <c r="M226" s="46"/>
      <c r="N226" s="46"/>
      <c r="O226" s="68"/>
      <c r="P226" s="68"/>
      <c r="Q226" s="46"/>
      <c r="R226" s="46"/>
      <c r="S226" s="46"/>
      <c r="T226" s="68"/>
      <c r="U226" s="68"/>
      <c r="V226" s="50" t="s">
        <v>491</v>
      </c>
      <c r="W226" s="74">
        <v>3</v>
      </c>
      <c r="X226" s="39">
        <f>MAX(0,$AK226-$W226-$Z226)</f>
        <v>0</v>
      </c>
      <c r="Y226" s="39"/>
      <c r="Z226" s="39"/>
      <c r="AA226" s="41">
        <v>0.34</v>
      </c>
      <c r="AB226" s="41">
        <f>IF(AND($X226&gt;0,ISNUMBER($AA226)),$X226*$AA226,0)</f>
        <v>0</v>
      </c>
      <c r="AF226" s="63"/>
      <c r="AK226" s="39">
        <f>SUM(AL226:AR226)</f>
        <v>1</v>
      </c>
      <c r="AL226" s="90"/>
      <c r="AM226" s="38"/>
      <c r="AN226" s="38"/>
      <c r="AO226" s="97">
        <v>1</v>
      </c>
      <c r="AP226" s="38"/>
      <c r="AQ226" s="38"/>
      <c r="AR226" s="91"/>
      <c r="AS226" s="42">
        <f>SUM(AT226:AZ226)</f>
        <v>1</v>
      </c>
      <c r="AT226" s="48"/>
      <c r="AU226" s="48"/>
      <c r="AV226" s="48"/>
      <c r="AW226" s="48">
        <v>1</v>
      </c>
      <c r="AX226" s="48"/>
      <c r="AY226" s="48"/>
      <c r="AZ226" s="48"/>
      <c r="BA226" s="43">
        <f>IF((W226-SUM(AT226:AZ226))&lt;0,0,W226-SUM(AT226:AZ226))</f>
        <v>2</v>
      </c>
      <c r="BB226" s="49"/>
      <c r="BC226" s="47"/>
      <c r="BD226" s="47"/>
    </row>
    <row r="227" spans="1:56" ht="15" customHeight="1">
      <c r="A227" s="49" t="s">
        <v>1241</v>
      </c>
      <c r="B227" s="39" t="s">
        <v>1203</v>
      </c>
      <c r="C227" s="46" t="s">
        <v>83</v>
      </c>
      <c r="D227" s="49" t="s">
        <v>84</v>
      </c>
      <c r="E227" s="49" t="s">
        <v>1242</v>
      </c>
      <c r="F227" s="39">
        <v>4</v>
      </c>
      <c r="G227" s="75" t="s">
        <v>1243</v>
      </c>
      <c r="H227" s="50" t="s">
        <v>87</v>
      </c>
      <c r="I227" s="50" t="s">
        <v>1244</v>
      </c>
      <c r="J227" s="50"/>
      <c r="K227" s="50"/>
      <c r="L227" s="47"/>
      <c r="M227" s="47"/>
      <c r="N227" s="47"/>
      <c r="O227" s="47"/>
      <c r="P227" s="47"/>
      <c r="Q227" s="47"/>
      <c r="R227" s="47"/>
      <c r="S227" s="47"/>
      <c r="T227" s="47"/>
      <c r="U227" s="47"/>
      <c r="V227" s="50" t="s">
        <v>779</v>
      </c>
      <c r="W227" s="74">
        <v>0</v>
      </c>
      <c r="X227" s="39">
        <f>MAX(0,$AK227-$W227-$Z227)</f>
        <v>0</v>
      </c>
      <c r="Y227" s="39"/>
      <c r="Z227" s="39"/>
      <c r="AA227" s="41">
        <v>7.51</v>
      </c>
      <c r="AB227" s="41">
        <f>IF(AND($X227&gt;0,ISNUMBER($AA227)),$X227*$AA227,0)</f>
        <v>0</v>
      </c>
      <c r="AC227" s="59"/>
      <c r="AD227" s="59"/>
      <c r="AE227" s="59"/>
      <c r="AF227" s="59"/>
      <c r="AG227" s="59"/>
      <c r="AH227" s="59"/>
      <c r="AI227" s="59"/>
      <c r="AJ227" s="59"/>
      <c r="AK227" s="39">
        <f>SUM(AL227:AR227)</f>
        <v>0</v>
      </c>
      <c r="AL227" s="114"/>
      <c r="AM227" s="43"/>
      <c r="AN227" s="43"/>
      <c r="AO227" s="43"/>
      <c r="AP227" s="43"/>
      <c r="AQ227" s="43"/>
      <c r="AR227" s="116"/>
      <c r="AS227" s="42">
        <f>SUM(AT227:AZ227)</f>
        <v>0</v>
      </c>
      <c r="AT227" s="48"/>
      <c r="AU227" s="48"/>
      <c r="AV227" s="48"/>
      <c r="AW227" s="48"/>
      <c r="AX227" s="48"/>
      <c r="AY227" s="48"/>
      <c r="AZ227" s="48"/>
      <c r="BA227" s="43">
        <f>IF((W227-SUM(AT227:AZ227))&lt;0,0,W227-SUM(AT227:AZ227))</f>
        <v>0</v>
      </c>
      <c r="BB227" s="49"/>
      <c r="BC227" s="47"/>
      <c r="BD227" s="126"/>
    </row>
    <row r="228" spans="1:56" ht="15" customHeight="1">
      <c r="A228" s="49" t="s">
        <v>1245</v>
      </c>
      <c r="B228" s="39" t="s">
        <v>1203</v>
      </c>
      <c r="C228" s="46" t="s">
        <v>83</v>
      </c>
      <c r="D228" s="49" t="s">
        <v>76</v>
      </c>
      <c r="E228" s="49"/>
      <c r="F228" s="39">
        <v>3</v>
      </c>
      <c r="G228" s="75" t="s">
        <v>1246</v>
      </c>
      <c r="H228" s="50" t="s">
        <v>78</v>
      </c>
      <c r="I228" s="50" t="s">
        <v>1247</v>
      </c>
      <c r="J228" s="50"/>
      <c r="K228" s="50"/>
      <c r="L228" s="47"/>
      <c r="M228" s="47"/>
      <c r="N228" s="47"/>
      <c r="O228" s="47"/>
      <c r="P228" s="47"/>
      <c r="Q228" s="47"/>
      <c r="R228" s="47"/>
      <c r="S228" s="47"/>
      <c r="T228" s="47"/>
      <c r="U228" s="47"/>
      <c r="V228" s="50" t="s">
        <v>1248</v>
      </c>
      <c r="W228" s="74">
        <v>0</v>
      </c>
      <c r="X228" s="39">
        <f>MAX(0,$AK228-$W228-$Z228)</f>
        <v>0</v>
      </c>
      <c r="Y228" s="39"/>
      <c r="Z228" s="39"/>
      <c r="AA228" s="41">
        <v>0.6</v>
      </c>
      <c r="AB228" s="41">
        <f>IF(AND($X228&gt;0,ISNUMBER($AA228)),$X228*$AA228,0)</f>
        <v>0</v>
      </c>
      <c r="AC228" s="59"/>
      <c r="AD228" s="59"/>
      <c r="AE228" s="59"/>
      <c r="AF228" s="59"/>
      <c r="AG228" s="59"/>
      <c r="AH228" s="59"/>
      <c r="AI228" s="59"/>
      <c r="AJ228" s="59"/>
      <c r="AK228" s="39">
        <f>SUM(AL228:AR228)</f>
        <v>0</v>
      </c>
      <c r="AL228" s="114"/>
      <c r="AM228" s="43"/>
      <c r="AN228" s="43"/>
      <c r="AO228" s="43"/>
      <c r="AP228" s="43"/>
      <c r="AQ228" s="43"/>
      <c r="AR228" s="116"/>
      <c r="AS228" s="42">
        <f>SUM(AT228:AZ228)</f>
        <v>0</v>
      </c>
      <c r="AT228" s="48"/>
      <c r="AU228" s="48"/>
      <c r="AV228" s="48"/>
      <c r="AW228" s="48"/>
      <c r="AX228" s="48"/>
      <c r="AY228" s="48"/>
      <c r="AZ228" s="48"/>
      <c r="BA228" s="43">
        <f>IF((W228-SUM(AT228:AZ228))&lt;0,0,W228-SUM(AT228:AZ228))</f>
        <v>0</v>
      </c>
      <c r="BB228" s="49"/>
      <c r="BC228" s="47"/>
      <c r="BD228" s="117"/>
    </row>
    <row r="229" spans="1:56" ht="15" customHeight="1">
      <c r="A229" s="49" t="s">
        <v>1256</v>
      </c>
      <c r="B229" s="39" t="s">
        <v>1203</v>
      </c>
      <c r="C229" s="46" t="s">
        <v>83</v>
      </c>
      <c r="D229" s="49" t="s">
        <v>256</v>
      </c>
      <c r="E229" s="49"/>
      <c r="F229" s="39">
        <v>3</v>
      </c>
      <c r="G229" s="75" t="s">
        <v>1257</v>
      </c>
      <c r="H229" s="50" t="s">
        <v>679</v>
      </c>
      <c r="I229" s="50" t="s">
        <v>1258</v>
      </c>
      <c r="J229" s="50"/>
      <c r="K229" s="50"/>
      <c r="L229" s="47"/>
      <c r="M229" s="47"/>
      <c r="N229" s="47"/>
      <c r="O229" s="47"/>
      <c r="P229" s="47"/>
      <c r="Q229" s="47"/>
      <c r="R229" s="47"/>
      <c r="S229" s="47"/>
      <c r="T229" s="47"/>
      <c r="U229" s="47"/>
      <c r="V229" s="50" t="s">
        <v>1259</v>
      </c>
      <c r="W229" s="74">
        <v>1</v>
      </c>
      <c r="X229" s="39">
        <f>MAX(0,$AK229-$W229-$Z229)</f>
        <v>0</v>
      </c>
      <c r="Y229" s="39"/>
      <c r="Z229" s="39"/>
      <c r="AA229" s="41">
        <v>7.83</v>
      </c>
      <c r="AB229" s="41">
        <f>IF(AND($X229&gt;0,ISNUMBER($AA229)),$X229*$AA229,0)</f>
        <v>0</v>
      </c>
      <c r="AK229" s="39">
        <f>SUM(AL229:AR229)</f>
        <v>1</v>
      </c>
      <c r="AL229" s="90"/>
      <c r="AM229" s="38"/>
      <c r="AN229" s="97">
        <v>1</v>
      </c>
      <c r="AO229" s="38"/>
      <c r="AP229" s="38"/>
      <c r="AQ229" s="38"/>
      <c r="AR229" s="91"/>
      <c r="AS229" s="42">
        <f>SUM(AT229:AZ229)</f>
        <v>1</v>
      </c>
      <c r="AT229" s="48"/>
      <c r="AU229" s="48"/>
      <c r="AV229" s="48">
        <v>1</v>
      </c>
      <c r="AW229" s="48"/>
      <c r="AX229" s="48"/>
      <c r="AY229" s="48"/>
      <c r="AZ229" s="48"/>
      <c r="BA229" s="43">
        <f>IF((W229-SUM(AT229:AZ229))&lt;0,0,W229-SUM(AT229:AZ229))</f>
        <v>0</v>
      </c>
      <c r="BB229" s="49"/>
      <c r="BC229" s="47"/>
      <c r="BD229" s="126"/>
    </row>
    <row r="230" spans="1:56" ht="15" customHeight="1">
      <c r="A230" s="49" t="s">
        <v>1260</v>
      </c>
      <c r="B230" s="39" t="s">
        <v>1203</v>
      </c>
      <c r="C230" s="46" t="s">
        <v>65</v>
      </c>
      <c r="D230" s="49" t="s">
        <v>84</v>
      </c>
      <c r="E230" s="49" t="s">
        <v>1261</v>
      </c>
      <c r="F230" s="39">
        <v>2</v>
      </c>
      <c r="G230" s="75" t="s">
        <v>1262</v>
      </c>
      <c r="H230" s="50" t="s">
        <v>679</v>
      </c>
      <c r="I230" s="50" t="s">
        <v>1263</v>
      </c>
      <c r="J230" s="50" t="s">
        <v>1264</v>
      </c>
      <c r="K230" s="50"/>
      <c r="L230" s="47"/>
      <c r="M230" s="47"/>
      <c r="N230" s="47"/>
      <c r="O230" s="47"/>
      <c r="P230" s="47"/>
      <c r="Q230" s="47"/>
      <c r="R230" s="47"/>
      <c r="S230" s="47"/>
      <c r="T230" s="47"/>
      <c r="U230" s="47"/>
      <c r="V230" s="50" t="s">
        <v>119</v>
      </c>
      <c r="W230" s="74">
        <v>1</v>
      </c>
      <c r="X230" s="39">
        <f>MAX(0,$AK230-$W230-$Z230)</f>
        <v>0</v>
      </c>
      <c r="Y230" s="39"/>
      <c r="Z230" s="39"/>
      <c r="AA230" s="41">
        <v>0.3</v>
      </c>
      <c r="AB230" s="41">
        <f>IF(AND($X230&gt;0,ISNUMBER($AA230)),$X230*$AA230,0)</f>
        <v>0</v>
      </c>
      <c r="AK230" s="39">
        <f>SUM(AL230:AR230)</f>
        <v>0</v>
      </c>
      <c r="AL230" s="90"/>
      <c r="AM230" s="38"/>
      <c r="AN230" s="38"/>
      <c r="AO230" s="38"/>
      <c r="AP230" s="38"/>
      <c r="AQ230" s="38"/>
      <c r="AR230" s="91"/>
      <c r="AS230" s="42">
        <f>SUM(AT230:AZ230)</f>
        <v>0</v>
      </c>
      <c r="AT230" s="48"/>
      <c r="AU230" s="48"/>
      <c r="AV230" s="48"/>
      <c r="AW230" s="48"/>
      <c r="AX230" s="48"/>
      <c r="AY230" s="48"/>
      <c r="AZ230" s="48"/>
      <c r="BA230" s="43">
        <f>IF((W230-SUM(AT230:AZ230))&lt;0,0,W230-SUM(AT230:AZ230))</f>
        <v>1</v>
      </c>
      <c r="BB230" s="49"/>
      <c r="BC230" s="47"/>
      <c r="BD230" s="47"/>
    </row>
    <row r="231" spans="1:56" ht="15" customHeight="1">
      <c r="A231" s="49" t="s">
        <v>1265</v>
      </c>
      <c r="B231" s="39" t="s">
        <v>1203</v>
      </c>
      <c r="C231" s="46" t="s">
        <v>65</v>
      </c>
      <c r="D231" s="49" t="s">
        <v>84</v>
      </c>
      <c r="E231" s="49" t="s">
        <v>1266</v>
      </c>
      <c r="F231" s="39">
        <v>2</v>
      </c>
      <c r="G231" s="75" t="s">
        <v>1267</v>
      </c>
      <c r="H231" s="50" t="s">
        <v>1268</v>
      </c>
      <c r="I231" s="50" t="s">
        <v>1269</v>
      </c>
      <c r="J231" s="50" t="s">
        <v>1270</v>
      </c>
      <c r="K231" s="50" t="s">
        <v>1271</v>
      </c>
      <c r="L231" s="47"/>
      <c r="M231" s="47"/>
      <c r="N231" s="47"/>
      <c r="O231" s="47"/>
      <c r="P231" s="47"/>
      <c r="Q231" s="47"/>
      <c r="R231" s="47"/>
      <c r="S231" s="47"/>
      <c r="T231" s="47"/>
      <c r="U231" s="47"/>
      <c r="V231" s="50" t="s">
        <v>471</v>
      </c>
      <c r="W231" s="74">
        <v>0</v>
      </c>
      <c r="X231" s="39">
        <f>MAX(0,$AK231-$W231-$Z231)</f>
        <v>0</v>
      </c>
      <c r="Y231" s="39"/>
      <c r="Z231" s="39"/>
      <c r="AA231" s="41">
        <v>0.36</v>
      </c>
      <c r="AB231" s="41">
        <f>IF(AND($X231&gt;0,ISNUMBER($AA231)),$X231*$AA231,0)</f>
        <v>0</v>
      </c>
      <c r="AC231" s="59"/>
      <c r="AD231" s="59"/>
      <c r="AE231" s="59"/>
      <c r="AF231" s="59"/>
      <c r="AG231" s="59"/>
      <c r="AH231" s="59"/>
      <c r="AI231" s="59"/>
      <c r="AJ231" s="59"/>
      <c r="AK231" s="39">
        <f>SUM(AL231:AR231)</f>
        <v>0</v>
      </c>
      <c r="AL231" s="114"/>
      <c r="AM231" s="43"/>
      <c r="AN231" s="43"/>
      <c r="AO231" s="43"/>
      <c r="AP231" s="43"/>
      <c r="AQ231" s="43"/>
      <c r="AR231" s="116"/>
      <c r="AS231" s="42">
        <f>SUM(AT231:AZ231)</f>
        <v>0</v>
      </c>
      <c r="AT231" s="48"/>
      <c r="AU231" s="48"/>
      <c r="AV231" s="48"/>
      <c r="AW231" s="48"/>
      <c r="AX231" s="48"/>
      <c r="AY231" s="48"/>
      <c r="AZ231" s="48"/>
      <c r="BA231" s="43">
        <f>IF((W231-SUM(AT231:AZ231))&lt;0,0,W231-SUM(AT231:AZ231))</f>
        <v>0</v>
      </c>
      <c r="BB231" s="49"/>
      <c r="BC231" s="47"/>
      <c r="BD231" s="126"/>
    </row>
    <row r="232" spans="1:56" ht="15" customHeight="1">
      <c r="A232" s="49" t="s">
        <v>1272</v>
      </c>
      <c r="B232" s="39" t="s">
        <v>1203</v>
      </c>
      <c r="C232" s="46" t="s">
        <v>65</v>
      </c>
      <c r="D232" s="49" t="s">
        <v>84</v>
      </c>
      <c r="E232" s="49" t="s">
        <v>1273</v>
      </c>
      <c r="F232" s="39">
        <v>7</v>
      </c>
      <c r="G232" s="75" t="s">
        <v>1274</v>
      </c>
      <c r="H232" s="50" t="s">
        <v>679</v>
      </c>
      <c r="I232" s="50" t="s">
        <v>1275</v>
      </c>
      <c r="J232" s="50" t="s">
        <v>1276</v>
      </c>
      <c r="K232" s="50"/>
      <c r="L232" s="47"/>
      <c r="M232" s="47"/>
      <c r="N232" s="47"/>
      <c r="O232" s="47"/>
      <c r="P232" s="47"/>
      <c r="Q232" s="47"/>
      <c r="R232" s="47"/>
      <c r="S232" s="47"/>
      <c r="T232" s="47"/>
      <c r="U232" s="47"/>
      <c r="V232" s="50" t="s">
        <v>1216</v>
      </c>
      <c r="W232" s="74">
        <v>1</v>
      </c>
      <c r="X232" s="39">
        <f>MAX(0,$AK232-$W232-$Z232)</f>
        <v>0</v>
      </c>
      <c r="Y232" s="39"/>
      <c r="Z232" s="39"/>
      <c r="AA232" s="41">
        <v>3.96</v>
      </c>
      <c r="AB232" s="41">
        <f>IF(AND($X232&gt;0,ISNUMBER($AA232)),$X232*$AA232,0)</f>
        <v>0</v>
      </c>
      <c r="AF232" t="s">
        <v>1277</v>
      </c>
      <c r="AK232" s="39">
        <f>SUM(AL232:AR232)</f>
        <v>1</v>
      </c>
      <c r="AL232" s="90"/>
      <c r="AM232" s="38"/>
      <c r="AN232" s="38"/>
      <c r="AO232" s="99">
        <v>1</v>
      </c>
      <c r="AP232" s="38"/>
      <c r="AQ232" s="38"/>
      <c r="AR232" s="91"/>
      <c r="AS232" s="42">
        <f>SUM(AT232:AZ232)</f>
        <v>1</v>
      </c>
      <c r="AT232" s="48"/>
      <c r="AU232" s="48"/>
      <c r="AV232" s="48"/>
      <c r="AW232" s="48">
        <v>1</v>
      </c>
      <c r="AX232" s="48"/>
      <c r="AY232" s="48"/>
      <c r="AZ232" s="48"/>
      <c r="BA232" s="43">
        <f>IF((W232-SUM(AT232:AZ232))&lt;0,0,W232-SUM(AT232:AZ232))</f>
        <v>0</v>
      </c>
      <c r="BB232" s="49"/>
      <c r="BC232" s="47"/>
      <c r="BD232" s="126"/>
    </row>
    <row r="233" spans="1:56" ht="15" customHeight="1">
      <c r="A233" s="49" t="s">
        <v>1278</v>
      </c>
      <c r="B233" s="39" t="s">
        <v>1203</v>
      </c>
      <c r="C233" s="46" t="s">
        <v>65</v>
      </c>
      <c r="D233" s="49" t="s">
        <v>84</v>
      </c>
      <c r="E233" s="49" t="s">
        <v>1279</v>
      </c>
      <c r="F233" s="39">
        <v>3</v>
      </c>
      <c r="G233" s="75" t="s">
        <v>1280</v>
      </c>
      <c r="H233" s="50" t="s">
        <v>293</v>
      </c>
      <c r="I233" s="50" t="s">
        <v>1072</v>
      </c>
      <c r="J233" s="50" t="s">
        <v>821</v>
      </c>
      <c r="K233" s="50"/>
      <c r="L233" s="47"/>
      <c r="M233" s="47"/>
      <c r="N233" s="47"/>
      <c r="O233" s="47"/>
      <c r="P233" s="47"/>
      <c r="Q233" s="47"/>
      <c r="R233" s="47"/>
      <c r="S233" s="47"/>
      <c r="T233" s="47"/>
      <c r="U233" s="47"/>
      <c r="V233" s="50" t="s">
        <v>1023</v>
      </c>
      <c r="W233" s="74">
        <v>1</v>
      </c>
      <c r="X233" s="39">
        <f>MAX(0,$AK233-$W233-$Z233)</f>
        <v>0</v>
      </c>
      <c r="Y233" s="39"/>
      <c r="Z233" s="39"/>
      <c r="AA233" s="41">
        <v>0.23</v>
      </c>
      <c r="AB233" s="41">
        <f>IF(AND($X233&gt;0,ISNUMBER($AA233)),$X233*$AA233,0)</f>
        <v>0</v>
      </c>
      <c r="AK233" s="39">
        <f>SUM(AL233:AR233)</f>
        <v>1</v>
      </c>
      <c r="AL233" s="90"/>
      <c r="AM233" s="38"/>
      <c r="AN233" s="38"/>
      <c r="AO233" s="97">
        <v>1</v>
      </c>
      <c r="AP233" s="38"/>
      <c r="AQ233" s="38"/>
      <c r="AR233" s="91"/>
      <c r="AS233" s="42">
        <f>SUM(AT233:AZ233)</f>
        <v>1</v>
      </c>
      <c r="AT233" s="48"/>
      <c r="AU233" s="48"/>
      <c r="AV233" s="48"/>
      <c r="AW233" s="48">
        <v>1</v>
      </c>
      <c r="AX233" s="48"/>
      <c r="AY233" s="48"/>
      <c r="AZ233" s="48"/>
      <c r="BA233" s="43">
        <f>IF((W233-SUM(AT233:AZ233))&lt;0,0,W233-SUM(AT233:AZ233))</f>
        <v>0</v>
      </c>
      <c r="BB233" s="49"/>
      <c r="BC233" s="47"/>
      <c r="BD233" s="47"/>
    </row>
    <row r="234" spans="1:56" ht="15" customHeight="1">
      <c r="A234" s="35" t="s">
        <v>1281</v>
      </c>
      <c r="B234" s="36" t="s">
        <v>1203</v>
      </c>
      <c r="C234" s="38" t="s">
        <v>65</v>
      </c>
      <c r="D234" s="35" t="s">
        <v>134</v>
      </c>
      <c r="E234" s="35"/>
      <c r="F234" s="36">
        <v>3</v>
      </c>
      <c r="G234" s="75" t="s">
        <v>1282</v>
      </c>
      <c r="H234" s="35" t="s">
        <v>78</v>
      </c>
      <c r="I234" s="35" t="s">
        <v>1283</v>
      </c>
      <c r="J234" s="35"/>
      <c r="K234" s="35"/>
      <c r="L234" s="37"/>
      <c r="M234" s="37"/>
      <c r="N234" s="37"/>
      <c r="O234" s="68"/>
      <c r="P234" s="68"/>
      <c r="Q234" s="37"/>
      <c r="R234" s="37"/>
      <c r="S234" s="37"/>
      <c r="T234" s="68"/>
      <c r="U234" s="68"/>
      <c r="V234" s="35" t="s">
        <v>223</v>
      </c>
      <c r="W234" s="74">
        <v>1</v>
      </c>
      <c r="X234" s="39">
        <f>MAX(0,$AK234-$W234-$Z234)</f>
        <v>0</v>
      </c>
      <c r="Y234" s="35"/>
      <c r="Z234" s="35"/>
      <c r="AA234" s="40">
        <v>0.22</v>
      </c>
      <c r="AB234" s="41">
        <f>IF(AND($X234&gt;0,ISNUMBER($AA234)),$X234*$AA234,0)</f>
        <v>0</v>
      </c>
      <c r="AK234" s="39">
        <f>SUM(AL234:AR234)</f>
        <v>0</v>
      </c>
      <c r="AL234" s="90"/>
      <c r="AM234" s="38"/>
      <c r="AN234" s="38"/>
      <c r="AO234" s="38"/>
      <c r="AP234" s="38"/>
      <c r="AQ234" s="38"/>
      <c r="AR234" s="91"/>
      <c r="AS234" s="42">
        <f>SUM(AT234:AZ234)</f>
        <v>0</v>
      </c>
      <c r="AT234" s="48"/>
      <c r="AU234" s="48"/>
      <c r="AV234" s="48"/>
      <c r="AW234" s="48"/>
      <c r="AX234" s="48"/>
      <c r="AY234" s="48"/>
      <c r="AZ234" s="48"/>
      <c r="BA234" s="43">
        <f>IF((W234-SUM(AT234:AZ234))&lt;0,0,W234-SUM(AT234:AZ234))</f>
        <v>1</v>
      </c>
      <c r="BB234" s="35"/>
      <c r="BC234" s="37"/>
      <c r="BD234" s="37"/>
    </row>
    <row r="235" spans="1:56" ht="15" customHeight="1">
      <c r="A235" s="35" t="s">
        <v>1284</v>
      </c>
      <c r="B235" s="36" t="s">
        <v>1203</v>
      </c>
      <c r="C235" s="38" t="s">
        <v>65</v>
      </c>
      <c r="D235" s="35" t="s">
        <v>84</v>
      </c>
      <c r="E235" s="35" t="s">
        <v>121</v>
      </c>
      <c r="F235" s="36">
        <v>3</v>
      </c>
      <c r="G235" s="75" t="s">
        <v>1285</v>
      </c>
      <c r="H235" s="35" t="s">
        <v>1268</v>
      </c>
      <c r="I235" s="35" t="s">
        <v>1286</v>
      </c>
      <c r="J235" s="35" t="s">
        <v>1287</v>
      </c>
      <c r="K235" s="35"/>
      <c r="L235" s="37"/>
      <c r="M235" s="37"/>
      <c r="N235" s="37"/>
      <c r="O235" s="68"/>
      <c r="P235" s="68"/>
      <c r="Q235" s="37"/>
      <c r="R235" s="37"/>
      <c r="S235" s="37"/>
      <c r="T235" s="68"/>
      <c r="U235" s="68"/>
      <c r="V235" s="35" t="s">
        <v>119</v>
      </c>
      <c r="W235" s="74">
        <v>1</v>
      </c>
      <c r="X235" s="39">
        <f>MAX(0,$AK235-$W235-$Z235)</f>
        <v>0</v>
      </c>
      <c r="Y235" s="35"/>
      <c r="Z235" s="35"/>
      <c r="AA235" s="40">
        <v>1.37</v>
      </c>
      <c r="AB235" s="41">
        <f>IF(AND($X235&gt;0,ISNUMBER($AA235)),$X235*$AA235,0)</f>
        <v>0</v>
      </c>
      <c r="AK235" s="39">
        <f>SUM(AL235:AR235)</f>
        <v>1</v>
      </c>
      <c r="AL235" s="90"/>
      <c r="AM235" s="97">
        <v>1</v>
      </c>
      <c r="AN235" s="38"/>
      <c r="AO235" s="38"/>
      <c r="AP235" s="38"/>
      <c r="AQ235" s="38"/>
      <c r="AR235" s="91"/>
      <c r="AS235" s="42">
        <f>SUM(AT235:AZ235)</f>
        <v>1</v>
      </c>
      <c r="AT235" s="48"/>
      <c r="AU235" s="48">
        <v>1</v>
      </c>
      <c r="AV235" s="48"/>
      <c r="AW235" s="48"/>
      <c r="AX235" s="48"/>
      <c r="AY235" s="48"/>
      <c r="AZ235" s="48"/>
      <c r="BA235" s="43">
        <f>IF((W235-SUM(AT235:AZ235))&lt;0,0,W235-SUM(AT235:AZ235))</f>
        <v>0</v>
      </c>
      <c r="BB235" s="35"/>
      <c r="BC235" s="37"/>
      <c r="BD235" s="135"/>
    </row>
    <row r="236" spans="1:56" ht="15" customHeight="1">
      <c r="A236" s="49" t="s">
        <v>1288</v>
      </c>
      <c r="B236" s="39" t="s">
        <v>1203</v>
      </c>
      <c r="C236" s="46" t="s">
        <v>65</v>
      </c>
      <c r="D236" s="49" t="s">
        <v>134</v>
      </c>
      <c r="E236" s="49"/>
      <c r="F236" s="39">
        <v>3</v>
      </c>
      <c r="G236" s="75" t="s">
        <v>1289</v>
      </c>
      <c r="H236" s="50" t="s">
        <v>172</v>
      </c>
      <c r="I236" s="50" t="s">
        <v>1290</v>
      </c>
      <c r="J236" s="50"/>
      <c r="K236" s="50"/>
      <c r="L236" s="47"/>
      <c r="M236" s="47"/>
      <c r="N236" s="47"/>
      <c r="O236" s="47"/>
      <c r="P236" s="47"/>
      <c r="Q236" s="47"/>
      <c r="R236" s="47"/>
      <c r="S236" s="47"/>
      <c r="T236" s="47"/>
      <c r="U236" s="47"/>
      <c r="V236" s="50" t="s">
        <v>306</v>
      </c>
      <c r="W236" s="74">
        <v>1</v>
      </c>
      <c r="X236" s="39">
        <f>MAX(0,$AK236-$W236-$Z236)</f>
        <v>0</v>
      </c>
      <c r="Y236" s="39"/>
      <c r="Z236" s="39"/>
      <c r="AA236" s="41">
        <v>0.36</v>
      </c>
      <c r="AB236" s="41">
        <f>IF(AND($X236&gt;0,ISNUMBER($AA236)),$X236*$AA236,0)</f>
        <v>0</v>
      </c>
      <c r="AK236" s="39">
        <f>SUM(AL236:AR236)</f>
        <v>0</v>
      </c>
      <c r="AL236" s="90"/>
      <c r="AM236" s="38"/>
      <c r="AN236" s="38"/>
      <c r="AO236" s="38"/>
      <c r="AP236" s="38"/>
      <c r="AQ236" s="38"/>
      <c r="AR236" s="91"/>
      <c r="AS236" s="42">
        <f>SUM(AT236:AZ236)</f>
        <v>0</v>
      </c>
      <c r="AT236" s="48"/>
      <c r="AU236" s="48"/>
      <c r="AV236" s="48"/>
      <c r="AW236" s="48"/>
      <c r="AX236" s="48"/>
      <c r="AY236" s="48"/>
      <c r="AZ236" s="48"/>
      <c r="BA236" s="43">
        <f>IF((W236-SUM(AT236:AZ236))&lt;0,0,W236-SUM(AT236:AZ236))</f>
        <v>1</v>
      </c>
      <c r="BB236" s="49"/>
      <c r="BC236" s="47"/>
      <c r="BD236" s="126"/>
    </row>
    <row r="237" spans="1:56" ht="15" customHeight="1">
      <c r="A237" s="49" t="s">
        <v>1296</v>
      </c>
      <c r="B237" s="39" t="s">
        <v>1203</v>
      </c>
      <c r="C237" s="46" t="s">
        <v>65</v>
      </c>
      <c r="D237" s="49" t="s">
        <v>84</v>
      </c>
      <c r="E237" s="49" t="s">
        <v>1297</v>
      </c>
      <c r="F237" s="39">
        <v>2</v>
      </c>
      <c r="G237" s="75" t="s">
        <v>1298</v>
      </c>
      <c r="H237" s="50" t="s">
        <v>115</v>
      </c>
      <c r="I237" s="50" t="s">
        <v>1299</v>
      </c>
      <c r="J237" s="50"/>
      <c r="K237" s="50"/>
      <c r="L237" s="47"/>
      <c r="M237" s="47"/>
      <c r="N237" s="47"/>
      <c r="O237" s="68"/>
      <c r="P237" s="68"/>
      <c r="Q237" s="47"/>
      <c r="R237" s="47"/>
      <c r="S237" s="47"/>
      <c r="T237" s="68"/>
      <c r="U237" s="68"/>
      <c r="V237" s="50" t="s">
        <v>119</v>
      </c>
      <c r="W237" s="74">
        <v>3</v>
      </c>
      <c r="X237" s="39">
        <f>MAX(0,$AK237-$W237-$Z237)</f>
        <v>0</v>
      </c>
      <c r="Y237" s="39"/>
      <c r="Z237" s="39"/>
      <c r="AA237" s="41">
        <v>0.22</v>
      </c>
      <c r="AB237" s="41">
        <f>IF(AND($X237&gt;0,ISNUMBER($AA237)),$X237*$AA237,0)</f>
        <v>0</v>
      </c>
      <c r="AK237" s="39">
        <f>SUM(AL237:AR237)</f>
        <v>1</v>
      </c>
      <c r="AL237" s="90"/>
      <c r="AM237" s="97">
        <v>1</v>
      </c>
      <c r="AN237" s="38"/>
      <c r="AO237" s="38"/>
      <c r="AP237" s="38"/>
      <c r="AQ237" s="38"/>
      <c r="AR237" s="91"/>
      <c r="AS237" s="42">
        <f>SUM(AT237:AZ237)</f>
        <v>1</v>
      </c>
      <c r="AT237" s="48"/>
      <c r="AU237" s="48">
        <v>1</v>
      </c>
      <c r="AV237" s="48"/>
      <c r="AW237" s="48"/>
      <c r="AX237" s="48"/>
      <c r="AY237" s="48"/>
      <c r="AZ237" s="48"/>
      <c r="BA237" s="43">
        <f>IF((W237-SUM(AT237:AZ237))&lt;0,0,W237-SUM(AT237:AZ237))</f>
        <v>2</v>
      </c>
      <c r="BB237" s="49"/>
      <c r="BC237" s="47"/>
      <c r="BD237" s="47"/>
    </row>
    <row r="238" spans="1:56" ht="15" customHeight="1">
      <c r="A238" s="49" t="s">
        <v>1300</v>
      </c>
      <c r="B238" s="39" t="s">
        <v>1203</v>
      </c>
      <c r="C238" s="46" t="s">
        <v>65</v>
      </c>
      <c r="D238" s="49" t="s">
        <v>84</v>
      </c>
      <c r="E238" s="49" t="s">
        <v>1301</v>
      </c>
      <c r="F238" s="39">
        <v>2</v>
      </c>
      <c r="G238" s="75" t="s">
        <v>1302</v>
      </c>
      <c r="H238" s="50" t="s">
        <v>293</v>
      </c>
      <c r="I238" s="50" t="s">
        <v>1303</v>
      </c>
      <c r="J238" s="50"/>
      <c r="K238" s="50"/>
      <c r="L238" s="47"/>
      <c r="M238" s="47"/>
      <c r="N238" s="47"/>
      <c r="O238" s="47"/>
      <c r="P238" s="47"/>
      <c r="Q238" s="47"/>
      <c r="R238" s="47"/>
      <c r="S238" s="47"/>
      <c r="T238" s="47"/>
      <c r="U238" s="47"/>
      <c r="V238" s="50" t="s">
        <v>1304</v>
      </c>
      <c r="W238" s="74">
        <v>1</v>
      </c>
      <c r="X238" s="39">
        <f>MAX(0,$AK238-$W238-$Z238)</f>
        <v>0</v>
      </c>
      <c r="Y238" s="39"/>
      <c r="Z238" s="39"/>
      <c r="AA238" s="41">
        <v>0.1</v>
      </c>
      <c r="AB238" s="41">
        <f>IF(AND($X238&gt;0,ISNUMBER($AA238)),$X238*$AA238,0)</f>
        <v>0</v>
      </c>
      <c r="AD238" s="63"/>
      <c r="AK238" s="39">
        <f>SUM(AL238:AR238)</f>
        <v>1</v>
      </c>
      <c r="AL238" s="90"/>
      <c r="AM238" s="98">
        <v>1</v>
      </c>
      <c r="AN238" s="38"/>
      <c r="AO238" s="38"/>
      <c r="AP238" s="38"/>
      <c r="AQ238" s="38"/>
      <c r="AR238" s="91"/>
      <c r="AS238" s="42">
        <f>SUM(AT238:AZ238)</f>
        <v>1</v>
      </c>
      <c r="AT238" s="48"/>
      <c r="AU238" s="48">
        <v>1</v>
      </c>
      <c r="AV238" s="48"/>
      <c r="AW238" s="48"/>
      <c r="AX238" s="48"/>
      <c r="AY238" s="48"/>
      <c r="AZ238" s="48"/>
      <c r="BA238" s="43">
        <f>IF((W238-SUM(AT238:AZ238))&lt;0,0,W238-SUM(AT238:AZ238))</f>
        <v>0</v>
      </c>
      <c r="BB238" s="49"/>
      <c r="BC238" s="47"/>
      <c r="BD238" s="47"/>
    </row>
    <row r="239" spans="1:56" ht="15" customHeight="1">
      <c r="A239" s="49" t="s">
        <v>1305</v>
      </c>
      <c r="B239" s="39" t="s">
        <v>1203</v>
      </c>
      <c r="C239" s="46" t="s">
        <v>65</v>
      </c>
      <c r="D239" s="49" t="s">
        <v>84</v>
      </c>
      <c r="E239" s="49" t="s">
        <v>737</v>
      </c>
      <c r="F239" s="39">
        <v>3</v>
      </c>
      <c r="G239" s="75" t="s">
        <v>1306</v>
      </c>
      <c r="H239" s="50" t="s">
        <v>115</v>
      </c>
      <c r="I239" s="50" t="s">
        <v>1307</v>
      </c>
      <c r="J239" s="50"/>
      <c r="K239" s="50"/>
      <c r="L239" s="47"/>
      <c r="M239" s="47"/>
      <c r="N239" s="47"/>
      <c r="O239" s="47"/>
      <c r="P239" s="47"/>
      <c r="Q239" s="47"/>
      <c r="R239" s="47"/>
      <c r="S239" s="47"/>
      <c r="T239" s="47"/>
      <c r="U239" s="47"/>
      <c r="V239" s="50" t="s">
        <v>729</v>
      </c>
      <c r="W239" s="74">
        <v>1</v>
      </c>
      <c r="X239" s="39">
        <f>MAX(0,$AK239-$W239-$Z239)</f>
        <v>0</v>
      </c>
      <c r="Y239" s="39"/>
      <c r="Z239" s="39"/>
      <c r="AA239" s="41">
        <v>2.52</v>
      </c>
      <c r="AB239" s="41">
        <f>IF(AND($X239&gt;0,ISNUMBER($AA239)),$X239*$AA239,0)</f>
        <v>0</v>
      </c>
      <c r="AK239" s="39">
        <f>SUM(AL239:AR239)</f>
        <v>1</v>
      </c>
      <c r="AL239" s="90"/>
      <c r="AM239" s="97">
        <v>1</v>
      </c>
      <c r="AN239" s="38"/>
      <c r="AO239" s="38"/>
      <c r="AP239" s="38"/>
      <c r="AQ239" s="38"/>
      <c r="AR239" s="91"/>
      <c r="AS239" s="42">
        <f>SUM(AT239:AZ239)</f>
        <v>1</v>
      </c>
      <c r="AT239" s="48"/>
      <c r="AU239" s="48">
        <v>1</v>
      </c>
      <c r="AV239" s="48"/>
      <c r="AW239" s="48"/>
      <c r="AX239" s="48"/>
      <c r="AY239" s="48"/>
      <c r="AZ239" s="48"/>
      <c r="BA239" s="43">
        <f>IF((W239-SUM(AT239:AZ239))&lt;0,0,W239-SUM(AT239:AZ239))</f>
        <v>0</v>
      </c>
      <c r="BB239" s="49"/>
      <c r="BC239" s="47"/>
      <c r="BD239" s="126"/>
    </row>
    <row r="240" spans="1:56" ht="15" customHeight="1">
      <c r="A240" s="49" t="s">
        <v>1308</v>
      </c>
      <c r="B240" s="39" t="s">
        <v>1203</v>
      </c>
      <c r="C240" s="46" t="s">
        <v>65</v>
      </c>
      <c r="D240" s="49" t="s">
        <v>84</v>
      </c>
      <c r="E240" s="49" t="s">
        <v>1242</v>
      </c>
      <c r="F240" s="39">
        <v>3</v>
      </c>
      <c r="G240" s="75" t="s">
        <v>1309</v>
      </c>
      <c r="H240" s="50" t="s">
        <v>845</v>
      </c>
      <c r="I240" s="50" t="s">
        <v>1310</v>
      </c>
      <c r="J240" s="50"/>
      <c r="K240" s="50"/>
      <c r="L240" s="47"/>
      <c r="M240" s="47"/>
      <c r="N240" s="47"/>
      <c r="O240" s="47"/>
      <c r="P240" s="47"/>
      <c r="Q240" s="47"/>
      <c r="R240" s="47"/>
      <c r="S240" s="47"/>
      <c r="T240" s="47"/>
      <c r="U240" s="47"/>
      <c r="V240" s="50" t="s">
        <v>281</v>
      </c>
      <c r="W240" s="74">
        <v>0</v>
      </c>
      <c r="X240" s="39">
        <f>MAX(0,$AK240-$W240-$Z240)</f>
        <v>0</v>
      </c>
      <c r="Y240" s="39" t="s">
        <v>1311</v>
      </c>
      <c r="Z240" s="39">
        <v>1</v>
      </c>
      <c r="AA240" s="41">
        <v>2.33</v>
      </c>
      <c r="AB240" s="41">
        <f>IF(AND($X240&gt;0,ISNUMBER($AA240)),$X240*$AA240,0)</f>
        <v>0</v>
      </c>
      <c r="AC240" s="59"/>
      <c r="AD240" s="59"/>
      <c r="AE240" s="59"/>
      <c r="AF240" s="59"/>
      <c r="AG240" s="59"/>
      <c r="AH240" s="59"/>
      <c r="AI240" s="59"/>
      <c r="AJ240" s="59"/>
      <c r="AK240" s="39">
        <f>SUM(AL240:AR240)</f>
        <v>0</v>
      </c>
      <c r="AL240" s="114"/>
      <c r="AM240" s="43"/>
      <c r="AN240" s="43"/>
      <c r="AO240" s="43"/>
      <c r="AP240" s="43"/>
      <c r="AQ240" s="43"/>
      <c r="AR240" s="116"/>
      <c r="AS240" s="42">
        <f>SUM(AT240:AZ240)</f>
        <v>0</v>
      </c>
      <c r="AT240" s="48"/>
      <c r="AU240" s="48"/>
      <c r="AV240" s="48"/>
      <c r="AW240" s="48"/>
      <c r="AX240" s="48"/>
      <c r="AY240" s="48"/>
      <c r="AZ240" s="48"/>
      <c r="BA240" s="43">
        <f>IF((W240-SUM(AT240:AZ240))&lt;0,0,W240-SUM(AT240:AZ240))</f>
        <v>0</v>
      </c>
      <c r="BB240" s="49"/>
      <c r="BC240" s="47"/>
      <c r="BD240" s="53"/>
    </row>
    <row r="241" spans="1:56" ht="15" customHeight="1">
      <c r="A241" s="44" t="s">
        <v>1312</v>
      </c>
      <c r="B241" s="45" t="s">
        <v>1203</v>
      </c>
      <c r="C241" s="46" t="s">
        <v>65</v>
      </c>
      <c r="D241" s="44" t="s">
        <v>134</v>
      </c>
      <c r="E241" s="44"/>
      <c r="F241" s="45">
        <v>2</v>
      </c>
      <c r="G241" s="75" t="s">
        <v>1313</v>
      </c>
      <c r="H241" s="44" t="s">
        <v>293</v>
      </c>
      <c r="I241" s="44" t="s">
        <v>1314</v>
      </c>
      <c r="J241" s="44" t="s">
        <v>1315</v>
      </c>
      <c r="K241" s="44"/>
      <c r="L241" s="108"/>
      <c r="M241" s="46"/>
      <c r="N241" s="46"/>
      <c r="O241" s="68"/>
      <c r="P241" s="110"/>
      <c r="Q241" s="108"/>
      <c r="R241" s="46"/>
      <c r="S241" s="46"/>
      <c r="T241" s="68"/>
      <c r="U241" s="111"/>
      <c r="V241" s="44" t="s">
        <v>175</v>
      </c>
      <c r="W241" s="74">
        <v>0</v>
      </c>
      <c r="X241" s="39">
        <f>MAX(0,$AK241-$W241-$Z241)</f>
        <v>0</v>
      </c>
      <c r="Y241" s="44"/>
      <c r="Z241" s="44"/>
      <c r="AA241" s="44">
        <v>0.23</v>
      </c>
      <c r="AB241" s="44">
        <f>IF(AND($X241&gt;0,ISNUMBER($AA241)),$X241*$AA241,0)</f>
        <v>0</v>
      </c>
      <c r="AK241" s="39">
        <f>SUM(AL241:AR241)</f>
        <v>0</v>
      </c>
      <c r="AL241" s="90"/>
      <c r="AM241" s="38"/>
      <c r="AN241" s="38"/>
      <c r="AO241" s="38"/>
      <c r="AP241" s="38"/>
      <c r="AQ241" s="38"/>
      <c r="AR241" s="91"/>
      <c r="AS241" s="42">
        <f>SUM(AT241:AZ241)</f>
        <v>0</v>
      </c>
      <c r="AT241" s="48"/>
      <c r="AU241" s="48"/>
      <c r="AV241" s="48"/>
      <c r="AW241" s="48"/>
      <c r="AX241" s="48"/>
      <c r="AY241" s="48"/>
      <c r="AZ241" s="48"/>
      <c r="BA241" s="43">
        <f>IF((W241-SUM(AT241:AZ241))&lt;0,0,W241-SUM(AT241:AZ241))</f>
        <v>0</v>
      </c>
      <c r="BB241" s="44"/>
      <c r="BC241" s="47"/>
      <c r="BD241" s="47"/>
    </row>
    <row r="242" spans="1:56" ht="15" customHeight="1">
      <c r="A242" s="49" t="s">
        <v>1316</v>
      </c>
      <c r="B242" s="39" t="s">
        <v>1203</v>
      </c>
      <c r="C242" s="46" t="s">
        <v>65</v>
      </c>
      <c r="D242" s="49" t="s">
        <v>84</v>
      </c>
      <c r="E242" s="49" t="s">
        <v>1242</v>
      </c>
      <c r="F242" s="39">
        <v>3</v>
      </c>
      <c r="G242" s="75" t="s">
        <v>1317</v>
      </c>
      <c r="H242" s="50" t="s">
        <v>172</v>
      </c>
      <c r="I242" s="50" t="s">
        <v>1100</v>
      </c>
      <c r="J242" s="50"/>
      <c r="K242" s="50"/>
      <c r="L242" s="46"/>
      <c r="M242" s="46"/>
      <c r="N242" s="46"/>
      <c r="O242" s="46"/>
      <c r="P242" s="46"/>
      <c r="Q242" s="46"/>
      <c r="R242" s="46"/>
      <c r="S242" s="46"/>
      <c r="T242" s="46"/>
      <c r="U242" s="46"/>
      <c r="V242" s="50" t="s">
        <v>509</v>
      </c>
      <c r="W242" s="74">
        <v>1</v>
      </c>
      <c r="X242" s="39">
        <f>MAX(0,$AK242-$W242-$Z242)</f>
        <v>0</v>
      </c>
      <c r="Y242" s="39"/>
      <c r="Z242" s="39"/>
      <c r="AA242" s="41">
        <v>0.22</v>
      </c>
      <c r="AB242" s="41">
        <f>IF(AND($X242&gt;0,ISNUMBER($AA242)),$X242*$AA242,0)</f>
        <v>0</v>
      </c>
      <c r="AK242" s="39">
        <f>SUM(AL242:AR242)</f>
        <v>1</v>
      </c>
      <c r="AL242" s="90"/>
      <c r="AM242" s="97">
        <v>1</v>
      </c>
      <c r="AN242" s="38"/>
      <c r="AO242" s="38"/>
      <c r="AP242" s="38"/>
      <c r="AQ242" s="38"/>
      <c r="AR242" s="91"/>
      <c r="AS242" s="42">
        <f>SUM(AT242:AZ242)</f>
        <v>1</v>
      </c>
      <c r="AT242" s="48"/>
      <c r="AU242" s="48">
        <v>1</v>
      </c>
      <c r="AV242" s="48"/>
      <c r="AW242" s="48"/>
      <c r="AX242" s="48"/>
      <c r="AY242" s="48"/>
      <c r="AZ242" s="48"/>
      <c r="BA242" s="43">
        <f>IF((W242-SUM(AT242:AZ242))&lt;0,0,W242-SUM(AT242:AZ242))</f>
        <v>0</v>
      </c>
      <c r="BB242" s="49"/>
      <c r="BC242" s="47"/>
      <c r="BD242" s="47"/>
    </row>
    <row r="243" spans="1:56" ht="15" customHeight="1">
      <c r="A243" s="49" t="s">
        <v>1321</v>
      </c>
      <c r="B243" s="39" t="s">
        <v>1203</v>
      </c>
      <c r="C243" s="46" t="s">
        <v>65</v>
      </c>
      <c r="D243" s="49" t="s">
        <v>84</v>
      </c>
      <c r="E243" s="49" t="s">
        <v>450</v>
      </c>
      <c r="F243" s="39">
        <v>3</v>
      </c>
      <c r="G243" s="75" t="s">
        <v>1322</v>
      </c>
      <c r="H243" s="50" t="s">
        <v>172</v>
      </c>
      <c r="I243" s="50" t="s">
        <v>1323</v>
      </c>
      <c r="J243" s="50" t="s">
        <v>1324</v>
      </c>
      <c r="K243" s="50"/>
      <c r="L243" s="46"/>
      <c r="M243" s="46"/>
      <c r="N243" s="46"/>
      <c r="O243" s="46"/>
      <c r="P243" s="46"/>
      <c r="Q243" s="46"/>
      <c r="R243" s="46"/>
      <c r="S243" s="46"/>
      <c r="T243" s="46"/>
      <c r="U243" s="46"/>
      <c r="V243" s="50" t="s">
        <v>1140</v>
      </c>
      <c r="W243" s="74">
        <v>2</v>
      </c>
      <c r="X243" s="39">
        <f>MAX(0,$AK243-$W243-$Z243)</f>
        <v>0</v>
      </c>
      <c r="Y243" s="39"/>
      <c r="Z243" s="39"/>
      <c r="AA243" s="41">
        <v>0.3</v>
      </c>
      <c r="AB243" s="41">
        <f>IF(AND($X243&gt;0,ISNUMBER($AA243)),$X243*$AA243,0)</f>
        <v>0</v>
      </c>
      <c r="AK243" s="39">
        <f>SUM(AL243:AR243)</f>
        <v>2</v>
      </c>
      <c r="AL243" s="90"/>
      <c r="AM243" s="119">
        <v>1</v>
      </c>
      <c r="AN243" s="97">
        <v>1</v>
      </c>
      <c r="AO243" s="38"/>
      <c r="AP243" s="38"/>
      <c r="AQ243" s="38"/>
      <c r="AR243" s="91"/>
      <c r="AS243" s="42">
        <f>SUM(AT243:AZ243)</f>
        <v>2</v>
      </c>
      <c r="AT243" s="48"/>
      <c r="AU243" s="48">
        <v>1</v>
      </c>
      <c r="AV243" s="48">
        <v>1</v>
      </c>
      <c r="AW243" s="48"/>
      <c r="AX243" s="48"/>
      <c r="AY243" s="48"/>
      <c r="AZ243" s="48"/>
      <c r="BA243" s="43">
        <f>IF((W243-SUM(AT243:AZ243))&lt;0,0,W243-SUM(AT243:AZ243))</f>
        <v>0</v>
      </c>
      <c r="BB243" s="49"/>
      <c r="BC243" s="47"/>
      <c r="BD243" s="47"/>
    </row>
    <row r="244" spans="1:56" ht="15" customHeight="1">
      <c r="A244" s="44" t="s">
        <v>1325</v>
      </c>
      <c r="B244" s="45" t="s">
        <v>1203</v>
      </c>
      <c r="C244" s="46" t="s">
        <v>65</v>
      </c>
      <c r="D244" s="44" t="s">
        <v>84</v>
      </c>
      <c r="E244" s="44" t="s">
        <v>1326</v>
      </c>
      <c r="F244" s="45">
        <v>4</v>
      </c>
      <c r="G244" s="75" t="s">
        <v>1327</v>
      </c>
      <c r="H244" s="44" t="s">
        <v>679</v>
      </c>
      <c r="I244" s="44" t="s">
        <v>1328</v>
      </c>
      <c r="J244" s="44" t="s">
        <v>1329</v>
      </c>
      <c r="K244" s="44"/>
      <c r="L244" s="47"/>
      <c r="M244" s="47"/>
      <c r="N244" s="47"/>
      <c r="O244" s="68"/>
      <c r="P244" s="68"/>
      <c r="Q244" s="47"/>
      <c r="R244" s="47"/>
      <c r="S244" s="47"/>
      <c r="T244" s="68"/>
      <c r="U244" s="68"/>
      <c r="V244" s="44" t="s">
        <v>568</v>
      </c>
      <c r="W244" s="74">
        <v>1</v>
      </c>
      <c r="X244" s="39">
        <f>MAX(0,$AK244-$W244-$Z244)</f>
        <v>0</v>
      </c>
      <c r="Y244" s="44"/>
      <c r="Z244" s="44"/>
      <c r="AA244" s="44">
        <v>0.11</v>
      </c>
      <c r="AB244" s="44">
        <f>IF(AND($X244&gt;0,ISNUMBER($AA244)),$X244*$AA244,0)</f>
        <v>0</v>
      </c>
      <c r="AK244" s="39">
        <f>SUM(AL244:AR244)</f>
        <v>0</v>
      </c>
      <c r="AL244" s="90"/>
      <c r="AM244" s="38"/>
      <c r="AN244" s="38"/>
      <c r="AO244" s="38"/>
      <c r="AP244" s="38"/>
      <c r="AQ244" s="38"/>
      <c r="AR244" s="91"/>
      <c r="AS244" s="42">
        <f>SUM(AT244:AZ244)</f>
        <v>0</v>
      </c>
      <c r="AT244" s="48"/>
      <c r="AU244" s="48"/>
      <c r="AV244" s="48"/>
      <c r="AW244" s="48"/>
      <c r="AX244" s="48"/>
      <c r="AY244" s="48"/>
      <c r="AZ244" s="48"/>
      <c r="BA244" s="43">
        <f>IF((W244-SUM(AT244:AZ244))&lt;0,0,W244-SUM(AT244:AZ244))</f>
        <v>1</v>
      </c>
      <c r="BB244" s="44"/>
      <c r="BC244" s="47"/>
      <c r="BD244" s="47"/>
    </row>
    <row r="245" spans="1:56" ht="15" customHeight="1">
      <c r="A245" s="35" t="s">
        <v>1330</v>
      </c>
      <c r="B245" s="36" t="s">
        <v>1203</v>
      </c>
      <c r="C245" s="38" t="s">
        <v>65</v>
      </c>
      <c r="D245" s="35" t="s">
        <v>134</v>
      </c>
      <c r="E245" s="35"/>
      <c r="F245" s="36">
        <v>2</v>
      </c>
      <c r="G245" s="75" t="s">
        <v>1331</v>
      </c>
      <c r="H245" s="35" t="s">
        <v>162</v>
      </c>
      <c r="I245" s="35" t="s">
        <v>1332</v>
      </c>
      <c r="J245" s="35" t="s">
        <v>1333</v>
      </c>
      <c r="K245" s="35"/>
      <c r="L245" s="37"/>
      <c r="M245" s="37"/>
      <c r="N245" s="37"/>
      <c r="O245" s="68"/>
      <c r="P245" s="68"/>
      <c r="Q245" s="37"/>
      <c r="R245" s="37"/>
      <c r="S245" s="37"/>
      <c r="T245" s="68"/>
      <c r="U245" s="68"/>
      <c r="V245" s="35" t="s">
        <v>223</v>
      </c>
      <c r="W245" s="74">
        <v>1</v>
      </c>
      <c r="X245" s="39">
        <f>MAX(0,$AK245-$W245-$Z245)</f>
        <v>0</v>
      </c>
      <c r="Y245" s="35"/>
      <c r="Z245" s="35"/>
      <c r="AA245" s="40">
        <v>0.11</v>
      </c>
      <c r="AB245" s="41">
        <f>IF(AND($X245&gt;0,ISNUMBER($AA245)),$X245*$AA245,0)</f>
        <v>0</v>
      </c>
      <c r="AF245" s="63" t="s">
        <v>1334</v>
      </c>
      <c r="AK245" s="39">
        <f>SUM(AL245:AR245)</f>
        <v>1</v>
      </c>
      <c r="AL245" s="90"/>
      <c r="AM245" s="38"/>
      <c r="AN245" s="38"/>
      <c r="AO245" s="99">
        <v>1</v>
      </c>
      <c r="AP245" s="38"/>
      <c r="AQ245" s="38"/>
      <c r="AR245" s="91"/>
      <c r="AS245" s="42">
        <f>SUM(AT245:AZ245)</f>
        <v>1</v>
      </c>
      <c r="AT245" s="48"/>
      <c r="AU245" s="48"/>
      <c r="AV245" s="48"/>
      <c r="AW245" s="48">
        <v>1</v>
      </c>
      <c r="AX245" s="48"/>
      <c r="AY245" s="48"/>
      <c r="AZ245" s="48"/>
      <c r="BA245" s="43">
        <f>IF((W245-SUM(AT245:AZ245))&lt;0,0,W245-SUM(AT245:AZ245))</f>
        <v>0</v>
      </c>
      <c r="BB245" s="35"/>
      <c r="BC245" s="37"/>
      <c r="BD245" s="37"/>
    </row>
    <row r="246" spans="1:56" ht="15" customHeight="1">
      <c r="A246" s="49" t="s">
        <v>1335</v>
      </c>
      <c r="B246" s="39" t="s">
        <v>1203</v>
      </c>
      <c r="C246" s="46" t="s">
        <v>65</v>
      </c>
      <c r="D246" s="49" t="s">
        <v>84</v>
      </c>
      <c r="E246" s="49" t="s">
        <v>450</v>
      </c>
      <c r="F246" s="39">
        <v>4</v>
      </c>
      <c r="G246" s="75" t="s">
        <v>1336</v>
      </c>
      <c r="H246" s="50" t="s">
        <v>679</v>
      </c>
      <c r="I246" s="50" t="s">
        <v>1337</v>
      </c>
      <c r="J246" s="50" t="s">
        <v>1338</v>
      </c>
      <c r="K246" s="50"/>
      <c r="L246" s="47"/>
      <c r="M246" s="47"/>
      <c r="N246" s="47"/>
      <c r="O246" s="47"/>
      <c r="P246" s="47"/>
      <c r="Q246" s="47"/>
      <c r="R246" s="47"/>
      <c r="S246" s="47"/>
      <c r="T246" s="47"/>
      <c r="U246" s="47"/>
      <c r="V246" s="50" t="s">
        <v>582</v>
      </c>
      <c r="W246" s="74">
        <v>0</v>
      </c>
      <c r="X246" s="39">
        <f>MAX(0,$AK246-$W246-$Z246)</f>
        <v>0</v>
      </c>
      <c r="Y246" s="39" t="s">
        <v>1311</v>
      </c>
      <c r="Z246" s="39">
        <v>1</v>
      </c>
      <c r="AA246" s="41">
        <v>0.33</v>
      </c>
      <c r="AB246" s="41">
        <f>IF(AND($X246&gt;0,ISNUMBER($AA246)),$X246*$AA246,0)</f>
        <v>0</v>
      </c>
      <c r="AC246" s="59"/>
      <c r="AD246" s="59"/>
      <c r="AE246" s="59"/>
      <c r="AF246" s="59"/>
      <c r="AG246" s="59"/>
      <c r="AH246" s="59"/>
      <c r="AI246" s="59"/>
      <c r="AJ246" s="59"/>
      <c r="AK246" s="39">
        <f>SUM(AL246:AR246)</f>
        <v>0</v>
      </c>
      <c r="AL246" s="114"/>
      <c r="AM246" s="43"/>
      <c r="AN246" s="43"/>
      <c r="AO246" s="43"/>
      <c r="AP246" s="43"/>
      <c r="AQ246" s="43"/>
      <c r="AR246" s="116"/>
      <c r="AS246" s="42">
        <f>SUM(AT246:AZ246)</f>
        <v>0</v>
      </c>
      <c r="AT246" s="48"/>
      <c r="AU246" s="48"/>
      <c r="AV246" s="48"/>
      <c r="AW246" s="48"/>
      <c r="AX246" s="48"/>
      <c r="AY246" s="48"/>
      <c r="AZ246" s="48"/>
      <c r="BA246" s="43">
        <f>IF((W246-SUM(AT246:AZ246))&lt;0,0,W246-SUM(AT246:AZ246))</f>
        <v>0</v>
      </c>
      <c r="BB246" s="49"/>
      <c r="BC246" s="47"/>
      <c r="BD246" s="53"/>
    </row>
    <row r="247" spans="1:56" ht="15" customHeight="1">
      <c r="A247" s="49" t="s">
        <v>1339</v>
      </c>
      <c r="B247" s="39" t="s">
        <v>1203</v>
      </c>
      <c r="C247" s="46" t="s">
        <v>65</v>
      </c>
      <c r="D247" s="49" t="s">
        <v>434</v>
      </c>
      <c r="E247" s="49" t="s">
        <v>1340</v>
      </c>
      <c r="F247" s="39">
        <v>5</v>
      </c>
      <c r="G247" s="75" t="s">
        <v>1341</v>
      </c>
      <c r="H247" s="50" t="s">
        <v>172</v>
      </c>
      <c r="I247" s="50" t="s">
        <v>1342</v>
      </c>
      <c r="J247" s="50" t="s">
        <v>1343</v>
      </c>
      <c r="K247" s="50" t="s">
        <v>1344</v>
      </c>
      <c r="L247" s="47"/>
      <c r="M247" s="47"/>
      <c r="N247" s="47"/>
      <c r="O247" s="47"/>
      <c r="P247" s="47"/>
      <c r="Q247" s="47"/>
      <c r="R247" s="47"/>
      <c r="S247" s="47"/>
      <c r="T247" s="47"/>
      <c r="U247" s="47"/>
      <c r="V247" s="50" t="s">
        <v>1345</v>
      </c>
      <c r="W247" s="74">
        <v>1</v>
      </c>
      <c r="X247" s="39">
        <f>MAX(0,$AK247-$W247-$Z247)</f>
        <v>0</v>
      </c>
      <c r="Y247" s="39"/>
      <c r="Z247" s="39"/>
      <c r="AA247" s="41">
        <v>4.47</v>
      </c>
      <c r="AB247" s="41">
        <f>IF(AND($X247&gt;0,ISNUMBER($AA247)),$X247*$AA247,0)</f>
        <v>0</v>
      </c>
      <c r="AK247" s="39">
        <f>SUM(AL247:AR247)</f>
        <v>1</v>
      </c>
      <c r="AL247" s="90"/>
      <c r="AM247" s="38"/>
      <c r="AN247" s="38"/>
      <c r="AO247" s="97">
        <v>1</v>
      </c>
      <c r="AP247" s="38"/>
      <c r="AQ247" s="38"/>
      <c r="AR247" s="91"/>
      <c r="AS247" s="42">
        <f>SUM(AT247:AZ247)</f>
        <v>1</v>
      </c>
      <c r="AT247" s="48"/>
      <c r="AU247" s="48"/>
      <c r="AV247" s="48"/>
      <c r="AW247" s="48">
        <v>1</v>
      </c>
      <c r="AX247" s="48"/>
      <c r="AY247" s="48"/>
      <c r="AZ247" s="48"/>
      <c r="BA247" s="43">
        <f>IF((W247-SUM(AT247:AZ247))&lt;0,0,W247-SUM(AT247:AZ247))</f>
        <v>0</v>
      </c>
      <c r="BB247" s="49"/>
      <c r="BC247" s="47"/>
      <c r="BD247" s="47"/>
    </row>
    <row r="248" spans="1:56" ht="15" customHeight="1">
      <c r="A248" s="49" t="s">
        <v>1346</v>
      </c>
      <c r="B248" s="39" t="s">
        <v>1203</v>
      </c>
      <c r="C248" s="46" t="s">
        <v>83</v>
      </c>
      <c r="D248" s="49" t="s">
        <v>178</v>
      </c>
      <c r="E248" s="49" t="s">
        <v>1347</v>
      </c>
      <c r="F248" s="39">
        <v>2</v>
      </c>
      <c r="G248" s="75" t="s">
        <v>1348</v>
      </c>
      <c r="H248" s="50" t="s">
        <v>233</v>
      </c>
      <c r="I248" s="50" t="s">
        <v>770</v>
      </c>
      <c r="J248" s="50" t="s">
        <v>1349</v>
      </c>
      <c r="K248" s="50"/>
      <c r="L248" s="47"/>
      <c r="M248" s="47"/>
      <c r="N248" s="47"/>
      <c r="O248" s="47"/>
      <c r="P248" s="47"/>
      <c r="Q248" s="47"/>
      <c r="R248" s="47"/>
      <c r="S248" s="47"/>
      <c r="T248" s="47"/>
      <c r="U248" s="47"/>
      <c r="V248" s="50" t="s">
        <v>158</v>
      </c>
      <c r="W248" s="74">
        <v>1</v>
      </c>
      <c r="X248" s="39">
        <f>MAX(0,$AK248-$W248-$Z248)</f>
        <v>0</v>
      </c>
      <c r="Y248" s="39"/>
      <c r="Z248" s="39"/>
      <c r="AA248" s="41">
        <v>0.18</v>
      </c>
      <c r="AB248" s="41">
        <f>IF(AND($X248&gt;0,ISNUMBER($AA248)),$X248*$AA248,0)</f>
        <v>0</v>
      </c>
      <c r="AE248" s="63"/>
      <c r="AK248" s="39">
        <f>SUM(AL248:AR248)</f>
        <v>0</v>
      </c>
      <c r="AL248" s="90"/>
      <c r="AM248" s="38"/>
      <c r="AN248" s="38"/>
      <c r="AO248" s="38"/>
      <c r="AP248" s="38"/>
      <c r="AQ248" s="38"/>
      <c r="AR248" s="91"/>
      <c r="AS248" s="42">
        <f>SUM(AT248:AZ248)</f>
        <v>0</v>
      </c>
      <c r="AT248" s="48"/>
      <c r="AU248" s="48"/>
      <c r="AV248" s="48"/>
      <c r="AW248" s="48"/>
      <c r="AX248" s="48"/>
      <c r="AY248" s="48"/>
      <c r="AZ248" s="48"/>
      <c r="BA248" s="43">
        <f>IF((W248-SUM(AT248:AZ248))&lt;0,0,W248-SUM(AT248:AZ248))</f>
        <v>1</v>
      </c>
      <c r="BB248" s="49"/>
      <c r="BC248" s="47"/>
      <c r="BD248" s="47"/>
    </row>
    <row r="249" spans="1:56" ht="15" customHeight="1">
      <c r="A249" s="44" t="s">
        <v>1350</v>
      </c>
      <c r="B249" s="45" t="s">
        <v>1203</v>
      </c>
      <c r="C249" s="46" t="s">
        <v>65</v>
      </c>
      <c r="D249" s="44" t="s">
        <v>256</v>
      </c>
      <c r="E249" s="44"/>
      <c r="F249" s="45">
        <v>3</v>
      </c>
      <c r="G249" s="75" t="s">
        <v>1351</v>
      </c>
      <c r="H249" s="44" t="s">
        <v>293</v>
      </c>
      <c r="I249" s="44" t="s">
        <v>1352</v>
      </c>
      <c r="J249" s="44" t="s">
        <v>1353</v>
      </c>
      <c r="K249" s="44" t="s">
        <v>1354</v>
      </c>
      <c r="L249" s="108"/>
      <c r="M249" s="46"/>
      <c r="N249" s="46"/>
      <c r="O249" s="68"/>
      <c r="P249" s="110"/>
      <c r="Q249" s="108"/>
      <c r="R249" s="46"/>
      <c r="S249" s="46"/>
      <c r="T249" s="68"/>
      <c r="U249" s="111"/>
      <c r="V249" s="44" t="s">
        <v>94</v>
      </c>
      <c r="W249" s="74">
        <v>0</v>
      </c>
      <c r="X249" s="39">
        <f>MAX(0,$AK249-$W249-$Z249)</f>
        <v>0</v>
      </c>
      <c r="Y249" s="44"/>
      <c r="Z249" s="44"/>
      <c r="AA249" s="44">
        <v>0.54</v>
      </c>
      <c r="AB249" s="44">
        <f>IF(AND($X249&gt;0,ISNUMBER($AA249)),$X249*$AA249,0)</f>
        <v>0</v>
      </c>
      <c r="AK249" s="39">
        <f>SUM(AL249:AR249)</f>
        <v>0</v>
      </c>
      <c r="AL249" s="90"/>
      <c r="AM249" s="38"/>
      <c r="AN249" s="38"/>
      <c r="AO249" s="38"/>
      <c r="AP249" s="38"/>
      <c r="AQ249" s="38"/>
      <c r="AR249" s="91"/>
      <c r="AS249" s="42">
        <f>SUM(AT249:AZ249)</f>
        <v>0</v>
      </c>
      <c r="AT249" s="48"/>
      <c r="AU249" s="48"/>
      <c r="AV249" s="48"/>
      <c r="AW249" s="48"/>
      <c r="AX249" s="48"/>
      <c r="AY249" s="48"/>
      <c r="AZ249" s="48"/>
      <c r="BA249" s="43">
        <f>IF((W249-SUM(AT249:AZ249))&lt;0,0,W249-SUM(AT249:AZ249))</f>
        <v>0</v>
      </c>
      <c r="BB249" s="44"/>
      <c r="BC249" s="47"/>
      <c r="BD249" s="47"/>
    </row>
    <row r="250" spans="1:56" ht="15" customHeight="1">
      <c r="A250" s="35" t="s">
        <v>1355</v>
      </c>
      <c r="B250" s="36" t="s">
        <v>1203</v>
      </c>
      <c r="C250" s="38" t="s">
        <v>65</v>
      </c>
      <c r="D250" s="35" t="s">
        <v>134</v>
      </c>
      <c r="E250" s="35" t="s">
        <v>600</v>
      </c>
      <c r="F250" s="35">
        <v>5</v>
      </c>
      <c r="G250" s="75" t="s">
        <v>1356</v>
      </c>
      <c r="H250" s="35" t="s">
        <v>679</v>
      </c>
      <c r="I250" s="35" t="s">
        <v>1357</v>
      </c>
      <c r="J250" s="35" t="s">
        <v>1358</v>
      </c>
      <c r="K250" s="35"/>
      <c r="L250" s="109" t="s">
        <v>1359</v>
      </c>
      <c r="M250" s="38">
        <v>1</v>
      </c>
      <c r="N250" s="38">
        <v>1</v>
      </c>
      <c r="O250" s="68" t="s">
        <v>1360</v>
      </c>
      <c r="P250" s="110">
        <v>9.48</v>
      </c>
      <c r="Q250" s="37"/>
      <c r="R250" s="37"/>
      <c r="S250" s="37"/>
      <c r="T250" s="68"/>
      <c r="U250" s="68"/>
      <c r="V250" s="35" t="s">
        <v>223</v>
      </c>
      <c r="W250" s="74">
        <v>1</v>
      </c>
      <c r="X250" s="39">
        <f>MAX(0,$AK250-$W250-$Z250)</f>
        <v>0</v>
      </c>
      <c r="Y250" s="35"/>
      <c r="Z250" s="35"/>
      <c r="AA250" s="35">
        <v>9.48</v>
      </c>
      <c r="AB250" s="41">
        <f>IF(AND($X250&gt;0,ISNUMBER($AA250)),$X250*$AA250,0)</f>
        <v>0</v>
      </c>
      <c r="AK250" s="39">
        <f>SUM(AL250:AR250)</f>
        <v>1</v>
      </c>
      <c r="AL250" s="90"/>
      <c r="AM250" s="38"/>
      <c r="AN250" s="97">
        <v>1</v>
      </c>
      <c r="AO250" s="38"/>
      <c r="AP250" s="38"/>
      <c r="AQ250" s="38"/>
      <c r="AR250" s="91"/>
      <c r="AS250" s="42">
        <f>SUM(AT250:AZ250)</f>
        <v>1</v>
      </c>
      <c r="AT250" s="48"/>
      <c r="AU250" s="48"/>
      <c r="AV250" s="48">
        <v>1</v>
      </c>
      <c r="AW250" s="48"/>
      <c r="AX250" s="48"/>
      <c r="AY250" s="48"/>
      <c r="AZ250" s="48"/>
      <c r="BA250" s="43">
        <f>IF((W250-SUM(AT250:AZ250))&lt;0,0,W250-SUM(AT250:AZ250))</f>
        <v>0</v>
      </c>
      <c r="BB250" s="35"/>
      <c r="BC250" s="37"/>
      <c r="BD250" s="37"/>
    </row>
    <row r="251" spans="1:56" ht="15" customHeight="1">
      <c r="A251" s="35" t="s">
        <v>1361</v>
      </c>
      <c r="B251" s="36" t="s">
        <v>1203</v>
      </c>
      <c r="C251" s="38" t="s">
        <v>65</v>
      </c>
      <c r="D251" s="35" t="s">
        <v>76</v>
      </c>
      <c r="E251" s="35"/>
      <c r="F251" s="36">
        <v>1</v>
      </c>
      <c r="G251" s="75" t="s">
        <v>1362</v>
      </c>
      <c r="H251" s="35" t="s">
        <v>499</v>
      </c>
      <c r="I251" s="35" t="s">
        <v>1363</v>
      </c>
      <c r="J251" s="35"/>
      <c r="K251" s="35"/>
      <c r="L251" s="109" t="s">
        <v>1364</v>
      </c>
      <c r="M251" s="38">
        <v>1</v>
      </c>
      <c r="N251" s="38">
        <v>1</v>
      </c>
      <c r="O251" s="68" t="s">
        <v>1365</v>
      </c>
      <c r="P251" s="110">
        <v>0.28000000000000003</v>
      </c>
      <c r="Q251" s="37"/>
      <c r="R251" s="37"/>
      <c r="S251" s="37"/>
      <c r="T251" s="68"/>
      <c r="U251" s="68"/>
      <c r="V251" s="35" t="s">
        <v>70</v>
      </c>
      <c r="W251" s="74">
        <v>1</v>
      </c>
      <c r="X251" s="39">
        <f>MAX(0,$AK251-$W251-$Z251)</f>
        <v>0</v>
      </c>
      <c r="Y251" s="35"/>
      <c r="Z251" s="35"/>
      <c r="AA251" s="40">
        <v>0.28000000000000003</v>
      </c>
      <c r="AB251" s="41">
        <f>IF(AND($X251&gt;0,ISNUMBER($AA251)),$X251*$AA251,0)</f>
        <v>0</v>
      </c>
      <c r="AK251" s="39">
        <f>SUM(AL251:AR251)</f>
        <v>0</v>
      </c>
      <c r="AL251" s="90"/>
      <c r="AM251" s="38"/>
      <c r="AN251" s="38"/>
      <c r="AO251" s="38"/>
      <c r="AP251" s="38"/>
      <c r="AQ251" s="38"/>
      <c r="AR251" s="91"/>
      <c r="AS251" s="42">
        <f>SUM(AT251:AZ251)</f>
        <v>0</v>
      </c>
      <c r="AT251" s="48"/>
      <c r="AU251" s="48"/>
      <c r="AV251" s="48"/>
      <c r="AW251" s="48"/>
      <c r="AX251" s="48"/>
      <c r="AY251" s="48"/>
      <c r="AZ251" s="48"/>
      <c r="BA251" s="43">
        <f>IF((W251-SUM(AT251:AZ251))&lt;0,0,W251-SUM(AT251:AZ251))</f>
        <v>1</v>
      </c>
      <c r="BB251" s="35"/>
      <c r="BC251" s="37"/>
      <c r="BD251" s="37"/>
    </row>
    <row r="252" spans="1:56" ht="15" customHeight="1">
      <c r="A252" s="49" t="s">
        <v>1366</v>
      </c>
      <c r="B252" s="39" t="s">
        <v>1203</v>
      </c>
      <c r="C252" s="46" t="s">
        <v>65</v>
      </c>
      <c r="D252" s="49" t="s">
        <v>256</v>
      </c>
      <c r="E252" s="49" t="s">
        <v>468</v>
      </c>
      <c r="F252" s="39">
        <v>3</v>
      </c>
      <c r="G252" s="75" t="s">
        <v>1367</v>
      </c>
      <c r="H252" s="50" t="s">
        <v>499</v>
      </c>
      <c r="I252" s="50" t="s">
        <v>1368</v>
      </c>
      <c r="J252" s="50" t="s">
        <v>1369</v>
      </c>
      <c r="K252" s="50"/>
      <c r="L252" s="47"/>
      <c r="M252" s="47"/>
      <c r="N252" s="47"/>
      <c r="O252" s="68"/>
      <c r="P252" s="68"/>
      <c r="Q252" s="47"/>
      <c r="R252" s="47"/>
      <c r="S252" s="47"/>
      <c r="T252" s="68"/>
      <c r="U252" s="68"/>
      <c r="V252" s="50" t="s">
        <v>119</v>
      </c>
      <c r="W252" s="74">
        <v>1</v>
      </c>
      <c r="X252" s="39">
        <f>MAX(0,$AK252-$W252-$Z252)</f>
        <v>0</v>
      </c>
      <c r="Y252" s="39"/>
      <c r="Z252" s="39"/>
      <c r="AA252" s="41">
        <v>0.13</v>
      </c>
      <c r="AB252" s="41">
        <f>IF(AND($X252&gt;0,ISNUMBER($AA252)),$X252*$AA252,0)</f>
        <v>0</v>
      </c>
      <c r="AK252" s="39">
        <f>SUM(AL252:AR252)</f>
        <v>0</v>
      </c>
      <c r="AL252" s="90"/>
      <c r="AM252" s="38"/>
      <c r="AN252" s="38"/>
      <c r="AO252" s="38"/>
      <c r="AP252" s="38"/>
      <c r="AQ252" s="38"/>
      <c r="AR252" s="91"/>
      <c r="AS252" s="42">
        <f>SUM(AT252:AZ252)</f>
        <v>0</v>
      </c>
      <c r="AT252" s="48"/>
      <c r="AU252" s="48"/>
      <c r="AV252" s="48"/>
      <c r="AW252" s="48"/>
      <c r="AX252" s="48"/>
      <c r="AY252" s="48"/>
      <c r="AZ252" s="48"/>
      <c r="BA252" s="43">
        <f>IF((W252-SUM(AT252:AZ252))&lt;0,0,W252-SUM(AT252:AZ252))</f>
        <v>1</v>
      </c>
      <c r="BB252" s="49"/>
      <c r="BC252" s="47"/>
      <c r="BD252" s="47"/>
    </row>
    <row r="253" spans="1:56" ht="15" customHeight="1">
      <c r="A253" s="49" t="s">
        <v>1374</v>
      </c>
      <c r="B253" s="39" t="s">
        <v>1203</v>
      </c>
      <c r="C253" s="46" t="s">
        <v>65</v>
      </c>
      <c r="D253" s="49" t="s">
        <v>84</v>
      </c>
      <c r="E253" s="49" t="s">
        <v>1375</v>
      </c>
      <c r="F253" s="39">
        <v>3</v>
      </c>
      <c r="G253" s="75" t="s">
        <v>1376</v>
      </c>
      <c r="H253" s="50" t="s">
        <v>123</v>
      </c>
      <c r="I253" s="50" t="s">
        <v>1377</v>
      </c>
      <c r="J253" s="50"/>
      <c r="K253" s="50"/>
      <c r="L253" s="47"/>
      <c r="M253" s="47"/>
      <c r="N253" s="47"/>
      <c r="O253" s="68"/>
      <c r="P253" s="68"/>
      <c r="Q253" s="47"/>
      <c r="R253" s="47"/>
      <c r="S253" s="47"/>
      <c r="T253" s="68"/>
      <c r="U253" s="68"/>
      <c r="V253" s="50" t="s">
        <v>841</v>
      </c>
      <c r="W253" s="74">
        <v>1</v>
      </c>
      <c r="X253" s="39">
        <f>MAX(0,$AK253-$W253-$Z253)</f>
        <v>0</v>
      </c>
      <c r="Y253" s="39"/>
      <c r="Z253" s="39"/>
      <c r="AA253" s="41">
        <v>0.1</v>
      </c>
      <c r="AB253" s="41">
        <f>IF(AND($X253&gt;0,ISNUMBER($AA253)),$X253*$AA253,0)</f>
        <v>0</v>
      </c>
      <c r="AK253" s="39">
        <f>SUM(AL253:AR253)</f>
        <v>0</v>
      </c>
      <c r="AL253" s="90"/>
      <c r="AM253" s="38"/>
      <c r="AN253" s="38"/>
      <c r="AO253" s="38"/>
      <c r="AP253" s="38"/>
      <c r="AQ253" s="38"/>
      <c r="AR253" s="91"/>
      <c r="AS253" s="42">
        <f>SUM(AT253:AZ253)</f>
        <v>0</v>
      </c>
      <c r="AT253" s="48"/>
      <c r="AU253" s="48"/>
      <c r="AV253" s="48"/>
      <c r="AW253" s="48"/>
      <c r="AX253" s="48"/>
      <c r="AY253" s="48"/>
      <c r="AZ253" s="48"/>
      <c r="BA253" s="43">
        <f>IF((W253-SUM(AT253:AZ253))&lt;0,0,W253-SUM(AT253:AZ253))</f>
        <v>1</v>
      </c>
      <c r="BB253" s="49"/>
      <c r="BC253" s="47"/>
      <c r="BD253" s="51"/>
    </row>
    <row r="254" spans="1:56" ht="15" customHeight="1">
      <c r="A254" s="35" t="s">
        <v>1378</v>
      </c>
      <c r="B254" s="36" t="s">
        <v>1203</v>
      </c>
      <c r="C254" s="38" t="s">
        <v>65</v>
      </c>
      <c r="D254" s="35" t="s">
        <v>84</v>
      </c>
      <c r="E254" s="35" t="s">
        <v>1379</v>
      </c>
      <c r="F254" s="36">
        <v>2</v>
      </c>
      <c r="G254" s="75" t="s">
        <v>1380</v>
      </c>
      <c r="H254" s="35" t="s">
        <v>172</v>
      </c>
      <c r="I254" s="35" t="s">
        <v>939</v>
      </c>
      <c r="J254" s="35" t="s">
        <v>1381</v>
      </c>
      <c r="K254" s="35"/>
      <c r="L254" s="37"/>
      <c r="M254" s="37"/>
      <c r="N254" s="37"/>
      <c r="O254" s="68"/>
      <c r="P254" s="68"/>
      <c r="Q254" s="37"/>
      <c r="R254" s="37"/>
      <c r="S254" s="37"/>
      <c r="T254" s="68"/>
      <c r="U254" s="68"/>
      <c r="V254" s="35" t="s">
        <v>119</v>
      </c>
      <c r="W254" s="74">
        <v>1</v>
      </c>
      <c r="X254" s="39">
        <f>MAX(0,$AK254-$W254-$Z254)</f>
        <v>0</v>
      </c>
      <c r="Y254" s="35"/>
      <c r="Z254" s="35"/>
      <c r="AA254" s="40">
        <v>0.25</v>
      </c>
      <c r="AB254" s="41">
        <f>IF(AND($X254&gt;0,ISNUMBER($AA254)),$X254*$AA254,0)</f>
        <v>0</v>
      </c>
      <c r="AF254" s="63"/>
      <c r="AJ254" s="63"/>
      <c r="AK254" s="39">
        <f>SUM(AL254:AR254)</f>
        <v>1</v>
      </c>
      <c r="AL254" s="90"/>
      <c r="AM254" s="38"/>
      <c r="AN254" s="38"/>
      <c r="AO254" s="97">
        <v>1</v>
      </c>
      <c r="AP254" s="38"/>
      <c r="AQ254" s="38"/>
      <c r="AR254" s="91"/>
      <c r="AS254" s="42">
        <f>SUM(AT254:AZ254)</f>
        <v>1</v>
      </c>
      <c r="AT254" s="48"/>
      <c r="AU254" s="48"/>
      <c r="AV254" s="48"/>
      <c r="AW254" s="48">
        <v>1</v>
      </c>
      <c r="AX254" s="48"/>
      <c r="AY254" s="48"/>
      <c r="AZ254" s="48"/>
      <c r="BA254" s="43">
        <f>IF((W254-SUM(AT254:AZ254))&lt;0,0,W254-SUM(AT254:AZ254))</f>
        <v>0</v>
      </c>
      <c r="BB254" s="35"/>
      <c r="BC254" s="37"/>
      <c r="BD254" s="37"/>
    </row>
    <row r="255" spans="1:56" ht="15" customHeight="1">
      <c r="A255" s="49" t="s">
        <v>1382</v>
      </c>
      <c r="B255" s="39" t="s">
        <v>1203</v>
      </c>
      <c r="C255" s="46" t="s">
        <v>65</v>
      </c>
      <c r="D255" s="49" t="s">
        <v>84</v>
      </c>
      <c r="E255" s="49" t="s">
        <v>1383</v>
      </c>
      <c r="F255" s="39">
        <v>2</v>
      </c>
      <c r="G255" s="75" t="s">
        <v>1384</v>
      </c>
      <c r="H255" s="50" t="s">
        <v>679</v>
      </c>
      <c r="I255" s="50" t="s">
        <v>1385</v>
      </c>
      <c r="J255" s="50" t="s">
        <v>1386</v>
      </c>
      <c r="K255" s="50"/>
      <c r="L255" s="47"/>
      <c r="M255" s="47"/>
      <c r="N255" s="47"/>
      <c r="O255" s="68"/>
      <c r="P255" s="68"/>
      <c r="Q255" s="47"/>
      <c r="R255" s="47"/>
      <c r="S255" s="47"/>
      <c r="T255" s="68"/>
      <c r="U255" s="68"/>
      <c r="V255" s="50" t="s">
        <v>167</v>
      </c>
      <c r="W255" s="74">
        <v>5</v>
      </c>
      <c r="X255" s="39">
        <f>MAX(0,$AK255-$W255-$Z255)</f>
        <v>0</v>
      </c>
      <c r="Y255" s="39"/>
      <c r="Z255" s="39"/>
      <c r="AA255" s="41">
        <v>0.12</v>
      </c>
      <c r="AB255" s="41">
        <f>IF(AND($X255&gt;0,ISNUMBER($AA255)),$X255*$AA255,0)</f>
        <v>0</v>
      </c>
      <c r="AE255" s="63" t="s">
        <v>1387</v>
      </c>
      <c r="AJ255" s="63"/>
      <c r="AK255" s="39">
        <f>SUM(AL255:AR255)</f>
        <v>1</v>
      </c>
      <c r="AL255" s="90"/>
      <c r="AM255" s="38"/>
      <c r="AN255" s="99">
        <v>1</v>
      </c>
      <c r="AO255" s="38"/>
      <c r="AP255" s="38"/>
      <c r="AQ255" s="38"/>
      <c r="AR255" s="91"/>
      <c r="AS255" s="42">
        <f>SUM(AT255:AZ255)</f>
        <v>1</v>
      </c>
      <c r="AT255" s="48"/>
      <c r="AU255" s="48"/>
      <c r="AV255" s="48">
        <v>1</v>
      </c>
      <c r="AW255" s="48"/>
      <c r="AX255" s="48"/>
      <c r="AY255" s="48"/>
      <c r="AZ255" s="48"/>
      <c r="BA255" s="43">
        <f>IF((W255-SUM(AT255:AZ255))&lt;0,0,W255-SUM(AT255:AZ255))</f>
        <v>4</v>
      </c>
      <c r="BB255" s="49"/>
      <c r="BC255" s="47"/>
      <c r="BD255" s="47"/>
    </row>
    <row r="256" spans="1:56" ht="15" customHeight="1">
      <c r="A256" s="49" t="s">
        <v>1388</v>
      </c>
      <c r="B256" s="39" t="s">
        <v>1203</v>
      </c>
      <c r="C256" s="46" t="s">
        <v>83</v>
      </c>
      <c r="D256" s="49" t="s">
        <v>256</v>
      </c>
      <c r="E256" s="49"/>
      <c r="F256" s="39">
        <v>4</v>
      </c>
      <c r="G256" s="75" t="s">
        <v>1389</v>
      </c>
      <c r="H256" s="50" t="s">
        <v>87</v>
      </c>
      <c r="I256" s="50" t="s">
        <v>1390</v>
      </c>
      <c r="J256" s="50"/>
      <c r="K256" s="50"/>
      <c r="L256" s="47"/>
      <c r="M256" s="47"/>
      <c r="N256" s="47"/>
      <c r="O256" s="47"/>
      <c r="P256" s="47"/>
      <c r="Q256" s="47"/>
      <c r="R256" s="47"/>
      <c r="S256" s="47"/>
      <c r="T256" s="47"/>
      <c r="U256" s="47"/>
      <c r="V256" s="50" t="s">
        <v>145</v>
      </c>
      <c r="W256" s="74">
        <v>0</v>
      </c>
      <c r="X256" s="39">
        <f>MAX(0,$AK256-$W256-$Z256)</f>
        <v>0</v>
      </c>
      <c r="Y256" s="39"/>
      <c r="Z256" s="39"/>
      <c r="AA256" s="41">
        <v>14.88</v>
      </c>
      <c r="AB256" s="41">
        <f>IF(AND($X256&gt;0,ISNUMBER($AA256)),$X256*$AA256,0)</f>
        <v>0</v>
      </c>
      <c r="AC256" s="59"/>
      <c r="AD256" s="59"/>
      <c r="AE256" s="59"/>
      <c r="AF256" s="59"/>
      <c r="AG256" s="59"/>
      <c r="AH256" s="59"/>
      <c r="AI256" s="59"/>
      <c r="AJ256" s="59"/>
      <c r="AK256" s="39">
        <f>SUM(AL256:AR256)</f>
        <v>0</v>
      </c>
      <c r="AL256" s="114"/>
      <c r="AM256" s="43"/>
      <c r="AN256" s="43"/>
      <c r="AO256" s="43"/>
      <c r="AP256" s="43"/>
      <c r="AQ256" s="43"/>
      <c r="AR256" s="116"/>
      <c r="AS256" s="42">
        <f>SUM(AT256:AZ256)</f>
        <v>0</v>
      </c>
      <c r="AT256" s="48"/>
      <c r="AU256" s="48"/>
      <c r="AV256" s="48"/>
      <c r="AW256" s="48"/>
      <c r="AX256" s="48"/>
      <c r="AY256" s="48"/>
      <c r="AZ256" s="48"/>
      <c r="BA256" s="43">
        <f>IF((W256-SUM(AT256:AZ256))&lt;0,0,W256-SUM(AT256:AZ256))</f>
        <v>0</v>
      </c>
      <c r="BB256" s="49"/>
      <c r="BC256" s="47"/>
      <c r="BD256" s="47"/>
    </row>
    <row r="257" spans="1:56" ht="15" customHeight="1">
      <c r="A257" s="49" t="s">
        <v>1391</v>
      </c>
      <c r="B257" s="39" t="s">
        <v>1203</v>
      </c>
      <c r="C257" s="46" t="s">
        <v>83</v>
      </c>
      <c r="D257" s="49" t="s">
        <v>256</v>
      </c>
      <c r="E257" s="49"/>
      <c r="F257" s="39">
        <v>1</v>
      </c>
      <c r="G257" s="75" t="s">
        <v>1392</v>
      </c>
      <c r="H257" s="50" t="s">
        <v>100</v>
      </c>
      <c r="I257" s="50" t="s">
        <v>1393</v>
      </c>
      <c r="J257" s="50"/>
      <c r="K257" s="50"/>
      <c r="L257" s="47"/>
      <c r="M257" s="47"/>
      <c r="N257" s="47"/>
      <c r="O257" s="47"/>
      <c r="P257" s="47"/>
      <c r="Q257" s="47"/>
      <c r="R257" s="47"/>
      <c r="S257" s="47"/>
      <c r="T257" s="47"/>
      <c r="U257" s="47"/>
      <c r="V257" s="50" t="s">
        <v>359</v>
      </c>
      <c r="W257" s="74">
        <v>0</v>
      </c>
      <c r="X257" s="39">
        <f>MAX(0,$AK257-$W257-$Z257)</f>
        <v>0</v>
      </c>
      <c r="Y257" s="39"/>
      <c r="Z257" s="39"/>
      <c r="AA257" s="41">
        <v>2.31</v>
      </c>
      <c r="AB257" s="41">
        <f>IF(AND($X257&gt;0,ISNUMBER($AA257)),$X257*$AA257,0)</f>
        <v>0</v>
      </c>
      <c r="AC257" s="59"/>
      <c r="AD257" s="59"/>
      <c r="AE257" s="59"/>
      <c r="AF257" s="59"/>
      <c r="AG257" s="59"/>
      <c r="AH257" s="59"/>
      <c r="AI257" s="59"/>
      <c r="AJ257" s="59"/>
      <c r="AK257" s="39">
        <f>SUM(AL257:AR257)</f>
        <v>0</v>
      </c>
      <c r="AL257" s="114"/>
      <c r="AM257" s="43"/>
      <c r="AN257" s="43"/>
      <c r="AO257" s="43"/>
      <c r="AP257" s="43"/>
      <c r="AQ257" s="43"/>
      <c r="AR257" s="116"/>
      <c r="AS257" s="42">
        <f>SUM(AT257:AZ257)</f>
        <v>0</v>
      </c>
      <c r="AT257" s="48"/>
      <c r="AU257" s="48"/>
      <c r="AV257" s="48"/>
      <c r="AW257" s="48"/>
      <c r="AX257" s="48"/>
      <c r="AY257" s="48"/>
      <c r="AZ257" s="48"/>
      <c r="BA257" s="43">
        <f>IF((W257-SUM(AT257:AZ257))&lt;0,0,W257-SUM(AT257:AZ257))</f>
        <v>0</v>
      </c>
      <c r="BB257" s="49"/>
      <c r="BC257" s="47"/>
      <c r="BD257" s="126"/>
    </row>
    <row r="258" spans="1:56" ht="15" customHeight="1">
      <c r="A258" s="49" t="s">
        <v>1394</v>
      </c>
      <c r="B258" s="39" t="s">
        <v>1203</v>
      </c>
      <c r="C258" s="46" t="s">
        <v>83</v>
      </c>
      <c r="D258" s="49" t="s">
        <v>76</v>
      </c>
      <c r="E258" s="49"/>
      <c r="F258" s="39">
        <v>2</v>
      </c>
      <c r="G258" s="75" t="s">
        <v>1395</v>
      </c>
      <c r="H258" s="50" t="s">
        <v>227</v>
      </c>
      <c r="I258" s="50" t="s">
        <v>1395</v>
      </c>
      <c r="J258" s="50"/>
      <c r="K258" s="50"/>
      <c r="L258" s="46"/>
      <c r="M258" s="46"/>
      <c r="N258" s="46"/>
      <c r="O258" s="46"/>
      <c r="P258" s="46"/>
      <c r="Q258" s="46"/>
      <c r="R258" s="46"/>
      <c r="S258" s="46"/>
      <c r="T258" s="46"/>
      <c r="U258" s="46"/>
      <c r="V258" s="50" t="s">
        <v>388</v>
      </c>
      <c r="W258" s="74">
        <v>0</v>
      </c>
      <c r="X258" s="39">
        <f>MAX(0,$AK258-$W258-$Z258)</f>
        <v>0</v>
      </c>
      <c r="Y258" s="39"/>
      <c r="Z258" s="39"/>
      <c r="AA258" s="41">
        <v>8.93</v>
      </c>
      <c r="AB258" s="41">
        <f>IF(AND($X258&gt;0,ISNUMBER($AA258)),$X258*$AA258,0)</f>
        <v>0</v>
      </c>
      <c r="AC258" s="59"/>
      <c r="AD258" s="59"/>
      <c r="AE258" s="59"/>
      <c r="AF258" s="59"/>
      <c r="AG258" s="59"/>
      <c r="AH258" s="59"/>
      <c r="AI258" s="59"/>
      <c r="AJ258" s="59"/>
      <c r="AK258" s="39">
        <f>SUM(AL258:AR258)</f>
        <v>0</v>
      </c>
      <c r="AL258" s="114"/>
      <c r="AM258" s="43"/>
      <c r="AN258" s="43"/>
      <c r="AO258" s="43"/>
      <c r="AP258" s="43"/>
      <c r="AQ258" s="43"/>
      <c r="AR258" s="116"/>
      <c r="AS258" s="42">
        <f>SUM(AT258:AZ258)</f>
        <v>0</v>
      </c>
      <c r="AT258" s="48"/>
      <c r="AU258" s="48"/>
      <c r="AV258" s="48"/>
      <c r="AW258" s="48"/>
      <c r="AX258" s="48"/>
      <c r="AY258" s="48"/>
      <c r="AZ258" s="48"/>
      <c r="BA258" s="43">
        <f>IF((W258-SUM(AT258:AZ258))&lt;0,0,W258-SUM(AT258:AZ258))</f>
        <v>0</v>
      </c>
      <c r="BB258" s="49"/>
      <c r="BC258" s="47"/>
      <c r="BD258" s="47"/>
    </row>
    <row r="259" spans="1:56" ht="15" customHeight="1">
      <c r="A259" s="49" t="s">
        <v>1396</v>
      </c>
      <c r="B259" s="39" t="s">
        <v>1203</v>
      </c>
      <c r="C259" s="46" t="s">
        <v>65</v>
      </c>
      <c r="D259" s="49" t="s">
        <v>84</v>
      </c>
      <c r="E259" s="49" t="s">
        <v>672</v>
      </c>
      <c r="F259" s="39">
        <v>3</v>
      </c>
      <c r="G259" s="75" t="s">
        <v>1397</v>
      </c>
      <c r="H259" s="50" t="s">
        <v>153</v>
      </c>
      <c r="I259" s="50" t="s">
        <v>853</v>
      </c>
      <c r="J259" s="50" t="s">
        <v>1398</v>
      </c>
      <c r="K259" s="50"/>
      <c r="L259" s="47"/>
      <c r="M259" s="47"/>
      <c r="N259" s="47"/>
      <c r="O259" s="47"/>
      <c r="P259" s="47"/>
      <c r="Q259" s="47"/>
      <c r="R259" s="47"/>
      <c r="S259" s="47"/>
      <c r="T259" s="47"/>
      <c r="U259" s="47"/>
      <c r="V259" s="50" t="s">
        <v>860</v>
      </c>
      <c r="W259" s="74">
        <v>0</v>
      </c>
      <c r="X259" s="39">
        <f>MAX(0,$AK259-$W259-$Z259)</f>
        <v>0</v>
      </c>
      <c r="Y259" s="39"/>
      <c r="Z259" s="39"/>
      <c r="AA259" s="41">
        <v>0.35</v>
      </c>
      <c r="AB259" s="41">
        <f>IF(AND($X259&gt;0,ISNUMBER($AA259)),$X259*$AA259,0)</f>
        <v>0</v>
      </c>
      <c r="AC259" s="59"/>
      <c r="AD259" s="59"/>
      <c r="AE259" s="59"/>
      <c r="AF259" s="59"/>
      <c r="AG259" s="59"/>
      <c r="AH259" s="59"/>
      <c r="AI259" s="59"/>
      <c r="AJ259" s="59"/>
      <c r="AK259" s="39">
        <f>SUM(AL259:AR259)</f>
        <v>0</v>
      </c>
      <c r="AL259" s="114"/>
      <c r="AM259" s="43"/>
      <c r="AN259" s="43"/>
      <c r="AO259" s="43"/>
      <c r="AP259" s="43"/>
      <c r="AQ259" s="43"/>
      <c r="AR259" s="116"/>
      <c r="AS259" s="42">
        <f>SUM(AT259:AZ259)</f>
        <v>0</v>
      </c>
      <c r="AT259" s="48"/>
      <c r="AU259" s="48"/>
      <c r="AV259" s="48"/>
      <c r="AW259" s="48"/>
      <c r="AX259" s="48"/>
      <c r="AY259" s="48"/>
      <c r="AZ259" s="48"/>
      <c r="BA259" s="43">
        <f>IF((W259-SUM(AT259:AZ259))&lt;0,0,W259-SUM(AT259:AZ259))</f>
        <v>0</v>
      </c>
      <c r="BB259" s="49"/>
      <c r="BC259" s="47"/>
      <c r="BD259" s="47"/>
    </row>
    <row r="260" spans="1:56" ht="15" customHeight="1">
      <c r="A260" s="49" t="s">
        <v>1399</v>
      </c>
      <c r="B260" s="39" t="s">
        <v>1203</v>
      </c>
      <c r="C260" s="46" t="s">
        <v>83</v>
      </c>
      <c r="D260" s="49" t="s">
        <v>256</v>
      </c>
      <c r="E260" s="49" t="s">
        <v>1400</v>
      </c>
      <c r="F260" s="39">
        <v>2</v>
      </c>
      <c r="G260" s="75" t="s">
        <v>1401</v>
      </c>
      <c r="H260" s="50" t="s">
        <v>679</v>
      </c>
      <c r="I260" s="50" t="s">
        <v>1402</v>
      </c>
      <c r="J260" s="50" t="s">
        <v>1403</v>
      </c>
      <c r="K260" s="50" t="s">
        <v>1404</v>
      </c>
      <c r="L260" s="47"/>
      <c r="M260" s="47"/>
      <c r="N260" s="47"/>
      <c r="O260" s="47"/>
      <c r="P260" s="47"/>
      <c r="Q260" s="47"/>
      <c r="R260" s="47"/>
      <c r="S260" s="47"/>
      <c r="T260" s="47"/>
      <c r="U260" s="47"/>
      <c r="V260" s="50" t="s">
        <v>1060</v>
      </c>
      <c r="W260" s="74">
        <v>1</v>
      </c>
      <c r="X260" s="39">
        <f>MAX(0,$AK260-$W260-$Z260)</f>
        <v>0</v>
      </c>
      <c r="Y260" s="39"/>
      <c r="Z260" s="39"/>
      <c r="AA260" s="41">
        <v>9.19</v>
      </c>
      <c r="AB260" s="41">
        <f>IF(AND($X260&gt;0,ISNUMBER($AA260)),$X260*$AA260,0)</f>
        <v>0</v>
      </c>
      <c r="AK260" s="39">
        <f>SUM(AL260:AR260)</f>
        <v>1</v>
      </c>
      <c r="AL260" s="90"/>
      <c r="AM260" s="38"/>
      <c r="AN260" s="97">
        <v>1</v>
      </c>
      <c r="AO260" s="38"/>
      <c r="AP260" s="38"/>
      <c r="AQ260" s="38"/>
      <c r="AR260" s="91"/>
      <c r="AS260" s="42">
        <f>SUM(AT260:AZ260)</f>
        <v>1</v>
      </c>
      <c r="AT260" s="48"/>
      <c r="AU260" s="48"/>
      <c r="AV260" s="48">
        <v>1</v>
      </c>
      <c r="AW260" s="48"/>
      <c r="AX260" s="48"/>
      <c r="AY260" s="48"/>
      <c r="AZ260" s="48"/>
      <c r="BA260" s="43">
        <f>IF((W260-SUM(AT260:AZ260))&lt;0,0,W260-SUM(AT260:AZ260))</f>
        <v>0</v>
      </c>
      <c r="BB260" s="49"/>
      <c r="BC260" s="47"/>
      <c r="BD260" s="126"/>
    </row>
    <row r="261" spans="1:56" ht="15" customHeight="1">
      <c r="A261" s="49" t="s">
        <v>1405</v>
      </c>
      <c r="B261" s="39" t="s">
        <v>1203</v>
      </c>
      <c r="C261" s="46" t="s">
        <v>65</v>
      </c>
      <c r="D261" s="49" t="s">
        <v>76</v>
      </c>
      <c r="E261" s="49"/>
      <c r="F261" s="39">
        <v>3</v>
      </c>
      <c r="G261" s="75" t="s">
        <v>1406</v>
      </c>
      <c r="H261" s="50" t="s">
        <v>227</v>
      </c>
      <c r="I261" s="50" t="s">
        <v>1407</v>
      </c>
      <c r="J261" s="50" t="s">
        <v>1408</v>
      </c>
      <c r="K261" s="50"/>
      <c r="L261" s="47"/>
      <c r="M261" s="47"/>
      <c r="N261" s="47"/>
      <c r="O261" s="68"/>
      <c r="P261" s="68"/>
      <c r="Q261" s="47"/>
      <c r="R261" s="47"/>
      <c r="S261" s="47"/>
      <c r="T261" s="68"/>
      <c r="U261" s="68"/>
      <c r="V261" s="50" t="s">
        <v>1228</v>
      </c>
      <c r="W261" s="74">
        <v>1</v>
      </c>
      <c r="X261" s="39">
        <f>MAX(0,$AK261-$W261-$Z261)</f>
        <v>0</v>
      </c>
      <c r="Y261" s="39"/>
      <c r="Z261" s="39"/>
      <c r="AA261" s="41">
        <v>0.42</v>
      </c>
      <c r="AB261" s="41">
        <f>IF(AND($X261&gt;0,ISNUMBER($AA261)),$X261*$AA261,0)</f>
        <v>0</v>
      </c>
      <c r="AK261" s="39">
        <f>SUM(AL261:AR261)</f>
        <v>1</v>
      </c>
      <c r="AL261" s="90"/>
      <c r="AM261" s="38"/>
      <c r="AN261" s="97">
        <v>1</v>
      </c>
      <c r="AO261" s="38"/>
      <c r="AP261" s="38"/>
      <c r="AQ261" s="38"/>
      <c r="AR261" s="91"/>
      <c r="AS261" s="42">
        <f>SUM(AT261:AZ261)</f>
        <v>1</v>
      </c>
      <c r="AT261" s="48"/>
      <c r="AU261" s="48"/>
      <c r="AV261" s="48">
        <v>1</v>
      </c>
      <c r="AW261" s="48"/>
      <c r="AX261" s="48"/>
      <c r="AY261" s="48"/>
      <c r="AZ261" s="48"/>
      <c r="BA261" s="43">
        <f>IF((W261-SUM(AT261:AZ261))&lt;0,0,W261-SUM(AT261:AZ261))</f>
        <v>0</v>
      </c>
      <c r="BB261" s="49"/>
      <c r="BC261" s="47"/>
      <c r="BD261" s="47"/>
    </row>
    <row r="262" spans="1:56" ht="15" customHeight="1">
      <c r="A262" s="49" t="s">
        <v>1409</v>
      </c>
      <c r="B262" s="39" t="s">
        <v>1203</v>
      </c>
      <c r="C262" s="46" t="s">
        <v>65</v>
      </c>
      <c r="D262" s="49" t="s">
        <v>84</v>
      </c>
      <c r="E262" s="49" t="s">
        <v>818</v>
      </c>
      <c r="F262" s="39">
        <v>1</v>
      </c>
      <c r="G262" s="75" t="s">
        <v>1410</v>
      </c>
      <c r="H262" s="50" t="s">
        <v>123</v>
      </c>
      <c r="I262" s="50" t="s">
        <v>1411</v>
      </c>
      <c r="J262" s="50" t="s">
        <v>821</v>
      </c>
      <c r="K262" s="50"/>
      <c r="L262" s="47"/>
      <c r="M262" s="47"/>
      <c r="N262" s="47"/>
      <c r="O262" s="47"/>
      <c r="P262" s="47"/>
      <c r="Q262" s="47"/>
      <c r="R262" s="47"/>
      <c r="S262" s="47"/>
      <c r="T262" s="47"/>
      <c r="U262" s="47"/>
      <c r="V262" s="50" t="s">
        <v>311</v>
      </c>
      <c r="W262" s="74">
        <v>1</v>
      </c>
      <c r="X262" s="39">
        <f>MAX(0,$AK262-$W262-$Z262)</f>
        <v>0</v>
      </c>
      <c r="Y262" s="39"/>
      <c r="Z262" s="39"/>
      <c r="AA262" s="41">
        <v>0.24</v>
      </c>
      <c r="AB262" s="41">
        <f>IF(AND($X262&gt;0,ISNUMBER($AA262)),$X262*$AA262,0)</f>
        <v>0</v>
      </c>
      <c r="AK262" s="39">
        <f>SUM(AL262:AR262)</f>
        <v>1</v>
      </c>
      <c r="AL262" s="90"/>
      <c r="AM262" s="38"/>
      <c r="AN262" s="38"/>
      <c r="AO262" s="97">
        <v>1</v>
      </c>
      <c r="AP262" s="38"/>
      <c r="AQ262" s="38"/>
      <c r="AR262" s="91"/>
      <c r="AS262" s="42">
        <f>SUM(AT262:AZ262)</f>
        <v>1</v>
      </c>
      <c r="AT262" s="48"/>
      <c r="AU262" s="48"/>
      <c r="AV262" s="48"/>
      <c r="AW262" s="48">
        <v>1</v>
      </c>
      <c r="AX262" s="48"/>
      <c r="AY262" s="48"/>
      <c r="AZ262" s="48"/>
      <c r="BA262" s="43">
        <f>IF((W262-SUM(AT262:AZ262))&lt;0,0,W262-SUM(AT262:AZ262))</f>
        <v>0</v>
      </c>
      <c r="BB262" s="49"/>
      <c r="BC262" s="47"/>
      <c r="BD262" s="47"/>
    </row>
    <row r="263" spans="1:56" ht="15" customHeight="1">
      <c r="A263" s="49" t="s">
        <v>1412</v>
      </c>
      <c r="B263" s="39" t="s">
        <v>1203</v>
      </c>
      <c r="C263" s="46" t="s">
        <v>83</v>
      </c>
      <c r="D263" s="49" t="s">
        <v>134</v>
      </c>
      <c r="E263" s="49" t="s">
        <v>1413</v>
      </c>
      <c r="F263" s="39">
        <v>3</v>
      </c>
      <c r="G263" s="75" t="s">
        <v>1289</v>
      </c>
      <c r="H263" s="50" t="s">
        <v>172</v>
      </c>
      <c r="I263" s="50" t="s">
        <v>1414</v>
      </c>
      <c r="J263" s="50"/>
      <c r="K263" s="50"/>
      <c r="L263" s="47"/>
      <c r="M263" s="47"/>
      <c r="N263" s="47"/>
      <c r="O263" s="47"/>
      <c r="P263" s="47"/>
      <c r="Q263" s="47"/>
      <c r="R263" s="47"/>
      <c r="S263" s="47"/>
      <c r="T263" s="47"/>
      <c r="U263" s="47"/>
      <c r="V263" s="50" t="s">
        <v>1415</v>
      </c>
      <c r="W263" s="74">
        <v>0</v>
      </c>
      <c r="X263" s="39">
        <f>MAX(0,$AK263-$W263-$Z263)</f>
        <v>0</v>
      </c>
      <c r="Y263" s="39"/>
      <c r="Z263" s="39"/>
      <c r="AA263" s="41">
        <v>1.58</v>
      </c>
      <c r="AB263" s="41">
        <f>IF(AND($X263&gt;0,ISNUMBER($AA263)),$X263*$AA263,0)</f>
        <v>0</v>
      </c>
      <c r="AC263" s="59"/>
      <c r="AD263" s="59"/>
      <c r="AE263" s="59"/>
      <c r="AF263" s="59"/>
      <c r="AG263" s="59"/>
      <c r="AH263" s="59"/>
      <c r="AI263" s="59"/>
      <c r="AJ263" s="59"/>
      <c r="AK263" s="39">
        <f>SUM(AL263:AR263)</f>
        <v>0</v>
      </c>
      <c r="AL263" s="114"/>
      <c r="AM263" s="43"/>
      <c r="AN263" s="43"/>
      <c r="AO263" s="43"/>
      <c r="AP263" s="43"/>
      <c r="AQ263" s="43"/>
      <c r="AR263" s="116"/>
      <c r="AS263" s="42">
        <f>SUM(AT263:AZ263)</f>
        <v>0</v>
      </c>
      <c r="AT263" s="48"/>
      <c r="AU263" s="48"/>
      <c r="AV263" s="48"/>
      <c r="AW263" s="48"/>
      <c r="AX263" s="48"/>
      <c r="AY263" s="48"/>
      <c r="AZ263" s="48"/>
      <c r="BA263" s="43">
        <f>IF((W263-SUM(AT263:AZ263))&lt;0,0,W263-SUM(AT263:AZ263))</f>
        <v>0</v>
      </c>
      <c r="BB263" s="49"/>
      <c r="BC263" s="47"/>
      <c r="BD263" s="47"/>
    </row>
    <row r="264" spans="1:56" ht="15" customHeight="1">
      <c r="A264" s="44" t="s">
        <v>1421</v>
      </c>
      <c r="B264" s="45" t="s">
        <v>1203</v>
      </c>
      <c r="C264" s="46" t="s">
        <v>65</v>
      </c>
      <c r="D264" s="44" t="s">
        <v>84</v>
      </c>
      <c r="E264" s="44" t="s">
        <v>1422</v>
      </c>
      <c r="F264" s="45">
        <v>3</v>
      </c>
      <c r="G264" s="75" t="s">
        <v>1423</v>
      </c>
      <c r="H264" s="44" t="s">
        <v>238</v>
      </c>
      <c r="I264" s="44" t="s">
        <v>1424</v>
      </c>
      <c r="J264" s="44" t="s">
        <v>1132</v>
      </c>
      <c r="K264" s="44"/>
      <c r="L264" s="47"/>
      <c r="M264" s="47"/>
      <c r="N264" s="47"/>
      <c r="O264" s="68"/>
      <c r="P264" s="68"/>
      <c r="Q264" s="47"/>
      <c r="R264" s="47"/>
      <c r="S264" s="47"/>
      <c r="T264" s="68"/>
      <c r="U264" s="68"/>
      <c r="V264" s="44" t="s">
        <v>167</v>
      </c>
      <c r="W264" s="74">
        <v>1</v>
      </c>
      <c r="X264" s="39">
        <f>MAX(0,$AK264-$W264-$Z264)</f>
        <v>0</v>
      </c>
      <c r="Y264" s="44"/>
      <c r="Z264" s="44"/>
      <c r="AA264" s="44">
        <v>0.18</v>
      </c>
      <c r="AB264" s="44">
        <f>IF(AND($X264&gt;0,ISNUMBER($AA264)),$X264*$AA264,0)</f>
        <v>0</v>
      </c>
      <c r="AK264" s="39">
        <f>SUM(AL264:AR264)</f>
        <v>0</v>
      </c>
      <c r="AL264" s="90"/>
      <c r="AM264" s="38"/>
      <c r="AN264" s="38"/>
      <c r="AO264" s="38"/>
      <c r="AP264" s="38"/>
      <c r="AQ264" s="38"/>
      <c r="AR264" s="91"/>
      <c r="AS264" s="42">
        <f>SUM(AT264:AZ264)</f>
        <v>0</v>
      </c>
      <c r="AT264" s="48"/>
      <c r="AU264" s="48"/>
      <c r="AV264" s="48"/>
      <c r="AW264" s="48"/>
      <c r="AX264" s="48"/>
      <c r="AY264" s="48"/>
      <c r="AZ264" s="48"/>
      <c r="BA264" s="43">
        <f>IF((W264-SUM(AT264:AZ264))&lt;0,0,W264-SUM(AT264:AZ264))</f>
        <v>1</v>
      </c>
      <c r="BB264" s="44"/>
      <c r="BC264" s="47"/>
      <c r="BD264" s="47"/>
    </row>
    <row r="265" spans="1:56" ht="15" customHeight="1">
      <c r="A265" s="49" t="s">
        <v>1425</v>
      </c>
      <c r="B265" s="39" t="s">
        <v>1203</v>
      </c>
      <c r="C265" s="46" t="s">
        <v>65</v>
      </c>
      <c r="D265" s="49" t="s">
        <v>84</v>
      </c>
      <c r="E265" s="49" t="s">
        <v>1242</v>
      </c>
      <c r="F265" s="39">
        <v>1</v>
      </c>
      <c r="G265" s="75" t="s">
        <v>1426</v>
      </c>
      <c r="H265" s="50" t="s">
        <v>172</v>
      </c>
      <c r="I265" s="50" t="s">
        <v>1427</v>
      </c>
      <c r="J265" s="50"/>
      <c r="K265" s="50"/>
      <c r="L265" s="47"/>
      <c r="M265" s="47"/>
      <c r="N265" s="47"/>
      <c r="O265" s="47"/>
      <c r="P265" s="47"/>
      <c r="Q265" s="47"/>
      <c r="R265" s="47"/>
      <c r="S265" s="47"/>
      <c r="T265" s="47"/>
      <c r="U265" s="47"/>
      <c r="V265" s="50" t="s">
        <v>70</v>
      </c>
      <c r="W265" s="74">
        <v>1</v>
      </c>
      <c r="X265" s="39">
        <f>MAX(0,$AK265-$W265-$Z265)</f>
        <v>0</v>
      </c>
      <c r="Y265" s="39"/>
      <c r="Z265" s="39"/>
      <c r="AA265" s="41">
        <v>0.27</v>
      </c>
      <c r="AB265" s="41">
        <f>IF(AND($X265&gt;0,ISNUMBER($AA265)),$X265*$AA265,0)</f>
        <v>0</v>
      </c>
      <c r="AD265" s="63"/>
      <c r="AK265" s="39">
        <f>SUM(AL265:AR265)</f>
        <v>1</v>
      </c>
      <c r="AL265" s="90"/>
      <c r="AM265" s="98">
        <v>1</v>
      </c>
      <c r="AN265" s="38"/>
      <c r="AO265" s="38"/>
      <c r="AP265" s="38"/>
      <c r="AQ265" s="38"/>
      <c r="AR265" s="91"/>
      <c r="AS265" s="42">
        <f>SUM(AT265:AZ265)</f>
        <v>1</v>
      </c>
      <c r="AT265" s="48"/>
      <c r="AU265" s="48">
        <v>1</v>
      </c>
      <c r="AV265" s="48"/>
      <c r="AW265" s="48"/>
      <c r="AX265" s="48"/>
      <c r="AY265" s="48"/>
      <c r="AZ265" s="48"/>
      <c r="BA265" s="43">
        <f>IF((W265-SUM(AT265:AZ265))&lt;0,0,W265-SUM(AT265:AZ265))</f>
        <v>0</v>
      </c>
      <c r="BB265" s="49"/>
      <c r="BC265" s="47"/>
      <c r="BD265" s="47"/>
    </row>
    <row r="266" spans="1:56" ht="15" customHeight="1">
      <c r="A266" s="44" t="s">
        <v>1428</v>
      </c>
      <c r="B266" s="45" t="s">
        <v>1203</v>
      </c>
      <c r="C266" s="46" t="s">
        <v>65</v>
      </c>
      <c r="D266" s="44" t="s">
        <v>84</v>
      </c>
      <c r="E266" s="44" t="s">
        <v>450</v>
      </c>
      <c r="F266" s="45">
        <v>4</v>
      </c>
      <c r="G266" s="75" t="s">
        <v>1429</v>
      </c>
      <c r="H266" s="44" t="s">
        <v>123</v>
      </c>
      <c r="I266" s="44" t="s">
        <v>770</v>
      </c>
      <c r="J266" s="44" t="s">
        <v>1430</v>
      </c>
      <c r="K266" s="44"/>
      <c r="L266" s="47"/>
      <c r="M266" s="47"/>
      <c r="N266" s="47"/>
      <c r="O266" s="68"/>
      <c r="P266" s="68"/>
      <c r="Q266" s="47"/>
      <c r="R266" s="47"/>
      <c r="S266" s="47"/>
      <c r="T266" s="68"/>
      <c r="U266" s="68"/>
      <c r="V266" s="44" t="s">
        <v>119</v>
      </c>
      <c r="W266" s="74">
        <v>1</v>
      </c>
      <c r="X266" s="39">
        <f>MAX(0,$AK266-$W266-$Z266)</f>
        <v>0</v>
      </c>
      <c r="Y266" s="44"/>
      <c r="Z266" s="44"/>
      <c r="AA266" s="44">
        <v>0.13</v>
      </c>
      <c r="AB266" s="44">
        <f>IF(AND($X266&gt;0,ISNUMBER($AA266)),$X266*$AA266,0)</f>
        <v>0</v>
      </c>
      <c r="AK266" s="39">
        <f>SUM(AL266:AR266)</f>
        <v>0</v>
      </c>
      <c r="AL266" s="90"/>
      <c r="AM266" s="38"/>
      <c r="AN266" s="38"/>
      <c r="AO266" s="38"/>
      <c r="AP266" s="38"/>
      <c r="AQ266" s="38"/>
      <c r="AR266" s="91"/>
      <c r="AS266" s="42">
        <f>SUM(AT266:AZ266)</f>
        <v>0</v>
      </c>
      <c r="AT266" s="48"/>
      <c r="AU266" s="48"/>
      <c r="AV266" s="48"/>
      <c r="AW266" s="48"/>
      <c r="AX266" s="48"/>
      <c r="AY266" s="48"/>
      <c r="AZ266" s="48"/>
      <c r="BA266" s="43">
        <f>IF((W266-SUM(AT266:AZ266))&lt;0,0,W266-SUM(AT266:AZ266))</f>
        <v>1</v>
      </c>
      <c r="BB266" s="44"/>
      <c r="BC266" s="47"/>
      <c r="BD266" s="126"/>
    </row>
    <row r="267" spans="1:56" ht="15" customHeight="1">
      <c r="A267" s="49" t="s">
        <v>1431</v>
      </c>
      <c r="B267" s="39" t="s">
        <v>1203</v>
      </c>
      <c r="C267" s="46" t="s">
        <v>65</v>
      </c>
      <c r="D267" s="49" t="s">
        <v>84</v>
      </c>
      <c r="E267" s="49" t="s">
        <v>1432</v>
      </c>
      <c r="F267" s="39">
        <v>2</v>
      </c>
      <c r="G267" s="75" t="s">
        <v>1433</v>
      </c>
      <c r="H267" s="50" t="s">
        <v>172</v>
      </c>
      <c r="I267" s="50" t="s">
        <v>1434</v>
      </c>
      <c r="J267" s="50" t="s">
        <v>1435</v>
      </c>
      <c r="K267" s="50"/>
      <c r="L267" s="47"/>
      <c r="M267" s="47"/>
      <c r="N267" s="47"/>
      <c r="O267" s="47"/>
      <c r="P267" s="47"/>
      <c r="Q267" s="47"/>
      <c r="R267" s="47"/>
      <c r="S267" s="47"/>
      <c r="T267" s="47"/>
      <c r="U267" s="47"/>
      <c r="V267" s="50" t="s">
        <v>119</v>
      </c>
      <c r="W267" s="74">
        <v>1</v>
      </c>
      <c r="X267" s="39">
        <f>MAX(0,$AK267-$W267-$Z267)</f>
        <v>0</v>
      </c>
      <c r="Y267" s="39"/>
      <c r="Z267" s="39"/>
      <c r="AA267" s="41">
        <v>0.25</v>
      </c>
      <c r="AB267" s="41">
        <f>IF(AND($X267&gt;0,ISNUMBER($AA267)),$X267*$AA267,0)</f>
        <v>0</v>
      </c>
      <c r="AF267" s="63" t="s">
        <v>1420</v>
      </c>
      <c r="AK267" s="39">
        <f>SUM(AL267:AR267)</f>
        <v>1</v>
      </c>
      <c r="AL267" s="90"/>
      <c r="AM267" s="38"/>
      <c r="AN267" s="38"/>
      <c r="AO267" s="98">
        <v>1</v>
      </c>
      <c r="AP267" s="38"/>
      <c r="AQ267" s="38"/>
      <c r="AR267" s="91"/>
      <c r="AS267" s="42">
        <f>SUM(AT267:AZ267)</f>
        <v>1</v>
      </c>
      <c r="AT267" s="48"/>
      <c r="AU267" s="48"/>
      <c r="AV267" s="48"/>
      <c r="AW267" s="48">
        <v>1</v>
      </c>
      <c r="AX267" s="48"/>
      <c r="AY267" s="48"/>
      <c r="AZ267" s="48"/>
      <c r="BA267" s="43">
        <f>IF((W267-SUM(AT267:AZ267))&lt;0,0,W267-SUM(AT267:AZ267))</f>
        <v>0</v>
      </c>
      <c r="BB267" s="49"/>
      <c r="BC267" s="47"/>
      <c r="BD267" s="47"/>
    </row>
    <row r="268" spans="1:56" ht="15" customHeight="1">
      <c r="A268" s="49" t="s">
        <v>1441</v>
      </c>
      <c r="B268" s="39" t="s">
        <v>1203</v>
      </c>
      <c r="C268" s="46" t="s">
        <v>65</v>
      </c>
      <c r="D268" s="49" t="s">
        <v>84</v>
      </c>
      <c r="E268" s="49" t="s">
        <v>1442</v>
      </c>
      <c r="F268" s="39">
        <v>5</v>
      </c>
      <c r="G268" s="75" t="s">
        <v>1443</v>
      </c>
      <c r="H268" s="50" t="s">
        <v>238</v>
      </c>
      <c r="I268" s="50" t="s">
        <v>1444</v>
      </c>
      <c r="J268" s="50" t="s">
        <v>1445</v>
      </c>
      <c r="K268" s="50"/>
      <c r="L268" s="47"/>
      <c r="M268" s="47"/>
      <c r="N268" s="47"/>
      <c r="O268" s="68"/>
      <c r="P268" s="68"/>
      <c r="Q268" s="47"/>
      <c r="R268" s="47"/>
      <c r="S268" s="47"/>
      <c r="T268" s="68"/>
      <c r="U268" s="68"/>
      <c r="V268" s="50" t="s">
        <v>359</v>
      </c>
      <c r="W268" s="74">
        <v>1</v>
      </c>
      <c r="X268" s="39">
        <f>MAX(0,$AK268-$W268-$Z268)</f>
        <v>0</v>
      </c>
      <c r="Y268" s="39"/>
      <c r="Z268" s="39"/>
      <c r="AA268" s="41">
        <v>0.15</v>
      </c>
      <c r="AB268" s="41">
        <f>IF(AND($X268&gt;0,ISNUMBER($AA268)),$X268*$AA268,0)</f>
        <v>0</v>
      </c>
      <c r="AK268" s="39">
        <f>SUM(AL268:AR268)</f>
        <v>0</v>
      </c>
      <c r="AL268" s="90"/>
      <c r="AM268" s="38"/>
      <c r="AN268" s="38"/>
      <c r="AO268" s="38"/>
      <c r="AP268" s="38"/>
      <c r="AQ268" s="38"/>
      <c r="AR268" s="91"/>
      <c r="AS268" s="42">
        <f>SUM(AT268:AZ268)</f>
        <v>0</v>
      </c>
      <c r="AT268" s="48"/>
      <c r="AU268" s="48"/>
      <c r="AV268" s="48"/>
      <c r="AW268" s="48"/>
      <c r="AX268" s="48"/>
      <c r="AY268" s="48"/>
      <c r="AZ268" s="48"/>
      <c r="BA268" s="43">
        <f>IF((W268-SUM(AT268:AZ268))&lt;0,0,W268-SUM(AT268:AZ268))</f>
        <v>1</v>
      </c>
      <c r="BB268" s="49"/>
      <c r="BC268" s="47"/>
      <c r="BD268" s="47"/>
    </row>
    <row r="269" spans="1:56" ht="15" customHeight="1">
      <c r="A269" s="49" t="s">
        <v>1446</v>
      </c>
      <c r="B269" s="39" t="s">
        <v>1203</v>
      </c>
      <c r="C269" s="46" t="s">
        <v>65</v>
      </c>
      <c r="D269" s="49" t="s">
        <v>76</v>
      </c>
      <c r="E269" s="49"/>
      <c r="F269" s="39">
        <v>2</v>
      </c>
      <c r="G269" s="75" t="s">
        <v>1447</v>
      </c>
      <c r="H269" s="50" t="s">
        <v>162</v>
      </c>
      <c r="I269" s="50" t="s">
        <v>1448</v>
      </c>
      <c r="J269" s="50"/>
      <c r="K269" s="50"/>
      <c r="L269" s="47"/>
      <c r="M269" s="47"/>
      <c r="N269" s="47"/>
      <c r="O269" s="68"/>
      <c r="P269" s="68"/>
      <c r="Q269" s="47"/>
      <c r="R269" s="47"/>
      <c r="S269" s="47"/>
      <c r="T269" s="68"/>
      <c r="U269" s="68"/>
      <c r="V269" s="50" t="s">
        <v>119</v>
      </c>
      <c r="W269" s="74">
        <v>1</v>
      </c>
      <c r="X269" s="39">
        <f>MAX(0,$AK269-$W269-$Z269)</f>
        <v>0</v>
      </c>
      <c r="Y269" s="39"/>
      <c r="Z269" s="39"/>
      <c r="AA269" s="41">
        <v>0.28999999999999998</v>
      </c>
      <c r="AB269" s="41">
        <f>IF(AND($X269&gt;0,ISNUMBER($AA269)),$X269*$AA269,0)</f>
        <v>0</v>
      </c>
      <c r="AE269" t="s">
        <v>1449</v>
      </c>
      <c r="AI269" s="63"/>
      <c r="AK269" s="39">
        <f>SUM(AL269:AR269)</f>
        <v>1</v>
      </c>
      <c r="AL269" s="90"/>
      <c r="AM269" s="38"/>
      <c r="AN269" s="99">
        <v>1</v>
      </c>
      <c r="AO269" s="38"/>
      <c r="AP269" s="38"/>
      <c r="AQ269" s="38"/>
      <c r="AR269" s="91"/>
      <c r="AS269" s="42">
        <f>SUM(AT269:AZ269)</f>
        <v>1</v>
      </c>
      <c r="AT269" s="48"/>
      <c r="AU269" s="48"/>
      <c r="AV269" s="48">
        <v>1</v>
      </c>
      <c r="AW269" s="48"/>
      <c r="AX269" s="48"/>
      <c r="AY269" s="48"/>
      <c r="AZ269" s="48"/>
      <c r="BA269" s="43">
        <f>IF((W269-SUM(AT269:AZ269))&lt;0,0,W269-SUM(AT269:AZ269))</f>
        <v>0</v>
      </c>
      <c r="BB269" s="49"/>
      <c r="BC269" s="47"/>
      <c r="BD269" s="47"/>
    </row>
    <row r="270" spans="1:56" ht="15" customHeight="1">
      <c r="A270" s="49" t="s">
        <v>1450</v>
      </c>
      <c r="B270" s="39" t="s">
        <v>1203</v>
      </c>
      <c r="C270" s="46" t="s">
        <v>65</v>
      </c>
      <c r="D270" s="49" t="s">
        <v>134</v>
      </c>
      <c r="E270" s="49"/>
      <c r="F270" s="39">
        <v>4</v>
      </c>
      <c r="G270" s="75" t="s">
        <v>1451</v>
      </c>
      <c r="H270" s="50" t="s">
        <v>172</v>
      </c>
      <c r="I270" s="50" t="s">
        <v>1452</v>
      </c>
      <c r="J270" s="50" t="s">
        <v>1453</v>
      </c>
      <c r="K270" s="50"/>
      <c r="L270" s="47"/>
      <c r="M270" s="47"/>
      <c r="N270" s="47"/>
      <c r="O270" s="68"/>
      <c r="P270" s="68"/>
      <c r="Q270" s="47"/>
      <c r="R270" s="47"/>
      <c r="S270" s="47"/>
      <c r="T270" s="68"/>
      <c r="U270" s="68"/>
      <c r="V270" s="50" t="s">
        <v>261</v>
      </c>
      <c r="W270" s="74">
        <v>1</v>
      </c>
      <c r="X270" s="39">
        <f>MAX(0,$AK270-$W270-$Z270)</f>
        <v>0</v>
      </c>
      <c r="Y270" s="39"/>
      <c r="Z270" s="39"/>
      <c r="AA270" s="41">
        <v>0.36</v>
      </c>
      <c r="AB270" s="41">
        <f>IF(AND($X270&gt;0,ISNUMBER($AA270)),$X270*$AA270,0)</f>
        <v>0</v>
      </c>
      <c r="AK270" s="39">
        <f>SUM(AL270:AR270)</f>
        <v>0</v>
      </c>
      <c r="AL270" s="90"/>
      <c r="AM270" s="38"/>
      <c r="AN270" s="38"/>
      <c r="AO270" s="38"/>
      <c r="AP270" s="38"/>
      <c r="AQ270" s="38"/>
      <c r="AR270" s="91"/>
      <c r="AS270" s="42">
        <f>SUM(AT270:AZ270)</f>
        <v>0</v>
      </c>
      <c r="AT270" s="48"/>
      <c r="AU270" s="48"/>
      <c r="AV270" s="48"/>
      <c r="AW270" s="48"/>
      <c r="AX270" s="48"/>
      <c r="AY270" s="48"/>
      <c r="AZ270" s="48"/>
      <c r="BA270" s="43">
        <f>IF((W270-SUM(AT270:AZ270))&lt;0,0,W270-SUM(AT270:AZ270))</f>
        <v>1</v>
      </c>
      <c r="BB270" s="49"/>
      <c r="BC270" s="47"/>
      <c r="BD270" s="47"/>
    </row>
    <row r="271" spans="1:56" ht="15" customHeight="1">
      <c r="A271" s="49" t="s">
        <v>1465</v>
      </c>
      <c r="B271" s="39" t="s">
        <v>1203</v>
      </c>
      <c r="C271" s="46" t="s">
        <v>65</v>
      </c>
      <c r="D271" s="49" t="s">
        <v>134</v>
      </c>
      <c r="E271" s="49"/>
      <c r="F271" s="39">
        <v>2</v>
      </c>
      <c r="G271" s="75" t="s">
        <v>1466</v>
      </c>
      <c r="H271" s="50" t="s">
        <v>162</v>
      </c>
      <c r="I271" s="50" t="s">
        <v>1467</v>
      </c>
      <c r="J271" s="50"/>
      <c r="K271" s="50"/>
      <c r="L271" s="47"/>
      <c r="M271" s="47"/>
      <c r="N271" s="47"/>
      <c r="O271" s="68"/>
      <c r="P271" s="68"/>
      <c r="Q271" s="47"/>
      <c r="R271" s="47"/>
      <c r="S271" s="47"/>
      <c r="T271" s="68"/>
      <c r="U271" s="68"/>
      <c r="V271" s="50" t="s">
        <v>1468</v>
      </c>
      <c r="W271" s="74">
        <v>1</v>
      </c>
      <c r="X271" s="39">
        <f>MAX(0,$AK271-$W271-$Z271)</f>
        <v>0</v>
      </c>
      <c r="Y271" s="39"/>
      <c r="Z271" s="39"/>
      <c r="AA271" s="41">
        <v>0.3</v>
      </c>
      <c r="AB271" s="41">
        <f>IF(AND($X271&gt;0,ISNUMBER($AA271)),$X271*$AA271,0)</f>
        <v>0</v>
      </c>
      <c r="AE271" s="63"/>
      <c r="AK271" s="39">
        <f>SUM(AL271:AR271)</f>
        <v>0</v>
      </c>
      <c r="AL271" s="90"/>
      <c r="AM271" s="38"/>
      <c r="AN271" s="38"/>
      <c r="AO271" s="38"/>
      <c r="AP271" s="38"/>
      <c r="AQ271" s="38"/>
      <c r="AR271" s="91"/>
      <c r="AS271" s="42">
        <f>SUM(AT271:AZ271)</f>
        <v>0</v>
      </c>
      <c r="AT271" s="48"/>
      <c r="AU271" s="48"/>
      <c r="AV271" s="48"/>
      <c r="AW271" s="48"/>
      <c r="AX271" s="48"/>
      <c r="AY271" s="48"/>
      <c r="AZ271" s="48"/>
      <c r="BA271" s="43">
        <f>IF((W271-SUM(AT271:AZ271))&lt;0,0,W271-SUM(AT271:AZ271))</f>
        <v>1</v>
      </c>
      <c r="BB271" s="49"/>
      <c r="BC271" s="47"/>
      <c r="BD271" s="47"/>
    </row>
    <row r="272" spans="1:56" ht="15" customHeight="1">
      <c r="A272" s="49" t="s">
        <v>1469</v>
      </c>
      <c r="B272" s="39" t="s">
        <v>1203</v>
      </c>
      <c r="C272" s="46" t="s">
        <v>83</v>
      </c>
      <c r="D272" s="49" t="s">
        <v>134</v>
      </c>
      <c r="E272" s="49"/>
      <c r="F272" s="39">
        <v>2</v>
      </c>
      <c r="G272" s="75" t="s">
        <v>1470</v>
      </c>
      <c r="H272" s="50" t="s">
        <v>87</v>
      </c>
      <c r="I272" s="50" t="s">
        <v>1470</v>
      </c>
      <c r="J272" s="50"/>
      <c r="K272" s="50"/>
      <c r="L272" s="47"/>
      <c r="M272" s="47"/>
      <c r="N272" s="47"/>
      <c r="O272" s="47"/>
      <c r="P272" s="47"/>
      <c r="Q272" s="47"/>
      <c r="R272" s="47"/>
      <c r="S272" s="47"/>
      <c r="T272" s="47"/>
      <c r="U272" s="47"/>
      <c r="V272" s="50" t="s">
        <v>1471</v>
      </c>
      <c r="W272" s="74">
        <v>1</v>
      </c>
      <c r="X272" s="39">
        <f>MAX(0,$AK272-$W272-$Z272)</f>
        <v>0</v>
      </c>
      <c r="Y272" s="39"/>
      <c r="Z272" s="39"/>
      <c r="AA272" s="41">
        <v>2.4500000000000002</v>
      </c>
      <c r="AB272" s="41">
        <f>IF(AND($X272&gt;0,ISNUMBER($AA272)),$X272*$AA272,0)</f>
        <v>0</v>
      </c>
      <c r="AK272" s="39">
        <f>SUM(AL272:AR272)</f>
        <v>0</v>
      </c>
      <c r="AL272" s="90"/>
      <c r="AM272" s="38"/>
      <c r="AN272" s="38"/>
      <c r="AO272" s="38"/>
      <c r="AP272" s="38"/>
      <c r="AQ272" s="38"/>
      <c r="AR272" s="91"/>
      <c r="AS272" s="42">
        <f>SUM(AT272:AZ272)</f>
        <v>0</v>
      </c>
      <c r="AT272" s="48"/>
      <c r="AU272" s="48"/>
      <c r="AV272" s="48"/>
      <c r="AW272" s="48"/>
      <c r="AX272" s="48"/>
      <c r="AY272" s="48"/>
      <c r="AZ272" s="48"/>
      <c r="BA272" s="43">
        <f>IF((W272-SUM(AT272:AZ272))&lt;0,0,W272-SUM(AT272:AZ272))</f>
        <v>1</v>
      </c>
      <c r="BB272" s="49"/>
      <c r="BC272" s="47"/>
      <c r="BD272" s="47"/>
    </row>
    <row r="273" spans="1:56" ht="15" customHeight="1">
      <c r="A273" s="49" t="s">
        <v>1476</v>
      </c>
      <c r="B273" s="45" t="s">
        <v>1203</v>
      </c>
      <c r="C273" s="46" t="s">
        <v>65</v>
      </c>
      <c r="D273" s="44" t="s">
        <v>84</v>
      </c>
      <c r="E273" s="44" t="s">
        <v>1230</v>
      </c>
      <c r="F273" s="45">
        <v>6</v>
      </c>
      <c r="G273" s="75" t="s">
        <v>1477</v>
      </c>
      <c r="H273" s="44" t="s">
        <v>233</v>
      </c>
      <c r="I273" s="44" t="s">
        <v>1478</v>
      </c>
      <c r="J273" s="44" t="s">
        <v>1479</v>
      </c>
      <c r="K273" s="44"/>
      <c r="L273" s="47"/>
      <c r="M273" s="47"/>
      <c r="N273" s="47"/>
      <c r="O273" s="68"/>
      <c r="P273" s="68"/>
      <c r="Q273" s="47"/>
      <c r="R273" s="47"/>
      <c r="S273" s="47"/>
      <c r="T273" s="68"/>
      <c r="U273" s="68"/>
      <c r="V273" s="44" t="s">
        <v>167</v>
      </c>
      <c r="W273" s="74">
        <v>1</v>
      </c>
      <c r="X273" s="39">
        <f>MAX(0,$AK273-$W273-$Z273)</f>
        <v>0</v>
      </c>
      <c r="Y273" s="44"/>
      <c r="Z273" s="44"/>
      <c r="AA273" s="44">
        <v>0.13</v>
      </c>
      <c r="AB273" s="44">
        <f>IF(AND($X273&gt;0,ISNUMBER($AA273)),$X273*$AA273,0)</f>
        <v>0</v>
      </c>
      <c r="AK273" s="39">
        <f>SUM(AL273:AR273)</f>
        <v>0</v>
      </c>
      <c r="AL273" s="90"/>
      <c r="AM273" s="38"/>
      <c r="AN273" s="38"/>
      <c r="AO273" s="38"/>
      <c r="AP273" s="38"/>
      <c r="AQ273" s="38"/>
      <c r="AR273" s="91"/>
      <c r="AS273" s="42">
        <f>SUM(AT273:AZ273)</f>
        <v>0</v>
      </c>
      <c r="AT273" s="48"/>
      <c r="AU273" s="48"/>
      <c r="AV273" s="48"/>
      <c r="AW273" s="48"/>
      <c r="AX273" s="48"/>
      <c r="AY273" s="48"/>
      <c r="AZ273" s="48"/>
      <c r="BA273" s="43">
        <f>IF((W273-SUM(AT273:AZ273))&lt;0,0,W273-SUM(AT273:AZ273))</f>
        <v>1</v>
      </c>
      <c r="BB273" s="44"/>
      <c r="BC273" s="47"/>
      <c r="BD273" s="47"/>
    </row>
    <row r="274" spans="1:56" ht="15" customHeight="1">
      <c r="A274" s="49" t="s">
        <v>1480</v>
      </c>
      <c r="B274" s="39" t="s">
        <v>1203</v>
      </c>
      <c r="C274" s="46" t="s">
        <v>65</v>
      </c>
      <c r="D274" s="49" t="s">
        <v>256</v>
      </c>
      <c r="E274" s="49" t="s">
        <v>468</v>
      </c>
      <c r="F274" s="39">
        <v>2</v>
      </c>
      <c r="G274" s="75" t="s">
        <v>1481</v>
      </c>
      <c r="H274" s="50" t="s">
        <v>679</v>
      </c>
      <c r="I274" s="50" t="s">
        <v>1482</v>
      </c>
      <c r="J274" s="50" t="s">
        <v>1483</v>
      </c>
      <c r="K274" s="50"/>
      <c r="L274" s="47"/>
      <c r="M274" s="47"/>
      <c r="N274" s="47"/>
      <c r="O274" s="47"/>
      <c r="P274" s="47"/>
      <c r="Q274" s="47"/>
      <c r="R274" s="47"/>
      <c r="S274" s="47"/>
      <c r="T274" s="47"/>
      <c r="U274" s="47"/>
      <c r="V274" s="50" t="s">
        <v>208</v>
      </c>
      <c r="W274" s="74">
        <v>1</v>
      </c>
      <c r="X274" s="39">
        <f>MAX(0,$AK274-$W274-$Z274)</f>
        <v>0</v>
      </c>
      <c r="Y274" s="39"/>
      <c r="Z274" s="39"/>
      <c r="AA274" s="41">
        <v>0.15</v>
      </c>
      <c r="AB274" s="41">
        <f>IF(AND($X274&gt;0,ISNUMBER($AA274)),$X274*$AA274,0)</f>
        <v>0</v>
      </c>
      <c r="AE274" s="63" t="s">
        <v>1484</v>
      </c>
      <c r="AJ274" s="63"/>
      <c r="AK274" s="39">
        <f>SUM(AL274:AR274)</f>
        <v>1</v>
      </c>
      <c r="AL274" s="90"/>
      <c r="AM274" s="38"/>
      <c r="AN274" s="99">
        <v>1</v>
      </c>
      <c r="AO274" s="38"/>
      <c r="AP274" s="38"/>
      <c r="AQ274" s="38"/>
      <c r="AR274" s="91"/>
      <c r="AS274" s="42">
        <f>SUM(AT274:AZ274)</f>
        <v>1</v>
      </c>
      <c r="AT274" s="48"/>
      <c r="AU274" s="48"/>
      <c r="AV274" s="48">
        <v>1</v>
      </c>
      <c r="AW274" s="48"/>
      <c r="AX274" s="48"/>
      <c r="AY274" s="48"/>
      <c r="AZ274" s="48"/>
      <c r="BA274" s="43">
        <f>IF((W274-SUM(AT274:AZ274))&lt;0,0,W274-SUM(AT274:AZ274))</f>
        <v>0</v>
      </c>
      <c r="BB274" s="49"/>
      <c r="BC274" s="47"/>
      <c r="BD274" s="126"/>
    </row>
    <row r="275" spans="1:56" ht="15" customHeight="1">
      <c r="A275" s="44" t="s">
        <v>1485</v>
      </c>
      <c r="B275" s="45" t="s">
        <v>1203</v>
      </c>
      <c r="C275" s="46" t="s">
        <v>65</v>
      </c>
      <c r="D275" s="44" t="s">
        <v>84</v>
      </c>
      <c r="E275" s="44" t="s">
        <v>1422</v>
      </c>
      <c r="F275" s="45">
        <v>4</v>
      </c>
      <c r="G275" s="75" t="s">
        <v>1486</v>
      </c>
      <c r="H275" s="44" t="s">
        <v>238</v>
      </c>
      <c r="I275" s="44" t="s">
        <v>1487</v>
      </c>
      <c r="J275" s="44"/>
      <c r="K275" s="44"/>
      <c r="L275" s="47"/>
      <c r="M275" s="47"/>
      <c r="N275" s="47"/>
      <c r="O275" s="68"/>
      <c r="P275" s="68"/>
      <c r="Q275" s="47"/>
      <c r="R275" s="47"/>
      <c r="S275" s="47"/>
      <c r="T275" s="68"/>
      <c r="U275" s="68"/>
      <c r="V275" s="44" t="s">
        <v>167</v>
      </c>
      <c r="W275" s="74">
        <v>1</v>
      </c>
      <c r="X275" s="39">
        <f>MAX(0,$AK275-$W275-$Z275)</f>
        <v>0</v>
      </c>
      <c r="Y275" s="44"/>
      <c r="Z275" s="44"/>
      <c r="AA275" s="44">
        <v>0.15</v>
      </c>
      <c r="AB275" s="44">
        <f>IF(AND($X275&gt;0,ISNUMBER($AA275)),$X275*$AA275,0)</f>
        <v>0</v>
      </c>
      <c r="AK275" s="39">
        <f>SUM(AL275:AR275)</f>
        <v>0</v>
      </c>
      <c r="AL275" s="90"/>
      <c r="AM275" s="38"/>
      <c r="AN275" s="38"/>
      <c r="AO275" s="38"/>
      <c r="AP275" s="38"/>
      <c r="AQ275" s="38"/>
      <c r="AR275" s="91"/>
      <c r="AS275" s="42">
        <f>SUM(AT275:AZ275)</f>
        <v>0</v>
      </c>
      <c r="AT275" s="48"/>
      <c r="AU275" s="48"/>
      <c r="AV275" s="48"/>
      <c r="AW275" s="48"/>
      <c r="AX275" s="48"/>
      <c r="AY275" s="48"/>
      <c r="AZ275" s="48"/>
      <c r="BA275" s="43">
        <f>IF((W275-SUM(AT275:AZ275))&lt;0,0,W275-SUM(AT275:AZ275))</f>
        <v>1</v>
      </c>
      <c r="BB275" s="44"/>
      <c r="BC275" s="47"/>
      <c r="BD275" s="47"/>
    </row>
    <row r="276" spans="1:56" ht="15" customHeight="1">
      <c r="A276" s="49" t="s">
        <v>1488</v>
      </c>
      <c r="B276" s="39" t="s">
        <v>1203</v>
      </c>
      <c r="C276" s="46" t="s">
        <v>65</v>
      </c>
      <c r="D276" s="49" t="s">
        <v>76</v>
      </c>
      <c r="E276" s="49" t="s">
        <v>600</v>
      </c>
      <c r="F276" s="39">
        <v>2</v>
      </c>
      <c r="G276" s="75" t="s">
        <v>1489</v>
      </c>
      <c r="H276" s="50" t="s">
        <v>1268</v>
      </c>
      <c r="I276" s="50" t="s">
        <v>1490</v>
      </c>
      <c r="J276" s="50" t="s">
        <v>1491</v>
      </c>
      <c r="K276" s="50"/>
      <c r="L276" s="46"/>
      <c r="M276" s="46"/>
      <c r="N276" s="46"/>
      <c r="O276" s="68"/>
      <c r="P276" s="68"/>
      <c r="Q276" s="46"/>
      <c r="R276" s="46"/>
      <c r="S276" s="46"/>
      <c r="T276" s="68"/>
      <c r="U276" s="68"/>
      <c r="V276" s="50" t="s">
        <v>568</v>
      </c>
      <c r="W276" s="74">
        <v>3</v>
      </c>
      <c r="X276" s="39">
        <f>MAX(0,$AK276-$W276-$Z276)</f>
        <v>0</v>
      </c>
      <c r="Y276" s="39"/>
      <c r="Z276" s="39"/>
      <c r="AA276" s="41">
        <v>0.28000000000000003</v>
      </c>
      <c r="AB276" s="41">
        <f>IF(AND($X276&gt;0,ISNUMBER($AA276)),$X276*$AA276,0)</f>
        <v>0</v>
      </c>
      <c r="AK276" s="39">
        <f>SUM(AL276:AR276)</f>
        <v>2</v>
      </c>
      <c r="AL276" s="90"/>
      <c r="AM276" s="38"/>
      <c r="AN276" s="97">
        <v>1</v>
      </c>
      <c r="AO276" s="97">
        <v>1</v>
      </c>
      <c r="AP276" s="38"/>
      <c r="AQ276" s="38"/>
      <c r="AR276" s="91"/>
      <c r="AS276" s="42">
        <f>SUM(AT276:AZ276)</f>
        <v>2</v>
      </c>
      <c r="AT276" s="48"/>
      <c r="AU276" s="48"/>
      <c r="AV276" s="48">
        <v>1</v>
      </c>
      <c r="AW276" s="48">
        <v>1</v>
      </c>
      <c r="AX276" s="48"/>
      <c r="AY276" s="48"/>
      <c r="AZ276" s="48"/>
      <c r="BA276" s="43">
        <f>IF((W276-SUM(AT276:AZ276))&lt;0,0,W276-SUM(AT276:AZ276))</f>
        <v>1</v>
      </c>
      <c r="BB276" s="49"/>
      <c r="BC276" s="47"/>
      <c r="BD276" s="47"/>
    </row>
    <row r="277" spans="1:56" ht="15" customHeight="1">
      <c r="A277" s="49" t="s">
        <v>1495</v>
      </c>
      <c r="B277" s="39" t="s">
        <v>1203</v>
      </c>
      <c r="C277" s="46" t="s">
        <v>83</v>
      </c>
      <c r="D277" s="49" t="s">
        <v>178</v>
      </c>
      <c r="E277" s="49" t="s">
        <v>1496</v>
      </c>
      <c r="F277" s="39">
        <v>3</v>
      </c>
      <c r="G277" s="75" t="s">
        <v>1497</v>
      </c>
      <c r="H277" s="50" t="s">
        <v>87</v>
      </c>
      <c r="I277" s="50" t="s">
        <v>1498</v>
      </c>
      <c r="J277" s="50"/>
      <c r="K277" s="50"/>
      <c r="L277" s="47"/>
      <c r="M277" s="47"/>
      <c r="N277" s="47"/>
      <c r="O277" s="47"/>
      <c r="P277" s="47"/>
      <c r="Q277" s="47"/>
      <c r="R277" s="47"/>
      <c r="S277" s="47"/>
      <c r="T277" s="47"/>
      <c r="U277" s="47"/>
      <c r="V277" s="50" t="s">
        <v>1499</v>
      </c>
      <c r="W277" s="74">
        <v>0</v>
      </c>
      <c r="X277" s="39">
        <f>MAX(0,$AK277-$W277-$Z277)</f>
        <v>0</v>
      </c>
      <c r="Y277" s="39"/>
      <c r="Z277" s="39"/>
      <c r="AA277" s="41">
        <v>5.32</v>
      </c>
      <c r="AB277" s="41">
        <f>IF(AND($X277&gt;0,ISNUMBER($AA277)),$X277*$AA277,0)</f>
        <v>0</v>
      </c>
      <c r="AC277" s="59"/>
      <c r="AD277" s="59"/>
      <c r="AE277" s="59"/>
      <c r="AF277" s="59"/>
      <c r="AG277" s="59"/>
      <c r="AH277" s="59"/>
      <c r="AI277" s="59"/>
      <c r="AJ277" s="59"/>
      <c r="AK277" s="39">
        <f>SUM(AL277:AR277)</f>
        <v>0</v>
      </c>
      <c r="AL277" s="114"/>
      <c r="AM277" s="43"/>
      <c r="AN277" s="43"/>
      <c r="AO277" s="43"/>
      <c r="AP277" s="43"/>
      <c r="AQ277" s="43"/>
      <c r="AR277" s="116"/>
      <c r="AS277" s="42">
        <f>SUM(AT277:AZ277)</f>
        <v>0</v>
      </c>
      <c r="AT277" s="48"/>
      <c r="AU277" s="48"/>
      <c r="AV277" s="48"/>
      <c r="AW277" s="48"/>
      <c r="AX277" s="48"/>
      <c r="AY277" s="48"/>
      <c r="AZ277" s="48"/>
      <c r="BA277" s="43">
        <f>IF((W277-SUM(AT277:AZ277))&lt;0,0,W277-SUM(AT277:AZ277))</f>
        <v>0</v>
      </c>
      <c r="BB277" s="49"/>
      <c r="BC277" s="47"/>
      <c r="BD277" s="47"/>
    </row>
    <row r="278" spans="1:56" ht="15" customHeight="1">
      <c r="A278" s="49" t="s">
        <v>1500</v>
      </c>
      <c r="B278" s="39" t="s">
        <v>1203</v>
      </c>
      <c r="C278" s="46" t="s">
        <v>65</v>
      </c>
      <c r="D278" s="49" t="s">
        <v>84</v>
      </c>
      <c r="E278" s="49" t="s">
        <v>1501</v>
      </c>
      <c r="F278" s="39">
        <v>5</v>
      </c>
      <c r="G278" s="75" t="s">
        <v>1502</v>
      </c>
      <c r="H278" s="50" t="s">
        <v>845</v>
      </c>
      <c r="I278" s="50" t="s">
        <v>1503</v>
      </c>
      <c r="J278" s="50"/>
      <c r="K278" s="50"/>
      <c r="L278" s="47"/>
      <c r="M278" s="47"/>
      <c r="N278" s="47"/>
      <c r="O278" s="47"/>
      <c r="P278" s="47"/>
      <c r="Q278" s="47"/>
      <c r="R278" s="47"/>
      <c r="S278" s="47"/>
      <c r="T278" s="47"/>
      <c r="U278" s="47"/>
      <c r="V278" s="50" t="s">
        <v>660</v>
      </c>
      <c r="W278" s="74">
        <v>1</v>
      </c>
      <c r="X278" s="39">
        <f>MAX(0,$AK278-$W278-$Z278)</f>
        <v>0</v>
      </c>
      <c r="Y278" s="39" t="s">
        <v>265</v>
      </c>
      <c r="Z278" s="39">
        <v>1</v>
      </c>
      <c r="AA278" s="41">
        <v>0.22</v>
      </c>
      <c r="AB278" s="41">
        <f>IF(AND($X278&gt;0,ISNUMBER($AA278)),$X278*$AA278,0)</f>
        <v>0</v>
      </c>
      <c r="AE278" s="63"/>
      <c r="AJ278" s="106">
        <v>1</v>
      </c>
      <c r="AK278" s="39">
        <f>SUM(AL278:AR278)</f>
        <v>1</v>
      </c>
      <c r="AL278" s="90"/>
      <c r="AM278" s="38"/>
      <c r="AN278" s="97">
        <v>1</v>
      </c>
      <c r="AO278" s="38"/>
      <c r="AP278" s="38"/>
      <c r="AQ278" s="38"/>
      <c r="AR278" s="91"/>
      <c r="AS278" s="42">
        <f>SUM(AT278:AZ278)</f>
        <v>1</v>
      </c>
      <c r="AT278" s="48"/>
      <c r="AU278" s="48"/>
      <c r="AV278" s="48">
        <v>1</v>
      </c>
      <c r="AW278" s="48"/>
      <c r="AX278" s="48"/>
      <c r="AY278" s="48"/>
      <c r="AZ278" s="48"/>
      <c r="BA278" s="43">
        <f>IF((W278-SUM(AT278:AZ278))&lt;0,0,W278-SUM(AT278:AZ278))</f>
        <v>0</v>
      </c>
      <c r="BB278" s="49"/>
      <c r="BC278" s="47"/>
      <c r="BD278" s="47"/>
    </row>
    <row r="279" spans="1:56" ht="15" customHeight="1">
      <c r="A279" s="49" t="s">
        <v>1504</v>
      </c>
      <c r="B279" s="39" t="s">
        <v>1203</v>
      </c>
      <c r="C279" s="46" t="s">
        <v>65</v>
      </c>
      <c r="D279" s="49" t="s">
        <v>84</v>
      </c>
      <c r="E279" s="49" t="s">
        <v>1505</v>
      </c>
      <c r="F279" s="39">
        <v>1</v>
      </c>
      <c r="G279" s="75" t="s">
        <v>1506</v>
      </c>
      <c r="H279" s="50" t="s">
        <v>1239</v>
      </c>
      <c r="I279" s="50" t="s">
        <v>1507</v>
      </c>
      <c r="J279" s="50" t="s">
        <v>1508</v>
      </c>
      <c r="K279" s="50"/>
      <c r="L279" s="47"/>
      <c r="M279" s="47"/>
      <c r="N279" s="47"/>
      <c r="O279" s="68"/>
      <c r="P279" s="68"/>
      <c r="Q279" s="47"/>
      <c r="R279" s="47"/>
      <c r="S279" s="47"/>
      <c r="T279" s="68"/>
      <c r="U279" s="68"/>
      <c r="V279" s="50" t="s">
        <v>779</v>
      </c>
      <c r="W279" s="74">
        <v>2</v>
      </c>
      <c r="X279" s="39">
        <f>MAX(0,$AK279-$W279-$Z279)</f>
        <v>0</v>
      </c>
      <c r="Y279" s="39"/>
      <c r="Z279" s="39"/>
      <c r="AA279" s="41">
        <v>0.22</v>
      </c>
      <c r="AB279" s="41">
        <f>IF(AND($X279&gt;0,ISNUMBER($AA279)),$X279*$AA279,0)</f>
        <v>0</v>
      </c>
      <c r="AF279" s="63"/>
      <c r="AK279" s="39">
        <f>SUM(AL279:AR279)</f>
        <v>1</v>
      </c>
      <c r="AL279" s="90"/>
      <c r="AM279" s="38"/>
      <c r="AN279" s="38"/>
      <c r="AO279" s="97">
        <v>1</v>
      </c>
      <c r="AP279" s="38"/>
      <c r="AQ279" s="38"/>
      <c r="AR279" s="91"/>
      <c r="AS279" s="42">
        <f>SUM(AT279:AZ279)</f>
        <v>1</v>
      </c>
      <c r="AT279" s="48"/>
      <c r="AU279" s="48"/>
      <c r="AV279" s="48"/>
      <c r="AW279" s="48">
        <v>1</v>
      </c>
      <c r="AX279" s="48"/>
      <c r="AY279" s="48"/>
      <c r="AZ279" s="48"/>
      <c r="BA279" s="43">
        <f>IF((W279-SUM(AT279:AZ279))&lt;0,0,W279-SUM(AT279:AZ279))</f>
        <v>1</v>
      </c>
      <c r="BB279" s="49"/>
      <c r="BC279" s="47"/>
      <c r="BD279" s="126"/>
    </row>
    <row r="280" spans="1:56" ht="15" customHeight="1">
      <c r="A280" s="44" t="s">
        <v>1509</v>
      </c>
      <c r="B280" s="45" t="s">
        <v>1203</v>
      </c>
      <c r="C280" s="46" t="s">
        <v>65</v>
      </c>
      <c r="D280" s="44" t="s">
        <v>76</v>
      </c>
      <c r="E280" s="44"/>
      <c r="F280" s="45">
        <v>2</v>
      </c>
      <c r="G280" s="75" t="s">
        <v>1510</v>
      </c>
      <c r="H280" s="44" t="s">
        <v>78</v>
      </c>
      <c r="I280" s="44" t="s">
        <v>1511</v>
      </c>
      <c r="J280" s="44"/>
      <c r="K280" s="44"/>
      <c r="L280" s="47"/>
      <c r="M280" s="47"/>
      <c r="N280" s="47"/>
      <c r="O280" s="68"/>
      <c r="P280" s="68"/>
      <c r="Q280" s="47"/>
      <c r="R280" s="47"/>
      <c r="S280" s="47"/>
      <c r="T280" s="68"/>
      <c r="U280" s="68"/>
      <c r="V280" s="44" t="s">
        <v>167</v>
      </c>
      <c r="W280" s="74">
        <v>2</v>
      </c>
      <c r="X280" s="39">
        <f>MAX(0,$AK280-$W280-$Z280)</f>
        <v>0</v>
      </c>
      <c r="Y280" s="44"/>
      <c r="Z280" s="44"/>
      <c r="AA280" s="44">
        <v>0.1</v>
      </c>
      <c r="AB280" s="44">
        <f>IF(AND($X280&gt;0,ISNUMBER($AA280)),$X280*$AA280,0)</f>
        <v>0</v>
      </c>
      <c r="AI280" s="63"/>
      <c r="AJ280" s="63"/>
      <c r="AK280" s="39">
        <f>SUM(AL280:AR280)</f>
        <v>0</v>
      </c>
      <c r="AL280" s="90"/>
      <c r="AM280" s="38"/>
      <c r="AN280" s="38"/>
      <c r="AO280" s="38"/>
      <c r="AP280" s="38"/>
      <c r="AQ280" s="38"/>
      <c r="AR280" s="91"/>
      <c r="AS280" s="42">
        <f>SUM(AT280:AZ280)</f>
        <v>0</v>
      </c>
      <c r="AT280" s="48"/>
      <c r="AU280" s="48"/>
      <c r="AV280" s="48"/>
      <c r="AW280" s="48"/>
      <c r="AX280" s="48"/>
      <c r="AY280" s="48"/>
      <c r="AZ280" s="48"/>
      <c r="BA280" s="43">
        <f>IF((W280-SUM(AT280:AZ280))&lt;0,0,W280-SUM(AT280:AZ280))</f>
        <v>2</v>
      </c>
      <c r="BB280" s="44"/>
      <c r="BC280" s="47"/>
      <c r="BD280" s="47"/>
    </row>
    <row r="281" spans="1:56" ht="15" customHeight="1">
      <c r="A281" s="44" t="s">
        <v>1512</v>
      </c>
      <c r="B281" s="45" t="s">
        <v>1203</v>
      </c>
      <c r="C281" s="46" t="s">
        <v>65</v>
      </c>
      <c r="D281" s="44" t="s">
        <v>134</v>
      </c>
      <c r="E281" s="44"/>
      <c r="F281" s="45">
        <v>2</v>
      </c>
      <c r="G281" s="75" t="s">
        <v>1513</v>
      </c>
      <c r="H281" s="44" t="s">
        <v>172</v>
      </c>
      <c r="I281" s="44" t="s">
        <v>1514</v>
      </c>
      <c r="J281" s="44"/>
      <c r="K281" s="44"/>
      <c r="L281" s="108"/>
      <c r="M281" s="46"/>
      <c r="N281" s="46"/>
      <c r="O281" s="68"/>
      <c r="P281" s="110"/>
      <c r="Q281" s="108"/>
      <c r="R281" s="46"/>
      <c r="S281" s="46"/>
      <c r="T281" s="68"/>
      <c r="U281" s="111"/>
      <c r="V281" s="44" t="s">
        <v>1515</v>
      </c>
      <c r="W281" s="74">
        <v>0</v>
      </c>
      <c r="X281" s="39">
        <f>MAX(0,$AK281-$W281-$Z281)</f>
        <v>0</v>
      </c>
      <c r="Y281" s="44"/>
      <c r="Z281" s="44"/>
      <c r="AA281" s="44">
        <v>0.62</v>
      </c>
      <c r="AB281" s="44">
        <f>IF(AND($X281&gt;0,ISNUMBER($AA281)),$X281*$AA281,0)</f>
        <v>0</v>
      </c>
      <c r="AK281" s="39">
        <f>SUM(AL281:AR281)</f>
        <v>0</v>
      </c>
      <c r="AL281" s="90"/>
      <c r="AM281" s="38"/>
      <c r="AN281" s="38"/>
      <c r="AO281" s="38"/>
      <c r="AP281" s="38"/>
      <c r="AQ281" s="38"/>
      <c r="AR281" s="91"/>
      <c r="AS281" s="42">
        <f>SUM(AT281:AZ281)</f>
        <v>0</v>
      </c>
      <c r="AT281" s="48"/>
      <c r="AU281" s="48"/>
      <c r="AV281" s="48"/>
      <c r="AW281" s="48"/>
      <c r="AX281" s="48"/>
      <c r="AY281" s="48"/>
      <c r="AZ281" s="48"/>
      <c r="BA281" s="43">
        <f>IF((W281-SUM(AT281:AZ281))&lt;0,0,W281-SUM(AT281:AZ281))</f>
        <v>0</v>
      </c>
      <c r="BB281" s="44"/>
      <c r="BC281" s="47"/>
      <c r="BD281" s="47"/>
    </row>
    <row r="282" spans="1:56" ht="15" customHeight="1">
      <c r="A282" s="49" t="s">
        <v>1516</v>
      </c>
      <c r="B282" s="39" t="s">
        <v>1203</v>
      </c>
      <c r="C282" s="46" t="s">
        <v>65</v>
      </c>
      <c r="D282" s="49" t="s">
        <v>84</v>
      </c>
      <c r="E282" s="49" t="s">
        <v>1517</v>
      </c>
      <c r="F282" s="39">
        <v>4</v>
      </c>
      <c r="G282" s="75" t="s">
        <v>1518</v>
      </c>
      <c r="H282" s="50" t="s">
        <v>153</v>
      </c>
      <c r="I282" s="50" t="s">
        <v>1519</v>
      </c>
      <c r="J282" s="50" t="s">
        <v>1520</v>
      </c>
      <c r="K282" s="50"/>
      <c r="L282" s="47"/>
      <c r="M282" s="47"/>
      <c r="N282" s="47"/>
      <c r="O282" s="47"/>
      <c r="P282" s="47"/>
      <c r="Q282" s="47"/>
      <c r="R282" s="47"/>
      <c r="S282" s="47"/>
      <c r="T282" s="47"/>
      <c r="U282" s="47"/>
      <c r="V282" s="50" t="s">
        <v>1216</v>
      </c>
      <c r="W282" s="74">
        <v>0</v>
      </c>
      <c r="X282" s="39">
        <f>MAX(0,$AK282-$W282-$Z282)</f>
        <v>0</v>
      </c>
      <c r="Y282" s="39" t="s">
        <v>1311</v>
      </c>
      <c r="Z282" s="39">
        <v>1</v>
      </c>
      <c r="AA282" s="41">
        <v>0.31</v>
      </c>
      <c r="AB282" s="41">
        <f>IF(AND($X282&gt;0,ISNUMBER($AA282)),$X282*$AA282,0)</f>
        <v>0</v>
      </c>
      <c r="AC282" s="59"/>
      <c r="AD282" s="59"/>
      <c r="AE282" s="59"/>
      <c r="AF282" s="59"/>
      <c r="AG282" s="59"/>
      <c r="AH282" s="59"/>
      <c r="AI282" s="59"/>
      <c r="AJ282" s="59"/>
      <c r="AK282" s="39">
        <f>SUM(AL282:AR282)</f>
        <v>0</v>
      </c>
      <c r="AL282" s="114"/>
      <c r="AM282" s="43"/>
      <c r="AN282" s="43"/>
      <c r="AO282" s="43"/>
      <c r="AP282" s="43"/>
      <c r="AQ282" s="43"/>
      <c r="AR282" s="116"/>
      <c r="AS282" s="42">
        <f>SUM(AT282:AZ282)</f>
        <v>0</v>
      </c>
      <c r="AT282" s="48"/>
      <c r="AU282" s="48"/>
      <c r="AV282" s="48"/>
      <c r="AW282" s="48"/>
      <c r="AX282" s="48"/>
      <c r="AY282" s="48"/>
      <c r="AZ282" s="48"/>
      <c r="BA282" s="43">
        <f>IF((W282-SUM(AT282:AZ282))&lt;0,0,W282-SUM(AT282:AZ282))</f>
        <v>0</v>
      </c>
      <c r="BB282" s="49"/>
      <c r="BC282" s="47"/>
      <c r="BD282" s="47"/>
    </row>
    <row r="283" spans="1:56" ht="15" customHeight="1">
      <c r="A283" s="49" t="s">
        <v>1521</v>
      </c>
      <c r="B283" s="39" t="s">
        <v>1203</v>
      </c>
      <c r="C283" s="46" t="s">
        <v>65</v>
      </c>
      <c r="D283" s="49" t="s">
        <v>84</v>
      </c>
      <c r="E283" s="49" t="s">
        <v>1522</v>
      </c>
      <c r="F283" s="39">
        <v>2</v>
      </c>
      <c r="G283" s="75" t="s">
        <v>1523</v>
      </c>
      <c r="H283" s="50" t="s">
        <v>679</v>
      </c>
      <c r="I283" s="50" t="s">
        <v>1524</v>
      </c>
      <c r="J283" s="50" t="s">
        <v>1525</v>
      </c>
      <c r="K283" s="50"/>
      <c r="L283" s="47"/>
      <c r="M283" s="47"/>
      <c r="N283" s="47"/>
      <c r="O283" s="68"/>
      <c r="P283" s="68"/>
      <c r="Q283" s="47"/>
      <c r="R283" s="47"/>
      <c r="S283" s="47"/>
      <c r="T283" s="68"/>
      <c r="U283" s="68"/>
      <c r="V283" s="50" t="s">
        <v>568</v>
      </c>
      <c r="W283" s="74">
        <v>1</v>
      </c>
      <c r="X283" s="39">
        <f>MAX(0,$AK283-$W283-$Z283)</f>
        <v>0</v>
      </c>
      <c r="Y283" s="39"/>
      <c r="Z283" s="39"/>
      <c r="AA283" s="41">
        <v>0.08</v>
      </c>
      <c r="AB283" s="41">
        <f>IF(AND($X283&gt;0,ISNUMBER($AA283)),$X283*$AA283,0)</f>
        <v>0</v>
      </c>
      <c r="AK283" s="39">
        <f>SUM(AL283:AR283)</f>
        <v>0</v>
      </c>
      <c r="AL283" s="90"/>
      <c r="AM283" s="38"/>
      <c r="AN283" s="38"/>
      <c r="AO283" s="38"/>
      <c r="AP283" s="38"/>
      <c r="AQ283" s="38"/>
      <c r="AR283" s="91"/>
      <c r="AS283" s="42">
        <f>SUM(AT283:AZ283)</f>
        <v>0</v>
      </c>
      <c r="AT283" s="48"/>
      <c r="AU283" s="48"/>
      <c r="AV283" s="48"/>
      <c r="AW283" s="48"/>
      <c r="AX283" s="48"/>
      <c r="AY283" s="48"/>
      <c r="AZ283" s="48"/>
      <c r="BA283" s="43">
        <f>IF((W283-SUM(AT283:AZ283))&lt;0,0,W283-SUM(AT283:AZ283))</f>
        <v>1</v>
      </c>
      <c r="BB283" s="49"/>
      <c r="BC283" s="47"/>
      <c r="BD283" s="47"/>
    </row>
    <row r="284" spans="1:56" ht="15" customHeight="1">
      <c r="A284" s="49" t="s">
        <v>1526</v>
      </c>
      <c r="B284" s="39" t="s">
        <v>1203</v>
      </c>
      <c r="C284" s="46" t="s">
        <v>65</v>
      </c>
      <c r="D284" s="49" t="s">
        <v>84</v>
      </c>
      <c r="E284" s="49" t="s">
        <v>1301</v>
      </c>
      <c r="F284" s="39">
        <v>3</v>
      </c>
      <c r="G284" s="75" t="s">
        <v>1527</v>
      </c>
      <c r="H284" s="50" t="s">
        <v>1268</v>
      </c>
      <c r="I284" s="50" t="s">
        <v>1528</v>
      </c>
      <c r="J284" s="50"/>
      <c r="K284" s="50"/>
      <c r="L284" s="46"/>
      <c r="M284" s="46"/>
      <c r="N284" s="46"/>
      <c r="O284" s="46"/>
      <c r="P284" s="46"/>
      <c r="Q284" s="46"/>
      <c r="R284" s="46"/>
      <c r="S284" s="46"/>
      <c r="T284" s="46"/>
      <c r="U284" s="46"/>
      <c r="V284" s="50" t="s">
        <v>860</v>
      </c>
      <c r="W284" s="74">
        <v>1</v>
      </c>
      <c r="X284" s="39">
        <f>MAX(0,$AK284-$W284-$Z284)</f>
        <v>0</v>
      </c>
      <c r="Y284" s="39"/>
      <c r="Z284" s="39"/>
      <c r="AA284" s="41">
        <v>0.35</v>
      </c>
      <c r="AB284" s="41">
        <f>IF(AND($X284&gt;0,ISNUMBER($AA284)),$X284*$AA284,0)</f>
        <v>0</v>
      </c>
      <c r="AK284" s="39">
        <f>SUM(AL284:AR284)</f>
        <v>1</v>
      </c>
      <c r="AL284" s="90"/>
      <c r="AM284" s="97">
        <v>1</v>
      </c>
      <c r="AN284" s="38"/>
      <c r="AO284" s="38"/>
      <c r="AP284" s="38"/>
      <c r="AQ284" s="38"/>
      <c r="AR284" s="91"/>
      <c r="AS284" s="42">
        <f>SUM(AT284:AZ284)</f>
        <v>1</v>
      </c>
      <c r="AT284" s="48"/>
      <c r="AU284" s="48">
        <v>1</v>
      </c>
      <c r="AV284" s="48"/>
      <c r="AW284" s="48"/>
      <c r="AX284" s="48"/>
      <c r="AY284" s="48"/>
      <c r="AZ284" s="48"/>
      <c r="BA284" s="43">
        <f>IF((W284-SUM(AT284:AZ284))&lt;0,0,W284-SUM(AT284:AZ284))</f>
        <v>0</v>
      </c>
      <c r="BB284" s="49"/>
      <c r="BC284" s="47"/>
      <c r="BD284" s="47"/>
    </row>
    <row r="285" spans="1:56" ht="15" customHeight="1">
      <c r="A285" s="35" t="s">
        <v>1529</v>
      </c>
      <c r="B285" s="36" t="s">
        <v>1203</v>
      </c>
      <c r="C285" s="38" t="s">
        <v>65</v>
      </c>
      <c r="D285" s="35" t="s">
        <v>76</v>
      </c>
      <c r="E285" s="35"/>
      <c r="F285" s="36">
        <v>1</v>
      </c>
      <c r="G285" s="75" t="s">
        <v>1530</v>
      </c>
      <c r="H285" s="35" t="s">
        <v>227</v>
      </c>
      <c r="I285" s="35" t="s">
        <v>1531</v>
      </c>
      <c r="J285" s="35" t="s">
        <v>1532</v>
      </c>
      <c r="K285" s="35"/>
      <c r="L285" s="109" t="s">
        <v>1533</v>
      </c>
      <c r="M285" s="38">
        <v>1</v>
      </c>
      <c r="N285" s="38">
        <v>0</v>
      </c>
      <c r="O285" s="68" t="s">
        <v>1534</v>
      </c>
      <c r="P285" s="110">
        <v>0.28999999999999998</v>
      </c>
      <c r="Q285" s="37"/>
      <c r="R285" s="37"/>
      <c r="S285" s="37"/>
      <c r="T285" s="68"/>
      <c r="U285" s="68"/>
      <c r="V285" s="35" t="s">
        <v>235</v>
      </c>
      <c r="W285" s="74">
        <v>1</v>
      </c>
      <c r="X285" s="39">
        <f>MAX(0,$AK285-$W285-$Z285)</f>
        <v>0</v>
      </c>
      <c r="Y285" s="35"/>
      <c r="Z285" s="35"/>
      <c r="AA285" s="40">
        <v>0.28999999999999998</v>
      </c>
      <c r="AB285" s="41">
        <f>IF(AND($X285&gt;0,ISNUMBER($AA285)),$X285*$AA285,0)</f>
        <v>0</v>
      </c>
      <c r="AK285" s="39">
        <f>SUM(AL285:AR285)</f>
        <v>0</v>
      </c>
      <c r="AL285" s="90"/>
      <c r="AM285" s="38"/>
      <c r="AN285" s="38"/>
      <c r="AO285" s="38"/>
      <c r="AP285" s="38"/>
      <c r="AQ285" s="38"/>
      <c r="AR285" s="91"/>
      <c r="AS285" s="42">
        <f>SUM(AT285:AZ285)</f>
        <v>0</v>
      </c>
      <c r="AT285" s="48"/>
      <c r="AU285" s="48"/>
      <c r="AV285" s="48"/>
      <c r="AW285" s="48"/>
      <c r="AX285" s="48"/>
      <c r="AY285" s="48"/>
      <c r="AZ285" s="48"/>
      <c r="BA285" s="43">
        <f>IF((W285-SUM(AT285:AZ285))&lt;0,0,W285-SUM(AT285:AZ285))</f>
        <v>1</v>
      </c>
      <c r="BB285" s="35"/>
      <c r="BC285" s="37"/>
      <c r="BD285" s="37"/>
    </row>
    <row r="286" spans="1:56" ht="15" customHeight="1">
      <c r="A286" s="49" t="s">
        <v>1535</v>
      </c>
      <c r="B286" s="39" t="s">
        <v>1203</v>
      </c>
      <c r="C286" s="46" t="s">
        <v>65</v>
      </c>
      <c r="D286" s="49" t="s">
        <v>84</v>
      </c>
      <c r="E286" s="49" t="s">
        <v>1536</v>
      </c>
      <c r="F286" s="39">
        <v>1</v>
      </c>
      <c r="G286" s="75" t="s">
        <v>1537</v>
      </c>
      <c r="H286" s="50" t="s">
        <v>1239</v>
      </c>
      <c r="I286" s="50" t="s">
        <v>853</v>
      </c>
      <c r="J286" s="50" t="s">
        <v>1538</v>
      </c>
      <c r="K286" s="50"/>
      <c r="L286" s="47"/>
      <c r="M286" s="47"/>
      <c r="N286" s="47"/>
      <c r="O286" s="47"/>
      <c r="P286" s="47"/>
      <c r="Q286" s="47"/>
      <c r="R286" s="47"/>
      <c r="S286" s="47"/>
      <c r="T286" s="47"/>
      <c r="U286" s="47"/>
      <c r="V286" s="50" t="s">
        <v>145</v>
      </c>
      <c r="W286" s="74">
        <v>0</v>
      </c>
      <c r="X286" s="39">
        <f>MAX(0,$AK286-$W286-$Z286)</f>
        <v>0</v>
      </c>
      <c r="Y286" s="39"/>
      <c r="Z286" s="39"/>
      <c r="AA286" s="41">
        <v>0.27</v>
      </c>
      <c r="AB286" s="41">
        <f>IF(AND($X286&gt;0,ISNUMBER($AA286)),$X286*$AA286,0)</f>
        <v>0</v>
      </c>
      <c r="AC286" s="59"/>
      <c r="AD286" s="59"/>
      <c r="AE286" s="59"/>
      <c r="AF286" s="59"/>
      <c r="AG286" s="59"/>
      <c r="AH286" s="59"/>
      <c r="AI286" s="59"/>
      <c r="AJ286" s="59"/>
      <c r="AK286" s="39">
        <f>SUM(AL286:AR286)</f>
        <v>0</v>
      </c>
      <c r="AL286" s="114"/>
      <c r="AM286" s="43"/>
      <c r="AN286" s="43"/>
      <c r="AO286" s="43"/>
      <c r="AP286" s="43"/>
      <c r="AQ286" s="43"/>
      <c r="AR286" s="116"/>
      <c r="AS286" s="42">
        <f>SUM(AT286:AZ286)</f>
        <v>0</v>
      </c>
      <c r="AT286" s="48"/>
      <c r="AU286" s="48"/>
      <c r="AV286" s="48"/>
      <c r="AW286" s="48"/>
      <c r="AX286" s="48"/>
      <c r="AY286" s="48"/>
      <c r="AZ286" s="48"/>
      <c r="BA286" s="43">
        <f>IF((W286-SUM(AT286:AZ286))&lt;0,0,W286-SUM(AT286:AZ286))</f>
        <v>0</v>
      </c>
      <c r="BB286" s="49"/>
      <c r="BC286" s="47"/>
      <c r="BD286" s="53"/>
    </row>
    <row r="287" spans="1:56" ht="15" customHeight="1">
      <c r="A287" s="49" t="s">
        <v>1539</v>
      </c>
      <c r="B287" s="39" t="s">
        <v>1203</v>
      </c>
      <c r="C287" s="46" t="s">
        <v>65</v>
      </c>
      <c r="D287" s="49" t="s">
        <v>84</v>
      </c>
      <c r="E287" s="49" t="s">
        <v>1540</v>
      </c>
      <c r="F287" s="39">
        <v>2</v>
      </c>
      <c r="G287" s="75" t="s">
        <v>1541</v>
      </c>
      <c r="H287" s="50" t="s">
        <v>162</v>
      </c>
      <c r="I287" s="50" t="s">
        <v>1542</v>
      </c>
      <c r="J287" s="50"/>
      <c r="K287" s="50"/>
      <c r="L287" s="46"/>
      <c r="M287" s="46"/>
      <c r="N287" s="46"/>
      <c r="O287" s="46"/>
      <c r="P287" s="46"/>
      <c r="Q287" s="46"/>
      <c r="R287" s="46"/>
      <c r="S287" s="46"/>
      <c r="T287" s="46"/>
      <c r="U287" s="46"/>
      <c r="V287" s="50" t="s">
        <v>900</v>
      </c>
      <c r="W287" s="74">
        <v>1</v>
      </c>
      <c r="X287" s="39">
        <f>MAX(0,$AK287-$W287-$Z287)</f>
        <v>0</v>
      </c>
      <c r="Y287" s="39"/>
      <c r="Z287" s="39"/>
      <c r="AA287" s="41">
        <v>0.23</v>
      </c>
      <c r="AB287" s="41">
        <f>IF(AND($X287&gt;0,ISNUMBER($AA287)),$X287*$AA287,0)</f>
        <v>0</v>
      </c>
      <c r="AD287" s="63"/>
      <c r="AK287" s="39">
        <f>SUM(AL287:AR287)</f>
        <v>1</v>
      </c>
      <c r="AL287" s="90"/>
      <c r="AM287" s="98">
        <v>1</v>
      </c>
      <c r="AN287" s="38"/>
      <c r="AO287" s="38"/>
      <c r="AP287" s="38"/>
      <c r="AQ287" s="38"/>
      <c r="AR287" s="91"/>
      <c r="AS287" s="42">
        <f>SUM(AT287:AZ287)</f>
        <v>1</v>
      </c>
      <c r="AT287" s="48"/>
      <c r="AU287" s="48">
        <v>1</v>
      </c>
      <c r="AV287" s="48"/>
      <c r="AW287" s="48"/>
      <c r="AX287" s="48"/>
      <c r="AY287" s="48"/>
      <c r="AZ287" s="48"/>
      <c r="BA287" s="43">
        <f>IF((W287-SUM(AT287:AZ287))&lt;0,0,W287-SUM(AT287:AZ287))</f>
        <v>0</v>
      </c>
      <c r="BB287" s="49"/>
      <c r="BC287" s="47"/>
      <c r="BD287" s="47"/>
    </row>
    <row r="288" spans="1:56" ht="15" customHeight="1">
      <c r="A288" s="49" t="s">
        <v>1548</v>
      </c>
      <c r="B288" s="39" t="s">
        <v>1203</v>
      </c>
      <c r="C288" s="46" t="s">
        <v>65</v>
      </c>
      <c r="D288" s="49" t="s">
        <v>76</v>
      </c>
      <c r="E288" s="49"/>
      <c r="F288" s="39">
        <v>2</v>
      </c>
      <c r="G288" s="75" t="s">
        <v>1549</v>
      </c>
      <c r="H288" s="50" t="s">
        <v>227</v>
      </c>
      <c r="I288" s="50" t="s">
        <v>1550</v>
      </c>
      <c r="J288" s="50" t="s">
        <v>1551</v>
      </c>
      <c r="K288" s="50"/>
      <c r="L288" s="46"/>
      <c r="M288" s="46"/>
      <c r="N288" s="46"/>
      <c r="O288" s="46"/>
      <c r="P288" s="46"/>
      <c r="Q288" s="46"/>
      <c r="R288" s="46"/>
      <c r="S288" s="46"/>
      <c r="T288" s="46"/>
      <c r="U288" s="46"/>
      <c r="V288" s="50" t="s">
        <v>558</v>
      </c>
      <c r="W288" s="74">
        <v>1</v>
      </c>
      <c r="X288" s="39">
        <f>MAX(0,$AK288-$W288-$Z288)</f>
        <v>0</v>
      </c>
      <c r="Y288" s="39"/>
      <c r="Z288" s="39"/>
      <c r="AA288" s="41">
        <v>0.19</v>
      </c>
      <c r="AB288" s="41">
        <f>IF(AND($X288&gt;0,ISNUMBER($AA288)),$X288*$AA288,0)</f>
        <v>0</v>
      </c>
      <c r="AK288" s="39">
        <f>SUM(AL288:AR288)</f>
        <v>0</v>
      </c>
      <c r="AL288" s="90"/>
      <c r="AM288" s="38"/>
      <c r="AN288" s="38"/>
      <c r="AO288" s="38"/>
      <c r="AP288" s="38"/>
      <c r="AQ288" s="38"/>
      <c r="AR288" s="91"/>
      <c r="AS288" s="42">
        <f>SUM(AT288:AZ288)</f>
        <v>0</v>
      </c>
      <c r="AT288" s="48"/>
      <c r="AU288" s="48"/>
      <c r="AV288" s="48"/>
      <c r="AW288" s="48"/>
      <c r="AX288" s="48"/>
      <c r="AY288" s="48"/>
      <c r="AZ288" s="48"/>
      <c r="BA288" s="43">
        <f>IF((W288-SUM(AT288:AZ288))&lt;0,0,W288-SUM(AT288:AZ288))</f>
        <v>1</v>
      </c>
      <c r="BB288" s="49"/>
      <c r="BC288" s="47"/>
      <c r="BD288" s="126"/>
    </row>
    <row r="289" spans="1:56" ht="15" customHeight="1">
      <c r="A289" s="35" t="s">
        <v>1552</v>
      </c>
      <c r="B289" s="36" t="s">
        <v>1203</v>
      </c>
      <c r="C289" s="38" t="s">
        <v>65</v>
      </c>
      <c r="D289" s="35" t="s">
        <v>84</v>
      </c>
      <c r="E289" s="35" t="s">
        <v>1553</v>
      </c>
      <c r="F289" s="35">
        <v>3</v>
      </c>
      <c r="G289" s="75" t="s">
        <v>1554</v>
      </c>
      <c r="H289" s="35" t="s">
        <v>123</v>
      </c>
      <c r="I289" s="35" t="s">
        <v>1555</v>
      </c>
      <c r="J289" s="35" t="s">
        <v>1556</v>
      </c>
      <c r="K289" s="35"/>
      <c r="L289" s="37"/>
      <c r="M289" s="37"/>
      <c r="N289" s="37"/>
      <c r="O289" s="68"/>
      <c r="P289" s="68"/>
      <c r="Q289" s="37"/>
      <c r="R289" s="37"/>
      <c r="S289" s="37"/>
      <c r="T289" s="68"/>
      <c r="U289" s="68"/>
      <c r="V289" s="35" t="s">
        <v>223</v>
      </c>
      <c r="W289" s="74">
        <v>2</v>
      </c>
      <c r="X289" s="39">
        <f>MAX(0,$AK289-$W289-$Z289)</f>
        <v>0</v>
      </c>
      <c r="Y289" s="35"/>
      <c r="Z289" s="35"/>
      <c r="AA289" s="35">
        <v>0.17</v>
      </c>
      <c r="AB289" s="41">
        <f>IF(AND($X289&gt;0,ISNUMBER($AA289)),$X289*$AA289,0)</f>
        <v>0</v>
      </c>
      <c r="AK289" s="39">
        <f>SUM(AL289:AR289)</f>
        <v>0</v>
      </c>
      <c r="AL289" s="90"/>
      <c r="AM289" s="38"/>
      <c r="AN289" s="38"/>
      <c r="AO289" s="38"/>
      <c r="AP289" s="38"/>
      <c r="AQ289" s="38"/>
      <c r="AR289" s="91"/>
      <c r="AS289" s="42">
        <f>SUM(AT289:AZ289)</f>
        <v>0</v>
      </c>
      <c r="AT289" s="48"/>
      <c r="AU289" s="48"/>
      <c r="AV289" s="48"/>
      <c r="AW289" s="48"/>
      <c r="AX289" s="48"/>
      <c r="AY289" s="48"/>
      <c r="AZ289" s="48"/>
      <c r="BA289" s="43">
        <f>IF((W289-SUM(AT289:AZ289))&lt;0,0,W289-SUM(AT289:AZ289))</f>
        <v>2</v>
      </c>
      <c r="BB289" s="35"/>
      <c r="BC289" s="37"/>
      <c r="BD289" s="130"/>
    </row>
    <row r="290" spans="1:56" ht="15" customHeight="1">
      <c r="A290" s="49" t="s">
        <v>1557</v>
      </c>
      <c r="B290" s="39" t="s">
        <v>1203</v>
      </c>
      <c r="C290" s="46" t="s">
        <v>65</v>
      </c>
      <c r="D290" s="49" t="s">
        <v>134</v>
      </c>
      <c r="E290" s="49"/>
      <c r="F290" s="39">
        <v>4</v>
      </c>
      <c r="G290" s="75" t="s">
        <v>1558</v>
      </c>
      <c r="H290" s="50" t="s">
        <v>172</v>
      </c>
      <c r="I290" s="50" t="s">
        <v>1559</v>
      </c>
      <c r="J290" s="50"/>
      <c r="K290" s="50"/>
      <c r="L290" s="46"/>
      <c r="M290" s="46"/>
      <c r="N290" s="46"/>
      <c r="O290" s="46"/>
      <c r="P290" s="46"/>
      <c r="Q290" s="46"/>
      <c r="R290" s="46"/>
      <c r="S290" s="46"/>
      <c r="T290" s="46"/>
      <c r="U290" s="46"/>
      <c r="V290" s="50" t="s">
        <v>1560</v>
      </c>
      <c r="W290" s="74">
        <v>1</v>
      </c>
      <c r="X290" s="39">
        <f>MAX(0,$AK290-$W290-$Z290)</f>
        <v>0</v>
      </c>
      <c r="Y290" s="39" t="s">
        <v>265</v>
      </c>
      <c r="Z290" s="39">
        <v>1</v>
      </c>
      <c r="AA290" s="41">
        <v>1.06</v>
      </c>
      <c r="AB290" s="41">
        <f>IF(AND($X290&gt;0,ISNUMBER($AA290)),$X290*$AA290,0)</f>
        <v>0</v>
      </c>
      <c r="AD290" s="63"/>
      <c r="AJ290" s="106">
        <v>1</v>
      </c>
      <c r="AK290" s="39">
        <f>SUM(AL290:AR290)</f>
        <v>0</v>
      </c>
      <c r="AL290" s="90"/>
      <c r="AM290" s="38"/>
      <c r="AN290" s="38"/>
      <c r="AO290" s="38"/>
      <c r="AP290" s="38"/>
      <c r="AQ290" s="38"/>
      <c r="AR290" s="91"/>
      <c r="AS290" s="42">
        <f>SUM(AT290:AZ290)</f>
        <v>0</v>
      </c>
      <c r="AT290" s="48"/>
      <c r="AU290" s="48"/>
      <c r="AV290" s="48"/>
      <c r="AW290" s="48"/>
      <c r="AX290" s="48"/>
      <c r="AY290" s="48"/>
      <c r="AZ290" s="48"/>
      <c r="BA290" s="43">
        <f>IF((W290-SUM(AT290:AZ290))&lt;0,0,W290-SUM(AT290:AZ290))</f>
        <v>1</v>
      </c>
      <c r="BB290" s="49"/>
      <c r="BC290" s="47"/>
      <c r="BD290" s="47"/>
    </row>
    <row r="291" spans="1:56" ht="15" customHeight="1">
      <c r="A291" s="49" t="s">
        <v>1561</v>
      </c>
      <c r="B291" s="39" t="s">
        <v>1203</v>
      </c>
      <c r="C291" s="46" t="s">
        <v>65</v>
      </c>
      <c r="D291" s="49" t="s">
        <v>256</v>
      </c>
      <c r="E291" s="49" t="s">
        <v>468</v>
      </c>
      <c r="F291" s="39">
        <v>3</v>
      </c>
      <c r="G291" s="75" t="s">
        <v>1562</v>
      </c>
      <c r="H291" s="50" t="s">
        <v>78</v>
      </c>
      <c r="I291" s="50" t="s">
        <v>1563</v>
      </c>
      <c r="J291" s="50"/>
      <c r="K291" s="50"/>
      <c r="L291" s="46"/>
      <c r="M291" s="46"/>
      <c r="N291" s="46"/>
      <c r="O291" s="46"/>
      <c r="P291" s="46"/>
      <c r="Q291" s="46"/>
      <c r="R291" s="46"/>
      <c r="S291" s="46"/>
      <c r="T291" s="46"/>
      <c r="U291" s="46"/>
      <c r="V291" s="50" t="s">
        <v>1345</v>
      </c>
      <c r="W291" s="74">
        <v>1</v>
      </c>
      <c r="X291" s="39">
        <f>MAX(0,$AK291-$W291-$Z291)</f>
        <v>0</v>
      </c>
      <c r="Y291" s="39"/>
      <c r="Z291" s="39"/>
      <c r="AA291" s="41">
        <v>5.79</v>
      </c>
      <c r="AB291" s="41">
        <f>IF(AND($X291&gt;0,ISNUMBER($AA291)),$X291*$AA291,0)</f>
        <v>0</v>
      </c>
      <c r="AK291" s="39">
        <f>SUM(AL291:AR291)</f>
        <v>1</v>
      </c>
      <c r="AL291" s="90"/>
      <c r="AM291" s="97">
        <v>1</v>
      </c>
      <c r="AN291" s="38"/>
      <c r="AO291" s="38"/>
      <c r="AP291" s="38"/>
      <c r="AQ291" s="38"/>
      <c r="AR291" s="91"/>
      <c r="AS291" s="42">
        <f>SUM(AT291:AZ291)</f>
        <v>1</v>
      </c>
      <c r="AT291" s="48"/>
      <c r="AU291" s="48">
        <v>1</v>
      </c>
      <c r="AV291" s="48"/>
      <c r="AW291" s="48"/>
      <c r="AX291" s="48"/>
      <c r="AY291" s="48"/>
      <c r="AZ291" s="48"/>
      <c r="BA291" s="43">
        <f>IF((W291-SUM(AT291:AZ291))&lt;0,0,W291-SUM(AT291:AZ291))</f>
        <v>0</v>
      </c>
      <c r="BB291" s="49"/>
      <c r="BC291" s="47"/>
      <c r="BD291" s="47"/>
    </row>
    <row r="292" spans="1:56" ht="15" customHeight="1">
      <c r="A292" s="49" t="s">
        <v>1564</v>
      </c>
      <c r="B292" s="39" t="s">
        <v>1203</v>
      </c>
      <c r="C292" s="46" t="s">
        <v>65</v>
      </c>
      <c r="D292" s="49" t="s">
        <v>76</v>
      </c>
      <c r="E292" s="49"/>
      <c r="F292" s="39">
        <v>1</v>
      </c>
      <c r="G292" s="75" t="s">
        <v>1565</v>
      </c>
      <c r="H292" s="50" t="s">
        <v>679</v>
      </c>
      <c r="I292" s="50" t="s">
        <v>1566</v>
      </c>
      <c r="J292" s="50"/>
      <c r="K292" s="50"/>
      <c r="L292" s="47"/>
      <c r="M292" s="47"/>
      <c r="N292" s="47"/>
      <c r="O292" s="68"/>
      <c r="P292" s="68"/>
      <c r="Q292" s="47"/>
      <c r="R292" s="47"/>
      <c r="S292" s="47"/>
      <c r="T292" s="68"/>
      <c r="U292" s="68"/>
      <c r="V292" s="50" t="s">
        <v>145</v>
      </c>
      <c r="W292" s="74">
        <v>1</v>
      </c>
      <c r="X292" s="39">
        <f>MAX(0,$AK292-$W292-$Z292)</f>
        <v>0</v>
      </c>
      <c r="Y292" s="39"/>
      <c r="Z292" s="39"/>
      <c r="AA292" s="41">
        <v>0.12</v>
      </c>
      <c r="AB292" s="41">
        <f>IF(AND($X292&gt;0,ISNUMBER($AA292)),$X292*$AA292,0)</f>
        <v>0</v>
      </c>
      <c r="AK292" s="39">
        <f>SUM(AL292:AR292)</f>
        <v>0</v>
      </c>
      <c r="AL292" s="90"/>
      <c r="AM292" s="38"/>
      <c r="AN292" s="38"/>
      <c r="AO292" s="38"/>
      <c r="AP292" s="38"/>
      <c r="AQ292" s="38"/>
      <c r="AR292" s="91"/>
      <c r="AS292" s="42">
        <f>SUM(AT292:AZ292)</f>
        <v>0</v>
      </c>
      <c r="AT292" s="48"/>
      <c r="AU292" s="48"/>
      <c r="AV292" s="48"/>
      <c r="AW292" s="48"/>
      <c r="AX292" s="48"/>
      <c r="AY292" s="48"/>
      <c r="AZ292" s="48"/>
      <c r="BA292" s="43">
        <f>IF((W292-SUM(AT292:AZ292))&lt;0,0,W292-SUM(AT292:AZ292))</f>
        <v>1</v>
      </c>
      <c r="BB292" s="49"/>
      <c r="BC292" s="47"/>
      <c r="BD292" s="47"/>
    </row>
    <row r="293" spans="1:56" ht="15" customHeight="1">
      <c r="A293" s="49" t="s">
        <v>1567</v>
      </c>
      <c r="B293" s="39" t="s">
        <v>1203</v>
      </c>
      <c r="C293" s="46" t="s">
        <v>65</v>
      </c>
      <c r="D293" s="49" t="s">
        <v>84</v>
      </c>
      <c r="E293" s="49" t="s">
        <v>1568</v>
      </c>
      <c r="F293" s="39">
        <v>2</v>
      </c>
      <c r="G293" s="75" t="s">
        <v>1569</v>
      </c>
      <c r="H293" s="50" t="s">
        <v>499</v>
      </c>
      <c r="I293" s="50" t="s">
        <v>1570</v>
      </c>
      <c r="J293" s="50"/>
      <c r="K293" s="50"/>
      <c r="L293" s="47"/>
      <c r="M293" s="47"/>
      <c r="N293" s="47"/>
      <c r="O293" s="68"/>
      <c r="P293" s="68"/>
      <c r="Q293" s="47"/>
      <c r="R293" s="47"/>
      <c r="S293" s="47"/>
      <c r="T293" s="68"/>
      <c r="U293" s="68"/>
      <c r="V293" s="50" t="s">
        <v>119</v>
      </c>
      <c r="W293" s="74">
        <v>1</v>
      </c>
      <c r="X293" s="39">
        <f>MAX(0,$AK293-$W293-$Z293)</f>
        <v>0</v>
      </c>
      <c r="Y293" s="39"/>
      <c r="Z293" s="39"/>
      <c r="AA293" s="41">
        <v>7.0000000000000007E-2</v>
      </c>
      <c r="AB293" s="41">
        <f>IF(AND($X293&gt;0,ISNUMBER($AA293)),$X293*$AA293,0)</f>
        <v>0</v>
      </c>
      <c r="AK293" s="39">
        <f>SUM(AL293:AR293)</f>
        <v>0</v>
      </c>
      <c r="AL293" s="90"/>
      <c r="AM293" s="38"/>
      <c r="AN293" s="38"/>
      <c r="AO293" s="38"/>
      <c r="AP293" s="38"/>
      <c r="AQ293" s="38"/>
      <c r="AR293" s="91"/>
      <c r="AS293" s="42">
        <f>SUM(AT293:AZ293)</f>
        <v>0</v>
      </c>
      <c r="AT293" s="48"/>
      <c r="AU293" s="48"/>
      <c r="AV293" s="48"/>
      <c r="AW293" s="48"/>
      <c r="AX293" s="48"/>
      <c r="AY293" s="48"/>
      <c r="AZ293" s="48"/>
      <c r="BA293" s="43">
        <f>IF((W293-SUM(AT293:AZ293))&lt;0,0,W293-SUM(AT293:AZ293))</f>
        <v>1</v>
      </c>
      <c r="BB293" s="49"/>
      <c r="BC293" s="47"/>
      <c r="BD293" s="47"/>
    </row>
    <row r="294" spans="1:56" ht="15" customHeight="1">
      <c r="A294" s="49" t="s">
        <v>1571</v>
      </c>
      <c r="B294" s="39" t="s">
        <v>1203</v>
      </c>
      <c r="C294" s="46" t="s">
        <v>65</v>
      </c>
      <c r="D294" s="49" t="s">
        <v>84</v>
      </c>
      <c r="E294" s="49" t="s">
        <v>1572</v>
      </c>
      <c r="F294" s="39">
        <v>3</v>
      </c>
      <c r="G294" s="75" t="s">
        <v>1573</v>
      </c>
      <c r="H294" s="50" t="s">
        <v>123</v>
      </c>
      <c r="I294" s="50" t="s">
        <v>101</v>
      </c>
      <c r="J294" s="50"/>
      <c r="K294" s="50"/>
      <c r="L294" s="47"/>
      <c r="M294" s="47"/>
      <c r="N294" s="47"/>
      <c r="O294" s="68"/>
      <c r="P294" s="68"/>
      <c r="Q294" s="47"/>
      <c r="R294" s="47"/>
      <c r="S294" s="47"/>
      <c r="T294" s="68"/>
      <c r="U294" s="68"/>
      <c r="V294" s="50" t="s">
        <v>145</v>
      </c>
      <c r="W294" s="74">
        <v>1</v>
      </c>
      <c r="X294" s="39">
        <f>MAX(0,$AK294-$W294-$Z294)</f>
        <v>0</v>
      </c>
      <c r="Y294" s="39"/>
      <c r="Z294" s="39"/>
      <c r="AA294" s="41">
        <v>0.04</v>
      </c>
      <c r="AB294" s="41">
        <f>IF(AND($X294&gt;0,ISNUMBER($AA294)),$X294*$AA294,0)</f>
        <v>0</v>
      </c>
      <c r="AK294" s="39">
        <f>SUM(AL294:AR294)</f>
        <v>0</v>
      </c>
      <c r="AL294" s="90"/>
      <c r="AM294" s="38"/>
      <c r="AN294" s="38"/>
      <c r="AO294" s="38"/>
      <c r="AP294" s="38"/>
      <c r="AQ294" s="38"/>
      <c r="AR294" s="91"/>
      <c r="AS294" s="42">
        <f>SUM(AT294:AZ294)</f>
        <v>0</v>
      </c>
      <c r="AT294" s="48"/>
      <c r="AU294" s="48"/>
      <c r="AV294" s="48"/>
      <c r="AW294" s="48"/>
      <c r="AX294" s="48"/>
      <c r="AY294" s="48"/>
      <c r="AZ294" s="48"/>
      <c r="BA294" s="43">
        <f>IF((W294-SUM(AT294:AZ294))&lt;0,0,W294-SUM(AT294:AZ294))</f>
        <v>1</v>
      </c>
      <c r="BB294" s="49"/>
      <c r="BC294" s="47"/>
      <c r="BD294" s="47"/>
    </row>
    <row r="295" spans="1:56" ht="15" customHeight="1">
      <c r="A295" s="49" t="s">
        <v>1574</v>
      </c>
      <c r="B295" s="39" t="s">
        <v>1203</v>
      </c>
      <c r="C295" s="46" t="s">
        <v>65</v>
      </c>
      <c r="D295" s="49" t="s">
        <v>84</v>
      </c>
      <c r="E295" s="49" t="s">
        <v>818</v>
      </c>
      <c r="F295" s="39">
        <v>2</v>
      </c>
      <c r="G295" s="75" t="s">
        <v>1575</v>
      </c>
      <c r="H295" s="50" t="s">
        <v>1239</v>
      </c>
      <c r="I295" s="50" t="s">
        <v>875</v>
      </c>
      <c r="J295" s="50" t="s">
        <v>1576</v>
      </c>
      <c r="K295" s="50"/>
      <c r="L295" s="47"/>
      <c r="M295" s="47"/>
      <c r="N295" s="47"/>
      <c r="O295" s="47"/>
      <c r="P295" s="47"/>
      <c r="Q295" s="47"/>
      <c r="R295" s="47"/>
      <c r="S295" s="47"/>
      <c r="T295" s="47"/>
      <c r="U295" s="47"/>
      <c r="V295" s="50" t="s">
        <v>208</v>
      </c>
      <c r="W295" s="74">
        <v>1</v>
      </c>
      <c r="X295" s="39">
        <f>MAX(0,$AK295-$W295-$Z295)</f>
        <v>0</v>
      </c>
      <c r="Y295" s="39"/>
      <c r="Z295" s="39"/>
      <c r="AA295" s="41">
        <v>0.99</v>
      </c>
      <c r="AB295" s="41">
        <f>IF(AND($X295&gt;0,ISNUMBER($AA295)),$X295*$AA295,0)</f>
        <v>0</v>
      </c>
      <c r="AK295" s="39">
        <f>SUM(AL295:AR295)</f>
        <v>1</v>
      </c>
      <c r="AL295" s="90"/>
      <c r="AM295" s="38"/>
      <c r="AN295" s="38"/>
      <c r="AO295" s="97">
        <v>1</v>
      </c>
      <c r="AP295" s="38"/>
      <c r="AQ295" s="38"/>
      <c r="AR295" s="91"/>
      <c r="AS295" s="42">
        <f>SUM(AT295:AZ295)</f>
        <v>1</v>
      </c>
      <c r="AT295" s="48"/>
      <c r="AU295" s="48"/>
      <c r="AV295" s="48"/>
      <c r="AW295" s="48">
        <v>1</v>
      </c>
      <c r="AX295" s="48"/>
      <c r="AY295" s="48"/>
      <c r="AZ295" s="48"/>
      <c r="BA295" s="43">
        <f>IF((W295-SUM(AT295:AZ295))&lt;0,0,W295-SUM(AT295:AZ295))</f>
        <v>0</v>
      </c>
      <c r="BB295" s="49"/>
      <c r="BC295" s="47"/>
      <c r="BD295" s="47"/>
    </row>
    <row r="296" spans="1:56" ht="15" customHeight="1">
      <c r="A296" s="49" t="s">
        <v>1577</v>
      </c>
      <c r="B296" s="39" t="s">
        <v>1203</v>
      </c>
      <c r="C296" s="46" t="s">
        <v>65</v>
      </c>
      <c r="D296" s="49" t="s">
        <v>84</v>
      </c>
      <c r="E296" s="49" t="s">
        <v>1578</v>
      </c>
      <c r="F296" s="39">
        <v>2</v>
      </c>
      <c r="G296" s="75" t="s">
        <v>1579</v>
      </c>
      <c r="H296" s="50" t="s">
        <v>172</v>
      </c>
      <c r="I296" s="50" t="s">
        <v>1580</v>
      </c>
      <c r="J296" s="50"/>
      <c r="K296" s="50"/>
      <c r="L296" s="46"/>
      <c r="M296" s="46"/>
      <c r="N296" s="46"/>
      <c r="O296" s="46"/>
      <c r="P296" s="46"/>
      <c r="Q296" s="46"/>
      <c r="R296" s="46"/>
      <c r="S296" s="46"/>
      <c r="T296" s="46"/>
      <c r="U296" s="46"/>
      <c r="V296" s="50" t="s">
        <v>306</v>
      </c>
      <c r="W296" s="74">
        <v>1</v>
      </c>
      <c r="X296" s="39">
        <f>MAX(0,$AK296-$W296-$Z296)</f>
        <v>0</v>
      </c>
      <c r="Y296" s="39"/>
      <c r="Z296" s="39"/>
      <c r="AA296" s="41">
        <v>0.31</v>
      </c>
      <c r="AB296" s="41">
        <f>IF(AND($X296&gt;0,ISNUMBER($AA296)),$X296*$AA296,0)</f>
        <v>0</v>
      </c>
      <c r="AD296" s="63"/>
      <c r="AK296" s="39">
        <f>SUM(AL296:AR296)</f>
        <v>1</v>
      </c>
      <c r="AL296" s="90"/>
      <c r="AM296" s="98">
        <v>1</v>
      </c>
      <c r="AN296" s="38"/>
      <c r="AO296" s="38"/>
      <c r="AP296" s="38"/>
      <c r="AQ296" s="38"/>
      <c r="AR296" s="91"/>
      <c r="AS296" s="42">
        <f>SUM(AT296:AZ296)</f>
        <v>1</v>
      </c>
      <c r="AT296" s="48"/>
      <c r="AU296" s="48">
        <v>1</v>
      </c>
      <c r="AV296" s="48"/>
      <c r="AW296" s="48"/>
      <c r="AX296" s="48"/>
      <c r="AY296" s="48"/>
      <c r="AZ296" s="48"/>
      <c r="BA296" s="43">
        <f>IF((W296-SUM(AT296:AZ296))&lt;0,0,W296-SUM(AT296:AZ296))</f>
        <v>0</v>
      </c>
      <c r="BB296" s="49"/>
      <c r="BC296" s="47"/>
      <c r="BD296" s="47"/>
    </row>
    <row r="297" spans="1:56" ht="15" customHeight="1">
      <c r="A297" s="49" t="s">
        <v>1581</v>
      </c>
      <c r="B297" s="39" t="s">
        <v>1203</v>
      </c>
      <c r="C297" s="46" t="s">
        <v>65</v>
      </c>
      <c r="D297" s="49" t="s">
        <v>84</v>
      </c>
      <c r="E297" s="49" t="s">
        <v>1582</v>
      </c>
      <c r="F297" s="39">
        <v>4</v>
      </c>
      <c r="G297" s="75" t="s">
        <v>1583</v>
      </c>
      <c r="H297" s="50" t="s">
        <v>227</v>
      </c>
      <c r="I297" s="50" t="s">
        <v>1584</v>
      </c>
      <c r="J297" s="50"/>
      <c r="K297" s="50"/>
      <c r="L297" s="46"/>
      <c r="M297" s="46"/>
      <c r="N297" s="46"/>
      <c r="O297" s="46"/>
      <c r="P297" s="46"/>
      <c r="Q297" s="46"/>
      <c r="R297" s="46"/>
      <c r="S297" s="46"/>
      <c r="T297" s="46"/>
      <c r="U297" s="46"/>
      <c r="V297" s="50" t="s">
        <v>1585</v>
      </c>
      <c r="W297" s="74">
        <v>1</v>
      </c>
      <c r="X297" s="39">
        <f>MAX(0,$AK297-$W297-$Z297)</f>
        <v>0</v>
      </c>
      <c r="Y297" s="39"/>
      <c r="Z297" s="39"/>
      <c r="AA297" s="41">
        <v>0.96</v>
      </c>
      <c r="AB297" s="41">
        <f>IF(AND($X297&gt;0,ISNUMBER($AA297)),$X297*$AA297,0)</f>
        <v>0</v>
      </c>
      <c r="AK297" s="39">
        <f>SUM(AL297:AR297)</f>
        <v>1</v>
      </c>
      <c r="AL297" s="90"/>
      <c r="AM297" s="97">
        <v>1</v>
      </c>
      <c r="AN297" s="38"/>
      <c r="AO297" s="38"/>
      <c r="AP297" s="38"/>
      <c r="AQ297" s="38"/>
      <c r="AR297" s="91"/>
      <c r="AS297" s="42">
        <f>SUM(AT297:AZ297)</f>
        <v>1</v>
      </c>
      <c r="AT297" s="48"/>
      <c r="AU297" s="48">
        <v>1</v>
      </c>
      <c r="AV297" s="48"/>
      <c r="AW297" s="48"/>
      <c r="AX297" s="48"/>
      <c r="AY297" s="48"/>
      <c r="AZ297" s="48"/>
      <c r="BA297" s="43">
        <f>IF((W297-SUM(AT297:AZ297))&lt;0,0,W297-SUM(AT297:AZ297))</f>
        <v>0</v>
      </c>
      <c r="BB297" s="49"/>
      <c r="BC297" s="47"/>
      <c r="BD297" s="47"/>
    </row>
    <row r="298" spans="1:56" ht="15" customHeight="1">
      <c r="A298" s="49" t="s">
        <v>1586</v>
      </c>
      <c r="B298" s="39" t="s">
        <v>1203</v>
      </c>
      <c r="C298" s="46" t="s">
        <v>65</v>
      </c>
      <c r="D298" s="49" t="s">
        <v>84</v>
      </c>
      <c r="E298" s="49" t="s">
        <v>1250</v>
      </c>
      <c r="F298" s="39">
        <v>3</v>
      </c>
      <c r="G298" s="75" t="s">
        <v>1587</v>
      </c>
      <c r="H298" s="50" t="s">
        <v>172</v>
      </c>
      <c r="I298" s="50" t="s">
        <v>1588</v>
      </c>
      <c r="J298" s="50"/>
      <c r="K298" s="50"/>
      <c r="L298" s="46"/>
      <c r="M298" s="46"/>
      <c r="N298" s="46"/>
      <c r="O298" s="46"/>
      <c r="P298" s="46"/>
      <c r="Q298" s="46"/>
      <c r="R298" s="46"/>
      <c r="S298" s="46"/>
      <c r="T298" s="46"/>
      <c r="U298" s="46"/>
      <c r="V298" s="50" t="s">
        <v>1589</v>
      </c>
      <c r="W298" s="74">
        <v>1</v>
      </c>
      <c r="X298" s="39">
        <f>MAX(0,$AK298-$W298-$Z298)</f>
        <v>0</v>
      </c>
      <c r="Y298" s="39"/>
      <c r="Z298" s="39"/>
      <c r="AA298" s="41">
        <v>4.33</v>
      </c>
      <c r="AB298" s="41">
        <f>IF(AND($X298&gt;0,ISNUMBER($AA298)),$X298*$AA298,0)</f>
        <v>0</v>
      </c>
      <c r="AK298" s="39">
        <f>SUM(AL298:AR298)</f>
        <v>1</v>
      </c>
      <c r="AL298" s="90"/>
      <c r="AM298" s="97">
        <v>1</v>
      </c>
      <c r="AN298" s="38"/>
      <c r="AO298" s="38"/>
      <c r="AP298" s="38"/>
      <c r="AQ298" s="38"/>
      <c r="AR298" s="91"/>
      <c r="AS298" s="42">
        <f>SUM(AT298:AZ298)</f>
        <v>1</v>
      </c>
      <c r="AT298" s="48"/>
      <c r="AU298" s="48">
        <v>1</v>
      </c>
      <c r="AV298" s="48"/>
      <c r="AW298" s="48"/>
      <c r="AX298" s="48"/>
      <c r="AY298" s="48"/>
      <c r="AZ298" s="48"/>
      <c r="BA298" s="43">
        <f>IF((W298-SUM(AT298:AZ298))&lt;0,0,W298-SUM(AT298:AZ298))</f>
        <v>0</v>
      </c>
      <c r="BB298" s="49"/>
      <c r="BC298" s="47"/>
      <c r="BD298" s="47"/>
    </row>
    <row r="299" spans="1:56" ht="15" customHeight="1">
      <c r="A299" s="49" t="s">
        <v>1590</v>
      </c>
      <c r="B299" s="39" t="s">
        <v>1203</v>
      </c>
      <c r="C299" s="46" t="s">
        <v>65</v>
      </c>
      <c r="D299" s="49" t="s">
        <v>76</v>
      </c>
      <c r="E299" s="49"/>
      <c r="F299" s="39">
        <v>2</v>
      </c>
      <c r="G299" s="75" t="s">
        <v>1591</v>
      </c>
      <c r="H299" s="50" t="s">
        <v>499</v>
      </c>
      <c r="I299" s="50" t="s">
        <v>1592</v>
      </c>
      <c r="J299" s="50"/>
      <c r="K299" s="50"/>
      <c r="L299" s="47"/>
      <c r="M299" s="47"/>
      <c r="N299" s="47"/>
      <c r="O299" s="68"/>
      <c r="P299" s="68"/>
      <c r="Q299" s="47"/>
      <c r="R299" s="47"/>
      <c r="S299" s="47"/>
      <c r="T299" s="68"/>
      <c r="U299" s="68"/>
      <c r="V299" s="50" t="s">
        <v>217</v>
      </c>
      <c r="W299" s="74">
        <v>1</v>
      </c>
      <c r="X299" s="39">
        <f>MAX(0,$AK299-$W299-$Z299)</f>
        <v>0</v>
      </c>
      <c r="Y299" s="39"/>
      <c r="Z299" s="39"/>
      <c r="AA299" s="41">
        <v>0.28000000000000003</v>
      </c>
      <c r="AB299" s="41">
        <f>IF(AND($X299&gt;0,ISNUMBER($AA299)),$X299*$AA299,0)</f>
        <v>0</v>
      </c>
      <c r="AK299" s="39">
        <f>SUM(AL299:AR299)</f>
        <v>0</v>
      </c>
      <c r="AL299" s="90"/>
      <c r="AM299" s="38"/>
      <c r="AN299" s="38"/>
      <c r="AO299" s="38"/>
      <c r="AP299" s="38"/>
      <c r="AQ299" s="38"/>
      <c r="AR299" s="91"/>
      <c r="AS299" s="42">
        <f>SUM(AT299:AZ299)</f>
        <v>0</v>
      </c>
      <c r="AT299" s="48"/>
      <c r="AU299" s="48"/>
      <c r="AV299" s="48"/>
      <c r="AW299" s="48"/>
      <c r="AX299" s="48"/>
      <c r="AY299" s="48"/>
      <c r="AZ299" s="48"/>
      <c r="BA299" s="43">
        <f>IF((W299-SUM(AT299:AZ299))&lt;0,0,W299-SUM(AT299:AZ299))</f>
        <v>1</v>
      </c>
      <c r="BB299" s="49"/>
      <c r="BC299" s="47"/>
      <c r="BD299" s="47"/>
    </row>
    <row r="300" spans="1:56" ht="15" customHeight="1">
      <c r="A300" s="49" t="s">
        <v>1593</v>
      </c>
      <c r="B300" s="39" t="s">
        <v>1203</v>
      </c>
      <c r="C300" s="46" t="s">
        <v>65</v>
      </c>
      <c r="D300" s="49" t="s">
        <v>84</v>
      </c>
      <c r="E300" s="49" t="s">
        <v>818</v>
      </c>
      <c r="F300" s="39">
        <v>4</v>
      </c>
      <c r="G300" s="75" t="s">
        <v>1594</v>
      </c>
      <c r="H300" s="50" t="s">
        <v>123</v>
      </c>
      <c r="I300" s="50" t="s">
        <v>1595</v>
      </c>
      <c r="J300" s="50"/>
      <c r="K300" s="50"/>
      <c r="L300" s="47"/>
      <c r="M300" s="47"/>
      <c r="N300" s="47"/>
      <c r="O300" s="47"/>
      <c r="P300" s="47"/>
      <c r="Q300" s="47"/>
      <c r="R300" s="47"/>
      <c r="S300" s="47"/>
      <c r="T300" s="47"/>
      <c r="U300" s="47"/>
      <c r="V300" s="50" t="s">
        <v>351</v>
      </c>
      <c r="W300" s="74">
        <v>1</v>
      </c>
      <c r="X300" s="39">
        <f>MAX(0,$AK300-$W300-$Z300)</f>
        <v>0</v>
      </c>
      <c r="Y300" s="39"/>
      <c r="Z300" s="39"/>
      <c r="AA300" s="41">
        <v>0.63</v>
      </c>
      <c r="AB300" s="41">
        <f>IF(AND($X300&gt;0,ISNUMBER($AA300)),$X300*$AA300,0)</f>
        <v>0</v>
      </c>
      <c r="AK300" s="39">
        <f>SUM(AL300:AR300)</f>
        <v>1</v>
      </c>
      <c r="AL300" s="90"/>
      <c r="AM300" s="38"/>
      <c r="AN300" s="38"/>
      <c r="AO300" s="97">
        <v>1</v>
      </c>
      <c r="AP300" s="38"/>
      <c r="AQ300" s="38"/>
      <c r="AR300" s="91"/>
      <c r="AS300" s="42">
        <f>SUM(AT300:AZ300)</f>
        <v>1</v>
      </c>
      <c r="AT300" s="48"/>
      <c r="AU300" s="48"/>
      <c r="AV300" s="48"/>
      <c r="AW300" s="48">
        <v>1</v>
      </c>
      <c r="AX300" s="48"/>
      <c r="AY300" s="48"/>
      <c r="AZ300" s="48"/>
      <c r="BA300" s="43">
        <f>IF((W300-SUM(AT300:AZ300))&lt;0,0,W300-SUM(AT300:AZ300))</f>
        <v>0</v>
      </c>
      <c r="BB300" s="49"/>
      <c r="BC300" s="47"/>
      <c r="BD300" s="47"/>
    </row>
    <row r="301" spans="1:56" ht="15" customHeight="1">
      <c r="A301" s="49" t="s">
        <v>1596</v>
      </c>
      <c r="B301" s="39" t="s">
        <v>1203</v>
      </c>
      <c r="C301" s="46" t="s">
        <v>65</v>
      </c>
      <c r="D301" s="49" t="s">
        <v>256</v>
      </c>
      <c r="E301" s="49" t="s">
        <v>468</v>
      </c>
      <c r="F301" s="39">
        <v>3</v>
      </c>
      <c r="G301" s="75" t="s">
        <v>1597</v>
      </c>
      <c r="H301" s="50" t="s">
        <v>794</v>
      </c>
      <c r="I301" s="50" t="s">
        <v>1598</v>
      </c>
      <c r="J301" s="50" t="s">
        <v>1599</v>
      </c>
      <c r="K301" s="50"/>
      <c r="L301" s="47"/>
      <c r="M301" s="47"/>
      <c r="N301" s="47"/>
      <c r="O301" s="47"/>
      <c r="P301" s="47"/>
      <c r="Q301" s="47"/>
      <c r="R301" s="47"/>
      <c r="S301" s="47"/>
      <c r="T301" s="47"/>
      <c r="U301" s="47"/>
      <c r="V301" s="50" t="s">
        <v>1600</v>
      </c>
      <c r="W301" s="74">
        <v>1</v>
      </c>
      <c r="X301" s="39">
        <f>MAX(0,$AK301-$W301-$Z301)</f>
        <v>0</v>
      </c>
      <c r="Y301" s="39"/>
      <c r="Z301" s="39"/>
      <c r="AA301" s="41">
        <v>0.19</v>
      </c>
      <c r="AB301" s="41">
        <f>IF(AND($X301&gt;0,ISNUMBER($AA301)),$X301*$AA301,0)</f>
        <v>0</v>
      </c>
      <c r="AF301" s="63"/>
      <c r="AK301" s="39">
        <f>SUM(AL301:AR301)</f>
        <v>1</v>
      </c>
      <c r="AL301" s="90"/>
      <c r="AM301" s="38"/>
      <c r="AN301" s="38"/>
      <c r="AO301" s="97">
        <v>1</v>
      </c>
      <c r="AP301" s="38"/>
      <c r="AQ301" s="38"/>
      <c r="AR301" s="91"/>
      <c r="AS301" s="42">
        <f>SUM(AT301:AZ301)</f>
        <v>1</v>
      </c>
      <c r="AT301" s="48"/>
      <c r="AU301" s="48"/>
      <c r="AV301" s="48"/>
      <c r="AW301" s="48">
        <v>1</v>
      </c>
      <c r="AX301" s="48"/>
      <c r="AY301" s="48"/>
      <c r="AZ301" s="48"/>
      <c r="BA301" s="43">
        <f>IF((W301-SUM(AT301:AZ301))&lt;0,0,W301-SUM(AT301:AZ301))</f>
        <v>0</v>
      </c>
      <c r="BB301" s="49"/>
      <c r="BC301" s="47"/>
      <c r="BD301" s="47"/>
    </row>
    <row r="302" spans="1:56" ht="15" customHeight="1">
      <c r="A302" s="49" t="s">
        <v>1601</v>
      </c>
      <c r="B302" s="39" t="s">
        <v>1203</v>
      </c>
      <c r="C302" s="46" t="s">
        <v>65</v>
      </c>
      <c r="D302" s="49" t="s">
        <v>134</v>
      </c>
      <c r="E302" s="49"/>
      <c r="F302" s="39">
        <v>4</v>
      </c>
      <c r="G302" s="75" t="s">
        <v>1602</v>
      </c>
      <c r="H302" s="50" t="s">
        <v>78</v>
      </c>
      <c r="I302" s="50" t="s">
        <v>1603</v>
      </c>
      <c r="J302" s="50"/>
      <c r="K302" s="50"/>
      <c r="L302" s="47"/>
      <c r="M302" s="47"/>
      <c r="N302" s="47"/>
      <c r="O302" s="68"/>
      <c r="P302" s="68"/>
      <c r="Q302" s="47"/>
      <c r="R302" s="47"/>
      <c r="S302" s="47"/>
      <c r="T302" s="68"/>
      <c r="U302" s="68"/>
      <c r="V302" s="50" t="s">
        <v>167</v>
      </c>
      <c r="W302" s="74">
        <v>2</v>
      </c>
      <c r="X302" s="39">
        <f>MAX(0,$AK302-$W302-$Z302)</f>
        <v>0</v>
      </c>
      <c r="Y302" s="39"/>
      <c r="Z302" s="39"/>
      <c r="AA302" s="41">
        <v>0.14000000000000001</v>
      </c>
      <c r="AB302" s="41">
        <f>IF(AND($X302&gt;0,ISNUMBER($AA302)),$X302*$AA302,0)</f>
        <v>0</v>
      </c>
      <c r="AE302" s="63"/>
      <c r="AK302" s="39">
        <f>SUM(AL302:AR302)</f>
        <v>1</v>
      </c>
      <c r="AL302" s="90"/>
      <c r="AM302" s="38"/>
      <c r="AN302" s="97">
        <v>1</v>
      </c>
      <c r="AO302" s="38"/>
      <c r="AP302" s="38"/>
      <c r="AQ302" s="38"/>
      <c r="AR302" s="91"/>
      <c r="AS302" s="42">
        <f>SUM(AT302:AZ302)</f>
        <v>1</v>
      </c>
      <c r="AT302" s="48"/>
      <c r="AU302" s="48"/>
      <c r="AV302" s="48">
        <v>1</v>
      </c>
      <c r="AW302" s="48"/>
      <c r="AX302" s="48"/>
      <c r="AY302" s="48"/>
      <c r="AZ302" s="48"/>
      <c r="BA302" s="43">
        <f>IF((W302-SUM(AT302:AZ302))&lt;0,0,W302-SUM(AT302:AZ302))</f>
        <v>1</v>
      </c>
      <c r="BB302" s="49"/>
      <c r="BC302" s="47"/>
      <c r="BD302" s="47"/>
    </row>
    <row r="303" spans="1:56" ht="15" customHeight="1">
      <c r="A303" s="49" t="s">
        <v>1609</v>
      </c>
      <c r="B303" s="39" t="s">
        <v>1203</v>
      </c>
      <c r="C303" s="46" t="s">
        <v>83</v>
      </c>
      <c r="D303" s="49" t="s">
        <v>178</v>
      </c>
      <c r="E303" s="49" t="s">
        <v>1347</v>
      </c>
      <c r="F303" s="39">
        <v>2</v>
      </c>
      <c r="G303" s="75" t="s">
        <v>1348</v>
      </c>
      <c r="H303" s="50" t="s">
        <v>238</v>
      </c>
      <c r="I303" s="50" t="s">
        <v>770</v>
      </c>
      <c r="J303" s="50" t="s">
        <v>1349</v>
      </c>
      <c r="K303" s="50"/>
      <c r="L303" s="108" t="s">
        <v>1610</v>
      </c>
      <c r="M303" s="46">
        <v>1</v>
      </c>
      <c r="N303" s="46">
        <v>0</v>
      </c>
      <c r="O303" s="68" t="s">
        <v>1611</v>
      </c>
      <c r="P303" s="110">
        <v>0.3</v>
      </c>
      <c r="Q303" s="47"/>
      <c r="R303" s="47"/>
      <c r="S303" s="47"/>
      <c r="T303" s="68"/>
      <c r="U303" s="68"/>
      <c r="V303" s="50" t="s">
        <v>1612</v>
      </c>
      <c r="W303" s="74">
        <v>1</v>
      </c>
      <c r="X303" s="39">
        <f>MAX(0,$AK303-$W303-$Z303)</f>
        <v>0</v>
      </c>
      <c r="Y303" s="39"/>
      <c r="Z303" s="39"/>
      <c r="AA303" s="41">
        <v>0.3</v>
      </c>
      <c r="AB303" s="41">
        <f>IF(AND($X303&gt;0,ISNUMBER($AA303)),$X303*$AA303,0)</f>
        <v>0</v>
      </c>
      <c r="AK303" s="39">
        <f>SUM(AL303:AR303)</f>
        <v>0</v>
      </c>
      <c r="AL303" s="90"/>
      <c r="AM303" s="38"/>
      <c r="AN303" s="38"/>
      <c r="AO303" s="38"/>
      <c r="AP303" s="38"/>
      <c r="AQ303" s="38"/>
      <c r="AR303" s="91"/>
      <c r="AS303" s="42">
        <f>SUM(AT303:AZ303)</f>
        <v>0</v>
      </c>
      <c r="AT303" s="48"/>
      <c r="AU303" s="48"/>
      <c r="AV303" s="48"/>
      <c r="AW303" s="48"/>
      <c r="AX303" s="48"/>
      <c r="AY303" s="48"/>
      <c r="AZ303" s="48"/>
      <c r="BA303" s="43">
        <f>IF((W303-SUM(AT303:AZ303))&lt;0,0,W303-SUM(AT303:AZ303))</f>
        <v>1</v>
      </c>
      <c r="BB303" s="49"/>
      <c r="BC303" s="47"/>
      <c r="BD303" s="47"/>
    </row>
    <row r="304" spans="1:56" ht="15" customHeight="1">
      <c r="A304" s="49" t="s">
        <v>1613</v>
      </c>
      <c r="B304" s="39" t="s">
        <v>1203</v>
      </c>
      <c r="C304" s="46" t="s">
        <v>83</v>
      </c>
      <c r="D304" s="49" t="s">
        <v>178</v>
      </c>
      <c r="E304" s="49" t="s">
        <v>1614</v>
      </c>
      <c r="F304" s="39">
        <v>6</v>
      </c>
      <c r="G304" s="75" t="s">
        <v>1615</v>
      </c>
      <c r="H304" s="50" t="s">
        <v>87</v>
      </c>
      <c r="I304" s="50" t="s">
        <v>1616</v>
      </c>
      <c r="J304" s="50"/>
      <c r="K304" s="50"/>
      <c r="L304" s="47"/>
      <c r="M304" s="47"/>
      <c r="N304" s="47"/>
      <c r="O304" s="47"/>
      <c r="P304" s="47"/>
      <c r="Q304" s="47"/>
      <c r="R304" s="47"/>
      <c r="S304" s="47"/>
      <c r="T304" s="47"/>
      <c r="U304" s="47"/>
      <c r="V304" s="50" t="s">
        <v>158</v>
      </c>
      <c r="W304" s="74">
        <v>0</v>
      </c>
      <c r="X304" s="39">
        <f>MAX(0,$AK304-$W304-$Z304)</f>
        <v>0</v>
      </c>
      <c r="Y304" s="39"/>
      <c r="Z304" s="39"/>
      <c r="AA304" s="41">
        <v>55.18</v>
      </c>
      <c r="AB304" s="41">
        <f>IF(AND($X304&gt;0,ISNUMBER($AA304)),$X304*$AA304,0)</f>
        <v>0</v>
      </c>
      <c r="AC304" s="59"/>
      <c r="AD304" s="59"/>
      <c r="AE304" s="59"/>
      <c r="AF304" s="59"/>
      <c r="AG304" s="59"/>
      <c r="AH304" s="59"/>
      <c r="AI304" s="59"/>
      <c r="AJ304" s="59"/>
      <c r="AK304" s="39">
        <f>SUM(AL304:AR304)</f>
        <v>0</v>
      </c>
      <c r="AL304" s="114"/>
      <c r="AM304" s="43"/>
      <c r="AN304" s="43"/>
      <c r="AO304" s="43"/>
      <c r="AP304" s="43"/>
      <c r="AQ304" s="43"/>
      <c r="AR304" s="116"/>
      <c r="AS304" s="42">
        <f>SUM(AT304:AZ304)</f>
        <v>0</v>
      </c>
      <c r="AT304" s="48"/>
      <c r="AU304" s="48"/>
      <c r="AV304" s="48"/>
      <c r="AW304" s="48"/>
      <c r="AX304" s="48"/>
      <c r="AY304" s="48"/>
      <c r="AZ304" s="48"/>
      <c r="BA304" s="43">
        <f>IF((W304-SUM(AT304:AZ304))&lt;0,0,W304-SUM(AT304:AZ304))</f>
        <v>0</v>
      </c>
      <c r="BB304" s="49"/>
      <c r="BC304" s="47"/>
      <c r="BD304" s="47"/>
    </row>
    <row r="305" spans="1:56" ht="15" customHeight="1">
      <c r="A305" s="49" t="s">
        <v>1617</v>
      </c>
      <c r="B305" s="39" t="s">
        <v>1203</v>
      </c>
      <c r="C305" s="46" t="s">
        <v>65</v>
      </c>
      <c r="D305" s="49" t="s">
        <v>84</v>
      </c>
      <c r="E305" s="49" t="s">
        <v>1505</v>
      </c>
      <c r="F305" s="39">
        <v>2</v>
      </c>
      <c r="G305" s="75" t="s">
        <v>1618</v>
      </c>
      <c r="H305" s="50" t="s">
        <v>293</v>
      </c>
      <c r="I305" s="50" t="s">
        <v>1072</v>
      </c>
      <c r="J305" s="50" t="s">
        <v>821</v>
      </c>
      <c r="K305" s="50"/>
      <c r="L305" s="47"/>
      <c r="M305" s="47"/>
      <c r="N305" s="47"/>
      <c r="O305" s="47"/>
      <c r="P305" s="47"/>
      <c r="Q305" s="47"/>
      <c r="R305" s="47"/>
      <c r="S305" s="47"/>
      <c r="T305" s="47"/>
      <c r="U305" s="47"/>
      <c r="V305" s="50" t="s">
        <v>1468</v>
      </c>
      <c r="W305" s="74">
        <v>0</v>
      </c>
      <c r="X305" s="39">
        <f>MAX(0,$AK305-$W305-$Z305)</f>
        <v>0</v>
      </c>
      <c r="Y305" s="39"/>
      <c r="Z305" s="39"/>
      <c r="AA305" s="41">
        <v>0.28999999999999998</v>
      </c>
      <c r="AB305" s="41">
        <f>IF(AND($X305&gt;0,ISNUMBER($AA305)),$X305*$AA305,0)</f>
        <v>0</v>
      </c>
      <c r="AC305" s="59"/>
      <c r="AD305" s="59"/>
      <c r="AE305" s="59"/>
      <c r="AF305" s="59"/>
      <c r="AG305" s="59"/>
      <c r="AH305" s="59"/>
      <c r="AI305" s="59"/>
      <c r="AJ305" s="59"/>
      <c r="AK305" s="39">
        <f>SUM(AL305:AR305)</f>
        <v>0</v>
      </c>
      <c r="AL305" s="114"/>
      <c r="AM305" s="43"/>
      <c r="AN305" s="43"/>
      <c r="AO305" s="43"/>
      <c r="AP305" s="43"/>
      <c r="AQ305" s="43"/>
      <c r="AR305" s="116"/>
      <c r="AS305" s="42">
        <f>SUM(AT305:AZ305)</f>
        <v>0</v>
      </c>
      <c r="AT305" s="48"/>
      <c r="AU305" s="48"/>
      <c r="AV305" s="48"/>
      <c r="AW305" s="48"/>
      <c r="AX305" s="48"/>
      <c r="AY305" s="48"/>
      <c r="AZ305" s="48"/>
      <c r="BA305" s="43">
        <f>IF((W305-SUM(AT305:AZ305))&lt;0,0,W305-SUM(AT305:AZ305))</f>
        <v>0</v>
      </c>
      <c r="BB305" s="49"/>
      <c r="BC305" s="47"/>
      <c r="BD305" s="53"/>
    </row>
    <row r="306" spans="1:56" ht="15" customHeight="1">
      <c r="A306" s="49" t="s">
        <v>1619</v>
      </c>
      <c r="B306" s="39" t="s">
        <v>1203</v>
      </c>
      <c r="C306" s="46" t="s">
        <v>65</v>
      </c>
      <c r="D306" s="49" t="s">
        <v>84</v>
      </c>
      <c r="E306" s="49" t="s">
        <v>851</v>
      </c>
      <c r="F306" s="39">
        <v>2</v>
      </c>
      <c r="G306" s="75" t="s">
        <v>1620</v>
      </c>
      <c r="H306" s="50" t="s">
        <v>293</v>
      </c>
      <c r="I306" s="50" t="s">
        <v>1621</v>
      </c>
      <c r="J306" s="50"/>
      <c r="K306" s="50"/>
      <c r="L306" s="47"/>
      <c r="M306" s="47"/>
      <c r="N306" s="47"/>
      <c r="O306" s="47"/>
      <c r="P306" s="47"/>
      <c r="Q306" s="47"/>
      <c r="R306" s="47"/>
      <c r="S306" s="47"/>
      <c r="T306" s="47"/>
      <c r="U306" s="47"/>
      <c r="V306" s="50" t="s">
        <v>254</v>
      </c>
      <c r="W306" s="74">
        <v>1</v>
      </c>
      <c r="X306" s="39">
        <f>MAX(0,$AK306-$W306-$Z306)</f>
        <v>0</v>
      </c>
      <c r="Y306" s="39"/>
      <c r="Z306" s="39"/>
      <c r="AA306" s="41">
        <v>0.26</v>
      </c>
      <c r="AB306" s="41">
        <f>IF(AND($X306&gt;0,ISNUMBER($AA306)),$X306*$AA306,0)</f>
        <v>0</v>
      </c>
      <c r="AK306" s="39">
        <f>SUM(AL306:AR306)</f>
        <v>1</v>
      </c>
      <c r="AL306" s="90"/>
      <c r="AM306" s="38"/>
      <c r="AN306" s="38"/>
      <c r="AO306" s="97">
        <v>1</v>
      </c>
      <c r="AP306" s="38"/>
      <c r="AQ306" s="38"/>
      <c r="AR306" s="91"/>
      <c r="AS306" s="42">
        <f>SUM(AT306:AZ306)</f>
        <v>1</v>
      </c>
      <c r="AT306" s="48"/>
      <c r="AU306" s="48"/>
      <c r="AV306" s="48"/>
      <c r="AW306" s="48">
        <v>1</v>
      </c>
      <c r="AX306" s="48"/>
      <c r="AY306" s="48"/>
      <c r="AZ306" s="48"/>
      <c r="BA306" s="43">
        <f>IF((W306-SUM(AT306:AZ306))&lt;0,0,W306-SUM(AT306:AZ306))</f>
        <v>0</v>
      </c>
      <c r="BB306" s="49"/>
      <c r="BC306" s="47"/>
      <c r="BD306" s="47"/>
    </row>
    <row r="307" spans="1:56" ht="15" customHeight="1">
      <c r="A307" s="49" t="s">
        <v>1622</v>
      </c>
      <c r="B307" s="39" t="s">
        <v>1203</v>
      </c>
      <c r="C307" s="46" t="s">
        <v>65</v>
      </c>
      <c r="D307" s="49" t="s">
        <v>84</v>
      </c>
      <c r="E307" s="49" t="s">
        <v>1505</v>
      </c>
      <c r="F307" s="39">
        <v>2</v>
      </c>
      <c r="G307" s="75" t="s">
        <v>1623</v>
      </c>
      <c r="H307" s="50" t="s">
        <v>172</v>
      </c>
      <c r="I307" s="50" t="s">
        <v>1624</v>
      </c>
      <c r="J307" s="50" t="s">
        <v>821</v>
      </c>
      <c r="K307" s="50"/>
      <c r="L307" s="47"/>
      <c r="M307" s="47"/>
      <c r="N307" s="47"/>
      <c r="O307" s="47"/>
      <c r="P307" s="47"/>
      <c r="Q307" s="47"/>
      <c r="R307" s="47"/>
      <c r="S307" s="47"/>
      <c r="T307" s="47"/>
      <c r="U307" s="47"/>
      <c r="V307" s="50" t="s">
        <v>1515</v>
      </c>
      <c r="W307" s="74">
        <v>0</v>
      </c>
      <c r="X307" s="39">
        <f>MAX(0,$AK307-$W307-$Z307)</f>
        <v>0</v>
      </c>
      <c r="Y307" s="39" t="s">
        <v>1311</v>
      </c>
      <c r="Z307" s="39">
        <v>1</v>
      </c>
      <c r="AA307" s="41">
        <v>0.23</v>
      </c>
      <c r="AB307" s="41">
        <f>IF(AND($X307&gt;0,ISNUMBER($AA307)),$X307*$AA307,0)</f>
        <v>0</v>
      </c>
      <c r="AC307" s="59"/>
      <c r="AD307" s="59"/>
      <c r="AE307" s="59"/>
      <c r="AF307" s="59"/>
      <c r="AG307" s="59"/>
      <c r="AH307" s="59"/>
      <c r="AI307" s="59"/>
      <c r="AJ307" s="59"/>
      <c r="AK307" s="39">
        <f>SUM(AL307:AR307)</f>
        <v>0</v>
      </c>
      <c r="AL307" s="114"/>
      <c r="AM307" s="43"/>
      <c r="AN307" s="43"/>
      <c r="AO307" s="43"/>
      <c r="AP307" s="43"/>
      <c r="AQ307" s="43"/>
      <c r="AR307" s="116"/>
      <c r="AS307" s="42">
        <f>SUM(AT307:AZ307)</f>
        <v>0</v>
      </c>
      <c r="AT307" s="48"/>
      <c r="AU307" s="48"/>
      <c r="AV307" s="48"/>
      <c r="AW307" s="48"/>
      <c r="AX307" s="48"/>
      <c r="AY307" s="48"/>
      <c r="AZ307" s="48"/>
      <c r="BA307" s="43">
        <f>IF((W307-SUM(AT307:AZ307))&lt;0,0,W307-SUM(AT307:AZ307))</f>
        <v>0</v>
      </c>
      <c r="BB307" s="49"/>
      <c r="BC307" s="47"/>
      <c r="BD307" s="53"/>
    </row>
    <row r="308" spans="1:56" ht="15" customHeight="1">
      <c r="A308" s="35" t="s">
        <v>1625</v>
      </c>
      <c r="B308" s="36" t="s">
        <v>1203</v>
      </c>
      <c r="C308" s="38" t="s">
        <v>65</v>
      </c>
      <c r="D308" s="35" t="s">
        <v>76</v>
      </c>
      <c r="E308" s="35"/>
      <c r="F308" s="36">
        <v>2</v>
      </c>
      <c r="G308" s="75" t="s">
        <v>1626</v>
      </c>
      <c r="H308" s="35" t="s">
        <v>78</v>
      </c>
      <c r="I308" s="35" t="s">
        <v>1627</v>
      </c>
      <c r="J308" s="35" t="s">
        <v>1628</v>
      </c>
      <c r="K308" s="35"/>
      <c r="L308" s="37"/>
      <c r="M308" s="37"/>
      <c r="N308" s="37"/>
      <c r="O308" s="68"/>
      <c r="P308" s="68"/>
      <c r="Q308" s="37"/>
      <c r="R308" s="37"/>
      <c r="S308" s="37"/>
      <c r="T308" s="68"/>
      <c r="U308" s="68"/>
      <c r="V308" s="35" t="s">
        <v>167</v>
      </c>
      <c r="W308" s="74">
        <v>1</v>
      </c>
      <c r="X308" s="39">
        <f>MAX(0,$AK308-$W308-$Z308)</f>
        <v>0</v>
      </c>
      <c r="Y308" s="35"/>
      <c r="Z308" s="35"/>
      <c r="AA308" s="40">
        <v>0.19</v>
      </c>
      <c r="AB308" s="41">
        <f>IF(AND($X308&gt;0,ISNUMBER($AA308)),$X308*$AA308,0)</f>
        <v>0</v>
      </c>
      <c r="AK308" s="39">
        <f>SUM(AL308:AR308)</f>
        <v>1</v>
      </c>
      <c r="AL308" s="90"/>
      <c r="AM308" s="38"/>
      <c r="AN308" s="97">
        <v>1</v>
      </c>
      <c r="AO308" s="38"/>
      <c r="AP308" s="38"/>
      <c r="AQ308" s="38"/>
      <c r="AR308" s="91"/>
      <c r="AS308" s="42">
        <f>SUM(AT308:AZ308)</f>
        <v>1</v>
      </c>
      <c r="AT308" s="48"/>
      <c r="AU308" s="48"/>
      <c r="AV308" s="48">
        <v>1</v>
      </c>
      <c r="AW308" s="48"/>
      <c r="AX308" s="48"/>
      <c r="AY308" s="48"/>
      <c r="AZ308" s="48"/>
      <c r="BA308" s="43">
        <f>IF((W308-SUM(AT308:AZ308))&lt;0,0,W308-SUM(AT308:AZ308))</f>
        <v>0</v>
      </c>
      <c r="BB308" s="35"/>
      <c r="BC308" s="37"/>
      <c r="BD308" s="37"/>
    </row>
    <row r="309" spans="1:56" ht="15" customHeight="1">
      <c r="A309" s="35" t="s">
        <v>1634</v>
      </c>
      <c r="B309" s="36" t="s">
        <v>1203</v>
      </c>
      <c r="C309" s="38" t="s">
        <v>65</v>
      </c>
      <c r="D309" s="35" t="s">
        <v>134</v>
      </c>
      <c r="E309" s="35"/>
      <c r="F309" s="35">
        <v>1</v>
      </c>
      <c r="G309" s="75" t="s">
        <v>1635</v>
      </c>
      <c r="H309" s="35" t="s">
        <v>153</v>
      </c>
      <c r="I309" s="35" t="s">
        <v>1636</v>
      </c>
      <c r="J309" s="35" t="s">
        <v>1637</v>
      </c>
      <c r="K309" s="35"/>
      <c r="L309" s="37"/>
      <c r="M309" s="37"/>
      <c r="N309" s="37"/>
      <c r="O309" s="68"/>
      <c r="P309" s="68"/>
      <c r="Q309" s="37"/>
      <c r="R309" s="37"/>
      <c r="S309" s="37"/>
      <c r="T309" s="68"/>
      <c r="U309" s="68"/>
      <c r="V309" s="35" t="s">
        <v>223</v>
      </c>
      <c r="W309" s="74">
        <v>1</v>
      </c>
      <c r="X309" s="39">
        <f>MAX(0,$AK309-$W309-$Z309)</f>
        <v>0</v>
      </c>
      <c r="Y309" s="35"/>
      <c r="Z309" s="35"/>
      <c r="AA309" s="35">
        <v>0.19</v>
      </c>
      <c r="AB309" s="41">
        <f>IF(AND($X309&gt;0,ISNUMBER($AA309)),$X309*$AA309,0)</f>
        <v>0</v>
      </c>
      <c r="AK309" s="39">
        <f>SUM(AL309:AR309)</f>
        <v>0</v>
      </c>
      <c r="AL309" s="90"/>
      <c r="AM309" s="38"/>
      <c r="AN309" s="38"/>
      <c r="AO309" s="38"/>
      <c r="AP309" s="38"/>
      <c r="AQ309" s="38"/>
      <c r="AR309" s="91"/>
      <c r="AS309" s="42">
        <f>SUM(AT309:AZ309)</f>
        <v>0</v>
      </c>
      <c r="AT309" s="48"/>
      <c r="AU309" s="48"/>
      <c r="AV309" s="48"/>
      <c r="AW309" s="48"/>
      <c r="AX309" s="48"/>
      <c r="AY309" s="48"/>
      <c r="AZ309" s="48"/>
      <c r="BA309" s="43">
        <f>IF((W309-SUM(AT309:AZ309))&lt;0,0,W309-SUM(AT309:AZ309))</f>
        <v>1</v>
      </c>
      <c r="BB309" s="35"/>
      <c r="BC309" s="37"/>
      <c r="BD309" s="37"/>
    </row>
    <row r="310" spans="1:56" ht="15" customHeight="1">
      <c r="A310" s="35" t="s">
        <v>1638</v>
      </c>
      <c r="B310" s="36" t="s">
        <v>1203</v>
      </c>
      <c r="C310" s="38" t="s">
        <v>65</v>
      </c>
      <c r="D310" s="35" t="s">
        <v>84</v>
      </c>
      <c r="E310" s="35" t="s">
        <v>768</v>
      </c>
      <c r="F310" s="35">
        <v>5</v>
      </c>
      <c r="G310" s="75" t="s">
        <v>1639</v>
      </c>
      <c r="H310" s="35" t="s">
        <v>679</v>
      </c>
      <c r="I310" s="35" t="s">
        <v>1640</v>
      </c>
      <c r="J310" s="35"/>
      <c r="K310" s="35"/>
      <c r="L310" s="37"/>
      <c r="M310" s="37"/>
      <c r="N310" s="37"/>
      <c r="O310" s="68"/>
      <c r="P310" s="68"/>
      <c r="Q310" s="37"/>
      <c r="R310" s="37"/>
      <c r="S310" s="37"/>
      <c r="T310" s="68"/>
      <c r="U310" s="68"/>
      <c r="V310" s="35" t="s">
        <v>167</v>
      </c>
      <c r="W310" s="74">
        <v>1</v>
      </c>
      <c r="X310" s="39">
        <f>MAX(0,$AK310-$W310-$Z310)</f>
        <v>0</v>
      </c>
      <c r="Y310" s="35"/>
      <c r="Z310" s="35"/>
      <c r="AA310" s="35">
        <v>0.17</v>
      </c>
      <c r="AB310" s="41">
        <f>IF(AND($X310&gt;0,ISNUMBER($AA310)),$X310*$AA310,0)</f>
        <v>0</v>
      </c>
      <c r="AK310" s="39">
        <f>SUM(AL310:AR310)</f>
        <v>0</v>
      </c>
      <c r="AL310" s="90"/>
      <c r="AM310" s="38"/>
      <c r="AN310" s="38"/>
      <c r="AO310" s="38"/>
      <c r="AP310" s="38"/>
      <c r="AQ310" s="38"/>
      <c r="AR310" s="91"/>
      <c r="AS310" s="42">
        <f>SUM(AT310:AZ310)</f>
        <v>0</v>
      </c>
      <c r="AT310" s="48"/>
      <c r="AU310" s="48"/>
      <c r="AV310" s="48"/>
      <c r="AW310" s="48"/>
      <c r="AX310" s="48"/>
      <c r="AY310" s="48"/>
      <c r="AZ310" s="48"/>
      <c r="BA310" s="43">
        <f>IF((W310-SUM(AT310:AZ310))&lt;0,0,W310-SUM(AT310:AZ310))</f>
        <v>1</v>
      </c>
      <c r="BB310" s="35"/>
      <c r="BC310" s="37"/>
      <c r="BD310" s="37"/>
    </row>
    <row r="311" spans="1:56" ht="15" customHeight="1">
      <c r="A311" s="49" t="s">
        <v>1641</v>
      </c>
      <c r="B311" s="39" t="s">
        <v>1203</v>
      </c>
      <c r="C311" s="46" t="s">
        <v>65</v>
      </c>
      <c r="D311" s="49" t="s">
        <v>256</v>
      </c>
      <c r="E311" s="49"/>
      <c r="F311" s="39">
        <v>4</v>
      </c>
      <c r="G311" s="75" t="s">
        <v>1642</v>
      </c>
      <c r="H311" s="50" t="s">
        <v>815</v>
      </c>
      <c r="I311" s="50" t="s">
        <v>1643</v>
      </c>
      <c r="J311" s="50"/>
      <c r="K311" s="50"/>
      <c r="L311" s="47"/>
      <c r="M311" s="47"/>
      <c r="N311" s="47"/>
      <c r="O311" s="68"/>
      <c r="P311" s="68"/>
      <c r="Q311" s="47"/>
      <c r="R311" s="47"/>
      <c r="S311" s="47"/>
      <c r="T311" s="68"/>
      <c r="U311" s="68"/>
      <c r="V311" s="50" t="s">
        <v>145</v>
      </c>
      <c r="W311" s="74">
        <v>1</v>
      </c>
      <c r="X311" s="39">
        <f>MAX(0,$AK311-$W311-$Z311)</f>
        <v>0</v>
      </c>
      <c r="Y311" s="39"/>
      <c r="Z311" s="39"/>
      <c r="AA311" s="41">
        <v>3.49</v>
      </c>
      <c r="AB311" s="41">
        <f>IF(AND($X311&gt;0,ISNUMBER($AA311)),$X311*$AA311,0)</f>
        <v>0</v>
      </c>
      <c r="AK311" s="39">
        <f>SUM(AL311:AR311)</f>
        <v>0</v>
      </c>
      <c r="AL311" s="90"/>
      <c r="AM311" s="38"/>
      <c r="AN311" s="38"/>
      <c r="AO311" s="38"/>
      <c r="AP311" s="38"/>
      <c r="AQ311" s="38"/>
      <c r="AR311" s="91"/>
      <c r="AS311" s="42">
        <f>SUM(AT311:AZ311)</f>
        <v>0</v>
      </c>
      <c r="AT311" s="48"/>
      <c r="AU311" s="48"/>
      <c r="AV311" s="48"/>
      <c r="AW311" s="48"/>
      <c r="AX311" s="48"/>
      <c r="AY311" s="48"/>
      <c r="AZ311" s="48"/>
      <c r="BA311" s="43">
        <f>IF((W311-SUM(AT311:AZ311))&lt;0,0,W311-SUM(AT311:AZ311))</f>
        <v>1</v>
      </c>
      <c r="BB311" s="49"/>
      <c r="BC311" s="47"/>
      <c r="BD311" s="47"/>
    </row>
    <row r="312" spans="1:56" ht="15" customHeight="1">
      <c r="A312" s="49" t="s">
        <v>1644</v>
      </c>
      <c r="B312" s="39" t="s">
        <v>1203</v>
      </c>
      <c r="C312" s="46" t="s">
        <v>65</v>
      </c>
      <c r="D312" s="49" t="s">
        <v>84</v>
      </c>
      <c r="E312" s="49" t="s">
        <v>1645</v>
      </c>
      <c r="F312" s="39">
        <v>7</v>
      </c>
      <c r="G312" s="75" t="s">
        <v>1646</v>
      </c>
      <c r="H312" s="50" t="s">
        <v>1647</v>
      </c>
      <c r="I312" s="50" t="s">
        <v>1648</v>
      </c>
      <c r="J312" s="50" t="s">
        <v>1649</v>
      </c>
      <c r="K312" s="50" t="s">
        <v>1386</v>
      </c>
      <c r="L312" s="47"/>
      <c r="M312" s="47"/>
      <c r="N312" s="47"/>
      <c r="O312" s="68"/>
      <c r="P312" s="68"/>
      <c r="Q312" s="47"/>
      <c r="R312" s="47"/>
      <c r="S312" s="47"/>
      <c r="T312" s="68"/>
      <c r="U312" s="68"/>
      <c r="V312" s="50" t="s">
        <v>119</v>
      </c>
      <c r="W312" s="74">
        <v>4</v>
      </c>
      <c r="X312" s="39">
        <f>MAX(0,$AK312-$W312-$Z312)</f>
        <v>0</v>
      </c>
      <c r="Y312" s="39"/>
      <c r="Z312" s="39"/>
      <c r="AA312" s="41">
        <v>0.08</v>
      </c>
      <c r="AB312" s="41">
        <f>IF(AND($X312&gt;0,ISNUMBER($AA312)),$X312*$AA312,0)</f>
        <v>0</v>
      </c>
      <c r="AK312" s="39">
        <f>SUM(AL312:AR312)</f>
        <v>0</v>
      </c>
      <c r="AL312" s="90"/>
      <c r="AM312" s="38"/>
      <c r="AN312" s="38"/>
      <c r="AO312" s="38"/>
      <c r="AP312" s="38"/>
      <c r="AQ312" s="38"/>
      <c r="AR312" s="91"/>
      <c r="AS312" s="42">
        <f>SUM(AT312:AZ312)</f>
        <v>0</v>
      </c>
      <c r="AT312" s="48"/>
      <c r="AU312" s="48"/>
      <c r="AV312" s="48"/>
      <c r="AW312" s="48"/>
      <c r="AX312" s="48"/>
      <c r="AY312" s="48"/>
      <c r="AZ312" s="48"/>
      <c r="BA312" s="43">
        <f>IF((W312-SUM(AT312:AZ312))&lt;0,0,W312-SUM(AT312:AZ312))</f>
        <v>4</v>
      </c>
      <c r="BB312" s="49"/>
      <c r="BC312" s="47"/>
      <c r="BD312" s="47"/>
    </row>
    <row r="313" spans="1:56" ht="15" customHeight="1">
      <c r="A313" s="44" t="s">
        <v>1654</v>
      </c>
      <c r="B313" s="45" t="s">
        <v>1203</v>
      </c>
      <c r="C313" s="46" t="s">
        <v>65</v>
      </c>
      <c r="D313" s="44" t="s">
        <v>84</v>
      </c>
      <c r="E313" s="44" t="s">
        <v>1242</v>
      </c>
      <c r="F313" s="45">
        <v>2</v>
      </c>
      <c r="G313" s="75" t="s">
        <v>1655</v>
      </c>
      <c r="H313" s="44" t="s">
        <v>172</v>
      </c>
      <c r="I313" s="44" t="s">
        <v>1656</v>
      </c>
      <c r="J313" s="44" t="s">
        <v>1657</v>
      </c>
      <c r="K313" s="44" t="s">
        <v>1658</v>
      </c>
      <c r="L313" s="47"/>
      <c r="M313" s="47"/>
      <c r="N313" s="47"/>
      <c r="O313" s="68"/>
      <c r="P313" s="68"/>
      <c r="Q313" s="47"/>
      <c r="R313" s="47"/>
      <c r="S313" s="47"/>
      <c r="T313" s="68"/>
      <c r="U313" s="68"/>
      <c r="V313" s="44" t="s">
        <v>167</v>
      </c>
      <c r="W313" s="74">
        <v>1</v>
      </c>
      <c r="X313" s="39">
        <f>MAX(0,$AK313-$W313-$Z313)</f>
        <v>0</v>
      </c>
      <c r="Y313" s="44"/>
      <c r="Z313" s="44"/>
      <c r="AA313" s="44">
        <v>0.3</v>
      </c>
      <c r="AB313" s="44">
        <f>IF(AND($X313&gt;0,ISNUMBER($AA313)),$X313*$AA313,0)</f>
        <v>0</v>
      </c>
      <c r="AD313" t="s">
        <v>1420</v>
      </c>
      <c r="AK313" s="39">
        <f>SUM(AL313:AR313)</f>
        <v>1</v>
      </c>
      <c r="AL313" s="90"/>
      <c r="AM313" s="99">
        <v>1</v>
      </c>
      <c r="AN313" s="38"/>
      <c r="AO313" s="38"/>
      <c r="AP313" s="38"/>
      <c r="AQ313" s="38"/>
      <c r="AR313" s="91"/>
      <c r="AS313" s="42">
        <f>SUM(AT313:AZ313)</f>
        <v>1</v>
      </c>
      <c r="AT313" s="48"/>
      <c r="AU313" s="48">
        <v>1</v>
      </c>
      <c r="AV313" s="48"/>
      <c r="AW313" s="48"/>
      <c r="AX313" s="48"/>
      <c r="AY313" s="48"/>
      <c r="AZ313" s="48"/>
      <c r="BA313" s="43">
        <f>IF((W313-SUM(AT313:AZ313))&lt;0,0,W313-SUM(AT313:AZ313))</f>
        <v>0</v>
      </c>
      <c r="BB313" s="44"/>
      <c r="BC313" s="47"/>
      <c r="BD313" s="47"/>
    </row>
    <row r="314" spans="1:56" ht="15" customHeight="1">
      <c r="A314" s="49" t="s">
        <v>1659</v>
      </c>
      <c r="B314" s="39" t="s">
        <v>1203</v>
      </c>
      <c r="C314" s="46" t="s">
        <v>65</v>
      </c>
      <c r="D314" s="49" t="s">
        <v>84</v>
      </c>
      <c r="E314" s="49" t="s">
        <v>1237</v>
      </c>
      <c r="F314" s="39">
        <v>3</v>
      </c>
      <c r="G314" s="75" t="s">
        <v>1660</v>
      </c>
      <c r="H314" s="50" t="s">
        <v>293</v>
      </c>
      <c r="I314" s="50" t="s">
        <v>1661</v>
      </c>
      <c r="J314" s="50" t="s">
        <v>1662</v>
      </c>
      <c r="K314" s="50"/>
      <c r="L314" s="46"/>
      <c r="M314" s="46"/>
      <c r="N314" s="46"/>
      <c r="O314" s="46"/>
      <c r="P314" s="46"/>
      <c r="Q314" s="46"/>
      <c r="R314" s="46"/>
      <c r="S314" s="46"/>
      <c r="T314" s="46"/>
      <c r="U314" s="46"/>
      <c r="V314" s="50" t="s">
        <v>1663</v>
      </c>
      <c r="W314" s="74">
        <v>1</v>
      </c>
      <c r="X314" s="39">
        <f>MAX(0,$AK314-$W314-$Z314)</f>
        <v>0</v>
      </c>
      <c r="Y314" s="39"/>
      <c r="Z314" s="39"/>
      <c r="AA314" s="41">
        <v>0.21</v>
      </c>
      <c r="AB314" s="41">
        <f>IF(AND($X314&gt;0,ISNUMBER($AA314)),$X314*$AA314,0)</f>
        <v>0</v>
      </c>
      <c r="AF314" s="63" t="s">
        <v>1664</v>
      </c>
      <c r="AK314" s="39">
        <f>SUM(AL314:AR314)</f>
        <v>1</v>
      </c>
      <c r="AL314" s="90"/>
      <c r="AM314" s="38"/>
      <c r="AN314" s="38"/>
      <c r="AO314" s="99">
        <v>1</v>
      </c>
      <c r="AP314" s="38"/>
      <c r="AQ314" s="38"/>
      <c r="AR314" s="91"/>
      <c r="AS314" s="42">
        <f>SUM(AT314:AZ314)</f>
        <v>1</v>
      </c>
      <c r="AT314" s="48"/>
      <c r="AU314" s="48"/>
      <c r="AV314" s="48"/>
      <c r="AW314" s="48">
        <v>1</v>
      </c>
      <c r="AX314" s="48"/>
      <c r="AY314" s="48"/>
      <c r="AZ314" s="48"/>
      <c r="BA314" s="43">
        <f>IF((W314-SUM(AT314:AZ314))&lt;0,0,W314-SUM(AT314:AZ314))</f>
        <v>0</v>
      </c>
      <c r="BB314" s="49"/>
      <c r="BC314" s="47"/>
      <c r="BD314" s="47"/>
    </row>
    <row r="315" spans="1:56" ht="15" customHeight="1">
      <c r="A315" s="49" t="s">
        <v>1665</v>
      </c>
      <c r="B315" s="39" t="s">
        <v>1203</v>
      </c>
      <c r="C315" s="46" t="s">
        <v>65</v>
      </c>
      <c r="D315" s="49" t="s">
        <v>256</v>
      </c>
      <c r="E315" s="49"/>
      <c r="F315" s="39">
        <v>5</v>
      </c>
      <c r="G315" s="75" t="s">
        <v>1666</v>
      </c>
      <c r="H315" s="50" t="s">
        <v>153</v>
      </c>
      <c r="I315" s="50" t="s">
        <v>1667</v>
      </c>
      <c r="J315" s="50"/>
      <c r="K315" s="50"/>
      <c r="L315" s="47"/>
      <c r="M315" s="47"/>
      <c r="N315" s="47"/>
      <c r="O315" s="47"/>
      <c r="P315" s="47"/>
      <c r="Q315" s="47"/>
      <c r="R315" s="47"/>
      <c r="S315" s="47"/>
      <c r="T315" s="47"/>
      <c r="U315" s="47"/>
      <c r="V315" s="50" t="s">
        <v>344</v>
      </c>
      <c r="W315" s="74">
        <v>1</v>
      </c>
      <c r="X315" s="39">
        <f>MAX(0,$AK315-$W315-$Z315)</f>
        <v>0</v>
      </c>
      <c r="Y315" s="39"/>
      <c r="Z315" s="39"/>
      <c r="AA315" s="41">
        <v>0.76</v>
      </c>
      <c r="AB315" s="41">
        <f>IF(AND($X315&gt;0,ISNUMBER($AA315)),$X315*$AA315,0)</f>
        <v>0</v>
      </c>
      <c r="AK315" s="39">
        <f>SUM(AL315:AR315)</f>
        <v>1</v>
      </c>
      <c r="AL315" s="90"/>
      <c r="AM315" s="97">
        <v>1</v>
      </c>
      <c r="AN315" s="38"/>
      <c r="AO315" s="38"/>
      <c r="AP315" s="38"/>
      <c r="AQ315" s="38"/>
      <c r="AR315" s="91"/>
      <c r="AS315" s="42">
        <f>SUM(AT315:AZ315)</f>
        <v>1</v>
      </c>
      <c r="AT315" s="48"/>
      <c r="AU315" s="48">
        <v>1</v>
      </c>
      <c r="AV315" s="48"/>
      <c r="AW315" s="48"/>
      <c r="AX315" s="48"/>
      <c r="AY315" s="48"/>
      <c r="AZ315" s="48"/>
      <c r="BA315" s="43">
        <f>IF((W315-SUM(AT315:AZ315))&lt;0,0,W315-SUM(AT315:AZ315))</f>
        <v>0</v>
      </c>
      <c r="BB315" s="49"/>
      <c r="BC315" s="47"/>
      <c r="BD315" s="47"/>
    </row>
    <row r="316" spans="1:56" ht="15" customHeight="1">
      <c r="A316" s="49" t="s">
        <v>1672</v>
      </c>
      <c r="B316" s="39" t="s">
        <v>64</v>
      </c>
      <c r="C316" s="46" t="s">
        <v>65</v>
      </c>
      <c r="D316" s="49" t="s">
        <v>68</v>
      </c>
      <c r="E316" s="49"/>
      <c r="F316" s="39">
        <v>0</v>
      </c>
      <c r="G316" s="75" t="s">
        <v>1673</v>
      </c>
      <c r="H316" s="50" t="s">
        <v>68</v>
      </c>
      <c r="I316" s="50" t="s">
        <v>323</v>
      </c>
      <c r="J316" s="50" t="s">
        <v>1674</v>
      </c>
      <c r="K316" s="50"/>
      <c r="L316" s="47"/>
      <c r="M316" s="47"/>
      <c r="N316" s="47"/>
      <c r="O316" s="68"/>
      <c r="P316" s="68"/>
      <c r="Q316" s="47"/>
      <c r="R316" s="47"/>
      <c r="S316" s="47"/>
      <c r="T316" s="68"/>
      <c r="U316" s="68"/>
      <c r="V316" s="50" t="s">
        <v>383</v>
      </c>
      <c r="W316" s="74">
        <v>1</v>
      </c>
      <c r="X316" s="39">
        <f>MAX(0,$AK316-$W316-$Z316)</f>
        <v>0</v>
      </c>
      <c r="Y316" s="39"/>
      <c r="Z316" s="39"/>
      <c r="AA316" s="41">
        <v>0.4</v>
      </c>
      <c r="AB316" s="41">
        <f>IF(AND($X316&gt;0,ISNUMBER($AA316)),$X316*$AA316,0)</f>
        <v>0</v>
      </c>
      <c r="AE316" s="63"/>
      <c r="AK316" s="39">
        <f>SUM(AL316:AR316)</f>
        <v>0</v>
      </c>
      <c r="AL316" s="90"/>
      <c r="AM316" s="38"/>
      <c r="AN316" s="38"/>
      <c r="AO316" s="38"/>
      <c r="AP316" s="38"/>
      <c r="AQ316" s="97"/>
      <c r="AR316" s="91"/>
      <c r="AS316" s="42">
        <f>SUM(AT316:AZ316)</f>
        <v>0</v>
      </c>
      <c r="AT316" s="48"/>
      <c r="AU316" s="48"/>
      <c r="AV316" s="48"/>
      <c r="AW316" s="48"/>
      <c r="AX316" s="48"/>
      <c r="AY316" s="48"/>
      <c r="AZ316" s="48"/>
      <c r="BA316" s="43">
        <f>IF((W316-SUM(AT316:AZ316))&lt;0,0,W316-SUM(AT316:AZ316))</f>
        <v>1</v>
      </c>
      <c r="BB316" s="49"/>
      <c r="BC316" s="47"/>
      <c r="BD316" s="47"/>
    </row>
    <row r="317" spans="1:56" ht="15" customHeight="1">
      <c r="A317" s="49" t="s">
        <v>1675</v>
      </c>
      <c r="B317" s="39" t="s">
        <v>64</v>
      </c>
      <c r="C317" s="46" t="s">
        <v>65</v>
      </c>
      <c r="D317" s="49" t="s">
        <v>68</v>
      </c>
      <c r="E317" s="49"/>
      <c r="F317" s="39">
        <v>0</v>
      </c>
      <c r="G317" s="75" t="s">
        <v>1676</v>
      </c>
      <c r="H317" s="50" t="s">
        <v>68</v>
      </c>
      <c r="I317" s="50" t="s">
        <v>1677</v>
      </c>
      <c r="J317" s="50" t="s">
        <v>1678</v>
      </c>
      <c r="K317" s="50"/>
      <c r="L317" s="108" t="s">
        <v>1679</v>
      </c>
      <c r="M317" s="46">
        <v>1</v>
      </c>
      <c r="N317" s="46">
        <v>1</v>
      </c>
      <c r="O317" s="68" t="s">
        <v>1680</v>
      </c>
      <c r="P317" s="110">
        <v>0.28999999999999998</v>
      </c>
      <c r="Q317" s="47"/>
      <c r="R317" s="47"/>
      <c r="S317" s="47"/>
      <c r="T317" s="68"/>
      <c r="U317" s="68"/>
      <c r="V317" s="50" t="s">
        <v>568</v>
      </c>
      <c r="W317" s="74">
        <v>1</v>
      </c>
      <c r="X317" s="39">
        <f>MAX(0,$AK317-$W317-$Z317)</f>
        <v>0</v>
      </c>
      <c r="Y317" s="39"/>
      <c r="Z317" s="39"/>
      <c r="AA317" s="41">
        <v>0.28999999999999998</v>
      </c>
      <c r="AB317" s="41">
        <f>IF(AND($X317&gt;0,ISNUMBER($AA317)),$X317*$AA317,0)</f>
        <v>0</v>
      </c>
      <c r="AK317" s="39">
        <f>SUM(AL317:AR317)</f>
        <v>0</v>
      </c>
      <c r="AL317" s="90"/>
      <c r="AM317" s="38"/>
      <c r="AN317" s="38"/>
      <c r="AO317" s="38"/>
      <c r="AP317" s="38"/>
      <c r="AQ317" s="38"/>
      <c r="AR317" s="91"/>
      <c r="AS317" s="42">
        <f>SUM(AT317:AZ317)</f>
        <v>0</v>
      </c>
      <c r="AT317" s="48"/>
      <c r="AU317" s="48"/>
      <c r="AV317" s="48"/>
      <c r="AW317" s="48"/>
      <c r="AX317" s="48"/>
      <c r="AY317" s="48"/>
      <c r="AZ317" s="48"/>
      <c r="BA317" s="43">
        <f>IF((W317-SUM(AT317:AZ317))&lt;0,0,W317-SUM(AT317:AZ317))</f>
        <v>1</v>
      </c>
      <c r="BB317" s="49"/>
      <c r="BC317" s="47"/>
      <c r="BD317" s="47"/>
    </row>
    <row r="318" spans="1:56" ht="15" customHeight="1">
      <c r="A318" s="49" t="s">
        <v>1681</v>
      </c>
      <c r="B318" s="39" t="s">
        <v>64</v>
      </c>
      <c r="C318" s="46" t="s">
        <v>65</v>
      </c>
      <c r="D318" s="49" t="s">
        <v>68</v>
      </c>
      <c r="E318" s="49"/>
      <c r="F318" s="39">
        <v>0</v>
      </c>
      <c r="G318" s="75" t="s">
        <v>1682</v>
      </c>
      <c r="H318" s="50" t="s">
        <v>68</v>
      </c>
      <c r="I318" s="50" t="s">
        <v>1683</v>
      </c>
      <c r="J318" s="50" t="s">
        <v>1684</v>
      </c>
      <c r="K318" s="50"/>
      <c r="L318" s="47"/>
      <c r="M318" s="47"/>
      <c r="N318" s="47"/>
      <c r="O318" s="47"/>
      <c r="P318" s="47"/>
      <c r="Q318" s="47"/>
      <c r="R318" s="47"/>
      <c r="S318" s="47"/>
      <c r="T318" s="47"/>
      <c r="U318" s="47"/>
      <c r="V318" s="50" t="s">
        <v>1304</v>
      </c>
      <c r="W318" s="74">
        <v>1</v>
      </c>
      <c r="X318" s="39">
        <f>MAX(0,$AK318-$W318-$Z318)</f>
        <v>0</v>
      </c>
      <c r="Y318" s="39"/>
      <c r="Z318" s="39"/>
      <c r="AA318" s="41">
        <v>0.38</v>
      </c>
      <c r="AB318" s="41">
        <f>IF(AND($X318&gt;0,ISNUMBER($AA318)),$X318*$AA318,0)</f>
        <v>0</v>
      </c>
      <c r="AK318" s="39">
        <f>SUM(AL318:AR318)</f>
        <v>1</v>
      </c>
      <c r="AL318" s="90"/>
      <c r="AM318" s="38"/>
      <c r="AN318" s="97">
        <v>1</v>
      </c>
      <c r="AO318" s="38"/>
      <c r="AP318" s="38"/>
      <c r="AQ318" s="38"/>
      <c r="AR318" s="91"/>
      <c r="AS318" s="42">
        <f>SUM(AT318:AZ318)</f>
        <v>1</v>
      </c>
      <c r="AT318" s="48"/>
      <c r="AU318" s="48"/>
      <c r="AV318" s="48">
        <v>1</v>
      </c>
      <c r="AW318" s="48"/>
      <c r="AX318" s="48"/>
      <c r="AY318" s="48"/>
      <c r="AZ318" s="48"/>
      <c r="BA318" s="43">
        <f>IF((W318-SUM(AT318:AZ318))&lt;0,0,W318-SUM(AT318:AZ318))</f>
        <v>0</v>
      </c>
      <c r="BB318" s="49"/>
      <c r="BC318" s="47"/>
      <c r="BD318" s="47"/>
    </row>
    <row r="319" spans="1:56" ht="15" customHeight="1">
      <c r="A319" s="49" t="s">
        <v>1685</v>
      </c>
      <c r="B319" s="39" t="s">
        <v>64</v>
      </c>
      <c r="C319" s="46" t="s">
        <v>65</v>
      </c>
      <c r="D319" s="49" t="s">
        <v>68</v>
      </c>
      <c r="E319" s="49"/>
      <c r="F319" s="39">
        <v>0</v>
      </c>
      <c r="G319" s="75" t="s">
        <v>1686</v>
      </c>
      <c r="H319" s="50" t="s">
        <v>68</v>
      </c>
      <c r="I319" s="50" t="s">
        <v>323</v>
      </c>
      <c r="J319" s="50" t="s">
        <v>1687</v>
      </c>
      <c r="K319" s="50"/>
      <c r="L319" s="47"/>
      <c r="M319" s="47"/>
      <c r="N319" s="47"/>
      <c r="O319" s="47"/>
      <c r="P319" s="47"/>
      <c r="Q319" s="47"/>
      <c r="R319" s="47"/>
      <c r="S319" s="47"/>
      <c r="T319" s="47"/>
      <c r="U319" s="47"/>
      <c r="V319" s="50" t="s">
        <v>1688</v>
      </c>
      <c r="W319" s="74">
        <v>1</v>
      </c>
      <c r="X319" s="39">
        <f>MAX(0,$AK319-$W319-$Z319)</f>
        <v>0</v>
      </c>
      <c r="Y319" s="39"/>
      <c r="Z319" s="39"/>
      <c r="AA319" s="41">
        <v>0.25</v>
      </c>
      <c r="AB319" s="41">
        <f>IF(AND($X319&gt;0,ISNUMBER($AA319)),$X319*$AA319,0)</f>
        <v>0</v>
      </c>
      <c r="AF319" s="63"/>
      <c r="AK319" s="39">
        <f>SUM(AL319:AR319)</f>
        <v>1</v>
      </c>
      <c r="AL319" s="90"/>
      <c r="AM319" s="38"/>
      <c r="AN319" s="38"/>
      <c r="AO319" s="98">
        <v>1</v>
      </c>
      <c r="AP319" s="38"/>
      <c r="AQ319" s="38"/>
      <c r="AR319" s="91"/>
      <c r="AS319" s="42">
        <f>SUM(AT319:AZ319)</f>
        <v>1</v>
      </c>
      <c r="AT319" s="48"/>
      <c r="AU319" s="48"/>
      <c r="AV319" s="48"/>
      <c r="AW319" s="48">
        <v>1</v>
      </c>
      <c r="AX319" s="48"/>
      <c r="AY319" s="48"/>
      <c r="AZ319" s="48"/>
      <c r="BA319" s="43">
        <f>IF((W319-SUM(AT319:AZ319))&lt;0,0,W319-SUM(AT319:AZ319))</f>
        <v>0</v>
      </c>
      <c r="BB319" s="49"/>
      <c r="BC319" s="47"/>
      <c r="BD319" s="47"/>
    </row>
    <row r="320" spans="1:56" ht="15" customHeight="1">
      <c r="A320" s="49" t="s">
        <v>1689</v>
      </c>
      <c r="B320" s="39" t="s">
        <v>64</v>
      </c>
      <c r="C320" s="46" t="s">
        <v>65</v>
      </c>
      <c r="D320" s="49" t="s">
        <v>68</v>
      </c>
      <c r="E320" s="49"/>
      <c r="F320" s="39">
        <v>0</v>
      </c>
      <c r="G320" s="75" t="s">
        <v>1690</v>
      </c>
      <c r="H320" s="50" t="s">
        <v>68</v>
      </c>
      <c r="I320" s="50" t="s">
        <v>1691</v>
      </c>
      <c r="J320" s="50" t="s">
        <v>355</v>
      </c>
      <c r="K320" s="50"/>
      <c r="L320" s="47"/>
      <c r="M320" s="47"/>
      <c r="N320" s="47"/>
      <c r="O320" s="47"/>
      <c r="P320" s="47"/>
      <c r="Q320" s="47"/>
      <c r="R320" s="47"/>
      <c r="S320" s="47"/>
      <c r="T320" s="47"/>
      <c r="U320" s="47"/>
      <c r="V320" s="50" t="s">
        <v>904</v>
      </c>
      <c r="W320" s="74">
        <v>1</v>
      </c>
      <c r="X320" s="39">
        <f>MAX(0,$AK320-$W320-$Z320)</f>
        <v>0</v>
      </c>
      <c r="Y320" s="39"/>
      <c r="Z320" s="39"/>
      <c r="AA320" s="41">
        <v>0.32</v>
      </c>
      <c r="AB320" s="41">
        <f>IF(AND($X320&gt;0,ISNUMBER($AA320)),$X320*$AA320,0)</f>
        <v>0</v>
      </c>
      <c r="AK320" s="39">
        <f>SUM(AL320:AR320)</f>
        <v>1</v>
      </c>
      <c r="AL320" s="90"/>
      <c r="AM320" s="97">
        <v>1</v>
      </c>
      <c r="AN320" s="38"/>
      <c r="AO320" s="38"/>
      <c r="AP320" s="38"/>
      <c r="AQ320" s="38"/>
      <c r="AR320" s="91"/>
      <c r="AS320" s="42">
        <f>SUM(AT320:AZ320)</f>
        <v>1</v>
      </c>
      <c r="AT320" s="48"/>
      <c r="AU320" s="48">
        <v>1</v>
      </c>
      <c r="AV320" s="48"/>
      <c r="AW320" s="48"/>
      <c r="AX320" s="48"/>
      <c r="AY320" s="48"/>
      <c r="AZ320" s="48"/>
      <c r="BA320" s="43">
        <f>IF((W320-SUM(AT320:AZ320))&lt;0,0,W320-SUM(AT320:AZ320))</f>
        <v>0</v>
      </c>
      <c r="BB320" s="49"/>
      <c r="BC320" s="47"/>
      <c r="BD320" s="47"/>
    </row>
    <row r="321" spans="1:56" ht="15" customHeight="1">
      <c r="A321" s="49" t="s">
        <v>1692</v>
      </c>
      <c r="B321" s="39" t="s">
        <v>64</v>
      </c>
      <c r="C321" s="46" t="s">
        <v>65</v>
      </c>
      <c r="D321" s="49" t="s">
        <v>68</v>
      </c>
      <c r="E321" s="49" t="s">
        <v>214</v>
      </c>
      <c r="F321" s="39">
        <v>0</v>
      </c>
      <c r="G321" s="75" t="s">
        <v>1693</v>
      </c>
      <c r="H321" s="50" t="s">
        <v>68</v>
      </c>
      <c r="I321" s="50" t="s">
        <v>1694</v>
      </c>
      <c r="J321" s="50"/>
      <c r="K321" s="50"/>
      <c r="L321" s="46"/>
      <c r="M321" s="46"/>
      <c r="N321" s="46"/>
      <c r="O321" s="68"/>
      <c r="P321" s="68"/>
      <c r="Q321" s="46"/>
      <c r="R321" s="46"/>
      <c r="S321" s="46"/>
      <c r="T321" s="68"/>
      <c r="U321" s="68"/>
      <c r="V321" s="50" t="s">
        <v>491</v>
      </c>
      <c r="W321" s="74">
        <v>2</v>
      </c>
      <c r="X321" s="39">
        <f>MAX(0,$AK321-$W321-$Z321)</f>
        <v>0</v>
      </c>
      <c r="Y321" s="39"/>
      <c r="Z321" s="39"/>
      <c r="AA321" s="41">
        <v>0.12</v>
      </c>
      <c r="AB321" s="41">
        <f>IF(AND($X321&gt;0,ISNUMBER($AA321)),$X321*$AA321,0)</f>
        <v>0</v>
      </c>
      <c r="AK321" s="39">
        <f>SUM(AL321:AR321)</f>
        <v>2</v>
      </c>
      <c r="AL321" s="90"/>
      <c r="AM321" s="97">
        <v>1</v>
      </c>
      <c r="AN321" s="97">
        <v>1</v>
      </c>
      <c r="AO321" s="38"/>
      <c r="AP321" s="38"/>
      <c r="AQ321" s="38"/>
      <c r="AR321" s="91"/>
      <c r="AS321" s="42">
        <f>SUM(AT321:AZ321)</f>
        <v>2</v>
      </c>
      <c r="AT321" s="48"/>
      <c r="AU321" s="48">
        <v>1</v>
      </c>
      <c r="AV321" s="48">
        <v>1</v>
      </c>
      <c r="AW321" s="48"/>
      <c r="AX321" s="48"/>
      <c r="AY321" s="48"/>
      <c r="AZ321" s="48"/>
      <c r="BA321" s="43">
        <f>IF((W321-SUM(AT321:AZ321))&lt;0,0,W321-SUM(AT321:AZ321))</f>
        <v>0</v>
      </c>
      <c r="BB321" s="49"/>
      <c r="BC321" s="47"/>
      <c r="BD321" s="55" t="s">
        <v>1695</v>
      </c>
    </row>
    <row r="322" spans="1:56" ht="15" customHeight="1">
      <c r="A322" s="49" t="s">
        <v>1696</v>
      </c>
      <c r="B322" s="39" t="s">
        <v>64</v>
      </c>
      <c r="C322" s="46" t="s">
        <v>65</v>
      </c>
      <c r="D322" s="49" t="s">
        <v>68</v>
      </c>
      <c r="E322" s="49"/>
      <c r="F322" s="39">
        <v>0</v>
      </c>
      <c r="G322" s="75" t="s">
        <v>1697</v>
      </c>
      <c r="H322" s="50" t="s">
        <v>68</v>
      </c>
      <c r="I322" s="50" t="s">
        <v>323</v>
      </c>
      <c r="J322" s="50" t="s">
        <v>1698</v>
      </c>
      <c r="K322" s="50"/>
      <c r="L322" s="46"/>
      <c r="M322" s="46"/>
      <c r="N322" s="46"/>
      <c r="O322" s="46"/>
      <c r="P322" s="46"/>
      <c r="Q322" s="46"/>
      <c r="R322" s="46"/>
      <c r="S322" s="46"/>
      <c r="T322" s="46"/>
      <c r="U322" s="46"/>
      <c r="V322" s="50" t="s">
        <v>1304</v>
      </c>
      <c r="W322" s="74">
        <v>1</v>
      </c>
      <c r="X322" s="39">
        <f>MAX(0,$AK322-$W322-$Z322)</f>
        <v>0</v>
      </c>
      <c r="Y322" s="39"/>
      <c r="Z322" s="39"/>
      <c r="AA322" s="41">
        <v>0.34</v>
      </c>
      <c r="AB322" s="41">
        <f>IF(AND($X322&gt;0,ISNUMBER($AA322)),$X322*$AA322,0)</f>
        <v>0</v>
      </c>
      <c r="AD322" s="63"/>
      <c r="AK322" s="39">
        <f>SUM(AL322:AR322)</f>
        <v>1</v>
      </c>
      <c r="AL322" s="90"/>
      <c r="AM322" s="98">
        <v>1</v>
      </c>
      <c r="AN322" s="38"/>
      <c r="AO322" s="38"/>
      <c r="AP322" s="38"/>
      <c r="AQ322" s="38"/>
      <c r="AR322" s="91"/>
      <c r="AS322" s="42">
        <f>SUM(AT322:AZ322)</f>
        <v>1</v>
      </c>
      <c r="AT322" s="48"/>
      <c r="AU322" s="48">
        <v>1</v>
      </c>
      <c r="AV322" s="48"/>
      <c r="AW322" s="48"/>
      <c r="AX322" s="48"/>
      <c r="AY322" s="48"/>
      <c r="AZ322" s="48"/>
      <c r="BA322" s="43">
        <f>IF((W322-SUM(AT322:AZ322))&lt;0,0,W322-SUM(AT322:AZ322))</f>
        <v>0</v>
      </c>
      <c r="BB322" s="49"/>
      <c r="BC322" s="47"/>
      <c r="BD322" s="47"/>
    </row>
    <row r="323" spans="1:56" ht="15" customHeight="1">
      <c r="A323" s="49" t="s">
        <v>1699</v>
      </c>
      <c r="B323" s="39" t="s">
        <v>64</v>
      </c>
      <c r="C323" s="46" t="s">
        <v>65</v>
      </c>
      <c r="D323" s="49" t="s">
        <v>68</v>
      </c>
      <c r="E323" s="49"/>
      <c r="F323" s="39">
        <v>0</v>
      </c>
      <c r="G323" s="75" t="s">
        <v>1700</v>
      </c>
      <c r="H323" s="50" t="s">
        <v>68</v>
      </c>
      <c r="I323" s="50" t="s">
        <v>323</v>
      </c>
      <c r="J323" s="50" t="s">
        <v>1701</v>
      </c>
      <c r="K323" s="50"/>
      <c r="L323" s="46"/>
      <c r="M323" s="46"/>
      <c r="N323" s="46"/>
      <c r="O323" s="46"/>
      <c r="P323" s="46"/>
      <c r="Q323" s="46"/>
      <c r="R323" s="46"/>
      <c r="S323" s="46"/>
      <c r="T323" s="46"/>
      <c r="U323" s="46"/>
      <c r="V323" s="50" t="s">
        <v>747</v>
      </c>
      <c r="W323" s="74">
        <v>1</v>
      </c>
      <c r="X323" s="39">
        <f>MAX(0,$AK323-$W323-$Z323)</f>
        <v>0</v>
      </c>
      <c r="Y323" s="39"/>
      <c r="Z323" s="39"/>
      <c r="AA323" s="41">
        <v>0.34</v>
      </c>
      <c r="AB323" s="41">
        <f>IF(AND($X323&gt;0,ISNUMBER($AA323)),$X323*$AA323,0)</f>
        <v>0</v>
      </c>
      <c r="AK323" s="39">
        <f>SUM(AL323:AR323)</f>
        <v>1</v>
      </c>
      <c r="AL323" s="102">
        <v>1</v>
      </c>
      <c r="AM323" s="38"/>
      <c r="AN323" s="38"/>
      <c r="AO323" s="38"/>
      <c r="AP323" s="38"/>
      <c r="AQ323" s="38"/>
      <c r="AR323" s="91"/>
      <c r="AS323" s="42">
        <f>SUM(AT323:AZ323)</f>
        <v>1</v>
      </c>
      <c r="AT323" s="48">
        <v>1</v>
      </c>
      <c r="AU323" s="48"/>
      <c r="AV323" s="48"/>
      <c r="AW323" s="48"/>
      <c r="AX323" s="48"/>
      <c r="AY323" s="48"/>
      <c r="AZ323" s="48"/>
      <c r="BA323" s="43">
        <f>IF((W323-SUM(AT323:AZ323))&lt;0,0,W323-SUM(AT323:AZ323))</f>
        <v>0</v>
      </c>
      <c r="BB323" s="49"/>
      <c r="BC323" s="47"/>
      <c r="BD323" s="47"/>
    </row>
    <row r="324" spans="1:56" ht="15" customHeight="1">
      <c r="A324" s="49" t="s">
        <v>1702</v>
      </c>
      <c r="B324" s="39" t="s">
        <v>64</v>
      </c>
      <c r="C324" s="46" t="s">
        <v>65</v>
      </c>
      <c r="D324" s="49" t="s">
        <v>68</v>
      </c>
      <c r="E324" s="49"/>
      <c r="F324" s="39">
        <v>0</v>
      </c>
      <c r="G324" s="75" t="s">
        <v>1703</v>
      </c>
      <c r="H324" s="50" t="s">
        <v>68</v>
      </c>
      <c r="I324" s="50" t="s">
        <v>1704</v>
      </c>
      <c r="J324" s="50" t="s">
        <v>1684</v>
      </c>
      <c r="K324" s="50" t="s">
        <v>358</v>
      </c>
      <c r="L324" s="46"/>
      <c r="M324" s="46"/>
      <c r="N324" s="46"/>
      <c r="O324" s="46"/>
      <c r="P324" s="46"/>
      <c r="Q324" s="46"/>
      <c r="R324" s="46"/>
      <c r="S324" s="46"/>
      <c r="T324" s="46"/>
      <c r="U324" s="46"/>
      <c r="V324" s="50" t="s">
        <v>359</v>
      </c>
      <c r="W324" s="74">
        <v>2</v>
      </c>
      <c r="X324" s="39">
        <f>MAX(0,$AK324-$W324-$Z324)</f>
        <v>0</v>
      </c>
      <c r="Y324" s="39"/>
      <c r="Z324" s="39"/>
      <c r="AA324" s="41">
        <v>0.19</v>
      </c>
      <c r="AB324" s="41">
        <f>IF(AND($X324&gt;0,ISNUMBER($AA324)),$X324*$AA324,0)</f>
        <v>0</v>
      </c>
      <c r="AK324" s="39">
        <f>SUM(AL324:AR324)</f>
        <v>2</v>
      </c>
      <c r="AL324" s="90"/>
      <c r="AM324" s="97">
        <v>1</v>
      </c>
      <c r="AN324" s="38"/>
      <c r="AO324" s="97">
        <v>1</v>
      </c>
      <c r="AP324" s="38"/>
      <c r="AQ324" s="38"/>
      <c r="AR324" s="91"/>
      <c r="AS324" s="42">
        <f>SUM(AT324:AZ324)</f>
        <v>2</v>
      </c>
      <c r="AT324" s="48"/>
      <c r="AU324" s="48">
        <v>1</v>
      </c>
      <c r="AV324" s="48"/>
      <c r="AW324" s="48">
        <v>1</v>
      </c>
      <c r="AX324" s="48"/>
      <c r="AY324" s="48"/>
      <c r="AZ324" s="48"/>
      <c r="BA324" s="43">
        <f>IF((W324-SUM(AT324:AZ324))&lt;0,0,W324-SUM(AT324:AZ324))</f>
        <v>0</v>
      </c>
      <c r="BB324" s="49"/>
      <c r="BC324" s="47"/>
      <c r="BD324" s="47"/>
    </row>
    <row r="325" spans="1:56" ht="15" customHeight="1">
      <c r="A325" s="49" t="s">
        <v>1705</v>
      </c>
      <c r="B325" s="39" t="s">
        <v>64</v>
      </c>
      <c r="C325" s="46" t="s">
        <v>83</v>
      </c>
      <c r="D325" s="49" t="s">
        <v>68</v>
      </c>
      <c r="E325" s="49"/>
      <c r="F325" s="39">
        <v>0</v>
      </c>
      <c r="G325" s="75" t="s">
        <v>1706</v>
      </c>
      <c r="H325" s="50" t="s">
        <v>68</v>
      </c>
      <c r="I325" s="50" t="s">
        <v>1143</v>
      </c>
      <c r="J325" s="50" t="s">
        <v>1707</v>
      </c>
      <c r="K325" s="50"/>
      <c r="L325" s="47"/>
      <c r="M325" s="47"/>
      <c r="N325" s="47"/>
      <c r="O325" s="47"/>
      <c r="P325" s="47"/>
      <c r="Q325" s="47"/>
      <c r="R325" s="47"/>
      <c r="S325" s="47"/>
      <c r="T325" s="47"/>
      <c r="U325" s="47"/>
      <c r="V325" s="50" t="s">
        <v>261</v>
      </c>
      <c r="W325" s="74">
        <v>0</v>
      </c>
      <c r="X325" s="39">
        <f>MAX(0,$AK325-$W325-$Z325)</f>
        <v>0</v>
      </c>
      <c r="Y325" s="39"/>
      <c r="Z325" s="39"/>
      <c r="AA325" s="41">
        <v>0.35</v>
      </c>
      <c r="AB325" s="41">
        <f>IF(AND($X325&gt;0,ISNUMBER($AA325)),$X325*$AA325,0)</f>
        <v>0</v>
      </c>
      <c r="AC325" s="59"/>
      <c r="AD325" s="59"/>
      <c r="AE325" s="59"/>
      <c r="AF325" s="59"/>
      <c r="AG325" s="59"/>
      <c r="AH325" s="59"/>
      <c r="AI325" s="59"/>
      <c r="AJ325" s="59"/>
      <c r="AK325" s="39">
        <f>SUM(AL325:AR325)</f>
        <v>0</v>
      </c>
      <c r="AL325" s="114"/>
      <c r="AM325" s="43"/>
      <c r="AN325" s="43"/>
      <c r="AO325" s="43"/>
      <c r="AP325" s="43"/>
      <c r="AQ325" s="43"/>
      <c r="AR325" s="116"/>
      <c r="AS325" s="42">
        <f>SUM(AT325:AZ325)</f>
        <v>0</v>
      </c>
      <c r="AT325" s="48"/>
      <c r="AU325" s="48"/>
      <c r="AV325" s="48"/>
      <c r="AW325" s="48"/>
      <c r="AX325" s="48"/>
      <c r="AY325" s="48"/>
      <c r="AZ325" s="48"/>
      <c r="BA325" s="43">
        <f>IF((W325-SUM(AT325:AZ325))&lt;0,0,W325-SUM(AT325:AZ325))</f>
        <v>0</v>
      </c>
      <c r="BB325" s="49"/>
      <c r="BC325" s="47"/>
      <c r="BD325" s="47"/>
    </row>
    <row r="326" spans="1:56" ht="15" customHeight="1">
      <c r="A326" s="49" t="s">
        <v>1708</v>
      </c>
      <c r="B326" s="39" t="s">
        <v>64</v>
      </c>
      <c r="C326" s="46" t="s">
        <v>65</v>
      </c>
      <c r="D326" s="49" t="s">
        <v>68</v>
      </c>
      <c r="E326" s="49"/>
      <c r="F326" s="39">
        <v>0</v>
      </c>
      <c r="G326" s="75" t="s">
        <v>1709</v>
      </c>
      <c r="H326" s="50" t="s">
        <v>68</v>
      </c>
      <c r="I326" s="50" t="s">
        <v>1710</v>
      </c>
      <c r="J326" s="50"/>
      <c r="K326" s="50"/>
      <c r="L326" s="47"/>
      <c r="M326" s="47"/>
      <c r="N326" s="47"/>
      <c r="O326" s="47"/>
      <c r="P326" s="47"/>
      <c r="Q326" s="47"/>
      <c r="R326" s="47"/>
      <c r="S326" s="47"/>
      <c r="T326" s="47"/>
      <c r="U326" s="47"/>
      <c r="V326" s="50" t="s">
        <v>1471</v>
      </c>
      <c r="W326" s="74">
        <v>0</v>
      </c>
      <c r="X326" s="39">
        <f>MAX(0,$AK326-$W326-$Z326)</f>
        <v>0</v>
      </c>
      <c r="Y326" s="39"/>
      <c r="Z326" s="39"/>
      <c r="AA326" s="41">
        <v>1.71</v>
      </c>
      <c r="AB326" s="41">
        <f>IF(AND($X326&gt;0,ISNUMBER($AA326)),$X326*$AA326,0)</f>
        <v>0</v>
      </c>
      <c r="AC326" s="59"/>
      <c r="AD326" s="59"/>
      <c r="AE326" s="59"/>
      <c r="AF326" s="59"/>
      <c r="AG326" s="59"/>
      <c r="AH326" s="59"/>
      <c r="AI326" s="59"/>
      <c r="AJ326" s="59"/>
      <c r="AK326" s="39">
        <f>SUM(AL326:AR326)</f>
        <v>0</v>
      </c>
      <c r="AL326" s="114"/>
      <c r="AM326" s="43"/>
      <c r="AN326" s="43"/>
      <c r="AO326" s="43"/>
      <c r="AP326" s="43"/>
      <c r="AQ326" s="43"/>
      <c r="AR326" s="116"/>
      <c r="AS326" s="42">
        <f>SUM(AT326:AZ326)</f>
        <v>0</v>
      </c>
      <c r="AT326" s="48"/>
      <c r="AU326" s="48"/>
      <c r="AV326" s="48"/>
      <c r="AW326" s="48"/>
      <c r="AX326" s="48"/>
      <c r="AY326" s="48"/>
      <c r="AZ326" s="48"/>
      <c r="BA326" s="43">
        <f>IF((W326-SUM(AT326:AZ326))&lt;0,0,W326-SUM(AT326:AZ326))</f>
        <v>0</v>
      </c>
      <c r="BB326" s="49"/>
      <c r="BC326" s="47"/>
      <c r="BD326" s="53"/>
    </row>
    <row r="327" spans="1:56" ht="15" customHeight="1">
      <c r="A327" s="49" t="s">
        <v>1711</v>
      </c>
      <c r="B327" s="39" t="s">
        <v>64</v>
      </c>
      <c r="C327" s="46" t="s">
        <v>65</v>
      </c>
      <c r="D327" s="49" t="s">
        <v>68</v>
      </c>
      <c r="E327" s="49"/>
      <c r="F327" s="39">
        <v>0</v>
      </c>
      <c r="G327" s="75" t="s">
        <v>1712</v>
      </c>
      <c r="H327" s="50" t="s">
        <v>68</v>
      </c>
      <c r="I327" s="50" t="s">
        <v>323</v>
      </c>
      <c r="J327" s="50" t="s">
        <v>1713</v>
      </c>
      <c r="K327" s="50"/>
      <c r="L327" s="47"/>
      <c r="M327" s="47"/>
      <c r="N327" s="47"/>
      <c r="O327" s="47"/>
      <c r="P327" s="47"/>
      <c r="Q327" s="47"/>
      <c r="R327" s="47"/>
      <c r="S327" s="47"/>
      <c r="T327" s="47"/>
      <c r="U327" s="47"/>
      <c r="V327" s="50" t="s">
        <v>1127</v>
      </c>
      <c r="W327" s="74">
        <v>1</v>
      </c>
      <c r="X327" s="39">
        <f>MAX(0,$AK327-$W327-$Z327)</f>
        <v>0</v>
      </c>
      <c r="Y327" s="39"/>
      <c r="Z327" s="39"/>
      <c r="AA327" s="41">
        <v>0.39</v>
      </c>
      <c r="AB327" s="41">
        <f>IF(AND($X327&gt;0,ISNUMBER($AA327)),$X327*$AA327,0)</f>
        <v>0</v>
      </c>
      <c r="AK327" s="39">
        <f>SUM(AL327:AR327)</f>
        <v>1</v>
      </c>
      <c r="AL327" s="102">
        <v>1</v>
      </c>
      <c r="AM327" s="38"/>
      <c r="AN327" s="38"/>
      <c r="AO327" s="38"/>
      <c r="AP327" s="38"/>
      <c r="AQ327" s="38"/>
      <c r="AR327" s="91"/>
      <c r="AS327" s="42">
        <f>SUM(AT327:AZ327)</f>
        <v>1</v>
      </c>
      <c r="AT327" s="48">
        <v>1</v>
      </c>
      <c r="AU327" s="48"/>
      <c r="AV327" s="48"/>
      <c r="AW327" s="48"/>
      <c r="AX327" s="48"/>
      <c r="AY327" s="48"/>
      <c r="AZ327" s="48"/>
      <c r="BA327" s="43">
        <f>IF((W327-SUM(AT327:AZ327))&lt;0,0,W327-SUM(AT327:AZ327))</f>
        <v>0</v>
      </c>
      <c r="BB327" s="49"/>
      <c r="BC327" s="47"/>
      <c r="BD327" s="47"/>
    </row>
    <row r="328" spans="1:56" ht="15" customHeight="1">
      <c r="A328" s="49" t="s">
        <v>345</v>
      </c>
      <c r="B328" s="39" t="s">
        <v>64</v>
      </c>
      <c r="C328" s="46" t="s">
        <v>65</v>
      </c>
      <c r="D328" s="49" t="s">
        <v>68</v>
      </c>
      <c r="E328" s="49"/>
      <c r="F328" s="39">
        <v>0</v>
      </c>
      <c r="G328" s="75" t="s">
        <v>346</v>
      </c>
      <c r="H328" s="50" t="s">
        <v>68</v>
      </c>
      <c r="I328" s="50" t="s">
        <v>69</v>
      </c>
      <c r="J328" s="50" t="s">
        <v>347</v>
      </c>
      <c r="K328" s="50"/>
      <c r="L328" s="47"/>
      <c r="M328" s="47"/>
      <c r="N328" s="47"/>
      <c r="O328" s="47"/>
      <c r="P328" s="47"/>
      <c r="Q328" s="47"/>
      <c r="R328" s="47"/>
      <c r="S328" s="47"/>
      <c r="T328" s="47"/>
      <c r="U328" s="47"/>
      <c r="V328" s="50" t="s">
        <v>204</v>
      </c>
      <c r="W328" s="74">
        <v>1</v>
      </c>
      <c r="X328" s="39">
        <f>MAX(0,$AK328-$W328-$Z328)</f>
        <v>0</v>
      </c>
      <c r="Y328" s="39"/>
      <c r="Z328" s="39"/>
      <c r="AA328" s="41">
        <v>0.25</v>
      </c>
      <c r="AB328" s="41">
        <f>IF(AND($X328&gt;0,ISNUMBER($AA328)),$X328*$AA328,0)</f>
        <v>0</v>
      </c>
      <c r="AK328" s="39">
        <f>SUM(AL328:AR328)</f>
        <v>1</v>
      </c>
      <c r="AL328" s="90"/>
      <c r="AM328" s="38"/>
      <c r="AN328" s="38"/>
      <c r="AO328" s="38"/>
      <c r="AP328" s="97">
        <v>1</v>
      </c>
      <c r="AQ328" s="38"/>
      <c r="AR328" s="91"/>
      <c r="AS328" s="42">
        <f>SUM(AT328:AZ328)</f>
        <v>1</v>
      </c>
      <c r="AT328" s="48"/>
      <c r="AU328" s="48"/>
      <c r="AV328" s="48"/>
      <c r="AW328" s="48"/>
      <c r="AX328" s="48">
        <v>1</v>
      </c>
      <c r="AY328" s="48"/>
      <c r="AZ328" s="48"/>
      <c r="BA328" s="43">
        <f>IF((W328-SUM(AT328:AZ328))&lt;0,0,W328-SUM(AT328:AZ328))</f>
        <v>0</v>
      </c>
      <c r="BB328" s="49"/>
      <c r="BC328" s="47"/>
      <c r="BD328" s="47"/>
    </row>
    <row r="329" spans="1:56" ht="15" customHeight="1">
      <c r="A329" s="49" t="s">
        <v>1714</v>
      </c>
      <c r="B329" s="39" t="s">
        <v>64</v>
      </c>
      <c r="C329" s="46" t="s">
        <v>65</v>
      </c>
      <c r="D329" s="49" t="s">
        <v>68</v>
      </c>
      <c r="E329" s="49"/>
      <c r="F329" s="39">
        <v>0</v>
      </c>
      <c r="G329" s="75" t="s">
        <v>1715</v>
      </c>
      <c r="H329" s="50" t="s">
        <v>68</v>
      </c>
      <c r="I329" s="50" t="s">
        <v>1716</v>
      </c>
      <c r="J329" s="50" t="s">
        <v>1717</v>
      </c>
      <c r="K329" s="50"/>
      <c r="L329" s="47"/>
      <c r="M329" s="47"/>
      <c r="N329" s="47"/>
      <c r="O329" s="47"/>
      <c r="P329" s="47"/>
      <c r="Q329" s="47"/>
      <c r="R329" s="47"/>
      <c r="S329" s="47"/>
      <c r="T329" s="47"/>
      <c r="U329" s="47"/>
      <c r="V329" s="50" t="s">
        <v>204</v>
      </c>
      <c r="W329" s="74">
        <v>1</v>
      </c>
      <c r="X329" s="39">
        <f>MAX(0,$AK329-$W329-$Z329)</f>
        <v>0</v>
      </c>
      <c r="Y329" s="39"/>
      <c r="Z329" s="39"/>
      <c r="AA329" s="41">
        <v>0.3</v>
      </c>
      <c r="AB329" s="41">
        <f>IF(AND($X329&gt;0,ISNUMBER($AA329)),$X329*$AA329,0)</f>
        <v>0</v>
      </c>
      <c r="AK329" s="39">
        <f>SUM(AL329:AR329)</f>
        <v>1</v>
      </c>
      <c r="AL329" s="90"/>
      <c r="AM329" s="38"/>
      <c r="AN329" s="38"/>
      <c r="AO329" s="38"/>
      <c r="AP329" s="38"/>
      <c r="AQ329" s="97">
        <v>1</v>
      </c>
      <c r="AR329" s="91"/>
      <c r="AS329" s="42">
        <f>SUM(AT329:AZ329)</f>
        <v>1</v>
      </c>
      <c r="AT329" s="48"/>
      <c r="AU329" s="48"/>
      <c r="AV329" s="48"/>
      <c r="AW329" s="48"/>
      <c r="AX329" s="48"/>
      <c r="AY329" s="48">
        <v>1</v>
      </c>
      <c r="AZ329" s="48"/>
      <c r="BA329" s="43">
        <f>IF((W329-SUM(AT329:AZ329))&lt;0,0,W329-SUM(AT329:AZ329))</f>
        <v>0</v>
      </c>
      <c r="BB329" s="49"/>
      <c r="BC329" s="47"/>
      <c r="BD329" s="47"/>
    </row>
    <row r="330" spans="1:56" ht="15" customHeight="1">
      <c r="A330" s="49" t="s">
        <v>1718</v>
      </c>
      <c r="B330" s="39" t="s">
        <v>64</v>
      </c>
      <c r="C330" s="46" t="s">
        <v>65</v>
      </c>
      <c r="D330" s="49" t="s">
        <v>68</v>
      </c>
      <c r="E330" s="49"/>
      <c r="F330" s="39">
        <v>0</v>
      </c>
      <c r="G330" s="75" t="s">
        <v>1719</v>
      </c>
      <c r="H330" s="50" t="s">
        <v>68</v>
      </c>
      <c r="I330" s="50" t="s">
        <v>1720</v>
      </c>
      <c r="J330" s="50"/>
      <c r="K330" s="50"/>
      <c r="L330" s="47"/>
      <c r="M330" s="47"/>
      <c r="N330" s="47"/>
      <c r="O330" s="47"/>
      <c r="P330" s="47"/>
      <c r="Q330" s="47"/>
      <c r="R330" s="47"/>
      <c r="S330" s="47"/>
      <c r="T330" s="47"/>
      <c r="U330" s="47"/>
      <c r="V330" s="50" t="s">
        <v>747</v>
      </c>
      <c r="W330" s="74">
        <v>1</v>
      </c>
      <c r="X330" s="39">
        <f>MAX(0,$AK330-$W330-$Z330)</f>
        <v>0</v>
      </c>
      <c r="Y330" s="39"/>
      <c r="Z330" s="39"/>
      <c r="AA330" s="41">
        <v>0.71</v>
      </c>
      <c r="AB330" s="41">
        <f>IF(AND($X330&gt;0,ISNUMBER($AA330)),$X330*$AA330,0)</f>
        <v>0</v>
      </c>
      <c r="AK330" s="39">
        <f>SUM(AL330:AR330)</f>
        <v>1</v>
      </c>
      <c r="AL330" s="90"/>
      <c r="AM330" s="38"/>
      <c r="AN330" s="38"/>
      <c r="AO330" s="97">
        <v>1</v>
      </c>
      <c r="AP330" s="38"/>
      <c r="AQ330" s="38"/>
      <c r="AR330" s="91"/>
      <c r="AS330" s="42">
        <f>SUM(AT330:AZ330)</f>
        <v>1</v>
      </c>
      <c r="AT330" s="48"/>
      <c r="AU330" s="48"/>
      <c r="AV330" s="48"/>
      <c r="AW330" s="48">
        <v>1</v>
      </c>
      <c r="AX330" s="48"/>
      <c r="AY330" s="48"/>
      <c r="AZ330" s="48"/>
      <c r="BA330" s="43">
        <f>IF((W330-SUM(AT330:AZ330))&lt;0,0,W330-SUM(AT330:AZ330))</f>
        <v>0</v>
      </c>
      <c r="BB330" s="49"/>
      <c r="BC330" s="47"/>
      <c r="BD330" s="53"/>
    </row>
    <row r="331" spans="1:56" ht="15" customHeight="1">
      <c r="A331" s="49" t="s">
        <v>1721</v>
      </c>
      <c r="B331" s="39" t="s">
        <v>64</v>
      </c>
      <c r="C331" s="46" t="s">
        <v>65</v>
      </c>
      <c r="D331" s="49" t="s">
        <v>68</v>
      </c>
      <c r="E331" s="49"/>
      <c r="F331" s="39">
        <v>0</v>
      </c>
      <c r="G331" s="75" t="s">
        <v>1722</v>
      </c>
      <c r="H331" s="50" t="s">
        <v>68</v>
      </c>
      <c r="I331" s="50" t="s">
        <v>1723</v>
      </c>
      <c r="J331" s="50" t="s">
        <v>1724</v>
      </c>
      <c r="K331" s="50"/>
      <c r="L331" s="46"/>
      <c r="M331" s="46"/>
      <c r="N331" s="46"/>
      <c r="O331" s="46"/>
      <c r="P331" s="46"/>
      <c r="Q331" s="46"/>
      <c r="R331" s="46"/>
      <c r="S331" s="46"/>
      <c r="T331" s="46"/>
      <c r="U331" s="46"/>
      <c r="V331" s="50" t="s">
        <v>351</v>
      </c>
      <c r="W331" s="74">
        <v>1</v>
      </c>
      <c r="X331" s="39">
        <f>MAX(0,$AK331-$W331-$Z331)</f>
        <v>0</v>
      </c>
      <c r="Y331" s="39"/>
      <c r="Z331" s="39"/>
      <c r="AA331" s="41">
        <v>0.27</v>
      </c>
      <c r="AB331" s="41">
        <f>IF(AND($X331&gt;0,ISNUMBER($AA331)),$X331*$AA331,0)</f>
        <v>0</v>
      </c>
      <c r="AK331" s="39">
        <f>SUM(AL331:AR331)</f>
        <v>1</v>
      </c>
      <c r="AL331" s="102">
        <v>1</v>
      </c>
      <c r="AM331" s="38"/>
      <c r="AN331" s="38"/>
      <c r="AO331" s="38"/>
      <c r="AP331" s="38"/>
      <c r="AQ331" s="38"/>
      <c r="AR331" s="91"/>
      <c r="AS331" s="42">
        <f>SUM(AT331:AZ331)</f>
        <v>1</v>
      </c>
      <c r="AT331" s="48">
        <v>1</v>
      </c>
      <c r="AU331" s="48"/>
      <c r="AV331" s="48"/>
      <c r="AW331" s="48"/>
      <c r="AX331" s="48"/>
      <c r="AY331" s="48"/>
      <c r="AZ331" s="48"/>
      <c r="BA331" s="43">
        <f>IF((W331-SUM(AT331:AZ331))&lt;0,0,W331-SUM(AT331:AZ331))</f>
        <v>0</v>
      </c>
      <c r="BB331" s="49"/>
      <c r="BC331" s="47"/>
      <c r="BD331" s="47"/>
    </row>
    <row r="332" spans="1:56" ht="15" customHeight="1">
      <c r="A332" s="49" t="s">
        <v>1725</v>
      </c>
      <c r="B332" s="39" t="s">
        <v>64</v>
      </c>
      <c r="C332" s="46" t="s">
        <v>65</v>
      </c>
      <c r="D332" s="49" t="s">
        <v>68</v>
      </c>
      <c r="E332" s="49"/>
      <c r="F332" s="39">
        <v>0</v>
      </c>
      <c r="G332" s="75" t="s">
        <v>313</v>
      </c>
      <c r="H332" s="50" t="s">
        <v>68</v>
      </c>
      <c r="I332" s="50" t="s">
        <v>315</v>
      </c>
      <c r="J332" s="50"/>
      <c r="K332" s="50"/>
      <c r="L332" s="46"/>
      <c r="M332" s="46"/>
      <c r="N332" s="46"/>
      <c r="O332" s="46"/>
      <c r="P332" s="46"/>
      <c r="Q332" s="46"/>
      <c r="R332" s="46"/>
      <c r="S332" s="46"/>
      <c r="T332" s="46"/>
      <c r="U332" s="46"/>
      <c r="V332" s="50" t="s">
        <v>1726</v>
      </c>
      <c r="W332" s="74">
        <v>1</v>
      </c>
      <c r="X332" s="39">
        <f>MAX(0,$AK332-$W332-$Z332)</f>
        <v>0</v>
      </c>
      <c r="Y332" s="39"/>
      <c r="Z332" s="39"/>
      <c r="AA332" s="41">
        <v>0.22</v>
      </c>
      <c r="AB332" s="41">
        <f>IF(AND($X332&gt;0,ISNUMBER($AA332)),$X332*$AA332,0)</f>
        <v>0</v>
      </c>
      <c r="AD332" s="63"/>
      <c r="AK332" s="39">
        <f>SUM(AL332:AR332)</f>
        <v>1</v>
      </c>
      <c r="AL332" s="102">
        <v>1</v>
      </c>
      <c r="AM332" s="38"/>
      <c r="AN332" s="38"/>
      <c r="AO332" s="38"/>
      <c r="AP332" s="38"/>
      <c r="AQ332" s="38"/>
      <c r="AR332" s="91"/>
      <c r="AS332" s="42">
        <f>SUM(AT332:AZ332)</f>
        <v>1</v>
      </c>
      <c r="AT332" s="48">
        <v>1</v>
      </c>
      <c r="AU332" s="48"/>
      <c r="AV332" s="48"/>
      <c r="AW332" s="48"/>
      <c r="AX332" s="48"/>
      <c r="AY332" s="48"/>
      <c r="AZ332" s="48"/>
      <c r="BA332" s="43">
        <f>IF((W332-SUM(AT332:AZ332))&lt;0,0,W332-SUM(AT332:AZ332))</f>
        <v>0</v>
      </c>
      <c r="BB332" s="49"/>
      <c r="BC332" s="47"/>
      <c r="BD332" s="53"/>
    </row>
    <row r="333" spans="1:56" ht="15" customHeight="1">
      <c r="A333" s="49" t="s">
        <v>188</v>
      </c>
      <c r="B333" s="39" t="s">
        <v>64</v>
      </c>
      <c r="C333" s="46" t="s">
        <v>65</v>
      </c>
      <c r="D333" s="49" t="s">
        <v>68</v>
      </c>
      <c r="E333" s="49"/>
      <c r="F333" s="39">
        <v>0</v>
      </c>
      <c r="G333" s="75" t="s">
        <v>189</v>
      </c>
      <c r="H333" s="50" t="s">
        <v>68</v>
      </c>
      <c r="I333" s="50" t="s">
        <v>190</v>
      </c>
      <c r="J333" s="50" t="s">
        <v>191</v>
      </c>
      <c r="K333" s="50"/>
      <c r="L333" s="47"/>
      <c r="M333" s="47"/>
      <c r="N333" s="47"/>
      <c r="O333" s="68"/>
      <c r="P333" s="68"/>
      <c r="Q333" s="47"/>
      <c r="R333" s="47"/>
      <c r="S333" s="47"/>
      <c r="T333" s="68"/>
      <c r="U333" s="68"/>
      <c r="V333" s="50" t="s">
        <v>103</v>
      </c>
      <c r="W333" s="74">
        <v>1</v>
      </c>
      <c r="X333" s="39">
        <f>MAX(0,$AK333-$W333-$Z333)</f>
        <v>0</v>
      </c>
      <c r="Y333" s="39"/>
      <c r="Z333" s="39"/>
      <c r="AA333" s="41">
        <v>1.04</v>
      </c>
      <c r="AB333" s="41">
        <f>IF(AND($X333&gt;0,ISNUMBER($AA333)),$X333*$AA333,0)</f>
        <v>0</v>
      </c>
      <c r="AK333" s="39">
        <f>SUM(AL333:AR333)</f>
        <v>1</v>
      </c>
      <c r="AL333" s="90"/>
      <c r="AM333" s="38"/>
      <c r="AN333" s="38"/>
      <c r="AO333" s="97">
        <v>1</v>
      </c>
      <c r="AP333" s="98"/>
      <c r="AQ333" s="38"/>
      <c r="AR333" s="91"/>
      <c r="AS333" s="42">
        <f>SUM(AT333:AZ333)</f>
        <v>1</v>
      </c>
      <c r="AT333" s="48"/>
      <c r="AU333" s="48"/>
      <c r="AV333" s="48"/>
      <c r="AW333" s="48">
        <v>1</v>
      </c>
      <c r="AX333" s="48"/>
      <c r="AY333" s="48"/>
      <c r="AZ333" s="48"/>
      <c r="BA333" s="43">
        <f>IF((W333-SUM(AT333:AZ333))&lt;0,0,W333-SUM(AT333:AZ333))</f>
        <v>0</v>
      </c>
      <c r="BB333" s="49"/>
      <c r="BC333" s="47"/>
      <c r="BD333" s="55" t="s">
        <v>192</v>
      </c>
    </row>
    <row r="334" spans="1:56" ht="15" customHeight="1">
      <c r="A334" s="49" t="s">
        <v>1727</v>
      </c>
      <c r="B334" s="39" t="s">
        <v>64</v>
      </c>
      <c r="C334" s="46" t="s">
        <v>65</v>
      </c>
      <c r="D334" s="49" t="s">
        <v>68</v>
      </c>
      <c r="E334" s="49"/>
      <c r="F334" s="39">
        <v>0</v>
      </c>
      <c r="G334" s="75" t="s">
        <v>1728</v>
      </c>
      <c r="H334" s="50" t="s">
        <v>68</v>
      </c>
      <c r="I334" s="50" t="s">
        <v>1729</v>
      </c>
      <c r="J334" s="50" t="s">
        <v>358</v>
      </c>
      <c r="K334" s="50"/>
      <c r="L334" s="47"/>
      <c r="M334" s="47"/>
      <c r="N334" s="47"/>
      <c r="O334" s="47"/>
      <c r="P334" s="47"/>
      <c r="Q334" s="47"/>
      <c r="R334" s="47"/>
      <c r="S334" s="47"/>
      <c r="T334" s="47"/>
      <c r="U334" s="47"/>
      <c r="V334" s="50" t="s">
        <v>359</v>
      </c>
      <c r="W334" s="74">
        <v>1</v>
      </c>
      <c r="X334" s="39">
        <f>MAX(0,$AK334-$W334-$Z334)</f>
        <v>0</v>
      </c>
      <c r="Y334" s="39"/>
      <c r="Z334" s="39"/>
      <c r="AA334" s="41">
        <v>0.28999999999999998</v>
      </c>
      <c r="AB334" s="41">
        <f>IF(AND($X334&gt;0,ISNUMBER($AA334)),$X334*$AA334,0)</f>
        <v>0</v>
      </c>
      <c r="AK334" s="39">
        <f>SUM(AL334:AR334)</f>
        <v>1</v>
      </c>
      <c r="AL334" s="90"/>
      <c r="AM334" s="38"/>
      <c r="AN334" s="97">
        <v>1</v>
      </c>
      <c r="AO334" s="38"/>
      <c r="AP334" s="38"/>
      <c r="AQ334" s="38"/>
      <c r="AR334" s="91"/>
      <c r="AS334" s="42">
        <f>SUM(AT334:AZ334)</f>
        <v>1</v>
      </c>
      <c r="AT334" s="48"/>
      <c r="AU334" s="48"/>
      <c r="AV334" s="48">
        <v>1</v>
      </c>
      <c r="AW334" s="48"/>
      <c r="AX334" s="48"/>
      <c r="AY334" s="48"/>
      <c r="AZ334" s="48"/>
      <c r="BA334" s="43">
        <f>IF((W334-SUM(AT334:AZ334))&lt;0,0,W334-SUM(AT334:AZ334))</f>
        <v>0</v>
      </c>
      <c r="BB334" s="49"/>
      <c r="BC334" s="47"/>
      <c r="BD334" s="47"/>
    </row>
    <row r="335" spans="1:56" ht="15" customHeight="1">
      <c r="A335" s="49" t="s">
        <v>1730</v>
      </c>
      <c r="B335" s="39" t="s">
        <v>64</v>
      </c>
      <c r="C335" s="46" t="s">
        <v>65</v>
      </c>
      <c r="D335" s="49" t="s">
        <v>68</v>
      </c>
      <c r="E335" s="49"/>
      <c r="F335" s="39">
        <v>0</v>
      </c>
      <c r="G335" s="75" t="s">
        <v>1731</v>
      </c>
      <c r="H335" s="50" t="s">
        <v>68</v>
      </c>
      <c r="I335" s="50" t="s">
        <v>1729</v>
      </c>
      <c r="J335" s="50" t="s">
        <v>1732</v>
      </c>
      <c r="K335" s="50"/>
      <c r="L335" s="47"/>
      <c r="M335" s="47"/>
      <c r="N335" s="47"/>
      <c r="O335" s="47"/>
      <c r="P335" s="47"/>
      <c r="Q335" s="47"/>
      <c r="R335" s="47"/>
      <c r="S335" s="47"/>
      <c r="T335" s="47"/>
      <c r="U335" s="47"/>
      <c r="V335" s="50" t="s">
        <v>790</v>
      </c>
      <c r="W335" s="74">
        <v>1</v>
      </c>
      <c r="X335" s="39">
        <f>MAX(0,$AK335-$W335-$Z335)</f>
        <v>0</v>
      </c>
      <c r="Y335" s="39"/>
      <c r="Z335" s="39"/>
      <c r="AA335" s="41">
        <v>1.2</v>
      </c>
      <c r="AB335" s="41">
        <f>IF(AND($X335&gt;0,ISNUMBER($AA335)),$X335*$AA335,0)</f>
        <v>0</v>
      </c>
      <c r="AK335" s="39">
        <f>SUM(AL335:AR335)</f>
        <v>1</v>
      </c>
      <c r="AL335" s="90"/>
      <c r="AM335" s="38"/>
      <c r="AN335" s="97">
        <v>1</v>
      </c>
      <c r="AO335" s="38"/>
      <c r="AP335" s="38"/>
      <c r="AQ335" s="38"/>
      <c r="AR335" s="91"/>
      <c r="AS335" s="42">
        <f>SUM(AT335:AZ335)</f>
        <v>1</v>
      </c>
      <c r="AT335" s="48"/>
      <c r="AU335" s="48"/>
      <c r="AV335" s="48">
        <v>1</v>
      </c>
      <c r="AW335" s="48"/>
      <c r="AX335" s="48"/>
      <c r="AY335" s="48"/>
      <c r="AZ335" s="48"/>
      <c r="BA335" s="43">
        <f>IF((W335-SUM(AT335:AZ335))&lt;0,0,W335-SUM(AT335:AZ335))</f>
        <v>0</v>
      </c>
      <c r="BB335" s="49"/>
      <c r="BC335" s="47"/>
      <c r="BD335" s="47"/>
    </row>
    <row r="336" spans="1:56" ht="15" customHeight="1">
      <c r="A336" s="35" t="s">
        <v>1733</v>
      </c>
      <c r="B336" s="36" t="s">
        <v>64</v>
      </c>
      <c r="C336" s="38" t="s">
        <v>65</v>
      </c>
      <c r="D336" s="35" t="s">
        <v>68</v>
      </c>
      <c r="E336" s="35"/>
      <c r="F336" s="36">
        <v>0</v>
      </c>
      <c r="G336" s="75" t="s">
        <v>1734</v>
      </c>
      <c r="H336" s="35" t="s">
        <v>68</v>
      </c>
      <c r="I336" s="35" t="s">
        <v>323</v>
      </c>
      <c r="J336" s="35" t="s">
        <v>1735</v>
      </c>
      <c r="K336" s="35"/>
      <c r="L336" s="37"/>
      <c r="M336" s="37"/>
      <c r="N336" s="37"/>
      <c r="O336" s="68"/>
      <c r="P336" s="68"/>
      <c r="Q336" s="37"/>
      <c r="R336" s="37"/>
      <c r="S336" s="37"/>
      <c r="T336" s="68"/>
      <c r="U336" s="68"/>
      <c r="V336" s="35" t="s">
        <v>119</v>
      </c>
      <c r="W336" s="74">
        <v>1</v>
      </c>
      <c r="X336" s="39">
        <f>MAX(0,$AK336-$W336-$Z336)</f>
        <v>0</v>
      </c>
      <c r="Y336" s="35"/>
      <c r="Z336" s="35"/>
      <c r="AA336" s="40">
        <v>0.72</v>
      </c>
      <c r="AB336" s="41">
        <f>IF(AND($X336&gt;0,ISNUMBER($AA336)),$X336*$AA336,0)</f>
        <v>0</v>
      </c>
      <c r="AK336" s="39">
        <f>SUM(AL336:AR336)</f>
        <v>0</v>
      </c>
      <c r="AL336" s="90"/>
      <c r="AM336" s="38"/>
      <c r="AN336" s="38"/>
      <c r="AO336" s="38"/>
      <c r="AP336" s="38"/>
      <c r="AQ336" s="38"/>
      <c r="AR336" s="91"/>
      <c r="AS336" s="42">
        <f>SUM(AT336:AZ336)</f>
        <v>0</v>
      </c>
      <c r="AT336" s="48"/>
      <c r="AU336" s="48"/>
      <c r="AV336" s="48"/>
      <c r="AW336" s="48"/>
      <c r="AX336" s="48"/>
      <c r="AY336" s="48"/>
      <c r="AZ336" s="48"/>
      <c r="BA336" s="43">
        <f>IF((W336-SUM(AT336:AZ336))&lt;0,0,W336-SUM(AT336:AZ336))</f>
        <v>1</v>
      </c>
      <c r="BB336" s="35"/>
      <c r="BC336" s="37"/>
      <c r="BD336" s="37"/>
    </row>
    <row r="337" spans="1:56" ht="15" customHeight="1">
      <c r="A337" s="49" t="s">
        <v>1736</v>
      </c>
      <c r="B337" s="39" t="s">
        <v>64</v>
      </c>
      <c r="C337" s="46" t="s">
        <v>65</v>
      </c>
      <c r="D337" s="49" t="s">
        <v>68</v>
      </c>
      <c r="E337" s="49"/>
      <c r="F337" s="39">
        <v>0</v>
      </c>
      <c r="G337" s="75" t="s">
        <v>1737</v>
      </c>
      <c r="H337" s="50" t="s">
        <v>68</v>
      </c>
      <c r="I337" s="50" t="s">
        <v>69</v>
      </c>
      <c r="J337" s="50" t="s">
        <v>1684</v>
      </c>
      <c r="K337" s="50" t="s">
        <v>1738</v>
      </c>
      <c r="L337" s="46"/>
      <c r="M337" s="46"/>
      <c r="N337" s="46"/>
      <c r="O337" s="46"/>
      <c r="P337" s="46"/>
      <c r="Q337" s="46"/>
      <c r="R337" s="46"/>
      <c r="S337" s="46"/>
      <c r="T337" s="46"/>
      <c r="U337" s="46"/>
      <c r="V337" s="50" t="s">
        <v>841</v>
      </c>
      <c r="W337" s="74">
        <v>1</v>
      </c>
      <c r="X337" s="39">
        <f>MAX(0,$AK337-$W337-$Z337)</f>
        <v>0</v>
      </c>
      <c r="Y337" s="39"/>
      <c r="Z337" s="39"/>
      <c r="AA337" s="41">
        <v>6.41</v>
      </c>
      <c r="AB337" s="41">
        <f>IF(AND($X337&gt;0,ISNUMBER($AA337)),$X337*$AA337,0)</f>
        <v>0</v>
      </c>
      <c r="AK337" s="39">
        <f>SUM(AL337:AR337)</f>
        <v>1</v>
      </c>
      <c r="AL337" s="102">
        <v>1</v>
      </c>
      <c r="AM337" s="38"/>
      <c r="AN337" s="38"/>
      <c r="AO337" s="38"/>
      <c r="AP337" s="38"/>
      <c r="AQ337" s="38"/>
      <c r="AR337" s="91"/>
      <c r="AS337" s="42">
        <f>SUM(AT337:AZ337)</f>
        <v>1</v>
      </c>
      <c r="AT337" s="48">
        <v>1</v>
      </c>
      <c r="AU337" s="48"/>
      <c r="AV337" s="48"/>
      <c r="AW337" s="48"/>
      <c r="AX337" s="48"/>
      <c r="AY337" s="48"/>
      <c r="AZ337" s="48"/>
      <c r="BA337" s="43">
        <f>IF((W337-SUM(AT337:AZ337))&lt;0,0,W337-SUM(AT337:AZ337))</f>
        <v>0</v>
      </c>
      <c r="BB337" s="49"/>
      <c r="BC337" s="47"/>
      <c r="BD337" s="47"/>
    </row>
    <row r="338" spans="1:56" ht="15" customHeight="1">
      <c r="A338" s="49" t="s">
        <v>193</v>
      </c>
      <c r="B338" s="39" t="s">
        <v>64</v>
      </c>
      <c r="C338" s="46" t="s">
        <v>65</v>
      </c>
      <c r="D338" s="49" t="s">
        <v>68</v>
      </c>
      <c r="E338" s="49"/>
      <c r="F338" s="39">
        <v>0</v>
      </c>
      <c r="G338" s="75" t="s">
        <v>194</v>
      </c>
      <c r="H338" s="50" t="s">
        <v>68</v>
      </c>
      <c r="I338" s="50" t="s">
        <v>195</v>
      </c>
      <c r="J338" s="50"/>
      <c r="K338" s="50"/>
      <c r="L338" s="46"/>
      <c r="M338" s="46"/>
      <c r="N338" s="46"/>
      <c r="O338" s="46"/>
      <c r="P338" s="46"/>
      <c r="Q338" s="46"/>
      <c r="R338" s="46"/>
      <c r="S338" s="46"/>
      <c r="T338" s="46"/>
      <c r="U338" s="46"/>
      <c r="V338" s="50" t="s">
        <v>196</v>
      </c>
      <c r="W338" s="74">
        <v>4</v>
      </c>
      <c r="X338" s="39">
        <f>MAX(0,$AK338-$W338-$Z338)</f>
        <v>0</v>
      </c>
      <c r="Y338" s="39"/>
      <c r="Z338" s="39"/>
      <c r="AA338" s="41">
        <v>0.22</v>
      </c>
      <c r="AB338" s="41">
        <f>IF(AND($X338&gt;0,ISNUMBER($AA338)),$X338*$AA338,0)</f>
        <v>0</v>
      </c>
      <c r="AD338" s="63"/>
      <c r="AE338" s="63"/>
      <c r="AK338" s="39">
        <f>SUM(AL338:AR338)</f>
        <v>3</v>
      </c>
      <c r="AL338" s="90"/>
      <c r="AM338" s="98">
        <v>1</v>
      </c>
      <c r="AN338" s="98">
        <v>1</v>
      </c>
      <c r="AO338" s="38"/>
      <c r="AP338" s="97">
        <v>1</v>
      </c>
      <c r="AQ338" s="38"/>
      <c r="AR338" s="91"/>
      <c r="AS338" s="42">
        <f>SUM(AT338:AZ338)</f>
        <v>3</v>
      </c>
      <c r="AT338" s="48"/>
      <c r="AU338" s="48">
        <v>1</v>
      </c>
      <c r="AV338" s="48">
        <v>1</v>
      </c>
      <c r="AW338" s="48"/>
      <c r="AX338" s="48">
        <v>1</v>
      </c>
      <c r="AY338" s="48"/>
      <c r="AZ338" s="48"/>
      <c r="BA338" s="43">
        <f>IF((W338-SUM(AT338:AZ338))&lt;0,0,W338-SUM(AT338:AZ338))</f>
        <v>1</v>
      </c>
      <c r="BB338" s="49"/>
      <c r="BC338" s="47"/>
      <c r="BD338" s="126"/>
    </row>
    <row r="339" spans="1:56" ht="15" customHeight="1">
      <c r="A339" s="49" t="s">
        <v>197</v>
      </c>
      <c r="B339" s="39" t="s">
        <v>64</v>
      </c>
      <c r="C339" s="46" t="s">
        <v>65</v>
      </c>
      <c r="D339" s="49" t="s">
        <v>68</v>
      </c>
      <c r="E339" s="49"/>
      <c r="F339" s="39">
        <v>0</v>
      </c>
      <c r="G339" s="75" t="s">
        <v>198</v>
      </c>
      <c r="H339" s="50" t="s">
        <v>68</v>
      </c>
      <c r="I339" s="50" t="s">
        <v>199</v>
      </c>
      <c r="J339" s="50"/>
      <c r="K339" s="50"/>
      <c r="L339" s="46"/>
      <c r="M339" s="46"/>
      <c r="N339" s="46"/>
      <c r="O339" s="46"/>
      <c r="P339" s="46"/>
      <c r="Q339" s="46"/>
      <c r="R339" s="46"/>
      <c r="S339" s="46"/>
      <c r="T339" s="46"/>
      <c r="U339" s="46"/>
      <c r="V339" s="50" t="s">
        <v>200</v>
      </c>
      <c r="W339" s="74">
        <v>2</v>
      </c>
      <c r="X339" s="39">
        <f>MAX(0,$AK339-$W339-$Z339)</f>
        <v>0</v>
      </c>
      <c r="Y339" s="39"/>
      <c r="Z339" s="39"/>
      <c r="AA339" s="41">
        <v>0.24</v>
      </c>
      <c r="AB339" s="41">
        <f>IF(AND($X339&gt;0,ISNUMBER($AA339)),$X339*$AA339,0)</f>
        <v>0</v>
      </c>
      <c r="AE339" s="63"/>
      <c r="AF339" s="63"/>
      <c r="AK339" s="39">
        <f>SUM(AL339:AR339)</f>
        <v>2</v>
      </c>
      <c r="AL339" s="90"/>
      <c r="AM339" s="38"/>
      <c r="AN339" s="98">
        <v>1</v>
      </c>
      <c r="AO339" s="38"/>
      <c r="AP339" s="97">
        <v>1</v>
      </c>
      <c r="AQ339" s="38"/>
      <c r="AR339" s="91"/>
      <c r="AS339" s="42">
        <f>SUM(AT339:AZ339)</f>
        <v>2</v>
      </c>
      <c r="AT339" s="48"/>
      <c r="AU339" s="48"/>
      <c r="AV339" s="48">
        <v>1</v>
      </c>
      <c r="AW339" s="48"/>
      <c r="AX339" s="48">
        <v>1</v>
      </c>
      <c r="AY339" s="48"/>
      <c r="AZ339" s="48"/>
      <c r="BA339" s="43">
        <f>IF((W339-SUM(AT339:AZ339))&lt;0,0,W339-SUM(AT339:AZ339))</f>
        <v>0</v>
      </c>
      <c r="BB339" s="49"/>
      <c r="BC339" s="47"/>
      <c r="BD339" s="47"/>
    </row>
    <row r="340" spans="1:56" ht="15" customHeight="1">
      <c r="A340" s="49" t="s">
        <v>201</v>
      </c>
      <c r="B340" s="39" t="s">
        <v>64</v>
      </c>
      <c r="C340" s="46" t="s">
        <v>65</v>
      </c>
      <c r="D340" s="49" t="s">
        <v>68</v>
      </c>
      <c r="E340" s="49"/>
      <c r="F340" s="39">
        <v>0</v>
      </c>
      <c r="G340" s="75" t="s">
        <v>202</v>
      </c>
      <c r="H340" s="50" t="s">
        <v>68</v>
      </c>
      <c r="I340" s="50" t="s">
        <v>195</v>
      </c>
      <c r="J340" s="50" t="s">
        <v>203</v>
      </c>
      <c r="K340" s="50"/>
      <c r="L340" s="46"/>
      <c r="M340" s="46"/>
      <c r="N340" s="46"/>
      <c r="O340" s="46"/>
      <c r="P340" s="46"/>
      <c r="Q340" s="46"/>
      <c r="R340" s="46"/>
      <c r="S340" s="46"/>
      <c r="T340" s="46"/>
      <c r="U340" s="46"/>
      <c r="V340" s="50" t="s">
        <v>204</v>
      </c>
      <c r="W340" s="74">
        <v>1</v>
      </c>
      <c r="X340" s="39">
        <f>MAX(0,$AK340-$W340-$Z340)</f>
        <v>0</v>
      </c>
      <c r="Y340" s="39"/>
      <c r="Z340" s="39"/>
      <c r="AA340" s="41">
        <v>1.05</v>
      </c>
      <c r="AB340" s="41">
        <f>IF(AND($X340&gt;0,ISNUMBER($AA340)),$X340*$AA340,0)</f>
        <v>0</v>
      </c>
      <c r="AE340" s="63"/>
      <c r="AK340" s="39">
        <f>SUM(AL340:AR340)</f>
        <v>1</v>
      </c>
      <c r="AL340" s="90"/>
      <c r="AM340" s="38"/>
      <c r="AN340" s="38"/>
      <c r="AO340" s="38"/>
      <c r="AP340" s="97">
        <v>1</v>
      </c>
      <c r="AQ340" s="38"/>
      <c r="AR340" s="91"/>
      <c r="AS340" s="42">
        <f>SUM(AT340:AZ340)</f>
        <v>1</v>
      </c>
      <c r="AT340" s="48"/>
      <c r="AU340" s="48"/>
      <c r="AV340" s="48"/>
      <c r="AW340" s="48"/>
      <c r="AX340" s="48">
        <v>1</v>
      </c>
      <c r="AY340" s="48"/>
      <c r="AZ340" s="48"/>
      <c r="BA340" s="43">
        <f>IF((W340-SUM(AT340:AZ340))&lt;0,0,W340-SUM(AT340:AZ340))</f>
        <v>0</v>
      </c>
      <c r="BB340" s="49"/>
      <c r="BC340" s="47"/>
      <c r="BD340" s="47"/>
    </row>
    <row r="341" spans="1:56" ht="15" customHeight="1">
      <c r="A341" s="49" t="s">
        <v>1739</v>
      </c>
      <c r="B341" s="39" t="s">
        <v>64</v>
      </c>
      <c r="C341" s="46" t="s">
        <v>65</v>
      </c>
      <c r="D341" s="49" t="s">
        <v>68</v>
      </c>
      <c r="E341" s="49"/>
      <c r="F341" s="39">
        <v>0</v>
      </c>
      <c r="G341" s="75" t="s">
        <v>1740</v>
      </c>
      <c r="H341" s="50" t="s">
        <v>68</v>
      </c>
      <c r="I341" s="50" t="s">
        <v>1723</v>
      </c>
      <c r="J341" s="50" t="s">
        <v>1684</v>
      </c>
      <c r="K341" s="50" t="s">
        <v>1741</v>
      </c>
      <c r="L341" s="47"/>
      <c r="M341" s="47"/>
      <c r="N341" s="47"/>
      <c r="O341" s="68"/>
      <c r="P341" s="68"/>
      <c r="Q341" s="47"/>
      <c r="R341" s="47"/>
      <c r="S341" s="47"/>
      <c r="T341" s="68"/>
      <c r="U341" s="68"/>
      <c r="V341" s="50" t="s">
        <v>223</v>
      </c>
      <c r="W341" s="74">
        <v>3</v>
      </c>
      <c r="X341" s="39">
        <f>MAX(0,$AK341-$W341-$Z341)</f>
        <v>0</v>
      </c>
      <c r="Y341" s="39"/>
      <c r="Z341" s="39"/>
      <c r="AA341" s="41">
        <v>0.09</v>
      </c>
      <c r="AB341" s="41">
        <f>IF(AND($X341&gt;0,ISNUMBER($AA341)),$X341*$AA341,0)</f>
        <v>0</v>
      </c>
      <c r="AK341" s="39">
        <f>SUM(AL341:AR341)</f>
        <v>1</v>
      </c>
      <c r="AL341" s="102">
        <v>1</v>
      </c>
      <c r="AM341" s="38"/>
      <c r="AN341" s="38"/>
      <c r="AO341" s="38"/>
      <c r="AP341" s="38"/>
      <c r="AQ341" s="38"/>
      <c r="AR341" s="91"/>
      <c r="AS341" s="42">
        <f>SUM(AT341:AZ341)</f>
        <v>1</v>
      </c>
      <c r="AT341" s="48">
        <v>1</v>
      </c>
      <c r="AU341" s="48"/>
      <c r="AV341" s="48"/>
      <c r="AW341" s="48"/>
      <c r="AX341" s="48"/>
      <c r="AY341" s="48"/>
      <c r="AZ341" s="48"/>
      <c r="BA341" s="43">
        <f>IF((W341-SUM(AT341:AZ341))&lt;0,0,W341-SUM(AT341:AZ341))</f>
        <v>2</v>
      </c>
      <c r="BB341" s="49"/>
      <c r="BC341" s="47"/>
      <c r="BD341" s="47"/>
    </row>
    <row r="342" spans="1:56" ht="15" customHeight="1">
      <c r="A342" s="49" t="s">
        <v>1745</v>
      </c>
      <c r="B342" s="39" t="s">
        <v>64</v>
      </c>
      <c r="C342" s="46" t="s">
        <v>65</v>
      </c>
      <c r="D342" s="49" t="s">
        <v>68</v>
      </c>
      <c r="E342" s="49"/>
      <c r="F342" s="39">
        <v>0</v>
      </c>
      <c r="G342" s="75" t="s">
        <v>1746</v>
      </c>
      <c r="H342" s="50" t="s">
        <v>68</v>
      </c>
      <c r="I342" s="50" t="s">
        <v>1704</v>
      </c>
      <c r="J342" s="50" t="s">
        <v>1747</v>
      </c>
      <c r="K342" s="50"/>
      <c r="L342" s="47"/>
      <c r="M342" s="47"/>
      <c r="N342" s="47"/>
      <c r="O342" s="47"/>
      <c r="P342" s="47"/>
      <c r="Q342" s="47"/>
      <c r="R342" s="47"/>
      <c r="S342" s="47"/>
      <c r="T342" s="47"/>
      <c r="U342" s="47"/>
      <c r="V342" s="50" t="s">
        <v>240</v>
      </c>
      <c r="W342" s="74">
        <v>1</v>
      </c>
      <c r="X342" s="39">
        <f>MAX(0,$AK342-$W342-$Z342)</f>
        <v>0</v>
      </c>
      <c r="Y342" s="39"/>
      <c r="Z342" s="39"/>
      <c r="AA342" s="41">
        <v>0.33</v>
      </c>
      <c r="AB342" s="41">
        <f>IF(AND($X342&gt;0,ISNUMBER($AA342)),$X342*$AA342,0)</f>
        <v>0</v>
      </c>
      <c r="AK342" s="39">
        <f>SUM(AL342:AR342)</f>
        <v>1</v>
      </c>
      <c r="AL342" s="90"/>
      <c r="AM342" s="38"/>
      <c r="AN342" s="38"/>
      <c r="AO342" s="97">
        <v>1</v>
      </c>
      <c r="AP342" s="38"/>
      <c r="AQ342" s="38"/>
      <c r="AR342" s="91"/>
      <c r="AS342" s="42">
        <f>SUM(AT342:AZ342)</f>
        <v>1</v>
      </c>
      <c r="AT342" s="48"/>
      <c r="AU342" s="48"/>
      <c r="AV342" s="48"/>
      <c r="AW342" s="48">
        <v>1</v>
      </c>
      <c r="AX342" s="48"/>
      <c r="AY342" s="48"/>
      <c r="AZ342" s="48"/>
      <c r="BA342" s="43">
        <f>IF((W342-SUM(AT342:AZ342))&lt;0,0,W342-SUM(AT342:AZ342))</f>
        <v>0</v>
      </c>
      <c r="BB342" s="49"/>
      <c r="BC342" s="47"/>
      <c r="BD342" s="47"/>
    </row>
    <row r="343" spans="1:56" ht="15" customHeight="1">
      <c r="A343" s="49" t="s">
        <v>1748</v>
      </c>
      <c r="B343" s="39" t="s">
        <v>64</v>
      </c>
      <c r="C343" s="46" t="s">
        <v>65</v>
      </c>
      <c r="D343" s="49" t="s">
        <v>68</v>
      </c>
      <c r="E343" s="49"/>
      <c r="F343" s="39">
        <v>0</v>
      </c>
      <c r="G343" s="75" t="s">
        <v>1749</v>
      </c>
      <c r="H343" s="50" t="s">
        <v>68</v>
      </c>
      <c r="I343" s="50" t="s">
        <v>1723</v>
      </c>
      <c r="J343" s="50" t="s">
        <v>1750</v>
      </c>
      <c r="K343" s="50"/>
      <c r="L343" s="46"/>
      <c r="M343" s="46"/>
      <c r="N343" s="46"/>
      <c r="O343" s="46"/>
      <c r="P343" s="46"/>
      <c r="Q343" s="46"/>
      <c r="R343" s="46"/>
      <c r="S343" s="46"/>
      <c r="T343" s="46"/>
      <c r="U343" s="46"/>
      <c r="V343" s="50" t="s">
        <v>383</v>
      </c>
      <c r="W343" s="74">
        <v>1</v>
      </c>
      <c r="X343" s="39">
        <f>MAX(0,$AK343-$W343-$Z343)</f>
        <v>0</v>
      </c>
      <c r="Y343" s="39"/>
      <c r="Z343" s="39"/>
      <c r="AA343" s="41">
        <v>0.22</v>
      </c>
      <c r="AB343" s="41">
        <f>IF(AND($X343&gt;0,ISNUMBER($AA343)),$X343*$AA343,0)</f>
        <v>0</v>
      </c>
      <c r="AK343" s="39">
        <f>SUM(AL343:AR343)</f>
        <v>1</v>
      </c>
      <c r="AL343" s="102">
        <v>1</v>
      </c>
      <c r="AM343" s="38"/>
      <c r="AN343" s="38"/>
      <c r="AO343" s="38"/>
      <c r="AP343" s="38"/>
      <c r="AQ343" s="38"/>
      <c r="AR343" s="91"/>
      <c r="AS343" s="42">
        <f>SUM(AT343:AZ343)</f>
        <v>1</v>
      </c>
      <c r="AT343" s="48">
        <v>1</v>
      </c>
      <c r="AU343" s="48"/>
      <c r="AV343" s="48"/>
      <c r="AW343" s="48"/>
      <c r="AX343" s="48"/>
      <c r="AY343" s="48"/>
      <c r="AZ343" s="48"/>
      <c r="BA343" s="43">
        <f>IF((W343-SUM(AT343:AZ343))&lt;0,0,W343-SUM(AT343:AZ343))</f>
        <v>0</v>
      </c>
      <c r="BB343" s="49"/>
      <c r="BC343" s="47"/>
      <c r="BD343" s="47"/>
    </row>
    <row r="344" spans="1:56" ht="15" customHeight="1">
      <c r="A344" s="49" t="s">
        <v>1751</v>
      </c>
      <c r="B344" s="39" t="s">
        <v>64</v>
      </c>
      <c r="C344" s="46" t="s">
        <v>65</v>
      </c>
      <c r="D344" s="49" t="s">
        <v>68</v>
      </c>
      <c r="E344" s="49"/>
      <c r="F344" s="39">
        <v>0</v>
      </c>
      <c r="G344" s="75" t="s">
        <v>1752</v>
      </c>
      <c r="H344" s="50" t="s">
        <v>68</v>
      </c>
      <c r="I344" s="50" t="s">
        <v>1753</v>
      </c>
      <c r="J344" s="50" t="s">
        <v>1754</v>
      </c>
      <c r="K344" s="50"/>
      <c r="L344" s="47"/>
      <c r="M344" s="47"/>
      <c r="N344" s="47"/>
      <c r="O344" s="47"/>
      <c r="P344" s="47"/>
      <c r="Q344" s="47"/>
      <c r="R344" s="47"/>
      <c r="S344" s="47"/>
      <c r="T344" s="47"/>
      <c r="U344" s="47"/>
      <c r="V344" s="50" t="s">
        <v>790</v>
      </c>
      <c r="W344" s="74">
        <v>1</v>
      </c>
      <c r="X344" s="39">
        <f>MAX(0,$AK344-$W344-$Z344)</f>
        <v>0</v>
      </c>
      <c r="Y344" s="39"/>
      <c r="Z344" s="39"/>
      <c r="AA344" s="41">
        <v>0.32</v>
      </c>
      <c r="AB344" s="41">
        <f>IF(AND($X344&gt;0,ISNUMBER($AA344)),$X344*$AA344,0)</f>
        <v>0</v>
      </c>
      <c r="AK344" s="39">
        <f>SUM(AL344:AR344)</f>
        <v>1</v>
      </c>
      <c r="AL344" s="90"/>
      <c r="AM344" s="97">
        <v>1</v>
      </c>
      <c r="AN344" s="38"/>
      <c r="AO344" s="38"/>
      <c r="AP344" s="38"/>
      <c r="AQ344" s="38"/>
      <c r="AR344" s="91"/>
      <c r="AS344" s="42">
        <f>SUM(AT344:AZ344)</f>
        <v>1</v>
      </c>
      <c r="AT344" s="48"/>
      <c r="AU344" s="48">
        <v>1</v>
      </c>
      <c r="AV344" s="48"/>
      <c r="AW344" s="48"/>
      <c r="AX344" s="48"/>
      <c r="AY344" s="48"/>
      <c r="AZ344" s="48"/>
      <c r="BA344" s="43">
        <f>IF((W344-SUM(AT344:AZ344))&lt;0,0,W344-SUM(AT344:AZ344))</f>
        <v>0</v>
      </c>
      <c r="BB344" s="49"/>
      <c r="BC344" s="47"/>
      <c r="BD344" s="47"/>
    </row>
    <row r="345" spans="1:56" ht="15" customHeight="1">
      <c r="A345" s="49" t="s">
        <v>1755</v>
      </c>
      <c r="B345" s="39" t="s">
        <v>64</v>
      </c>
      <c r="C345" s="46" t="s">
        <v>65</v>
      </c>
      <c r="D345" s="49" t="s">
        <v>68</v>
      </c>
      <c r="E345" s="49" t="s">
        <v>1756</v>
      </c>
      <c r="F345" s="39">
        <v>0</v>
      </c>
      <c r="G345" s="75" t="s">
        <v>1757</v>
      </c>
      <c r="H345" s="50" t="s">
        <v>68</v>
      </c>
      <c r="I345" s="50" t="s">
        <v>1723</v>
      </c>
      <c r="J345" s="50" t="s">
        <v>1684</v>
      </c>
      <c r="K345" s="50" t="s">
        <v>1758</v>
      </c>
      <c r="L345" s="46"/>
      <c r="M345" s="46"/>
      <c r="N345" s="46"/>
      <c r="O345" s="46"/>
      <c r="P345" s="46"/>
      <c r="Q345" s="46"/>
      <c r="R345" s="46"/>
      <c r="S345" s="46"/>
      <c r="T345" s="46"/>
      <c r="U345" s="46"/>
      <c r="V345" s="50" t="s">
        <v>1759</v>
      </c>
      <c r="W345" s="74">
        <v>1</v>
      </c>
      <c r="X345" s="39">
        <f>MAX(0,$AK345-$W345-$Z345)</f>
        <v>0</v>
      </c>
      <c r="Y345" s="39"/>
      <c r="Z345" s="39"/>
      <c r="AA345" s="41">
        <v>0.26</v>
      </c>
      <c r="AB345" s="41">
        <f>IF(AND($X345&gt;0,ISNUMBER($AA345)),$X345*$AA345,0)</f>
        <v>0</v>
      </c>
      <c r="AK345" s="39">
        <f>SUM(AL345:AR345)</f>
        <v>1</v>
      </c>
      <c r="AL345" s="102">
        <v>1</v>
      </c>
      <c r="AM345" s="38"/>
      <c r="AN345" s="38"/>
      <c r="AO345" s="38"/>
      <c r="AP345" s="38"/>
      <c r="AQ345" s="38"/>
      <c r="AR345" s="91"/>
      <c r="AS345" s="42">
        <f>SUM(AT345:AZ345)</f>
        <v>1</v>
      </c>
      <c r="AT345" s="48">
        <v>1</v>
      </c>
      <c r="AU345" s="48"/>
      <c r="AV345" s="48"/>
      <c r="AW345" s="48"/>
      <c r="AX345" s="48"/>
      <c r="AY345" s="48"/>
      <c r="AZ345" s="48"/>
      <c r="BA345" s="43">
        <f>IF((W345-SUM(AT345:AZ345))&lt;0,0,W345-SUM(AT345:AZ345))</f>
        <v>0</v>
      </c>
      <c r="BB345" s="49"/>
      <c r="BC345" s="47"/>
      <c r="BD345" s="47"/>
    </row>
    <row r="346" spans="1:56" ht="15" customHeight="1">
      <c r="A346" s="49" t="s">
        <v>1760</v>
      </c>
      <c r="B346" s="39" t="s">
        <v>64</v>
      </c>
      <c r="C346" s="46" t="s">
        <v>83</v>
      </c>
      <c r="D346" s="49" t="s">
        <v>68</v>
      </c>
      <c r="E346" s="49"/>
      <c r="F346" s="39">
        <v>0</v>
      </c>
      <c r="G346" s="75" t="s">
        <v>1761</v>
      </c>
      <c r="H346" s="50" t="s">
        <v>68</v>
      </c>
      <c r="I346" s="50" t="s">
        <v>1143</v>
      </c>
      <c r="J346" s="50" t="s">
        <v>1762</v>
      </c>
      <c r="K346" s="50"/>
      <c r="L346" s="47"/>
      <c r="M346" s="47"/>
      <c r="N346" s="47"/>
      <c r="O346" s="47"/>
      <c r="P346" s="47"/>
      <c r="Q346" s="47"/>
      <c r="R346" s="47"/>
      <c r="S346" s="47"/>
      <c r="T346" s="47"/>
      <c r="U346" s="47"/>
      <c r="V346" s="50" t="s">
        <v>254</v>
      </c>
      <c r="W346" s="74">
        <v>0</v>
      </c>
      <c r="X346" s="39">
        <f>MAX(0,$AK346-$W346-$Z346)</f>
        <v>0</v>
      </c>
      <c r="Y346" s="39"/>
      <c r="Z346" s="39"/>
      <c r="AA346" s="41">
        <v>0.3</v>
      </c>
      <c r="AB346" s="41">
        <f>IF(AND($X346&gt;0,ISNUMBER($AA346)),$X346*$AA346,0)</f>
        <v>0</v>
      </c>
      <c r="AC346" s="59"/>
      <c r="AD346" s="59"/>
      <c r="AE346" s="59"/>
      <c r="AF346" s="59"/>
      <c r="AG346" s="59"/>
      <c r="AH346" s="59"/>
      <c r="AI346" s="59"/>
      <c r="AJ346" s="59"/>
      <c r="AK346" s="39">
        <f>SUM(AL346:AR346)</f>
        <v>0</v>
      </c>
      <c r="AL346" s="114"/>
      <c r="AM346" s="43"/>
      <c r="AN346" s="43"/>
      <c r="AO346" s="43"/>
      <c r="AP346" s="43"/>
      <c r="AQ346" s="43"/>
      <c r="AR346" s="116"/>
      <c r="AS346" s="42">
        <f>SUM(AT346:AZ346)</f>
        <v>0</v>
      </c>
      <c r="AT346" s="48"/>
      <c r="AU346" s="48"/>
      <c r="AV346" s="48"/>
      <c r="AW346" s="48"/>
      <c r="AX346" s="48"/>
      <c r="AY346" s="48"/>
      <c r="AZ346" s="48"/>
      <c r="BA346" s="43">
        <f>IF((W346-SUM(AT346:AZ346))&lt;0,0,W346-SUM(AT346:AZ346))</f>
        <v>0</v>
      </c>
      <c r="BB346" s="49"/>
      <c r="BC346" s="47"/>
      <c r="BD346" s="53"/>
    </row>
    <row r="347" spans="1:56" ht="15" customHeight="1">
      <c r="A347" s="44" t="s">
        <v>1763</v>
      </c>
      <c r="B347" s="45" t="s">
        <v>64</v>
      </c>
      <c r="C347" s="46" t="s">
        <v>65</v>
      </c>
      <c r="D347" s="49" t="s">
        <v>68</v>
      </c>
      <c r="E347" s="44"/>
      <c r="F347" s="45">
        <v>0</v>
      </c>
      <c r="G347" s="75" t="s">
        <v>1764</v>
      </c>
      <c r="H347" s="44" t="s">
        <v>68</v>
      </c>
      <c r="I347" s="44" t="s">
        <v>1765</v>
      </c>
      <c r="J347" s="44" t="s">
        <v>1684</v>
      </c>
      <c r="K347" s="44" t="s">
        <v>1766</v>
      </c>
      <c r="L347" s="108" t="s">
        <v>1767</v>
      </c>
      <c r="M347" s="46">
        <v>1</v>
      </c>
      <c r="N347" s="46">
        <v>1</v>
      </c>
      <c r="O347" s="68" t="s">
        <v>1459</v>
      </c>
      <c r="P347" s="110">
        <v>0.18</v>
      </c>
      <c r="Q347" s="47"/>
      <c r="R347" s="47"/>
      <c r="S347" s="47"/>
      <c r="T347" s="68"/>
      <c r="U347" s="68"/>
      <c r="V347" s="44" t="s">
        <v>167</v>
      </c>
      <c r="W347" s="74">
        <v>1</v>
      </c>
      <c r="X347" s="39">
        <f>MAX(0,$AK347-$W347-$Z347)</f>
        <v>0</v>
      </c>
      <c r="Y347" s="44"/>
      <c r="Z347" s="44"/>
      <c r="AA347" s="44">
        <v>0.18</v>
      </c>
      <c r="AB347" s="44">
        <f>IF(AND($X347&gt;0,ISNUMBER($AA347)),$X347*$AA347,0)</f>
        <v>0</v>
      </c>
      <c r="AK347" s="39">
        <f>SUM(AL347:AR347)</f>
        <v>0</v>
      </c>
      <c r="AL347" s="90"/>
      <c r="AM347" s="38"/>
      <c r="AN347" s="38"/>
      <c r="AO347" s="38"/>
      <c r="AP347" s="38"/>
      <c r="AQ347" s="38"/>
      <c r="AR347" s="91"/>
      <c r="AS347" s="42">
        <f>SUM(AT347:AZ347)</f>
        <v>0</v>
      </c>
      <c r="AT347" s="48"/>
      <c r="AU347" s="48"/>
      <c r="AV347" s="48"/>
      <c r="AW347" s="48"/>
      <c r="AX347" s="48"/>
      <c r="AY347" s="48"/>
      <c r="AZ347" s="48"/>
      <c r="BA347" s="43">
        <f>IF((W347-SUM(AT347:AZ347))&lt;0,0,W347-SUM(AT347:AZ347))</f>
        <v>1</v>
      </c>
      <c r="BB347" s="44"/>
      <c r="BC347" s="47"/>
      <c r="BD347" s="47"/>
    </row>
    <row r="348" spans="1:56" ht="15" customHeight="1">
      <c r="A348" s="49" t="s">
        <v>1768</v>
      </c>
      <c r="B348" s="39" t="s">
        <v>64</v>
      </c>
      <c r="C348" s="46" t="s">
        <v>65</v>
      </c>
      <c r="D348" s="49" t="s">
        <v>68</v>
      </c>
      <c r="E348" s="49" t="s">
        <v>214</v>
      </c>
      <c r="F348" s="39">
        <v>0</v>
      </c>
      <c r="G348" s="75" t="s">
        <v>1769</v>
      </c>
      <c r="H348" s="50" t="s">
        <v>68</v>
      </c>
      <c r="I348" s="50" t="s">
        <v>1770</v>
      </c>
      <c r="J348" s="50"/>
      <c r="K348" s="50"/>
      <c r="L348" s="46"/>
      <c r="M348" s="46"/>
      <c r="N348" s="46"/>
      <c r="O348" s="68"/>
      <c r="P348" s="68"/>
      <c r="Q348" s="46"/>
      <c r="R348" s="46"/>
      <c r="S348" s="46"/>
      <c r="T348" s="68"/>
      <c r="U348" s="68"/>
      <c r="V348" s="50" t="s">
        <v>491</v>
      </c>
      <c r="W348" s="74">
        <v>2</v>
      </c>
      <c r="X348" s="39">
        <f>MAX(0,$AK348-$W348-$Z348)</f>
        <v>0</v>
      </c>
      <c r="Y348" s="39"/>
      <c r="Z348" s="39"/>
      <c r="AA348" s="41">
        <v>0.1</v>
      </c>
      <c r="AB348" s="41">
        <f>IF(AND($X348&gt;0,ISNUMBER($AA348)),$X348*$AA348,0)</f>
        <v>0</v>
      </c>
      <c r="AK348" s="39">
        <f>SUM(AL348:AR348)</f>
        <v>2</v>
      </c>
      <c r="AL348" s="90"/>
      <c r="AM348" s="38"/>
      <c r="AN348" s="97">
        <v>1</v>
      </c>
      <c r="AO348" s="97">
        <v>1</v>
      </c>
      <c r="AP348" s="38"/>
      <c r="AQ348" s="38"/>
      <c r="AR348" s="91"/>
      <c r="AS348" s="42">
        <f>SUM(AT348:AZ348)</f>
        <v>2</v>
      </c>
      <c r="AT348" s="48"/>
      <c r="AU348" s="48"/>
      <c r="AV348" s="48">
        <v>1</v>
      </c>
      <c r="AW348" s="48">
        <v>1</v>
      </c>
      <c r="AX348" s="48"/>
      <c r="AY348" s="48"/>
      <c r="AZ348" s="48"/>
      <c r="BA348" s="43">
        <f>IF((W348-SUM(AT348:AZ348))&lt;0,0,W348-SUM(AT348:AZ348))</f>
        <v>0</v>
      </c>
      <c r="BB348" s="49"/>
      <c r="BC348" s="47"/>
      <c r="BD348" s="55" t="s">
        <v>1771</v>
      </c>
    </row>
    <row r="349" spans="1:56" ht="15" customHeight="1">
      <c r="A349" s="49" t="s">
        <v>1772</v>
      </c>
      <c r="B349" s="39" t="s">
        <v>64</v>
      </c>
      <c r="C349" s="46" t="s">
        <v>83</v>
      </c>
      <c r="D349" s="49" t="s">
        <v>68</v>
      </c>
      <c r="E349" s="49"/>
      <c r="F349" s="39">
        <v>0</v>
      </c>
      <c r="G349" s="75" t="s">
        <v>1773</v>
      </c>
      <c r="H349" s="50" t="s">
        <v>68</v>
      </c>
      <c r="I349" s="50" t="s">
        <v>1774</v>
      </c>
      <c r="J349" s="50" t="s">
        <v>1143</v>
      </c>
      <c r="K349" s="50" t="s">
        <v>1775</v>
      </c>
      <c r="L349" s="47"/>
      <c r="M349" s="47"/>
      <c r="N349" s="47"/>
      <c r="O349" s="68"/>
      <c r="P349" s="68"/>
      <c r="Q349" s="47"/>
      <c r="R349" s="47"/>
      <c r="S349" s="47"/>
      <c r="T349" s="68"/>
      <c r="U349" s="68"/>
      <c r="V349" s="50" t="s">
        <v>254</v>
      </c>
      <c r="W349" s="74">
        <v>1</v>
      </c>
      <c r="X349" s="39">
        <f>MAX(0,$AK349-$W349-$Z349)</f>
        <v>0</v>
      </c>
      <c r="Y349" s="39"/>
      <c r="Z349" s="39"/>
      <c r="AA349" s="41">
        <v>0.37</v>
      </c>
      <c r="AB349" s="41">
        <f>IF(AND($X349&gt;0,ISNUMBER($AA349)),$X349*$AA349,0)</f>
        <v>0</v>
      </c>
      <c r="AK349" s="39">
        <f>SUM(AL349:AR349)</f>
        <v>1</v>
      </c>
      <c r="AL349" s="90"/>
      <c r="AM349" s="38"/>
      <c r="AN349" s="98">
        <v>1</v>
      </c>
      <c r="AO349" s="38"/>
      <c r="AP349" s="38"/>
      <c r="AQ349" s="38"/>
      <c r="AR349" s="91"/>
      <c r="AS349" s="42">
        <f>SUM(AT349:AZ349)</f>
        <v>1</v>
      </c>
      <c r="AT349" s="48"/>
      <c r="AU349" s="48"/>
      <c r="AV349" s="48">
        <v>1</v>
      </c>
      <c r="AW349" s="48"/>
      <c r="AX349" s="48"/>
      <c r="AY349" s="48"/>
      <c r="AZ349" s="48"/>
      <c r="BA349" s="43">
        <f>IF((W349-SUM(AT349:AZ349))&lt;0,0,W349-SUM(AT349:AZ349))</f>
        <v>0</v>
      </c>
      <c r="BB349" s="49"/>
      <c r="BC349" s="47"/>
      <c r="BD349" s="55" t="s">
        <v>218</v>
      </c>
    </row>
    <row r="350" spans="1:56" ht="15" customHeight="1">
      <c r="A350" s="49" t="s">
        <v>1776</v>
      </c>
      <c r="B350" s="39" t="s">
        <v>64</v>
      </c>
      <c r="C350" s="46" t="s">
        <v>65</v>
      </c>
      <c r="D350" s="49" t="s">
        <v>68</v>
      </c>
      <c r="E350" s="49"/>
      <c r="F350" s="39">
        <v>0</v>
      </c>
      <c r="G350" s="75" t="s">
        <v>1777</v>
      </c>
      <c r="H350" s="50" t="s">
        <v>68</v>
      </c>
      <c r="I350" s="50" t="s">
        <v>1778</v>
      </c>
      <c r="J350" s="50" t="s">
        <v>1779</v>
      </c>
      <c r="K350" s="50"/>
      <c r="L350" s="46"/>
      <c r="M350" s="46"/>
      <c r="N350" s="46"/>
      <c r="O350" s="46"/>
      <c r="P350" s="46"/>
      <c r="Q350" s="46"/>
      <c r="R350" s="46"/>
      <c r="S350" s="46"/>
      <c r="T350" s="46"/>
      <c r="U350" s="46"/>
      <c r="V350" s="50" t="s">
        <v>351</v>
      </c>
      <c r="W350" s="74">
        <v>1</v>
      </c>
      <c r="X350" s="39">
        <f>MAX(0,$AK350-$W350-$Z350)</f>
        <v>0</v>
      </c>
      <c r="Y350" s="39"/>
      <c r="Z350" s="39"/>
      <c r="AA350" s="41">
        <v>0.3</v>
      </c>
      <c r="AB350" s="41">
        <f>IF(AND($X350&gt;0,ISNUMBER($AA350)),$X350*$AA350,0)</f>
        <v>0</v>
      </c>
      <c r="AK350" s="39">
        <f>SUM(AL350:AR350)</f>
        <v>1</v>
      </c>
      <c r="AL350" s="90"/>
      <c r="AM350" s="97">
        <v>1</v>
      </c>
      <c r="AN350" s="38"/>
      <c r="AO350" s="38"/>
      <c r="AP350" s="38"/>
      <c r="AQ350" s="38"/>
      <c r="AR350" s="91"/>
      <c r="AS350" s="42">
        <f>SUM(AT350:AZ350)</f>
        <v>1</v>
      </c>
      <c r="AT350" s="48"/>
      <c r="AU350" s="48">
        <v>1</v>
      </c>
      <c r="AV350" s="48"/>
      <c r="AW350" s="48"/>
      <c r="AX350" s="48"/>
      <c r="AY350" s="48"/>
      <c r="AZ350" s="48"/>
      <c r="BA350" s="43">
        <f>IF((W350-SUM(AT350:AZ350))&lt;0,0,W350-SUM(AT350:AZ350))</f>
        <v>0</v>
      </c>
      <c r="BB350" s="49"/>
      <c r="BC350" s="47"/>
      <c r="BD350" s="47"/>
    </row>
    <row r="351" spans="1:56" ht="15" customHeight="1">
      <c r="A351" s="49" t="s">
        <v>1780</v>
      </c>
      <c r="B351" s="39" t="s">
        <v>64</v>
      </c>
      <c r="C351" s="46" t="s">
        <v>83</v>
      </c>
      <c r="D351" s="49" t="s">
        <v>68</v>
      </c>
      <c r="E351" s="49"/>
      <c r="F351" s="39">
        <v>0</v>
      </c>
      <c r="G351" s="75" t="s">
        <v>1781</v>
      </c>
      <c r="H351" s="50" t="s">
        <v>87</v>
      </c>
      <c r="I351" s="50" t="s">
        <v>1781</v>
      </c>
      <c r="J351" s="50"/>
      <c r="K351" s="50"/>
      <c r="L351" s="46"/>
      <c r="M351" s="46"/>
      <c r="N351" s="46"/>
      <c r="O351" s="46"/>
      <c r="P351" s="46"/>
      <c r="Q351" s="46"/>
      <c r="R351" s="46"/>
      <c r="S351" s="46"/>
      <c r="T351" s="46"/>
      <c r="U351" s="46"/>
      <c r="V351" s="50" t="s">
        <v>103</v>
      </c>
      <c r="W351" s="74">
        <v>1</v>
      </c>
      <c r="X351" s="39">
        <f>MAX(0,$AK351-$W351-$Z351)</f>
        <v>0</v>
      </c>
      <c r="Y351" s="39"/>
      <c r="Z351" s="39"/>
      <c r="AA351" s="41">
        <v>1.95</v>
      </c>
      <c r="AB351" s="41">
        <f>IF(AND($X351&gt;0,ISNUMBER($AA351)),$X351*$AA351,0)</f>
        <v>0</v>
      </c>
      <c r="AK351" s="39">
        <f>SUM(AL351:AR351)</f>
        <v>1</v>
      </c>
      <c r="AL351" s="102">
        <v>1</v>
      </c>
      <c r="AM351" s="38"/>
      <c r="AN351" s="38"/>
      <c r="AO351" s="38"/>
      <c r="AP351" s="38"/>
      <c r="AQ351" s="38"/>
      <c r="AR351" s="91"/>
      <c r="AS351" s="42">
        <f>SUM(AT351:AZ351)</f>
        <v>1</v>
      </c>
      <c r="AT351" s="48">
        <v>1</v>
      </c>
      <c r="AU351" s="48"/>
      <c r="AV351" s="48"/>
      <c r="AW351" s="48"/>
      <c r="AX351" s="48"/>
      <c r="AY351" s="48"/>
      <c r="AZ351" s="48"/>
      <c r="BA351" s="43">
        <f>IF((W351-SUM(AT351:AZ351))&lt;0,0,W351-SUM(AT351:AZ351))</f>
        <v>0</v>
      </c>
      <c r="BB351" s="49"/>
      <c r="BC351" s="47"/>
      <c r="BD351" s="47"/>
    </row>
    <row r="352" spans="1:56" ht="15" customHeight="1">
      <c r="A352" s="35" t="s">
        <v>1782</v>
      </c>
      <c r="B352" s="36" t="s">
        <v>64</v>
      </c>
      <c r="C352" s="38" t="s">
        <v>65</v>
      </c>
      <c r="D352" s="35" t="s">
        <v>68</v>
      </c>
      <c r="E352" s="35"/>
      <c r="F352" s="36">
        <v>0</v>
      </c>
      <c r="G352" s="75" t="s">
        <v>1783</v>
      </c>
      <c r="H352" s="35" t="s">
        <v>68</v>
      </c>
      <c r="I352" s="35" t="s">
        <v>1723</v>
      </c>
      <c r="J352" s="35" t="s">
        <v>1684</v>
      </c>
      <c r="K352" s="35" t="s">
        <v>1784</v>
      </c>
      <c r="L352" s="37"/>
      <c r="M352" s="37"/>
      <c r="N352" s="37"/>
      <c r="O352" s="68"/>
      <c r="P352" s="68"/>
      <c r="Q352" s="37"/>
      <c r="R352" s="37"/>
      <c r="S352" s="37"/>
      <c r="T352" s="68"/>
      <c r="U352" s="68"/>
      <c r="V352" s="35" t="s">
        <v>167</v>
      </c>
      <c r="W352" s="74">
        <v>2</v>
      </c>
      <c r="X352" s="39">
        <f>MAX(0,$AK352-$W352-$Z352)</f>
        <v>0</v>
      </c>
      <c r="Y352" s="35"/>
      <c r="Z352" s="35"/>
      <c r="AA352" s="40">
        <v>0.16</v>
      </c>
      <c r="AB352" s="41">
        <f>IF(AND($X352&gt;0,ISNUMBER($AA352)),$X352*$AA352,0)</f>
        <v>0</v>
      </c>
      <c r="AK352" s="39">
        <f>SUM(AL352:AR352)</f>
        <v>1</v>
      </c>
      <c r="AL352" s="102">
        <v>1</v>
      </c>
      <c r="AM352" s="38"/>
      <c r="AN352" s="38"/>
      <c r="AO352" s="38"/>
      <c r="AP352" s="38"/>
      <c r="AQ352" s="38"/>
      <c r="AR352" s="91"/>
      <c r="AS352" s="42">
        <f>SUM(AT352:AZ352)</f>
        <v>1</v>
      </c>
      <c r="AT352" s="48">
        <v>1</v>
      </c>
      <c r="AU352" s="48"/>
      <c r="AV352" s="48"/>
      <c r="AW352" s="48"/>
      <c r="AX352" s="48"/>
      <c r="AY352" s="48"/>
      <c r="AZ352" s="48"/>
      <c r="BA352" s="43">
        <f>IF((W352-SUM(AT352:AZ352))&lt;0,0,W352-SUM(AT352:AZ352))</f>
        <v>1</v>
      </c>
      <c r="BB352" s="35"/>
      <c r="BC352" s="37"/>
      <c r="BD352" s="37"/>
    </row>
    <row r="353" spans="1:56" ht="15" customHeight="1">
      <c r="A353" s="49" t="s">
        <v>348</v>
      </c>
      <c r="B353" s="39" t="s">
        <v>64</v>
      </c>
      <c r="C353" s="46" t="s">
        <v>65</v>
      </c>
      <c r="D353" s="49" t="s">
        <v>68</v>
      </c>
      <c r="E353" s="49"/>
      <c r="F353" s="39">
        <v>0</v>
      </c>
      <c r="G353" s="75" t="s">
        <v>349</v>
      </c>
      <c r="H353" s="50" t="s">
        <v>68</v>
      </c>
      <c r="I353" s="50" t="s">
        <v>190</v>
      </c>
      <c r="J353" s="50" t="s">
        <v>350</v>
      </c>
      <c r="K353" s="50"/>
      <c r="L353" s="47"/>
      <c r="M353" s="47"/>
      <c r="N353" s="47"/>
      <c r="O353" s="47"/>
      <c r="P353" s="47"/>
      <c r="Q353" s="47"/>
      <c r="R353" s="47"/>
      <c r="S353" s="47"/>
      <c r="T353" s="47"/>
      <c r="U353" s="47"/>
      <c r="V353" s="50" t="s">
        <v>351</v>
      </c>
      <c r="W353" s="74">
        <v>2</v>
      </c>
      <c r="X353" s="39">
        <f>MAX(0,$AK353-$W353-$Z353)</f>
        <v>0</v>
      </c>
      <c r="Y353" s="39"/>
      <c r="Z353" s="39"/>
      <c r="AA353" s="41">
        <v>0.39</v>
      </c>
      <c r="AB353" s="41">
        <f>IF(AND($X353&gt;0,ISNUMBER($AA353)),$X353*$AA353,0)</f>
        <v>0</v>
      </c>
      <c r="AK353" s="39">
        <f>SUM(AL353:AR353)</f>
        <v>2</v>
      </c>
      <c r="AL353" s="90"/>
      <c r="AM353" s="38"/>
      <c r="AN353" s="38"/>
      <c r="AO353" s="97">
        <v>1</v>
      </c>
      <c r="AP353" s="97">
        <v>1</v>
      </c>
      <c r="AQ353" s="38"/>
      <c r="AR353" s="91"/>
      <c r="AS353" s="42">
        <f>SUM(AT353:AZ353)</f>
        <v>2</v>
      </c>
      <c r="AT353" s="48"/>
      <c r="AU353" s="48"/>
      <c r="AV353" s="48"/>
      <c r="AW353" s="48">
        <v>1</v>
      </c>
      <c r="AX353" s="48">
        <v>1</v>
      </c>
      <c r="AY353" s="48"/>
      <c r="AZ353" s="48"/>
      <c r="BA353" s="43">
        <f>IF((W353-SUM(AT353:AZ353))&lt;0,0,W353-SUM(AT353:AZ353))</f>
        <v>0</v>
      </c>
      <c r="BB353" s="49"/>
      <c r="BC353" s="47"/>
      <c r="BD353" s="47"/>
    </row>
    <row r="354" spans="1:56" ht="15" customHeight="1">
      <c r="A354" s="49" t="s">
        <v>1788</v>
      </c>
      <c r="B354" s="39" t="s">
        <v>64</v>
      </c>
      <c r="C354" s="46" t="s">
        <v>65</v>
      </c>
      <c r="D354" s="49" t="s">
        <v>68</v>
      </c>
      <c r="E354" s="49"/>
      <c r="F354" s="39">
        <v>0</v>
      </c>
      <c r="G354" s="75" t="s">
        <v>1789</v>
      </c>
      <c r="H354" s="50" t="s">
        <v>845</v>
      </c>
      <c r="I354" s="50" t="s">
        <v>323</v>
      </c>
      <c r="J354" s="50" t="s">
        <v>1790</v>
      </c>
      <c r="K354" s="50"/>
      <c r="L354" s="47"/>
      <c r="M354" s="47"/>
      <c r="N354" s="47"/>
      <c r="O354" s="47"/>
      <c r="P354" s="47"/>
      <c r="Q354" s="47"/>
      <c r="R354" s="47"/>
      <c r="S354" s="47"/>
      <c r="T354" s="47"/>
      <c r="U354" s="47"/>
      <c r="V354" s="50" t="s">
        <v>281</v>
      </c>
      <c r="W354" s="74">
        <v>1</v>
      </c>
      <c r="X354" s="39">
        <f>MAX(0,$AK354-$W354-$Z354)</f>
        <v>0</v>
      </c>
      <c r="Y354" s="39"/>
      <c r="Z354" s="39"/>
      <c r="AA354" s="41">
        <v>2.5499999999999998</v>
      </c>
      <c r="AB354" s="41">
        <f>IF(AND($X354&gt;0,ISNUMBER($AA354)),$X354*$AA354,0)</f>
        <v>0</v>
      </c>
      <c r="AK354" s="39">
        <f>SUM(AL354:AR354)</f>
        <v>1</v>
      </c>
      <c r="AL354" s="90"/>
      <c r="AM354" s="38"/>
      <c r="AN354" s="97">
        <v>1</v>
      </c>
      <c r="AO354" s="38"/>
      <c r="AP354" s="38"/>
      <c r="AQ354" s="38"/>
      <c r="AR354" s="91"/>
      <c r="AS354" s="42">
        <f>SUM(AT354:AZ354)</f>
        <v>1</v>
      </c>
      <c r="AT354" s="48"/>
      <c r="AU354" s="48"/>
      <c r="AV354" s="48">
        <v>1</v>
      </c>
      <c r="AW354" s="48"/>
      <c r="AX354" s="48"/>
      <c r="AY354" s="48"/>
      <c r="AZ354" s="48"/>
      <c r="BA354" s="43">
        <f>IF((W354-SUM(AT354:AZ354))&lt;0,0,W354-SUM(AT354:AZ354))</f>
        <v>0</v>
      </c>
      <c r="BB354" s="49"/>
      <c r="BC354" s="47"/>
      <c r="BD354" s="47"/>
    </row>
    <row r="355" spans="1:56" ht="15" customHeight="1">
      <c r="A355" s="49" t="s">
        <v>1791</v>
      </c>
      <c r="B355" s="39" t="s">
        <v>64</v>
      </c>
      <c r="C355" s="46" t="s">
        <v>65</v>
      </c>
      <c r="D355" s="49" t="s">
        <v>1792</v>
      </c>
      <c r="E355" s="49"/>
      <c r="F355" s="39">
        <v>0</v>
      </c>
      <c r="G355" s="75" t="s">
        <v>1793</v>
      </c>
      <c r="H355" s="50" t="s">
        <v>68</v>
      </c>
      <c r="I355" s="50" t="s">
        <v>323</v>
      </c>
      <c r="J355" s="50" t="s">
        <v>1794</v>
      </c>
      <c r="K355" s="50"/>
      <c r="L355" s="47"/>
      <c r="M355" s="47"/>
      <c r="N355" s="47"/>
      <c r="O355" s="47"/>
      <c r="P355" s="47"/>
      <c r="Q355" s="47"/>
      <c r="R355" s="47"/>
      <c r="S355" s="47"/>
      <c r="T355" s="47"/>
      <c r="U355" s="47"/>
      <c r="V355" s="50" t="s">
        <v>1069</v>
      </c>
      <c r="W355" s="74">
        <v>1</v>
      </c>
      <c r="X355" s="39">
        <f>MAX(0,$AK355-$W355-$Z355)</f>
        <v>0</v>
      </c>
      <c r="Y355" s="39"/>
      <c r="Z355" s="39"/>
      <c r="AA355" s="41">
        <v>0.36</v>
      </c>
      <c r="AB355" s="41">
        <f>IF(AND($X355&gt;0,ISNUMBER($AA355)),$X355*$AA355,0)</f>
        <v>0</v>
      </c>
      <c r="AH355" s="63"/>
      <c r="AK355" s="39">
        <f>SUM(AL355:AR355)</f>
        <v>1</v>
      </c>
      <c r="AL355" s="90"/>
      <c r="AM355" s="38"/>
      <c r="AN355" s="38"/>
      <c r="AO355" s="38"/>
      <c r="AP355" s="38"/>
      <c r="AQ355" s="98">
        <v>1</v>
      </c>
      <c r="AR355" s="91"/>
      <c r="AS355" s="42">
        <f>SUM(AT355:AZ355)</f>
        <v>1</v>
      </c>
      <c r="AT355" s="48"/>
      <c r="AU355" s="48"/>
      <c r="AV355" s="48"/>
      <c r="AW355" s="48"/>
      <c r="AX355" s="48"/>
      <c r="AY355" s="48">
        <v>1</v>
      </c>
      <c r="AZ355" s="48"/>
      <c r="BA355" s="43">
        <f>IF((W355-SUM(AT355:AZ355))&lt;0,0,W355-SUM(AT355:AZ355))</f>
        <v>0</v>
      </c>
      <c r="BB355" s="49"/>
      <c r="BC355" s="47"/>
      <c r="BD355" s="47"/>
    </row>
    <row r="356" spans="1:56" ht="15" customHeight="1">
      <c r="A356" s="49" t="s">
        <v>1795</v>
      </c>
      <c r="B356" s="39" t="s">
        <v>64</v>
      </c>
      <c r="C356" s="46" t="s">
        <v>65</v>
      </c>
      <c r="D356" s="49" t="s">
        <v>68</v>
      </c>
      <c r="E356" s="49"/>
      <c r="F356" s="39">
        <v>0</v>
      </c>
      <c r="G356" s="75" t="s">
        <v>1796</v>
      </c>
      <c r="H356" s="50" t="s">
        <v>931</v>
      </c>
      <c r="I356" s="50" t="s">
        <v>323</v>
      </c>
      <c r="J356" s="50" t="s">
        <v>1797</v>
      </c>
      <c r="K356" s="50"/>
      <c r="L356" s="47"/>
      <c r="M356" s="47"/>
      <c r="N356" s="47"/>
      <c r="O356" s="47"/>
      <c r="P356" s="47"/>
      <c r="Q356" s="47"/>
      <c r="R356" s="47"/>
      <c r="S356" s="47"/>
      <c r="T356" s="47"/>
      <c r="U356" s="47"/>
      <c r="V356" s="50" t="s">
        <v>1798</v>
      </c>
      <c r="W356" s="74">
        <v>0</v>
      </c>
      <c r="X356" s="39">
        <f>MAX(0,$AK356-$W356-$Z356)</f>
        <v>0</v>
      </c>
      <c r="Y356" s="39" t="s">
        <v>1311</v>
      </c>
      <c r="Z356" s="39">
        <v>1</v>
      </c>
      <c r="AA356" s="41">
        <v>0.28999999999999998</v>
      </c>
      <c r="AB356" s="41">
        <f>IF(AND($X356&gt;0,ISNUMBER($AA356)),$X356*$AA356,0)</f>
        <v>0</v>
      </c>
      <c r="AC356" s="59"/>
      <c r="AD356" s="59"/>
      <c r="AE356" s="59"/>
      <c r="AF356" s="59"/>
      <c r="AG356" s="59"/>
      <c r="AH356" s="59"/>
      <c r="AI356" s="59"/>
      <c r="AJ356" s="59"/>
      <c r="AK356" s="39">
        <f>SUM(AL356:AR356)</f>
        <v>0</v>
      </c>
      <c r="AL356" s="114"/>
      <c r="AM356" s="43"/>
      <c r="AN356" s="43"/>
      <c r="AO356" s="43"/>
      <c r="AP356" s="43"/>
      <c r="AQ356" s="43"/>
      <c r="AR356" s="116"/>
      <c r="AS356" s="42">
        <f>SUM(AT356:AZ356)</f>
        <v>0</v>
      </c>
      <c r="AT356" s="48"/>
      <c r="AU356" s="48"/>
      <c r="AV356" s="48"/>
      <c r="AW356" s="48"/>
      <c r="AX356" s="48"/>
      <c r="AY356" s="48"/>
      <c r="AZ356" s="48"/>
      <c r="BA356" s="43">
        <f>IF((W356-SUM(AT356:AZ356))&lt;0,0,W356-SUM(AT356:AZ356))</f>
        <v>0</v>
      </c>
      <c r="BB356" s="49"/>
      <c r="BC356" s="47"/>
      <c r="BD356" s="53"/>
    </row>
    <row r="357" spans="1:56" ht="15" customHeight="1">
      <c r="A357" s="49" t="s">
        <v>1799</v>
      </c>
      <c r="B357" s="45" t="s">
        <v>64</v>
      </c>
      <c r="C357" s="46" t="s">
        <v>65</v>
      </c>
      <c r="D357" s="44" t="s">
        <v>68</v>
      </c>
      <c r="E357" s="44"/>
      <c r="F357" s="45">
        <v>0</v>
      </c>
      <c r="G357" s="75" t="s">
        <v>1800</v>
      </c>
      <c r="H357" s="44" t="s">
        <v>68</v>
      </c>
      <c r="I357" s="44" t="s">
        <v>1753</v>
      </c>
      <c r="J357" s="44" t="s">
        <v>1684</v>
      </c>
      <c r="K357" s="44" t="s">
        <v>1801</v>
      </c>
      <c r="L357" s="47"/>
      <c r="M357" s="47"/>
      <c r="N357" s="47"/>
      <c r="O357" s="68"/>
      <c r="P357" s="68"/>
      <c r="Q357" s="47"/>
      <c r="R357" s="47"/>
      <c r="S357" s="47"/>
      <c r="T357" s="68"/>
      <c r="U357" s="68"/>
      <c r="V357" s="44" t="s">
        <v>167</v>
      </c>
      <c r="W357" s="74">
        <v>1</v>
      </c>
      <c r="X357" s="39">
        <f>MAX(0,$AK357-$W357-$Z357)</f>
        <v>0</v>
      </c>
      <c r="Y357" s="44"/>
      <c r="Z357" s="44"/>
      <c r="AA357" s="44">
        <v>0.17</v>
      </c>
      <c r="AB357" s="44">
        <f>IF(AND($X357&gt;0,ISNUMBER($AA357)),$X357*$AA357,0)</f>
        <v>0</v>
      </c>
      <c r="AK357" s="39">
        <f>SUM(AL357:AR357)</f>
        <v>1</v>
      </c>
      <c r="AL357" s="90"/>
      <c r="AM357" s="38"/>
      <c r="AN357" s="97">
        <v>1</v>
      </c>
      <c r="AO357" s="38"/>
      <c r="AP357" s="38"/>
      <c r="AQ357" s="38"/>
      <c r="AR357" s="91"/>
      <c r="AS357" s="42">
        <f>SUM(AT357:AZ357)</f>
        <v>1</v>
      </c>
      <c r="AT357" s="48"/>
      <c r="AU357" s="48"/>
      <c r="AV357" s="48">
        <v>1</v>
      </c>
      <c r="AW357" s="48"/>
      <c r="AX357" s="48"/>
      <c r="AY357" s="48"/>
      <c r="AZ357" s="48"/>
      <c r="BA357" s="43">
        <f>IF((W357-SUM(AT357:AZ357))&lt;0,0,W357-SUM(AT357:AZ357))</f>
        <v>0</v>
      </c>
      <c r="BB357" s="44"/>
      <c r="BC357" s="47"/>
      <c r="BD357" s="47"/>
    </row>
    <row r="358" spans="1:56" ht="15" customHeight="1">
      <c r="A358" s="49" t="s">
        <v>1802</v>
      </c>
      <c r="B358" s="39" t="s">
        <v>64</v>
      </c>
      <c r="C358" s="46" t="s">
        <v>65</v>
      </c>
      <c r="D358" s="49" t="s">
        <v>68</v>
      </c>
      <c r="E358" s="49"/>
      <c r="F358" s="39">
        <v>0</v>
      </c>
      <c r="G358" s="75" t="s">
        <v>1803</v>
      </c>
      <c r="H358" s="50" t="s">
        <v>68</v>
      </c>
      <c r="I358" s="50" t="s">
        <v>1804</v>
      </c>
      <c r="J358" s="50"/>
      <c r="K358" s="50"/>
      <c r="L358" s="47"/>
      <c r="M358" s="47"/>
      <c r="N358" s="47"/>
      <c r="O358" s="47"/>
      <c r="P358" s="47"/>
      <c r="Q358" s="47"/>
      <c r="R358" s="47"/>
      <c r="S358" s="47"/>
      <c r="T358" s="47"/>
      <c r="U358" s="47"/>
      <c r="V358" s="50" t="s">
        <v>747</v>
      </c>
      <c r="W358" s="74">
        <v>0</v>
      </c>
      <c r="X358" s="39">
        <f>MAX(0,$AK358-$W358-$Z358)</f>
        <v>0</v>
      </c>
      <c r="Y358" s="39"/>
      <c r="Z358" s="39"/>
      <c r="AA358" s="41">
        <v>0.57999999999999996</v>
      </c>
      <c r="AB358" s="41">
        <f>IF(AND($X358&gt;0,ISNUMBER($AA358)),$X358*$AA358,0)</f>
        <v>0</v>
      </c>
      <c r="AC358" s="59"/>
      <c r="AD358" s="59"/>
      <c r="AE358" s="59"/>
      <c r="AF358" s="59"/>
      <c r="AG358" s="59"/>
      <c r="AH358" s="59"/>
      <c r="AI358" s="59"/>
      <c r="AJ358" s="59"/>
      <c r="AK358" s="39">
        <f>SUM(AL358:AR358)</f>
        <v>0</v>
      </c>
      <c r="AL358" s="114"/>
      <c r="AM358" s="43"/>
      <c r="AN358" s="43"/>
      <c r="AO358" s="43"/>
      <c r="AP358" s="43"/>
      <c r="AQ358" s="43"/>
      <c r="AR358" s="116"/>
      <c r="AS358" s="42">
        <f>SUM(AT358:AZ358)</f>
        <v>0</v>
      </c>
      <c r="AT358" s="48"/>
      <c r="AU358" s="48"/>
      <c r="AV358" s="48"/>
      <c r="AW358" s="48"/>
      <c r="AX358" s="48"/>
      <c r="AY358" s="48"/>
      <c r="AZ358" s="48"/>
      <c r="BA358" s="43">
        <f>IF((W358-SUM(AT358:AZ358))&lt;0,0,W358-SUM(AT358:AZ358))</f>
        <v>0</v>
      </c>
      <c r="BB358" s="49"/>
      <c r="BC358" s="47"/>
      <c r="BD358" s="53"/>
    </row>
    <row r="359" spans="1:56" ht="15" customHeight="1">
      <c r="A359" s="49" t="s">
        <v>1805</v>
      </c>
      <c r="B359" s="39" t="s">
        <v>64</v>
      </c>
      <c r="C359" s="46" t="s">
        <v>65</v>
      </c>
      <c r="D359" s="49" t="s">
        <v>68</v>
      </c>
      <c r="E359" s="49"/>
      <c r="F359" s="39">
        <v>0</v>
      </c>
      <c r="G359" s="75" t="s">
        <v>1806</v>
      </c>
      <c r="H359" s="50" t="s">
        <v>68</v>
      </c>
      <c r="I359" s="50" t="s">
        <v>1723</v>
      </c>
      <c r="J359" s="50" t="s">
        <v>1684</v>
      </c>
      <c r="K359" s="50" t="s">
        <v>1807</v>
      </c>
      <c r="L359" s="46"/>
      <c r="M359" s="46"/>
      <c r="N359" s="46"/>
      <c r="O359" s="46"/>
      <c r="P359" s="46"/>
      <c r="Q359" s="46"/>
      <c r="R359" s="46"/>
      <c r="S359" s="46"/>
      <c r="T359" s="46"/>
      <c r="U359" s="46"/>
      <c r="V359" s="50" t="s">
        <v>383</v>
      </c>
      <c r="W359" s="74">
        <v>1</v>
      </c>
      <c r="X359" s="39">
        <f>MAX(0,$AK359-$W359-$Z359)</f>
        <v>0</v>
      </c>
      <c r="Y359" s="39"/>
      <c r="Z359" s="39"/>
      <c r="AA359" s="41">
        <v>0.22</v>
      </c>
      <c r="AB359" s="41">
        <f>IF(AND($X359&gt;0,ISNUMBER($AA359)),$X359*$AA359,0)</f>
        <v>0</v>
      </c>
      <c r="AK359" s="39">
        <f>SUM(AL359:AR359)</f>
        <v>1</v>
      </c>
      <c r="AL359" s="102">
        <v>1</v>
      </c>
      <c r="AM359" s="38"/>
      <c r="AN359" s="38"/>
      <c r="AO359" s="38"/>
      <c r="AP359" s="38"/>
      <c r="AQ359" s="38"/>
      <c r="AR359" s="91"/>
      <c r="AS359" s="42">
        <f>SUM(AT359:AZ359)</f>
        <v>1</v>
      </c>
      <c r="AT359" s="48">
        <v>1</v>
      </c>
      <c r="AU359" s="48"/>
      <c r="AV359" s="48"/>
      <c r="AW359" s="48"/>
      <c r="AX359" s="48"/>
      <c r="AY359" s="48"/>
      <c r="AZ359" s="48"/>
      <c r="BA359" s="43">
        <f>IF((W359-SUM(AT359:AZ359))&lt;0,0,W359-SUM(AT359:AZ359))</f>
        <v>0</v>
      </c>
      <c r="BB359" s="49"/>
      <c r="BC359" s="47"/>
      <c r="BD359" s="47"/>
    </row>
    <row r="360" spans="1:56" ht="15" customHeight="1">
      <c r="A360" s="49" t="s">
        <v>1808</v>
      </c>
      <c r="B360" s="39" t="s">
        <v>64</v>
      </c>
      <c r="C360" s="46" t="s">
        <v>65</v>
      </c>
      <c r="D360" s="49" t="s">
        <v>68</v>
      </c>
      <c r="E360" s="49"/>
      <c r="F360" s="39">
        <v>0</v>
      </c>
      <c r="G360" s="75" t="s">
        <v>1809</v>
      </c>
      <c r="H360" s="50" t="s">
        <v>172</v>
      </c>
      <c r="I360" s="50" t="s">
        <v>1810</v>
      </c>
      <c r="J360" s="50" t="s">
        <v>1811</v>
      </c>
      <c r="K360" s="50"/>
      <c r="L360" s="47"/>
      <c r="M360" s="47"/>
      <c r="N360" s="47"/>
      <c r="O360" s="47"/>
      <c r="P360" s="47"/>
      <c r="Q360" s="47"/>
      <c r="R360" s="47"/>
      <c r="S360" s="47"/>
      <c r="T360" s="47"/>
      <c r="U360" s="47"/>
      <c r="V360" s="50" t="s">
        <v>368</v>
      </c>
      <c r="W360" s="74">
        <v>1</v>
      </c>
      <c r="X360" s="39">
        <f>MAX(0,$AK360-$W360-$Z360)</f>
        <v>0</v>
      </c>
      <c r="Y360" s="39"/>
      <c r="Z360" s="39"/>
      <c r="AA360" s="41">
        <v>2.63</v>
      </c>
      <c r="AB360" s="41">
        <f>IF(AND($X360&gt;0,ISNUMBER($AA360)),$X360*$AA360,0)</f>
        <v>0</v>
      </c>
      <c r="AK360" s="39">
        <f>SUM(AL360:AR360)</f>
        <v>1</v>
      </c>
      <c r="AL360" s="90"/>
      <c r="AM360" s="97">
        <v>1</v>
      </c>
      <c r="AN360" s="38"/>
      <c r="AO360" s="38"/>
      <c r="AP360" s="38"/>
      <c r="AQ360" s="38"/>
      <c r="AR360" s="91"/>
      <c r="AS360" s="42">
        <f>SUM(AT360:AZ360)</f>
        <v>1</v>
      </c>
      <c r="AT360" s="48"/>
      <c r="AU360" s="48">
        <v>1</v>
      </c>
      <c r="AV360" s="48"/>
      <c r="AW360" s="48"/>
      <c r="AX360" s="48"/>
      <c r="AY360" s="48"/>
      <c r="AZ360" s="48"/>
      <c r="BA360" s="43">
        <f>IF((W360-SUM(AT360:AZ360))&lt;0,0,W360-SUM(AT360:AZ360))</f>
        <v>0</v>
      </c>
      <c r="BB360" s="49"/>
      <c r="BC360" s="47"/>
      <c r="BD360" s="47"/>
    </row>
    <row r="361" spans="1:56" ht="15" customHeight="1">
      <c r="A361" s="49" t="s">
        <v>1812</v>
      </c>
      <c r="B361" s="39" t="s">
        <v>64</v>
      </c>
      <c r="C361" s="46" t="s">
        <v>65</v>
      </c>
      <c r="D361" s="49" t="s">
        <v>68</v>
      </c>
      <c r="E361" s="49"/>
      <c r="F361" s="39">
        <v>0</v>
      </c>
      <c r="G361" s="75" t="s">
        <v>1693</v>
      </c>
      <c r="H361" s="50" t="s">
        <v>68</v>
      </c>
      <c r="I361" s="50" t="s">
        <v>1694</v>
      </c>
      <c r="J361" s="50"/>
      <c r="K361" s="50"/>
      <c r="L361" s="46"/>
      <c r="M361" s="46"/>
      <c r="N361" s="46"/>
      <c r="O361" s="68"/>
      <c r="P361" s="68"/>
      <c r="Q361" s="46"/>
      <c r="R361" s="46"/>
      <c r="S361" s="46"/>
      <c r="T361" s="68"/>
      <c r="U361" s="68"/>
      <c r="V361" s="50" t="s">
        <v>991</v>
      </c>
      <c r="W361" s="74">
        <v>2</v>
      </c>
      <c r="X361" s="39">
        <f>MAX(0,$AK361-$W361-$Z361)</f>
        <v>0</v>
      </c>
      <c r="Y361" s="39"/>
      <c r="Z361" s="39"/>
      <c r="AA361" s="41">
        <v>0.12</v>
      </c>
      <c r="AB361" s="41">
        <f>IF(AND($X361&gt;0,ISNUMBER($AA361)),$X361*$AA361,0)</f>
        <v>0</v>
      </c>
      <c r="AK361" s="39">
        <f>SUM(AL361:AR361)</f>
        <v>2</v>
      </c>
      <c r="AL361" s="90"/>
      <c r="AM361" s="97">
        <v>1</v>
      </c>
      <c r="AN361" s="97">
        <v>1</v>
      </c>
      <c r="AO361" s="38"/>
      <c r="AP361" s="38"/>
      <c r="AQ361" s="38"/>
      <c r="AR361" s="91"/>
      <c r="AS361" s="42">
        <f>SUM(AT361:AZ361)</f>
        <v>2</v>
      </c>
      <c r="AT361" s="48"/>
      <c r="AU361" s="48">
        <v>1</v>
      </c>
      <c r="AV361" s="48">
        <v>1</v>
      </c>
      <c r="AW361" s="48"/>
      <c r="AX361" s="48"/>
      <c r="AY361" s="48"/>
      <c r="AZ361" s="48"/>
      <c r="BA361" s="43">
        <f>IF((W361-SUM(AT361:AZ361))&lt;0,0,W361-SUM(AT361:AZ361))</f>
        <v>0</v>
      </c>
      <c r="BB361" s="49"/>
      <c r="BC361" s="47"/>
      <c r="BD361" s="55" t="s">
        <v>1695</v>
      </c>
    </row>
    <row r="362" spans="1:56" ht="15" customHeight="1">
      <c r="A362" s="49" t="s">
        <v>1817</v>
      </c>
      <c r="B362" s="39" t="s">
        <v>64</v>
      </c>
      <c r="C362" s="46" t="s">
        <v>65</v>
      </c>
      <c r="D362" s="49" t="s">
        <v>68</v>
      </c>
      <c r="E362" s="49" t="s">
        <v>63</v>
      </c>
      <c r="F362" s="39">
        <v>0</v>
      </c>
      <c r="G362" s="75" t="s">
        <v>1818</v>
      </c>
      <c r="H362" s="50" t="s">
        <v>68</v>
      </c>
      <c r="I362" s="50" t="s">
        <v>69</v>
      </c>
      <c r="J362" s="50" t="s">
        <v>1684</v>
      </c>
      <c r="K362" s="50" t="s">
        <v>1819</v>
      </c>
      <c r="L362" s="46"/>
      <c r="M362" s="46"/>
      <c r="N362" s="46"/>
      <c r="O362" s="46"/>
      <c r="P362" s="46"/>
      <c r="Q362" s="46"/>
      <c r="R362" s="46"/>
      <c r="S362" s="46"/>
      <c r="T362" s="46"/>
      <c r="U362" s="46"/>
      <c r="V362" s="50" t="s">
        <v>509</v>
      </c>
      <c r="W362" s="74">
        <v>1</v>
      </c>
      <c r="X362" s="39">
        <f>MAX(0,$AK362-$W362-$Z362)</f>
        <v>0</v>
      </c>
      <c r="Y362" s="39"/>
      <c r="Z362" s="39"/>
      <c r="AA362" s="41">
        <v>0.27</v>
      </c>
      <c r="AB362" s="41">
        <f>IF(AND($X362&gt;0,ISNUMBER($AA362)),$X362*$AA362,0)</f>
        <v>0</v>
      </c>
      <c r="AK362" s="39">
        <f>SUM(AL362:AR362)</f>
        <v>1</v>
      </c>
      <c r="AL362" s="102">
        <v>1</v>
      </c>
      <c r="AM362" s="38"/>
      <c r="AN362" s="38"/>
      <c r="AO362" s="38"/>
      <c r="AP362" s="38"/>
      <c r="AQ362" s="38"/>
      <c r="AR362" s="91"/>
      <c r="AS362" s="42">
        <f>SUM(AT362:AZ362)</f>
        <v>1</v>
      </c>
      <c r="AT362" s="48">
        <v>1</v>
      </c>
      <c r="AU362" s="48"/>
      <c r="AV362" s="48"/>
      <c r="AW362" s="48"/>
      <c r="AX362" s="48"/>
      <c r="AY362" s="48"/>
      <c r="AZ362" s="48"/>
      <c r="BA362" s="43">
        <f>IF((W362-SUM(AT362:AZ362))&lt;0,0,W362-SUM(AT362:AZ362))</f>
        <v>0</v>
      </c>
      <c r="BB362" s="49"/>
      <c r="BC362" s="47"/>
      <c r="BD362" s="47"/>
    </row>
    <row r="363" spans="1:56" ht="15" customHeight="1">
      <c r="A363" s="49" t="s">
        <v>1820</v>
      </c>
      <c r="B363" s="39" t="s">
        <v>64</v>
      </c>
      <c r="C363" s="46" t="s">
        <v>65</v>
      </c>
      <c r="D363" s="49" t="s">
        <v>66</v>
      </c>
      <c r="E363" s="49" t="s">
        <v>1820</v>
      </c>
      <c r="F363" s="39">
        <v>0</v>
      </c>
      <c r="G363" s="75" t="s">
        <v>1821</v>
      </c>
      <c r="H363" s="50" t="s">
        <v>68</v>
      </c>
      <c r="I363" s="50" t="s">
        <v>1716</v>
      </c>
      <c r="J363" s="50"/>
      <c r="K363" s="50"/>
      <c r="L363" s="47"/>
      <c r="M363" s="47"/>
      <c r="N363" s="47"/>
      <c r="O363" s="68"/>
      <c r="P363" s="68"/>
      <c r="Q363" s="47"/>
      <c r="R363" s="47"/>
      <c r="S363" s="47"/>
      <c r="T363" s="68"/>
      <c r="U363" s="68"/>
      <c r="V363" s="50" t="s">
        <v>70</v>
      </c>
      <c r="W363" s="74">
        <v>88</v>
      </c>
      <c r="X363" s="39">
        <f>MAX(0,$AK363-$W363-$Z363)</f>
        <v>0</v>
      </c>
      <c r="Y363" s="39"/>
      <c r="Z363" s="39"/>
      <c r="AA363" s="41">
        <v>0.1</v>
      </c>
      <c r="AB363" s="41">
        <f>IF(AND($X363&gt;0,ISNUMBER($AA363)),$X363*$AA363,0)</f>
        <v>0</v>
      </c>
      <c r="AK363" s="39">
        <f>SUM(AL363:AR363)</f>
        <v>41</v>
      </c>
      <c r="AL363" s="102">
        <v>8</v>
      </c>
      <c r="AM363" s="38"/>
      <c r="AN363" s="38"/>
      <c r="AO363" s="38"/>
      <c r="AP363" s="38"/>
      <c r="AQ363" s="97">
        <v>33</v>
      </c>
      <c r="AR363" s="91"/>
      <c r="AS363" s="42">
        <f>SUM(AT363:AZ363)</f>
        <v>41</v>
      </c>
      <c r="AT363" s="48">
        <v>8</v>
      </c>
      <c r="AU363" s="48"/>
      <c r="AV363" s="48"/>
      <c r="AW363" s="48"/>
      <c r="AX363" s="48"/>
      <c r="AY363" s="48">
        <v>33</v>
      </c>
      <c r="AZ363" s="48"/>
      <c r="BA363" s="43">
        <f>IF((W363-SUM(AT363:AZ363))&lt;0,0,W363-SUM(AT363:AZ363))</f>
        <v>47</v>
      </c>
      <c r="BB363" s="49"/>
      <c r="BC363" s="47"/>
      <c r="BD363" s="47"/>
    </row>
    <row r="364" spans="1:56" ht="15" customHeight="1">
      <c r="A364" s="49" t="s">
        <v>1822</v>
      </c>
      <c r="B364" s="39" t="s">
        <v>64</v>
      </c>
      <c r="C364" s="46" t="s">
        <v>65</v>
      </c>
      <c r="D364" s="49" t="s">
        <v>68</v>
      </c>
      <c r="E364" s="49"/>
      <c r="F364" s="39">
        <v>0</v>
      </c>
      <c r="G364" s="75" t="s">
        <v>1823</v>
      </c>
      <c r="H364" s="50" t="s">
        <v>931</v>
      </c>
      <c r="I364" s="50" t="s">
        <v>323</v>
      </c>
      <c r="J364" s="50" t="s">
        <v>1824</v>
      </c>
      <c r="K364" s="50"/>
      <c r="L364" s="47"/>
      <c r="M364" s="47"/>
      <c r="N364" s="47"/>
      <c r="O364" s="47"/>
      <c r="P364" s="47"/>
      <c r="Q364" s="47"/>
      <c r="R364" s="47"/>
      <c r="S364" s="47"/>
      <c r="T364" s="47"/>
      <c r="U364" s="47"/>
      <c r="V364" s="50" t="s">
        <v>1345</v>
      </c>
      <c r="W364" s="74">
        <v>1</v>
      </c>
      <c r="X364" s="39">
        <f>MAX(0,$AK364-$W364-$Z364)</f>
        <v>0</v>
      </c>
      <c r="Y364" s="39"/>
      <c r="Z364" s="39"/>
      <c r="AA364" s="41">
        <v>0.28999999999999998</v>
      </c>
      <c r="AB364" s="41">
        <f>IF(AND($X364&gt;0,ISNUMBER($AA364)),$X364*$AA364,0)</f>
        <v>0</v>
      </c>
      <c r="AK364" s="39">
        <f>SUM(AL364:AR364)</f>
        <v>1</v>
      </c>
      <c r="AL364" s="90"/>
      <c r="AM364" s="38"/>
      <c r="AN364" s="38"/>
      <c r="AO364" s="98">
        <v>1</v>
      </c>
      <c r="AP364" s="38"/>
      <c r="AQ364" s="38"/>
      <c r="AR364" s="91"/>
      <c r="AS364" s="42">
        <f>SUM(AT364:AZ364)</f>
        <v>1</v>
      </c>
      <c r="AT364" s="48"/>
      <c r="AU364" s="48"/>
      <c r="AV364" s="48"/>
      <c r="AW364" s="48">
        <v>1</v>
      </c>
      <c r="AX364" s="48"/>
      <c r="AY364" s="48"/>
      <c r="AZ364" s="48"/>
      <c r="BA364" s="43">
        <f>IF((W364-SUM(AT364:AZ364))&lt;0,0,W364-SUM(AT364:AZ364))</f>
        <v>0</v>
      </c>
      <c r="BB364" s="49"/>
      <c r="BC364" s="47"/>
      <c r="BD364" s="47"/>
    </row>
    <row r="365" spans="1:56" ht="15" customHeight="1">
      <c r="A365" s="49" t="s">
        <v>1825</v>
      </c>
      <c r="B365" s="39" t="s">
        <v>64</v>
      </c>
      <c r="C365" s="46" t="s">
        <v>65</v>
      </c>
      <c r="D365" s="49" t="s">
        <v>68</v>
      </c>
      <c r="E365" s="49"/>
      <c r="F365" s="39">
        <v>0</v>
      </c>
      <c r="G365" s="75" t="s">
        <v>1826</v>
      </c>
      <c r="H365" s="50" t="s">
        <v>68</v>
      </c>
      <c r="I365" s="50" t="s">
        <v>323</v>
      </c>
      <c r="J365" s="50" t="s">
        <v>1827</v>
      </c>
      <c r="K365" s="50"/>
      <c r="L365" s="47"/>
      <c r="M365" s="47"/>
      <c r="N365" s="47"/>
      <c r="O365" s="47"/>
      <c r="P365" s="47"/>
      <c r="Q365" s="47"/>
      <c r="R365" s="47"/>
      <c r="S365" s="47"/>
      <c r="T365" s="47"/>
      <c r="U365" s="47"/>
      <c r="V365" s="50" t="s">
        <v>1304</v>
      </c>
      <c r="W365" s="74">
        <v>1</v>
      </c>
      <c r="X365" s="39">
        <f>MAX(0,$AK365-$W365-$Z365)</f>
        <v>0</v>
      </c>
      <c r="Y365" s="39"/>
      <c r="Z365" s="39"/>
      <c r="AA365" s="41">
        <v>0.36</v>
      </c>
      <c r="AB365" s="41">
        <f>IF(AND($X365&gt;0,ISNUMBER($AA365)),$X365*$AA365,0)</f>
        <v>0</v>
      </c>
      <c r="AK365" s="39">
        <f>SUM(AL365:AR365)</f>
        <v>0</v>
      </c>
      <c r="AL365" s="90"/>
      <c r="AM365" s="38"/>
      <c r="AN365" s="38"/>
      <c r="AO365" s="38"/>
      <c r="AP365" s="38"/>
      <c r="AQ365" s="38"/>
      <c r="AR365" s="91"/>
      <c r="AS365" s="42">
        <f>SUM(AT365:AZ365)</f>
        <v>0</v>
      </c>
      <c r="AT365" s="48"/>
      <c r="AU365" s="48"/>
      <c r="AV365" s="48"/>
      <c r="AW365" s="48"/>
      <c r="AX365" s="48"/>
      <c r="AY365" s="48"/>
      <c r="AZ365" s="48"/>
      <c r="BA365" s="43">
        <f>IF((W365-SUM(AT365:AZ365))&lt;0,0,W365-SUM(AT365:AZ365))</f>
        <v>1</v>
      </c>
      <c r="BB365" s="49"/>
      <c r="BC365" s="47"/>
      <c r="BD365" s="47"/>
    </row>
    <row r="366" spans="1:56" ht="15" customHeight="1">
      <c r="A366" s="49" t="s">
        <v>1828</v>
      </c>
      <c r="B366" s="39" t="s">
        <v>64</v>
      </c>
      <c r="C366" s="46" t="s">
        <v>65</v>
      </c>
      <c r="D366" s="49" t="s">
        <v>68</v>
      </c>
      <c r="E366" s="49"/>
      <c r="F366" s="39">
        <v>0</v>
      </c>
      <c r="G366" s="75" t="s">
        <v>1829</v>
      </c>
      <c r="H366" s="50" t="s">
        <v>68</v>
      </c>
      <c r="I366" s="50" t="s">
        <v>1830</v>
      </c>
      <c r="J366" s="50" t="s">
        <v>1684</v>
      </c>
      <c r="K366" s="50" t="s">
        <v>1831</v>
      </c>
      <c r="L366" s="108" t="s">
        <v>1832</v>
      </c>
      <c r="M366" s="46">
        <v>1</v>
      </c>
      <c r="N366" s="46">
        <v>1</v>
      </c>
      <c r="O366" s="68" t="s">
        <v>1833</v>
      </c>
      <c r="P366" s="110">
        <v>0.3</v>
      </c>
      <c r="Q366" s="46"/>
      <c r="R366" s="46"/>
      <c r="S366" s="46"/>
      <c r="T366" s="68"/>
      <c r="U366" s="68"/>
      <c r="V366" s="50" t="s">
        <v>1834</v>
      </c>
      <c r="W366" s="74">
        <v>1</v>
      </c>
      <c r="X366" s="39">
        <f>MAX(0,$AK366-$W366-$Z366)</f>
        <v>0</v>
      </c>
      <c r="Y366" s="39"/>
      <c r="Z366" s="39"/>
      <c r="AA366" s="41">
        <v>0.3</v>
      </c>
      <c r="AB366" s="41">
        <f>IF(AND($X366&gt;0,ISNUMBER($AA366)),$X366*$AA366,0)</f>
        <v>0</v>
      </c>
      <c r="AK366" s="39">
        <f>SUM(AL366:AR366)</f>
        <v>0</v>
      </c>
      <c r="AL366" s="90"/>
      <c r="AM366" s="38"/>
      <c r="AN366" s="38"/>
      <c r="AO366" s="38"/>
      <c r="AP366" s="38"/>
      <c r="AQ366" s="38"/>
      <c r="AR366" s="91"/>
      <c r="AS366" s="42">
        <f>SUM(AT366:AZ366)</f>
        <v>0</v>
      </c>
      <c r="AT366" s="48"/>
      <c r="AU366" s="48"/>
      <c r="AV366" s="48"/>
      <c r="AW366" s="48"/>
      <c r="AX366" s="48"/>
      <c r="AY366" s="48"/>
      <c r="AZ366" s="48"/>
      <c r="BA366" s="43">
        <f>IF((W366-SUM(AT366:AZ366))&lt;0,0,W366-SUM(AT366:AZ366))</f>
        <v>1</v>
      </c>
      <c r="BB366" s="49"/>
      <c r="BC366" s="47"/>
      <c r="BD366" s="47"/>
    </row>
    <row r="367" spans="1:56" ht="15" customHeight="1">
      <c r="A367" s="49" t="s">
        <v>352</v>
      </c>
      <c r="B367" s="39" t="s">
        <v>64</v>
      </c>
      <c r="C367" s="46" t="s">
        <v>65</v>
      </c>
      <c r="D367" s="49" t="s">
        <v>68</v>
      </c>
      <c r="E367" s="49"/>
      <c r="F367" s="39">
        <v>0</v>
      </c>
      <c r="G367" s="75" t="s">
        <v>353</v>
      </c>
      <c r="H367" s="50" t="s">
        <v>68</v>
      </c>
      <c r="I367" s="50" t="s">
        <v>354</v>
      </c>
      <c r="J367" s="50" t="s">
        <v>355</v>
      </c>
      <c r="K367" s="50"/>
      <c r="L367" s="47"/>
      <c r="M367" s="47"/>
      <c r="N367" s="47"/>
      <c r="O367" s="47"/>
      <c r="P367" s="47"/>
      <c r="Q367" s="47"/>
      <c r="R367" s="47"/>
      <c r="S367" s="47"/>
      <c r="T367" s="47"/>
      <c r="U367" s="47"/>
      <c r="V367" s="50" t="s">
        <v>335</v>
      </c>
      <c r="W367" s="74">
        <v>1</v>
      </c>
      <c r="X367" s="39">
        <f>MAX(0,$AK367-$W367-$Z367)</f>
        <v>0</v>
      </c>
      <c r="Y367" s="39"/>
      <c r="Z367" s="39"/>
      <c r="AA367" s="41">
        <v>0.27</v>
      </c>
      <c r="AB367" s="41">
        <f>IF(AND($X367&gt;0,ISNUMBER($AA367)),$X367*$AA367,0)</f>
        <v>0</v>
      </c>
      <c r="AK367" s="39">
        <f>SUM(AL367:AR367)</f>
        <v>1</v>
      </c>
      <c r="AL367" s="90"/>
      <c r="AM367" s="38"/>
      <c r="AN367" s="38"/>
      <c r="AO367" s="38"/>
      <c r="AP367" s="97">
        <v>1</v>
      </c>
      <c r="AQ367" s="38"/>
      <c r="AR367" s="91"/>
      <c r="AS367" s="42">
        <f>SUM(AT367:AZ367)</f>
        <v>1</v>
      </c>
      <c r="AT367" s="48"/>
      <c r="AU367" s="48"/>
      <c r="AV367" s="48"/>
      <c r="AW367" s="48"/>
      <c r="AX367" s="48">
        <v>1</v>
      </c>
      <c r="AY367" s="48"/>
      <c r="AZ367" s="48"/>
      <c r="BA367" s="43">
        <f>IF((W367-SUM(AT367:AZ367))&lt;0,0,W367-SUM(AT367:AZ367))</f>
        <v>0</v>
      </c>
      <c r="BB367" s="49"/>
      <c r="BC367" s="47"/>
      <c r="BD367" s="47"/>
    </row>
    <row r="368" spans="1:56" ht="15" customHeight="1">
      <c r="A368" s="49" t="s">
        <v>213</v>
      </c>
      <c r="B368" s="39" t="s">
        <v>64</v>
      </c>
      <c r="C368" s="46" t="s">
        <v>65</v>
      </c>
      <c r="D368" s="49" t="s">
        <v>68</v>
      </c>
      <c r="E368" s="49" t="s">
        <v>214</v>
      </c>
      <c r="F368" s="39">
        <v>0</v>
      </c>
      <c r="G368" s="75" t="s">
        <v>215</v>
      </c>
      <c r="H368" s="50" t="s">
        <v>68</v>
      </c>
      <c r="I368" s="50" t="s">
        <v>216</v>
      </c>
      <c r="J368" s="50"/>
      <c r="K368" s="50"/>
      <c r="L368" s="46"/>
      <c r="M368" s="46"/>
      <c r="N368" s="46"/>
      <c r="O368" s="68"/>
      <c r="P368" s="68"/>
      <c r="Q368" s="46"/>
      <c r="R368" s="46"/>
      <c r="S368" s="46"/>
      <c r="T368" s="68"/>
      <c r="U368" s="68"/>
      <c r="V368" s="50" t="s">
        <v>217</v>
      </c>
      <c r="W368" s="74">
        <v>1</v>
      </c>
      <c r="X368" s="39">
        <f>MAX(0,$AK368-$W368-$Z368)</f>
        <v>0</v>
      </c>
      <c r="Y368" s="39"/>
      <c r="Z368" s="39"/>
      <c r="AA368" s="41">
        <v>0.13</v>
      </c>
      <c r="AB368" s="41">
        <f>IF(AND($X368&gt;0,ISNUMBER($AA368)),$X368*$AA368,0)</f>
        <v>0</v>
      </c>
      <c r="AK368" s="39">
        <f>SUM(AL368:AR368)</f>
        <v>1</v>
      </c>
      <c r="AL368" s="90"/>
      <c r="AM368" s="38"/>
      <c r="AN368" s="38"/>
      <c r="AO368" s="38"/>
      <c r="AP368" s="97">
        <v>1</v>
      </c>
      <c r="AQ368" s="38"/>
      <c r="AR368" s="91"/>
      <c r="AS368" s="42">
        <f>SUM(AT368:AZ368)</f>
        <v>1</v>
      </c>
      <c r="AT368" s="48"/>
      <c r="AU368" s="48"/>
      <c r="AV368" s="48"/>
      <c r="AW368" s="48"/>
      <c r="AX368" s="48">
        <v>1</v>
      </c>
      <c r="AY368" s="48"/>
      <c r="AZ368" s="48"/>
      <c r="BA368" s="43">
        <f>IF((W368-SUM(AT368:AZ368))&lt;0,0,W368-SUM(AT368:AZ368))</f>
        <v>0</v>
      </c>
      <c r="BB368" s="49"/>
      <c r="BC368" s="47"/>
      <c r="BD368" s="55" t="s">
        <v>218</v>
      </c>
    </row>
    <row r="369" spans="1:56" ht="15" customHeight="1">
      <c r="A369" s="35" t="s">
        <v>1835</v>
      </c>
      <c r="B369" s="36" t="s">
        <v>64</v>
      </c>
      <c r="C369" s="38" t="s">
        <v>65</v>
      </c>
      <c r="D369" s="35" t="s">
        <v>68</v>
      </c>
      <c r="E369" s="35"/>
      <c r="F369" s="35">
        <v>0</v>
      </c>
      <c r="G369" s="75" t="s">
        <v>1836</v>
      </c>
      <c r="H369" s="35" t="s">
        <v>68</v>
      </c>
      <c r="I369" s="35" t="s">
        <v>1778</v>
      </c>
      <c r="J369" s="35" t="s">
        <v>1684</v>
      </c>
      <c r="K369" s="35" t="s">
        <v>1837</v>
      </c>
      <c r="L369" s="37"/>
      <c r="M369" s="37"/>
      <c r="N369" s="37"/>
      <c r="O369" s="68"/>
      <c r="P369" s="68"/>
      <c r="Q369" s="37"/>
      <c r="R369" s="37"/>
      <c r="S369" s="37"/>
      <c r="T369" s="68"/>
      <c r="U369" s="68"/>
      <c r="V369" s="35" t="s">
        <v>223</v>
      </c>
      <c r="W369" s="74">
        <v>1</v>
      </c>
      <c r="X369" s="39">
        <f>MAX(0,$AK369-$W369-$Z369)</f>
        <v>0</v>
      </c>
      <c r="Y369" s="35"/>
      <c r="Z369" s="35"/>
      <c r="AA369" s="35">
        <v>0.17</v>
      </c>
      <c r="AB369" s="41">
        <f>IF(AND($X369&gt;0,ISNUMBER($AA369)),$X369*$AA369,0)</f>
        <v>0</v>
      </c>
      <c r="AK369" s="39">
        <f>SUM(AL369:AR369)</f>
        <v>1</v>
      </c>
      <c r="AL369" s="90"/>
      <c r="AM369" s="97">
        <v>1</v>
      </c>
      <c r="AN369" s="38"/>
      <c r="AO369" s="38"/>
      <c r="AP369" s="38"/>
      <c r="AQ369" s="38"/>
      <c r="AR369" s="91"/>
      <c r="AS369" s="42">
        <f>SUM(AT369:AZ369)</f>
        <v>1</v>
      </c>
      <c r="AT369" s="48"/>
      <c r="AU369" s="48">
        <v>1</v>
      </c>
      <c r="AV369" s="48"/>
      <c r="AW369" s="48"/>
      <c r="AX369" s="48"/>
      <c r="AY369" s="48"/>
      <c r="AZ369" s="48"/>
      <c r="BA369" s="43">
        <f>IF((W369-SUM(AT369:AZ369))&lt;0,0,W369-SUM(AT369:AZ369))</f>
        <v>0</v>
      </c>
      <c r="BB369" s="35"/>
      <c r="BC369" s="37"/>
      <c r="BD369" s="37"/>
    </row>
    <row r="370" spans="1:56" ht="15" customHeight="1">
      <c r="A370" s="49" t="s">
        <v>1838</v>
      </c>
      <c r="B370" s="39" t="s">
        <v>64</v>
      </c>
      <c r="C370" s="46" t="s">
        <v>65</v>
      </c>
      <c r="D370" s="49" t="s">
        <v>68</v>
      </c>
      <c r="E370" s="49"/>
      <c r="F370" s="39">
        <v>0</v>
      </c>
      <c r="G370" s="75" t="s">
        <v>1839</v>
      </c>
      <c r="H370" s="50" t="s">
        <v>68</v>
      </c>
      <c r="I370" s="50" t="s">
        <v>1840</v>
      </c>
      <c r="J370" s="50" t="s">
        <v>1841</v>
      </c>
      <c r="K370" s="50"/>
      <c r="L370" s="47"/>
      <c r="M370" s="47"/>
      <c r="N370" s="47"/>
      <c r="O370" s="47"/>
      <c r="P370" s="47"/>
      <c r="Q370" s="47"/>
      <c r="R370" s="47"/>
      <c r="S370" s="47"/>
      <c r="T370" s="47"/>
      <c r="U370" s="47"/>
      <c r="V370" s="50" t="s">
        <v>1842</v>
      </c>
      <c r="W370" s="74">
        <v>1</v>
      </c>
      <c r="X370" s="39">
        <f>MAX(0,$AK370-$W370-$Z370)</f>
        <v>0</v>
      </c>
      <c r="Y370" s="39"/>
      <c r="Z370" s="39"/>
      <c r="AA370" s="41">
        <v>0.22</v>
      </c>
      <c r="AB370" s="41">
        <f>IF(AND($X370&gt;0,ISNUMBER($AA370)),$X370*$AA370,0)</f>
        <v>0</v>
      </c>
      <c r="AK370" s="39">
        <f>SUM(AL370:AR370)</f>
        <v>1</v>
      </c>
      <c r="AL370" s="90"/>
      <c r="AM370" s="38"/>
      <c r="AN370" s="38"/>
      <c r="AO370" s="38"/>
      <c r="AP370" s="38"/>
      <c r="AQ370" s="97">
        <v>1</v>
      </c>
      <c r="AR370" s="91"/>
      <c r="AS370" s="42">
        <f>SUM(AT370:AZ370)</f>
        <v>0</v>
      </c>
      <c r="AT370" s="48"/>
      <c r="AU370" s="48"/>
      <c r="AV370" s="48"/>
      <c r="AW370" s="48"/>
      <c r="AX370" s="48"/>
      <c r="AY370" s="48"/>
      <c r="AZ370" s="48"/>
      <c r="BA370" s="43">
        <f>IF((W370-SUM(AT370:AZ370))&lt;0,0,W370-SUM(AT370:AZ370))</f>
        <v>1</v>
      </c>
      <c r="BB370" s="49"/>
      <c r="BC370" s="47"/>
      <c r="BD370" s="47"/>
    </row>
    <row r="371" spans="1:56" ht="15" customHeight="1">
      <c r="A371" s="49" t="s">
        <v>63</v>
      </c>
      <c r="B371" s="39" t="s">
        <v>64</v>
      </c>
      <c r="C371" s="46" t="s">
        <v>65</v>
      </c>
      <c r="D371" s="49" t="s">
        <v>66</v>
      </c>
      <c r="E371" s="49" t="s">
        <v>63</v>
      </c>
      <c r="F371" s="39">
        <v>0</v>
      </c>
      <c r="G371" s="75" t="s">
        <v>67</v>
      </c>
      <c r="H371" s="50" t="s">
        <v>68</v>
      </c>
      <c r="I371" s="50" t="s">
        <v>69</v>
      </c>
      <c r="J371" s="50"/>
      <c r="K371" s="50"/>
      <c r="L371" s="47"/>
      <c r="M371" s="47"/>
      <c r="N371" s="47"/>
      <c r="O371" s="68"/>
      <c r="P371" s="68"/>
      <c r="Q371" s="47"/>
      <c r="R371" s="47"/>
      <c r="S371" s="47"/>
      <c r="T371" s="68"/>
      <c r="U371" s="68"/>
      <c r="V371" s="50" t="s">
        <v>70</v>
      </c>
      <c r="W371" s="74">
        <v>94</v>
      </c>
      <c r="X371" s="39">
        <f>MAX(0,$AK371-$W371-$Z371)</f>
        <v>0</v>
      </c>
      <c r="Y371" s="39"/>
      <c r="Z371" s="39"/>
      <c r="AA371" s="41">
        <v>0.1</v>
      </c>
      <c r="AB371" s="41">
        <f>IF(AND($X371&gt;0,ISNUMBER($AA371)),$X371*$AA371,0)</f>
        <v>0</v>
      </c>
      <c r="AK371" s="39">
        <f>SUM(AL371:AR371)</f>
        <v>46</v>
      </c>
      <c r="AL371" s="102">
        <v>9</v>
      </c>
      <c r="AM371" s="97">
        <v>6</v>
      </c>
      <c r="AN371" s="97">
        <v>5</v>
      </c>
      <c r="AO371" s="97">
        <v>9</v>
      </c>
      <c r="AP371" s="97">
        <v>17</v>
      </c>
      <c r="AQ371" s="38"/>
      <c r="AR371" s="91"/>
      <c r="AS371" s="42">
        <f>SUM(AT371:AZ371)</f>
        <v>46</v>
      </c>
      <c r="AT371" s="48">
        <v>9</v>
      </c>
      <c r="AU371" s="48">
        <v>6</v>
      </c>
      <c r="AV371" s="48">
        <v>5</v>
      </c>
      <c r="AW371" s="48">
        <v>9</v>
      </c>
      <c r="AX371" s="48">
        <v>17</v>
      </c>
      <c r="AY371" s="48"/>
      <c r="AZ371" s="48"/>
      <c r="BA371" s="43">
        <f>IF((W371-SUM(AT371:AZ371))&lt;0,0,W371-SUM(AT371:AZ371))</f>
        <v>48</v>
      </c>
      <c r="BB371" s="49"/>
      <c r="BC371" s="47"/>
      <c r="BD371" s="126"/>
    </row>
    <row r="372" spans="1:56" ht="15" customHeight="1">
      <c r="A372" s="49" t="s">
        <v>1843</v>
      </c>
      <c r="B372" s="39" t="s">
        <v>64</v>
      </c>
      <c r="C372" s="46" t="s">
        <v>65</v>
      </c>
      <c r="D372" s="49" t="s">
        <v>68</v>
      </c>
      <c r="E372" s="49" t="s">
        <v>1844</v>
      </c>
      <c r="F372" s="39">
        <v>0</v>
      </c>
      <c r="G372" s="75" t="s">
        <v>1845</v>
      </c>
      <c r="H372" s="50" t="s">
        <v>68</v>
      </c>
      <c r="I372" s="50" t="s">
        <v>1704</v>
      </c>
      <c r="J372" s="50" t="s">
        <v>1684</v>
      </c>
      <c r="K372" s="50"/>
      <c r="L372" s="47"/>
      <c r="M372" s="47"/>
      <c r="N372" s="47"/>
      <c r="O372" s="47"/>
      <c r="P372" s="47"/>
      <c r="Q372" s="47"/>
      <c r="R372" s="47"/>
      <c r="S372" s="47"/>
      <c r="T372" s="47"/>
      <c r="U372" s="47"/>
      <c r="V372" s="50" t="s">
        <v>379</v>
      </c>
      <c r="W372" s="74">
        <v>0</v>
      </c>
      <c r="X372" s="39">
        <f>MAX(0,$AK372-$W372-$Z372)</f>
        <v>0</v>
      </c>
      <c r="Y372" s="39" t="s">
        <v>1311</v>
      </c>
      <c r="Z372" s="39">
        <v>1</v>
      </c>
      <c r="AA372" s="41">
        <v>0.22</v>
      </c>
      <c r="AB372" s="41">
        <f>IF(AND($X372&gt;0,ISNUMBER($AA372)),$X372*$AA372,0)</f>
        <v>0</v>
      </c>
      <c r="AC372" s="59"/>
      <c r="AD372" s="59"/>
      <c r="AE372" s="59"/>
      <c r="AF372" s="59"/>
      <c r="AG372" s="59"/>
      <c r="AH372" s="59"/>
      <c r="AI372" s="59"/>
      <c r="AJ372" s="59"/>
      <c r="AK372" s="39">
        <f>SUM(AL372:AR372)</f>
        <v>0</v>
      </c>
      <c r="AL372" s="114"/>
      <c r="AM372" s="43"/>
      <c r="AN372" s="43"/>
      <c r="AO372" s="43"/>
      <c r="AP372" s="43"/>
      <c r="AQ372" s="43"/>
      <c r="AR372" s="116"/>
      <c r="AS372" s="42">
        <f>SUM(AT372:AZ372)</f>
        <v>0</v>
      </c>
      <c r="AT372" s="48"/>
      <c r="AU372" s="48"/>
      <c r="AV372" s="48"/>
      <c r="AW372" s="48"/>
      <c r="AX372" s="48"/>
      <c r="AY372" s="48"/>
      <c r="AZ372" s="48"/>
      <c r="BA372" s="43">
        <f>IF((W372-SUM(AT372:AZ372))&lt;0,0,W372-SUM(AT372:AZ372))</f>
        <v>0</v>
      </c>
      <c r="BB372" s="49"/>
      <c r="BC372" s="47"/>
      <c r="BD372" s="47"/>
    </row>
    <row r="373" spans="1:56" ht="15" customHeight="1">
      <c r="A373" s="49" t="s">
        <v>1846</v>
      </c>
      <c r="B373" s="39" t="s">
        <v>64</v>
      </c>
      <c r="C373" s="46" t="s">
        <v>65</v>
      </c>
      <c r="D373" s="49" t="s">
        <v>68</v>
      </c>
      <c r="E373" s="49" t="s">
        <v>1756</v>
      </c>
      <c r="F373" s="39">
        <v>0</v>
      </c>
      <c r="G373" s="75" t="s">
        <v>1847</v>
      </c>
      <c r="H373" s="50" t="s">
        <v>68</v>
      </c>
      <c r="I373" s="50" t="s">
        <v>1723</v>
      </c>
      <c r="J373" s="50" t="s">
        <v>1848</v>
      </c>
      <c r="K373" s="50"/>
      <c r="L373" s="46"/>
      <c r="M373" s="46"/>
      <c r="N373" s="46"/>
      <c r="O373" s="46"/>
      <c r="P373" s="46"/>
      <c r="Q373" s="46"/>
      <c r="R373" s="46"/>
      <c r="S373" s="46"/>
      <c r="T373" s="46"/>
      <c r="U373" s="46"/>
      <c r="V373" s="50" t="s">
        <v>1759</v>
      </c>
      <c r="W373" s="74">
        <v>1</v>
      </c>
      <c r="X373" s="39">
        <f>MAX(0,$AK373-$W373-$Z373)</f>
        <v>0</v>
      </c>
      <c r="Y373" s="39"/>
      <c r="Z373" s="39"/>
      <c r="AA373" s="41">
        <v>0.4</v>
      </c>
      <c r="AB373" s="41">
        <f>IF(AND($X373&gt;0,ISNUMBER($AA373)),$X373*$AA373,0)</f>
        <v>0</v>
      </c>
      <c r="AK373" s="39">
        <f>SUM(AL373:AR373)</f>
        <v>1</v>
      </c>
      <c r="AL373" s="102">
        <v>1</v>
      </c>
      <c r="AM373" s="38"/>
      <c r="AN373" s="38"/>
      <c r="AO373" s="38"/>
      <c r="AP373" s="38"/>
      <c r="AQ373" s="38"/>
      <c r="AR373" s="91"/>
      <c r="AS373" s="42">
        <f>SUM(AT373:AZ373)</f>
        <v>1</v>
      </c>
      <c r="AT373" s="48">
        <v>1</v>
      </c>
      <c r="AU373" s="48"/>
      <c r="AV373" s="48"/>
      <c r="AW373" s="48"/>
      <c r="AX373" s="48"/>
      <c r="AY373" s="48"/>
      <c r="AZ373" s="48"/>
      <c r="BA373" s="43">
        <f>IF((W373-SUM(AT373:AZ373))&lt;0,0,W373-SUM(AT373:AZ373))</f>
        <v>0</v>
      </c>
      <c r="BB373" s="49"/>
      <c r="BC373" s="47"/>
      <c r="BD373" s="47"/>
    </row>
    <row r="374" spans="1:56" ht="15" customHeight="1">
      <c r="A374" s="49" t="s">
        <v>1849</v>
      </c>
      <c r="B374" s="39" t="s">
        <v>64</v>
      </c>
      <c r="C374" s="46" t="s">
        <v>65</v>
      </c>
      <c r="D374" s="49" t="s">
        <v>68</v>
      </c>
      <c r="E374" s="49"/>
      <c r="F374" s="39">
        <v>0</v>
      </c>
      <c r="G374" s="75" t="s">
        <v>1142</v>
      </c>
      <c r="H374" s="50" t="s">
        <v>68</v>
      </c>
      <c r="I374" s="50" t="s">
        <v>1144</v>
      </c>
      <c r="J374" s="50" t="s">
        <v>1143</v>
      </c>
      <c r="K374" s="50"/>
      <c r="L374" s="46"/>
      <c r="M374" s="46"/>
      <c r="N374" s="46"/>
      <c r="O374" s="46"/>
      <c r="P374" s="46"/>
      <c r="Q374" s="46"/>
      <c r="R374" s="46"/>
      <c r="S374" s="46"/>
      <c r="T374" s="46"/>
      <c r="U374" s="46"/>
      <c r="V374" s="50" t="s">
        <v>200</v>
      </c>
      <c r="W374" s="74">
        <v>2</v>
      </c>
      <c r="X374" s="39">
        <f>MAX(0,$AK374-$W374-$Z374)</f>
        <v>0</v>
      </c>
      <c r="Y374" s="39"/>
      <c r="Z374" s="39"/>
      <c r="AA374" s="41">
        <v>3.58</v>
      </c>
      <c r="AB374" s="41">
        <f>IF(AND($X374&gt;0,ISNUMBER($AA374)),$X374*$AA374,0)</f>
        <v>0</v>
      </c>
      <c r="AK374" s="39">
        <f>SUM(AL374:AR374)</f>
        <v>2</v>
      </c>
      <c r="AL374" s="90"/>
      <c r="AM374" s="97">
        <v>1</v>
      </c>
      <c r="AN374" s="38"/>
      <c r="AO374" s="38"/>
      <c r="AP374" s="38"/>
      <c r="AQ374" s="97">
        <v>1</v>
      </c>
      <c r="AR374" s="91"/>
      <c r="AS374" s="42">
        <f>SUM(AT374:AZ374)</f>
        <v>1</v>
      </c>
      <c r="AT374" s="48"/>
      <c r="AU374" s="48">
        <v>1</v>
      </c>
      <c r="AV374" s="48"/>
      <c r="AW374" s="48"/>
      <c r="AX374" s="48"/>
      <c r="AY374" s="48"/>
      <c r="AZ374" s="48"/>
      <c r="BA374" s="43">
        <f>IF((W374-SUM(AT374:AZ374))&lt;0,0,W374-SUM(AT374:AZ374))</f>
        <v>1</v>
      </c>
      <c r="BB374" s="49"/>
      <c r="BC374" s="47"/>
      <c r="BD374" s="126"/>
    </row>
    <row r="375" spans="1:56" ht="15" customHeight="1">
      <c r="A375" s="49" t="s">
        <v>1850</v>
      </c>
      <c r="B375" s="39" t="s">
        <v>64</v>
      </c>
      <c r="C375" s="46" t="s">
        <v>65</v>
      </c>
      <c r="D375" s="49" t="s">
        <v>68</v>
      </c>
      <c r="E375" s="49"/>
      <c r="F375" s="39">
        <v>0</v>
      </c>
      <c r="G375" s="75" t="s">
        <v>1851</v>
      </c>
      <c r="H375" s="50" t="s">
        <v>68</v>
      </c>
      <c r="I375" s="50" t="s">
        <v>1852</v>
      </c>
      <c r="J375" s="50" t="s">
        <v>358</v>
      </c>
      <c r="K375" s="50"/>
      <c r="L375" s="47"/>
      <c r="M375" s="47"/>
      <c r="N375" s="47"/>
      <c r="O375" s="68"/>
      <c r="P375" s="68"/>
      <c r="Q375" s="47"/>
      <c r="R375" s="47"/>
      <c r="S375" s="47"/>
      <c r="T375" s="68"/>
      <c r="U375" s="68"/>
      <c r="V375" s="50" t="s">
        <v>359</v>
      </c>
      <c r="W375" s="74">
        <v>1</v>
      </c>
      <c r="X375" s="39">
        <f>MAX(0,$AK375-$W375-$Z375)</f>
        <v>0</v>
      </c>
      <c r="Y375" s="39"/>
      <c r="Z375" s="39"/>
      <c r="AA375" s="41">
        <v>0.12</v>
      </c>
      <c r="AB375" s="41">
        <f>IF(AND($X375&gt;0,ISNUMBER($AA375)),$X375*$AA375,0)</f>
        <v>0</v>
      </c>
      <c r="AK375" s="39">
        <f>SUM(AL375:AR375)</f>
        <v>0</v>
      </c>
      <c r="AL375" s="90"/>
      <c r="AM375" s="38"/>
      <c r="AN375" s="38"/>
      <c r="AO375" s="38"/>
      <c r="AP375" s="38"/>
      <c r="AQ375" s="38"/>
      <c r="AR375" s="91"/>
      <c r="AS375" s="42">
        <f>SUM(AT375:AZ375)</f>
        <v>0</v>
      </c>
      <c r="AT375" s="48"/>
      <c r="AU375" s="48"/>
      <c r="AV375" s="48"/>
      <c r="AW375" s="48"/>
      <c r="AX375" s="48"/>
      <c r="AY375" s="48"/>
      <c r="AZ375" s="48"/>
      <c r="BA375" s="43">
        <f>IF((W375-SUM(AT375:AZ375))&lt;0,0,W375-SUM(AT375:AZ375))</f>
        <v>1</v>
      </c>
      <c r="BB375" s="49"/>
      <c r="BC375" s="47"/>
      <c r="BD375" s="47"/>
    </row>
    <row r="376" spans="1:56" ht="15" customHeight="1">
      <c r="A376" s="49" t="s">
        <v>1853</v>
      </c>
      <c r="B376" s="39" t="s">
        <v>64</v>
      </c>
      <c r="C376" s="46" t="s">
        <v>65</v>
      </c>
      <c r="D376" s="49" t="s">
        <v>68</v>
      </c>
      <c r="E376" s="49"/>
      <c r="F376" s="39">
        <v>0</v>
      </c>
      <c r="G376" s="75" t="s">
        <v>1854</v>
      </c>
      <c r="H376" s="50" t="s">
        <v>68</v>
      </c>
      <c r="I376" s="50" t="s">
        <v>323</v>
      </c>
      <c r="J376" s="50" t="s">
        <v>1855</v>
      </c>
      <c r="K376" s="50"/>
      <c r="L376" s="46"/>
      <c r="M376" s="46"/>
      <c r="N376" s="46"/>
      <c r="O376" s="46"/>
      <c r="P376" s="46"/>
      <c r="Q376" s="46"/>
      <c r="R376" s="46"/>
      <c r="S376" s="46"/>
      <c r="T376" s="46"/>
      <c r="U376" s="46"/>
      <c r="V376" s="50" t="s">
        <v>1856</v>
      </c>
      <c r="W376" s="74">
        <v>1</v>
      </c>
      <c r="X376" s="39">
        <f>MAX(0,$AK376-$W376-$Z376)</f>
        <v>0</v>
      </c>
      <c r="Y376" s="39"/>
      <c r="Z376" s="39"/>
      <c r="AA376" s="41">
        <v>0.3</v>
      </c>
      <c r="AB376" s="41">
        <f>IF(AND($X376&gt;0,ISNUMBER($AA376)),$X376*$AA376,0)</f>
        <v>0</v>
      </c>
      <c r="AK376" s="39">
        <f>SUM(AL376:AR376)</f>
        <v>1</v>
      </c>
      <c r="AL376" s="102">
        <v>1</v>
      </c>
      <c r="AM376" s="38"/>
      <c r="AN376" s="38"/>
      <c r="AO376" s="38"/>
      <c r="AP376" s="38"/>
      <c r="AQ376" s="38"/>
      <c r="AR376" s="91"/>
      <c r="AS376" s="42">
        <f>SUM(AT376:AZ376)</f>
        <v>1</v>
      </c>
      <c r="AT376" s="48">
        <v>1</v>
      </c>
      <c r="AU376" s="48"/>
      <c r="AV376" s="48"/>
      <c r="AW376" s="48"/>
      <c r="AX376" s="48"/>
      <c r="AY376" s="48"/>
      <c r="AZ376" s="48"/>
      <c r="BA376" s="43">
        <f>IF((W376-SUM(AT376:AZ376))&lt;0,0,W376-SUM(AT376:AZ376))</f>
        <v>0</v>
      </c>
      <c r="BB376" s="49"/>
      <c r="BC376" s="47"/>
      <c r="BD376" s="47"/>
    </row>
    <row r="377" spans="1:56" ht="15" customHeight="1">
      <c r="A377" s="49" t="s">
        <v>1857</v>
      </c>
      <c r="B377" s="39" t="s">
        <v>64</v>
      </c>
      <c r="C377" s="46" t="s">
        <v>65</v>
      </c>
      <c r="D377" s="49" t="s">
        <v>68</v>
      </c>
      <c r="E377" s="49" t="s">
        <v>1756</v>
      </c>
      <c r="F377" s="39">
        <v>0</v>
      </c>
      <c r="G377" s="75" t="s">
        <v>1858</v>
      </c>
      <c r="H377" s="50" t="s">
        <v>68</v>
      </c>
      <c r="I377" s="50" t="s">
        <v>1723</v>
      </c>
      <c r="J377" s="50" t="s">
        <v>1684</v>
      </c>
      <c r="K377" s="50"/>
      <c r="L377" s="46"/>
      <c r="M377" s="46"/>
      <c r="N377" s="46"/>
      <c r="O377" s="46"/>
      <c r="P377" s="46"/>
      <c r="Q377" s="46"/>
      <c r="R377" s="46"/>
      <c r="S377" s="46"/>
      <c r="T377" s="46"/>
      <c r="U377" s="46"/>
      <c r="V377" s="50" t="s">
        <v>379</v>
      </c>
      <c r="W377" s="74">
        <v>1</v>
      </c>
      <c r="X377" s="39">
        <f>MAX(0,$AK377-$W377-$Z377)</f>
        <v>0</v>
      </c>
      <c r="Y377" s="39"/>
      <c r="Z377" s="39"/>
      <c r="AA377" s="41">
        <v>0.28000000000000003</v>
      </c>
      <c r="AB377" s="41">
        <f>IF(AND($X377&gt;0,ISNUMBER($AA377)),$X377*$AA377,0)</f>
        <v>0</v>
      </c>
      <c r="AK377" s="39">
        <f>SUM(AL377:AR377)</f>
        <v>1</v>
      </c>
      <c r="AL377" s="102">
        <v>1</v>
      </c>
      <c r="AM377" s="38"/>
      <c r="AN377" s="38"/>
      <c r="AO377" s="38"/>
      <c r="AP377" s="38"/>
      <c r="AQ377" s="38"/>
      <c r="AR377" s="91"/>
      <c r="AS377" s="42">
        <f>SUM(AT377:AZ377)</f>
        <v>1</v>
      </c>
      <c r="AT377" s="48">
        <v>1</v>
      </c>
      <c r="AU377" s="48"/>
      <c r="AV377" s="48"/>
      <c r="AW377" s="48"/>
      <c r="AX377" s="48"/>
      <c r="AY377" s="48"/>
      <c r="AZ377" s="48"/>
      <c r="BA377" s="43">
        <f>IF((W377-SUM(AT377:AZ377))&lt;0,0,W377-SUM(AT377:AZ377))</f>
        <v>0</v>
      </c>
      <c r="BB377" s="49"/>
      <c r="BC377" s="47"/>
      <c r="BD377" s="47"/>
    </row>
    <row r="378" spans="1:56" ht="15" customHeight="1">
      <c r="A378" s="49" t="s">
        <v>1859</v>
      </c>
      <c r="B378" s="39" t="s">
        <v>64</v>
      </c>
      <c r="C378" s="46" t="s">
        <v>65</v>
      </c>
      <c r="D378" s="49" t="s">
        <v>68</v>
      </c>
      <c r="E378" s="49"/>
      <c r="F378" s="39">
        <v>0</v>
      </c>
      <c r="G378" s="75" t="s">
        <v>1860</v>
      </c>
      <c r="H378" s="50" t="s">
        <v>68</v>
      </c>
      <c r="I378" s="50" t="s">
        <v>1861</v>
      </c>
      <c r="J378" s="50" t="s">
        <v>1684</v>
      </c>
      <c r="K378" s="50"/>
      <c r="L378" s="47"/>
      <c r="M378" s="47"/>
      <c r="N378" s="47"/>
      <c r="O378" s="47"/>
      <c r="P378" s="47"/>
      <c r="Q378" s="47"/>
      <c r="R378" s="47"/>
      <c r="S378" s="47"/>
      <c r="T378" s="47"/>
      <c r="U378" s="47"/>
      <c r="V378" s="50" t="s">
        <v>359</v>
      </c>
      <c r="W378" s="74">
        <v>1</v>
      </c>
      <c r="X378" s="39">
        <f>MAX(0,$AK378-$W378-$Z378)</f>
        <v>0</v>
      </c>
      <c r="Y378" s="39"/>
      <c r="Z378" s="39"/>
      <c r="AA378" s="41">
        <v>0.39</v>
      </c>
      <c r="AB378" s="41">
        <f>IF(AND($X378&gt;0,ISNUMBER($AA378)),$X378*$AA378,0)</f>
        <v>0</v>
      </c>
      <c r="AK378" s="39">
        <f>SUM(AL378:AR378)</f>
        <v>1</v>
      </c>
      <c r="AL378" s="90"/>
      <c r="AM378" s="38"/>
      <c r="AN378" s="38"/>
      <c r="AO378" s="97">
        <v>1</v>
      </c>
      <c r="AP378" s="38"/>
      <c r="AQ378" s="38"/>
      <c r="AR378" s="91"/>
      <c r="AS378" s="42">
        <f>SUM(AT378:AZ378)</f>
        <v>1</v>
      </c>
      <c r="AT378" s="48"/>
      <c r="AU378" s="48"/>
      <c r="AV378" s="48"/>
      <c r="AW378" s="48">
        <v>1</v>
      </c>
      <c r="AX378" s="48"/>
      <c r="AY378" s="48"/>
      <c r="AZ378" s="48"/>
      <c r="BA378" s="43">
        <f>IF((W378-SUM(AT378:AZ378))&lt;0,0,W378-SUM(AT378:AZ378))</f>
        <v>0</v>
      </c>
      <c r="BB378" s="49"/>
      <c r="BC378" s="47"/>
      <c r="BD378" s="47"/>
    </row>
    <row r="379" spans="1:56" ht="15" customHeight="1">
      <c r="A379" s="49" t="s">
        <v>356</v>
      </c>
      <c r="B379" s="39" t="s">
        <v>64</v>
      </c>
      <c r="C379" s="46" t="s">
        <v>65</v>
      </c>
      <c r="D379" s="49" t="s">
        <v>68</v>
      </c>
      <c r="E379" s="49"/>
      <c r="F379" s="39">
        <v>0</v>
      </c>
      <c r="G379" s="75" t="s">
        <v>357</v>
      </c>
      <c r="H379" s="50" t="s">
        <v>68</v>
      </c>
      <c r="I379" s="50" t="s">
        <v>190</v>
      </c>
      <c r="J379" s="50" t="s">
        <v>358</v>
      </c>
      <c r="K379" s="50"/>
      <c r="L379" s="47"/>
      <c r="M379" s="47"/>
      <c r="N379" s="47"/>
      <c r="O379" s="47"/>
      <c r="P379" s="47"/>
      <c r="Q379" s="47"/>
      <c r="R379" s="47"/>
      <c r="S379" s="47"/>
      <c r="T379" s="47"/>
      <c r="U379" s="47"/>
      <c r="V379" s="50" t="s">
        <v>359</v>
      </c>
      <c r="W379" s="74">
        <v>1</v>
      </c>
      <c r="X379" s="39">
        <f>MAX(0,$AK379-$W379-$Z379)</f>
        <v>0</v>
      </c>
      <c r="Y379" s="39"/>
      <c r="Z379" s="39"/>
      <c r="AA379" s="41">
        <v>0.23</v>
      </c>
      <c r="AB379" s="41">
        <f>IF(AND($X379&gt;0,ISNUMBER($AA379)),$X379*$AA379,0)</f>
        <v>0</v>
      </c>
      <c r="AK379" s="39">
        <f>SUM(AL379:AR379)</f>
        <v>1</v>
      </c>
      <c r="AL379" s="90"/>
      <c r="AM379" s="38"/>
      <c r="AN379" s="38"/>
      <c r="AO379" s="38"/>
      <c r="AP379" s="97">
        <v>1</v>
      </c>
      <c r="AQ379" s="38"/>
      <c r="AR379" s="91"/>
      <c r="AS379" s="42">
        <f>SUM(AT379:AZ379)</f>
        <v>1</v>
      </c>
      <c r="AT379" s="48"/>
      <c r="AU379" s="48"/>
      <c r="AV379" s="48"/>
      <c r="AW379" s="48"/>
      <c r="AX379" s="48">
        <v>1</v>
      </c>
      <c r="AY379" s="48"/>
      <c r="AZ379" s="48"/>
      <c r="BA379" s="43">
        <f>IF((W379-SUM(AT379:AZ379))&lt;0,0,W379-SUM(AT379:AZ379))</f>
        <v>0</v>
      </c>
      <c r="BB379" s="49"/>
      <c r="BC379" s="47"/>
      <c r="BD379" s="47"/>
    </row>
    <row r="380" spans="1:56" ht="15" customHeight="1">
      <c r="A380" s="49" t="s">
        <v>1862</v>
      </c>
      <c r="B380" s="39" t="s">
        <v>64</v>
      </c>
      <c r="C380" s="46" t="s">
        <v>65</v>
      </c>
      <c r="D380" s="49" t="s">
        <v>68</v>
      </c>
      <c r="E380" s="49"/>
      <c r="F380" s="39">
        <v>0</v>
      </c>
      <c r="G380" s="75" t="s">
        <v>1863</v>
      </c>
      <c r="H380" s="50" t="s">
        <v>68</v>
      </c>
      <c r="I380" s="50" t="s">
        <v>1864</v>
      </c>
      <c r="J380" s="50" t="s">
        <v>1684</v>
      </c>
      <c r="K380" s="50"/>
      <c r="L380" s="47"/>
      <c r="M380" s="47"/>
      <c r="N380" s="47"/>
      <c r="O380" s="47"/>
      <c r="P380" s="47"/>
      <c r="Q380" s="47"/>
      <c r="R380" s="47"/>
      <c r="S380" s="47"/>
      <c r="T380" s="47"/>
      <c r="U380" s="47"/>
      <c r="V380" s="50" t="s">
        <v>1304</v>
      </c>
      <c r="W380" s="74">
        <v>1</v>
      </c>
      <c r="X380" s="39">
        <f>MAX(0,$AK380-$W380-$Z380)</f>
        <v>0</v>
      </c>
      <c r="Y380" s="39"/>
      <c r="Z380" s="39"/>
      <c r="AA380" s="41">
        <v>0.37</v>
      </c>
      <c r="AB380" s="41">
        <f>IF(AND($X380&gt;0,ISNUMBER($AA380)),$X380*$AA380,0)</f>
        <v>0</v>
      </c>
      <c r="AK380" s="39">
        <f>SUM(AL380:AR380)</f>
        <v>1</v>
      </c>
      <c r="AL380" s="90"/>
      <c r="AM380" s="97">
        <v>1</v>
      </c>
      <c r="AN380" s="38"/>
      <c r="AO380" s="38"/>
      <c r="AP380" s="38"/>
      <c r="AQ380" s="38"/>
      <c r="AR380" s="91"/>
      <c r="AS380" s="42">
        <f>SUM(AT380:AZ380)</f>
        <v>1</v>
      </c>
      <c r="AT380" s="48"/>
      <c r="AU380" s="48">
        <v>1</v>
      </c>
      <c r="AV380" s="48"/>
      <c r="AW380" s="48"/>
      <c r="AX380" s="48"/>
      <c r="AY380" s="48"/>
      <c r="AZ380" s="48"/>
      <c r="BA380" s="43">
        <f>IF((W380-SUM(AT380:AZ380))&lt;0,0,W380-SUM(AT380:AZ380))</f>
        <v>0</v>
      </c>
      <c r="BB380" s="49"/>
      <c r="BC380" s="47"/>
      <c r="BD380" s="47"/>
    </row>
    <row r="381" spans="1:56" ht="15" customHeight="1">
      <c r="A381" s="49" t="s">
        <v>1865</v>
      </c>
      <c r="B381" s="39" t="s">
        <v>64</v>
      </c>
      <c r="C381" s="46" t="s">
        <v>65</v>
      </c>
      <c r="D381" s="49" t="s">
        <v>68</v>
      </c>
      <c r="E381" s="49" t="s">
        <v>214</v>
      </c>
      <c r="F381" s="39">
        <v>0</v>
      </c>
      <c r="G381" s="75" t="s">
        <v>1866</v>
      </c>
      <c r="H381" s="50" t="s">
        <v>68</v>
      </c>
      <c r="I381" s="50" t="s">
        <v>1867</v>
      </c>
      <c r="J381" s="50"/>
      <c r="K381" s="50"/>
      <c r="L381" s="46"/>
      <c r="M381" s="46"/>
      <c r="N381" s="46"/>
      <c r="O381" s="68"/>
      <c r="P381" s="68"/>
      <c r="Q381" s="46"/>
      <c r="R381" s="46"/>
      <c r="S381" s="46"/>
      <c r="T381" s="68"/>
      <c r="U381" s="68"/>
      <c r="V381" s="50" t="s">
        <v>491</v>
      </c>
      <c r="W381" s="74">
        <v>2</v>
      </c>
      <c r="X381" s="39">
        <f>MAX(0,$AK381-$W381-$Z381)</f>
        <v>0</v>
      </c>
      <c r="Y381" s="39"/>
      <c r="Z381" s="39"/>
      <c r="AA381" s="41">
        <v>0.11</v>
      </c>
      <c r="AB381" s="41">
        <f>IF(AND($X381&gt;0,ISNUMBER($AA381)),$X381*$AA381,0)</f>
        <v>0</v>
      </c>
      <c r="AK381" s="39">
        <f>SUM(AL381:AR381)</f>
        <v>2</v>
      </c>
      <c r="AL381" s="90"/>
      <c r="AM381" s="97">
        <v>1</v>
      </c>
      <c r="AN381" s="38"/>
      <c r="AO381" s="97">
        <v>1</v>
      </c>
      <c r="AP381" s="38"/>
      <c r="AQ381" s="38"/>
      <c r="AR381" s="91"/>
      <c r="AS381" s="42">
        <f>SUM(AT381:AZ381)</f>
        <v>2</v>
      </c>
      <c r="AT381" s="48"/>
      <c r="AU381" s="48">
        <v>1</v>
      </c>
      <c r="AV381" s="48"/>
      <c r="AW381" s="48">
        <v>1</v>
      </c>
      <c r="AX381" s="48"/>
      <c r="AY381" s="48"/>
      <c r="AZ381" s="48"/>
      <c r="BA381" s="43">
        <f>IF((W381-SUM(AT381:AZ381))&lt;0,0,W381-SUM(AT381:AZ381))</f>
        <v>0</v>
      </c>
      <c r="BB381" s="49"/>
      <c r="BC381" s="47"/>
      <c r="BD381" s="140" t="s">
        <v>1771</v>
      </c>
    </row>
    <row r="382" spans="1:56" ht="15" customHeight="1">
      <c r="A382" s="49" t="s">
        <v>1868</v>
      </c>
      <c r="B382" s="39" t="s">
        <v>64</v>
      </c>
      <c r="C382" s="46" t="s">
        <v>65</v>
      </c>
      <c r="D382" s="49" t="s">
        <v>68</v>
      </c>
      <c r="E382" s="49"/>
      <c r="F382" s="39">
        <v>0</v>
      </c>
      <c r="G382" s="75" t="s">
        <v>1869</v>
      </c>
      <c r="H382" s="50" t="s">
        <v>68</v>
      </c>
      <c r="I382" s="50" t="s">
        <v>190</v>
      </c>
      <c r="J382" s="50" t="s">
        <v>1870</v>
      </c>
      <c r="K382" s="50"/>
      <c r="L382" s="47"/>
      <c r="M382" s="47"/>
      <c r="N382" s="47"/>
      <c r="O382" s="47"/>
      <c r="P382" s="47"/>
      <c r="Q382" s="47"/>
      <c r="R382" s="47"/>
      <c r="S382" s="47"/>
      <c r="T382" s="47"/>
      <c r="U382" s="47"/>
      <c r="V382" s="50" t="s">
        <v>383</v>
      </c>
      <c r="W382" s="74">
        <v>0</v>
      </c>
      <c r="X382" s="39">
        <f>MAX(0,$AK382-$W382-$Z382)</f>
        <v>0</v>
      </c>
      <c r="Y382" s="39"/>
      <c r="Z382" s="39"/>
      <c r="AA382" s="41">
        <v>0.27</v>
      </c>
      <c r="AB382" s="41">
        <f>IF(AND($X382&gt;0,ISNUMBER($AA382)),$X382*$AA382,0)</f>
        <v>0</v>
      </c>
      <c r="AC382" s="59"/>
      <c r="AD382" s="59"/>
      <c r="AE382" s="59"/>
      <c r="AF382" s="59"/>
      <c r="AG382" s="59"/>
      <c r="AH382" s="59"/>
      <c r="AI382" s="59"/>
      <c r="AJ382" s="59"/>
      <c r="AK382" s="39">
        <f>SUM(AL382:AR382)</f>
        <v>0</v>
      </c>
      <c r="AL382" s="114"/>
      <c r="AM382" s="43"/>
      <c r="AN382" s="43"/>
      <c r="AO382" s="43"/>
      <c r="AP382" s="43"/>
      <c r="AQ382" s="43"/>
      <c r="AR382" s="116"/>
      <c r="AS382" s="42">
        <f>SUM(AT382:AZ382)</f>
        <v>0</v>
      </c>
      <c r="AT382" s="48"/>
      <c r="AU382" s="48"/>
      <c r="AV382" s="48"/>
      <c r="AW382" s="48"/>
      <c r="AX382" s="48"/>
      <c r="AY382" s="48"/>
      <c r="AZ382" s="48"/>
      <c r="BA382" s="43">
        <f>IF((W382-SUM(AT382:AZ382))&lt;0,0,W382-SUM(AT382:AZ382))</f>
        <v>0</v>
      </c>
      <c r="BB382" s="49"/>
      <c r="BC382" s="47"/>
      <c r="BD382" s="53"/>
    </row>
    <row r="383" spans="1:56" ht="15" customHeight="1">
      <c r="A383" s="49" t="s">
        <v>1871</v>
      </c>
      <c r="B383" s="39" t="s">
        <v>64</v>
      </c>
      <c r="C383" s="46" t="s">
        <v>65</v>
      </c>
      <c r="D383" s="49" t="s">
        <v>68</v>
      </c>
      <c r="E383" s="49"/>
      <c r="F383" s="39">
        <v>0</v>
      </c>
      <c r="G383" s="75" t="s">
        <v>1872</v>
      </c>
      <c r="H383" s="50" t="s">
        <v>68</v>
      </c>
      <c r="I383" s="50" t="s">
        <v>1873</v>
      </c>
      <c r="J383" s="50" t="s">
        <v>1874</v>
      </c>
      <c r="K383" s="50"/>
      <c r="L383" s="47"/>
      <c r="M383" s="47"/>
      <c r="N383" s="47"/>
      <c r="O383" s="47"/>
      <c r="P383" s="47"/>
      <c r="Q383" s="47"/>
      <c r="R383" s="47"/>
      <c r="S383" s="47"/>
      <c r="T383" s="47"/>
      <c r="U383" s="47"/>
      <c r="V383" s="50" t="s">
        <v>383</v>
      </c>
      <c r="W383" s="74">
        <v>0</v>
      </c>
      <c r="X383" s="39">
        <f>MAX(0,$AK383-$W383-$Z383)</f>
        <v>0</v>
      </c>
      <c r="Y383" s="39"/>
      <c r="Z383" s="39"/>
      <c r="AA383" s="41">
        <v>0.28999999999999998</v>
      </c>
      <c r="AB383" s="41">
        <f>IF(AND($X383&gt;0,ISNUMBER($AA383)),$X383*$AA383,0)</f>
        <v>0</v>
      </c>
      <c r="AC383" s="59"/>
      <c r="AD383" s="59"/>
      <c r="AE383" s="59"/>
      <c r="AF383" s="59"/>
      <c r="AG383" s="59"/>
      <c r="AH383" s="59"/>
      <c r="AI383" s="59"/>
      <c r="AJ383" s="59"/>
      <c r="AK383" s="39">
        <f>SUM(AL383:AR383)</f>
        <v>0</v>
      </c>
      <c r="AL383" s="114"/>
      <c r="AM383" s="43"/>
      <c r="AN383" s="43"/>
      <c r="AO383" s="43"/>
      <c r="AP383" s="43"/>
      <c r="AQ383" s="43"/>
      <c r="AR383" s="116"/>
      <c r="AS383" s="42">
        <f>SUM(AT383:AZ383)</f>
        <v>0</v>
      </c>
      <c r="AT383" s="48"/>
      <c r="AU383" s="48"/>
      <c r="AV383" s="48"/>
      <c r="AW383" s="48"/>
      <c r="AX383" s="48"/>
      <c r="AY383" s="48"/>
      <c r="AZ383" s="48"/>
      <c r="BA383" s="43">
        <f>IF((W383-SUM(AT383:AZ383))&lt;0,0,W383-SUM(AT383:AZ383))</f>
        <v>0</v>
      </c>
      <c r="BB383" s="49"/>
      <c r="BC383" s="47"/>
      <c r="BD383" s="47"/>
    </row>
    <row r="384" spans="1:56" ht="15" customHeight="1">
      <c r="A384" s="49" t="s">
        <v>1875</v>
      </c>
      <c r="B384" s="39" t="s">
        <v>64</v>
      </c>
      <c r="C384" s="46" t="s">
        <v>65</v>
      </c>
      <c r="D384" s="49" t="s">
        <v>68</v>
      </c>
      <c r="E384" s="49" t="s">
        <v>214</v>
      </c>
      <c r="F384" s="39">
        <v>0</v>
      </c>
      <c r="G384" s="75" t="s">
        <v>1876</v>
      </c>
      <c r="H384" s="50" t="s">
        <v>68</v>
      </c>
      <c r="I384" s="50" t="s">
        <v>1778</v>
      </c>
      <c r="J384" s="50"/>
      <c r="K384" s="50"/>
      <c r="L384" s="46"/>
      <c r="M384" s="46"/>
      <c r="N384" s="46"/>
      <c r="O384" s="68"/>
      <c r="P384" s="68"/>
      <c r="Q384" s="46"/>
      <c r="R384" s="46"/>
      <c r="S384" s="46"/>
      <c r="T384" s="68"/>
      <c r="U384" s="68"/>
      <c r="V384" s="50" t="s">
        <v>217</v>
      </c>
      <c r="W384" s="74">
        <v>2</v>
      </c>
      <c r="X384" s="39">
        <f>MAX(0,$AK384-$W384-$Z384)</f>
        <v>0</v>
      </c>
      <c r="Y384" s="39"/>
      <c r="Z384" s="39"/>
      <c r="AA384" s="41">
        <v>0.11</v>
      </c>
      <c r="AB384" s="41">
        <f>IF(AND($X384&gt;0,ISNUMBER($AA384)),$X384*$AA384,0)</f>
        <v>0</v>
      </c>
      <c r="AK384" s="39">
        <f>SUM(AL384:AR384)</f>
        <v>2</v>
      </c>
      <c r="AL384" s="90"/>
      <c r="AM384" s="97">
        <v>1</v>
      </c>
      <c r="AN384" s="97">
        <v>1</v>
      </c>
      <c r="AO384" s="38"/>
      <c r="AP384" s="38"/>
      <c r="AQ384" s="38"/>
      <c r="AR384" s="91"/>
      <c r="AS384" s="42">
        <f>SUM(AT384:AZ384)</f>
        <v>2</v>
      </c>
      <c r="AT384" s="48"/>
      <c r="AU384" s="48">
        <v>1</v>
      </c>
      <c r="AV384" s="48">
        <v>1</v>
      </c>
      <c r="AW384" s="48"/>
      <c r="AX384" s="48"/>
      <c r="AY384" s="48"/>
      <c r="AZ384" s="48"/>
      <c r="BA384" s="43">
        <f>IF((W384-SUM(AT384:AZ384))&lt;0,0,W384-SUM(AT384:AZ384))</f>
        <v>0</v>
      </c>
      <c r="BB384" s="49"/>
      <c r="BC384" s="47"/>
      <c r="BD384" s="55" t="s">
        <v>1877</v>
      </c>
    </row>
    <row r="385" spans="1:56" ht="15" customHeight="1">
      <c r="A385" s="49" t="s">
        <v>1878</v>
      </c>
      <c r="B385" s="39" t="s">
        <v>64</v>
      </c>
      <c r="C385" s="46" t="s">
        <v>65</v>
      </c>
      <c r="D385" s="49" t="s">
        <v>68</v>
      </c>
      <c r="E385" s="49"/>
      <c r="F385" s="39">
        <v>0</v>
      </c>
      <c r="G385" s="75" t="s">
        <v>1879</v>
      </c>
      <c r="H385" s="50" t="s">
        <v>68</v>
      </c>
      <c r="I385" s="50" t="s">
        <v>1723</v>
      </c>
      <c r="J385" s="50" t="s">
        <v>1684</v>
      </c>
      <c r="K385" s="50"/>
      <c r="L385" s="47"/>
      <c r="M385" s="47"/>
      <c r="N385" s="47"/>
      <c r="O385" s="47"/>
      <c r="P385" s="47"/>
      <c r="Q385" s="47"/>
      <c r="R385" s="47"/>
      <c r="S385" s="47"/>
      <c r="T385" s="47"/>
      <c r="U385" s="47"/>
      <c r="V385" s="50" t="s">
        <v>240</v>
      </c>
      <c r="W385" s="74">
        <v>1</v>
      </c>
      <c r="X385" s="39">
        <f>MAX(0,$AK385-$W385-$Z385)</f>
        <v>0</v>
      </c>
      <c r="Y385" s="39"/>
      <c r="Z385" s="39"/>
      <c r="AA385" s="41">
        <v>0.17</v>
      </c>
      <c r="AB385" s="41">
        <f>IF(AND($X385&gt;0,ISNUMBER($AA385)),$X385*$AA385,0)</f>
        <v>0</v>
      </c>
      <c r="AK385" s="39">
        <f>SUM(AL385:AR385)</f>
        <v>1</v>
      </c>
      <c r="AL385" s="102">
        <v>1</v>
      </c>
      <c r="AM385" s="38"/>
      <c r="AN385" s="38"/>
      <c r="AO385" s="38"/>
      <c r="AP385" s="38"/>
      <c r="AQ385" s="38"/>
      <c r="AR385" s="91"/>
      <c r="AS385" s="42">
        <f>SUM(AT385:AZ385)</f>
        <v>1</v>
      </c>
      <c r="AT385" s="48">
        <v>1</v>
      </c>
      <c r="AU385" s="48"/>
      <c r="AV385" s="48"/>
      <c r="AW385" s="48"/>
      <c r="AX385" s="48"/>
      <c r="AY385" s="48"/>
      <c r="AZ385" s="48"/>
      <c r="BA385" s="43">
        <f>IF((W385-SUM(AT385:AZ385))&lt;0,0,W385-SUM(AT385:AZ385))</f>
        <v>0</v>
      </c>
      <c r="BB385" s="49"/>
      <c r="BC385" s="47"/>
      <c r="BD385" s="47"/>
    </row>
    <row r="386" spans="1:56" ht="15" customHeight="1">
      <c r="A386" s="49" t="s">
        <v>1880</v>
      </c>
      <c r="B386" s="39" t="s">
        <v>64</v>
      </c>
      <c r="C386" s="46" t="s">
        <v>65</v>
      </c>
      <c r="D386" s="49" t="s">
        <v>68</v>
      </c>
      <c r="E386" s="49"/>
      <c r="F386" s="39">
        <v>0</v>
      </c>
      <c r="G386" s="75" t="s">
        <v>1881</v>
      </c>
      <c r="H386" s="50" t="s">
        <v>68</v>
      </c>
      <c r="I386" s="50" t="s">
        <v>323</v>
      </c>
      <c r="J386" s="50" t="s">
        <v>1882</v>
      </c>
      <c r="K386" s="50" t="s">
        <v>1883</v>
      </c>
      <c r="L386" s="47"/>
      <c r="M386" s="47"/>
      <c r="N386" s="47"/>
      <c r="O386" s="68"/>
      <c r="P386" s="68"/>
      <c r="Q386" s="47"/>
      <c r="R386" s="47"/>
      <c r="S386" s="47"/>
      <c r="T386" s="68"/>
      <c r="U386" s="68"/>
      <c r="V386" s="50" t="s">
        <v>432</v>
      </c>
      <c r="W386" s="74">
        <v>1</v>
      </c>
      <c r="X386" s="39">
        <f>MAX(0,$AK386-$W386-$Z386)</f>
        <v>0</v>
      </c>
      <c r="Y386" s="39"/>
      <c r="Z386" s="39"/>
      <c r="AA386" s="41">
        <v>0.23</v>
      </c>
      <c r="AB386" s="41">
        <f>IF(AND($X386&gt;0,ISNUMBER($AA386)),$X386*$AA386,0)</f>
        <v>0</v>
      </c>
      <c r="AK386" s="39">
        <f>SUM(AL386:AR386)</f>
        <v>0</v>
      </c>
      <c r="AL386" s="90"/>
      <c r="AM386" s="38"/>
      <c r="AN386" s="38"/>
      <c r="AO386" s="38"/>
      <c r="AP386" s="38"/>
      <c r="AQ386" s="97"/>
      <c r="AR386" s="91"/>
      <c r="AS386" s="42">
        <f>SUM(AT386:AZ386)</f>
        <v>0</v>
      </c>
      <c r="AT386" s="48"/>
      <c r="AU386" s="48"/>
      <c r="AV386" s="48"/>
      <c r="AW386" s="48"/>
      <c r="AX386" s="48"/>
      <c r="AY386" s="48"/>
      <c r="AZ386" s="48"/>
      <c r="BA386" s="43">
        <f>IF((W386-SUM(AT386:AZ386))&lt;0,0,W386-SUM(AT386:AZ386))</f>
        <v>1</v>
      </c>
      <c r="BB386" s="49"/>
      <c r="BC386" s="47"/>
      <c r="BD386" s="47"/>
    </row>
    <row r="387" spans="1:56" ht="15" customHeight="1">
      <c r="A387" s="49" t="s">
        <v>1884</v>
      </c>
      <c r="B387" s="39" t="s">
        <v>64</v>
      </c>
      <c r="C387" s="46" t="s">
        <v>83</v>
      </c>
      <c r="D387" s="49" t="s">
        <v>68</v>
      </c>
      <c r="E387" s="49"/>
      <c r="F387" s="39">
        <v>0</v>
      </c>
      <c r="G387" s="75" t="s">
        <v>1885</v>
      </c>
      <c r="H387" s="50" t="s">
        <v>87</v>
      </c>
      <c r="I387" s="50" t="s">
        <v>1885</v>
      </c>
      <c r="J387" s="50"/>
      <c r="K387" s="50"/>
      <c r="L387" s="47"/>
      <c r="M387" s="47"/>
      <c r="N387" s="47"/>
      <c r="O387" s="47"/>
      <c r="P387" s="47"/>
      <c r="Q387" s="47"/>
      <c r="R387" s="47"/>
      <c r="S387" s="47"/>
      <c r="T387" s="47"/>
      <c r="U387" s="47"/>
      <c r="V387" s="50" t="s">
        <v>1600</v>
      </c>
      <c r="W387" s="74">
        <v>1</v>
      </c>
      <c r="X387" s="39">
        <f>MAX(0,$AK387-$W387-$Z387)</f>
        <v>0</v>
      </c>
      <c r="Y387" s="39"/>
      <c r="Z387" s="39"/>
      <c r="AA387" s="41">
        <v>4.05</v>
      </c>
      <c r="AB387" s="41">
        <f>IF(AND($X387&gt;0,ISNUMBER($AA387)),$X387*$AA387,0)</f>
        <v>0</v>
      </c>
      <c r="AK387" s="39">
        <f>SUM(AL387:AR387)</f>
        <v>1</v>
      </c>
      <c r="AL387" s="102">
        <v>1</v>
      </c>
      <c r="AM387" s="38"/>
      <c r="AN387" s="38"/>
      <c r="AO387" s="38"/>
      <c r="AP387" s="38"/>
      <c r="AQ387" s="38"/>
      <c r="AR387" s="91"/>
      <c r="AS387" s="42">
        <f>SUM(AT387:AZ387)</f>
        <v>1</v>
      </c>
      <c r="AT387" s="48">
        <v>1</v>
      </c>
      <c r="AU387" s="48"/>
      <c r="AV387" s="48"/>
      <c r="AW387" s="48"/>
      <c r="AX387" s="48"/>
      <c r="AY387" s="48"/>
      <c r="AZ387" s="48"/>
      <c r="BA387" s="43">
        <f>IF((W387-SUM(AT387:AZ387))&lt;0,0,W387-SUM(AT387:AZ387))</f>
        <v>0</v>
      </c>
      <c r="BB387" s="49"/>
      <c r="BC387" s="47"/>
      <c r="BD387" s="47"/>
    </row>
    <row r="388" spans="1:56" ht="15" customHeight="1">
      <c r="A388" s="49" t="s">
        <v>1886</v>
      </c>
      <c r="B388" s="39" t="s">
        <v>64</v>
      </c>
      <c r="C388" s="46" t="s">
        <v>65</v>
      </c>
      <c r="D388" s="49" t="s">
        <v>68</v>
      </c>
      <c r="E388" s="49"/>
      <c r="F388" s="39">
        <v>0</v>
      </c>
      <c r="G388" s="75" t="s">
        <v>1887</v>
      </c>
      <c r="H388" s="50" t="s">
        <v>68</v>
      </c>
      <c r="I388" s="50" t="s">
        <v>1704</v>
      </c>
      <c r="J388" s="50" t="s">
        <v>1888</v>
      </c>
      <c r="K388" s="50"/>
      <c r="L388" s="47"/>
      <c r="M388" s="47"/>
      <c r="N388" s="47"/>
      <c r="O388" s="47"/>
      <c r="P388" s="47"/>
      <c r="Q388" s="47"/>
      <c r="R388" s="47"/>
      <c r="S388" s="47"/>
      <c r="T388" s="47"/>
      <c r="U388" s="47"/>
      <c r="V388" s="50" t="s">
        <v>790</v>
      </c>
      <c r="W388" s="74">
        <v>2</v>
      </c>
      <c r="X388" s="39">
        <f>MAX(0,$AK388-$W388-$Z388)</f>
        <v>0</v>
      </c>
      <c r="Y388" s="39"/>
      <c r="Z388" s="39"/>
      <c r="AA388" s="41">
        <v>0.36</v>
      </c>
      <c r="AB388" s="41">
        <f>IF(AND($X388&gt;0,ISNUMBER($AA388)),$X388*$AA388,0)</f>
        <v>0</v>
      </c>
      <c r="AK388" s="39">
        <f>SUM(AL388:AR388)</f>
        <v>2</v>
      </c>
      <c r="AL388" s="90"/>
      <c r="AM388" s="38"/>
      <c r="AN388" s="97">
        <v>1</v>
      </c>
      <c r="AO388" s="97">
        <v>1</v>
      </c>
      <c r="AP388" s="38"/>
      <c r="AQ388" s="38"/>
      <c r="AR388" s="91"/>
      <c r="AS388" s="42">
        <f>SUM(AT388:AZ388)</f>
        <v>2</v>
      </c>
      <c r="AT388" s="48"/>
      <c r="AU388" s="48"/>
      <c r="AV388" s="48">
        <v>1</v>
      </c>
      <c r="AW388" s="48">
        <v>1</v>
      </c>
      <c r="AX388" s="48"/>
      <c r="AY388" s="48"/>
      <c r="AZ388" s="48"/>
      <c r="BA388" s="43">
        <f>IF((W388-SUM(AT388:AZ388))&lt;0,0,W388-SUM(AT388:AZ388))</f>
        <v>0</v>
      </c>
      <c r="BB388" s="49"/>
      <c r="BC388" s="47"/>
      <c r="BD388" s="47"/>
    </row>
    <row r="389" spans="1:56" ht="15" customHeight="1">
      <c r="A389" s="49" t="s">
        <v>1889</v>
      </c>
      <c r="B389" s="39" t="s">
        <v>64</v>
      </c>
      <c r="C389" s="46" t="s">
        <v>65</v>
      </c>
      <c r="D389" s="49" t="s">
        <v>68</v>
      </c>
      <c r="E389" s="49"/>
      <c r="F389" s="39">
        <v>0</v>
      </c>
      <c r="G389" s="75" t="s">
        <v>1890</v>
      </c>
      <c r="H389" s="50" t="s">
        <v>68</v>
      </c>
      <c r="I389" s="50" t="s">
        <v>1891</v>
      </c>
      <c r="J389" s="50"/>
      <c r="K389" s="50"/>
      <c r="L389" s="46"/>
      <c r="M389" s="46"/>
      <c r="N389" s="46"/>
      <c r="O389" s="46"/>
      <c r="P389" s="46"/>
      <c r="Q389" s="46"/>
      <c r="R389" s="46"/>
      <c r="S389" s="46"/>
      <c r="T389" s="46"/>
      <c r="U389" s="46"/>
      <c r="V389" s="50" t="s">
        <v>1892</v>
      </c>
      <c r="W389" s="74">
        <v>1</v>
      </c>
      <c r="X389" s="39">
        <f>MAX(0,$AK389-$W389-$Z389)</f>
        <v>0</v>
      </c>
      <c r="Y389" s="39"/>
      <c r="Z389" s="39"/>
      <c r="AA389" s="41">
        <v>0.28999999999999998</v>
      </c>
      <c r="AB389" s="41">
        <f>IF(AND($X389&gt;0,ISNUMBER($AA389)),$X389*$AA389,0)</f>
        <v>0</v>
      </c>
      <c r="AK389" s="39">
        <f>SUM(AL389:AR389)</f>
        <v>1</v>
      </c>
      <c r="AL389" s="102">
        <v>1</v>
      </c>
      <c r="AM389" s="38"/>
      <c r="AN389" s="38"/>
      <c r="AO389" s="38"/>
      <c r="AP389" s="38"/>
      <c r="AQ389" s="38"/>
      <c r="AR389" s="91"/>
      <c r="AS389" s="42">
        <f>SUM(AT389:AZ389)</f>
        <v>1</v>
      </c>
      <c r="AT389" s="48">
        <v>1</v>
      </c>
      <c r="AU389" s="48"/>
      <c r="AV389" s="48"/>
      <c r="AW389" s="48"/>
      <c r="AX389" s="48"/>
      <c r="AY389" s="48"/>
      <c r="AZ389" s="48"/>
      <c r="BA389" s="43">
        <f>IF((W389-SUM(AT389:AZ389))&lt;0,0,W389-SUM(AT389:AZ389))</f>
        <v>0</v>
      </c>
      <c r="BB389" s="49"/>
      <c r="BC389" s="47"/>
      <c r="BD389" s="47"/>
    </row>
    <row r="390" spans="1:56" ht="15" customHeight="1">
      <c r="A390" s="49" t="s">
        <v>1893</v>
      </c>
      <c r="B390" s="39" t="s">
        <v>64</v>
      </c>
      <c r="C390" s="46" t="s">
        <v>65</v>
      </c>
      <c r="D390" s="49" t="s">
        <v>68</v>
      </c>
      <c r="E390" s="49"/>
      <c r="F390" s="39">
        <v>0</v>
      </c>
      <c r="G390" s="75" t="s">
        <v>1894</v>
      </c>
      <c r="H390" s="50" t="s">
        <v>68</v>
      </c>
      <c r="I390" s="50" t="s">
        <v>1753</v>
      </c>
      <c r="J390" s="50" t="s">
        <v>1895</v>
      </c>
      <c r="K390" s="50"/>
      <c r="L390" s="46"/>
      <c r="M390" s="46"/>
      <c r="N390" s="46"/>
      <c r="O390" s="46"/>
      <c r="P390" s="46"/>
      <c r="Q390" s="46"/>
      <c r="R390" s="46"/>
      <c r="S390" s="46"/>
      <c r="T390" s="46"/>
      <c r="U390" s="46"/>
      <c r="V390" s="50" t="s">
        <v>900</v>
      </c>
      <c r="W390" s="74">
        <v>1</v>
      </c>
      <c r="X390" s="39">
        <f>MAX(0,$AK390-$W390-$Z390)</f>
        <v>0</v>
      </c>
      <c r="Y390" s="39"/>
      <c r="Z390" s="39"/>
      <c r="AA390" s="41">
        <v>0.27</v>
      </c>
      <c r="AB390" s="41">
        <f>IF(AND($X390&gt;0,ISNUMBER($AA390)),$X390*$AA390,0)</f>
        <v>0</v>
      </c>
      <c r="AK390" s="39">
        <f>SUM(AL390:AR390)</f>
        <v>1</v>
      </c>
      <c r="AL390" s="90"/>
      <c r="AM390" s="38"/>
      <c r="AN390" s="97">
        <v>1</v>
      </c>
      <c r="AO390" s="38"/>
      <c r="AP390" s="38"/>
      <c r="AQ390" s="38"/>
      <c r="AR390" s="91"/>
      <c r="AS390" s="42">
        <f>SUM(AT390:AZ390)</f>
        <v>1</v>
      </c>
      <c r="AT390" s="48"/>
      <c r="AU390" s="48"/>
      <c r="AV390" s="48">
        <v>1</v>
      </c>
      <c r="AW390" s="48"/>
      <c r="AX390" s="48"/>
      <c r="AY390" s="48"/>
      <c r="AZ390" s="48"/>
      <c r="BA390" s="43">
        <f>IF((W390-SUM(AT390:AZ390))&lt;0,0,W390-SUM(AT390:AZ390))</f>
        <v>0</v>
      </c>
      <c r="BB390" s="49"/>
      <c r="BC390" s="47"/>
      <c r="BD390" s="47"/>
    </row>
    <row r="391" spans="1:56" ht="15" customHeight="1">
      <c r="A391" s="49" t="s">
        <v>205</v>
      </c>
      <c r="B391" s="39" t="s">
        <v>64</v>
      </c>
      <c r="C391" s="46" t="s">
        <v>65</v>
      </c>
      <c r="D391" s="49" t="s">
        <v>68</v>
      </c>
      <c r="E391" s="49"/>
      <c r="F391" s="39">
        <v>0</v>
      </c>
      <c r="G391" s="75" t="s">
        <v>206</v>
      </c>
      <c r="H391" s="50" t="s">
        <v>68</v>
      </c>
      <c r="I391" s="50" t="s">
        <v>190</v>
      </c>
      <c r="J391" s="50" t="s">
        <v>207</v>
      </c>
      <c r="K391" s="50"/>
      <c r="L391" s="47"/>
      <c r="M391" s="47"/>
      <c r="N391" s="47"/>
      <c r="O391" s="47"/>
      <c r="P391" s="47"/>
      <c r="Q391" s="47"/>
      <c r="R391" s="47"/>
      <c r="S391" s="47"/>
      <c r="T391" s="47"/>
      <c r="U391" s="47"/>
      <c r="V391" s="50" t="s">
        <v>208</v>
      </c>
      <c r="W391" s="74">
        <v>1</v>
      </c>
      <c r="X391" s="39">
        <f>MAX(0,$AK391-$W391-$Z391)</f>
        <v>0</v>
      </c>
      <c r="Y391" s="39"/>
      <c r="Z391" s="39"/>
      <c r="AA391" s="41">
        <v>0.35</v>
      </c>
      <c r="AB391" s="41">
        <f>IF(AND($X391&gt;0,ISNUMBER($AA391)),$X391*$AA391,0)</f>
        <v>0</v>
      </c>
      <c r="AK391" s="39">
        <f>SUM(AL391:AR391)</f>
        <v>1</v>
      </c>
      <c r="AL391" s="90"/>
      <c r="AM391" s="38"/>
      <c r="AN391" s="38"/>
      <c r="AO391" s="38"/>
      <c r="AP391" s="97">
        <v>1</v>
      </c>
      <c r="AQ391" s="38"/>
      <c r="AR391" s="91"/>
      <c r="AS391" s="42">
        <f>SUM(AT391:AZ391)</f>
        <v>1</v>
      </c>
      <c r="AT391" s="48"/>
      <c r="AU391" s="48"/>
      <c r="AV391" s="48"/>
      <c r="AW391" s="48"/>
      <c r="AX391" s="48">
        <v>1</v>
      </c>
      <c r="AY391" s="48"/>
      <c r="AZ391" s="48"/>
      <c r="BA391" s="43">
        <f>IF((W391-SUM(AT391:AZ391))&lt;0,0,W391-SUM(AT391:AZ391))</f>
        <v>0</v>
      </c>
      <c r="BB391" s="49"/>
      <c r="BC391" s="47"/>
      <c r="BD391" s="47"/>
    </row>
    <row r="392" spans="1:56" ht="15" customHeight="1">
      <c r="A392" s="49" t="s">
        <v>1896</v>
      </c>
      <c r="B392" s="39" t="s">
        <v>64</v>
      </c>
      <c r="C392" s="46" t="s">
        <v>65</v>
      </c>
      <c r="D392" s="49" t="s">
        <v>68</v>
      </c>
      <c r="E392" s="49"/>
      <c r="F392" s="39">
        <v>0</v>
      </c>
      <c r="G392" s="75" t="s">
        <v>1897</v>
      </c>
      <c r="H392" s="50" t="s">
        <v>68</v>
      </c>
      <c r="I392" s="50" t="s">
        <v>1898</v>
      </c>
      <c r="J392" s="50"/>
      <c r="K392" s="50"/>
      <c r="L392" s="47"/>
      <c r="M392" s="47"/>
      <c r="N392" s="47"/>
      <c r="O392" s="68"/>
      <c r="P392" s="68"/>
      <c r="Q392" s="47"/>
      <c r="R392" s="47"/>
      <c r="S392" s="47"/>
      <c r="T392" s="68"/>
      <c r="U392" s="68"/>
      <c r="V392" s="50" t="s">
        <v>582</v>
      </c>
      <c r="W392" s="74">
        <v>1</v>
      </c>
      <c r="X392" s="39">
        <f>MAX(0,$AK392-$W392-$Z392)</f>
        <v>0</v>
      </c>
      <c r="Y392" s="39"/>
      <c r="Z392" s="39"/>
      <c r="AA392" s="41">
        <v>0.27</v>
      </c>
      <c r="AB392" s="41">
        <f>IF(AND($X392&gt;0,ISNUMBER($AA392)),$X392*$AA392,0)</f>
        <v>0</v>
      </c>
      <c r="AK392" s="39">
        <f>SUM(AL392:AR392)</f>
        <v>0</v>
      </c>
      <c r="AL392" s="90"/>
      <c r="AM392" s="38"/>
      <c r="AN392" s="38"/>
      <c r="AO392" s="38"/>
      <c r="AP392" s="38"/>
      <c r="AQ392" s="38"/>
      <c r="AR392" s="91"/>
      <c r="AS392" s="42">
        <f>SUM(AT392:AZ392)</f>
        <v>0</v>
      </c>
      <c r="AT392" s="48"/>
      <c r="AU392" s="48"/>
      <c r="AV392" s="48"/>
      <c r="AW392" s="48"/>
      <c r="AX392" s="48"/>
      <c r="AY392" s="48"/>
      <c r="AZ392" s="48"/>
      <c r="BA392" s="43">
        <f>IF((W392-SUM(AT392:AZ392))&lt;0,0,W392-SUM(AT392:AZ392))</f>
        <v>1</v>
      </c>
      <c r="BB392" s="49"/>
      <c r="BC392" s="47"/>
      <c r="BD392" s="47"/>
    </row>
    <row r="393" spans="1:56" ht="15" customHeight="1">
      <c r="A393" s="49" t="s">
        <v>1899</v>
      </c>
      <c r="B393" s="39" t="s">
        <v>64</v>
      </c>
      <c r="C393" s="46" t="s">
        <v>65</v>
      </c>
      <c r="D393" s="49" t="s">
        <v>68</v>
      </c>
      <c r="E393" s="49"/>
      <c r="F393" s="39">
        <v>0</v>
      </c>
      <c r="G393" s="75" t="s">
        <v>1900</v>
      </c>
      <c r="H393" s="50" t="s">
        <v>68</v>
      </c>
      <c r="I393" s="50" t="s">
        <v>1723</v>
      </c>
      <c r="J393" s="50" t="s">
        <v>1684</v>
      </c>
      <c r="K393" s="50" t="s">
        <v>1901</v>
      </c>
      <c r="L393" s="46"/>
      <c r="M393" s="46"/>
      <c r="N393" s="46"/>
      <c r="O393" s="46"/>
      <c r="P393" s="46"/>
      <c r="Q393" s="46"/>
      <c r="R393" s="46"/>
      <c r="S393" s="46"/>
      <c r="T393" s="46"/>
      <c r="U393" s="46"/>
      <c r="V393" s="50" t="s">
        <v>208</v>
      </c>
      <c r="W393" s="74">
        <v>1</v>
      </c>
      <c r="X393" s="39">
        <f>MAX(0,$AK393-$W393-$Z393)</f>
        <v>0</v>
      </c>
      <c r="Y393" s="39"/>
      <c r="Z393" s="39"/>
      <c r="AA393" s="41">
        <v>0.31</v>
      </c>
      <c r="AB393" s="41">
        <f>IF(AND($X393&gt;0,ISNUMBER($AA393)),$X393*$AA393,0)</f>
        <v>0</v>
      </c>
      <c r="AK393" s="39">
        <f>SUM(AL393:AR393)</f>
        <v>1</v>
      </c>
      <c r="AL393" s="102">
        <v>1</v>
      </c>
      <c r="AM393" s="38"/>
      <c r="AN393" s="38"/>
      <c r="AO393" s="38"/>
      <c r="AP393" s="38"/>
      <c r="AQ393" s="38"/>
      <c r="AR393" s="91"/>
      <c r="AS393" s="42">
        <f>SUM(AT393:AZ393)</f>
        <v>1</v>
      </c>
      <c r="AT393" s="48">
        <v>1</v>
      </c>
      <c r="AU393" s="48"/>
      <c r="AV393" s="48"/>
      <c r="AW393" s="48"/>
      <c r="AX393" s="48"/>
      <c r="AY393" s="48"/>
      <c r="AZ393" s="48"/>
      <c r="BA393" s="43">
        <f>IF((W393-SUM(AT393:AZ393))&lt;0,0,W393-SUM(AT393:AZ393))</f>
        <v>0</v>
      </c>
      <c r="BB393" s="49"/>
      <c r="BC393" s="47"/>
      <c r="BD393" s="47"/>
    </row>
    <row r="394" spans="1:56" ht="15" customHeight="1">
      <c r="A394" s="49" t="s">
        <v>1902</v>
      </c>
      <c r="B394" s="39" t="s">
        <v>64</v>
      </c>
      <c r="C394" s="46" t="s">
        <v>65</v>
      </c>
      <c r="D394" s="49" t="s">
        <v>68</v>
      </c>
      <c r="E394" s="49"/>
      <c r="F394" s="39">
        <v>0</v>
      </c>
      <c r="G394" s="75" t="s">
        <v>194</v>
      </c>
      <c r="H394" s="50" t="s">
        <v>68</v>
      </c>
      <c r="I394" s="50" t="s">
        <v>195</v>
      </c>
      <c r="J394" s="50"/>
      <c r="K394" s="50"/>
      <c r="L394" s="46"/>
      <c r="M394" s="46"/>
      <c r="N394" s="46"/>
      <c r="O394" s="46"/>
      <c r="P394" s="46"/>
      <c r="Q394" s="46"/>
      <c r="R394" s="46"/>
      <c r="S394" s="46"/>
      <c r="T394" s="46"/>
      <c r="U394" s="46"/>
      <c r="V394" s="50" t="s">
        <v>1085</v>
      </c>
      <c r="W394" s="74">
        <v>2</v>
      </c>
      <c r="X394" s="39">
        <f>MAX(0,$AK394-$W394-$Z394)</f>
        <v>0</v>
      </c>
      <c r="Y394" s="39"/>
      <c r="Z394" s="39"/>
      <c r="AA394" s="41">
        <v>0.25</v>
      </c>
      <c r="AB394" s="41">
        <f>IF(AND($X394&gt;0,ISNUMBER($AA394)),$X394*$AA394,0)</f>
        <v>0</v>
      </c>
      <c r="AD394" s="63"/>
      <c r="AK394" s="39">
        <f>SUM(AL394:AR394)</f>
        <v>1</v>
      </c>
      <c r="AL394" s="90"/>
      <c r="AM394" s="98">
        <v>1</v>
      </c>
      <c r="AN394" s="38"/>
      <c r="AO394" s="38"/>
      <c r="AP394" s="38"/>
      <c r="AQ394" s="38"/>
      <c r="AR394" s="91"/>
      <c r="AS394" s="42">
        <f>SUM(AT394:AZ394)</f>
        <v>1</v>
      </c>
      <c r="AT394" s="48"/>
      <c r="AU394" s="48">
        <v>1</v>
      </c>
      <c r="AV394" s="48"/>
      <c r="AW394" s="48"/>
      <c r="AX394" s="48"/>
      <c r="AY394" s="48"/>
      <c r="AZ394" s="48"/>
      <c r="BA394" s="43">
        <f>IF((W394-SUM(AT394:AZ394))&lt;0,0,W394-SUM(AT394:AZ394))</f>
        <v>1</v>
      </c>
      <c r="BB394" s="49"/>
      <c r="BC394" s="47"/>
      <c r="BD394" s="47"/>
    </row>
    <row r="395" spans="1:56" ht="15" customHeight="1">
      <c r="A395" s="49" t="s">
        <v>1903</v>
      </c>
      <c r="B395" s="39" t="s">
        <v>64</v>
      </c>
      <c r="C395" s="46" t="s">
        <v>65</v>
      </c>
      <c r="D395" s="49" t="s">
        <v>68</v>
      </c>
      <c r="E395" s="49"/>
      <c r="F395" s="39">
        <v>0</v>
      </c>
      <c r="G395" s="75" t="s">
        <v>1904</v>
      </c>
      <c r="H395" s="50" t="s">
        <v>68</v>
      </c>
      <c r="I395" s="50" t="s">
        <v>1905</v>
      </c>
      <c r="J395" s="50"/>
      <c r="K395" s="50"/>
      <c r="L395" s="46"/>
      <c r="M395" s="46"/>
      <c r="N395" s="46"/>
      <c r="O395" s="68"/>
      <c r="P395" s="68"/>
      <c r="Q395" s="46"/>
      <c r="R395" s="46"/>
      <c r="S395" s="46"/>
      <c r="T395" s="68"/>
      <c r="U395" s="68"/>
      <c r="V395" s="50" t="s">
        <v>359</v>
      </c>
      <c r="W395" s="74">
        <v>2</v>
      </c>
      <c r="X395" s="39">
        <f>MAX(0,$AK395-$W395-$Z395)</f>
        <v>0</v>
      </c>
      <c r="Y395" s="39"/>
      <c r="Z395" s="39"/>
      <c r="AA395" s="41">
        <v>0.1</v>
      </c>
      <c r="AB395" s="41">
        <f>IF(AND($X395&gt;0,ISNUMBER($AA395)),$X395*$AA395,0)</f>
        <v>0</v>
      </c>
      <c r="AK395" s="39">
        <f>SUM(AL395:AR395)</f>
        <v>2</v>
      </c>
      <c r="AL395" s="90"/>
      <c r="AM395" s="97">
        <v>1</v>
      </c>
      <c r="AN395" s="97">
        <v>1</v>
      </c>
      <c r="AO395" s="38"/>
      <c r="AP395" s="38"/>
      <c r="AQ395" s="38"/>
      <c r="AR395" s="91"/>
      <c r="AS395" s="42">
        <f>SUM(AT395:AZ395)</f>
        <v>2</v>
      </c>
      <c r="AT395" s="48"/>
      <c r="AU395" s="48">
        <v>1</v>
      </c>
      <c r="AV395" s="48">
        <v>1</v>
      </c>
      <c r="AW395" s="48"/>
      <c r="AX395" s="48"/>
      <c r="AY395" s="48"/>
      <c r="AZ395" s="48"/>
      <c r="BA395" s="43">
        <f>IF((W395-SUM(AT395:AZ395))&lt;0,0,W395-SUM(AT395:AZ395))</f>
        <v>0</v>
      </c>
      <c r="BB395" s="49"/>
      <c r="BC395" s="47"/>
      <c r="BD395" s="55" t="s">
        <v>1695</v>
      </c>
    </row>
    <row r="396" spans="1:56" ht="15" customHeight="1">
      <c r="A396" s="49" t="s">
        <v>1906</v>
      </c>
      <c r="B396" s="39" t="s">
        <v>64</v>
      </c>
      <c r="C396" s="46" t="s">
        <v>65</v>
      </c>
      <c r="D396" s="49" t="s">
        <v>68</v>
      </c>
      <c r="E396" s="49"/>
      <c r="F396" s="39">
        <v>0</v>
      </c>
      <c r="G396" s="75" t="s">
        <v>1907</v>
      </c>
      <c r="H396" s="50" t="s">
        <v>68</v>
      </c>
      <c r="I396" s="50" t="s">
        <v>1852</v>
      </c>
      <c r="J396" s="50"/>
      <c r="K396" s="50"/>
      <c r="L396" s="47"/>
      <c r="M396" s="47"/>
      <c r="N396" s="47"/>
      <c r="O396" s="68"/>
      <c r="P396" s="68"/>
      <c r="Q396" s="47"/>
      <c r="R396" s="47"/>
      <c r="S396" s="47"/>
      <c r="T396" s="68"/>
      <c r="U396" s="68"/>
      <c r="V396" s="50" t="s">
        <v>991</v>
      </c>
      <c r="W396" s="74">
        <v>1</v>
      </c>
      <c r="X396" s="39">
        <f>MAX(0,$AK396-$W396-$Z396)</f>
        <v>0</v>
      </c>
      <c r="Y396" s="39"/>
      <c r="Z396" s="39"/>
      <c r="AA396" s="41">
        <v>0.08</v>
      </c>
      <c r="AB396" s="41">
        <f>IF(AND($X396&gt;0,ISNUMBER($AA396)),$X396*$AA396,0)</f>
        <v>0</v>
      </c>
      <c r="AK396" s="39">
        <f>SUM(AL396:AR396)</f>
        <v>0</v>
      </c>
      <c r="AL396" s="90"/>
      <c r="AM396" s="38"/>
      <c r="AN396" s="38"/>
      <c r="AO396" s="38"/>
      <c r="AP396" s="38"/>
      <c r="AQ396" s="38"/>
      <c r="AR396" s="91"/>
      <c r="AS396" s="42">
        <f>SUM(AT396:AZ396)</f>
        <v>0</v>
      </c>
      <c r="AT396" s="48"/>
      <c r="AU396" s="48"/>
      <c r="AV396" s="48"/>
      <c r="AW396" s="48"/>
      <c r="AX396" s="48"/>
      <c r="AY396" s="48"/>
      <c r="AZ396" s="48"/>
      <c r="BA396" s="43">
        <f>IF((W396-SUM(AT396:AZ396))&lt;0,0,W396-SUM(AT396:AZ396))</f>
        <v>1</v>
      </c>
      <c r="BB396" s="49"/>
      <c r="BC396" s="47"/>
      <c r="BD396" s="47"/>
    </row>
    <row r="397" spans="1:56" ht="15" customHeight="1">
      <c r="A397" s="35" t="s">
        <v>1908</v>
      </c>
      <c r="B397" s="36" t="s">
        <v>64</v>
      </c>
      <c r="C397" s="38" t="s">
        <v>65</v>
      </c>
      <c r="D397" s="35" t="s">
        <v>68</v>
      </c>
      <c r="E397" s="35"/>
      <c r="F397" s="35">
        <v>0</v>
      </c>
      <c r="G397" s="75" t="s">
        <v>1909</v>
      </c>
      <c r="H397" s="35" t="s">
        <v>68</v>
      </c>
      <c r="I397" s="35" t="s">
        <v>1815</v>
      </c>
      <c r="J397" s="35" t="s">
        <v>1684</v>
      </c>
      <c r="K397" s="35" t="s">
        <v>1910</v>
      </c>
      <c r="L397" s="109" t="s">
        <v>1911</v>
      </c>
      <c r="M397" s="38">
        <v>1</v>
      </c>
      <c r="N397" s="38">
        <v>1</v>
      </c>
      <c r="O397" s="68" t="s">
        <v>1912</v>
      </c>
      <c r="P397" s="110">
        <v>0.28000000000000003</v>
      </c>
      <c r="Q397" s="37"/>
      <c r="R397" s="37"/>
      <c r="S397" s="37"/>
      <c r="T397" s="68"/>
      <c r="U397" s="68"/>
      <c r="V397" s="35" t="s">
        <v>223</v>
      </c>
      <c r="W397" s="74">
        <v>1</v>
      </c>
      <c r="X397" s="39">
        <f>MAX(0,$AK397-$W397-$Z397)</f>
        <v>0</v>
      </c>
      <c r="Y397" s="35"/>
      <c r="Z397" s="35"/>
      <c r="AA397" s="35">
        <v>0.28000000000000003</v>
      </c>
      <c r="AB397" s="41">
        <f>IF(AND($X397&gt;0,ISNUMBER($AA397)),$X397*$AA397,0)</f>
        <v>0</v>
      </c>
      <c r="AK397" s="39">
        <f>SUM(AL397:AR397)</f>
        <v>1</v>
      </c>
      <c r="AL397" s="90"/>
      <c r="AM397" s="38"/>
      <c r="AN397" s="38"/>
      <c r="AO397" s="97">
        <v>1</v>
      </c>
      <c r="AP397" s="38"/>
      <c r="AQ397" s="38"/>
      <c r="AR397" s="91"/>
      <c r="AS397" s="42">
        <f>SUM(AT397:AZ397)</f>
        <v>1</v>
      </c>
      <c r="AT397" s="48"/>
      <c r="AU397" s="48"/>
      <c r="AV397" s="48"/>
      <c r="AW397" s="48">
        <v>1</v>
      </c>
      <c r="AX397" s="48"/>
      <c r="AY397" s="48"/>
      <c r="AZ397" s="48"/>
      <c r="BA397" s="43">
        <f>IF((W397-SUM(AT397:AZ397))&lt;0,0,W397-SUM(AT397:AZ397))</f>
        <v>0</v>
      </c>
      <c r="BB397" s="35"/>
      <c r="BC397" s="37"/>
      <c r="BD397" s="37"/>
    </row>
    <row r="398" spans="1:56" ht="15" customHeight="1">
      <c r="A398" s="49" t="s">
        <v>1913</v>
      </c>
      <c r="B398" s="39" t="s">
        <v>64</v>
      </c>
      <c r="C398" s="46" t="s">
        <v>65</v>
      </c>
      <c r="D398" s="49" t="s">
        <v>68</v>
      </c>
      <c r="E398" s="49" t="s">
        <v>1756</v>
      </c>
      <c r="F398" s="39">
        <v>0</v>
      </c>
      <c r="G398" s="75" t="s">
        <v>1914</v>
      </c>
      <c r="H398" s="50" t="s">
        <v>68</v>
      </c>
      <c r="I398" s="50" t="s">
        <v>1723</v>
      </c>
      <c r="J398" s="50" t="s">
        <v>1915</v>
      </c>
      <c r="K398" s="50"/>
      <c r="L398" s="46"/>
      <c r="M398" s="46"/>
      <c r="N398" s="46"/>
      <c r="O398" s="46"/>
      <c r="P398" s="46"/>
      <c r="Q398" s="46"/>
      <c r="R398" s="46"/>
      <c r="S398" s="46"/>
      <c r="T398" s="46"/>
      <c r="U398" s="46"/>
      <c r="V398" s="50" t="s">
        <v>1916</v>
      </c>
      <c r="W398" s="74">
        <v>1</v>
      </c>
      <c r="X398" s="39">
        <f>MAX(0,$AK398-$W398-$Z398)</f>
        <v>0</v>
      </c>
      <c r="Y398" s="39"/>
      <c r="Z398" s="39"/>
      <c r="AA398" s="41">
        <v>5.38</v>
      </c>
      <c r="AB398" s="41">
        <f>IF(AND($X398&gt;0,ISNUMBER($AA398)),$X398*$AA398,0)</f>
        <v>0</v>
      </c>
      <c r="AK398" s="39">
        <f>SUM(AL398:AR398)</f>
        <v>1</v>
      </c>
      <c r="AL398" s="102">
        <v>1</v>
      </c>
      <c r="AM398" s="38"/>
      <c r="AN398" s="38"/>
      <c r="AO398" s="38"/>
      <c r="AP398" s="38"/>
      <c r="AQ398" s="38"/>
      <c r="AR398" s="91"/>
      <c r="AS398" s="42">
        <f>SUM(AT398:AZ398)</f>
        <v>1</v>
      </c>
      <c r="AT398" s="48">
        <v>1</v>
      </c>
      <c r="AU398" s="48"/>
      <c r="AV398" s="48"/>
      <c r="AW398" s="48"/>
      <c r="AX398" s="48"/>
      <c r="AY398" s="48"/>
      <c r="AZ398" s="48"/>
      <c r="BA398" s="43">
        <f>IF((W398-SUM(AT398:AZ398))&lt;0,0,W398-SUM(AT398:AZ398))</f>
        <v>0</v>
      </c>
      <c r="BB398" s="49"/>
      <c r="BC398" s="47"/>
      <c r="BD398" s="47"/>
    </row>
    <row r="399" spans="1:56" ht="15" customHeight="1">
      <c r="A399" s="49" t="s">
        <v>360</v>
      </c>
      <c r="B399" s="39" t="s">
        <v>64</v>
      </c>
      <c r="C399" s="46" t="s">
        <v>65</v>
      </c>
      <c r="D399" s="49" t="s">
        <v>68</v>
      </c>
      <c r="E399" s="49"/>
      <c r="F399" s="39">
        <v>0</v>
      </c>
      <c r="G399" s="75" t="s">
        <v>361</v>
      </c>
      <c r="H399" s="50" t="s">
        <v>68</v>
      </c>
      <c r="I399" s="50" t="s">
        <v>323</v>
      </c>
      <c r="J399" s="50" t="s">
        <v>362</v>
      </c>
      <c r="K399" s="50"/>
      <c r="L399" s="47"/>
      <c r="M399" s="47"/>
      <c r="N399" s="47"/>
      <c r="O399" s="47"/>
      <c r="P399" s="47"/>
      <c r="Q399" s="47"/>
      <c r="R399" s="47"/>
      <c r="S399" s="47"/>
      <c r="T399" s="47"/>
      <c r="U399" s="47"/>
      <c r="V399" s="50" t="s">
        <v>363</v>
      </c>
      <c r="W399" s="74">
        <v>1</v>
      </c>
      <c r="X399" s="39">
        <f>MAX(0,$AK399-$W399-$Z399)</f>
        <v>0</v>
      </c>
      <c r="Y399" s="39"/>
      <c r="Z399" s="39"/>
      <c r="AA399" s="41">
        <v>0.76</v>
      </c>
      <c r="AB399" s="41">
        <f>IF(AND($X399&gt;0,ISNUMBER($AA399)),$X399*$AA399,0)</f>
        <v>0</v>
      </c>
      <c r="AK399" s="39">
        <f>SUM(AL399:AR399)</f>
        <v>1</v>
      </c>
      <c r="AL399" s="90"/>
      <c r="AM399" s="38"/>
      <c r="AN399" s="38"/>
      <c r="AO399" s="38"/>
      <c r="AP399" s="97">
        <v>1</v>
      </c>
      <c r="AQ399" s="38"/>
      <c r="AR399" s="91"/>
      <c r="AS399" s="42">
        <f>SUM(AT399:AZ399)</f>
        <v>1</v>
      </c>
      <c r="AT399" s="48"/>
      <c r="AU399" s="48"/>
      <c r="AV399" s="48"/>
      <c r="AW399" s="48"/>
      <c r="AX399" s="48">
        <v>1</v>
      </c>
      <c r="AY399" s="48"/>
      <c r="AZ399" s="48"/>
      <c r="BA399" s="43">
        <f>IF((W399-SUM(AT399:AZ399))&lt;0,0,W399-SUM(AT399:AZ399))</f>
        <v>0</v>
      </c>
      <c r="BB399" s="49"/>
      <c r="BC399" s="47"/>
      <c r="BD399" s="47"/>
    </row>
    <row r="400" spans="1:56" ht="15" customHeight="1">
      <c r="A400" s="49" t="s">
        <v>1917</v>
      </c>
      <c r="B400" s="39" t="s">
        <v>64</v>
      </c>
      <c r="C400" s="46" t="s">
        <v>65</v>
      </c>
      <c r="D400" s="49" t="s">
        <v>68</v>
      </c>
      <c r="E400" s="49"/>
      <c r="F400" s="39">
        <v>0</v>
      </c>
      <c r="G400" s="75" t="s">
        <v>1918</v>
      </c>
      <c r="H400" s="50" t="s">
        <v>68</v>
      </c>
      <c r="I400" s="50" t="s">
        <v>1723</v>
      </c>
      <c r="J400" s="50" t="s">
        <v>1684</v>
      </c>
      <c r="K400" s="50" t="s">
        <v>358</v>
      </c>
      <c r="L400" s="47"/>
      <c r="M400" s="47"/>
      <c r="N400" s="47"/>
      <c r="O400" s="47"/>
      <c r="P400" s="47"/>
      <c r="Q400" s="47"/>
      <c r="R400" s="47"/>
      <c r="S400" s="47"/>
      <c r="T400" s="47"/>
      <c r="U400" s="47"/>
      <c r="V400" s="50" t="s">
        <v>359</v>
      </c>
      <c r="W400" s="74">
        <v>1</v>
      </c>
      <c r="X400" s="39">
        <f>MAX(0,$AK400-$W400-$Z400)</f>
        <v>0</v>
      </c>
      <c r="Y400" s="39"/>
      <c r="Z400" s="39"/>
      <c r="AA400" s="41">
        <v>0.15</v>
      </c>
      <c r="AB400" s="41">
        <f>IF(AND($X400&gt;0,ISNUMBER($AA400)),$X400*$AA400,0)</f>
        <v>0</v>
      </c>
      <c r="AK400" s="39">
        <f>SUM(AL400:AR400)</f>
        <v>1</v>
      </c>
      <c r="AL400" s="102">
        <v>1</v>
      </c>
      <c r="AM400" s="38"/>
      <c r="AN400" s="38"/>
      <c r="AO400" s="38"/>
      <c r="AP400" s="38"/>
      <c r="AQ400" s="38"/>
      <c r="AR400" s="91"/>
      <c r="AS400" s="42">
        <f>SUM(AT400:AZ400)</f>
        <v>1</v>
      </c>
      <c r="AT400" s="48">
        <v>1</v>
      </c>
      <c r="AU400" s="48"/>
      <c r="AV400" s="48"/>
      <c r="AW400" s="48"/>
      <c r="AX400" s="48"/>
      <c r="AY400" s="48"/>
      <c r="AZ400" s="48"/>
      <c r="BA400" s="43">
        <f>IF((W400-SUM(AT400:AZ400))&lt;0,0,W400-SUM(AT400:AZ400))</f>
        <v>0</v>
      </c>
      <c r="BB400" s="49"/>
      <c r="BC400" s="47"/>
      <c r="BD400" s="47"/>
    </row>
    <row r="401" spans="1:56" ht="15" customHeight="1">
      <c r="A401" s="49" t="s">
        <v>1919</v>
      </c>
      <c r="B401" s="39" t="s">
        <v>64</v>
      </c>
      <c r="C401" s="46" t="s">
        <v>83</v>
      </c>
      <c r="D401" s="49" t="s">
        <v>68</v>
      </c>
      <c r="E401" s="49"/>
      <c r="F401" s="39">
        <v>0</v>
      </c>
      <c r="G401" s="75" t="s">
        <v>1920</v>
      </c>
      <c r="H401" s="50" t="s">
        <v>68</v>
      </c>
      <c r="I401" s="50" t="s">
        <v>1921</v>
      </c>
      <c r="J401" s="50" t="s">
        <v>1922</v>
      </c>
      <c r="K401" s="50"/>
      <c r="L401" s="47"/>
      <c r="M401" s="47"/>
      <c r="N401" s="47"/>
      <c r="O401" s="47"/>
      <c r="P401" s="47"/>
      <c r="Q401" s="47"/>
      <c r="R401" s="47"/>
      <c r="S401" s="47"/>
      <c r="T401" s="47"/>
      <c r="U401" s="47"/>
      <c r="V401" s="50" t="s">
        <v>351</v>
      </c>
      <c r="W401" s="74">
        <v>0</v>
      </c>
      <c r="X401" s="39">
        <f>MAX(0,$AK401-$W401-$Z401)</f>
        <v>0</v>
      </c>
      <c r="Y401" s="39"/>
      <c r="Z401" s="39"/>
      <c r="AA401" s="41">
        <v>0.63</v>
      </c>
      <c r="AB401" s="41">
        <f>IF(AND($X401&gt;0,ISNUMBER($AA401)),$X401*$AA401,0)</f>
        <v>0</v>
      </c>
      <c r="AC401" s="59"/>
      <c r="AD401" s="59"/>
      <c r="AE401" s="59"/>
      <c r="AF401" s="59"/>
      <c r="AG401" s="59"/>
      <c r="AH401" s="59"/>
      <c r="AI401" s="59"/>
      <c r="AJ401" s="59"/>
      <c r="AK401" s="39">
        <f>SUM(AL401:AR401)</f>
        <v>0</v>
      </c>
      <c r="AL401" s="114"/>
      <c r="AM401" s="43"/>
      <c r="AN401" s="43"/>
      <c r="AO401" s="43"/>
      <c r="AP401" s="43"/>
      <c r="AQ401" s="43"/>
      <c r="AR401" s="116"/>
      <c r="AS401" s="42">
        <f>SUM(AT401:AZ401)</f>
        <v>0</v>
      </c>
      <c r="AT401" s="48"/>
      <c r="AU401" s="48"/>
      <c r="AV401" s="48"/>
      <c r="AW401" s="48"/>
      <c r="AX401" s="48"/>
      <c r="AY401" s="48"/>
      <c r="AZ401" s="48"/>
      <c r="BA401" s="43">
        <f>IF((W401-SUM(AT401:AZ401))&lt;0,0,W401-SUM(AT401:AZ401))</f>
        <v>0</v>
      </c>
      <c r="BB401" s="49"/>
      <c r="BC401" s="47"/>
      <c r="BD401" s="47"/>
    </row>
    <row r="402" spans="1:56" ht="15" customHeight="1">
      <c r="A402" s="49" t="s">
        <v>209</v>
      </c>
      <c r="B402" s="39" t="s">
        <v>112</v>
      </c>
      <c r="C402" s="46" t="s">
        <v>65</v>
      </c>
      <c r="D402" s="49" t="s">
        <v>178</v>
      </c>
      <c r="E402" s="49" t="s">
        <v>210</v>
      </c>
      <c r="F402" s="39">
        <v>2</v>
      </c>
      <c r="G402" s="75" t="s">
        <v>211</v>
      </c>
      <c r="H402" s="50" t="s">
        <v>78</v>
      </c>
      <c r="I402" s="50" t="s">
        <v>212</v>
      </c>
      <c r="J402" s="50" t="s">
        <v>125</v>
      </c>
      <c r="K402" s="50"/>
      <c r="L402" s="47"/>
      <c r="M402" s="47"/>
      <c r="N402" s="47"/>
      <c r="O402" s="68"/>
      <c r="P402" s="68"/>
      <c r="Q402" s="47"/>
      <c r="R402" s="47"/>
      <c r="S402" s="47"/>
      <c r="T402" s="68"/>
      <c r="U402" s="68"/>
      <c r="V402" s="50" t="s">
        <v>119</v>
      </c>
      <c r="W402" s="74">
        <v>1</v>
      </c>
      <c r="X402" s="39">
        <f>MAX(0,$AK402-$W402-$Z402)</f>
        <v>0</v>
      </c>
      <c r="Y402" s="39"/>
      <c r="Z402" s="39"/>
      <c r="AA402" s="41">
        <v>0.38</v>
      </c>
      <c r="AB402" s="41">
        <f>IF(AND($X402&gt;0,ISNUMBER($AA402)),$X402*$AA402,0)</f>
        <v>0</v>
      </c>
      <c r="AK402" s="39">
        <f>SUM(AL402:AR402)</f>
        <v>1</v>
      </c>
      <c r="AL402" s="90"/>
      <c r="AM402" s="38"/>
      <c r="AN402" s="38"/>
      <c r="AO402" s="38"/>
      <c r="AP402" s="97">
        <v>1</v>
      </c>
      <c r="AQ402" s="38"/>
      <c r="AR402" s="91"/>
      <c r="AS402" s="42">
        <f>SUM(AT402:AZ402)</f>
        <v>1</v>
      </c>
      <c r="AT402" s="48"/>
      <c r="AU402" s="48"/>
      <c r="AV402" s="48"/>
      <c r="AW402" s="48"/>
      <c r="AX402" s="48">
        <v>1</v>
      </c>
      <c r="AY402" s="48"/>
      <c r="AZ402" s="48"/>
      <c r="BA402" s="43">
        <f>IF((W402-SUM(AT402:AZ402))&lt;0,0,W402-SUM(AT402:AZ402))</f>
        <v>0</v>
      </c>
      <c r="BB402" s="49"/>
      <c r="BC402" s="47"/>
      <c r="BD402" s="47"/>
    </row>
    <row r="403" spans="1:56" ht="15" customHeight="1">
      <c r="A403" s="35" t="s">
        <v>1923</v>
      </c>
      <c r="B403" s="36" t="s">
        <v>112</v>
      </c>
      <c r="C403" s="38" t="s">
        <v>65</v>
      </c>
      <c r="D403" s="35" t="s">
        <v>84</v>
      </c>
      <c r="E403" s="35" t="s">
        <v>1924</v>
      </c>
      <c r="F403" s="35">
        <v>3</v>
      </c>
      <c r="G403" s="75" t="s">
        <v>1925</v>
      </c>
      <c r="H403" s="35" t="s">
        <v>172</v>
      </c>
      <c r="I403" s="35" t="s">
        <v>1926</v>
      </c>
      <c r="J403" s="35"/>
      <c r="K403" s="35"/>
      <c r="L403" s="37"/>
      <c r="M403" s="37"/>
      <c r="N403" s="37"/>
      <c r="O403" s="68"/>
      <c r="P403" s="68"/>
      <c r="Q403" s="37"/>
      <c r="R403" s="37"/>
      <c r="S403" s="37"/>
      <c r="T403" s="68"/>
      <c r="U403" s="68"/>
      <c r="V403" s="35" t="s">
        <v>223</v>
      </c>
      <c r="W403" s="74">
        <v>1</v>
      </c>
      <c r="X403" s="39">
        <f>MAX(0,$AK403-$W403-$Z403)</f>
        <v>0</v>
      </c>
      <c r="Y403" s="35"/>
      <c r="Z403" s="35"/>
      <c r="AA403" s="35">
        <v>0.28999999999999998</v>
      </c>
      <c r="AB403" s="41">
        <f>IF(AND($X403&gt;0,ISNUMBER($AA403)),$X403*$AA403,0)</f>
        <v>0</v>
      </c>
      <c r="AK403" s="39">
        <f>SUM(AL403:AR403)</f>
        <v>0</v>
      </c>
      <c r="AL403" s="90"/>
      <c r="AM403" s="38"/>
      <c r="AN403" s="38"/>
      <c r="AO403" s="38"/>
      <c r="AP403" s="38"/>
      <c r="AQ403" s="38"/>
      <c r="AR403" s="91"/>
      <c r="AS403" s="42">
        <f>SUM(AT403:AZ403)</f>
        <v>0</v>
      </c>
      <c r="AT403" s="48"/>
      <c r="AU403" s="48"/>
      <c r="AV403" s="48"/>
      <c r="AW403" s="48"/>
      <c r="AX403" s="48"/>
      <c r="AY403" s="48"/>
      <c r="AZ403" s="48"/>
      <c r="BA403" s="43">
        <f>IF((W403-SUM(AT403:AZ403))&lt;0,0,W403-SUM(AT403:AZ403))</f>
        <v>1</v>
      </c>
      <c r="BB403" s="35"/>
      <c r="BC403" s="37"/>
      <c r="BD403" s="37"/>
    </row>
    <row r="404" spans="1:56" ht="15" customHeight="1">
      <c r="A404" s="49" t="s">
        <v>1927</v>
      </c>
      <c r="B404" s="39" t="s">
        <v>112</v>
      </c>
      <c r="C404" s="46" t="s">
        <v>65</v>
      </c>
      <c r="D404" s="49" t="s">
        <v>68</v>
      </c>
      <c r="E404" s="49"/>
      <c r="F404" s="39">
        <v>0</v>
      </c>
      <c r="G404" s="75" t="s">
        <v>1928</v>
      </c>
      <c r="H404" s="50" t="s">
        <v>68</v>
      </c>
      <c r="I404" s="50" t="s">
        <v>1929</v>
      </c>
      <c r="J404" s="50"/>
      <c r="K404" s="50"/>
      <c r="L404" s="46"/>
      <c r="M404" s="46"/>
      <c r="N404" s="46"/>
      <c r="O404" s="46"/>
      <c r="P404" s="46"/>
      <c r="Q404" s="46"/>
      <c r="R404" s="46"/>
      <c r="S404" s="46"/>
      <c r="T404" s="46"/>
      <c r="U404" s="46"/>
      <c r="V404" s="50" t="s">
        <v>1471</v>
      </c>
      <c r="W404" s="74">
        <v>0</v>
      </c>
      <c r="X404" s="39">
        <f>MAX(0,$AK404-$W404-$Z404)</f>
        <v>0</v>
      </c>
      <c r="Y404" s="39"/>
      <c r="Z404" s="39"/>
      <c r="AA404" s="41">
        <v>0.4</v>
      </c>
      <c r="AB404" s="41">
        <f>IF(AND($X404&gt;0,ISNUMBER($AA404)),$X404*$AA404,0)</f>
        <v>0</v>
      </c>
      <c r="AC404" s="59"/>
      <c r="AD404" s="59"/>
      <c r="AE404" s="59"/>
      <c r="AF404" s="59"/>
      <c r="AG404" s="59"/>
      <c r="AH404" s="59"/>
      <c r="AI404" s="59"/>
      <c r="AJ404" s="59"/>
      <c r="AK404" s="39">
        <f>SUM(AL404:AR404)</f>
        <v>0</v>
      </c>
      <c r="AL404" s="114"/>
      <c r="AM404" s="43"/>
      <c r="AN404" s="43"/>
      <c r="AO404" s="43"/>
      <c r="AP404" s="43"/>
      <c r="AQ404" s="43"/>
      <c r="AR404" s="116"/>
      <c r="AS404" s="42">
        <f>SUM(AT404:AZ404)</f>
        <v>0</v>
      </c>
      <c r="AT404" s="48"/>
      <c r="AU404" s="48"/>
      <c r="AV404" s="48"/>
      <c r="AW404" s="48"/>
      <c r="AX404" s="48"/>
      <c r="AY404" s="48"/>
      <c r="AZ404" s="48"/>
      <c r="BA404" s="43">
        <f>IF((W404-SUM(AT404:AZ404))&lt;0,0,W404-SUM(AT404:AZ404))</f>
        <v>0</v>
      </c>
      <c r="BB404" s="49"/>
      <c r="BC404" s="47"/>
      <c r="BD404" s="53"/>
    </row>
    <row r="405" spans="1:56" ht="15" customHeight="1">
      <c r="A405" s="44" t="s">
        <v>1930</v>
      </c>
      <c r="B405" s="45" t="s">
        <v>112</v>
      </c>
      <c r="C405" s="46" t="s">
        <v>65</v>
      </c>
      <c r="D405" s="44" t="s">
        <v>256</v>
      </c>
      <c r="E405" s="44"/>
      <c r="F405" s="45">
        <v>2</v>
      </c>
      <c r="G405" s="75" t="s">
        <v>1931</v>
      </c>
      <c r="H405" s="44" t="s">
        <v>446</v>
      </c>
      <c r="I405" s="44" t="s">
        <v>1932</v>
      </c>
      <c r="J405" s="44" t="s">
        <v>1933</v>
      </c>
      <c r="K405" s="44"/>
      <c r="L405" s="47"/>
      <c r="M405" s="47"/>
      <c r="N405" s="47"/>
      <c r="O405" s="68"/>
      <c r="P405" s="68"/>
      <c r="Q405" s="47"/>
      <c r="R405" s="47"/>
      <c r="S405" s="47"/>
      <c r="T405" s="68"/>
      <c r="U405" s="68"/>
      <c r="V405" s="44" t="s">
        <v>568</v>
      </c>
      <c r="W405" s="74">
        <v>1</v>
      </c>
      <c r="X405" s="39">
        <f>MAX(0,$AK405-$W405-$Z405)</f>
        <v>0</v>
      </c>
      <c r="Y405" s="44"/>
      <c r="Z405" s="44"/>
      <c r="AA405" s="44">
        <v>0.28000000000000003</v>
      </c>
      <c r="AB405" s="44">
        <f>IF(AND($X405&gt;0,ISNUMBER($AA405)),$X405*$AA405,0)</f>
        <v>0</v>
      </c>
      <c r="AK405" s="39">
        <f>SUM(AL405:AR405)</f>
        <v>0</v>
      </c>
      <c r="AL405" s="90"/>
      <c r="AM405" s="38"/>
      <c r="AN405" s="38"/>
      <c r="AO405" s="38"/>
      <c r="AP405" s="38"/>
      <c r="AQ405" s="38"/>
      <c r="AR405" s="91"/>
      <c r="AS405" s="42">
        <f>SUM(AT405:AZ405)</f>
        <v>0</v>
      </c>
      <c r="AT405" s="48"/>
      <c r="AU405" s="48"/>
      <c r="AV405" s="48"/>
      <c r="AW405" s="48"/>
      <c r="AX405" s="48"/>
      <c r="AY405" s="48"/>
      <c r="AZ405" s="48"/>
      <c r="BA405" s="43">
        <f>IF((W405-SUM(AT405:AZ405))&lt;0,0,W405-SUM(AT405:AZ405))</f>
        <v>1</v>
      </c>
      <c r="BB405" s="44"/>
      <c r="BC405" s="47"/>
      <c r="BD405" s="47"/>
    </row>
    <row r="406" spans="1:56" ht="15" customHeight="1">
      <c r="A406" s="49" t="s">
        <v>1934</v>
      </c>
      <c r="B406" s="39" t="s">
        <v>112</v>
      </c>
      <c r="C406" s="46" t="s">
        <v>83</v>
      </c>
      <c r="D406" s="49" t="s">
        <v>84</v>
      </c>
      <c r="E406" s="49" t="s">
        <v>1935</v>
      </c>
      <c r="F406" s="39">
        <v>4</v>
      </c>
      <c r="G406" s="75" t="s">
        <v>1936</v>
      </c>
      <c r="H406" s="50" t="s">
        <v>794</v>
      </c>
      <c r="I406" s="50" t="s">
        <v>1937</v>
      </c>
      <c r="J406" s="50"/>
      <c r="K406" s="50"/>
      <c r="L406" s="46"/>
      <c r="M406" s="46"/>
      <c r="N406" s="46"/>
      <c r="O406" s="46"/>
      <c r="P406" s="46"/>
      <c r="Q406" s="46"/>
      <c r="R406" s="46"/>
      <c r="S406" s="46"/>
      <c r="T406" s="46"/>
      <c r="U406" s="46"/>
      <c r="V406" s="50" t="s">
        <v>523</v>
      </c>
      <c r="W406" s="74">
        <v>0</v>
      </c>
      <c r="X406" s="39">
        <f>MAX(0,$AK406-$W406-$Z406)</f>
        <v>0</v>
      </c>
      <c r="Y406" s="39"/>
      <c r="Z406" s="39"/>
      <c r="AA406" s="41">
        <v>0.23</v>
      </c>
      <c r="AB406" s="41">
        <f>IF(AND($X406&gt;0,ISNUMBER($AA406)),$X406*$AA406,0)</f>
        <v>0</v>
      </c>
      <c r="AC406" s="59"/>
      <c r="AD406" s="59"/>
      <c r="AE406" s="59"/>
      <c r="AF406" s="59"/>
      <c r="AG406" s="59"/>
      <c r="AH406" s="59"/>
      <c r="AI406" s="59"/>
      <c r="AJ406" s="59"/>
      <c r="AK406" s="39">
        <f>SUM(AL406:AR406)</f>
        <v>0</v>
      </c>
      <c r="AL406" s="114"/>
      <c r="AM406" s="43"/>
      <c r="AN406" s="43"/>
      <c r="AO406" s="43"/>
      <c r="AP406" s="43"/>
      <c r="AQ406" s="43"/>
      <c r="AR406" s="116"/>
      <c r="AS406" s="42">
        <f>SUM(AT406:AZ406)</f>
        <v>0</v>
      </c>
      <c r="AT406" s="48"/>
      <c r="AU406" s="48"/>
      <c r="AV406" s="48"/>
      <c r="AW406" s="48"/>
      <c r="AX406" s="48"/>
      <c r="AY406" s="48"/>
      <c r="AZ406" s="48"/>
      <c r="BA406" s="43">
        <f>IF((W406-SUM(AT406:AZ406))&lt;0,0,W406-SUM(AT406:AZ406))</f>
        <v>0</v>
      </c>
      <c r="BB406" s="49"/>
      <c r="BC406" s="47"/>
      <c r="BD406" s="134"/>
    </row>
    <row r="407" spans="1:56" ht="15" customHeight="1">
      <c r="A407" s="49" t="s">
        <v>1938</v>
      </c>
      <c r="B407" s="39" t="s">
        <v>112</v>
      </c>
      <c r="C407" s="46" t="s">
        <v>65</v>
      </c>
      <c r="D407" s="49" t="s">
        <v>76</v>
      </c>
      <c r="E407" s="49"/>
      <c r="F407" s="39">
        <v>3</v>
      </c>
      <c r="G407" s="75" t="s">
        <v>1939</v>
      </c>
      <c r="H407" s="50" t="s">
        <v>78</v>
      </c>
      <c r="I407" s="50" t="s">
        <v>1940</v>
      </c>
      <c r="J407" s="50" t="s">
        <v>1941</v>
      </c>
      <c r="K407" s="50"/>
      <c r="L407" s="47"/>
      <c r="M407" s="47"/>
      <c r="N407" s="47"/>
      <c r="O407" s="47"/>
      <c r="P407" s="47"/>
      <c r="Q407" s="47"/>
      <c r="R407" s="47"/>
      <c r="S407" s="47"/>
      <c r="T407" s="47"/>
      <c r="U407" s="47"/>
      <c r="V407" s="50" t="s">
        <v>240</v>
      </c>
      <c r="W407" s="74">
        <v>1</v>
      </c>
      <c r="X407" s="39">
        <f>MAX(0,$AK407-$W407-$Z407)</f>
        <v>0</v>
      </c>
      <c r="Y407" s="39"/>
      <c r="Z407" s="39"/>
      <c r="AA407" s="41">
        <v>1.46</v>
      </c>
      <c r="AB407" s="41">
        <f>IF(AND($X407&gt;0,ISNUMBER($AA407)),$X407*$AA407,0)</f>
        <v>0</v>
      </c>
      <c r="AK407" s="39">
        <f>SUM(AL407:AR407)</f>
        <v>1</v>
      </c>
      <c r="AL407" s="90"/>
      <c r="AM407" s="38"/>
      <c r="AN407" s="97">
        <v>1</v>
      </c>
      <c r="AO407" s="38"/>
      <c r="AP407" s="38"/>
      <c r="AQ407" s="38"/>
      <c r="AR407" s="91"/>
      <c r="AS407" s="42">
        <f>SUM(AT407:AZ407)</f>
        <v>1</v>
      </c>
      <c r="AT407" s="48"/>
      <c r="AU407" s="48"/>
      <c r="AV407" s="48">
        <v>1</v>
      </c>
      <c r="AW407" s="48"/>
      <c r="AX407" s="48"/>
      <c r="AY407" s="48"/>
      <c r="AZ407" s="48"/>
      <c r="BA407" s="43">
        <f>IF((W407-SUM(AT407:AZ407))&lt;0,0,W407-SUM(AT407:AZ407))</f>
        <v>0</v>
      </c>
      <c r="BB407" s="49"/>
      <c r="BC407" s="47"/>
      <c r="BD407" s="53"/>
    </row>
    <row r="408" spans="1:56" ht="15" customHeight="1">
      <c r="A408" s="49" t="s">
        <v>1942</v>
      </c>
      <c r="B408" s="39" t="s">
        <v>112</v>
      </c>
      <c r="C408" s="46" t="s">
        <v>83</v>
      </c>
      <c r="D408" s="49" t="s">
        <v>178</v>
      </c>
      <c r="E408" s="49" t="s">
        <v>128</v>
      </c>
      <c r="F408" s="39">
        <v>3</v>
      </c>
      <c r="G408" s="75" t="s">
        <v>1943</v>
      </c>
      <c r="H408" s="50" t="s">
        <v>87</v>
      </c>
      <c r="I408" s="50" t="s">
        <v>1944</v>
      </c>
      <c r="J408" s="50"/>
      <c r="K408" s="50"/>
      <c r="L408" s="47"/>
      <c r="M408" s="47"/>
      <c r="N408" s="47"/>
      <c r="O408" s="47"/>
      <c r="P408" s="47"/>
      <c r="Q408" s="47"/>
      <c r="R408" s="47"/>
      <c r="S408" s="47"/>
      <c r="T408" s="47"/>
      <c r="U408" s="47"/>
      <c r="V408" s="50" t="s">
        <v>1945</v>
      </c>
      <c r="W408" s="74">
        <v>0</v>
      </c>
      <c r="X408" s="39">
        <f>MAX(0,$AK408-$W408-$Z408)</f>
        <v>0</v>
      </c>
      <c r="Y408" s="39"/>
      <c r="Z408" s="39"/>
      <c r="AA408" s="41">
        <v>3.69</v>
      </c>
      <c r="AB408" s="41">
        <f>IF(AND($X408&gt;0,ISNUMBER($AA408)),$X408*$AA408,0)</f>
        <v>0</v>
      </c>
      <c r="AC408" s="59"/>
      <c r="AD408" s="59"/>
      <c r="AE408" s="59"/>
      <c r="AF408" s="59"/>
      <c r="AG408" s="59"/>
      <c r="AH408" s="59"/>
      <c r="AI408" s="59"/>
      <c r="AJ408" s="59"/>
      <c r="AK408" s="39">
        <f>SUM(AL408:AR408)</f>
        <v>0</v>
      </c>
      <c r="AL408" s="114"/>
      <c r="AM408" s="43"/>
      <c r="AN408" s="43"/>
      <c r="AO408" s="43"/>
      <c r="AP408" s="43"/>
      <c r="AQ408" s="43"/>
      <c r="AR408" s="116"/>
      <c r="AS408" s="42">
        <f>SUM(AT408:AZ408)</f>
        <v>0</v>
      </c>
      <c r="AT408" s="48"/>
      <c r="AU408" s="48"/>
      <c r="AV408" s="48"/>
      <c r="AW408" s="48"/>
      <c r="AX408" s="48"/>
      <c r="AY408" s="48"/>
      <c r="AZ408" s="48"/>
      <c r="BA408" s="43">
        <f>IF((W408-SUM(AT408:AZ408))&lt;0,0,W408-SUM(AT408:AZ408))</f>
        <v>0</v>
      </c>
      <c r="BB408" s="49"/>
      <c r="BC408" s="47"/>
      <c r="BD408" s="47"/>
    </row>
    <row r="409" spans="1:56" ht="15" customHeight="1">
      <c r="A409" s="49" t="s">
        <v>1946</v>
      </c>
      <c r="B409" s="39" t="s">
        <v>112</v>
      </c>
      <c r="C409" s="46" t="s">
        <v>65</v>
      </c>
      <c r="D409" s="49" t="s">
        <v>178</v>
      </c>
      <c r="E409" s="49" t="s">
        <v>608</v>
      </c>
      <c r="F409" s="39">
        <v>2</v>
      </c>
      <c r="G409" s="75" t="s">
        <v>1947</v>
      </c>
      <c r="H409" s="50" t="s">
        <v>100</v>
      </c>
      <c r="I409" s="50" t="s">
        <v>1948</v>
      </c>
      <c r="J409" s="50"/>
      <c r="K409" s="50"/>
      <c r="L409" s="108" t="s">
        <v>1949</v>
      </c>
      <c r="M409" s="46">
        <v>1</v>
      </c>
      <c r="N409" s="46">
        <v>0</v>
      </c>
      <c r="O409" s="68" t="s">
        <v>1950</v>
      </c>
      <c r="P409" s="110">
        <v>0.3</v>
      </c>
      <c r="Q409" s="47"/>
      <c r="R409" s="47"/>
      <c r="S409" s="47"/>
      <c r="T409" s="68"/>
      <c r="U409" s="68"/>
      <c r="V409" s="50" t="s">
        <v>588</v>
      </c>
      <c r="W409" s="74">
        <v>1</v>
      </c>
      <c r="X409" s="39">
        <f>MAX(0,$AK409-$W409-$Z409)</f>
        <v>0</v>
      </c>
      <c r="Y409" s="39"/>
      <c r="Z409" s="39"/>
      <c r="AA409" s="41">
        <v>0.3</v>
      </c>
      <c r="AB409" s="41">
        <f>IF(AND($X409&gt;0,ISNUMBER($AA409)),$X409*$AA409,0)</f>
        <v>0</v>
      </c>
      <c r="AK409" s="39">
        <f>SUM(AL409:AR409)</f>
        <v>0</v>
      </c>
      <c r="AL409" s="90"/>
      <c r="AM409" s="38"/>
      <c r="AN409" s="38"/>
      <c r="AO409" s="38"/>
      <c r="AP409" s="38"/>
      <c r="AQ409" s="38"/>
      <c r="AR409" s="91"/>
      <c r="AS409" s="42">
        <f>SUM(AT409:AZ409)</f>
        <v>0</v>
      </c>
      <c r="AT409" s="48"/>
      <c r="AU409" s="48"/>
      <c r="AV409" s="48"/>
      <c r="AW409" s="48"/>
      <c r="AX409" s="48"/>
      <c r="AY409" s="48"/>
      <c r="AZ409" s="48"/>
      <c r="BA409" s="43">
        <f>IF((W409-SUM(AT409:AZ409))&lt;0,0,W409-SUM(AT409:AZ409))</f>
        <v>1</v>
      </c>
      <c r="BB409" s="49"/>
      <c r="BC409" s="47"/>
      <c r="BD409" s="47"/>
    </row>
    <row r="410" spans="1:56" ht="15" customHeight="1">
      <c r="A410" s="49" t="s">
        <v>1951</v>
      </c>
      <c r="B410" s="39" t="s">
        <v>112</v>
      </c>
      <c r="C410" s="46" t="s">
        <v>65</v>
      </c>
      <c r="D410" s="49" t="s">
        <v>178</v>
      </c>
      <c r="E410" s="49" t="s">
        <v>400</v>
      </c>
      <c r="F410" s="39">
        <v>4</v>
      </c>
      <c r="G410" s="75" t="s">
        <v>1952</v>
      </c>
      <c r="H410" s="50" t="s">
        <v>1239</v>
      </c>
      <c r="I410" s="50" t="s">
        <v>1953</v>
      </c>
      <c r="J410" s="50" t="s">
        <v>1954</v>
      </c>
      <c r="K410" s="50"/>
      <c r="L410" s="47"/>
      <c r="M410" s="47"/>
      <c r="N410" s="47"/>
      <c r="O410" s="68"/>
      <c r="P410" s="68"/>
      <c r="Q410" s="47"/>
      <c r="R410" s="47"/>
      <c r="S410" s="47"/>
      <c r="T410" s="68"/>
      <c r="U410" s="68"/>
      <c r="V410" s="50" t="s">
        <v>1955</v>
      </c>
      <c r="W410" s="74">
        <v>1</v>
      </c>
      <c r="X410" s="39">
        <f>MAX(0,$AK410-$W410-$Z410)</f>
        <v>0</v>
      </c>
      <c r="Y410" s="39"/>
      <c r="Z410" s="39"/>
      <c r="AA410" s="41">
        <v>4.3499999999999996</v>
      </c>
      <c r="AB410" s="41">
        <f>IF(AND($X410&gt;0,ISNUMBER($AA410)),$X410*$AA410,0)</f>
        <v>0</v>
      </c>
      <c r="AD410" t="s">
        <v>1334</v>
      </c>
      <c r="AK410" s="39">
        <f>SUM(AL410:AR410)</f>
        <v>1</v>
      </c>
      <c r="AL410" s="90"/>
      <c r="AM410" s="99">
        <v>1</v>
      </c>
      <c r="AN410" s="38"/>
      <c r="AO410" s="38"/>
      <c r="AP410" s="38"/>
      <c r="AQ410" s="38"/>
      <c r="AR410" s="91"/>
      <c r="AS410" s="42">
        <f>SUM(AT410:AZ410)</f>
        <v>1</v>
      </c>
      <c r="AT410" s="48"/>
      <c r="AU410" s="48">
        <v>1</v>
      </c>
      <c r="AV410" s="48"/>
      <c r="AW410" s="48"/>
      <c r="AX410" s="48"/>
      <c r="AY410" s="48"/>
      <c r="AZ410" s="48"/>
      <c r="BA410" s="43">
        <f>IF((W410-SUM(AT410:AZ410))&lt;0,0,W410-SUM(AT410:AZ410))</f>
        <v>0</v>
      </c>
      <c r="BB410" s="49"/>
      <c r="BC410" s="47"/>
      <c r="BD410" s="47"/>
    </row>
    <row r="411" spans="1:56" ht="15" customHeight="1">
      <c r="A411" s="49" t="s">
        <v>1956</v>
      </c>
      <c r="B411" s="39" t="s">
        <v>112</v>
      </c>
      <c r="C411" s="46" t="s">
        <v>65</v>
      </c>
      <c r="D411" s="49" t="s">
        <v>178</v>
      </c>
      <c r="E411" s="49" t="s">
        <v>608</v>
      </c>
      <c r="F411" s="39">
        <v>4</v>
      </c>
      <c r="G411" s="75" t="s">
        <v>1957</v>
      </c>
      <c r="H411" s="50" t="s">
        <v>446</v>
      </c>
      <c r="I411" s="50" t="s">
        <v>1958</v>
      </c>
      <c r="J411" s="50" t="s">
        <v>1959</v>
      </c>
      <c r="K411" s="50"/>
      <c r="L411" s="47"/>
      <c r="M411" s="47"/>
      <c r="N411" s="47"/>
      <c r="O411" s="68"/>
      <c r="P411" s="68"/>
      <c r="Q411" s="47"/>
      <c r="R411" s="47"/>
      <c r="S411" s="47"/>
      <c r="T411" s="68"/>
      <c r="U411" s="68"/>
      <c r="V411" s="50" t="s">
        <v>588</v>
      </c>
      <c r="W411" s="74">
        <v>1</v>
      </c>
      <c r="X411" s="39">
        <f>MAX(0,$AK411-$W411-$Z411)</f>
        <v>0</v>
      </c>
      <c r="Y411" s="39"/>
      <c r="Z411" s="39"/>
      <c r="AA411" s="41">
        <v>0.25</v>
      </c>
      <c r="AB411" s="41">
        <f>IF(AND($X411&gt;0,ISNUMBER($AA411)),$X411*$AA411,0)</f>
        <v>0</v>
      </c>
      <c r="AK411" s="39">
        <f>SUM(AL411:AR411)</f>
        <v>0</v>
      </c>
      <c r="AL411" s="90"/>
      <c r="AM411" s="38"/>
      <c r="AN411" s="38"/>
      <c r="AO411" s="38"/>
      <c r="AP411" s="38"/>
      <c r="AQ411" s="38"/>
      <c r="AR411" s="91"/>
      <c r="AS411" s="42">
        <f>SUM(AT411:AZ411)</f>
        <v>0</v>
      </c>
      <c r="AT411" s="48"/>
      <c r="AU411" s="48"/>
      <c r="AV411" s="48"/>
      <c r="AW411" s="48"/>
      <c r="AX411" s="48"/>
      <c r="AY411" s="48"/>
      <c r="AZ411" s="48"/>
      <c r="BA411" s="43">
        <f>IF((W411-SUM(AT411:AZ411))&lt;0,0,W411-SUM(AT411:AZ411))</f>
        <v>1</v>
      </c>
      <c r="BB411" s="49"/>
      <c r="BC411" s="47"/>
      <c r="BD411" s="47"/>
    </row>
    <row r="412" spans="1:56" ht="15" customHeight="1">
      <c r="A412" s="44" t="s">
        <v>1960</v>
      </c>
      <c r="B412" s="45" t="s">
        <v>112</v>
      </c>
      <c r="C412" s="46" t="s">
        <v>65</v>
      </c>
      <c r="D412" s="44" t="s">
        <v>76</v>
      </c>
      <c r="E412" s="44"/>
      <c r="F412" s="45">
        <v>2</v>
      </c>
      <c r="G412" s="75" t="s">
        <v>1961</v>
      </c>
      <c r="H412" s="44" t="s">
        <v>78</v>
      </c>
      <c r="I412" s="44" t="s">
        <v>1962</v>
      </c>
      <c r="J412" s="44"/>
      <c r="K412" s="44"/>
      <c r="L412" s="108"/>
      <c r="M412" s="46"/>
      <c r="N412" s="46"/>
      <c r="O412" s="68"/>
      <c r="P412" s="110"/>
      <c r="Q412" s="108"/>
      <c r="R412" s="46"/>
      <c r="S412" s="46"/>
      <c r="T412" s="68"/>
      <c r="U412" s="111"/>
      <c r="V412" s="44" t="s">
        <v>779</v>
      </c>
      <c r="W412" s="74">
        <v>0</v>
      </c>
      <c r="X412" s="39">
        <f>MAX(0,$AK412-$W412-$Z412)</f>
        <v>0</v>
      </c>
      <c r="Y412" s="44"/>
      <c r="Z412" s="44"/>
      <c r="AA412" s="44">
        <v>1.2</v>
      </c>
      <c r="AB412" s="44">
        <f>IF(AND($X412&gt;0,ISNUMBER($AA412)),$X412*$AA412,0)</f>
        <v>0</v>
      </c>
      <c r="AK412" s="39">
        <f>SUM(AL412:AR412)</f>
        <v>0</v>
      </c>
      <c r="AL412" s="90"/>
      <c r="AM412" s="38"/>
      <c r="AN412" s="38"/>
      <c r="AO412" s="38"/>
      <c r="AP412" s="38"/>
      <c r="AQ412" s="38"/>
      <c r="AR412" s="91"/>
      <c r="AS412" s="42">
        <f>SUM(AT412:AZ412)</f>
        <v>0</v>
      </c>
      <c r="AT412" s="48"/>
      <c r="AU412" s="48"/>
      <c r="AV412" s="48"/>
      <c r="AW412" s="48"/>
      <c r="AX412" s="48"/>
      <c r="AY412" s="48"/>
      <c r="AZ412" s="48"/>
      <c r="BA412" s="43">
        <f>IF((W412-SUM(AT412:AZ412))&lt;0,0,W412-SUM(AT412:AZ412))</f>
        <v>0</v>
      </c>
      <c r="BB412" s="44"/>
      <c r="BC412" s="47"/>
      <c r="BD412" s="47"/>
    </row>
    <row r="413" spans="1:56" ht="15" customHeight="1">
      <c r="A413" s="49" t="s">
        <v>1963</v>
      </c>
      <c r="B413" s="39" t="s">
        <v>112</v>
      </c>
      <c r="C413" s="46" t="s">
        <v>65</v>
      </c>
      <c r="D413" s="49" t="s">
        <v>178</v>
      </c>
      <c r="E413" s="49" t="s">
        <v>1964</v>
      </c>
      <c r="F413" s="39">
        <v>4</v>
      </c>
      <c r="G413" s="75" t="s">
        <v>1965</v>
      </c>
      <c r="H413" s="50" t="s">
        <v>402</v>
      </c>
      <c r="I413" s="50" t="s">
        <v>1966</v>
      </c>
      <c r="J413" s="50" t="s">
        <v>1967</v>
      </c>
      <c r="K413" s="50" t="s">
        <v>125</v>
      </c>
      <c r="L413" s="47"/>
      <c r="M413" s="47"/>
      <c r="N413" s="47">
        <v>1</v>
      </c>
      <c r="O413" s="47"/>
      <c r="P413" s="47"/>
      <c r="Q413" s="47"/>
      <c r="R413" s="47"/>
      <c r="S413" s="47"/>
      <c r="T413" s="47"/>
      <c r="U413" s="47"/>
      <c r="V413" s="50" t="s">
        <v>1688</v>
      </c>
      <c r="W413" s="74">
        <v>1</v>
      </c>
      <c r="X413" s="39">
        <f>MAX(0,$AK413-$W413-$Z413)</f>
        <v>0</v>
      </c>
      <c r="Y413" s="39"/>
      <c r="Z413" s="39"/>
      <c r="AA413" s="41">
        <v>29.43</v>
      </c>
      <c r="AB413" s="41">
        <f>IF(AND($X413&gt;0,ISNUMBER($AA413)),$X413*$AA413,0)</f>
        <v>0</v>
      </c>
      <c r="AK413" s="39">
        <f>SUM(AL413:AR413)</f>
        <v>1</v>
      </c>
      <c r="AL413" s="90"/>
      <c r="AM413" s="38"/>
      <c r="AN413" s="97">
        <v>1</v>
      </c>
      <c r="AO413" s="38"/>
      <c r="AP413" s="38"/>
      <c r="AQ413" s="38"/>
      <c r="AR413" s="91"/>
      <c r="AS413" s="42">
        <f>SUM(AT413:AZ413)</f>
        <v>1</v>
      </c>
      <c r="AT413" s="48"/>
      <c r="AU413" s="48"/>
      <c r="AV413" s="48">
        <v>1</v>
      </c>
      <c r="AW413" s="48"/>
      <c r="AX413" s="48"/>
      <c r="AY413" s="48"/>
      <c r="AZ413" s="48"/>
      <c r="BA413" s="43">
        <f>IF((W413-SUM(AT413:AZ413))&lt;0,0,W413-SUM(AT413:AZ413))</f>
        <v>0</v>
      </c>
      <c r="BB413" s="49"/>
      <c r="BC413" s="47"/>
      <c r="BD413" s="47"/>
    </row>
    <row r="414" spans="1:56" ht="15" customHeight="1">
      <c r="A414" s="49" t="s">
        <v>1968</v>
      </c>
      <c r="B414" s="39" t="s">
        <v>112</v>
      </c>
      <c r="C414" s="46" t="s">
        <v>65</v>
      </c>
      <c r="D414" s="49" t="s">
        <v>84</v>
      </c>
      <c r="E414" s="49" t="s">
        <v>1969</v>
      </c>
      <c r="F414" s="39">
        <v>5</v>
      </c>
      <c r="G414" s="75" t="s">
        <v>1970</v>
      </c>
      <c r="H414" s="50" t="s">
        <v>446</v>
      </c>
      <c r="I414" s="50" t="s">
        <v>1971</v>
      </c>
      <c r="J414" s="50" t="s">
        <v>1972</v>
      </c>
      <c r="K414" s="50" t="s">
        <v>1973</v>
      </c>
      <c r="L414" s="46"/>
      <c r="M414" s="46"/>
      <c r="N414" s="46"/>
      <c r="O414" s="46"/>
      <c r="P414" s="46"/>
      <c r="Q414" s="46"/>
      <c r="R414" s="46"/>
      <c r="S414" s="46"/>
      <c r="T414" s="46"/>
      <c r="U414" s="46"/>
      <c r="V414" s="50" t="s">
        <v>1856</v>
      </c>
      <c r="W414" s="74">
        <v>1</v>
      </c>
      <c r="X414" s="39">
        <f>MAX(0,$AK414-$W414-$Z414)</f>
        <v>0</v>
      </c>
      <c r="Y414" s="39"/>
      <c r="Z414" s="39"/>
      <c r="AA414" s="41">
        <v>0.62</v>
      </c>
      <c r="AB414" s="41">
        <f>IF(AND($X414&gt;0,ISNUMBER($AA414)),$X414*$AA414,0)</f>
        <v>0</v>
      </c>
      <c r="AK414" s="39">
        <f>SUM(AL414:AR414)</f>
        <v>0</v>
      </c>
      <c r="AL414" s="90"/>
      <c r="AM414" s="38"/>
      <c r="AN414" s="38"/>
      <c r="AO414" s="38"/>
      <c r="AP414" s="38"/>
      <c r="AQ414" s="38"/>
      <c r="AR414" s="91"/>
      <c r="AS414" s="42">
        <f>SUM(AT414:AZ414)</f>
        <v>0</v>
      </c>
      <c r="AT414" s="48"/>
      <c r="AU414" s="48"/>
      <c r="AV414" s="48"/>
      <c r="AW414" s="48"/>
      <c r="AX414" s="48"/>
      <c r="AY414" s="48"/>
      <c r="AZ414" s="48"/>
      <c r="BA414" s="43">
        <f>IF((W414-SUM(AT414:AZ414))&lt;0,0,W414-SUM(AT414:AZ414))</f>
        <v>1</v>
      </c>
      <c r="BB414" s="49"/>
      <c r="BC414" s="47"/>
      <c r="BD414" s="47"/>
    </row>
    <row r="415" spans="1:56" ht="15" customHeight="1">
      <c r="A415" s="44" t="s">
        <v>1974</v>
      </c>
      <c r="B415" s="45" t="s">
        <v>112</v>
      </c>
      <c r="C415" s="46" t="s">
        <v>65</v>
      </c>
      <c r="D415" s="44" t="s">
        <v>178</v>
      </c>
      <c r="E415" s="44" t="s">
        <v>1975</v>
      </c>
      <c r="F415" s="45">
        <v>3</v>
      </c>
      <c r="G415" s="75" t="s">
        <v>1976</v>
      </c>
      <c r="H415" s="44" t="s">
        <v>679</v>
      </c>
      <c r="I415" s="44" t="s">
        <v>1977</v>
      </c>
      <c r="J415" s="44" t="s">
        <v>1978</v>
      </c>
      <c r="K415" s="44"/>
      <c r="L415" s="47"/>
      <c r="M415" s="47"/>
      <c r="N415" s="47"/>
      <c r="O415" s="68"/>
      <c r="P415" s="68"/>
      <c r="Q415" s="47"/>
      <c r="R415" s="47"/>
      <c r="S415" s="47"/>
      <c r="T415" s="68"/>
      <c r="U415" s="68"/>
      <c r="V415" s="44" t="s">
        <v>167</v>
      </c>
      <c r="W415" s="74">
        <v>1</v>
      </c>
      <c r="X415" s="39">
        <f>MAX(0,$AK415-$W415-$Z415)</f>
        <v>0</v>
      </c>
      <c r="Y415" s="44"/>
      <c r="Z415" s="44"/>
      <c r="AA415" s="44">
        <v>0.2</v>
      </c>
      <c r="AB415" s="44">
        <f>IF(AND($X415&gt;0,ISNUMBER($AA415)),$X415*$AA415,0)</f>
        <v>0</v>
      </c>
      <c r="AK415" s="39">
        <f>SUM(AL415:AR415)</f>
        <v>0</v>
      </c>
      <c r="AL415" s="90"/>
      <c r="AM415" s="38"/>
      <c r="AN415" s="38"/>
      <c r="AO415" s="38"/>
      <c r="AP415" s="38"/>
      <c r="AQ415" s="38"/>
      <c r="AR415" s="91"/>
      <c r="AS415" s="42">
        <f>SUM(AT415:AZ415)</f>
        <v>0</v>
      </c>
      <c r="AT415" s="48"/>
      <c r="AU415" s="48"/>
      <c r="AV415" s="48"/>
      <c r="AW415" s="48"/>
      <c r="AX415" s="48"/>
      <c r="AY415" s="48"/>
      <c r="AZ415" s="48"/>
      <c r="BA415" s="43">
        <f>IF((W415-SUM(AT415:AZ415))&lt;0,0,W415-SUM(AT415:AZ415))</f>
        <v>1</v>
      </c>
      <c r="BB415" s="44"/>
      <c r="BC415" s="47"/>
      <c r="BD415" s="47"/>
    </row>
    <row r="416" spans="1:56" ht="15" customHeight="1">
      <c r="A416" s="49" t="s">
        <v>1979</v>
      </c>
      <c r="B416" s="39" t="s">
        <v>112</v>
      </c>
      <c r="C416" s="46" t="s">
        <v>65</v>
      </c>
      <c r="D416" s="49" t="s">
        <v>178</v>
      </c>
      <c r="E416" s="49" t="s">
        <v>608</v>
      </c>
      <c r="F416" s="39">
        <v>5</v>
      </c>
      <c r="G416" s="75" t="s">
        <v>1980</v>
      </c>
      <c r="H416" s="50" t="s">
        <v>446</v>
      </c>
      <c r="I416" s="50" t="s">
        <v>1981</v>
      </c>
      <c r="J416" s="50" t="s">
        <v>1959</v>
      </c>
      <c r="K416" s="50"/>
      <c r="L416" s="47"/>
      <c r="M416" s="47"/>
      <c r="N416" s="47"/>
      <c r="O416" s="68"/>
      <c r="P416" s="68"/>
      <c r="Q416" s="47"/>
      <c r="R416" s="47"/>
      <c r="S416" s="47"/>
      <c r="T416" s="68"/>
      <c r="U416" s="68"/>
      <c r="V416" s="50" t="s">
        <v>588</v>
      </c>
      <c r="W416" s="74">
        <v>1</v>
      </c>
      <c r="X416" s="39">
        <f>MAX(0,$AK416-$W416-$Z416)</f>
        <v>0</v>
      </c>
      <c r="Y416" s="39"/>
      <c r="Z416" s="39"/>
      <c r="AA416" s="41">
        <v>0.39</v>
      </c>
      <c r="AB416" s="41">
        <f>IF(AND($X416&gt;0,ISNUMBER($AA416)),$X416*$AA416,0)</f>
        <v>0</v>
      </c>
      <c r="AK416" s="39">
        <f>SUM(AL416:AR416)</f>
        <v>0</v>
      </c>
      <c r="AL416" s="90"/>
      <c r="AM416" s="38"/>
      <c r="AN416" s="38"/>
      <c r="AO416" s="38"/>
      <c r="AP416" s="38"/>
      <c r="AQ416" s="38"/>
      <c r="AR416" s="91"/>
      <c r="AS416" s="42">
        <f>SUM(AT416:AZ416)</f>
        <v>0</v>
      </c>
      <c r="AT416" s="48"/>
      <c r="AU416" s="48"/>
      <c r="AV416" s="48"/>
      <c r="AW416" s="48"/>
      <c r="AX416" s="48"/>
      <c r="AY416" s="48"/>
      <c r="AZ416" s="48"/>
      <c r="BA416" s="43">
        <f>IF((W416-SUM(AT416:AZ416))&lt;0,0,W416-SUM(AT416:AZ416))</f>
        <v>1</v>
      </c>
      <c r="BB416" s="49"/>
      <c r="BC416" s="47"/>
      <c r="BD416" s="47"/>
    </row>
    <row r="417" spans="1:56" ht="15" customHeight="1">
      <c r="A417" s="49" t="s">
        <v>1982</v>
      </c>
      <c r="B417" s="39" t="s">
        <v>112</v>
      </c>
      <c r="C417" s="46" t="s">
        <v>65</v>
      </c>
      <c r="D417" s="49" t="s">
        <v>84</v>
      </c>
      <c r="E417" s="49" t="s">
        <v>1630</v>
      </c>
      <c r="F417" s="39">
        <v>7</v>
      </c>
      <c r="G417" s="75" t="s">
        <v>1983</v>
      </c>
      <c r="H417" s="50" t="s">
        <v>238</v>
      </c>
      <c r="I417" s="50" t="s">
        <v>1984</v>
      </c>
      <c r="J417" s="50"/>
      <c r="K417" s="50"/>
      <c r="L417" s="47"/>
      <c r="M417" s="47"/>
      <c r="N417" s="47"/>
      <c r="O417" s="47"/>
      <c r="P417" s="47"/>
      <c r="Q417" s="47"/>
      <c r="R417" s="47"/>
      <c r="S417" s="47"/>
      <c r="T417" s="47"/>
      <c r="U417" s="47"/>
      <c r="V417" s="50" t="s">
        <v>592</v>
      </c>
      <c r="W417" s="74">
        <v>1</v>
      </c>
      <c r="X417" s="39">
        <f>MAX(0,$AK417-$W417-$Z417)</f>
        <v>0</v>
      </c>
      <c r="Y417" s="39"/>
      <c r="Z417" s="39"/>
      <c r="AA417" s="41">
        <v>0.25</v>
      </c>
      <c r="AB417" s="41">
        <f>IF(AND($X417&gt;0,ISNUMBER($AA417)),$X417*$AA417,0)</f>
        <v>0</v>
      </c>
      <c r="AK417" s="39">
        <f>SUM(AL417:AR417)</f>
        <v>1</v>
      </c>
      <c r="AL417" s="90"/>
      <c r="AM417" s="38"/>
      <c r="AN417" s="38"/>
      <c r="AO417" s="98">
        <v>1</v>
      </c>
      <c r="AP417" s="38"/>
      <c r="AQ417" s="38"/>
      <c r="AR417" s="91"/>
      <c r="AS417" s="42">
        <f>SUM(AT417:AZ417)</f>
        <v>1</v>
      </c>
      <c r="AT417" s="48"/>
      <c r="AU417" s="48"/>
      <c r="AV417" s="48"/>
      <c r="AW417" s="48">
        <v>1</v>
      </c>
      <c r="AX417" s="48"/>
      <c r="AY417" s="48"/>
      <c r="AZ417" s="48"/>
      <c r="BA417" s="43">
        <f>IF((W417-SUM(AT417:AZ417))&lt;0,0,W417-SUM(AT417:AZ417))</f>
        <v>0</v>
      </c>
      <c r="BB417" s="49"/>
      <c r="BC417" s="47"/>
      <c r="BD417" s="47"/>
    </row>
    <row r="418" spans="1:56" ht="15" customHeight="1">
      <c r="A418" s="35" t="s">
        <v>1985</v>
      </c>
      <c r="B418" s="36" t="s">
        <v>112</v>
      </c>
      <c r="C418" s="38" t="s">
        <v>65</v>
      </c>
      <c r="D418" s="35" t="s">
        <v>178</v>
      </c>
      <c r="E418" s="35" t="s">
        <v>1986</v>
      </c>
      <c r="F418" s="35">
        <v>4</v>
      </c>
      <c r="G418" s="75" t="s">
        <v>1987</v>
      </c>
      <c r="H418" s="35" t="s">
        <v>100</v>
      </c>
      <c r="I418" s="35" t="s">
        <v>1988</v>
      </c>
      <c r="J418" s="35" t="s">
        <v>1989</v>
      </c>
      <c r="K418" s="35" t="s">
        <v>1990</v>
      </c>
      <c r="L418" s="37"/>
      <c r="M418" s="37"/>
      <c r="N418" s="37"/>
      <c r="O418" s="68"/>
      <c r="P418" s="68"/>
      <c r="Q418" s="37"/>
      <c r="R418" s="37"/>
      <c r="S418" s="37"/>
      <c r="T418" s="68"/>
      <c r="U418" s="68"/>
      <c r="V418" s="35" t="s">
        <v>223</v>
      </c>
      <c r="W418" s="74">
        <v>1</v>
      </c>
      <c r="X418" s="39">
        <f>MAX(0,$AK418-$W418-$Z418)</f>
        <v>0</v>
      </c>
      <c r="Y418" s="35"/>
      <c r="Z418" s="35"/>
      <c r="AA418" s="35">
        <v>0.32</v>
      </c>
      <c r="AB418" s="41">
        <f>IF(AND($X418&gt;0,ISNUMBER($AA418)),$X418*$AA418,0)</f>
        <v>0</v>
      </c>
      <c r="AK418" s="39">
        <f>SUM(AL418:AR418)</f>
        <v>1</v>
      </c>
      <c r="AL418" s="90"/>
      <c r="AM418" s="38"/>
      <c r="AN418" s="97">
        <v>1</v>
      </c>
      <c r="AO418" s="38"/>
      <c r="AP418" s="38"/>
      <c r="AQ418" s="38"/>
      <c r="AR418" s="91"/>
      <c r="AS418" s="42">
        <f>SUM(AT418:AZ418)</f>
        <v>1</v>
      </c>
      <c r="AT418" s="48"/>
      <c r="AU418" s="48"/>
      <c r="AV418" s="48">
        <v>1</v>
      </c>
      <c r="AW418" s="48"/>
      <c r="AX418" s="48"/>
      <c r="AY418" s="48"/>
      <c r="AZ418" s="48"/>
      <c r="BA418" s="43">
        <f>IF((W418-SUM(AT418:AZ418))&lt;0,0,W418-SUM(AT418:AZ418))</f>
        <v>0</v>
      </c>
      <c r="BB418" s="35"/>
      <c r="BC418" s="37"/>
      <c r="BD418" s="37"/>
    </row>
    <row r="419" spans="1:56" ht="15" customHeight="1">
      <c r="A419" s="49" t="s">
        <v>1991</v>
      </c>
      <c r="B419" s="39" t="s">
        <v>112</v>
      </c>
      <c r="C419" s="46" t="s">
        <v>65</v>
      </c>
      <c r="D419" s="49" t="s">
        <v>178</v>
      </c>
      <c r="E419" s="49" t="s">
        <v>1992</v>
      </c>
      <c r="F419" s="39">
        <v>5</v>
      </c>
      <c r="G419" s="75" t="s">
        <v>1993</v>
      </c>
      <c r="H419" s="50" t="s">
        <v>679</v>
      </c>
      <c r="I419" s="50" t="s">
        <v>1994</v>
      </c>
      <c r="J419" s="50" t="s">
        <v>1995</v>
      </c>
      <c r="K419" s="50" t="s">
        <v>415</v>
      </c>
      <c r="L419" s="47"/>
      <c r="M419" s="47"/>
      <c r="N419" s="47"/>
      <c r="O419" s="47"/>
      <c r="P419" s="47"/>
      <c r="Q419" s="47"/>
      <c r="R419" s="47"/>
      <c r="S419" s="47"/>
      <c r="T419" s="47"/>
      <c r="U419" s="47"/>
      <c r="V419" s="50" t="s">
        <v>1216</v>
      </c>
      <c r="W419" s="74">
        <v>1</v>
      </c>
      <c r="X419" s="39">
        <f>MAX(0,$AK419-$W419-$Z419)</f>
        <v>0</v>
      </c>
      <c r="Y419" s="39"/>
      <c r="Z419" s="39"/>
      <c r="AA419" s="41">
        <v>3.68</v>
      </c>
      <c r="AB419" s="41">
        <f>IF(AND($X419&gt;0,ISNUMBER($AA419)),$X419*$AA419,0)</f>
        <v>0</v>
      </c>
      <c r="AK419" s="39">
        <f>SUM(AL419:AR419)</f>
        <v>1</v>
      </c>
      <c r="AL419" s="90"/>
      <c r="AM419" s="38"/>
      <c r="AN419" s="38"/>
      <c r="AO419" s="97">
        <v>1</v>
      </c>
      <c r="AP419" s="38"/>
      <c r="AQ419" s="38"/>
      <c r="AR419" s="91"/>
      <c r="AS419" s="42">
        <f>SUM(AT419:AZ419)</f>
        <v>1</v>
      </c>
      <c r="AT419" s="48"/>
      <c r="AU419" s="48"/>
      <c r="AV419" s="48"/>
      <c r="AW419" s="48">
        <v>1</v>
      </c>
      <c r="AX419" s="48"/>
      <c r="AY419" s="48"/>
      <c r="AZ419" s="48"/>
      <c r="BA419" s="43">
        <f>IF((W419-SUM(AT419:AZ419))&lt;0,0,W419-SUM(AT419:AZ419))</f>
        <v>0</v>
      </c>
      <c r="BB419" s="49"/>
      <c r="BC419" s="47"/>
      <c r="BD419" s="47"/>
    </row>
    <row r="420" spans="1:56" ht="15" customHeight="1">
      <c r="A420" s="49" t="s">
        <v>1996</v>
      </c>
      <c r="B420" s="39" t="s">
        <v>112</v>
      </c>
      <c r="C420" s="46" t="s">
        <v>65</v>
      </c>
      <c r="D420" s="49" t="s">
        <v>134</v>
      </c>
      <c r="E420" s="49"/>
      <c r="F420" s="39">
        <v>2</v>
      </c>
      <c r="G420" s="75" t="s">
        <v>1997</v>
      </c>
      <c r="H420" s="50" t="s">
        <v>153</v>
      </c>
      <c r="I420" s="50" t="s">
        <v>1998</v>
      </c>
      <c r="J420" s="50"/>
      <c r="K420" s="50"/>
      <c r="L420" s="47"/>
      <c r="M420" s="47"/>
      <c r="N420" s="47"/>
      <c r="O420" s="47"/>
      <c r="P420" s="47"/>
      <c r="Q420" s="47"/>
      <c r="R420" s="47"/>
      <c r="S420" s="47"/>
      <c r="T420" s="47"/>
      <c r="U420" s="47"/>
      <c r="V420" s="50" t="s">
        <v>383</v>
      </c>
      <c r="W420" s="74">
        <v>0</v>
      </c>
      <c r="X420" s="39">
        <f>MAX(0,$AK420-$W420-$Z420)</f>
        <v>0</v>
      </c>
      <c r="Y420" s="39"/>
      <c r="Z420" s="39"/>
      <c r="AA420" s="41">
        <v>1.47</v>
      </c>
      <c r="AB420" s="41">
        <f>IF(AND($X420&gt;0,ISNUMBER($AA420)),$X420*$AA420,0)</f>
        <v>0</v>
      </c>
      <c r="AC420" s="59"/>
      <c r="AD420" s="59"/>
      <c r="AE420" s="59"/>
      <c r="AF420" s="59"/>
      <c r="AG420" s="59"/>
      <c r="AH420" s="59"/>
      <c r="AI420" s="59"/>
      <c r="AJ420" s="59"/>
      <c r="AK420" s="39">
        <f>SUM(AL420:AR420)</f>
        <v>0</v>
      </c>
      <c r="AL420" s="114"/>
      <c r="AM420" s="43"/>
      <c r="AN420" s="43"/>
      <c r="AO420" s="43"/>
      <c r="AP420" s="43"/>
      <c r="AQ420" s="43"/>
      <c r="AR420" s="116"/>
      <c r="AS420" s="42">
        <f>SUM(AT420:AZ420)</f>
        <v>0</v>
      </c>
      <c r="AT420" s="48"/>
      <c r="AU420" s="48"/>
      <c r="AV420" s="48"/>
      <c r="AW420" s="48"/>
      <c r="AX420" s="48"/>
      <c r="AY420" s="48"/>
      <c r="AZ420" s="48"/>
      <c r="BA420" s="43">
        <f>IF((W420-SUM(AT420:AZ420))&lt;0,0,W420-SUM(AT420:AZ420))</f>
        <v>0</v>
      </c>
      <c r="BB420" s="49"/>
      <c r="BC420" s="47"/>
      <c r="BD420" s="47"/>
    </row>
    <row r="421" spans="1:56" ht="15" customHeight="1">
      <c r="A421" s="49" t="s">
        <v>1999</v>
      </c>
      <c r="B421" s="39" t="s">
        <v>112</v>
      </c>
      <c r="C421" s="46" t="s">
        <v>65</v>
      </c>
      <c r="D421" s="49" t="s">
        <v>84</v>
      </c>
      <c r="E421" s="49" t="s">
        <v>677</v>
      </c>
      <c r="F421" s="39">
        <v>2</v>
      </c>
      <c r="G421" s="75" t="s">
        <v>2000</v>
      </c>
      <c r="H421" s="50" t="s">
        <v>2001</v>
      </c>
      <c r="I421" s="50" t="s">
        <v>2002</v>
      </c>
      <c r="J421" s="50"/>
      <c r="K421" s="50"/>
      <c r="L421" s="47"/>
      <c r="M421" s="47"/>
      <c r="N421" s="47"/>
      <c r="O421" s="47"/>
      <c r="P421" s="47"/>
      <c r="Q421" s="47"/>
      <c r="R421" s="47"/>
      <c r="S421" s="47"/>
      <c r="T421" s="47"/>
      <c r="U421" s="47"/>
      <c r="V421" s="50" t="s">
        <v>119</v>
      </c>
      <c r="W421" s="74">
        <v>1</v>
      </c>
      <c r="X421" s="39">
        <f>MAX(0,$AK421-$W421-$Z421)</f>
        <v>0</v>
      </c>
      <c r="Y421" s="39"/>
      <c r="Z421" s="39"/>
      <c r="AA421" s="41">
        <v>0.28000000000000003</v>
      </c>
      <c r="AB421" s="41">
        <f>IF(AND($X421&gt;0,ISNUMBER($AA421)),$X421*$AA421,0)</f>
        <v>0</v>
      </c>
      <c r="AK421" s="39">
        <f>SUM(AL421:AR421)</f>
        <v>0</v>
      </c>
      <c r="AL421" s="90"/>
      <c r="AM421" s="38"/>
      <c r="AN421" s="38"/>
      <c r="AO421" s="38"/>
      <c r="AP421" s="38"/>
      <c r="AQ421" s="38"/>
      <c r="AR421" s="91"/>
      <c r="AS421" s="42">
        <f>SUM(AT421:AZ421)</f>
        <v>0</v>
      </c>
      <c r="AT421" s="48"/>
      <c r="AU421" s="48"/>
      <c r="AV421" s="48"/>
      <c r="AW421" s="48"/>
      <c r="AX421" s="48"/>
      <c r="AY421" s="48"/>
      <c r="AZ421" s="48"/>
      <c r="BA421" s="43">
        <f>IF((W421-SUM(AT421:AZ421))&lt;0,0,W421-SUM(AT421:AZ421))</f>
        <v>1</v>
      </c>
      <c r="BB421" s="49"/>
      <c r="BC421" s="47"/>
      <c r="BD421" s="47"/>
    </row>
    <row r="422" spans="1:56" ht="15" customHeight="1">
      <c r="A422" s="49" t="s">
        <v>2003</v>
      </c>
      <c r="B422" s="39" t="s">
        <v>112</v>
      </c>
      <c r="C422" s="46" t="s">
        <v>65</v>
      </c>
      <c r="D422" s="49" t="s">
        <v>84</v>
      </c>
      <c r="E422" s="49" t="s">
        <v>2004</v>
      </c>
      <c r="F422" s="39">
        <v>5</v>
      </c>
      <c r="G422" s="75" t="s">
        <v>2005</v>
      </c>
      <c r="H422" s="50" t="s">
        <v>78</v>
      </c>
      <c r="I422" s="50" t="s">
        <v>2006</v>
      </c>
      <c r="J422" s="50"/>
      <c r="K422" s="50"/>
      <c r="L422" s="47"/>
      <c r="M422" s="47"/>
      <c r="N422" s="47"/>
      <c r="O422" s="68"/>
      <c r="P422" s="68"/>
      <c r="Q422" s="47"/>
      <c r="R422" s="47"/>
      <c r="S422" s="47"/>
      <c r="T422" s="68"/>
      <c r="U422" s="68"/>
      <c r="V422" s="50" t="s">
        <v>145</v>
      </c>
      <c r="W422" s="74">
        <v>1</v>
      </c>
      <c r="X422" s="39">
        <f>MAX(0,$AK422-$W422-$Z422)</f>
        <v>0</v>
      </c>
      <c r="Y422" s="39"/>
      <c r="Z422" s="39"/>
      <c r="AA422" s="41">
        <v>0.06</v>
      </c>
      <c r="AB422" s="41">
        <f>IF(AND($X422&gt;0,ISNUMBER($AA422)),$X422*$AA422,0)</f>
        <v>0</v>
      </c>
      <c r="AK422" s="39">
        <f>SUM(AL422:AR422)</f>
        <v>0</v>
      </c>
      <c r="AL422" s="90"/>
      <c r="AM422" s="38"/>
      <c r="AN422" s="38"/>
      <c r="AO422" s="38"/>
      <c r="AP422" s="38"/>
      <c r="AQ422" s="38"/>
      <c r="AR422" s="91"/>
      <c r="AS422" s="42">
        <f>SUM(AT422:AZ422)</f>
        <v>0</v>
      </c>
      <c r="AT422" s="48"/>
      <c r="AU422" s="48"/>
      <c r="AV422" s="48"/>
      <c r="AW422" s="48"/>
      <c r="AX422" s="48"/>
      <c r="AY422" s="48"/>
      <c r="AZ422" s="48"/>
      <c r="BA422" s="43">
        <f>IF((W422-SUM(AT422:AZ422))&lt;0,0,W422-SUM(AT422:AZ422))</f>
        <v>1</v>
      </c>
      <c r="BB422" s="49"/>
      <c r="BC422" s="47"/>
      <c r="BD422" s="47"/>
    </row>
    <row r="423" spans="1:56" ht="15" customHeight="1">
      <c r="A423" s="49" t="s">
        <v>2007</v>
      </c>
      <c r="B423" s="39" t="s">
        <v>112</v>
      </c>
      <c r="C423" s="46" t="s">
        <v>83</v>
      </c>
      <c r="D423" s="49" t="s">
        <v>76</v>
      </c>
      <c r="E423" s="49"/>
      <c r="F423" s="39">
        <v>2</v>
      </c>
      <c r="G423" s="75" t="s">
        <v>2008</v>
      </c>
      <c r="H423" s="50" t="s">
        <v>87</v>
      </c>
      <c r="I423" s="50" t="s">
        <v>2009</v>
      </c>
      <c r="J423" s="50"/>
      <c r="K423" s="50"/>
      <c r="L423" s="47"/>
      <c r="M423" s="47"/>
      <c r="N423" s="47"/>
      <c r="O423" s="47"/>
      <c r="P423" s="47"/>
      <c r="Q423" s="47"/>
      <c r="R423" s="47"/>
      <c r="S423" s="47"/>
      <c r="T423" s="47"/>
      <c r="U423" s="47"/>
      <c r="V423" s="50" t="s">
        <v>217</v>
      </c>
      <c r="W423" s="74">
        <v>0</v>
      </c>
      <c r="X423" s="39">
        <f>MAX(0,$AK423-$W423-$Z423)</f>
        <v>0</v>
      </c>
      <c r="Y423" s="39"/>
      <c r="Z423" s="39"/>
      <c r="AA423" s="41">
        <v>4.87</v>
      </c>
      <c r="AB423" s="41">
        <f>IF(AND($X423&gt;0,ISNUMBER($AA423)),$X423*$AA423,0)</f>
        <v>0</v>
      </c>
      <c r="AC423" s="59"/>
      <c r="AD423" s="59"/>
      <c r="AE423" s="59"/>
      <c r="AF423" s="59"/>
      <c r="AG423" s="59"/>
      <c r="AH423" s="59"/>
      <c r="AI423" s="59"/>
      <c r="AJ423" s="59"/>
      <c r="AK423" s="39">
        <f>SUM(AL423:AR423)</f>
        <v>0</v>
      </c>
      <c r="AL423" s="114"/>
      <c r="AM423" s="43"/>
      <c r="AN423" s="43"/>
      <c r="AO423" s="43"/>
      <c r="AP423" s="43"/>
      <c r="AQ423" s="43"/>
      <c r="AR423" s="116"/>
      <c r="AS423" s="42">
        <f>SUM(AT423:AZ423)</f>
        <v>0</v>
      </c>
      <c r="AT423" s="48"/>
      <c r="AU423" s="48"/>
      <c r="AV423" s="48"/>
      <c r="AW423" s="48"/>
      <c r="AX423" s="48"/>
      <c r="AY423" s="48"/>
      <c r="AZ423" s="48"/>
      <c r="BA423" s="43">
        <f>IF((W423-SUM(AT423:AZ423))&lt;0,0,W423-SUM(AT423:AZ423))</f>
        <v>0</v>
      </c>
      <c r="BB423" s="49"/>
      <c r="BC423" s="47"/>
      <c r="BD423" s="47"/>
    </row>
    <row r="424" spans="1:56" ht="15" customHeight="1">
      <c r="A424" s="49" t="s">
        <v>2010</v>
      </c>
      <c r="B424" s="39" t="s">
        <v>112</v>
      </c>
      <c r="C424" s="46" t="s">
        <v>65</v>
      </c>
      <c r="D424" s="49" t="s">
        <v>105</v>
      </c>
      <c r="E424" s="49"/>
      <c r="F424" s="39">
        <v>2</v>
      </c>
      <c r="G424" s="75" t="s">
        <v>1890</v>
      </c>
      <c r="H424" s="50" t="s">
        <v>314</v>
      </c>
      <c r="I424" s="50" t="s">
        <v>2011</v>
      </c>
      <c r="J424" s="50"/>
      <c r="K424" s="50"/>
      <c r="L424" s="47"/>
      <c r="M424" s="47"/>
      <c r="N424" s="47"/>
      <c r="O424" s="47"/>
      <c r="P424" s="47"/>
      <c r="Q424" s="47"/>
      <c r="R424" s="47"/>
      <c r="S424" s="47"/>
      <c r="T424" s="47"/>
      <c r="U424" s="47"/>
      <c r="V424" s="50" t="s">
        <v>1023</v>
      </c>
      <c r="W424" s="74">
        <v>0</v>
      </c>
      <c r="X424" s="39">
        <f>MAX(0,$AK424-$W424-$Z424)</f>
        <v>0</v>
      </c>
      <c r="Y424" s="39"/>
      <c r="Z424" s="39"/>
      <c r="AA424" s="41">
        <v>0.52</v>
      </c>
      <c r="AB424" s="41">
        <f>IF(AND($X424&gt;0,ISNUMBER($AA424)),$X424*$AA424,0)</f>
        <v>0</v>
      </c>
      <c r="AC424" s="59"/>
      <c r="AD424" s="59"/>
      <c r="AE424" s="59"/>
      <c r="AF424" s="59"/>
      <c r="AG424" s="59"/>
      <c r="AH424" s="59"/>
      <c r="AI424" s="59"/>
      <c r="AJ424" s="59"/>
      <c r="AK424" s="39">
        <f>SUM(AL424:AR424)</f>
        <v>0</v>
      </c>
      <c r="AL424" s="114"/>
      <c r="AM424" s="43"/>
      <c r="AN424" s="43"/>
      <c r="AO424" s="43"/>
      <c r="AP424" s="43"/>
      <c r="AQ424" s="43"/>
      <c r="AR424" s="116"/>
      <c r="AS424" s="42">
        <f>SUM(AT424:AZ424)</f>
        <v>0</v>
      </c>
      <c r="AT424" s="48"/>
      <c r="AU424" s="48"/>
      <c r="AV424" s="48"/>
      <c r="AW424" s="48"/>
      <c r="AX424" s="48"/>
      <c r="AY424" s="48"/>
      <c r="AZ424" s="48"/>
      <c r="BA424" s="43">
        <f>IF((W424-SUM(AT424:AZ424))&lt;0,0,W424-SUM(AT424:AZ424))</f>
        <v>0</v>
      </c>
      <c r="BB424" s="49"/>
      <c r="BC424" s="47"/>
      <c r="BD424" s="53"/>
    </row>
    <row r="425" spans="1:56" ht="15" customHeight="1">
      <c r="A425" s="35" t="s">
        <v>2012</v>
      </c>
      <c r="B425" s="36" t="s">
        <v>112</v>
      </c>
      <c r="C425" s="38" t="s">
        <v>65</v>
      </c>
      <c r="D425" s="35" t="s">
        <v>134</v>
      </c>
      <c r="E425" s="35"/>
      <c r="F425" s="36">
        <v>4</v>
      </c>
      <c r="G425" s="75" t="s">
        <v>2013</v>
      </c>
      <c r="H425" s="35" t="s">
        <v>2014</v>
      </c>
      <c r="I425" s="35" t="s">
        <v>2015</v>
      </c>
      <c r="J425" s="35" t="s">
        <v>2016</v>
      </c>
      <c r="K425" s="35"/>
      <c r="L425" s="109" t="s">
        <v>2017</v>
      </c>
      <c r="M425" s="38">
        <v>1</v>
      </c>
      <c r="N425" s="38">
        <v>1</v>
      </c>
      <c r="O425" s="68" t="s">
        <v>2018</v>
      </c>
      <c r="P425" s="110">
        <v>0.32</v>
      </c>
      <c r="Q425" s="37"/>
      <c r="R425" s="37"/>
      <c r="S425" s="37"/>
      <c r="T425" s="68"/>
      <c r="U425" s="68"/>
      <c r="V425" s="35" t="s">
        <v>223</v>
      </c>
      <c r="W425" s="74">
        <v>3</v>
      </c>
      <c r="X425" s="39">
        <f>MAX(0,$AK425-$W425-$Z425)</f>
        <v>0</v>
      </c>
      <c r="Y425" s="35"/>
      <c r="Z425" s="35"/>
      <c r="AA425" s="40">
        <v>0.32</v>
      </c>
      <c r="AB425" s="41">
        <f>IF(AND($X425&gt;0,ISNUMBER($AA425)),$X425*$AA425,0)</f>
        <v>0</v>
      </c>
      <c r="AC425" s="63"/>
      <c r="AK425" s="39">
        <f>SUM(AL425:AR425)</f>
        <v>1</v>
      </c>
      <c r="AL425" s="103">
        <v>1</v>
      </c>
      <c r="AM425" s="38"/>
      <c r="AN425" s="38"/>
      <c r="AO425" s="38"/>
      <c r="AP425" s="38"/>
      <c r="AQ425" s="38"/>
      <c r="AR425" s="91"/>
      <c r="AS425" s="42">
        <f>SUM(AT425:AZ425)</f>
        <v>1</v>
      </c>
      <c r="AT425" s="48">
        <v>1</v>
      </c>
      <c r="AU425" s="48"/>
      <c r="AV425" s="48"/>
      <c r="AW425" s="48"/>
      <c r="AX425" s="48"/>
      <c r="AY425" s="48"/>
      <c r="AZ425" s="48"/>
      <c r="BA425" s="43">
        <f>IF((W425-SUM(AT425:AZ425))&lt;0,0,W425-SUM(AT425:AZ425))</f>
        <v>2</v>
      </c>
      <c r="BB425" s="35"/>
      <c r="BC425" s="37"/>
      <c r="BD425" s="37"/>
    </row>
    <row r="426" spans="1:56" ht="15" customHeight="1">
      <c r="A426" s="49" t="s">
        <v>2019</v>
      </c>
      <c r="B426" s="39" t="s">
        <v>112</v>
      </c>
      <c r="C426" s="46" t="s">
        <v>65</v>
      </c>
      <c r="D426" s="49" t="s">
        <v>178</v>
      </c>
      <c r="E426" s="49" t="s">
        <v>2020</v>
      </c>
      <c r="F426" s="39">
        <v>3</v>
      </c>
      <c r="G426" s="75" t="s">
        <v>2021</v>
      </c>
      <c r="H426" s="50" t="s">
        <v>293</v>
      </c>
      <c r="I426" s="50" t="s">
        <v>164</v>
      </c>
      <c r="J426" s="50" t="s">
        <v>2022</v>
      </c>
      <c r="K426" s="50"/>
      <c r="L426" s="47"/>
      <c r="M426" s="47"/>
      <c r="N426" s="47"/>
      <c r="O426" s="47"/>
      <c r="P426" s="47"/>
      <c r="Q426" s="47"/>
      <c r="R426" s="47"/>
      <c r="S426" s="47"/>
      <c r="T426" s="47"/>
      <c r="U426" s="47"/>
      <c r="V426" s="50" t="s">
        <v>432</v>
      </c>
      <c r="W426" s="74">
        <v>0</v>
      </c>
      <c r="X426" s="39">
        <f>MAX(0,$AK426-$W426-$Z426)</f>
        <v>0</v>
      </c>
      <c r="Y426" s="39"/>
      <c r="Z426" s="39"/>
      <c r="AA426" s="41">
        <v>1.03</v>
      </c>
      <c r="AB426" s="41">
        <f>IF(AND($X426&gt;0,ISNUMBER($AA426)),$X426*$AA426,0)</f>
        <v>0</v>
      </c>
      <c r="AC426" s="59"/>
      <c r="AD426" s="59"/>
      <c r="AE426" s="59"/>
      <c r="AF426" s="59"/>
      <c r="AG426" s="59"/>
      <c r="AH426" s="59"/>
      <c r="AI426" s="59"/>
      <c r="AJ426" s="59"/>
      <c r="AK426" s="39">
        <f>SUM(AL426:AR426)</f>
        <v>0</v>
      </c>
      <c r="AL426" s="114"/>
      <c r="AM426" s="43"/>
      <c r="AN426" s="43"/>
      <c r="AO426" s="43"/>
      <c r="AP426" s="43"/>
      <c r="AQ426" s="43"/>
      <c r="AR426" s="116"/>
      <c r="AS426" s="42">
        <f>SUM(AT426:AZ426)</f>
        <v>0</v>
      </c>
      <c r="AT426" s="48"/>
      <c r="AU426" s="48"/>
      <c r="AV426" s="48"/>
      <c r="AW426" s="48"/>
      <c r="AX426" s="48"/>
      <c r="AY426" s="48"/>
      <c r="AZ426" s="48"/>
      <c r="BA426" s="43">
        <f>IF((W426-SUM(AT426:AZ426))&lt;0,0,W426-SUM(AT426:AZ426))</f>
        <v>0</v>
      </c>
      <c r="BB426" s="49"/>
      <c r="BC426" s="47"/>
      <c r="BD426" s="47"/>
    </row>
    <row r="427" spans="1:56" ht="15" customHeight="1">
      <c r="A427" s="49" t="s">
        <v>2023</v>
      </c>
      <c r="B427" s="39" t="s">
        <v>112</v>
      </c>
      <c r="C427" s="46" t="s">
        <v>83</v>
      </c>
      <c r="D427" s="49" t="s">
        <v>68</v>
      </c>
      <c r="E427" s="49"/>
      <c r="F427" s="39">
        <v>0</v>
      </c>
      <c r="G427" s="75" t="s">
        <v>2024</v>
      </c>
      <c r="H427" s="50" t="s">
        <v>87</v>
      </c>
      <c r="I427" s="50" t="s">
        <v>2025</v>
      </c>
      <c r="J427" s="50"/>
      <c r="K427" s="50"/>
      <c r="L427" s="47"/>
      <c r="M427" s="47"/>
      <c r="N427" s="47"/>
      <c r="O427" s="47"/>
      <c r="P427" s="47"/>
      <c r="Q427" s="47"/>
      <c r="R427" s="47"/>
      <c r="S427" s="47"/>
      <c r="T427" s="47"/>
      <c r="U427" s="47"/>
      <c r="V427" s="50" t="s">
        <v>635</v>
      </c>
      <c r="W427" s="74">
        <v>0</v>
      </c>
      <c r="X427" s="39">
        <f>MAX(0,$AK427-$W427-$Z427)</f>
        <v>0</v>
      </c>
      <c r="Y427" s="39"/>
      <c r="Z427" s="39"/>
      <c r="AA427" s="41">
        <v>4.74</v>
      </c>
      <c r="AB427" s="41">
        <f>IF(AND($X427&gt;0,ISNUMBER($AA427)),$X427*$AA427,0)</f>
        <v>0</v>
      </c>
      <c r="AC427" s="59"/>
      <c r="AD427" s="59"/>
      <c r="AE427" s="59"/>
      <c r="AF427" s="59"/>
      <c r="AG427" s="59"/>
      <c r="AH427" s="59"/>
      <c r="AI427" s="59"/>
      <c r="AJ427" s="59"/>
      <c r="AK427" s="39">
        <f>SUM(AL427:AR427)</f>
        <v>0</v>
      </c>
      <c r="AL427" s="114"/>
      <c r="AM427" s="43"/>
      <c r="AN427" s="43"/>
      <c r="AO427" s="43"/>
      <c r="AP427" s="43"/>
      <c r="AQ427" s="43"/>
      <c r="AR427" s="116"/>
      <c r="AS427" s="42">
        <f>SUM(AT427:AZ427)</f>
        <v>0</v>
      </c>
      <c r="AT427" s="48"/>
      <c r="AU427" s="48"/>
      <c r="AV427" s="48"/>
      <c r="AW427" s="48"/>
      <c r="AX427" s="48"/>
      <c r="AY427" s="48"/>
      <c r="AZ427" s="48"/>
      <c r="BA427" s="43">
        <f>IF((W427-SUM(AT427:AZ427))&lt;0,0,W427-SUM(AT427:AZ427))</f>
        <v>0</v>
      </c>
      <c r="BB427" s="49"/>
      <c r="BC427" s="47"/>
      <c r="BD427" s="47"/>
    </row>
    <row r="428" spans="1:56" ht="15" customHeight="1">
      <c r="A428" s="49" t="s">
        <v>2026</v>
      </c>
      <c r="B428" s="39" t="s">
        <v>112</v>
      </c>
      <c r="C428" s="46" t="s">
        <v>65</v>
      </c>
      <c r="D428" s="49" t="s">
        <v>84</v>
      </c>
      <c r="E428" s="49" t="s">
        <v>677</v>
      </c>
      <c r="F428" s="39">
        <v>3</v>
      </c>
      <c r="G428" s="75" t="s">
        <v>2027</v>
      </c>
      <c r="H428" s="50" t="s">
        <v>238</v>
      </c>
      <c r="I428" s="50" t="s">
        <v>2028</v>
      </c>
      <c r="J428" s="50"/>
      <c r="K428" s="50"/>
      <c r="L428" s="47"/>
      <c r="M428" s="47"/>
      <c r="N428" s="47"/>
      <c r="O428" s="68"/>
      <c r="P428" s="68"/>
      <c r="Q428" s="47"/>
      <c r="R428" s="47"/>
      <c r="S428" s="47"/>
      <c r="T428" s="68"/>
      <c r="U428" s="68"/>
      <c r="V428" s="50" t="s">
        <v>119</v>
      </c>
      <c r="W428" s="74">
        <v>2</v>
      </c>
      <c r="X428" s="39">
        <f>MAX(0,$AK428-$W428-$Z428)</f>
        <v>0</v>
      </c>
      <c r="Y428" s="39"/>
      <c r="Z428" s="39"/>
      <c r="AA428" s="41">
        <v>0.15</v>
      </c>
      <c r="AB428" s="41">
        <f>IF(AND($X428&gt;0,ISNUMBER($AA428)),$X428*$AA428,0)</f>
        <v>0</v>
      </c>
      <c r="AK428" s="39">
        <f>SUM(AL428:AR428)</f>
        <v>0</v>
      </c>
      <c r="AL428" s="90"/>
      <c r="AM428" s="38"/>
      <c r="AN428" s="38"/>
      <c r="AO428" s="38"/>
      <c r="AP428" s="38"/>
      <c r="AQ428" s="38"/>
      <c r="AR428" s="91"/>
      <c r="AS428" s="42">
        <f>SUM(AT428:AZ428)</f>
        <v>0</v>
      </c>
      <c r="AT428" s="48"/>
      <c r="AU428" s="48"/>
      <c r="AV428" s="48"/>
      <c r="AW428" s="48"/>
      <c r="AX428" s="48"/>
      <c r="AY428" s="48"/>
      <c r="AZ428" s="48"/>
      <c r="BA428" s="43">
        <f>IF((W428-SUM(AT428:AZ428))&lt;0,0,W428-SUM(AT428:AZ428))</f>
        <v>2</v>
      </c>
      <c r="BB428" s="49"/>
      <c r="BC428" s="47"/>
      <c r="BD428" s="47"/>
    </row>
    <row r="429" spans="1:56" ht="15" customHeight="1">
      <c r="A429" s="44" t="s">
        <v>2029</v>
      </c>
      <c r="B429" s="45" t="s">
        <v>112</v>
      </c>
      <c r="C429" s="46" t="s">
        <v>65</v>
      </c>
      <c r="D429" s="44" t="s">
        <v>84</v>
      </c>
      <c r="E429" s="44" t="s">
        <v>121</v>
      </c>
      <c r="F429" s="45">
        <v>4</v>
      </c>
      <c r="G429" s="75" t="s">
        <v>2030</v>
      </c>
      <c r="H429" s="44" t="s">
        <v>238</v>
      </c>
      <c r="I429" s="44" t="s">
        <v>933</v>
      </c>
      <c r="J429" s="44" t="s">
        <v>1978</v>
      </c>
      <c r="K429" s="44"/>
      <c r="L429" s="47"/>
      <c r="M429" s="47"/>
      <c r="N429" s="47"/>
      <c r="O429" s="68"/>
      <c r="P429" s="68"/>
      <c r="Q429" s="47"/>
      <c r="R429" s="47"/>
      <c r="S429" s="47"/>
      <c r="T429" s="68"/>
      <c r="U429" s="68"/>
      <c r="V429" s="44" t="s">
        <v>119</v>
      </c>
      <c r="W429" s="74">
        <v>1</v>
      </c>
      <c r="X429" s="39">
        <f>MAX(0,$AK429-$W429-$Z429)</f>
        <v>0</v>
      </c>
      <c r="Y429" s="44"/>
      <c r="Z429" s="44"/>
      <c r="AA429" s="44">
        <v>0.13</v>
      </c>
      <c r="AB429" s="44">
        <f>IF(AND($X429&gt;0,ISNUMBER($AA429)),$X429*$AA429,0)</f>
        <v>0</v>
      </c>
      <c r="AK429" s="39">
        <f>SUM(AL429:AR429)</f>
        <v>0</v>
      </c>
      <c r="AL429" s="90"/>
      <c r="AM429" s="38"/>
      <c r="AN429" s="38"/>
      <c r="AO429" s="38"/>
      <c r="AP429" s="38"/>
      <c r="AQ429" s="38"/>
      <c r="AR429" s="91"/>
      <c r="AS429" s="42">
        <f>SUM(AT429:AZ429)</f>
        <v>0</v>
      </c>
      <c r="AT429" s="48"/>
      <c r="AU429" s="48"/>
      <c r="AV429" s="48"/>
      <c r="AW429" s="48"/>
      <c r="AX429" s="48"/>
      <c r="AY429" s="48"/>
      <c r="AZ429" s="48"/>
      <c r="BA429" s="43">
        <f>IF((W429-SUM(AT429:AZ429))&lt;0,0,W429-SUM(AT429:AZ429))</f>
        <v>1</v>
      </c>
      <c r="BB429" s="44"/>
      <c r="BC429" s="47"/>
      <c r="BD429" s="47"/>
    </row>
    <row r="430" spans="1:56" ht="15" customHeight="1">
      <c r="A430" s="49" t="s">
        <v>2031</v>
      </c>
      <c r="B430" s="39" t="s">
        <v>112</v>
      </c>
      <c r="C430" s="46" t="s">
        <v>65</v>
      </c>
      <c r="D430" s="49" t="s">
        <v>178</v>
      </c>
      <c r="E430" s="49" t="s">
        <v>1237</v>
      </c>
      <c r="F430" s="39">
        <v>5</v>
      </c>
      <c r="G430" s="75" t="s">
        <v>2032</v>
      </c>
      <c r="H430" s="50" t="s">
        <v>402</v>
      </c>
      <c r="I430" s="50" t="s">
        <v>2033</v>
      </c>
      <c r="J430" s="50" t="s">
        <v>2034</v>
      </c>
      <c r="K430" s="50" t="s">
        <v>2035</v>
      </c>
      <c r="L430" s="47"/>
      <c r="M430" s="47"/>
      <c r="N430" s="47"/>
      <c r="O430" s="47"/>
      <c r="P430" s="47"/>
      <c r="Q430" s="47"/>
      <c r="R430" s="47"/>
      <c r="S430" s="47"/>
      <c r="T430" s="47"/>
      <c r="U430" s="47"/>
      <c r="V430" s="50" t="s">
        <v>204</v>
      </c>
      <c r="W430" s="74">
        <v>1</v>
      </c>
      <c r="X430" s="39">
        <f>MAX(0,$AK430-$W430-$Z430)</f>
        <v>0</v>
      </c>
      <c r="Y430" s="39"/>
      <c r="Z430" s="39"/>
      <c r="AA430" s="41">
        <v>6.15</v>
      </c>
      <c r="AB430" s="41">
        <f>IF(AND($X430&gt;0,ISNUMBER($AA430)),$X430*$AA430,0)</f>
        <v>0</v>
      </c>
      <c r="AK430" s="39">
        <f>SUM(AL430:AR430)</f>
        <v>1</v>
      </c>
      <c r="AL430" s="90"/>
      <c r="AM430" s="97">
        <v>1</v>
      </c>
      <c r="AN430" s="38"/>
      <c r="AO430" s="38"/>
      <c r="AP430" s="38"/>
      <c r="AQ430" s="38"/>
      <c r="AR430" s="91"/>
      <c r="AS430" s="42">
        <f>SUM(AT430:AZ430)</f>
        <v>1</v>
      </c>
      <c r="AT430" s="48"/>
      <c r="AU430" s="48">
        <v>1</v>
      </c>
      <c r="AV430" s="48"/>
      <c r="AW430" s="48"/>
      <c r="AX430" s="48"/>
      <c r="AY430" s="48"/>
      <c r="AZ430" s="48"/>
      <c r="BA430" s="43">
        <f>IF((W430-SUM(AT430:AZ430))&lt;0,0,W430-SUM(AT430:AZ430))</f>
        <v>0</v>
      </c>
      <c r="BB430" s="49"/>
      <c r="BC430" s="47"/>
      <c r="BD430" s="47"/>
    </row>
    <row r="431" spans="1:56" ht="15" customHeight="1">
      <c r="A431" s="49" t="s">
        <v>2036</v>
      </c>
      <c r="B431" s="39" t="s">
        <v>112</v>
      </c>
      <c r="C431" s="46" t="s">
        <v>65</v>
      </c>
      <c r="D431" s="49" t="s">
        <v>84</v>
      </c>
      <c r="E431" s="49" t="s">
        <v>737</v>
      </c>
      <c r="F431" s="39">
        <v>2</v>
      </c>
      <c r="G431" s="75" t="s">
        <v>2037</v>
      </c>
      <c r="H431" s="50" t="s">
        <v>238</v>
      </c>
      <c r="I431" s="50" t="s">
        <v>2038</v>
      </c>
      <c r="J431" s="50" t="s">
        <v>2039</v>
      </c>
      <c r="K431" s="50"/>
      <c r="L431" s="47"/>
      <c r="M431" s="47"/>
      <c r="N431" s="47"/>
      <c r="O431" s="68"/>
      <c r="P431" s="68"/>
      <c r="Q431" s="47"/>
      <c r="R431" s="47"/>
      <c r="S431" s="47"/>
      <c r="T431" s="68"/>
      <c r="U431" s="68"/>
      <c r="V431" s="50" t="s">
        <v>145</v>
      </c>
      <c r="W431" s="74">
        <v>1</v>
      </c>
      <c r="X431" s="39">
        <f>MAX(0,$AK431-$W431-$Z431)</f>
        <v>0</v>
      </c>
      <c r="Y431" s="39"/>
      <c r="Z431" s="39"/>
      <c r="AA431" s="41">
        <v>0.08</v>
      </c>
      <c r="AB431" s="41">
        <f>IF(AND($X431&gt;0,ISNUMBER($AA431)),$X431*$AA431,0)</f>
        <v>0</v>
      </c>
      <c r="AK431" s="39">
        <f>SUM(AL431:AR431)</f>
        <v>0</v>
      </c>
      <c r="AL431" s="90"/>
      <c r="AM431" s="38"/>
      <c r="AN431" s="38"/>
      <c r="AO431" s="38"/>
      <c r="AP431" s="38"/>
      <c r="AQ431" s="38"/>
      <c r="AR431" s="91"/>
      <c r="AS431" s="42">
        <f>SUM(AT431:AZ431)</f>
        <v>0</v>
      </c>
      <c r="AT431" s="48"/>
      <c r="AU431" s="48"/>
      <c r="AV431" s="48"/>
      <c r="AW431" s="48"/>
      <c r="AX431" s="48"/>
      <c r="AY431" s="48"/>
      <c r="AZ431" s="48"/>
      <c r="BA431" s="43">
        <f>IF((W431-SUM(AT431:AZ431))&lt;0,0,W431-SUM(AT431:AZ431))</f>
        <v>1</v>
      </c>
      <c r="BB431" s="49"/>
      <c r="BC431" s="47"/>
      <c r="BD431" s="47"/>
    </row>
    <row r="432" spans="1:56" ht="15" customHeight="1">
      <c r="A432" s="49" t="s">
        <v>2040</v>
      </c>
      <c r="B432" s="39" t="s">
        <v>112</v>
      </c>
      <c r="C432" s="46" t="s">
        <v>65</v>
      </c>
      <c r="D432" s="49" t="s">
        <v>84</v>
      </c>
      <c r="E432" s="49" t="s">
        <v>2041</v>
      </c>
      <c r="F432" s="39">
        <v>5</v>
      </c>
      <c r="G432" s="75" t="s">
        <v>2042</v>
      </c>
      <c r="H432" s="50" t="s">
        <v>293</v>
      </c>
      <c r="I432" s="50" t="s">
        <v>2043</v>
      </c>
      <c r="J432" s="50" t="s">
        <v>181</v>
      </c>
      <c r="K432" s="50"/>
      <c r="L432" s="46"/>
      <c r="M432" s="46"/>
      <c r="N432" s="46"/>
      <c r="O432" s="46"/>
      <c r="P432" s="46"/>
      <c r="Q432" s="46"/>
      <c r="R432" s="46"/>
      <c r="S432" s="46"/>
      <c r="T432" s="46"/>
      <c r="U432" s="46"/>
      <c r="V432" s="50" t="s">
        <v>103</v>
      </c>
      <c r="W432" s="74">
        <v>1</v>
      </c>
      <c r="X432" s="39">
        <f>MAX(0,$AK432-$W432-$Z432)</f>
        <v>0</v>
      </c>
      <c r="Y432" s="39"/>
      <c r="Z432" s="39"/>
      <c r="AA432" s="41">
        <v>0.14000000000000001</v>
      </c>
      <c r="AB432" s="41">
        <f>IF(AND($X432&gt;0,ISNUMBER($AA432)),$X432*$AA432,0)</f>
        <v>0</v>
      </c>
      <c r="AD432" s="63"/>
      <c r="AK432" s="39">
        <f>SUM(AL432:AR432)</f>
        <v>1</v>
      </c>
      <c r="AL432" s="90"/>
      <c r="AM432" s="98">
        <v>1</v>
      </c>
      <c r="AN432" s="38"/>
      <c r="AO432" s="38"/>
      <c r="AP432" s="38"/>
      <c r="AQ432" s="38"/>
      <c r="AR432" s="91"/>
      <c r="AS432" s="42">
        <f>SUM(AT432:AZ432)</f>
        <v>1</v>
      </c>
      <c r="AT432" s="48"/>
      <c r="AU432" s="48">
        <v>1</v>
      </c>
      <c r="AV432" s="48"/>
      <c r="AW432" s="48"/>
      <c r="AX432" s="48"/>
      <c r="AY432" s="48"/>
      <c r="AZ432" s="48"/>
      <c r="BA432" s="43">
        <f>IF((W432-SUM(AT432:AZ432))&lt;0,0,W432-SUM(AT432:AZ432))</f>
        <v>0</v>
      </c>
      <c r="BB432" s="49"/>
      <c r="BC432" s="47"/>
      <c r="BD432" s="47"/>
    </row>
    <row r="433" spans="1:56" ht="15" customHeight="1">
      <c r="A433" s="49" t="s">
        <v>2044</v>
      </c>
      <c r="B433" s="39" t="s">
        <v>112</v>
      </c>
      <c r="C433" s="46" t="s">
        <v>65</v>
      </c>
      <c r="D433" s="49" t="s">
        <v>84</v>
      </c>
      <c r="E433" s="49" t="s">
        <v>2045</v>
      </c>
      <c r="F433" s="39">
        <v>2</v>
      </c>
      <c r="G433" s="75" t="s">
        <v>2046</v>
      </c>
      <c r="H433" s="50" t="s">
        <v>172</v>
      </c>
      <c r="I433" s="50" t="s">
        <v>2047</v>
      </c>
      <c r="J433" s="50"/>
      <c r="K433" s="50"/>
      <c r="L433" s="46"/>
      <c r="M433" s="46"/>
      <c r="N433" s="46"/>
      <c r="O433" s="46"/>
      <c r="P433" s="46"/>
      <c r="Q433" s="46"/>
      <c r="R433" s="46"/>
      <c r="S433" s="46"/>
      <c r="T433" s="46"/>
      <c r="U433" s="46"/>
      <c r="V433" s="50" t="s">
        <v>904</v>
      </c>
      <c r="W433" s="74">
        <v>1</v>
      </c>
      <c r="X433" s="39">
        <f>MAX(0,$AK433-$W433-$Z433)</f>
        <v>0</v>
      </c>
      <c r="Y433" s="39"/>
      <c r="Z433" s="39"/>
      <c r="AA433" s="41">
        <v>0.23</v>
      </c>
      <c r="AB433" s="41">
        <f>IF(AND($X433&gt;0,ISNUMBER($AA433)),$X433*$AA433,0)</f>
        <v>0</v>
      </c>
      <c r="AK433" s="39">
        <f>SUM(AL433:AR433)</f>
        <v>1</v>
      </c>
      <c r="AL433" s="90"/>
      <c r="AM433" s="97">
        <v>1</v>
      </c>
      <c r="AN433" s="38"/>
      <c r="AO433" s="38"/>
      <c r="AP433" s="38"/>
      <c r="AQ433" s="38"/>
      <c r="AR433" s="91"/>
      <c r="AS433" s="42">
        <f>SUM(AT433:AZ433)</f>
        <v>1</v>
      </c>
      <c r="AT433" s="48"/>
      <c r="AU433" s="48">
        <v>1</v>
      </c>
      <c r="AV433" s="48"/>
      <c r="AW433" s="48"/>
      <c r="AX433" s="48"/>
      <c r="AY433" s="48"/>
      <c r="AZ433" s="48"/>
      <c r="BA433" s="43">
        <f>IF((W433-SUM(AT433:AZ433))&lt;0,0,W433-SUM(AT433:AZ433))</f>
        <v>0</v>
      </c>
      <c r="BB433" s="49"/>
      <c r="BC433" s="47"/>
      <c r="BD433" s="47"/>
    </row>
    <row r="434" spans="1:56" ht="15" customHeight="1">
      <c r="A434" s="49" t="s">
        <v>2048</v>
      </c>
      <c r="B434" s="39" t="s">
        <v>112</v>
      </c>
      <c r="C434" s="46" t="s">
        <v>65</v>
      </c>
      <c r="D434" s="49" t="s">
        <v>178</v>
      </c>
      <c r="E434" s="49" t="s">
        <v>2049</v>
      </c>
      <c r="F434" s="39">
        <v>6</v>
      </c>
      <c r="G434" s="75" t="s">
        <v>2050</v>
      </c>
      <c r="H434" s="50" t="s">
        <v>115</v>
      </c>
      <c r="I434" s="50" t="s">
        <v>2051</v>
      </c>
      <c r="J434" s="50" t="s">
        <v>2052</v>
      </c>
      <c r="K434" s="50"/>
      <c r="L434" s="47"/>
      <c r="M434" s="47"/>
      <c r="N434" s="47"/>
      <c r="O434" s="47"/>
      <c r="P434" s="47"/>
      <c r="Q434" s="47"/>
      <c r="R434" s="47"/>
      <c r="S434" s="47"/>
      <c r="T434" s="47"/>
      <c r="U434" s="47"/>
      <c r="V434" s="50" t="s">
        <v>132</v>
      </c>
      <c r="W434" s="74">
        <v>0</v>
      </c>
      <c r="X434" s="39">
        <f>MAX(0,$AK434-$W434-$Z434)</f>
        <v>0</v>
      </c>
      <c r="Y434" s="39"/>
      <c r="Z434" s="39"/>
      <c r="AA434" s="41">
        <v>0.54</v>
      </c>
      <c r="AB434" s="41">
        <f>IF(AND($X434&gt;0,ISNUMBER($AA434)),$X434*$AA434,0)</f>
        <v>0</v>
      </c>
      <c r="AC434" s="59"/>
      <c r="AD434" s="59"/>
      <c r="AE434" s="59"/>
      <c r="AF434" s="59"/>
      <c r="AG434" s="59"/>
      <c r="AH434" s="59"/>
      <c r="AI434" s="59"/>
      <c r="AJ434" s="59"/>
      <c r="AK434" s="39">
        <f>SUM(AL434:AR434)</f>
        <v>0</v>
      </c>
      <c r="AL434" s="114"/>
      <c r="AM434" s="43"/>
      <c r="AN434" s="43"/>
      <c r="AO434" s="43"/>
      <c r="AP434" s="43"/>
      <c r="AQ434" s="43"/>
      <c r="AR434" s="116"/>
      <c r="AS434" s="42">
        <f>SUM(AT434:AZ434)</f>
        <v>0</v>
      </c>
      <c r="AT434" s="48"/>
      <c r="AU434" s="48"/>
      <c r="AV434" s="48"/>
      <c r="AW434" s="48"/>
      <c r="AX434" s="48"/>
      <c r="AY434" s="48"/>
      <c r="AZ434" s="48"/>
      <c r="BA434" s="43">
        <f>IF((W434-SUM(AT434:AZ434))&lt;0,0,W434-SUM(AT434:AZ434))</f>
        <v>0</v>
      </c>
      <c r="BB434" s="49"/>
      <c r="BC434" s="47"/>
      <c r="BD434" s="47"/>
    </row>
    <row r="435" spans="1:56" ht="15" customHeight="1">
      <c r="A435" s="49" t="s">
        <v>364</v>
      </c>
      <c r="B435" s="39" t="s">
        <v>112</v>
      </c>
      <c r="C435" s="46" t="s">
        <v>65</v>
      </c>
      <c r="D435" s="49" t="s">
        <v>84</v>
      </c>
      <c r="E435" s="49" t="s">
        <v>365</v>
      </c>
      <c r="F435" s="39">
        <v>2</v>
      </c>
      <c r="G435" s="75" t="s">
        <v>366</v>
      </c>
      <c r="H435" s="50" t="s">
        <v>258</v>
      </c>
      <c r="I435" s="50" t="s">
        <v>367</v>
      </c>
      <c r="J435" s="50"/>
      <c r="K435" s="50"/>
      <c r="L435" s="47"/>
      <c r="M435" s="47"/>
      <c r="N435" s="47"/>
      <c r="O435" s="47"/>
      <c r="P435" s="47"/>
      <c r="Q435" s="47"/>
      <c r="R435" s="47"/>
      <c r="S435" s="47"/>
      <c r="T435" s="47"/>
      <c r="U435" s="47"/>
      <c r="V435" s="50" t="s">
        <v>368</v>
      </c>
      <c r="W435" s="74">
        <v>1</v>
      </c>
      <c r="X435" s="39">
        <f>MAX(0,$AK435-$W435-$Z435)</f>
        <v>0</v>
      </c>
      <c r="Y435" s="39"/>
      <c r="Z435" s="39"/>
      <c r="AA435" s="41">
        <v>0.69</v>
      </c>
      <c r="AB435" s="41">
        <f>IF(AND($X435&gt;0,ISNUMBER($AA435)),$X435*$AA435,0)</f>
        <v>0</v>
      </c>
      <c r="AK435" s="39">
        <f>SUM(AL435:AR435)</f>
        <v>1</v>
      </c>
      <c r="AL435" s="90"/>
      <c r="AM435" s="38"/>
      <c r="AN435" s="38"/>
      <c r="AO435" s="38"/>
      <c r="AP435" s="97">
        <v>1</v>
      </c>
      <c r="AQ435" s="38"/>
      <c r="AR435" s="91"/>
      <c r="AS435" s="42">
        <f>SUM(AT435:AZ435)</f>
        <v>1</v>
      </c>
      <c r="AT435" s="48"/>
      <c r="AU435" s="48"/>
      <c r="AV435" s="48"/>
      <c r="AW435" s="48"/>
      <c r="AX435" s="48">
        <v>1</v>
      </c>
      <c r="AY435" s="48"/>
      <c r="AZ435" s="48"/>
      <c r="BA435" s="43">
        <f>IF((W435-SUM(AT435:AZ435))&lt;0,0,W435-SUM(AT435:AZ435))</f>
        <v>0</v>
      </c>
      <c r="BB435" s="49"/>
      <c r="BC435" s="47"/>
      <c r="BD435" s="47"/>
    </row>
    <row r="436" spans="1:56" ht="15" customHeight="1">
      <c r="A436" s="49" t="s">
        <v>369</v>
      </c>
      <c r="B436" s="39" t="s">
        <v>112</v>
      </c>
      <c r="C436" s="46" t="s">
        <v>65</v>
      </c>
      <c r="D436" s="49" t="s">
        <v>84</v>
      </c>
      <c r="E436" s="49" t="s">
        <v>370</v>
      </c>
      <c r="F436" s="39">
        <v>2</v>
      </c>
      <c r="G436" s="75" t="s">
        <v>371</v>
      </c>
      <c r="H436" s="50" t="s">
        <v>258</v>
      </c>
      <c r="I436" s="50" t="s">
        <v>372</v>
      </c>
      <c r="J436" s="50"/>
      <c r="K436" s="50"/>
      <c r="L436" s="47"/>
      <c r="M436" s="47"/>
      <c r="N436" s="47"/>
      <c r="O436" s="47"/>
      <c r="P436" s="47"/>
      <c r="Q436" s="47"/>
      <c r="R436" s="47"/>
      <c r="S436" s="47"/>
      <c r="T436" s="47"/>
      <c r="U436" s="47"/>
      <c r="V436" s="50" t="s">
        <v>281</v>
      </c>
      <c r="W436" s="74">
        <v>1</v>
      </c>
      <c r="X436" s="39">
        <f>MAX(0,$AK436-$W436-$Z436)</f>
        <v>0</v>
      </c>
      <c r="Y436" s="39"/>
      <c r="Z436" s="39"/>
      <c r="AA436" s="41">
        <v>1.68</v>
      </c>
      <c r="AB436" s="41">
        <f>IF(AND($X436&gt;0,ISNUMBER($AA436)),$X436*$AA436,0)</f>
        <v>0</v>
      </c>
      <c r="AK436" s="39">
        <f>SUM(AL436:AR436)</f>
        <v>1</v>
      </c>
      <c r="AL436" s="90"/>
      <c r="AM436" s="38"/>
      <c r="AN436" s="38"/>
      <c r="AO436" s="38"/>
      <c r="AP436" s="97">
        <v>1</v>
      </c>
      <c r="AQ436" s="38"/>
      <c r="AR436" s="91"/>
      <c r="AS436" s="42">
        <f>SUM(AT436:AZ436)</f>
        <v>1</v>
      </c>
      <c r="AT436" s="48"/>
      <c r="AU436" s="48"/>
      <c r="AV436" s="48"/>
      <c r="AW436" s="48"/>
      <c r="AX436" s="48">
        <v>1</v>
      </c>
      <c r="AY436" s="48"/>
      <c r="AZ436" s="48"/>
      <c r="BA436" s="43">
        <f>IF((W436-SUM(AT436:AZ436))&lt;0,0,W436-SUM(AT436:AZ436))</f>
        <v>0</v>
      </c>
      <c r="BB436" s="49"/>
      <c r="BC436" s="47"/>
      <c r="BD436" s="47"/>
    </row>
    <row r="437" spans="1:56" ht="15" customHeight="1">
      <c r="A437" s="49" t="s">
        <v>2053</v>
      </c>
      <c r="B437" s="39" t="s">
        <v>112</v>
      </c>
      <c r="C437" s="46" t="s">
        <v>65</v>
      </c>
      <c r="D437" s="49" t="s">
        <v>84</v>
      </c>
      <c r="E437" s="49" t="s">
        <v>864</v>
      </c>
      <c r="F437" s="39">
        <v>5</v>
      </c>
      <c r="G437" s="75" t="s">
        <v>2054</v>
      </c>
      <c r="H437" s="50" t="s">
        <v>446</v>
      </c>
      <c r="I437" s="50" t="s">
        <v>2055</v>
      </c>
      <c r="J437" s="50" t="s">
        <v>2056</v>
      </c>
      <c r="K437" s="50" t="s">
        <v>2057</v>
      </c>
      <c r="L437" s="47"/>
      <c r="M437" s="47"/>
      <c r="N437" s="47"/>
      <c r="O437" s="47"/>
      <c r="P437" s="47"/>
      <c r="Q437" s="47"/>
      <c r="R437" s="47"/>
      <c r="S437" s="47"/>
      <c r="T437" s="47"/>
      <c r="U437" s="47"/>
      <c r="V437" s="50" t="s">
        <v>1856</v>
      </c>
      <c r="W437" s="74">
        <v>0</v>
      </c>
      <c r="X437" s="39">
        <f>MAX(0,$AK437-$W437-$Z437)</f>
        <v>0</v>
      </c>
      <c r="Y437" s="39"/>
      <c r="Z437" s="39"/>
      <c r="AA437" s="41">
        <v>1.08</v>
      </c>
      <c r="AB437" s="41">
        <f>IF(AND($X437&gt;0,ISNUMBER($AA437)),$X437*$AA437,0)</f>
        <v>0</v>
      </c>
      <c r="AC437" s="59"/>
      <c r="AD437" s="59"/>
      <c r="AE437" s="59"/>
      <c r="AF437" s="59"/>
      <c r="AG437" s="59"/>
      <c r="AH437" s="59"/>
      <c r="AI437" s="59"/>
      <c r="AJ437" s="59"/>
      <c r="AK437" s="39">
        <f>SUM(AL437:AR437)</f>
        <v>0</v>
      </c>
      <c r="AL437" s="114"/>
      <c r="AM437" s="43"/>
      <c r="AN437" s="43"/>
      <c r="AO437" s="43"/>
      <c r="AP437" s="43"/>
      <c r="AQ437" s="43"/>
      <c r="AR437" s="116"/>
      <c r="AS437" s="42">
        <f>SUM(AT437:AZ437)</f>
        <v>0</v>
      </c>
      <c r="AT437" s="48"/>
      <c r="AU437" s="48"/>
      <c r="AV437" s="48"/>
      <c r="AW437" s="48"/>
      <c r="AX437" s="48"/>
      <c r="AY437" s="48"/>
      <c r="AZ437" s="48"/>
      <c r="BA437" s="43">
        <f>IF((W437-SUM(AT437:AZ437))&lt;0,0,W437-SUM(AT437:AZ437))</f>
        <v>0</v>
      </c>
      <c r="BB437" s="49"/>
      <c r="BC437" s="47"/>
      <c r="BD437" s="47"/>
    </row>
    <row r="438" spans="1:56" ht="15" customHeight="1">
      <c r="A438" s="49" t="s">
        <v>2058</v>
      </c>
      <c r="B438" s="39" t="s">
        <v>112</v>
      </c>
      <c r="C438" s="46" t="s">
        <v>65</v>
      </c>
      <c r="D438" s="49" t="s">
        <v>84</v>
      </c>
      <c r="E438" s="49" t="s">
        <v>2059</v>
      </c>
      <c r="F438" s="39">
        <v>2</v>
      </c>
      <c r="G438" s="75" t="s">
        <v>2060</v>
      </c>
      <c r="H438" s="50" t="s">
        <v>446</v>
      </c>
      <c r="I438" s="50" t="s">
        <v>2061</v>
      </c>
      <c r="J438" s="50" t="s">
        <v>2062</v>
      </c>
      <c r="K438" s="50"/>
      <c r="L438" s="47"/>
      <c r="M438" s="47"/>
      <c r="N438" s="47"/>
      <c r="O438" s="68"/>
      <c r="P438" s="68"/>
      <c r="Q438" s="47"/>
      <c r="R438" s="47"/>
      <c r="S438" s="47"/>
      <c r="T438" s="68"/>
      <c r="U438" s="68"/>
      <c r="V438" s="50" t="s">
        <v>119</v>
      </c>
      <c r="W438" s="74">
        <v>1</v>
      </c>
      <c r="X438" s="39">
        <f>MAX(0,$AK438-$W438-$Z438)</f>
        <v>0</v>
      </c>
      <c r="Y438" s="39"/>
      <c r="Z438" s="39"/>
      <c r="AA438" s="41">
        <v>0.25</v>
      </c>
      <c r="AB438" s="41">
        <f>IF(AND($X438&gt;0,ISNUMBER($AA438)),$X438*$AA438,0)</f>
        <v>0</v>
      </c>
      <c r="AK438" s="39">
        <f>SUM(AL438:AR438)</f>
        <v>0</v>
      </c>
      <c r="AL438" s="90"/>
      <c r="AM438" s="38"/>
      <c r="AN438" s="38"/>
      <c r="AO438" s="38"/>
      <c r="AP438" s="38"/>
      <c r="AQ438" s="38"/>
      <c r="AR438" s="91"/>
      <c r="AS438" s="42">
        <f>SUM(AT438:AZ438)</f>
        <v>0</v>
      </c>
      <c r="AT438" s="48"/>
      <c r="AU438" s="48"/>
      <c r="AV438" s="48"/>
      <c r="AW438" s="48"/>
      <c r="AX438" s="48"/>
      <c r="AY438" s="48"/>
      <c r="AZ438" s="48"/>
      <c r="BA438" s="43">
        <f>IF((W438-SUM(AT438:AZ438))&lt;0,0,W438-SUM(AT438:AZ438))</f>
        <v>1</v>
      </c>
      <c r="BB438" s="49"/>
      <c r="BC438" s="47"/>
      <c r="BD438" s="47"/>
    </row>
    <row r="439" spans="1:56" ht="15" customHeight="1">
      <c r="A439" s="35" t="s">
        <v>2063</v>
      </c>
      <c r="B439" s="36" t="s">
        <v>112</v>
      </c>
      <c r="C439" s="38" t="s">
        <v>65</v>
      </c>
      <c r="D439" s="35" t="s">
        <v>76</v>
      </c>
      <c r="E439" s="35"/>
      <c r="F439" s="35">
        <v>2</v>
      </c>
      <c r="G439" s="75" t="s">
        <v>2064</v>
      </c>
      <c r="H439" s="35" t="s">
        <v>227</v>
      </c>
      <c r="I439" s="35" t="s">
        <v>2065</v>
      </c>
      <c r="J439" s="35" t="s">
        <v>2066</v>
      </c>
      <c r="K439" s="35"/>
      <c r="L439" s="109" t="s">
        <v>2067</v>
      </c>
      <c r="M439" s="38">
        <v>1</v>
      </c>
      <c r="N439" s="38">
        <v>1</v>
      </c>
      <c r="O439" s="68" t="s">
        <v>1365</v>
      </c>
      <c r="P439" s="110">
        <v>4.07</v>
      </c>
      <c r="Q439" s="37"/>
      <c r="R439" s="37"/>
      <c r="S439" s="37"/>
      <c r="T439" s="68"/>
      <c r="U439" s="68"/>
      <c r="V439" s="35" t="s">
        <v>359</v>
      </c>
      <c r="W439" s="74">
        <v>1</v>
      </c>
      <c r="X439" s="39">
        <f>MAX(0,$AK439-$W439-$Z439)</f>
        <v>0</v>
      </c>
      <c r="Y439" s="35"/>
      <c r="Z439" s="35"/>
      <c r="AA439" s="35">
        <v>4.07</v>
      </c>
      <c r="AB439" s="41">
        <f>IF(AND($X439&gt;0,ISNUMBER($AA439)),$X439*$AA439,0)</f>
        <v>0</v>
      </c>
      <c r="AC439" t="s">
        <v>2068</v>
      </c>
      <c r="AK439" s="39">
        <f>SUM(AL439:AR439)</f>
        <v>1</v>
      </c>
      <c r="AL439" s="104">
        <v>1</v>
      </c>
      <c r="AM439" s="38"/>
      <c r="AN439" s="38"/>
      <c r="AO439" s="38"/>
      <c r="AP439" s="38"/>
      <c r="AQ439" s="38"/>
      <c r="AR439" s="91"/>
      <c r="AS439" s="42">
        <f>SUM(AT439:AZ439)</f>
        <v>1</v>
      </c>
      <c r="AT439" s="48">
        <v>1</v>
      </c>
      <c r="AU439" s="48"/>
      <c r="AV439" s="48"/>
      <c r="AW439" s="48"/>
      <c r="AX439" s="48"/>
      <c r="AY439" s="48"/>
      <c r="AZ439" s="48"/>
      <c r="BA439" s="43">
        <f>IF((W439-SUM(AT439:AZ439))&lt;0,0,W439-SUM(AT439:AZ439))</f>
        <v>0</v>
      </c>
      <c r="BB439" s="35"/>
      <c r="BC439" s="37"/>
      <c r="BD439" s="130"/>
    </row>
    <row r="440" spans="1:56" ht="15" customHeight="1">
      <c r="A440" s="49" t="s">
        <v>2069</v>
      </c>
      <c r="B440" s="39" t="s">
        <v>112</v>
      </c>
      <c r="C440" s="46" t="s">
        <v>65</v>
      </c>
      <c r="D440" s="49" t="s">
        <v>84</v>
      </c>
      <c r="E440" s="49" t="s">
        <v>2070</v>
      </c>
      <c r="F440" s="39">
        <v>3</v>
      </c>
      <c r="G440" s="75" t="s">
        <v>2071</v>
      </c>
      <c r="H440" s="50" t="s">
        <v>78</v>
      </c>
      <c r="I440" s="50" t="s">
        <v>2072</v>
      </c>
      <c r="J440" s="50"/>
      <c r="K440" s="50"/>
      <c r="L440" s="46"/>
      <c r="M440" s="46"/>
      <c r="N440" s="46"/>
      <c r="O440" s="46"/>
      <c r="P440" s="46"/>
      <c r="Q440" s="46"/>
      <c r="R440" s="46"/>
      <c r="S440" s="46"/>
      <c r="T440" s="46"/>
      <c r="U440" s="46"/>
      <c r="V440" s="50" t="s">
        <v>145</v>
      </c>
      <c r="W440" s="74">
        <v>1</v>
      </c>
      <c r="X440" s="39">
        <f>MAX(0,$AK440-$W440-$Z440)</f>
        <v>0</v>
      </c>
      <c r="Y440" s="39"/>
      <c r="Z440" s="39"/>
      <c r="AA440" s="41">
        <v>0.36</v>
      </c>
      <c r="AB440" s="41">
        <f>IF(AND($X440&gt;0,ISNUMBER($AA440)),$X440*$AA440,0)</f>
        <v>0</v>
      </c>
      <c r="AK440" s="39">
        <f>SUM(AL440:AR440)</f>
        <v>1</v>
      </c>
      <c r="AL440" s="90"/>
      <c r="AM440" s="97">
        <v>1</v>
      </c>
      <c r="AN440" s="38"/>
      <c r="AO440" s="38"/>
      <c r="AP440" s="38"/>
      <c r="AQ440" s="38"/>
      <c r="AR440" s="91"/>
      <c r="AS440" s="42">
        <f>SUM(AT440:AZ440)</f>
        <v>1</v>
      </c>
      <c r="AT440" s="48"/>
      <c r="AU440" s="48">
        <v>1</v>
      </c>
      <c r="AV440" s="48"/>
      <c r="AW440" s="48"/>
      <c r="AX440" s="48"/>
      <c r="AY440" s="48"/>
      <c r="AZ440" s="48"/>
      <c r="BA440" s="43">
        <f>IF((W440-SUM(AT440:AZ440))&lt;0,0,W440-SUM(AT440:AZ440))</f>
        <v>0</v>
      </c>
      <c r="BB440" s="49"/>
      <c r="BC440" s="47"/>
      <c r="BD440" s="47"/>
    </row>
    <row r="441" spans="1:56" ht="15" customHeight="1">
      <c r="A441" s="49" t="s">
        <v>2073</v>
      </c>
      <c r="B441" s="39" t="s">
        <v>112</v>
      </c>
      <c r="C441" s="46" t="s">
        <v>65</v>
      </c>
      <c r="D441" s="49" t="s">
        <v>76</v>
      </c>
      <c r="E441" s="49"/>
      <c r="F441" s="39">
        <v>2</v>
      </c>
      <c r="G441" s="75" t="s">
        <v>2074</v>
      </c>
      <c r="H441" s="50" t="s">
        <v>78</v>
      </c>
      <c r="I441" s="50" t="s">
        <v>2075</v>
      </c>
      <c r="J441" s="50"/>
      <c r="K441" s="50"/>
      <c r="L441" s="47"/>
      <c r="M441" s="47"/>
      <c r="N441" s="47"/>
      <c r="O441" s="47"/>
      <c r="P441" s="47"/>
      <c r="Q441" s="47"/>
      <c r="R441" s="47"/>
      <c r="S441" s="47"/>
      <c r="T441" s="47"/>
      <c r="U441" s="47"/>
      <c r="V441" s="50" t="s">
        <v>281</v>
      </c>
      <c r="W441" s="74">
        <v>2</v>
      </c>
      <c r="X441" s="39">
        <f>MAX(0,$AK441-$W441-$Z441)</f>
        <v>0</v>
      </c>
      <c r="Y441" s="39"/>
      <c r="Z441" s="39"/>
      <c r="AA441" s="41">
        <v>0.38</v>
      </c>
      <c r="AB441" s="41">
        <f>IF(AND($X441&gt;0,ISNUMBER($AA441)),$X441*$AA441,0)</f>
        <v>0</v>
      </c>
      <c r="AK441" s="39">
        <f>SUM(AL441:AR441)</f>
        <v>2</v>
      </c>
      <c r="AL441" s="90"/>
      <c r="AM441" s="38"/>
      <c r="AN441" s="97">
        <v>1</v>
      </c>
      <c r="AO441" s="97">
        <v>1</v>
      </c>
      <c r="AP441" s="38"/>
      <c r="AQ441" s="38"/>
      <c r="AR441" s="91"/>
      <c r="AS441" s="42">
        <f>SUM(AT441:AZ441)</f>
        <v>2</v>
      </c>
      <c r="AT441" s="48"/>
      <c r="AU441" s="48"/>
      <c r="AV441" s="48">
        <v>1</v>
      </c>
      <c r="AW441" s="48">
        <v>1</v>
      </c>
      <c r="AX441" s="48"/>
      <c r="AY441" s="48"/>
      <c r="AZ441" s="48"/>
      <c r="BA441" s="43">
        <f>IF((W441-SUM(AT441:AZ441))&lt;0,0,W441-SUM(AT441:AZ441))</f>
        <v>0</v>
      </c>
      <c r="BB441" s="49"/>
      <c r="BC441" s="47"/>
      <c r="BD441" s="47"/>
    </row>
    <row r="442" spans="1:56" ht="15" customHeight="1">
      <c r="A442" s="49" t="s">
        <v>2076</v>
      </c>
      <c r="B442" s="39" t="s">
        <v>112</v>
      </c>
      <c r="C442" s="46" t="s">
        <v>83</v>
      </c>
      <c r="D442" s="49" t="s">
        <v>178</v>
      </c>
      <c r="E442" s="49" t="s">
        <v>2049</v>
      </c>
      <c r="F442" s="39">
        <v>3</v>
      </c>
      <c r="G442" s="75" t="s">
        <v>2077</v>
      </c>
      <c r="H442" s="50" t="s">
        <v>87</v>
      </c>
      <c r="I442" s="50" t="s">
        <v>2078</v>
      </c>
      <c r="J442" s="50"/>
      <c r="K442" s="50"/>
      <c r="L442" s="47"/>
      <c r="M442" s="47"/>
      <c r="N442" s="47"/>
      <c r="O442" s="47"/>
      <c r="P442" s="47"/>
      <c r="Q442" s="47"/>
      <c r="R442" s="47"/>
      <c r="S442" s="47"/>
      <c r="T442" s="47"/>
      <c r="U442" s="47"/>
      <c r="V442" s="50" t="s">
        <v>1150</v>
      </c>
      <c r="W442" s="74">
        <v>0</v>
      </c>
      <c r="X442" s="39">
        <f>MAX(0,$AK442-$W442-$Z442)</f>
        <v>0</v>
      </c>
      <c r="Y442" s="39"/>
      <c r="Z442" s="39"/>
      <c r="AA442" s="41">
        <v>8.48</v>
      </c>
      <c r="AB442" s="41">
        <f>IF(AND($X442&gt;0,ISNUMBER($AA442)),$X442*$AA442,0)</f>
        <v>0</v>
      </c>
      <c r="AC442" s="59"/>
      <c r="AD442" s="59"/>
      <c r="AE442" s="59"/>
      <c r="AF442" s="59"/>
      <c r="AG442" s="59"/>
      <c r="AH442" s="59"/>
      <c r="AI442" s="59"/>
      <c r="AJ442" s="59"/>
      <c r="AK442" s="39">
        <f>SUM(AL442:AR442)</f>
        <v>0</v>
      </c>
      <c r="AL442" s="114"/>
      <c r="AM442" s="43"/>
      <c r="AN442" s="43"/>
      <c r="AO442" s="43"/>
      <c r="AP442" s="43"/>
      <c r="AQ442" s="43"/>
      <c r="AR442" s="116"/>
      <c r="AS442" s="42">
        <f>SUM(AT442:AZ442)</f>
        <v>0</v>
      </c>
      <c r="AT442" s="48"/>
      <c r="AU442" s="48"/>
      <c r="AV442" s="48"/>
      <c r="AW442" s="48"/>
      <c r="AX442" s="48"/>
      <c r="AY442" s="48"/>
      <c r="AZ442" s="48"/>
      <c r="BA442" s="43">
        <f>IF((W442-SUM(AT442:AZ442))&lt;0,0,W442-SUM(AT442:AZ442))</f>
        <v>0</v>
      </c>
      <c r="BB442" s="49"/>
      <c r="BC442" s="47"/>
      <c r="BD442" s="47"/>
    </row>
    <row r="443" spans="1:56" ht="15" customHeight="1">
      <c r="A443" s="49" t="s">
        <v>2079</v>
      </c>
      <c r="B443" s="39" t="s">
        <v>112</v>
      </c>
      <c r="C443" s="46" t="s">
        <v>65</v>
      </c>
      <c r="D443" s="49" t="s">
        <v>178</v>
      </c>
      <c r="E443" s="49" t="s">
        <v>400</v>
      </c>
      <c r="F443" s="39">
        <v>6</v>
      </c>
      <c r="G443" s="75" t="s">
        <v>2080</v>
      </c>
      <c r="H443" s="50" t="s">
        <v>233</v>
      </c>
      <c r="I443" s="50" t="s">
        <v>2081</v>
      </c>
      <c r="J443" s="50" t="s">
        <v>2082</v>
      </c>
      <c r="K443" s="50" t="s">
        <v>415</v>
      </c>
      <c r="L443" s="47"/>
      <c r="M443" s="47"/>
      <c r="N443" s="47"/>
      <c r="O443" s="47"/>
      <c r="P443" s="47"/>
      <c r="Q443" s="47"/>
      <c r="R443" s="47"/>
      <c r="S443" s="47"/>
      <c r="T443" s="47"/>
      <c r="U443" s="47"/>
      <c r="V443" s="50" t="s">
        <v>1228</v>
      </c>
      <c r="W443" s="74">
        <v>1</v>
      </c>
      <c r="X443" s="39">
        <f>MAX(0,$AK443-$W443-$Z443)</f>
        <v>0</v>
      </c>
      <c r="Y443" s="39"/>
      <c r="Z443" s="39"/>
      <c r="AA443" s="41">
        <v>1.79</v>
      </c>
      <c r="AB443" s="41">
        <f>IF(AND($X443&gt;0,ISNUMBER($AA443)),$X443*$AA443,0)</f>
        <v>0</v>
      </c>
      <c r="AK443" s="39">
        <f>SUM(AL443:AR443)</f>
        <v>1</v>
      </c>
      <c r="AL443" s="90"/>
      <c r="AM443" s="38"/>
      <c r="AN443" s="38"/>
      <c r="AO443" s="97">
        <v>1</v>
      </c>
      <c r="AP443" s="38"/>
      <c r="AQ443" s="38"/>
      <c r="AR443" s="91"/>
      <c r="AS443" s="42">
        <f>SUM(AT443:AZ443)</f>
        <v>1</v>
      </c>
      <c r="AT443" s="48"/>
      <c r="AU443" s="48"/>
      <c r="AV443" s="48"/>
      <c r="AW443" s="48">
        <v>1</v>
      </c>
      <c r="AX443" s="48"/>
      <c r="AY443" s="48"/>
      <c r="AZ443" s="48"/>
      <c r="BA443" s="43">
        <f>IF((W443-SUM(AT443:AZ443))&lt;0,0,W443-SUM(AT443:AZ443))</f>
        <v>0</v>
      </c>
      <c r="BB443" s="49"/>
      <c r="BC443" s="47"/>
      <c r="BD443" s="47"/>
    </row>
    <row r="444" spans="1:56" ht="15" customHeight="1">
      <c r="A444" s="49" t="s">
        <v>2083</v>
      </c>
      <c r="B444" s="39" t="s">
        <v>112</v>
      </c>
      <c r="C444" s="46" t="s">
        <v>83</v>
      </c>
      <c r="D444" s="49" t="s">
        <v>134</v>
      </c>
      <c r="E444" s="49"/>
      <c r="F444" s="39">
        <v>7</v>
      </c>
      <c r="G444" s="75" t="s">
        <v>2084</v>
      </c>
      <c r="H444" s="50" t="s">
        <v>115</v>
      </c>
      <c r="I444" s="50" t="s">
        <v>2085</v>
      </c>
      <c r="J444" s="50"/>
      <c r="K444" s="50"/>
      <c r="L444" s="47"/>
      <c r="M444" s="47"/>
      <c r="N444" s="47"/>
      <c r="O444" s="47"/>
      <c r="P444" s="47"/>
      <c r="Q444" s="47"/>
      <c r="R444" s="47"/>
      <c r="S444" s="47"/>
      <c r="T444" s="47"/>
      <c r="U444" s="47"/>
      <c r="V444" s="50" t="s">
        <v>261</v>
      </c>
      <c r="W444" s="74">
        <v>1</v>
      </c>
      <c r="X444" s="39">
        <f>MAX(0,$AK444-$W444-$Z444)</f>
        <v>0</v>
      </c>
      <c r="Y444" s="39"/>
      <c r="Z444" s="39"/>
      <c r="AA444" s="41">
        <v>2.46</v>
      </c>
      <c r="AB444" s="41">
        <f>IF(AND($X444&gt;0,ISNUMBER($AA444)),$X444*$AA444,0)</f>
        <v>0</v>
      </c>
      <c r="AK444" s="39">
        <f>SUM(AL444:AR444)</f>
        <v>0</v>
      </c>
      <c r="AL444" s="90"/>
      <c r="AM444" s="38"/>
      <c r="AN444" s="38"/>
      <c r="AO444" s="38"/>
      <c r="AP444" s="38"/>
      <c r="AQ444" s="38"/>
      <c r="AR444" s="91"/>
      <c r="AS444" s="42">
        <f>SUM(AT444:AZ444)</f>
        <v>0</v>
      </c>
      <c r="AT444" s="48"/>
      <c r="AU444" s="48"/>
      <c r="AV444" s="48"/>
      <c r="AW444" s="48"/>
      <c r="AX444" s="48"/>
      <c r="AY444" s="48"/>
      <c r="AZ444" s="48"/>
      <c r="BA444" s="43">
        <f>IF((W444-SUM(AT444:AZ444))&lt;0,0,W444-SUM(AT444:AZ444))</f>
        <v>1</v>
      </c>
      <c r="BB444" s="49"/>
      <c r="BC444" s="47"/>
      <c r="BD444" s="47"/>
    </row>
    <row r="445" spans="1:56" ht="15" customHeight="1">
      <c r="A445" s="49" t="s">
        <v>373</v>
      </c>
      <c r="B445" s="39" t="s">
        <v>112</v>
      </c>
      <c r="C445" s="46" t="s">
        <v>65</v>
      </c>
      <c r="D445" s="49" t="s">
        <v>178</v>
      </c>
      <c r="E445" s="49" t="s">
        <v>374</v>
      </c>
      <c r="F445" s="39">
        <v>2</v>
      </c>
      <c r="G445" s="75" t="s">
        <v>375</v>
      </c>
      <c r="H445" s="50" t="s">
        <v>258</v>
      </c>
      <c r="I445" s="50" t="s">
        <v>376</v>
      </c>
      <c r="J445" s="50" t="s">
        <v>377</v>
      </c>
      <c r="K445" s="50" t="s">
        <v>378</v>
      </c>
      <c r="L445" s="46"/>
      <c r="M445" s="46"/>
      <c r="N445" s="46"/>
      <c r="O445" s="46"/>
      <c r="P445" s="46"/>
      <c r="Q445" s="46"/>
      <c r="R445" s="46"/>
      <c r="S445" s="46"/>
      <c r="T445" s="46"/>
      <c r="U445" s="46"/>
      <c r="V445" s="50" t="s">
        <v>379</v>
      </c>
      <c r="W445" s="74">
        <v>1</v>
      </c>
      <c r="X445" s="39">
        <f>MAX(0,$AK445-$W445-$Z445)</f>
        <v>0</v>
      </c>
      <c r="Y445" s="39"/>
      <c r="Z445" s="39"/>
      <c r="AA445" s="41">
        <v>3.11</v>
      </c>
      <c r="AB445" s="41">
        <f>IF(AND($X445&gt;0,ISNUMBER($AA445)),$X445*$AA445,0)</f>
        <v>0</v>
      </c>
      <c r="AK445" s="39">
        <f>SUM(AL445:AR445)</f>
        <v>1</v>
      </c>
      <c r="AL445" s="90"/>
      <c r="AM445" s="38"/>
      <c r="AN445" s="38"/>
      <c r="AO445" s="38"/>
      <c r="AP445" s="97">
        <v>1</v>
      </c>
      <c r="AQ445" s="38"/>
      <c r="AR445" s="91"/>
      <c r="AS445" s="42">
        <f>SUM(AT445:AZ445)</f>
        <v>1</v>
      </c>
      <c r="AT445" s="48"/>
      <c r="AU445" s="48"/>
      <c r="AV445" s="48"/>
      <c r="AW445" s="48"/>
      <c r="AX445" s="48">
        <v>1</v>
      </c>
      <c r="AY445" s="48"/>
      <c r="AZ445" s="48"/>
      <c r="BA445" s="43">
        <f>IF((W445-SUM(AT445:AZ445))&lt;0,0,W445-SUM(AT445:AZ445))</f>
        <v>0</v>
      </c>
      <c r="BB445" s="49"/>
      <c r="BC445" s="47"/>
      <c r="BD445" s="126"/>
    </row>
    <row r="446" spans="1:56" ht="15" customHeight="1">
      <c r="A446" s="49" t="s">
        <v>2086</v>
      </c>
      <c r="B446" s="39" t="s">
        <v>112</v>
      </c>
      <c r="C446" s="46" t="s">
        <v>83</v>
      </c>
      <c r="D446" s="49" t="s">
        <v>178</v>
      </c>
      <c r="E446" s="49" t="s">
        <v>2087</v>
      </c>
      <c r="F446" s="39">
        <v>4</v>
      </c>
      <c r="G446" s="75" t="s">
        <v>2088</v>
      </c>
      <c r="H446" s="50" t="s">
        <v>87</v>
      </c>
      <c r="I446" s="50" t="s">
        <v>2089</v>
      </c>
      <c r="J446" s="50"/>
      <c r="K446" s="50"/>
      <c r="L446" s="47"/>
      <c r="M446" s="47"/>
      <c r="N446" s="47"/>
      <c r="O446" s="47"/>
      <c r="P446" s="47"/>
      <c r="Q446" s="47"/>
      <c r="R446" s="47"/>
      <c r="S446" s="47"/>
      <c r="T446" s="47"/>
      <c r="U446" s="47"/>
      <c r="V446" s="50" t="s">
        <v>89</v>
      </c>
      <c r="W446" s="74">
        <v>0</v>
      </c>
      <c r="X446" s="39">
        <f>MAX(0,$AK446-$W446-$Z446)</f>
        <v>0</v>
      </c>
      <c r="Y446" s="39"/>
      <c r="Z446" s="39"/>
      <c r="AA446" s="41">
        <v>5.36</v>
      </c>
      <c r="AB446" s="41">
        <f>IF(AND($X446&gt;0,ISNUMBER($AA446)),$X446*$AA446,0)</f>
        <v>0</v>
      </c>
      <c r="AC446" s="59"/>
      <c r="AD446" s="59"/>
      <c r="AE446" s="59"/>
      <c r="AF446" s="59"/>
      <c r="AG446" s="59"/>
      <c r="AH446" s="59"/>
      <c r="AI446" s="59"/>
      <c r="AJ446" s="59"/>
      <c r="AK446" s="39">
        <f>SUM(AL446:AR446)</f>
        <v>0</v>
      </c>
      <c r="AL446" s="114"/>
      <c r="AM446" s="43"/>
      <c r="AN446" s="43"/>
      <c r="AO446" s="43"/>
      <c r="AP446" s="43"/>
      <c r="AQ446" s="43"/>
      <c r="AR446" s="116"/>
      <c r="AS446" s="42">
        <f>SUM(AT446:AZ446)</f>
        <v>0</v>
      </c>
      <c r="AT446" s="48"/>
      <c r="AU446" s="48"/>
      <c r="AV446" s="48"/>
      <c r="AW446" s="48"/>
      <c r="AX446" s="48"/>
      <c r="AY446" s="48"/>
      <c r="AZ446" s="48"/>
      <c r="BA446" s="43">
        <f>IF((W446-SUM(AT446:AZ446))&lt;0,0,W446-SUM(AT446:AZ446))</f>
        <v>0</v>
      </c>
      <c r="BB446" s="49"/>
      <c r="BC446" s="47"/>
      <c r="BD446" s="47"/>
    </row>
    <row r="447" spans="1:56" ht="15" customHeight="1">
      <c r="A447" s="44" t="s">
        <v>111</v>
      </c>
      <c r="B447" s="45" t="s">
        <v>112</v>
      </c>
      <c r="C447" s="46" t="s">
        <v>65</v>
      </c>
      <c r="D447" s="44" t="s">
        <v>84</v>
      </c>
      <c r="E447" s="44" t="s">
        <v>113</v>
      </c>
      <c r="F447" s="45">
        <v>6</v>
      </c>
      <c r="G447" s="75" t="s">
        <v>114</v>
      </c>
      <c r="H447" s="44" t="s">
        <v>115</v>
      </c>
      <c r="I447" s="44" t="s">
        <v>116</v>
      </c>
      <c r="J447" s="44" t="s">
        <v>117</v>
      </c>
      <c r="K447" s="44" t="s">
        <v>118</v>
      </c>
      <c r="L447" s="47"/>
      <c r="M447" s="47"/>
      <c r="N447" s="47"/>
      <c r="O447" s="47"/>
      <c r="P447" s="47"/>
      <c r="Q447" s="47"/>
      <c r="R447" s="47"/>
      <c r="S447" s="47"/>
      <c r="T447" s="47"/>
      <c r="U447" s="47"/>
      <c r="V447" s="44" t="s">
        <v>119</v>
      </c>
      <c r="W447" s="74">
        <v>1</v>
      </c>
      <c r="X447" s="39">
        <f>MAX(0,$AK447-$W447-$Z447)</f>
        <v>0</v>
      </c>
      <c r="Y447" s="44"/>
      <c r="Z447" s="44"/>
      <c r="AA447" s="44">
        <v>0.9</v>
      </c>
      <c r="AB447" s="44">
        <f>IF(AND($X447&gt;0,ISNUMBER($AA447)),$X447*$AA447,0)</f>
        <v>0</v>
      </c>
      <c r="AK447" s="39">
        <f>SUM(AL447:AR447)</f>
        <v>0</v>
      </c>
      <c r="AL447" s="90"/>
      <c r="AM447" s="38"/>
      <c r="AN447" s="38"/>
      <c r="AO447" s="38"/>
      <c r="AP447" s="38"/>
      <c r="AQ447" s="38"/>
      <c r="AR447" s="91"/>
      <c r="AS447" s="42">
        <f>SUM(AT447:AZ447)</f>
        <v>0</v>
      </c>
      <c r="AT447" s="48"/>
      <c r="AU447" s="48"/>
      <c r="AV447" s="48"/>
      <c r="AW447" s="48"/>
      <c r="AX447" s="48"/>
      <c r="AY447" s="48"/>
      <c r="AZ447" s="48"/>
      <c r="BA447" s="43">
        <f>IF((W447-SUM(AT447:AZ447))&lt;0,0,W447-SUM(AT447:AZ447))</f>
        <v>1</v>
      </c>
      <c r="BB447" s="44"/>
      <c r="BC447" s="47"/>
      <c r="BD447" s="126"/>
    </row>
    <row r="448" spans="1:56" ht="15" customHeight="1">
      <c r="A448" s="35" t="s">
        <v>2090</v>
      </c>
      <c r="B448" s="36" t="s">
        <v>112</v>
      </c>
      <c r="C448" s="38" t="s">
        <v>65</v>
      </c>
      <c r="D448" s="35" t="s">
        <v>84</v>
      </c>
      <c r="E448" s="35" t="s">
        <v>2091</v>
      </c>
      <c r="F448" s="35">
        <v>3</v>
      </c>
      <c r="G448" s="75" t="s">
        <v>2092</v>
      </c>
      <c r="H448" s="35" t="s">
        <v>153</v>
      </c>
      <c r="I448" s="35" t="s">
        <v>2093</v>
      </c>
      <c r="J448" s="35" t="s">
        <v>2094</v>
      </c>
      <c r="K448" s="35"/>
      <c r="L448" s="37"/>
      <c r="M448" s="37"/>
      <c r="N448" s="37"/>
      <c r="O448" s="68"/>
      <c r="P448" s="68"/>
      <c r="Q448" s="37"/>
      <c r="R448" s="37"/>
      <c r="S448" s="37"/>
      <c r="T448" s="68"/>
      <c r="U448" s="68"/>
      <c r="V448" s="35" t="s">
        <v>223</v>
      </c>
      <c r="W448" s="74">
        <v>1</v>
      </c>
      <c r="X448" s="39">
        <f>MAX(0,$AK448-$W448-$Z448)</f>
        <v>0</v>
      </c>
      <c r="Y448" s="35"/>
      <c r="Z448" s="35"/>
      <c r="AA448" s="35">
        <v>0.24</v>
      </c>
      <c r="AB448" s="41">
        <f>IF(AND($X448&gt;0,ISNUMBER($AA448)),$X448*$AA448,0)</f>
        <v>0</v>
      </c>
      <c r="AK448" s="39">
        <f>SUM(AL448:AR448)</f>
        <v>0</v>
      </c>
      <c r="AL448" s="90"/>
      <c r="AM448" s="38"/>
      <c r="AN448" s="38"/>
      <c r="AO448" s="38"/>
      <c r="AP448" s="38"/>
      <c r="AQ448" s="38"/>
      <c r="AR448" s="91"/>
      <c r="AS448" s="42">
        <f>SUM(AT448:AZ448)</f>
        <v>0</v>
      </c>
      <c r="AT448" s="48"/>
      <c r="AU448" s="48"/>
      <c r="AV448" s="48"/>
      <c r="AW448" s="48"/>
      <c r="AX448" s="48"/>
      <c r="AY448" s="48"/>
      <c r="AZ448" s="48"/>
      <c r="BA448" s="43">
        <f>IF((W448-SUM(AT448:AZ448))&lt;0,0,W448-SUM(AT448:AZ448))</f>
        <v>1</v>
      </c>
      <c r="BB448" s="35"/>
      <c r="BC448" s="37"/>
      <c r="BD448" s="37"/>
    </row>
    <row r="449" spans="1:56" ht="15" customHeight="1">
      <c r="A449" s="49" t="s">
        <v>2095</v>
      </c>
      <c r="B449" s="39" t="s">
        <v>112</v>
      </c>
      <c r="C449" s="46" t="s">
        <v>65</v>
      </c>
      <c r="D449" s="49" t="s">
        <v>178</v>
      </c>
      <c r="E449" s="49" t="s">
        <v>2096</v>
      </c>
      <c r="F449" s="39">
        <v>4</v>
      </c>
      <c r="G449" s="75" t="s">
        <v>2097</v>
      </c>
      <c r="H449" s="50" t="s">
        <v>115</v>
      </c>
      <c r="I449" s="50" t="s">
        <v>2098</v>
      </c>
      <c r="J449" s="50" t="s">
        <v>2099</v>
      </c>
      <c r="K449" s="50"/>
      <c r="L449" s="46"/>
      <c r="M449" s="46"/>
      <c r="N449" s="46"/>
      <c r="O449" s="46"/>
      <c r="P449" s="46"/>
      <c r="Q449" s="46"/>
      <c r="R449" s="46"/>
      <c r="S449" s="46"/>
      <c r="T449" s="46"/>
      <c r="U449" s="46"/>
      <c r="V449" s="50" t="s">
        <v>1916</v>
      </c>
      <c r="W449" s="74">
        <v>1</v>
      </c>
      <c r="X449" s="39">
        <f>MAX(0,$AK449-$W449-$Z449)</f>
        <v>0</v>
      </c>
      <c r="Y449" s="39"/>
      <c r="Z449" s="39"/>
      <c r="AA449" s="41">
        <v>0.77</v>
      </c>
      <c r="AB449" s="41">
        <f>IF(AND($X449&gt;0,ISNUMBER($AA449)),$X449*$AA449,0)</f>
        <v>0</v>
      </c>
      <c r="AK449" s="39">
        <f>SUM(AL449:AR449)</f>
        <v>1</v>
      </c>
      <c r="AL449" s="102">
        <v>1</v>
      </c>
      <c r="AM449" s="38"/>
      <c r="AN449" s="38"/>
      <c r="AO449" s="38"/>
      <c r="AP449" s="38"/>
      <c r="AQ449" s="38"/>
      <c r="AR449" s="91"/>
      <c r="AS449" s="42">
        <f>SUM(AT449:AZ449)</f>
        <v>1</v>
      </c>
      <c r="AT449" s="48">
        <v>1</v>
      </c>
      <c r="AU449" s="48"/>
      <c r="AV449" s="48"/>
      <c r="AW449" s="48"/>
      <c r="AX449" s="48"/>
      <c r="AY449" s="48"/>
      <c r="AZ449" s="48"/>
      <c r="BA449" s="43">
        <f>IF((W449-SUM(AT449:AZ449))&lt;0,0,W449-SUM(AT449:AZ449))</f>
        <v>0</v>
      </c>
      <c r="BB449" s="49"/>
      <c r="BC449" s="47"/>
      <c r="BD449" s="47"/>
    </row>
    <row r="450" spans="1:56" ht="15" customHeight="1">
      <c r="A450" s="49" t="s">
        <v>2100</v>
      </c>
      <c r="B450" s="39" t="s">
        <v>112</v>
      </c>
      <c r="C450" s="46" t="s">
        <v>65</v>
      </c>
      <c r="D450" s="49" t="s">
        <v>178</v>
      </c>
      <c r="E450" s="49" t="s">
        <v>2101</v>
      </c>
      <c r="F450" s="39">
        <v>4</v>
      </c>
      <c r="G450" s="75" t="s">
        <v>2102</v>
      </c>
      <c r="H450" s="50" t="s">
        <v>845</v>
      </c>
      <c r="I450" s="50" t="s">
        <v>2103</v>
      </c>
      <c r="J450" s="50" t="s">
        <v>2104</v>
      </c>
      <c r="K450" s="50"/>
      <c r="L450" s="47"/>
      <c r="M450" s="47"/>
      <c r="N450" s="47"/>
      <c r="O450" s="47"/>
      <c r="P450" s="47"/>
      <c r="Q450" s="47"/>
      <c r="R450" s="47"/>
      <c r="S450" s="47"/>
      <c r="T450" s="47"/>
      <c r="U450" s="47"/>
      <c r="V450" s="50" t="s">
        <v>471</v>
      </c>
      <c r="W450" s="74">
        <v>0</v>
      </c>
      <c r="X450" s="39">
        <f>MAX(0,$AK450-$W450-$Z450)</f>
        <v>0</v>
      </c>
      <c r="Y450" s="39"/>
      <c r="Z450" s="39"/>
      <c r="AA450" s="41">
        <v>0.79</v>
      </c>
      <c r="AB450" s="41">
        <f>IF(AND($X450&gt;0,ISNUMBER($AA450)),$X450*$AA450,0)</f>
        <v>0</v>
      </c>
      <c r="AC450" s="59"/>
      <c r="AD450" s="59"/>
      <c r="AE450" s="59"/>
      <c r="AF450" s="59"/>
      <c r="AG450" s="59"/>
      <c r="AH450" s="59"/>
      <c r="AI450" s="59"/>
      <c r="AJ450" s="59"/>
      <c r="AK450" s="39">
        <f>SUM(AL450:AR450)</f>
        <v>0</v>
      </c>
      <c r="AL450" s="114"/>
      <c r="AM450" s="43"/>
      <c r="AN450" s="43"/>
      <c r="AO450" s="43"/>
      <c r="AP450" s="43"/>
      <c r="AQ450" s="43"/>
      <c r="AR450" s="116"/>
      <c r="AS450" s="42">
        <f>SUM(AT450:AZ450)</f>
        <v>0</v>
      </c>
      <c r="AT450" s="48"/>
      <c r="AU450" s="48"/>
      <c r="AV450" s="48"/>
      <c r="AW450" s="48"/>
      <c r="AX450" s="48"/>
      <c r="AY450" s="48"/>
      <c r="AZ450" s="48"/>
      <c r="BA450" s="43">
        <f>IF((W450-SUM(AT450:AZ450))&lt;0,0,W450-SUM(AT450:AZ450))</f>
        <v>0</v>
      </c>
      <c r="BB450" s="49"/>
      <c r="BC450" s="47"/>
      <c r="BD450" s="53"/>
    </row>
    <row r="451" spans="1:56" ht="15" customHeight="1">
      <c r="A451" s="49" t="s">
        <v>2105</v>
      </c>
      <c r="B451" s="39" t="s">
        <v>112</v>
      </c>
      <c r="C451" s="46" t="s">
        <v>65</v>
      </c>
      <c r="D451" s="49" t="s">
        <v>84</v>
      </c>
      <c r="E451" s="49" t="s">
        <v>1379</v>
      </c>
      <c r="F451" s="39">
        <v>3</v>
      </c>
      <c r="G451" s="75" t="s">
        <v>2106</v>
      </c>
      <c r="H451" s="50" t="s">
        <v>172</v>
      </c>
      <c r="I451" s="50" t="s">
        <v>2107</v>
      </c>
      <c r="J451" s="50" t="s">
        <v>2108</v>
      </c>
      <c r="K451" s="50"/>
      <c r="L451" s="46"/>
      <c r="M451" s="46"/>
      <c r="N451" s="46"/>
      <c r="O451" s="46"/>
      <c r="P451" s="46"/>
      <c r="Q451" s="46"/>
      <c r="R451" s="46"/>
      <c r="S451" s="46"/>
      <c r="T451" s="46"/>
      <c r="U451" s="46"/>
      <c r="V451" s="50" t="s">
        <v>204</v>
      </c>
      <c r="W451" s="74">
        <v>1</v>
      </c>
      <c r="X451" s="39">
        <f>MAX(0,$AK451-$W451-$Z451)</f>
        <v>0</v>
      </c>
      <c r="Y451" s="39"/>
      <c r="Z451" s="39"/>
      <c r="AA451" s="41">
        <v>0.4</v>
      </c>
      <c r="AB451" s="41">
        <f>IF(AND($X451&gt;0,ISNUMBER($AA451)),$X451*$AA451,0)</f>
        <v>0</v>
      </c>
      <c r="AK451" s="39">
        <f>SUM(AL451:AR451)</f>
        <v>1</v>
      </c>
      <c r="AL451" s="90"/>
      <c r="AM451" s="97">
        <v>1</v>
      </c>
      <c r="AN451" s="38"/>
      <c r="AO451" s="38"/>
      <c r="AP451" s="38"/>
      <c r="AQ451" s="38"/>
      <c r="AR451" s="91"/>
      <c r="AS451" s="42">
        <f>SUM(AT451:AZ451)</f>
        <v>1</v>
      </c>
      <c r="AT451" s="48"/>
      <c r="AU451" s="48">
        <v>1</v>
      </c>
      <c r="AV451" s="48"/>
      <c r="AW451" s="48"/>
      <c r="AX451" s="48"/>
      <c r="AY451" s="48"/>
      <c r="AZ451" s="48"/>
      <c r="BA451" s="43">
        <f>IF((W451-SUM(AT451:AZ451))&lt;0,0,W451-SUM(AT451:AZ451))</f>
        <v>0</v>
      </c>
      <c r="BB451" s="49"/>
      <c r="BC451" s="47"/>
      <c r="BD451" s="47"/>
    </row>
    <row r="452" spans="1:56" ht="15" customHeight="1">
      <c r="A452" s="44" t="s">
        <v>2109</v>
      </c>
      <c r="B452" s="45" t="s">
        <v>112</v>
      </c>
      <c r="C452" s="46" t="s">
        <v>65</v>
      </c>
      <c r="D452" s="44" t="s">
        <v>84</v>
      </c>
      <c r="E452" s="44" t="s">
        <v>643</v>
      </c>
      <c r="F452" s="45">
        <v>3</v>
      </c>
      <c r="G452" s="75" t="s">
        <v>2110</v>
      </c>
      <c r="H452" s="44" t="s">
        <v>153</v>
      </c>
      <c r="I452" s="44" t="s">
        <v>2111</v>
      </c>
      <c r="J452" s="44"/>
      <c r="K452" s="44"/>
      <c r="L452" s="47"/>
      <c r="M452" s="47"/>
      <c r="N452" s="47"/>
      <c r="O452" s="68"/>
      <c r="P452" s="68"/>
      <c r="Q452" s="47"/>
      <c r="R452" s="47"/>
      <c r="S452" s="47"/>
      <c r="T452" s="68"/>
      <c r="U452" s="68"/>
      <c r="V452" s="44" t="s">
        <v>167</v>
      </c>
      <c r="W452" s="74">
        <v>2</v>
      </c>
      <c r="X452" s="39">
        <f>MAX(0,$AK452-$W452-$Z452)</f>
        <v>0</v>
      </c>
      <c r="Y452" s="44"/>
      <c r="Z452" s="44"/>
      <c r="AA452" s="44">
        <v>0.26</v>
      </c>
      <c r="AB452" s="44">
        <f>IF(AND($X452&gt;0,ISNUMBER($AA452)),$X452*$AA452,0)</f>
        <v>0</v>
      </c>
      <c r="AK452" s="39">
        <f>SUM(AL452:AR452)</f>
        <v>0</v>
      </c>
      <c r="AL452" s="90"/>
      <c r="AM452" s="38"/>
      <c r="AN452" s="38"/>
      <c r="AO452" s="38"/>
      <c r="AP452" s="38"/>
      <c r="AQ452" s="38"/>
      <c r="AR452" s="91"/>
      <c r="AS452" s="42">
        <f>SUM(AT452:AZ452)</f>
        <v>0</v>
      </c>
      <c r="AT452" s="48"/>
      <c r="AU452" s="48"/>
      <c r="AV452" s="48"/>
      <c r="AW452" s="48"/>
      <c r="AX452" s="48"/>
      <c r="AY452" s="48"/>
      <c r="AZ452" s="48"/>
      <c r="BA452" s="43">
        <f>IF((W452-SUM(AT452:AZ452))&lt;0,0,W452-SUM(AT452:AZ452))</f>
        <v>2</v>
      </c>
      <c r="BB452" s="44"/>
      <c r="BC452" s="47"/>
      <c r="BD452" s="47"/>
    </row>
    <row r="453" spans="1:56" ht="15" customHeight="1">
      <c r="A453" s="44" t="s">
        <v>2112</v>
      </c>
      <c r="B453" s="45" t="s">
        <v>112</v>
      </c>
      <c r="C453" s="46" t="s">
        <v>65</v>
      </c>
      <c r="D453" s="44" t="s">
        <v>84</v>
      </c>
      <c r="E453" s="44" t="s">
        <v>121</v>
      </c>
      <c r="F453" s="45">
        <v>2</v>
      </c>
      <c r="G453" s="75" t="s">
        <v>2113</v>
      </c>
      <c r="H453" s="44" t="s">
        <v>238</v>
      </c>
      <c r="I453" s="44" t="s">
        <v>933</v>
      </c>
      <c r="J453" s="44" t="s">
        <v>2114</v>
      </c>
      <c r="K453" s="44"/>
      <c r="L453" s="47"/>
      <c r="M453" s="47"/>
      <c r="N453" s="47"/>
      <c r="O453" s="68"/>
      <c r="P453" s="68"/>
      <c r="Q453" s="47"/>
      <c r="R453" s="47"/>
      <c r="S453" s="47"/>
      <c r="T453" s="68"/>
      <c r="U453" s="68"/>
      <c r="V453" s="44" t="s">
        <v>119</v>
      </c>
      <c r="W453" s="74">
        <v>1</v>
      </c>
      <c r="X453" s="39">
        <f>MAX(0,$AK453-$W453-$Z453)</f>
        <v>0</v>
      </c>
      <c r="Y453" s="44"/>
      <c r="Z453" s="44"/>
      <c r="AA453" s="44">
        <v>0.13</v>
      </c>
      <c r="AB453" s="44">
        <f>IF(AND($X453&gt;0,ISNUMBER($AA453)),$X453*$AA453,0)</f>
        <v>0</v>
      </c>
      <c r="AK453" s="39">
        <f>SUM(AL453:AR453)</f>
        <v>0</v>
      </c>
      <c r="AL453" s="90"/>
      <c r="AM453" s="38"/>
      <c r="AN453" s="38"/>
      <c r="AO453" s="38"/>
      <c r="AP453" s="38"/>
      <c r="AQ453" s="38"/>
      <c r="AR453" s="91"/>
      <c r="AS453" s="42">
        <f>SUM(AT453:AZ453)</f>
        <v>0</v>
      </c>
      <c r="AT453" s="48"/>
      <c r="AU453" s="48"/>
      <c r="AV453" s="48"/>
      <c r="AW453" s="48"/>
      <c r="AX453" s="48"/>
      <c r="AY453" s="48"/>
      <c r="AZ453" s="48"/>
      <c r="BA453" s="43">
        <f>IF((W453-SUM(AT453:AZ453))&lt;0,0,W453-SUM(AT453:AZ453))</f>
        <v>1</v>
      </c>
      <c r="BB453" s="44"/>
      <c r="BC453" s="47"/>
      <c r="BD453" s="47"/>
    </row>
    <row r="454" spans="1:56" ht="15" customHeight="1">
      <c r="A454" s="49" t="s">
        <v>2115</v>
      </c>
      <c r="B454" s="39" t="s">
        <v>112</v>
      </c>
      <c r="C454" s="46" t="s">
        <v>65</v>
      </c>
      <c r="D454" s="49" t="s">
        <v>178</v>
      </c>
      <c r="E454" s="49" t="s">
        <v>303</v>
      </c>
      <c r="F454" s="39">
        <v>4</v>
      </c>
      <c r="G454" s="75" t="s">
        <v>2116</v>
      </c>
      <c r="H454" s="50" t="s">
        <v>153</v>
      </c>
      <c r="I454" s="50" t="s">
        <v>164</v>
      </c>
      <c r="J454" s="50" t="s">
        <v>2117</v>
      </c>
      <c r="K454" s="50" t="s">
        <v>2118</v>
      </c>
      <c r="L454" s="47"/>
      <c r="M454" s="47"/>
      <c r="N454" s="47"/>
      <c r="O454" s="47"/>
      <c r="P454" s="47"/>
      <c r="Q454" s="47"/>
      <c r="R454" s="47"/>
      <c r="S454" s="47"/>
      <c r="T454" s="47"/>
      <c r="U454" s="47"/>
      <c r="V454" s="50" t="s">
        <v>432</v>
      </c>
      <c r="W454" s="74">
        <v>0</v>
      </c>
      <c r="X454" s="39">
        <f>MAX(0,$AK454-$W454-$Z454)</f>
        <v>0</v>
      </c>
      <c r="Y454" s="39"/>
      <c r="Z454" s="39"/>
      <c r="AA454" s="41">
        <v>1.97</v>
      </c>
      <c r="AB454" s="41">
        <f>IF(AND($X454&gt;0,ISNUMBER($AA454)),$X454*$AA454,0)</f>
        <v>0</v>
      </c>
      <c r="AC454" s="59"/>
      <c r="AD454" s="59"/>
      <c r="AE454" s="59"/>
      <c r="AF454" s="59"/>
      <c r="AG454" s="59"/>
      <c r="AH454" s="59"/>
      <c r="AI454" s="59"/>
      <c r="AJ454" s="59"/>
      <c r="AK454" s="39">
        <f>SUM(AL454:AR454)</f>
        <v>0</v>
      </c>
      <c r="AL454" s="114"/>
      <c r="AM454" s="43"/>
      <c r="AN454" s="43"/>
      <c r="AO454" s="43"/>
      <c r="AP454" s="43"/>
      <c r="AQ454" s="43"/>
      <c r="AR454" s="116"/>
      <c r="AS454" s="42">
        <f>SUM(AT454:AZ454)</f>
        <v>0</v>
      </c>
      <c r="AT454" s="48"/>
      <c r="AU454" s="48"/>
      <c r="AV454" s="48"/>
      <c r="AW454" s="48"/>
      <c r="AX454" s="48"/>
      <c r="AY454" s="48"/>
      <c r="AZ454" s="48"/>
      <c r="BA454" s="43">
        <f>IF((W454-SUM(AT454:AZ454))&lt;0,0,W454-SUM(AT454:AZ454))</f>
        <v>0</v>
      </c>
      <c r="BB454" s="49"/>
      <c r="BC454" s="47"/>
      <c r="BD454" s="47"/>
    </row>
    <row r="455" spans="1:56" ht="15" customHeight="1">
      <c r="A455" s="49" t="s">
        <v>2119</v>
      </c>
      <c r="B455" s="39" t="s">
        <v>112</v>
      </c>
      <c r="C455" s="46" t="s">
        <v>65</v>
      </c>
      <c r="D455" s="49" t="s">
        <v>178</v>
      </c>
      <c r="E455" s="49" t="s">
        <v>1347</v>
      </c>
      <c r="F455" s="39">
        <v>4</v>
      </c>
      <c r="G455" s="75" t="s">
        <v>2120</v>
      </c>
      <c r="H455" s="50" t="s">
        <v>402</v>
      </c>
      <c r="I455" s="50" t="s">
        <v>2121</v>
      </c>
      <c r="J455" s="50" t="s">
        <v>2122</v>
      </c>
      <c r="K455" s="50" t="s">
        <v>2123</v>
      </c>
      <c r="L455" s="47"/>
      <c r="M455" s="47"/>
      <c r="N455" s="47"/>
      <c r="O455" s="47"/>
      <c r="P455" s="47"/>
      <c r="Q455" s="47"/>
      <c r="R455" s="47"/>
      <c r="S455" s="47"/>
      <c r="T455" s="47"/>
      <c r="U455" s="47"/>
      <c r="V455" s="50" t="s">
        <v>1216</v>
      </c>
      <c r="W455" s="74">
        <v>1</v>
      </c>
      <c r="X455" s="39">
        <f>MAX(0,$AK455-$W455-$Z455)</f>
        <v>0</v>
      </c>
      <c r="Y455" s="39"/>
      <c r="Z455" s="39"/>
      <c r="AA455" s="41">
        <v>3.05</v>
      </c>
      <c r="AB455" s="41">
        <f>IF(AND($X455&gt;0,ISNUMBER($AA455)),$X455*$AA455,0)</f>
        <v>0</v>
      </c>
      <c r="AK455" s="39">
        <f>SUM(AL455:AR455)</f>
        <v>1</v>
      </c>
      <c r="AL455" s="90"/>
      <c r="AM455" s="38"/>
      <c r="AN455" s="38"/>
      <c r="AO455" s="97">
        <v>1</v>
      </c>
      <c r="AP455" s="38"/>
      <c r="AQ455" s="38"/>
      <c r="AR455" s="91"/>
      <c r="AS455" s="42">
        <f>SUM(AT455:AZ455)</f>
        <v>1</v>
      </c>
      <c r="AT455" s="48"/>
      <c r="AU455" s="48"/>
      <c r="AV455" s="48"/>
      <c r="AW455" s="48">
        <v>1</v>
      </c>
      <c r="AX455" s="48"/>
      <c r="AY455" s="48"/>
      <c r="AZ455" s="48"/>
      <c r="BA455" s="43">
        <f>IF((W455-SUM(AT455:AZ455))&lt;0,0,W455-SUM(AT455:AZ455))</f>
        <v>0</v>
      </c>
      <c r="BB455" s="49"/>
      <c r="BC455" s="47"/>
      <c r="BD455" s="47"/>
    </row>
    <row r="456" spans="1:56" ht="15" customHeight="1">
      <c r="A456" s="44" t="s">
        <v>2124</v>
      </c>
      <c r="B456" s="45" t="s">
        <v>112</v>
      </c>
      <c r="C456" s="46" t="s">
        <v>65</v>
      </c>
      <c r="D456" s="44" t="s">
        <v>84</v>
      </c>
      <c r="E456" s="44" t="s">
        <v>2125</v>
      </c>
      <c r="F456" s="45">
        <v>3</v>
      </c>
      <c r="G456" s="75" t="s">
        <v>2126</v>
      </c>
      <c r="H456" s="44" t="s">
        <v>108</v>
      </c>
      <c r="I456" s="44" t="s">
        <v>2127</v>
      </c>
      <c r="J456" s="44"/>
      <c r="K456" s="44"/>
      <c r="L456" s="47"/>
      <c r="M456" s="47"/>
      <c r="N456" s="47"/>
      <c r="O456" s="68"/>
      <c r="P456" s="68"/>
      <c r="Q456" s="47"/>
      <c r="R456" s="47"/>
      <c r="S456" s="47"/>
      <c r="T456" s="68"/>
      <c r="U456" s="68"/>
      <c r="V456" s="44" t="s">
        <v>119</v>
      </c>
      <c r="W456" s="74">
        <v>2</v>
      </c>
      <c r="X456" s="39">
        <f>MAX(0,$AK456-$W456-$Z456)</f>
        <v>0</v>
      </c>
      <c r="Y456" s="44"/>
      <c r="Z456" s="44"/>
      <c r="AA456" s="44">
        <v>0.14000000000000001</v>
      </c>
      <c r="AB456" s="44">
        <f>IF(AND($X456&gt;0,ISNUMBER($AA456)),$X456*$AA456,0)</f>
        <v>0</v>
      </c>
      <c r="AK456" s="39">
        <f>SUM(AL456:AR456)</f>
        <v>0</v>
      </c>
      <c r="AL456" s="90"/>
      <c r="AM456" s="38"/>
      <c r="AN456" s="38"/>
      <c r="AO456" s="38"/>
      <c r="AP456" s="38"/>
      <c r="AQ456" s="38"/>
      <c r="AR456" s="91"/>
      <c r="AS456" s="42">
        <f>SUM(AT456:AZ456)</f>
        <v>0</v>
      </c>
      <c r="AT456" s="48"/>
      <c r="AU456" s="48"/>
      <c r="AV456" s="48"/>
      <c r="AW456" s="48"/>
      <c r="AX456" s="48"/>
      <c r="AY456" s="48"/>
      <c r="AZ456" s="48"/>
      <c r="BA456" s="43">
        <f>IF((W456-SUM(AT456:AZ456))&lt;0,0,W456-SUM(AT456:AZ456))</f>
        <v>2</v>
      </c>
      <c r="BB456" s="44"/>
      <c r="BC456" s="47"/>
      <c r="BD456" s="47"/>
    </row>
    <row r="457" spans="1:56" ht="15" customHeight="1">
      <c r="A457" s="49" t="s">
        <v>380</v>
      </c>
      <c r="B457" s="39" t="s">
        <v>112</v>
      </c>
      <c r="C457" s="46" t="s">
        <v>65</v>
      </c>
      <c r="D457" s="49" t="s">
        <v>76</v>
      </c>
      <c r="E457" s="49"/>
      <c r="F457" s="39">
        <v>2</v>
      </c>
      <c r="G457" s="75" t="s">
        <v>381</v>
      </c>
      <c r="H457" s="50" t="s">
        <v>78</v>
      </c>
      <c r="I457" s="50" t="s">
        <v>382</v>
      </c>
      <c r="J457" s="50"/>
      <c r="K457" s="50"/>
      <c r="L457" s="47"/>
      <c r="M457" s="47"/>
      <c r="N457" s="47"/>
      <c r="O457" s="47"/>
      <c r="P457" s="47"/>
      <c r="Q457" s="47"/>
      <c r="R457" s="47"/>
      <c r="S457" s="47"/>
      <c r="T457" s="47"/>
      <c r="U457" s="47"/>
      <c r="V457" s="50" t="s">
        <v>383</v>
      </c>
      <c r="W457" s="74">
        <v>1</v>
      </c>
      <c r="X457" s="39">
        <f>MAX(0,$AK457-$W457-$Z457)</f>
        <v>0</v>
      </c>
      <c r="Y457" s="39"/>
      <c r="Z457" s="39"/>
      <c r="AA457" s="41">
        <v>0.33</v>
      </c>
      <c r="AB457" s="41">
        <f>IF(AND($X457&gt;0,ISNUMBER($AA457)),$X457*$AA457,0)</f>
        <v>0</v>
      </c>
      <c r="AK457" s="39">
        <f>SUM(AL457:AR457)</f>
        <v>1</v>
      </c>
      <c r="AL457" s="90"/>
      <c r="AM457" s="38"/>
      <c r="AN457" s="38"/>
      <c r="AO457" s="38"/>
      <c r="AP457" s="97">
        <v>1</v>
      </c>
      <c r="AQ457" s="38"/>
      <c r="AR457" s="91"/>
      <c r="AS457" s="42">
        <f>SUM(AT457:AZ457)</f>
        <v>1</v>
      </c>
      <c r="AT457" s="48"/>
      <c r="AU457" s="48"/>
      <c r="AV457" s="48"/>
      <c r="AW457" s="48"/>
      <c r="AX457" s="48">
        <v>1</v>
      </c>
      <c r="AY457" s="48"/>
      <c r="AZ457" s="48"/>
      <c r="BA457" s="43">
        <f>IF((W457-SUM(AT457:AZ457))&lt;0,0,W457-SUM(AT457:AZ457))</f>
        <v>0</v>
      </c>
      <c r="BB457" s="49"/>
      <c r="BC457" s="47"/>
      <c r="BD457" s="47"/>
    </row>
    <row r="458" spans="1:56" ht="15" customHeight="1">
      <c r="A458" s="49" t="s">
        <v>2128</v>
      </c>
      <c r="B458" s="39" t="s">
        <v>112</v>
      </c>
      <c r="C458" s="46" t="s">
        <v>65</v>
      </c>
      <c r="D458" s="49" t="s">
        <v>84</v>
      </c>
      <c r="E458" s="49" t="s">
        <v>121</v>
      </c>
      <c r="F458" s="39">
        <v>3</v>
      </c>
      <c r="G458" s="75" t="s">
        <v>2129</v>
      </c>
      <c r="H458" s="50" t="s">
        <v>238</v>
      </c>
      <c r="I458" s="50" t="s">
        <v>2130</v>
      </c>
      <c r="J458" s="50" t="s">
        <v>2131</v>
      </c>
      <c r="K458" s="50"/>
      <c r="L458" s="47"/>
      <c r="M458" s="47"/>
      <c r="N458" s="47"/>
      <c r="O458" s="68"/>
      <c r="P458" s="68"/>
      <c r="Q458" s="47"/>
      <c r="R458" s="47"/>
      <c r="S458" s="47"/>
      <c r="T458" s="68"/>
      <c r="U458" s="68"/>
      <c r="V458" s="50" t="s">
        <v>119</v>
      </c>
      <c r="W458" s="74">
        <v>2</v>
      </c>
      <c r="X458" s="39">
        <f>MAX(0,$AK458-$W458-$Z458)</f>
        <v>0</v>
      </c>
      <c r="Y458" s="39"/>
      <c r="Z458" s="39"/>
      <c r="AA458" s="41">
        <v>0.24</v>
      </c>
      <c r="AB458" s="41">
        <f>IF(AND($X458&gt;0,ISNUMBER($AA458)),$X458*$AA458,0)</f>
        <v>0</v>
      </c>
      <c r="AK458" s="39">
        <f>SUM(AL458:AR458)</f>
        <v>0</v>
      </c>
      <c r="AL458" s="90"/>
      <c r="AM458" s="38"/>
      <c r="AN458" s="38"/>
      <c r="AO458" s="38"/>
      <c r="AP458" s="38"/>
      <c r="AQ458" s="38"/>
      <c r="AR458" s="91"/>
      <c r="AS458" s="42">
        <f>SUM(AT458:AZ458)</f>
        <v>0</v>
      </c>
      <c r="AT458" s="48"/>
      <c r="AU458" s="48"/>
      <c r="AV458" s="48"/>
      <c r="AW458" s="48"/>
      <c r="AX458" s="48"/>
      <c r="AY458" s="48"/>
      <c r="AZ458" s="48"/>
      <c r="BA458" s="43">
        <f>IF((W458-SUM(AT458:AZ458))&lt;0,0,W458-SUM(AT458:AZ458))</f>
        <v>2</v>
      </c>
      <c r="BB458" s="49"/>
      <c r="BC458" s="47"/>
      <c r="BD458" s="47"/>
    </row>
    <row r="459" spans="1:56" ht="15" customHeight="1">
      <c r="A459" s="49" t="s">
        <v>384</v>
      </c>
      <c r="B459" s="39" t="s">
        <v>112</v>
      </c>
      <c r="C459" s="46" t="s">
        <v>65</v>
      </c>
      <c r="D459" s="49" t="s">
        <v>256</v>
      </c>
      <c r="E459" s="49"/>
      <c r="F459" s="39">
        <v>2</v>
      </c>
      <c r="G459" s="75" t="s">
        <v>385</v>
      </c>
      <c r="H459" s="50" t="s">
        <v>153</v>
      </c>
      <c r="I459" s="50" t="s">
        <v>386</v>
      </c>
      <c r="J459" s="50" t="s">
        <v>387</v>
      </c>
      <c r="K459" s="50"/>
      <c r="L459" s="47"/>
      <c r="M459" s="47"/>
      <c r="N459" s="47"/>
      <c r="O459" s="47"/>
      <c r="P459" s="47"/>
      <c r="Q459" s="47"/>
      <c r="R459" s="47"/>
      <c r="S459" s="47"/>
      <c r="T459" s="47"/>
      <c r="U459" s="47"/>
      <c r="V459" s="50" t="s">
        <v>388</v>
      </c>
      <c r="W459" s="74">
        <v>1</v>
      </c>
      <c r="X459" s="39">
        <f>MAX(0,$AK459-$W459-$Z459)</f>
        <v>0</v>
      </c>
      <c r="Y459" s="39"/>
      <c r="Z459" s="39"/>
      <c r="AA459" s="41">
        <v>0.32</v>
      </c>
      <c r="AB459" s="41">
        <f>IF(AND($X459&gt;0,ISNUMBER($AA459)),$X459*$AA459,0)</f>
        <v>0</v>
      </c>
      <c r="AG459" s="63"/>
      <c r="AK459" s="39">
        <f>SUM(AL459:AR459)</f>
        <v>1</v>
      </c>
      <c r="AL459" s="90"/>
      <c r="AM459" s="38"/>
      <c r="AN459" s="38"/>
      <c r="AO459" s="38"/>
      <c r="AP459" s="97">
        <v>1</v>
      </c>
      <c r="AQ459" s="38"/>
      <c r="AR459" s="91"/>
      <c r="AS459" s="42">
        <f>SUM(AT459:AZ459)</f>
        <v>1</v>
      </c>
      <c r="AT459" s="48"/>
      <c r="AU459" s="48"/>
      <c r="AV459" s="48"/>
      <c r="AW459" s="48"/>
      <c r="AX459" s="48">
        <v>1</v>
      </c>
      <c r="AY459" s="48"/>
      <c r="AZ459" s="48"/>
      <c r="BA459" s="43">
        <f>IF((W459-SUM(AT459:AZ459))&lt;0,0,W459-SUM(AT459:AZ459))</f>
        <v>0</v>
      </c>
      <c r="BB459" s="49"/>
      <c r="BC459" s="47"/>
      <c r="BD459" s="47"/>
    </row>
    <row r="460" spans="1:56" ht="15" customHeight="1">
      <c r="A460" s="49" t="s">
        <v>2132</v>
      </c>
      <c r="B460" s="39" t="s">
        <v>112</v>
      </c>
      <c r="C460" s="46" t="s">
        <v>65</v>
      </c>
      <c r="D460" s="49" t="s">
        <v>178</v>
      </c>
      <c r="E460" s="49" t="s">
        <v>2133</v>
      </c>
      <c r="F460" s="39">
        <v>5</v>
      </c>
      <c r="G460" s="75" t="s">
        <v>2134</v>
      </c>
      <c r="H460" s="50" t="s">
        <v>446</v>
      </c>
      <c r="I460" s="50" t="s">
        <v>2135</v>
      </c>
      <c r="J460" s="50" t="s">
        <v>2136</v>
      </c>
      <c r="K460" s="50"/>
      <c r="L460" s="46"/>
      <c r="M460" s="46"/>
      <c r="N460" s="46"/>
      <c r="O460" s="46"/>
      <c r="P460" s="46"/>
      <c r="Q460" s="46"/>
      <c r="R460" s="46"/>
      <c r="S460" s="46"/>
      <c r="T460" s="46"/>
      <c r="U460" s="46"/>
      <c r="V460" s="50" t="s">
        <v>383</v>
      </c>
      <c r="W460" s="74">
        <v>1</v>
      </c>
      <c r="X460" s="39">
        <f>MAX(0,$AK460-$W460-$Z460)</f>
        <v>0</v>
      </c>
      <c r="Y460" s="39"/>
      <c r="Z460" s="39"/>
      <c r="AA460" s="41">
        <v>0.27</v>
      </c>
      <c r="AB460" s="41">
        <f>IF(AND($X460&gt;0,ISNUMBER($AA460)),$X460*$AA460,0)</f>
        <v>0</v>
      </c>
      <c r="AK460" s="39">
        <f>SUM(AL460:AR460)</f>
        <v>1</v>
      </c>
      <c r="AL460" s="102">
        <v>1</v>
      </c>
      <c r="AM460" s="38"/>
      <c r="AN460" s="38"/>
      <c r="AO460" s="38"/>
      <c r="AP460" s="38"/>
      <c r="AQ460" s="38"/>
      <c r="AR460" s="91"/>
      <c r="AS460" s="42">
        <f>SUM(AT460:AZ460)</f>
        <v>1</v>
      </c>
      <c r="AT460" s="48">
        <v>1</v>
      </c>
      <c r="AU460" s="48"/>
      <c r="AV460" s="48"/>
      <c r="AW460" s="48"/>
      <c r="AX460" s="48"/>
      <c r="AY460" s="48"/>
      <c r="AZ460" s="48"/>
      <c r="BA460" s="43">
        <f>IF((W460-SUM(AT460:AZ460))&lt;0,0,W460-SUM(AT460:AZ460))</f>
        <v>0</v>
      </c>
      <c r="BB460" s="49"/>
      <c r="BC460" s="47"/>
      <c r="BD460" s="47"/>
    </row>
    <row r="461" spans="1:56" ht="15" customHeight="1">
      <c r="A461" s="49" t="s">
        <v>2137</v>
      </c>
      <c r="B461" s="39" t="s">
        <v>112</v>
      </c>
      <c r="C461" s="46" t="s">
        <v>65</v>
      </c>
      <c r="D461" s="49" t="s">
        <v>434</v>
      </c>
      <c r="E461" s="49" t="s">
        <v>2138</v>
      </c>
      <c r="F461" s="39">
        <v>3</v>
      </c>
      <c r="G461" s="75" t="s">
        <v>2139</v>
      </c>
      <c r="H461" s="50" t="s">
        <v>794</v>
      </c>
      <c r="I461" s="50" t="s">
        <v>2121</v>
      </c>
      <c r="J461" s="50" t="s">
        <v>2140</v>
      </c>
      <c r="K461" s="50"/>
      <c r="L461" s="47"/>
      <c r="M461" s="47"/>
      <c r="N461" s="47"/>
      <c r="O461" s="47"/>
      <c r="P461" s="47"/>
      <c r="Q461" s="47"/>
      <c r="R461" s="47"/>
      <c r="S461" s="47"/>
      <c r="T461" s="47"/>
      <c r="U461" s="47"/>
      <c r="V461" s="50" t="s">
        <v>281</v>
      </c>
      <c r="W461" s="74">
        <v>1</v>
      </c>
      <c r="X461" s="39">
        <f>MAX(0,$AK461-$W461-$Z461)</f>
        <v>0</v>
      </c>
      <c r="Y461" s="39"/>
      <c r="Z461" s="39"/>
      <c r="AA461" s="41">
        <v>0.46</v>
      </c>
      <c r="AB461" s="41">
        <f>IF(AND($X461&gt;0,ISNUMBER($AA461)),$X461*$AA461,0)</f>
        <v>0</v>
      </c>
      <c r="AK461" s="39">
        <f>SUM(AL461:AR461)</f>
        <v>1</v>
      </c>
      <c r="AL461" s="90"/>
      <c r="AM461" s="38"/>
      <c r="AN461" s="38"/>
      <c r="AO461" s="97">
        <v>1</v>
      </c>
      <c r="AP461" s="38"/>
      <c r="AQ461" s="38"/>
      <c r="AR461" s="91"/>
      <c r="AS461" s="42">
        <f>SUM(AT461:AZ461)</f>
        <v>1</v>
      </c>
      <c r="AT461" s="48"/>
      <c r="AU461" s="48"/>
      <c r="AV461" s="48"/>
      <c r="AW461" s="48">
        <v>1</v>
      </c>
      <c r="AX461" s="48"/>
      <c r="AY461" s="48"/>
      <c r="AZ461" s="48"/>
      <c r="BA461" s="43">
        <f>IF((W461-SUM(AT461:AZ461))&lt;0,0,W461-SUM(AT461:AZ461))</f>
        <v>0</v>
      </c>
      <c r="BB461" s="49"/>
      <c r="BC461" s="47"/>
      <c r="BD461" s="47"/>
    </row>
    <row r="462" spans="1:56" ht="15" customHeight="1">
      <c r="A462" s="49" t="s">
        <v>2141</v>
      </c>
      <c r="B462" s="39" t="s">
        <v>112</v>
      </c>
      <c r="C462" s="46" t="s">
        <v>65</v>
      </c>
      <c r="D462" s="49" t="s">
        <v>178</v>
      </c>
      <c r="E462" s="49" t="s">
        <v>2142</v>
      </c>
      <c r="F462" s="39">
        <v>5</v>
      </c>
      <c r="G462" s="75" t="s">
        <v>2143</v>
      </c>
      <c r="H462" s="50" t="s">
        <v>123</v>
      </c>
      <c r="I462" s="50" t="s">
        <v>2144</v>
      </c>
      <c r="J462" s="50" t="s">
        <v>2145</v>
      </c>
      <c r="K462" s="50"/>
      <c r="L462" s="47"/>
      <c r="M462" s="47"/>
      <c r="N462" s="47"/>
      <c r="O462" s="47"/>
      <c r="P462" s="47"/>
      <c r="Q462" s="47"/>
      <c r="R462" s="47"/>
      <c r="S462" s="47"/>
      <c r="T462" s="47"/>
      <c r="U462" s="47"/>
      <c r="V462" s="50" t="s">
        <v>1688</v>
      </c>
      <c r="W462" s="74">
        <v>1</v>
      </c>
      <c r="X462" s="39">
        <f>MAX(0,$AK462-$W462-$Z462)</f>
        <v>0</v>
      </c>
      <c r="Y462" s="39"/>
      <c r="Z462" s="39"/>
      <c r="AA462" s="41">
        <v>0.43</v>
      </c>
      <c r="AB462" s="41">
        <f>IF(AND($X462&gt;0,ISNUMBER($AA462)),$X462*$AA462,0)</f>
        <v>0</v>
      </c>
      <c r="AK462" s="39">
        <f>SUM(AL462:AR462)</f>
        <v>1</v>
      </c>
      <c r="AL462" s="90"/>
      <c r="AM462" s="38"/>
      <c r="AN462" s="38"/>
      <c r="AO462" s="97">
        <v>1</v>
      </c>
      <c r="AP462" s="38"/>
      <c r="AQ462" s="38"/>
      <c r="AR462" s="91"/>
      <c r="AS462" s="42">
        <f>SUM(AT462:AZ462)</f>
        <v>1</v>
      </c>
      <c r="AT462" s="48"/>
      <c r="AU462" s="48"/>
      <c r="AV462" s="48"/>
      <c r="AW462" s="48">
        <v>1</v>
      </c>
      <c r="AX462" s="48"/>
      <c r="AY462" s="48"/>
      <c r="AZ462" s="48"/>
      <c r="BA462" s="43">
        <f>IF((W462-SUM(AT462:AZ462))&lt;0,0,W462-SUM(AT462:AZ462))</f>
        <v>0</v>
      </c>
      <c r="BB462" s="49"/>
      <c r="BC462" s="47"/>
      <c r="BD462" s="47"/>
    </row>
    <row r="463" spans="1:56" ht="15" customHeight="1">
      <c r="A463" s="35" t="s">
        <v>2146</v>
      </c>
      <c r="B463" s="36" t="s">
        <v>112</v>
      </c>
      <c r="C463" s="38" t="s">
        <v>65</v>
      </c>
      <c r="D463" s="35" t="s">
        <v>84</v>
      </c>
      <c r="E463" s="35" t="s">
        <v>2147</v>
      </c>
      <c r="F463" s="36">
        <v>3</v>
      </c>
      <c r="G463" s="75" t="s">
        <v>2148</v>
      </c>
      <c r="H463" s="35" t="s">
        <v>162</v>
      </c>
      <c r="I463" s="35" t="s">
        <v>2149</v>
      </c>
      <c r="J463" s="35" t="s">
        <v>2150</v>
      </c>
      <c r="K463" s="35"/>
      <c r="L463" s="37"/>
      <c r="M463" s="37"/>
      <c r="N463" s="37"/>
      <c r="O463" s="68"/>
      <c r="P463" s="68"/>
      <c r="Q463" s="37"/>
      <c r="R463" s="37"/>
      <c r="S463" s="37"/>
      <c r="T463" s="68"/>
      <c r="U463" s="68"/>
      <c r="V463" s="35" t="s">
        <v>223</v>
      </c>
      <c r="W463" s="74">
        <v>2</v>
      </c>
      <c r="X463" s="39">
        <f>MAX(0,$AK463-$W463-$Z463)</f>
        <v>0</v>
      </c>
      <c r="Y463" s="35"/>
      <c r="Z463" s="35"/>
      <c r="AA463" s="40">
        <v>7.0000000000000007E-2</v>
      </c>
      <c r="AB463" s="41">
        <f>IF(AND($X463&gt;0,ISNUMBER($AA463)),$X463*$AA463,0)</f>
        <v>0</v>
      </c>
      <c r="AK463" s="39">
        <f>SUM(AL463:AR463)</f>
        <v>0</v>
      </c>
      <c r="AL463" s="90"/>
      <c r="AM463" s="38"/>
      <c r="AN463" s="38"/>
      <c r="AO463" s="38"/>
      <c r="AP463" s="38"/>
      <c r="AQ463" s="38"/>
      <c r="AR463" s="91"/>
      <c r="AS463" s="42">
        <f>SUM(AT463:AZ463)</f>
        <v>0</v>
      </c>
      <c r="AT463" s="48"/>
      <c r="AU463" s="48"/>
      <c r="AV463" s="48"/>
      <c r="AW463" s="48"/>
      <c r="AX463" s="48"/>
      <c r="AY463" s="48"/>
      <c r="AZ463" s="48"/>
      <c r="BA463" s="43">
        <f>IF((W463-SUM(AT463:AZ463))&lt;0,0,W463-SUM(AT463:AZ463))</f>
        <v>2</v>
      </c>
      <c r="BB463" s="35"/>
      <c r="BC463" s="37"/>
      <c r="BD463" s="37"/>
    </row>
    <row r="464" spans="1:56" ht="15" customHeight="1">
      <c r="A464" s="49" t="s">
        <v>389</v>
      </c>
      <c r="B464" s="39" t="s">
        <v>112</v>
      </c>
      <c r="C464" s="46" t="s">
        <v>65</v>
      </c>
      <c r="D464" s="49" t="s">
        <v>84</v>
      </c>
      <c r="E464" s="49" t="s">
        <v>390</v>
      </c>
      <c r="F464" s="39">
        <v>3</v>
      </c>
      <c r="G464" s="75" t="s">
        <v>391</v>
      </c>
      <c r="H464" s="50" t="s">
        <v>258</v>
      </c>
      <c r="I464" s="50" t="s">
        <v>392</v>
      </c>
      <c r="J464" s="50" t="s">
        <v>125</v>
      </c>
      <c r="K464" s="50"/>
      <c r="L464" s="47"/>
      <c r="M464" s="47"/>
      <c r="N464" s="47"/>
      <c r="O464" s="47"/>
      <c r="P464" s="47"/>
      <c r="Q464" s="47"/>
      <c r="R464" s="47"/>
      <c r="S464" s="47"/>
      <c r="T464" s="47"/>
      <c r="U464" s="47"/>
      <c r="V464" s="50" t="s">
        <v>94</v>
      </c>
      <c r="W464" s="74">
        <v>1</v>
      </c>
      <c r="X464" s="39">
        <f>MAX(0,$AK464-$W464-$Z464)</f>
        <v>0</v>
      </c>
      <c r="Y464" s="39"/>
      <c r="Z464" s="39"/>
      <c r="AA464" s="41">
        <v>0.33</v>
      </c>
      <c r="AB464" s="41">
        <f>IF(AND($X464&gt;0,ISNUMBER($AA464)),$X464*$AA464,0)</f>
        <v>0</v>
      </c>
      <c r="AK464" s="39">
        <f>SUM(AL464:AR464)</f>
        <v>1</v>
      </c>
      <c r="AL464" s="90"/>
      <c r="AM464" s="38"/>
      <c r="AN464" s="38"/>
      <c r="AO464" s="38"/>
      <c r="AP464" s="97">
        <v>1</v>
      </c>
      <c r="AQ464" s="38"/>
      <c r="AR464" s="91"/>
      <c r="AS464" s="42">
        <f>SUM(AT464:AZ464)</f>
        <v>1</v>
      </c>
      <c r="AT464" s="48"/>
      <c r="AU464" s="48"/>
      <c r="AV464" s="48"/>
      <c r="AW464" s="48"/>
      <c r="AX464" s="48">
        <v>1</v>
      </c>
      <c r="AY464" s="48"/>
      <c r="AZ464" s="48"/>
      <c r="BA464" s="43">
        <f>IF((W464-SUM(AT464:AZ464))&lt;0,0,W464-SUM(AT464:AZ464))</f>
        <v>0</v>
      </c>
      <c r="BB464" s="49"/>
      <c r="BC464" s="47"/>
      <c r="BD464" s="47"/>
    </row>
    <row r="465" spans="1:56" ht="15" customHeight="1">
      <c r="A465" s="49" t="s">
        <v>2151</v>
      </c>
      <c r="B465" s="39" t="s">
        <v>112</v>
      </c>
      <c r="C465" s="46" t="s">
        <v>83</v>
      </c>
      <c r="D465" s="49" t="s">
        <v>76</v>
      </c>
      <c r="E465" s="49"/>
      <c r="F465" s="39">
        <v>5</v>
      </c>
      <c r="G465" s="75" t="s">
        <v>2152</v>
      </c>
      <c r="H465" s="50" t="s">
        <v>227</v>
      </c>
      <c r="I465" s="50" t="s">
        <v>2153</v>
      </c>
      <c r="J465" s="50"/>
      <c r="K465" s="50"/>
      <c r="L465" s="47"/>
      <c r="M465" s="47"/>
      <c r="N465" s="47"/>
      <c r="O465" s="47"/>
      <c r="P465" s="47"/>
      <c r="Q465" s="47"/>
      <c r="R465" s="47"/>
      <c r="S465" s="47"/>
      <c r="T465" s="47"/>
      <c r="U465" s="47"/>
      <c r="V465" s="50" t="s">
        <v>432</v>
      </c>
      <c r="W465" s="74">
        <v>0</v>
      </c>
      <c r="X465" s="39">
        <f>MAX(0,$AK465-$W465-$Z465)</f>
        <v>0</v>
      </c>
      <c r="Y465" s="39"/>
      <c r="Z465" s="39"/>
      <c r="AA465" s="41">
        <v>5.58</v>
      </c>
      <c r="AB465" s="41">
        <f>IF(AND($X465&gt;0,ISNUMBER($AA465)),$X465*$AA465,0)</f>
        <v>0</v>
      </c>
      <c r="AC465" s="59"/>
      <c r="AD465" s="59"/>
      <c r="AE465" s="59"/>
      <c r="AF465" s="59"/>
      <c r="AG465" s="59"/>
      <c r="AH465" s="59"/>
      <c r="AI465" s="59"/>
      <c r="AJ465" s="59"/>
      <c r="AK465" s="39">
        <f>SUM(AL465:AR465)</f>
        <v>0</v>
      </c>
      <c r="AL465" s="114"/>
      <c r="AM465" s="43"/>
      <c r="AN465" s="43"/>
      <c r="AO465" s="43"/>
      <c r="AP465" s="43"/>
      <c r="AQ465" s="43"/>
      <c r="AR465" s="116"/>
      <c r="AS465" s="42">
        <f>SUM(AT465:AZ465)</f>
        <v>0</v>
      </c>
      <c r="AT465" s="48"/>
      <c r="AU465" s="48"/>
      <c r="AV465" s="48"/>
      <c r="AW465" s="48"/>
      <c r="AX465" s="48"/>
      <c r="AY465" s="48"/>
      <c r="AZ465" s="48"/>
      <c r="BA465" s="43">
        <f>IF((W465-SUM(AT465:AZ465))&lt;0,0,W465-SUM(AT465:AZ465))</f>
        <v>0</v>
      </c>
      <c r="BB465" s="49"/>
      <c r="BC465" s="47"/>
      <c r="BD465" s="47"/>
    </row>
    <row r="466" spans="1:56" ht="15" customHeight="1">
      <c r="A466" s="49" t="s">
        <v>2154</v>
      </c>
      <c r="B466" s="39" t="s">
        <v>112</v>
      </c>
      <c r="C466" s="46" t="s">
        <v>65</v>
      </c>
      <c r="D466" s="49" t="s">
        <v>84</v>
      </c>
      <c r="E466" s="49" t="s">
        <v>1505</v>
      </c>
      <c r="F466" s="39">
        <v>4</v>
      </c>
      <c r="G466" s="75" t="s">
        <v>2155</v>
      </c>
      <c r="H466" s="50" t="s">
        <v>293</v>
      </c>
      <c r="I466" s="50" t="s">
        <v>1072</v>
      </c>
      <c r="J466" s="50"/>
      <c r="K466" s="50"/>
      <c r="L466" s="108" t="s">
        <v>2156</v>
      </c>
      <c r="M466" s="46">
        <v>1</v>
      </c>
      <c r="N466" s="46">
        <v>0</v>
      </c>
      <c r="O466" s="68" t="s">
        <v>2157</v>
      </c>
      <c r="P466" s="110">
        <v>0.16</v>
      </c>
      <c r="Q466" s="46"/>
      <c r="R466" s="46"/>
      <c r="S466" s="46"/>
      <c r="T466" s="68"/>
      <c r="U466" s="68"/>
      <c r="V466" s="50" t="s">
        <v>747</v>
      </c>
      <c r="W466" s="74">
        <v>1</v>
      </c>
      <c r="X466" s="39">
        <f>MAX(0,$AK466-$W466-$Z466)</f>
        <v>0</v>
      </c>
      <c r="Y466" s="39"/>
      <c r="Z466" s="39"/>
      <c r="AA466" s="41">
        <v>0.16</v>
      </c>
      <c r="AB466" s="41">
        <f>IF(AND($X466&gt;0,ISNUMBER($AA466)),$X466*$AA466,0)</f>
        <v>0</v>
      </c>
      <c r="AD466" s="63"/>
      <c r="AK466" s="39">
        <f>SUM(AL466:AR466)</f>
        <v>1</v>
      </c>
      <c r="AL466" s="90"/>
      <c r="AM466" s="97">
        <v>1</v>
      </c>
      <c r="AN466" s="38"/>
      <c r="AO466" s="38"/>
      <c r="AP466" s="38"/>
      <c r="AQ466" s="38"/>
      <c r="AR466" s="91"/>
      <c r="AS466" s="42">
        <f>SUM(AT466:AZ466)</f>
        <v>1</v>
      </c>
      <c r="AT466" s="48"/>
      <c r="AU466" s="48">
        <v>1</v>
      </c>
      <c r="AV466" s="48"/>
      <c r="AW466" s="48"/>
      <c r="AX466" s="48"/>
      <c r="AY466" s="48"/>
      <c r="AZ466" s="48"/>
      <c r="BA466" s="43">
        <f>IF((W466-SUM(AT466:AZ466))&lt;0,0,W466-SUM(AT466:AZ466))</f>
        <v>0</v>
      </c>
      <c r="BB466" s="49"/>
      <c r="BC466" s="47"/>
      <c r="BD466" s="47"/>
    </row>
    <row r="467" spans="1:56" ht="15" customHeight="1">
      <c r="A467" s="49" t="s">
        <v>2158</v>
      </c>
      <c r="B467" s="39" t="s">
        <v>112</v>
      </c>
      <c r="C467" s="46" t="s">
        <v>83</v>
      </c>
      <c r="D467" s="49" t="s">
        <v>178</v>
      </c>
      <c r="E467" s="49" t="s">
        <v>394</v>
      </c>
      <c r="F467" s="39">
        <v>3</v>
      </c>
      <c r="G467" s="75" t="s">
        <v>2159</v>
      </c>
      <c r="H467" s="50" t="s">
        <v>408</v>
      </c>
      <c r="I467" s="50" t="s">
        <v>2160</v>
      </c>
      <c r="J467" s="50"/>
      <c r="K467" s="50"/>
      <c r="L467" s="46"/>
      <c r="M467" s="46"/>
      <c r="N467" s="46"/>
      <c r="O467" s="46"/>
      <c r="P467" s="46"/>
      <c r="Q467" s="46"/>
      <c r="R467" s="46"/>
      <c r="S467" s="46"/>
      <c r="T467" s="46"/>
      <c r="U467" s="46"/>
      <c r="V467" s="50" t="s">
        <v>103</v>
      </c>
      <c r="W467" s="74">
        <v>0</v>
      </c>
      <c r="X467" s="39">
        <f>MAX(0,$AK467-$W467-$Z467)</f>
        <v>0</v>
      </c>
      <c r="Y467" s="39"/>
      <c r="Z467" s="39"/>
      <c r="AA467" s="41">
        <v>10.17</v>
      </c>
      <c r="AB467" s="41">
        <f>IF(AND($X467&gt;0,ISNUMBER($AA467)),$X467*$AA467,0)</f>
        <v>0</v>
      </c>
      <c r="AC467" s="59"/>
      <c r="AD467" s="59"/>
      <c r="AE467" s="59"/>
      <c r="AF467" s="59"/>
      <c r="AG467" s="59"/>
      <c r="AH467" s="59"/>
      <c r="AI467" s="59"/>
      <c r="AJ467" s="59"/>
      <c r="AK467" s="39">
        <f>SUM(AL467:AR467)</f>
        <v>0</v>
      </c>
      <c r="AL467" s="114"/>
      <c r="AM467" s="43"/>
      <c r="AN467" s="43"/>
      <c r="AO467" s="43"/>
      <c r="AP467" s="43"/>
      <c r="AQ467" s="43"/>
      <c r="AR467" s="116"/>
      <c r="AS467" s="42">
        <f>SUM(AT467:AZ467)</f>
        <v>0</v>
      </c>
      <c r="AT467" s="48"/>
      <c r="AU467" s="48"/>
      <c r="AV467" s="48"/>
      <c r="AW467" s="48"/>
      <c r="AX467" s="48"/>
      <c r="AY467" s="48"/>
      <c r="AZ467" s="48"/>
      <c r="BA467" s="43">
        <f>IF((W467-SUM(AT467:AZ467))&lt;0,0,W467-SUM(AT467:AZ467))</f>
        <v>0</v>
      </c>
      <c r="BB467" s="49"/>
      <c r="BC467" s="47"/>
      <c r="BD467" s="47"/>
    </row>
    <row r="468" spans="1:56" ht="15" customHeight="1">
      <c r="A468" s="49" t="s">
        <v>393</v>
      </c>
      <c r="B468" s="39" t="s">
        <v>112</v>
      </c>
      <c r="C468" s="46" t="s">
        <v>65</v>
      </c>
      <c r="D468" s="49" t="s">
        <v>178</v>
      </c>
      <c r="E468" s="49" t="s">
        <v>394</v>
      </c>
      <c r="F468" s="39">
        <v>3</v>
      </c>
      <c r="G468" s="75" t="s">
        <v>395</v>
      </c>
      <c r="H468" s="50" t="s">
        <v>238</v>
      </c>
      <c r="I468" s="50" t="s">
        <v>396</v>
      </c>
      <c r="J468" s="50" t="s">
        <v>397</v>
      </c>
      <c r="K468" s="50"/>
      <c r="L468" s="47"/>
      <c r="M468" s="47"/>
      <c r="N468" s="47"/>
      <c r="O468" s="47"/>
      <c r="P468" s="47"/>
      <c r="Q468" s="47"/>
      <c r="R468" s="47"/>
      <c r="S468" s="47"/>
      <c r="T468" s="47"/>
      <c r="U468" s="47"/>
      <c r="V468" s="50" t="s">
        <v>398</v>
      </c>
      <c r="W468" s="74">
        <v>1</v>
      </c>
      <c r="X468" s="39">
        <f>MAX(0,$AK468-$W468-$Z468)</f>
        <v>0</v>
      </c>
      <c r="Y468" s="39"/>
      <c r="Z468" s="39"/>
      <c r="AA468" s="41">
        <v>6.03</v>
      </c>
      <c r="AB468" s="41">
        <f>IF(AND($X468&gt;0,ISNUMBER($AA468)),$X468*$AA468,0)</f>
        <v>0</v>
      </c>
      <c r="AK468" s="39">
        <f>SUM(AL468:AR468)</f>
        <v>1</v>
      </c>
      <c r="AL468" s="90"/>
      <c r="AM468" s="38"/>
      <c r="AN468" s="38"/>
      <c r="AO468" s="38"/>
      <c r="AP468" s="97">
        <v>1</v>
      </c>
      <c r="AQ468" s="38"/>
      <c r="AR468" s="91"/>
      <c r="AS468" s="42">
        <f>SUM(AT468:AZ468)</f>
        <v>1</v>
      </c>
      <c r="AT468" s="48"/>
      <c r="AU468" s="48"/>
      <c r="AV468" s="48"/>
      <c r="AW468" s="48"/>
      <c r="AX468" s="48">
        <v>1</v>
      </c>
      <c r="AY468" s="48"/>
      <c r="AZ468" s="48"/>
      <c r="BA468" s="43">
        <f>IF((W468-SUM(AT468:AZ468))&lt;0,0,W468-SUM(AT468:AZ468))</f>
        <v>0</v>
      </c>
      <c r="BB468" s="49"/>
      <c r="BC468" s="47"/>
      <c r="BD468" s="47"/>
    </row>
    <row r="469" spans="1:56" ht="15" customHeight="1">
      <c r="A469" s="49" t="s">
        <v>2161</v>
      </c>
      <c r="B469" s="39" t="s">
        <v>112</v>
      </c>
      <c r="C469" s="46" t="s">
        <v>65</v>
      </c>
      <c r="D469" s="49" t="s">
        <v>134</v>
      </c>
      <c r="E469" s="49"/>
      <c r="F469" s="39">
        <v>2</v>
      </c>
      <c r="G469" s="75" t="s">
        <v>2162</v>
      </c>
      <c r="H469" s="50" t="s">
        <v>153</v>
      </c>
      <c r="I469" s="50" t="s">
        <v>2163</v>
      </c>
      <c r="J469" s="50"/>
      <c r="K469" s="50"/>
      <c r="L469" s="47"/>
      <c r="M469" s="47"/>
      <c r="N469" s="47"/>
      <c r="O469" s="68"/>
      <c r="P469" s="68"/>
      <c r="Q469" s="47"/>
      <c r="R469" s="47"/>
      <c r="S469" s="47"/>
      <c r="T469" s="68"/>
      <c r="U469" s="68"/>
      <c r="V469" s="50" t="s">
        <v>359</v>
      </c>
      <c r="W469" s="74">
        <v>1</v>
      </c>
      <c r="X469" s="39">
        <f>MAX(0,$AK469-$W469-$Z469)</f>
        <v>0</v>
      </c>
      <c r="Y469" s="39"/>
      <c r="Z469" s="39"/>
      <c r="AA469" s="41">
        <v>0.11</v>
      </c>
      <c r="AB469" s="41">
        <f>IF(AND($X469&gt;0,ISNUMBER($AA469)),$X469*$AA469,0)</f>
        <v>0</v>
      </c>
      <c r="AK469" s="39">
        <f>SUM(AL469:AR469)</f>
        <v>0</v>
      </c>
      <c r="AL469" s="90"/>
      <c r="AM469" s="38"/>
      <c r="AN469" s="38"/>
      <c r="AO469" s="38"/>
      <c r="AP469" s="38"/>
      <c r="AQ469" s="38"/>
      <c r="AR469" s="91"/>
      <c r="AS469" s="42">
        <f>SUM(AT469:AZ469)</f>
        <v>0</v>
      </c>
      <c r="AT469" s="48"/>
      <c r="AU469" s="48"/>
      <c r="AV469" s="48"/>
      <c r="AW469" s="48"/>
      <c r="AX469" s="48"/>
      <c r="AY469" s="48"/>
      <c r="AZ469" s="48"/>
      <c r="BA469" s="43">
        <f>IF((W469-SUM(AT469:AZ469))&lt;0,0,W469-SUM(AT469:AZ469))</f>
        <v>1</v>
      </c>
      <c r="BB469" s="49"/>
      <c r="BC469" s="47"/>
      <c r="BD469" s="47"/>
    </row>
    <row r="470" spans="1:56" ht="15" customHeight="1">
      <c r="A470" s="49" t="s">
        <v>2164</v>
      </c>
      <c r="B470" s="39" t="s">
        <v>112</v>
      </c>
      <c r="C470" s="46" t="s">
        <v>65</v>
      </c>
      <c r="D470" s="49" t="s">
        <v>84</v>
      </c>
      <c r="E470" s="49" t="s">
        <v>2165</v>
      </c>
      <c r="F470" s="39">
        <v>2</v>
      </c>
      <c r="G470" s="75" t="s">
        <v>2166</v>
      </c>
      <c r="H470" s="50" t="s">
        <v>172</v>
      </c>
      <c r="I470" s="50" t="s">
        <v>2167</v>
      </c>
      <c r="J470" s="50"/>
      <c r="K470" s="50"/>
      <c r="L470" s="47"/>
      <c r="M470" s="47"/>
      <c r="N470" s="47"/>
      <c r="O470" s="47"/>
      <c r="P470" s="47"/>
      <c r="Q470" s="47"/>
      <c r="R470" s="47"/>
      <c r="S470" s="47"/>
      <c r="T470" s="47"/>
      <c r="U470" s="47"/>
      <c r="V470" s="50" t="s">
        <v>900</v>
      </c>
      <c r="W470" s="74">
        <v>0</v>
      </c>
      <c r="X470" s="39">
        <f>MAX(0,$AK470-$W470-$Z470)</f>
        <v>0</v>
      </c>
      <c r="Y470" s="39"/>
      <c r="Z470" s="39"/>
      <c r="AA470" s="41">
        <v>0.34</v>
      </c>
      <c r="AB470" s="41">
        <f>IF(AND($X470&gt;0,ISNUMBER($AA470)),$X470*$AA470,0)</f>
        <v>0</v>
      </c>
      <c r="AC470" s="59"/>
      <c r="AD470" s="59"/>
      <c r="AE470" s="59"/>
      <c r="AF470" s="59"/>
      <c r="AG470" s="59"/>
      <c r="AH470" s="59"/>
      <c r="AI470" s="59"/>
      <c r="AJ470" s="59"/>
      <c r="AK470" s="39">
        <f>SUM(AL470:AR470)</f>
        <v>0</v>
      </c>
      <c r="AL470" s="114"/>
      <c r="AM470" s="43"/>
      <c r="AN470" s="43"/>
      <c r="AO470" s="43"/>
      <c r="AP470" s="43"/>
      <c r="AQ470" s="43"/>
      <c r="AR470" s="116"/>
      <c r="AS470" s="42">
        <f>SUM(AT470:AZ470)</f>
        <v>0</v>
      </c>
      <c r="AT470" s="48"/>
      <c r="AU470" s="48"/>
      <c r="AV470" s="48"/>
      <c r="AW470" s="48"/>
      <c r="AX470" s="48"/>
      <c r="AY470" s="48"/>
      <c r="AZ470" s="48"/>
      <c r="BA470" s="43">
        <f>IF((W470-SUM(AT470:AZ470))&lt;0,0,W470-SUM(AT470:AZ470))</f>
        <v>0</v>
      </c>
      <c r="BB470" s="49"/>
      <c r="BC470" s="47"/>
      <c r="BD470" s="53"/>
    </row>
    <row r="471" spans="1:56" ht="15" customHeight="1">
      <c r="A471" s="49" t="s">
        <v>2168</v>
      </c>
      <c r="B471" s="39" t="s">
        <v>112</v>
      </c>
      <c r="C471" s="46" t="s">
        <v>65</v>
      </c>
      <c r="D471" s="49" t="s">
        <v>178</v>
      </c>
      <c r="E471" s="49" t="s">
        <v>699</v>
      </c>
      <c r="F471" s="39">
        <v>2</v>
      </c>
      <c r="G471" s="75" t="s">
        <v>2169</v>
      </c>
      <c r="H471" s="50" t="s">
        <v>100</v>
      </c>
      <c r="I471" s="50" t="s">
        <v>2170</v>
      </c>
      <c r="J471" s="50" t="s">
        <v>2171</v>
      </c>
      <c r="K471" s="50" t="s">
        <v>2172</v>
      </c>
      <c r="L471" s="108" t="s">
        <v>2173</v>
      </c>
      <c r="M471" s="46">
        <v>1</v>
      </c>
      <c r="N471" s="46">
        <v>1</v>
      </c>
      <c r="O471" s="68" t="s">
        <v>2174</v>
      </c>
      <c r="P471" s="110">
        <v>0.3</v>
      </c>
      <c r="Q471" s="46"/>
      <c r="R471" s="46"/>
      <c r="S471" s="46"/>
      <c r="T471" s="68"/>
      <c r="U471" s="68"/>
      <c r="V471" s="50" t="s">
        <v>223</v>
      </c>
      <c r="W471" s="74">
        <v>2</v>
      </c>
      <c r="X471" s="39">
        <f>MAX(0,$AK471-$W471-$Z471)</f>
        <v>0</v>
      </c>
      <c r="Y471" s="39"/>
      <c r="Z471" s="39"/>
      <c r="AA471" s="41">
        <v>0.3</v>
      </c>
      <c r="AB471" s="41">
        <f>IF(AND($X471&gt;0,ISNUMBER($AA471)),$X471*$AA471,0)</f>
        <v>0</v>
      </c>
      <c r="AK471" s="39">
        <f>SUM(AL471:AR471)</f>
        <v>0</v>
      </c>
      <c r="AL471" s="90"/>
      <c r="AM471" s="38"/>
      <c r="AN471" s="38"/>
      <c r="AO471" s="38"/>
      <c r="AP471" s="38"/>
      <c r="AQ471" s="38"/>
      <c r="AR471" s="91"/>
      <c r="AS471" s="42">
        <f>SUM(AT471:AZ471)</f>
        <v>0</v>
      </c>
      <c r="AT471" s="48"/>
      <c r="AU471" s="48"/>
      <c r="AV471" s="48"/>
      <c r="AW471" s="48"/>
      <c r="AX471" s="48"/>
      <c r="AY471" s="48"/>
      <c r="AZ471" s="48"/>
      <c r="BA471" s="43">
        <f>IF((W471-SUM(AT471:AZ471))&lt;0,0,W471-SUM(AT471:AZ471))</f>
        <v>2</v>
      </c>
      <c r="BB471" s="49"/>
      <c r="BC471" s="47"/>
      <c r="BD471" s="47"/>
    </row>
    <row r="472" spans="1:56" ht="15" customHeight="1">
      <c r="A472" s="49" t="s">
        <v>2175</v>
      </c>
      <c r="B472" s="39" t="s">
        <v>112</v>
      </c>
      <c r="C472" s="46" t="s">
        <v>65</v>
      </c>
      <c r="D472" s="49" t="s">
        <v>84</v>
      </c>
      <c r="E472" s="49" t="s">
        <v>2176</v>
      </c>
      <c r="F472" s="39">
        <v>3</v>
      </c>
      <c r="G472" s="75" t="s">
        <v>2177</v>
      </c>
      <c r="H472" s="50" t="s">
        <v>1268</v>
      </c>
      <c r="I472" s="50" t="s">
        <v>2178</v>
      </c>
      <c r="J472" s="50"/>
      <c r="K472" s="50"/>
      <c r="L472" s="47"/>
      <c r="M472" s="47"/>
      <c r="N472" s="47"/>
      <c r="O472" s="47"/>
      <c r="P472" s="47"/>
      <c r="Q472" s="47"/>
      <c r="R472" s="47"/>
      <c r="S472" s="47"/>
      <c r="T472" s="47"/>
      <c r="U472" s="47"/>
      <c r="V472" s="50" t="s">
        <v>779</v>
      </c>
      <c r="W472" s="74">
        <v>1</v>
      </c>
      <c r="X472" s="39">
        <f>MAX(0,$AK472-$W472-$Z472)</f>
        <v>0</v>
      </c>
      <c r="Y472" s="39"/>
      <c r="Z472" s="39"/>
      <c r="AA472" s="41">
        <v>0.42</v>
      </c>
      <c r="AB472" s="41">
        <f>IF(AND($X472&gt;0,ISNUMBER($AA472)),$X472*$AA472,0)</f>
        <v>0</v>
      </c>
      <c r="AK472" s="39">
        <f>SUM(AL472:AR472)</f>
        <v>1</v>
      </c>
      <c r="AL472" s="90"/>
      <c r="AM472" s="38"/>
      <c r="AN472" s="97">
        <v>1</v>
      </c>
      <c r="AO472" s="38"/>
      <c r="AP472" s="38"/>
      <c r="AQ472" s="38"/>
      <c r="AR472" s="91"/>
      <c r="AS472" s="42">
        <f>SUM(AT472:AZ472)</f>
        <v>1</v>
      </c>
      <c r="AT472" s="48"/>
      <c r="AU472" s="48"/>
      <c r="AV472" s="48">
        <v>1</v>
      </c>
      <c r="AW472" s="48"/>
      <c r="AX472" s="48"/>
      <c r="AY472" s="48"/>
      <c r="AZ472" s="48"/>
      <c r="BA472" s="43">
        <f>IF((W472-SUM(AT472:AZ472))&lt;0,0,W472-SUM(AT472:AZ472))</f>
        <v>0</v>
      </c>
      <c r="BB472" s="49"/>
      <c r="BC472" s="47"/>
      <c r="BD472" s="47"/>
    </row>
    <row r="473" spans="1:56" ht="15" customHeight="1">
      <c r="A473" s="49" t="s">
        <v>2179</v>
      </c>
      <c r="B473" s="45" t="s">
        <v>112</v>
      </c>
      <c r="C473" s="46" t="s">
        <v>65</v>
      </c>
      <c r="D473" s="44" t="s">
        <v>84</v>
      </c>
      <c r="E473" s="44" t="s">
        <v>1422</v>
      </c>
      <c r="F473" s="45">
        <v>5</v>
      </c>
      <c r="G473" s="75" t="s">
        <v>2180</v>
      </c>
      <c r="H473" s="44" t="s">
        <v>233</v>
      </c>
      <c r="I473" s="44" t="s">
        <v>2181</v>
      </c>
      <c r="J473" s="44"/>
      <c r="K473" s="44"/>
      <c r="L473" s="47"/>
      <c r="M473" s="47"/>
      <c r="N473" s="47"/>
      <c r="O473" s="68"/>
      <c r="P473" s="68"/>
      <c r="Q473" s="47"/>
      <c r="R473" s="47"/>
      <c r="S473" s="47"/>
      <c r="T473" s="68"/>
      <c r="U473" s="68"/>
      <c r="V473" s="44" t="s">
        <v>167</v>
      </c>
      <c r="W473" s="74">
        <v>1</v>
      </c>
      <c r="X473" s="39">
        <f>MAX(0,$AK473-$W473-$Z473)</f>
        <v>0</v>
      </c>
      <c r="Y473" s="44"/>
      <c r="Z473" s="44"/>
      <c r="AA473" s="44">
        <v>1.1000000000000001</v>
      </c>
      <c r="AB473" s="44">
        <f>IF(AND($X473&gt;0,ISNUMBER($AA473)),$X473*$AA473,0)</f>
        <v>0</v>
      </c>
      <c r="AK473" s="39">
        <f>SUM(AL473:AR473)</f>
        <v>0</v>
      </c>
      <c r="AL473" s="90"/>
      <c r="AM473" s="38"/>
      <c r="AN473" s="38"/>
      <c r="AO473" s="38"/>
      <c r="AP473" s="38"/>
      <c r="AQ473" s="38"/>
      <c r="AR473" s="91"/>
      <c r="AS473" s="42">
        <f>SUM(AT473:AZ473)</f>
        <v>0</v>
      </c>
      <c r="AT473" s="48"/>
      <c r="AU473" s="48"/>
      <c r="AV473" s="48"/>
      <c r="AW473" s="48"/>
      <c r="AX473" s="48"/>
      <c r="AY473" s="48"/>
      <c r="AZ473" s="48"/>
      <c r="BA473" s="43">
        <f>IF((W473-SUM(AT473:AZ473))&lt;0,0,W473-SUM(AT473:AZ473))</f>
        <v>1</v>
      </c>
      <c r="BB473" s="44"/>
      <c r="BC473" s="47"/>
      <c r="BD473" s="47"/>
    </row>
    <row r="474" spans="1:56" ht="15" customHeight="1">
      <c r="A474" s="49" t="s">
        <v>2182</v>
      </c>
      <c r="B474" s="39" t="s">
        <v>112</v>
      </c>
      <c r="C474" s="46" t="s">
        <v>65</v>
      </c>
      <c r="D474" s="49" t="s">
        <v>84</v>
      </c>
      <c r="E474" s="49" t="s">
        <v>2183</v>
      </c>
      <c r="F474" s="39">
        <v>3</v>
      </c>
      <c r="G474" s="75" t="s">
        <v>2184</v>
      </c>
      <c r="H474" s="50" t="s">
        <v>115</v>
      </c>
      <c r="I474" s="50" t="s">
        <v>2185</v>
      </c>
      <c r="J474" s="50" t="s">
        <v>2186</v>
      </c>
      <c r="K474" s="50" t="s">
        <v>2187</v>
      </c>
      <c r="L474" s="46"/>
      <c r="M474" s="46"/>
      <c r="N474" s="46"/>
      <c r="O474" s="46"/>
      <c r="P474" s="46"/>
      <c r="Q474" s="46"/>
      <c r="R474" s="46"/>
      <c r="S474" s="46"/>
      <c r="T474" s="46"/>
      <c r="U474" s="46"/>
      <c r="V474" s="50" t="s">
        <v>1916</v>
      </c>
      <c r="W474" s="74">
        <v>1</v>
      </c>
      <c r="X474" s="39">
        <f>MAX(0,$AK474-$W474-$Z474)</f>
        <v>0</v>
      </c>
      <c r="Y474" s="39"/>
      <c r="Z474" s="39"/>
      <c r="AA474" s="41">
        <v>0.27</v>
      </c>
      <c r="AB474" s="41">
        <f>IF(AND($X474&gt;0,ISNUMBER($AA474)),$X474*$AA474,0)</f>
        <v>0</v>
      </c>
      <c r="AK474" s="39">
        <f>SUM(AL474:AR474)</f>
        <v>1</v>
      </c>
      <c r="AL474" s="102">
        <v>1</v>
      </c>
      <c r="AM474" s="38"/>
      <c r="AN474" s="38"/>
      <c r="AO474" s="38"/>
      <c r="AP474" s="38"/>
      <c r="AQ474" s="38"/>
      <c r="AR474" s="91"/>
      <c r="AS474" s="42">
        <f>SUM(AT474:AZ474)</f>
        <v>1</v>
      </c>
      <c r="AT474" s="48">
        <v>1</v>
      </c>
      <c r="AU474" s="48"/>
      <c r="AV474" s="48"/>
      <c r="AW474" s="48"/>
      <c r="AX474" s="48"/>
      <c r="AY474" s="48"/>
      <c r="AZ474" s="48"/>
      <c r="BA474" s="43">
        <f>IF((W474-SUM(AT474:AZ474))&lt;0,0,W474-SUM(AT474:AZ474))</f>
        <v>0</v>
      </c>
      <c r="BB474" s="49"/>
      <c r="BC474" s="47"/>
      <c r="BD474" s="47"/>
    </row>
    <row r="475" spans="1:56" ht="15" customHeight="1">
      <c r="A475" s="49" t="s">
        <v>2188</v>
      </c>
      <c r="B475" s="39" t="s">
        <v>112</v>
      </c>
      <c r="C475" s="46" t="s">
        <v>65</v>
      </c>
      <c r="D475" s="49" t="s">
        <v>76</v>
      </c>
      <c r="E475" s="49"/>
      <c r="F475" s="39">
        <v>2</v>
      </c>
      <c r="G475" s="75" t="s">
        <v>2189</v>
      </c>
      <c r="H475" s="50" t="s">
        <v>2190</v>
      </c>
      <c r="I475" s="50" t="s">
        <v>2191</v>
      </c>
      <c r="J475" s="50" t="s">
        <v>2192</v>
      </c>
      <c r="K475" s="50" t="s">
        <v>2193</v>
      </c>
      <c r="L475" s="47"/>
      <c r="M475" s="47"/>
      <c r="N475" s="47"/>
      <c r="O475" s="47"/>
      <c r="P475" s="47"/>
      <c r="Q475" s="47"/>
      <c r="R475" s="47"/>
      <c r="S475" s="47"/>
      <c r="T475" s="47"/>
      <c r="U475" s="47"/>
      <c r="V475" s="50" t="s">
        <v>223</v>
      </c>
      <c r="W475" s="74">
        <v>1</v>
      </c>
      <c r="X475" s="39">
        <f>MAX(0,$AK475-$W475-$Z475)</f>
        <v>0</v>
      </c>
      <c r="Y475" s="39"/>
      <c r="Z475" s="39"/>
      <c r="AA475" s="41">
        <v>0.25</v>
      </c>
      <c r="AB475" s="41">
        <f>IF(AND($X475&gt;0,ISNUMBER($AA475)),$X475*$AA475,0)</f>
        <v>0</v>
      </c>
      <c r="AK475" s="39">
        <f>SUM(AL475:AR475)</f>
        <v>1</v>
      </c>
      <c r="AL475" s="102">
        <v>1</v>
      </c>
      <c r="AM475" s="38"/>
      <c r="AN475" s="38"/>
      <c r="AO475" s="38"/>
      <c r="AP475" s="38"/>
      <c r="AQ475" s="38"/>
      <c r="AR475" s="91"/>
      <c r="AS475" s="42">
        <f>SUM(AT475:AZ475)</f>
        <v>1</v>
      </c>
      <c r="AT475" s="48">
        <v>1</v>
      </c>
      <c r="AU475" s="48"/>
      <c r="AV475" s="48"/>
      <c r="AW475" s="48"/>
      <c r="AX475" s="48"/>
      <c r="AY475" s="48"/>
      <c r="AZ475" s="48"/>
      <c r="BA475" s="43">
        <f>IF((W475-SUM(AT475:AZ475))&lt;0,0,W475-SUM(AT475:AZ475))</f>
        <v>0</v>
      </c>
      <c r="BB475" s="49"/>
      <c r="BC475" s="47"/>
      <c r="BD475" s="47"/>
    </row>
    <row r="476" spans="1:56" ht="15" customHeight="1">
      <c r="A476" s="49" t="s">
        <v>2194</v>
      </c>
      <c r="B476" s="39" t="s">
        <v>112</v>
      </c>
      <c r="C476" s="46" t="s">
        <v>65</v>
      </c>
      <c r="D476" s="49" t="s">
        <v>76</v>
      </c>
      <c r="E476" s="49"/>
      <c r="F476" s="39">
        <v>5</v>
      </c>
      <c r="G476" s="75" t="s">
        <v>2195</v>
      </c>
      <c r="H476" s="50" t="s">
        <v>78</v>
      </c>
      <c r="I476" s="50" t="s">
        <v>2196</v>
      </c>
      <c r="J476" s="50" t="s">
        <v>2197</v>
      </c>
      <c r="K476" s="50" t="s">
        <v>2198</v>
      </c>
      <c r="L476" s="47"/>
      <c r="M476" s="47"/>
      <c r="N476" s="47"/>
      <c r="O476" s="47"/>
      <c r="P476" s="47"/>
      <c r="Q476" s="47"/>
      <c r="R476" s="47"/>
      <c r="S476" s="47"/>
      <c r="T476" s="47"/>
      <c r="U476" s="47"/>
      <c r="V476" s="50" t="s">
        <v>383</v>
      </c>
      <c r="W476" s="74">
        <v>1</v>
      </c>
      <c r="X476" s="39">
        <f>MAX(0,$AK476-$W476-$Z476)</f>
        <v>0</v>
      </c>
      <c r="Y476" s="39"/>
      <c r="Z476" s="39"/>
      <c r="AA476" s="41">
        <v>0.41</v>
      </c>
      <c r="AB476" s="41">
        <f>IF(AND($X476&gt;0,ISNUMBER($AA476)),$X476*$AA476,0)</f>
        <v>0</v>
      </c>
      <c r="AK476" s="39">
        <f>SUM(AL476:AR476)</f>
        <v>0</v>
      </c>
      <c r="AL476" s="90"/>
      <c r="AM476" s="38"/>
      <c r="AN476" s="38"/>
      <c r="AO476" s="38"/>
      <c r="AP476" s="38"/>
      <c r="AQ476" s="38"/>
      <c r="AR476" s="91"/>
      <c r="AS476" s="42">
        <f>SUM(AT476:AZ476)</f>
        <v>0</v>
      </c>
      <c r="AT476" s="48"/>
      <c r="AU476" s="48"/>
      <c r="AV476" s="48"/>
      <c r="AW476" s="48"/>
      <c r="AX476" s="48"/>
      <c r="AY476" s="48"/>
      <c r="AZ476" s="48"/>
      <c r="BA476" s="43">
        <f>IF((W476-SUM(AT476:AZ476))&lt;0,0,W476-SUM(AT476:AZ476))</f>
        <v>1</v>
      </c>
      <c r="BB476" s="49"/>
      <c r="BC476" s="47"/>
      <c r="BD476" s="53"/>
    </row>
    <row r="477" spans="1:56" ht="15" customHeight="1">
      <c r="A477" s="49" t="s">
        <v>2199</v>
      </c>
      <c r="B477" s="39" t="s">
        <v>112</v>
      </c>
      <c r="C477" s="46" t="s">
        <v>65</v>
      </c>
      <c r="D477" s="49" t="s">
        <v>256</v>
      </c>
      <c r="E477" s="49"/>
      <c r="F477" s="39">
        <v>2</v>
      </c>
      <c r="G477" s="75" t="s">
        <v>2200</v>
      </c>
      <c r="H477" s="50" t="s">
        <v>100</v>
      </c>
      <c r="I477" s="50" t="s">
        <v>2201</v>
      </c>
      <c r="J477" s="50" t="s">
        <v>2202</v>
      </c>
      <c r="K477" s="50"/>
      <c r="L477" s="47"/>
      <c r="M477" s="47"/>
      <c r="N477" s="47"/>
      <c r="O477" s="47"/>
      <c r="P477" s="47"/>
      <c r="Q477" s="47"/>
      <c r="R477" s="47"/>
      <c r="S477" s="47"/>
      <c r="T477" s="47"/>
      <c r="U477" s="47"/>
      <c r="V477" s="50" t="s">
        <v>383</v>
      </c>
      <c r="W477" s="74">
        <v>1</v>
      </c>
      <c r="X477" s="39">
        <f>MAX(0,$AK477-$W477-$Z477)</f>
        <v>0</v>
      </c>
      <c r="Y477" s="39"/>
      <c r="Z477" s="39"/>
      <c r="AA477" s="41">
        <v>0.21</v>
      </c>
      <c r="AB477" s="41">
        <f>IF(AND($X477&gt;0,ISNUMBER($AA477)),$X477*$AA477,0)</f>
        <v>0</v>
      </c>
      <c r="AK477" s="39">
        <f>SUM(AL477:AR477)</f>
        <v>1</v>
      </c>
      <c r="AL477" s="102">
        <v>1</v>
      </c>
      <c r="AM477" s="38"/>
      <c r="AN477" s="38"/>
      <c r="AO477" s="38"/>
      <c r="AP477" s="38"/>
      <c r="AQ477" s="38"/>
      <c r="AR477" s="91"/>
      <c r="AS477" s="42">
        <f>SUM(AT477:AZ477)</f>
        <v>1</v>
      </c>
      <c r="AT477" s="48">
        <v>1</v>
      </c>
      <c r="AU477" s="48"/>
      <c r="AV477" s="48"/>
      <c r="AW477" s="48"/>
      <c r="AX477" s="48"/>
      <c r="AY477" s="48"/>
      <c r="AZ477" s="48"/>
      <c r="BA477" s="43">
        <f>IF((W477-SUM(AT477:AZ477))&lt;0,0,W477-SUM(AT477:AZ477))</f>
        <v>0</v>
      </c>
      <c r="BB477" s="49"/>
      <c r="BC477" s="47"/>
      <c r="BD477" s="47"/>
    </row>
    <row r="478" spans="1:56" ht="15" customHeight="1">
      <c r="A478" s="49" t="s">
        <v>2208</v>
      </c>
      <c r="B478" s="39" t="s">
        <v>112</v>
      </c>
      <c r="C478" s="46" t="s">
        <v>65</v>
      </c>
      <c r="D478" s="49" t="s">
        <v>84</v>
      </c>
      <c r="E478" s="49" t="s">
        <v>2209</v>
      </c>
      <c r="F478" s="39">
        <v>2</v>
      </c>
      <c r="G478" s="75" t="s">
        <v>2210</v>
      </c>
      <c r="H478" s="50" t="s">
        <v>845</v>
      </c>
      <c r="I478" s="50" t="s">
        <v>2211</v>
      </c>
      <c r="J478" s="50" t="s">
        <v>2212</v>
      </c>
      <c r="K478" s="50"/>
      <c r="L478" s="47"/>
      <c r="M478" s="47"/>
      <c r="N478" s="47"/>
      <c r="O478" s="47"/>
      <c r="P478" s="47"/>
      <c r="Q478" s="47"/>
      <c r="R478" s="47"/>
      <c r="S478" s="47"/>
      <c r="T478" s="47"/>
      <c r="U478" s="47"/>
      <c r="V478" s="50" t="s">
        <v>281</v>
      </c>
      <c r="W478" s="74">
        <v>1</v>
      </c>
      <c r="X478" s="39">
        <f>MAX(0,$AK478-$W478-$Z478)</f>
        <v>0</v>
      </c>
      <c r="Y478" s="39"/>
      <c r="Z478" s="39"/>
      <c r="AA478" s="41">
        <v>0.24</v>
      </c>
      <c r="AB478" s="41">
        <f>IF(AND($X478&gt;0,ISNUMBER($AA478)),$X478*$AA478,0)</f>
        <v>0</v>
      </c>
      <c r="AK478" s="39">
        <f>SUM(AL478:AR478)</f>
        <v>1</v>
      </c>
      <c r="AL478" s="90"/>
      <c r="AM478" s="38"/>
      <c r="AN478" s="97">
        <v>1</v>
      </c>
      <c r="AO478" s="38"/>
      <c r="AP478" s="38"/>
      <c r="AQ478" s="38"/>
      <c r="AR478" s="91"/>
      <c r="AS478" s="42">
        <f>SUM(AT478:AZ478)</f>
        <v>1</v>
      </c>
      <c r="AT478" s="48"/>
      <c r="AU478" s="48"/>
      <c r="AV478" s="48">
        <v>1</v>
      </c>
      <c r="AW478" s="48"/>
      <c r="AX478" s="48"/>
      <c r="AY478" s="48"/>
      <c r="AZ478" s="48"/>
      <c r="BA478" s="43">
        <f>IF((W478-SUM(AT478:AZ478))&lt;0,0,W478-SUM(AT478:AZ478))</f>
        <v>0</v>
      </c>
      <c r="BB478" s="49"/>
      <c r="BC478" s="47"/>
      <c r="BD478" s="47"/>
    </row>
    <row r="479" spans="1:56" ht="15" customHeight="1">
      <c r="A479" s="61" t="s">
        <v>2213</v>
      </c>
      <c r="B479" s="62" t="s">
        <v>112</v>
      </c>
      <c r="C479" s="46" t="s">
        <v>65</v>
      </c>
      <c r="D479" s="61" t="s">
        <v>84</v>
      </c>
      <c r="E479" s="61" t="s">
        <v>2059</v>
      </c>
      <c r="F479" s="129">
        <v>5</v>
      </c>
      <c r="G479" s="75" t="s">
        <v>2214</v>
      </c>
      <c r="H479" s="126" t="s">
        <v>153</v>
      </c>
      <c r="I479" s="126" t="s">
        <v>2215</v>
      </c>
      <c r="J479" s="126" t="s">
        <v>2216</v>
      </c>
      <c r="K479" s="126" t="s">
        <v>2217</v>
      </c>
      <c r="L479" s="47"/>
      <c r="M479" s="47"/>
      <c r="N479" s="47"/>
      <c r="O479" s="68"/>
      <c r="P479" s="68"/>
      <c r="Q479" s="47"/>
      <c r="R479" s="47"/>
      <c r="S479" s="47"/>
      <c r="T479" s="68"/>
      <c r="U479" s="68"/>
      <c r="V479" s="126" t="s">
        <v>119</v>
      </c>
      <c r="W479" s="74">
        <v>2</v>
      </c>
      <c r="X479" s="39">
        <f>MAX(0,$AK479-$W479-$Z479)</f>
        <v>0</v>
      </c>
      <c r="Y479" s="126"/>
      <c r="Z479" s="126"/>
      <c r="AA479" s="126">
        <v>0.14000000000000001</v>
      </c>
      <c r="AB479" s="44">
        <f>IF(AND($X479&gt;0,ISNUMBER($AA479)),$X479*$AA479,0)</f>
        <v>0</v>
      </c>
      <c r="AK479" s="39">
        <f>SUM(AL479:AR479)</f>
        <v>0</v>
      </c>
      <c r="AL479" s="90"/>
      <c r="AM479" s="38"/>
      <c r="AN479" s="38"/>
      <c r="AO479" s="38"/>
      <c r="AP479" s="38"/>
      <c r="AQ479" s="38"/>
      <c r="AR479" s="91"/>
      <c r="AS479" s="42">
        <f>SUM(AT479:AZ479)</f>
        <v>0</v>
      </c>
      <c r="AT479" s="48"/>
      <c r="AU479" s="48"/>
      <c r="AV479" s="48"/>
      <c r="AW479" s="48"/>
      <c r="AX479" s="48"/>
      <c r="AY479" s="48"/>
      <c r="AZ479" s="48"/>
      <c r="BA479" s="43">
        <f>IF((W479-SUM(AT479:AZ479))&lt;0,0,W479-SUM(AT479:AZ479))</f>
        <v>2</v>
      </c>
      <c r="BB479" s="126"/>
      <c r="BC479" s="47"/>
      <c r="BD479" s="47"/>
    </row>
    <row r="480" spans="1:56" ht="15" customHeight="1">
      <c r="A480" s="56" t="s">
        <v>2221</v>
      </c>
      <c r="B480" s="57" t="s">
        <v>112</v>
      </c>
      <c r="C480" s="46" t="s">
        <v>65</v>
      </c>
      <c r="D480" s="56" t="s">
        <v>84</v>
      </c>
      <c r="E480" s="56" t="s">
        <v>2222</v>
      </c>
      <c r="F480" s="127">
        <v>2</v>
      </c>
      <c r="G480" s="75" t="s">
        <v>2223</v>
      </c>
      <c r="H480" s="131" t="s">
        <v>1182</v>
      </c>
      <c r="I480" s="131" t="s">
        <v>2224</v>
      </c>
      <c r="J480" s="131"/>
      <c r="K480" s="131"/>
      <c r="L480" s="47"/>
      <c r="M480" s="47"/>
      <c r="N480" s="47"/>
      <c r="O480" s="47"/>
      <c r="P480" s="47"/>
      <c r="Q480" s="47"/>
      <c r="R480" s="47"/>
      <c r="S480" s="47"/>
      <c r="T480" s="47"/>
      <c r="U480" s="47"/>
      <c r="V480" s="131" t="s">
        <v>509</v>
      </c>
      <c r="W480" s="74">
        <v>1</v>
      </c>
      <c r="X480" s="57">
        <f>MAX(0,$AK480-$W480-$Z480)</f>
        <v>0</v>
      </c>
      <c r="Y480" s="127"/>
      <c r="Z480" s="127"/>
      <c r="AA480" s="132">
        <v>0.23</v>
      </c>
      <c r="AB480" s="60">
        <f>IF(AND($X480&gt;0,ISNUMBER($AA480)),$X480*$AA480,0)</f>
        <v>0</v>
      </c>
      <c r="AK480" s="39">
        <f>SUM(AL480:AR480)</f>
        <v>1</v>
      </c>
      <c r="AL480" s="90"/>
      <c r="AM480" s="97">
        <v>1</v>
      </c>
      <c r="AN480" s="38"/>
      <c r="AO480" s="38"/>
      <c r="AP480" s="38"/>
      <c r="AQ480" s="38"/>
      <c r="AR480" s="91"/>
      <c r="AS480" s="42">
        <f>SUM(AT480:AZ480)</f>
        <v>1</v>
      </c>
      <c r="AT480" s="48"/>
      <c r="AU480" s="48">
        <v>1</v>
      </c>
      <c r="AV480" s="48"/>
      <c r="AW480" s="48"/>
      <c r="AX480" s="48"/>
      <c r="AY480" s="48"/>
      <c r="AZ480" s="48"/>
      <c r="BA480" s="43">
        <f>IF((W480-SUM(AT480:AZ480))&lt;0,0,W480-SUM(AT480:AZ480))</f>
        <v>0</v>
      </c>
      <c r="BB480" s="125"/>
      <c r="BC480" s="47"/>
      <c r="BD480" s="47"/>
    </row>
    <row r="481" spans="1:56" ht="15" customHeight="1">
      <c r="A481" s="56" t="s">
        <v>2225</v>
      </c>
      <c r="B481" s="57" t="s">
        <v>112</v>
      </c>
      <c r="C481" s="46" t="s">
        <v>65</v>
      </c>
      <c r="D481" s="56" t="s">
        <v>76</v>
      </c>
      <c r="E481" s="56"/>
      <c r="F481" s="127">
        <v>2</v>
      </c>
      <c r="G481" s="75" t="s">
        <v>2226</v>
      </c>
      <c r="H481" s="131" t="s">
        <v>1182</v>
      </c>
      <c r="I481" s="131" t="s">
        <v>2227</v>
      </c>
      <c r="J481" s="131" t="s">
        <v>2228</v>
      </c>
      <c r="K481" s="131"/>
      <c r="L481" s="47"/>
      <c r="M481" s="47"/>
      <c r="N481" s="47"/>
      <c r="O481" s="47"/>
      <c r="P481" s="47"/>
      <c r="Q481" s="47"/>
      <c r="R481" s="47"/>
      <c r="S481" s="47"/>
      <c r="T481" s="47"/>
      <c r="U481" s="47"/>
      <c r="V481" s="131" t="s">
        <v>1069</v>
      </c>
      <c r="W481" s="74">
        <v>0</v>
      </c>
      <c r="X481" s="57">
        <f>MAX(0,$AK481-$W481-$Z481)</f>
        <v>0</v>
      </c>
      <c r="Y481" s="127"/>
      <c r="Z481" s="127"/>
      <c r="AA481" s="132">
        <v>0.19</v>
      </c>
      <c r="AB481" s="60">
        <f>IF(AND($X481&gt;0,ISNUMBER($AA481)),$X481*$AA481,0)</f>
        <v>0</v>
      </c>
      <c r="AC481" s="59"/>
      <c r="AD481" s="59"/>
      <c r="AE481" s="59"/>
      <c r="AF481" s="59"/>
      <c r="AG481" s="59"/>
      <c r="AH481" s="59"/>
      <c r="AI481" s="59"/>
      <c r="AJ481" s="59"/>
      <c r="AK481" s="39">
        <f>SUM(AL481:AR481)</f>
        <v>0</v>
      </c>
      <c r="AL481" s="114"/>
      <c r="AM481" s="43"/>
      <c r="AN481" s="43"/>
      <c r="AO481" s="43"/>
      <c r="AP481" s="43"/>
      <c r="AQ481" s="43"/>
      <c r="AR481" s="116"/>
      <c r="AS481" s="42">
        <f>SUM(AT481:AZ481)</f>
        <v>0</v>
      </c>
      <c r="AT481" s="48"/>
      <c r="AU481" s="48"/>
      <c r="AV481" s="48"/>
      <c r="AW481" s="48"/>
      <c r="AX481" s="48"/>
      <c r="AY481" s="48"/>
      <c r="AZ481" s="48"/>
      <c r="BA481" s="43">
        <f>IF((W481-SUM(AT481:AZ481))&lt;0,0,W481-SUM(AT481:AZ481))</f>
        <v>0</v>
      </c>
      <c r="BB481" s="125"/>
      <c r="BC481" s="47"/>
      <c r="BD481" s="47"/>
    </row>
    <row r="482" spans="1:56" ht="15" customHeight="1">
      <c r="A482" s="56" t="s">
        <v>2229</v>
      </c>
      <c r="B482" s="57" t="s">
        <v>112</v>
      </c>
      <c r="C482" s="46" t="s">
        <v>65</v>
      </c>
      <c r="D482" s="56" t="s">
        <v>76</v>
      </c>
      <c r="E482" s="56"/>
      <c r="F482" s="127">
        <v>3</v>
      </c>
      <c r="G482" s="75" t="s">
        <v>2230</v>
      </c>
      <c r="H482" s="131" t="s">
        <v>78</v>
      </c>
      <c r="I482" s="131" t="s">
        <v>2231</v>
      </c>
      <c r="J482" s="131"/>
      <c r="K482" s="131"/>
      <c r="L482" s="47"/>
      <c r="M482" s="47"/>
      <c r="N482" s="47"/>
      <c r="O482" s="47"/>
      <c r="P482" s="47"/>
      <c r="Q482" s="47"/>
      <c r="R482" s="47"/>
      <c r="S482" s="47"/>
      <c r="T482" s="47"/>
      <c r="U482" s="47"/>
      <c r="V482" s="131" t="s">
        <v>335</v>
      </c>
      <c r="W482" s="74">
        <v>1</v>
      </c>
      <c r="X482" s="57">
        <f>MAX(0,$AK482-$W482-$Z482)</f>
        <v>0</v>
      </c>
      <c r="Y482" s="127"/>
      <c r="Z482" s="127"/>
      <c r="AA482" s="132">
        <v>0.18</v>
      </c>
      <c r="AB482" s="60">
        <f>IF(AND($X482&gt;0,ISNUMBER($AA482)),$X482*$AA482,0)</f>
        <v>0</v>
      </c>
      <c r="AK482" s="39">
        <f>SUM(AL482:AR482)</f>
        <v>1</v>
      </c>
      <c r="AL482" s="90"/>
      <c r="AM482" s="38"/>
      <c r="AN482" s="97">
        <v>1</v>
      </c>
      <c r="AO482" s="38"/>
      <c r="AP482" s="38"/>
      <c r="AQ482" s="38"/>
      <c r="AR482" s="91"/>
      <c r="AS482" s="42">
        <f>SUM(AT482:AZ482)</f>
        <v>1</v>
      </c>
      <c r="AT482" s="48"/>
      <c r="AU482" s="48"/>
      <c r="AV482" s="48">
        <v>1</v>
      </c>
      <c r="AW482" s="48"/>
      <c r="AX482" s="48"/>
      <c r="AY482" s="48"/>
      <c r="AZ482" s="48"/>
      <c r="BA482" s="43">
        <f>IF((W482-SUM(AT482:AZ482))&lt;0,0,W482-SUM(AT482:AZ482))</f>
        <v>0</v>
      </c>
      <c r="BB482" s="125"/>
      <c r="BC482" s="47"/>
      <c r="BD482" s="47"/>
    </row>
    <row r="483" spans="1:56" ht="15" customHeight="1">
      <c r="A483" s="56" t="s">
        <v>2232</v>
      </c>
      <c r="B483" s="62" t="s">
        <v>112</v>
      </c>
      <c r="C483" s="46" t="s">
        <v>65</v>
      </c>
      <c r="D483" s="61" t="s">
        <v>178</v>
      </c>
      <c r="E483" s="61" t="s">
        <v>2233</v>
      </c>
      <c r="F483" s="129">
        <v>2</v>
      </c>
      <c r="G483" s="75" t="s">
        <v>2234</v>
      </c>
      <c r="H483" s="126" t="s">
        <v>499</v>
      </c>
      <c r="I483" s="126" t="s">
        <v>2235</v>
      </c>
      <c r="J483" s="126"/>
      <c r="K483" s="126"/>
      <c r="L483" s="47"/>
      <c r="M483" s="47"/>
      <c r="N483" s="47"/>
      <c r="O483" s="68"/>
      <c r="P483" s="68"/>
      <c r="Q483" s="47"/>
      <c r="R483" s="47"/>
      <c r="S483" s="47"/>
      <c r="T483" s="68"/>
      <c r="U483" s="68"/>
      <c r="V483" s="126" t="s">
        <v>167</v>
      </c>
      <c r="W483" s="74">
        <v>1</v>
      </c>
      <c r="X483" s="57">
        <f>MAX(0,$AK483-$W483-$Z483)</f>
        <v>0</v>
      </c>
      <c r="Y483" s="126"/>
      <c r="Z483" s="126"/>
      <c r="AA483" s="126">
        <v>0.14000000000000001</v>
      </c>
      <c r="AB483" s="61">
        <f>IF(AND($X483&gt;0,ISNUMBER($AA483)),$X483*$AA483,0)</f>
        <v>0</v>
      </c>
      <c r="AK483" s="39">
        <f>SUM(AL483:AR483)</f>
        <v>0</v>
      </c>
      <c r="AL483" s="90"/>
      <c r="AM483" s="38"/>
      <c r="AN483" s="38"/>
      <c r="AO483" s="38"/>
      <c r="AP483" s="38"/>
      <c r="AQ483" s="38"/>
      <c r="AR483" s="91"/>
      <c r="AS483" s="42">
        <f>SUM(AT483:AZ483)</f>
        <v>0</v>
      </c>
      <c r="AT483" s="48"/>
      <c r="AU483" s="48"/>
      <c r="AV483" s="48"/>
      <c r="AW483" s="48"/>
      <c r="AX483" s="48"/>
      <c r="AY483" s="48"/>
      <c r="AZ483" s="48"/>
      <c r="BA483" s="43">
        <f>IF((W483-SUM(AT483:AZ483))&lt;0,0,W483-SUM(AT483:AZ483))</f>
        <v>1</v>
      </c>
      <c r="BB483" s="126"/>
      <c r="BC483" s="47"/>
      <c r="BD483" s="47"/>
    </row>
    <row r="484" spans="1:56" ht="15" customHeight="1">
      <c r="A484" s="61" t="s">
        <v>2236</v>
      </c>
      <c r="B484" s="62" t="s">
        <v>112</v>
      </c>
      <c r="C484" s="46" t="s">
        <v>65</v>
      </c>
      <c r="D484" s="61" t="s">
        <v>84</v>
      </c>
      <c r="E484" s="61" t="s">
        <v>2237</v>
      </c>
      <c r="F484" s="129">
        <v>3</v>
      </c>
      <c r="G484" s="75" t="s">
        <v>2238</v>
      </c>
      <c r="H484" s="126" t="s">
        <v>153</v>
      </c>
      <c r="I484" s="126" t="s">
        <v>2239</v>
      </c>
      <c r="J484" s="126" t="s">
        <v>1658</v>
      </c>
      <c r="K484" s="126"/>
      <c r="L484" s="47"/>
      <c r="M484" s="47"/>
      <c r="N484" s="47"/>
      <c r="O484" s="68"/>
      <c r="P484" s="68"/>
      <c r="Q484" s="47"/>
      <c r="R484" s="47"/>
      <c r="S484" s="47"/>
      <c r="T484" s="68"/>
      <c r="U484" s="68"/>
      <c r="V484" s="126" t="s">
        <v>167</v>
      </c>
      <c r="W484" s="74">
        <v>2</v>
      </c>
      <c r="X484" s="57">
        <f>MAX(0,$AK484-$W484-$Z484)</f>
        <v>0</v>
      </c>
      <c r="Y484" s="126"/>
      <c r="Z484" s="126"/>
      <c r="AA484" s="126">
        <v>0.14000000000000001</v>
      </c>
      <c r="AB484" s="61">
        <f>IF(AND($X484&gt;0,ISNUMBER($AA484)),$X484*$AA484,0)</f>
        <v>0</v>
      </c>
      <c r="AK484" s="39">
        <f>SUM(AL484:AR484)</f>
        <v>0</v>
      </c>
      <c r="AL484" s="90"/>
      <c r="AM484" s="38"/>
      <c r="AN484" s="38"/>
      <c r="AO484" s="38"/>
      <c r="AP484" s="38"/>
      <c r="AQ484" s="38"/>
      <c r="AR484" s="91"/>
      <c r="AS484" s="42">
        <f>SUM(AT484:AZ484)</f>
        <v>0</v>
      </c>
      <c r="AT484" s="48"/>
      <c r="AU484" s="48"/>
      <c r="AV484" s="48"/>
      <c r="AW484" s="48"/>
      <c r="AX484" s="48"/>
      <c r="AY484" s="48"/>
      <c r="AZ484" s="48"/>
      <c r="BA484" s="43">
        <f>IF((W484-SUM(AT484:AZ484))&lt;0,0,W484-SUM(AT484:AZ484))</f>
        <v>2</v>
      </c>
      <c r="BB484" s="126"/>
      <c r="BC484" s="47"/>
      <c r="BD484" s="47"/>
    </row>
    <row r="485" spans="1:56" ht="15" customHeight="1">
      <c r="A485" s="64" t="s">
        <v>2240</v>
      </c>
      <c r="B485" s="65" t="s">
        <v>112</v>
      </c>
      <c r="C485" s="38" t="s">
        <v>65</v>
      </c>
      <c r="D485" s="64" t="s">
        <v>84</v>
      </c>
      <c r="E485" s="64" t="s">
        <v>2241</v>
      </c>
      <c r="F485" s="130">
        <v>3</v>
      </c>
      <c r="G485" s="75" t="s">
        <v>2242</v>
      </c>
      <c r="H485" s="130" t="s">
        <v>679</v>
      </c>
      <c r="I485" s="130" t="s">
        <v>2243</v>
      </c>
      <c r="J485" s="130" t="s">
        <v>2244</v>
      </c>
      <c r="K485" s="130"/>
      <c r="L485" s="37"/>
      <c r="M485" s="37"/>
      <c r="N485" s="37"/>
      <c r="O485" s="68"/>
      <c r="P485" s="68"/>
      <c r="Q485" s="37"/>
      <c r="R485" s="37"/>
      <c r="S485" s="37"/>
      <c r="T485" s="68"/>
      <c r="U485" s="68"/>
      <c r="V485" s="130" t="s">
        <v>223</v>
      </c>
      <c r="W485" s="74">
        <v>1</v>
      </c>
      <c r="X485" s="57">
        <f>MAX(0,$AK485-$W485-$Z485)</f>
        <v>0</v>
      </c>
      <c r="Y485" s="130"/>
      <c r="Z485" s="130"/>
      <c r="AA485" s="130">
        <v>0.25</v>
      </c>
      <c r="AB485" s="60">
        <f>IF(AND($X485&gt;0,ISNUMBER($AA485)),$X485*$AA485,0)</f>
        <v>0</v>
      </c>
      <c r="AK485" s="39">
        <f>SUM(AL485:AR485)</f>
        <v>0</v>
      </c>
      <c r="AL485" s="90"/>
      <c r="AM485" s="38"/>
      <c r="AN485" s="38"/>
      <c r="AO485" s="38"/>
      <c r="AP485" s="38"/>
      <c r="AQ485" s="38"/>
      <c r="AR485" s="91"/>
      <c r="AS485" s="42">
        <f>SUM(AT485:AZ485)</f>
        <v>0</v>
      </c>
      <c r="AT485" s="48"/>
      <c r="AU485" s="48"/>
      <c r="AV485" s="48"/>
      <c r="AW485" s="48"/>
      <c r="AX485" s="48"/>
      <c r="AY485" s="48"/>
      <c r="AZ485" s="48"/>
      <c r="BA485" s="43">
        <f>IF((W485-SUM(AT485:AZ485))&lt;0,0,W485-SUM(AT485:AZ485))</f>
        <v>1</v>
      </c>
      <c r="BB485" s="130"/>
      <c r="BC485" s="37"/>
      <c r="BD485" s="37"/>
    </row>
    <row r="486" spans="1:56" ht="15" customHeight="1">
      <c r="A486" s="56" t="s">
        <v>2245</v>
      </c>
      <c r="B486" s="57" t="s">
        <v>112</v>
      </c>
      <c r="C486" s="46" t="s">
        <v>65</v>
      </c>
      <c r="D486" s="56" t="s">
        <v>84</v>
      </c>
      <c r="E486" s="56" t="s">
        <v>2246</v>
      </c>
      <c r="F486" s="127">
        <v>2</v>
      </c>
      <c r="G486" s="75" t="s">
        <v>2247</v>
      </c>
      <c r="H486" s="131" t="s">
        <v>238</v>
      </c>
      <c r="I486" s="131" t="s">
        <v>2248</v>
      </c>
      <c r="J486" s="131" t="s">
        <v>2249</v>
      </c>
      <c r="K486" s="131"/>
      <c r="L486" s="47"/>
      <c r="M486" s="47"/>
      <c r="N486" s="47"/>
      <c r="O486" s="68"/>
      <c r="P486" s="68"/>
      <c r="Q486" s="47"/>
      <c r="R486" s="47"/>
      <c r="S486" s="47"/>
      <c r="T486" s="68"/>
      <c r="U486" s="68"/>
      <c r="V486" s="131" t="s">
        <v>568</v>
      </c>
      <c r="W486" s="74">
        <v>2</v>
      </c>
      <c r="X486" s="57">
        <f>MAX(0,$AK486-$W486-$Z486)</f>
        <v>0</v>
      </c>
      <c r="Y486" s="127"/>
      <c r="Z486" s="127"/>
      <c r="AA486" s="132">
        <v>0.13</v>
      </c>
      <c r="AB486" s="60">
        <f>IF(AND($X486&gt;0,ISNUMBER($AA486)),$X486*$AA486,0)</f>
        <v>0</v>
      </c>
      <c r="AK486" s="39">
        <f>SUM(AL486:AR486)</f>
        <v>0</v>
      </c>
      <c r="AL486" s="90"/>
      <c r="AM486" s="38"/>
      <c r="AN486" s="38"/>
      <c r="AO486" s="38"/>
      <c r="AP486" s="38"/>
      <c r="AQ486" s="38"/>
      <c r="AR486" s="91"/>
      <c r="AS486" s="42">
        <f>SUM(AT486:AZ486)</f>
        <v>0</v>
      </c>
      <c r="AT486" s="48"/>
      <c r="AU486" s="48"/>
      <c r="AV486" s="48"/>
      <c r="AW486" s="48"/>
      <c r="AX486" s="48"/>
      <c r="AY486" s="48"/>
      <c r="AZ486" s="48"/>
      <c r="BA486" s="43">
        <f>IF((W486-SUM(AT486:AZ486))&lt;0,0,W486-SUM(AT486:AZ486))</f>
        <v>2</v>
      </c>
      <c r="BB486" s="125"/>
      <c r="BC486" s="47"/>
      <c r="BD486" s="47"/>
    </row>
    <row r="487" spans="1:56" ht="15" customHeight="1">
      <c r="A487" s="56" t="s">
        <v>2250</v>
      </c>
      <c r="B487" s="57" t="s">
        <v>112</v>
      </c>
      <c r="C487" s="46" t="s">
        <v>65</v>
      </c>
      <c r="D487" s="56" t="s">
        <v>84</v>
      </c>
      <c r="E487" s="56" t="s">
        <v>2251</v>
      </c>
      <c r="F487" s="127">
        <v>2</v>
      </c>
      <c r="G487" s="75" t="s">
        <v>2252</v>
      </c>
      <c r="H487" s="131" t="s">
        <v>153</v>
      </c>
      <c r="I487" s="131" t="s">
        <v>2253</v>
      </c>
      <c r="J487" s="131"/>
      <c r="K487" s="131"/>
      <c r="L487" s="108" t="s">
        <v>2254</v>
      </c>
      <c r="M487" s="46">
        <v>1</v>
      </c>
      <c r="N487" s="46">
        <v>1</v>
      </c>
      <c r="O487" s="68" t="s">
        <v>2255</v>
      </c>
      <c r="P487" s="110">
        <v>0.16</v>
      </c>
      <c r="Q487" s="47"/>
      <c r="R487" s="47"/>
      <c r="S487" s="47"/>
      <c r="T487" s="68"/>
      <c r="U487" s="68"/>
      <c r="V487" s="131" t="s">
        <v>568</v>
      </c>
      <c r="W487" s="74">
        <v>2</v>
      </c>
      <c r="X487" s="57">
        <f>MAX(0,$AK487-$W487-$Z487)</f>
        <v>0</v>
      </c>
      <c r="Y487" s="127"/>
      <c r="Z487" s="127"/>
      <c r="AA487" s="132">
        <v>0.16</v>
      </c>
      <c r="AB487" s="60">
        <f>IF(AND($X487&gt;0,ISNUMBER($AA487)),$X487*$AA487,0)</f>
        <v>0</v>
      </c>
      <c r="AK487" s="39">
        <f>SUM(AL487:AR487)</f>
        <v>0</v>
      </c>
      <c r="AL487" s="90"/>
      <c r="AM487" s="38"/>
      <c r="AN487" s="38"/>
      <c r="AO487" s="38"/>
      <c r="AP487" s="38"/>
      <c r="AQ487" s="38"/>
      <c r="AR487" s="91"/>
      <c r="AS487" s="42">
        <f>SUM(AT487:AZ487)</f>
        <v>0</v>
      </c>
      <c r="AT487" s="48"/>
      <c r="AU487" s="48"/>
      <c r="AV487" s="48"/>
      <c r="AW487" s="48"/>
      <c r="AX487" s="48"/>
      <c r="AY487" s="48"/>
      <c r="AZ487" s="48"/>
      <c r="BA487" s="43">
        <f>IF((W487-SUM(AT487:AZ487))&lt;0,0,W487-SUM(AT487:AZ487))</f>
        <v>2</v>
      </c>
      <c r="BB487" s="125"/>
      <c r="BC487" s="47"/>
      <c r="BD487" s="47"/>
    </row>
    <row r="488" spans="1:56" ht="15" customHeight="1">
      <c r="A488" s="56" t="s">
        <v>120</v>
      </c>
      <c r="B488" s="57" t="s">
        <v>112</v>
      </c>
      <c r="C488" s="46" t="s">
        <v>65</v>
      </c>
      <c r="D488" s="56" t="s">
        <v>84</v>
      </c>
      <c r="E488" s="56" t="s">
        <v>121</v>
      </c>
      <c r="F488" s="127">
        <v>3</v>
      </c>
      <c r="G488" s="75" t="s">
        <v>122</v>
      </c>
      <c r="H488" s="131" t="s">
        <v>123</v>
      </c>
      <c r="I488" s="131" t="s">
        <v>124</v>
      </c>
      <c r="J488" s="131" t="s">
        <v>125</v>
      </c>
      <c r="K488" s="131"/>
      <c r="L488" s="47"/>
      <c r="M488" s="47"/>
      <c r="N488" s="47"/>
      <c r="O488" s="47"/>
      <c r="P488" s="47"/>
      <c r="Q488" s="47"/>
      <c r="R488" s="47"/>
      <c r="S488" s="47"/>
      <c r="T488" s="47"/>
      <c r="U488" s="47"/>
      <c r="V488" s="131" t="s">
        <v>119</v>
      </c>
      <c r="W488" s="74">
        <v>1</v>
      </c>
      <c r="X488" s="57">
        <f>MAX(0,$AK488-$W488-$Z488)</f>
        <v>0</v>
      </c>
      <c r="Y488" s="127"/>
      <c r="Z488" s="127"/>
      <c r="AA488" s="132">
        <v>0.13</v>
      </c>
      <c r="AB488" s="60">
        <f>IF(AND($X488&gt;0,ISNUMBER($AA488)),$X488*$AA488,0)</f>
        <v>0</v>
      </c>
      <c r="AK488" s="39">
        <f>SUM(AL488:AR488)</f>
        <v>0</v>
      </c>
      <c r="AL488" s="90"/>
      <c r="AM488" s="38"/>
      <c r="AN488" s="38"/>
      <c r="AO488" s="38"/>
      <c r="AP488" s="38"/>
      <c r="AQ488" s="38"/>
      <c r="AR488" s="91"/>
      <c r="AS488" s="42">
        <f>SUM(AT488:AZ488)</f>
        <v>0</v>
      </c>
      <c r="AT488" s="48"/>
      <c r="AU488" s="48"/>
      <c r="AV488" s="48"/>
      <c r="AW488" s="48"/>
      <c r="AX488" s="48"/>
      <c r="AY488" s="48"/>
      <c r="AZ488" s="48"/>
      <c r="BA488" s="43">
        <f>IF((W488-SUM(AT488:AZ488))&lt;0,0,W488-SUM(AT488:AZ488))</f>
        <v>1</v>
      </c>
      <c r="BB488" s="125"/>
      <c r="BC488" s="47"/>
      <c r="BD488" s="47"/>
    </row>
    <row r="489" spans="1:56" ht="15" customHeight="1">
      <c r="A489" s="56" t="s">
        <v>2256</v>
      </c>
      <c r="B489" s="57" t="s">
        <v>112</v>
      </c>
      <c r="C489" s="46" t="s">
        <v>65</v>
      </c>
      <c r="D489" s="56" t="s">
        <v>84</v>
      </c>
      <c r="E489" s="56" t="s">
        <v>531</v>
      </c>
      <c r="F489" s="127">
        <v>2</v>
      </c>
      <c r="G489" s="75" t="s">
        <v>2257</v>
      </c>
      <c r="H489" s="131" t="s">
        <v>889</v>
      </c>
      <c r="I489" s="131" t="s">
        <v>2258</v>
      </c>
      <c r="J489" s="131" t="s">
        <v>2259</v>
      </c>
      <c r="K489" s="131"/>
      <c r="L489" s="47"/>
      <c r="M489" s="47"/>
      <c r="N489" s="47"/>
      <c r="O489" s="47"/>
      <c r="P489" s="47"/>
      <c r="Q489" s="47"/>
      <c r="R489" s="47"/>
      <c r="S489" s="47"/>
      <c r="T489" s="47"/>
      <c r="U489" s="47"/>
      <c r="V489" s="131" t="s">
        <v>1589</v>
      </c>
      <c r="W489" s="74">
        <v>0</v>
      </c>
      <c r="X489" s="57">
        <f>MAX(0,$AK489-$W489-$Z489)</f>
        <v>0</v>
      </c>
      <c r="Y489" s="127"/>
      <c r="Z489" s="127"/>
      <c r="AA489" s="132">
        <v>0.36</v>
      </c>
      <c r="AB489" s="60">
        <f>IF(AND($X489&gt;0,ISNUMBER($AA489)),$X489*$AA489,0)</f>
        <v>0</v>
      </c>
      <c r="AC489" s="59"/>
      <c r="AD489" s="59"/>
      <c r="AE489" s="59"/>
      <c r="AF489" s="59"/>
      <c r="AG489" s="59"/>
      <c r="AH489" s="59"/>
      <c r="AI489" s="59"/>
      <c r="AJ489" s="59"/>
      <c r="AK489" s="39">
        <f>SUM(AL489:AR489)</f>
        <v>0</v>
      </c>
      <c r="AL489" s="114"/>
      <c r="AM489" s="43"/>
      <c r="AN489" s="43"/>
      <c r="AO489" s="43"/>
      <c r="AP489" s="43"/>
      <c r="AQ489" s="43"/>
      <c r="AR489" s="116"/>
      <c r="AS489" s="42">
        <f>SUM(AT489:AZ489)</f>
        <v>0</v>
      </c>
      <c r="AT489" s="48"/>
      <c r="AU489" s="48"/>
      <c r="AV489" s="48"/>
      <c r="AW489" s="48"/>
      <c r="AX489" s="48"/>
      <c r="AY489" s="48"/>
      <c r="AZ489" s="48"/>
      <c r="BA489" s="43">
        <f>IF((W489-SUM(AT489:AZ489))&lt;0,0,W489-SUM(AT489:AZ489))</f>
        <v>0</v>
      </c>
      <c r="BB489" s="125"/>
      <c r="BC489" s="47"/>
      <c r="BD489" s="47"/>
    </row>
    <row r="490" spans="1:56" ht="15" customHeight="1">
      <c r="A490" s="64" t="s">
        <v>2260</v>
      </c>
      <c r="B490" s="65" t="s">
        <v>112</v>
      </c>
      <c r="C490" s="38" t="s">
        <v>65</v>
      </c>
      <c r="D490" s="64" t="s">
        <v>84</v>
      </c>
      <c r="E490" s="64" t="s">
        <v>2261</v>
      </c>
      <c r="F490" s="130">
        <v>2</v>
      </c>
      <c r="G490" s="75" t="s">
        <v>2262</v>
      </c>
      <c r="H490" s="130" t="s">
        <v>815</v>
      </c>
      <c r="I490" s="130" t="s">
        <v>2263</v>
      </c>
      <c r="J490" s="130" t="s">
        <v>1201</v>
      </c>
      <c r="K490" s="130"/>
      <c r="L490" s="37"/>
      <c r="M490" s="37"/>
      <c r="N490" s="37"/>
      <c r="O490" s="68"/>
      <c r="P490" s="68"/>
      <c r="Q490" s="37"/>
      <c r="R490" s="37"/>
      <c r="S490" s="37"/>
      <c r="T490" s="68"/>
      <c r="U490" s="68"/>
      <c r="V490" s="130" t="s">
        <v>223</v>
      </c>
      <c r="W490" s="74">
        <v>1</v>
      </c>
      <c r="X490" s="57">
        <f>MAX(0,$AK490-$W490-$Z490)</f>
        <v>0</v>
      </c>
      <c r="Y490" s="130"/>
      <c r="Z490" s="130"/>
      <c r="AA490" s="130">
        <v>0.18</v>
      </c>
      <c r="AB490" s="60">
        <f>IF(AND($X490&gt;0,ISNUMBER($AA490)),$X490*$AA490,0)</f>
        <v>0</v>
      </c>
      <c r="AE490" s="63"/>
      <c r="AK490" s="39">
        <f>SUM(AL490:AR490)</f>
        <v>0</v>
      </c>
      <c r="AL490" s="90"/>
      <c r="AM490" s="38"/>
      <c r="AN490" s="38"/>
      <c r="AO490" s="38"/>
      <c r="AP490" s="38"/>
      <c r="AQ490" s="38"/>
      <c r="AR490" s="91"/>
      <c r="AS490" s="42">
        <f>SUM(AT490:AZ490)</f>
        <v>0</v>
      </c>
      <c r="AT490" s="48"/>
      <c r="AU490" s="48"/>
      <c r="AV490" s="48"/>
      <c r="AW490" s="48"/>
      <c r="AX490" s="48"/>
      <c r="AY490" s="48"/>
      <c r="AZ490" s="48"/>
      <c r="BA490" s="43">
        <f>IF((W490-SUM(AT490:AZ490))&lt;0,0,W490-SUM(AT490:AZ490))</f>
        <v>1</v>
      </c>
      <c r="BB490" s="130"/>
      <c r="BC490" s="37"/>
      <c r="BD490" s="37"/>
    </row>
    <row r="491" spans="1:56" ht="15" customHeight="1">
      <c r="A491" s="56" t="s">
        <v>2264</v>
      </c>
      <c r="B491" s="57" t="s">
        <v>112</v>
      </c>
      <c r="C491" s="46" t="s">
        <v>65</v>
      </c>
      <c r="D491" s="56" t="s">
        <v>76</v>
      </c>
      <c r="E491" s="56"/>
      <c r="F491" s="127">
        <v>3</v>
      </c>
      <c r="G491" s="75" t="s">
        <v>2265</v>
      </c>
      <c r="H491" s="131" t="s">
        <v>78</v>
      </c>
      <c r="I491" s="131" t="s">
        <v>2266</v>
      </c>
      <c r="J491" s="131"/>
      <c r="K491" s="131"/>
      <c r="L491" s="47"/>
      <c r="M491" s="47"/>
      <c r="N491" s="47"/>
      <c r="O491" s="47"/>
      <c r="P491" s="47"/>
      <c r="Q491" s="47"/>
      <c r="R491" s="47"/>
      <c r="S491" s="47"/>
      <c r="T491" s="47"/>
      <c r="U491" s="47"/>
      <c r="V491" s="131" t="s">
        <v>1023</v>
      </c>
      <c r="W491" s="74">
        <v>1</v>
      </c>
      <c r="X491" s="57">
        <f>MAX(0,$AK491-$W491-$Z491)</f>
        <v>0</v>
      </c>
      <c r="Y491" s="127"/>
      <c r="Z491" s="127"/>
      <c r="AA491" s="132">
        <v>0.34</v>
      </c>
      <c r="AB491" s="60">
        <f>IF(AND($X491&gt;0,ISNUMBER($AA491)),$X491*$AA491,0)</f>
        <v>0</v>
      </c>
      <c r="AK491" s="39">
        <f>SUM(AL491:AR491)</f>
        <v>1</v>
      </c>
      <c r="AL491" s="90"/>
      <c r="AM491" s="38"/>
      <c r="AN491" s="38"/>
      <c r="AO491" s="97">
        <v>1</v>
      </c>
      <c r="AP491" s="38"/>
      <c r="AQ491" s="38"/>
      <c r="AR491" s="91"/>
      <c r="AS491" s="42">
        <f>SUM(AT491:AZ491)</f>
        <v>1</v>
      </c>
      <c r="AT491" s="48"/>
      <c r="AU491" s="48"/>
      <c r="AV491" s="48"/>
      <c r="AW491" s="48">
        <v>1</v>
      </c>
      <c r="AX491" s="48"/>
      <c r="AY491" s="48"/>
      <c r="AZ491" s="48"/>
      <c r="BA491" s="43">
        <f>IF((W491-SUM(AT491:AZ491))&lt;0,0,W491-SUM(AT491:AZ491))</f>
        <v>0</v>
      </c>
      <c r="BB491" s="125"/>
      <c r="BC491" s="47"/>
      <c r="BD491" s="47"/>
    </row>
    <row r="492" spans="1:56" ht="15" customHeight="1">
      <c r="A492" s="56" t="s">
        <v>2267</v>
      </c>
      <c r="B492" s="57" t="s">
        <v>112</v>
      </c>
      <c r="C492" s="46" t="s">
        <v>65</v>
      </c>
      <c r="D492" s="56" t="s">
        <v>434</v>
      </c>
      <c r="E492" s="56" t="s">
        <v>2268</v>
      </c>
      <c r="F492" s="127">
        <v>5</v>
      </c>
      <c r="G492" s="75" t="s">
        <v>2269</v>
      </c>
      <c r="H492" s="131" t="s">
        <v>100</v>
      </c>
      <c r="I492" s="131" t="s">
        <v>2270</v>
      </c>
      <c r="J492" s="131" t="s">
        <v>2271</v>
      </c>
      <c r="K492" s="131" t="s">
        <v>2272</v>
      </c>
      <c r="L492" s="47"/>
      <c r="M492" s="47"/>
      <c r="N492" s="47"/>
      <c r="O492" s="47"/>
      <c r="P492" s="47"/>
      <c r="Q492" s="47"/>
      <c r="R492" s="47"/>
      <c r="S492" s="47"/>
      <c r="T492" s="47"/>
      <c r="U492" s="47"/>
      <c r="V492" s="131" t="s">
        <v>1945</v>
      </c>
      <c r="W492" s="74">
        <v>1</v>
      </c>
      <c r="X492" s="57">
        <f>MAX(0,$AK492-$W492-$Z492)</f>
        <v>0</v>
      </c>
      <c r="Y492" s="127"/>
      <c r="Z492" s="127"/>
      <c r="AA492" s="132">
        <v>1.99</v>
      </c>
      <c r="AB492" s="60">
        <f>IF(AND($X492&gt;0,ISNUMBER($AA492)),$X492*$AA492,0)</f>
        <v>0</v>
      </c>
      <c r="AK492" s="39">
        <f>SUM(AL492:AR492)</f>
        <v>1</v>
      </c>
      <c r="AL492" s="102">
        <v>1</v>
      </c>
      <c r="AM492" s="38"/>
      <c r="AN492" s="38"/>
      <c r="AO492" s="38"/>
      <c r="AP492" s="38"/>
      <c r="AQ492" s="38"/>
      <c r="AR492" s="91"/>
      <c r="AS492" s="42">
        <f>SUM(AT492:AZ492)</f>
        <v>1</v>
      </c>
      <c r="AT492" s="48">
        <v>1</v>
      </c>
      <c r="AU492" s="48"/>
      <c r="AV492" s="48"/>
      <c r="AW492" s="48"/>
      <c r="AX492" s="48"/>
      <c r="AY492" s="48"/>
      <c r="AZ492" s="48"/>
      <c r="BA492" s="43">
        <f>IF((W492-SUM(AT492:AZ492))&lt;0,0,W492-SUM(AT492:AZ492))</f>
        <v>0</v>
      </c>
      <c r="BB492" s="125"/>
      <c r="BC492" s="47"/>
      <c r="BD492" s="47"/>
    </row>
    <row r="493" spans="1:56" ht="15" customHeight="1">
      <c r="A493" s="56" t="s">
        <v>2273</v>
      </c>
      <c r="B493" s="57" t="s">
        <v>112</v>
      </c>
      <c r="C493" s="46" t="s">
        <v>65</v>
      </c>
      <c r="D493" s="56" t="s">
        <v>178</v>
      </c>
      <c r="E493" s="56" t="s">
        <v>2274</v>
      </c>
      <c r="F493" s="127">
        <v>5</v>
      </c>
      <c r="G493" s="75" t="s">
        <v>2275</v>
      </c>
      <c r="H493" s="131" t="s">
        <v>153</v>
      </c>
      <c r="I493" s="131" t="s">
        <v>2276</v>
      </c>
      <c r="J493" s="131" t="s">
        <v>2277</v>
      </c>
      <c r="K493" s="131"/>
      <c r="L493" s="46"/>
      <c r="M493" s="46"/>
      <c r="N493" s="46"/>
      <c r="O493" s="46"/>
      <c r="P493" s="46"/>
      <c r="Q493" s="46"/>
      <c r="R493" s="46"/>
      <c r="S493" s="46"/>
      <c r="T493" s="46"/>
      <c r="U493" s="46"/>
      <c r="V493" s="131" t="s">
        <v>383</v>
      </c>
      <c r="W493" s="74">
        <v>1</v>
      </c>
      <c r="X493" s="57">
        <f>MAX(0,$AK493-$W493-$Z493)</f>
        <v>0</v>
      </c>
      <c r="Y493" s="127" t="s">
        <v>265</v>
      </c>
      <c r="Z493" s="127">
        <v>1</v>
      </c>
      <c r="AA493" s="132">
        <v>0.23</v>
      </c>
      <c r="AB493" s="60">
        <f>IF(AND($X493&gt;0,ISNUMBER($AA493)),$X493*$AA493,0)</f>
        <v>0</v>
      </c>
      <c r="AC493" s="63"/>
      <c r="AJ493" s="106">
        <v>1</v>
      </c>
      <c r="AK493" s="39">
        <f>SUM(AL493:AR493)</f>
        <v>1</v>
      </c>
      <c r="AL493" s="102">
        <v>1</v>
      </c>
      <c r="AM493" s="38"/>
      <c r="AN493" s="38"/>
      <c r="AO493" s="38"/>
      <c r="AP493" s="38"/>
      <c r="AQ493" s="38"/>
      <c r="AR493" s="91"/>
      <c r="AS493" s="42">
        <f>SUM(AT493:AZ493)</f>
        <v>1</v>
      </c>
      <c r="AT493" s="48">
        <v>1</v>
      </c>
      <c r="AU493" s="48"/>
      <c r="AV493" s="48"/>
      <c r="AW493" s="48"/>
      <c r="AX493" s="48"/>
      <c r="AY493" s="48"/>
      <c r="AZ493" s="48"/>
      <c r="BA493" s="43">
        <f>IF((W493-SUM(AT493:AZ493))&lt;0,0,W493-SUM(AT493:AZ493))</f>
        <v>0</v>
      </c>
      <c r="BB493" s="125"/>
      <c r="BC493" s="47"/>
      <c r="BD493" s="47"/>
    </row>
    <row r="494" spans="1:56" ht="15" customHeight="1">
      <c r="A494" s="56" t="s">
        <v>2278</v>
      </c>
      <c r="B494" s="57" t="s">
        <v>112</v>
      </c>
      <c r="C494" s="46" t="s">
        <v>65</v>
      </c>
      <c r="D494" s="56" t="s">
        <v>434</v>
      </c>
      <c r="E494" s="56" t="s">
        <v>2268</v>
      </c>
      <c r="F494" s="127">
        <v>4</v>
      </c>
      <c r="G494" s="75" t="s">
        <v>2279</v>
      </c>
      <c r="H494" s="131" t="s">
        <v>153</v>
      </c>
      <c r="I494" s="131" t="s">
        <v>2277</v>
      </c>
      <c r="J494" s="131" t="s">
        <v>2280</v>
      </c>
      <c r="K494" s="131" t="s">
        <v>2281</v>
      </c>
      <c r="L494" s="46"/>
      <c r="M494" s="46"/>
      <c r="N494" s="46"/>
      <c r="O494" s="46"/>
      <c r="P494" s="46"/>
      <c r="Q494" s="46"/>
      <c r="R494" s="46"/>
      <c r="S494" s="46"/>
      <c r="T494" s="46"/>
      <c r="U494" s="46"/>
      <c r="V494" s="131" t="s">
        <v>1916</v>
      </c>
      <c r="W494" s="74">
        <v>1</v>
      </c>
      <c r="X494" s="57">
        <f>MAX(0,$AK494-$W494-$Z494)</f>
        <v>0</v>
      </c>
      <c r="Y494" s="127"/>
      <c r="Z494" s="127"/>
      <c r="AA494" s="132">
        <v>0.64</v>
      </c>
      <c r="AB494" s="60">
        <f>IF(AND($X494&gt;0,ISNUMBER($AA494)),$X494*$AA494,0)</f>
        <v>0</v>
      </c>
      <c r="AK494" s="39">
        <f>SUM(AL494:AR494)</f>
        <v>1</v>
      </c>
      <c r="AL494" s="102">
        <v>1</v>
      </c>
      <c r="AM494" s="38"/>
      <c r="AN494" s="38"/>
      <c r="AO494" s="38"/>
      <c r="AP494" s="38"/>
      <c r="AQ494" s="38"/>
      <c r="AR494" s="91"/>
      <c r="AS494" s="42">
        <f>SUM(AT494:AZ494)</f>
        <v>1</v>
      </c>
      <c r="AT494" s="48">
        <v>1</v>
      </c>
      <c r="AU494" s="48"/>
      <c r="AV494" s="48"/>
      <c r="AW494" s="48"/>
      <c r="AX494" s="48"/>
      <c r="AY494" s="48"/>
      <c r="AZ494" s="48"/>
      <c r="BA494" s="43">
        <f>IF((W494-SUM(AT494:AZ494))&lt;0,0,W494-SUM(AT494:AZ494))</f>
        <v>0</v>
      </c>
      <c r="BB494" s="125"/>
      <c r="BC494" s="47"/>
      <c r="BD494" s="47"/>
    </row>
    <row r="495" spans="1:56" ht="15" customHeight="1">
      <c r="A495" s="56" t="s">
        <v>2282</v>
      </c>
      <c r="B495" s="57" t="s">
        <v>112</v>
      </c>
      <c r="C495" s="46" t="s">
        <v>65</v>
      </c>
      <c r="D495" s="56" t="s">
        <v>178</v>
      </c>
      <c r="E495" s="56" t="s">
        <v>2274</v>
      </c>
      <c r="F495" s="127">
        <v>5</v>
      </c>
      <c r="G495" s="75" t="s">
        <v>2283</v>
      </c>
      <c r="H495" s="131" t="s">
        <v>402</v>
      </c>
      <c r="I495" s="131" t="s">
        <v>2284</v>
      </c>
      <c r="J495" s="131" t="s">
        <v>2285</v>
      </c>
      <c r="K495" s="131" t="s">
        <v>2286</v>
      </c>
      <c r="L495" s="46"/>
      <c r="M495" s="46"/>
      <c r="N495" s="46"/>
      <c r="O495" s="46"/>
      <c r="P495" s="46"/>
      <c r="Q495" s="46"/>
      <c r="R495" s="46"/>
      <c r="S495" s="46"/>
      <c r="T495" s="46"/>
      <c r="U495" s="46"/>
      <c r="V495" s="131" t="s">
        <v>713</v>
      </c>
      <c r="W495" s="74">
        <v>1</v>
      </c>
      <c r="X495" s="57">
        <f>MAX(0,$AK495-$W495-$Z495)</f>
        <v>0</v>
      </c>
      <c r="Y495" s="127"/>
      <c r="Z495" s="127"/>
      <c r="AA495" s="132">
        <v>0.18</v>
      </c>
      <c r="AB495" s="60">
        <f>IF(AND($X495&gt;0,ISNUMBER($AA495)),$X495*$AA495,0)</f>
        <v>0</v>
      </c>
      <c r="AK495" s="39">
        <f>SUM(AL495:AR495)</f>
        <v>1</v>
      </c>
      <c r="AL495" s="102">
        <v>1</v>
      </c>
      <c r="AM495" s="38"/>
      <c r="AN495" s="38"/>
      <c r="AO495" s="38"/>
      <c r="AP495" s="38"/>
      <c r="AQ495" s="38"/>
      <c r="AR495" s="91"/>
      <c r="AS495" s="42">
        <f>SUM(AT495:AZ495)</f>
        <v>1</v>
      </c>
      <c r="AT495" s="48">
        <v>1</v>
      </c>
      <c r="AU495" s="48"/>
      <c r="AV495" s="48"/>
      <c r="AW495" s="48"/>
      <c r="AX495" s="48"/>
      <c r="AY495" s="48"/>
      <c r="AZ495" s="48"/>
      <c r="BA495" s="43">
        <f>IF((W495-SUM(AT495:AZ495))&lt;0,0,W495-SUM(AT495:AZ495))</f>
        <v>0</v>
      </c>
      <c r="BB495" s="125"/>
      <c r="BC495" s="47"/>
      <c r="BD495" s="47"/>
    </row>
    <row r="496" spans="1:56" ht="15" customHeight="1">
      <c r="A496" s="56" t="s">
        <v>2287</v>
      </c>
      <c r="B496" s="57" t="s">
        <v>112</v>
      </c>
      <c r="C496" s="46" t="s">
        <v>65</v>
      </c>
      <c r="D496" s="56" t="s">
        <v>178</v>
      </c>
      <c r="E496" s="56" t="s">
        <v>608</v>
      </c>
      <c r="F496" s="127">
        <v>3</v>
      </c>
      <c r="G496" s="75" t="s">
        <v>2288</v>
      </c>
      <c r="H496" s="131" t="s">
        <v>153</v>
      </c>
      <c r="I496" s="131" t="s">
        <v>2289</v>
      </c>
      <c r="J496" s="131" t="s">
        <v>2290</v>
      </c>
      <c r="K496" s="131" t="s">
        <v>2291</v>
      </c>
      <c r="L496" s="108" t="s">
        <v>2292</v>
      </c>
      <c r="M496" s="46">
        <v>1</v>
      </c>
      <c r="N496" s="46">
        <v>0</v>
      </c>
      <c r="O496" s="68" t="s">
        <v>627</v>
      </c>
      <c r="P496" s="110">
        <v>1.47</v>
      </c>
      <c r="Q496" s="47"/>
      <c r="R496" s="47"/>
      <c r="S496" s="47"/>
      <c r="T496" s="68"/>
      <c r="U496" s="68"/>
      <c r="V496" s="131" t="s">
        <v>588</v>
      </c>
      <c r="W496" s="74">
        <v>1</v>
      </c>
      <c r="X496" s="57">
        <f>MAX(0,$AK496-$W496-$Z496)</f>
        <v>0</v>
      </c>
      <c r="Y496" s="127"/>
      <c r="Z496" s="127"/>
      <c r="AA496" s="132">
        <v>1.47</v>
      </c>
      <c r="AB496" s="60">
        <f>IF(AND($X496&gt;0,ISNUMBER($AA496)),$X496*$AA496,0)</f>
        <v>0</v>
      </c>
      <c r="AK496" s="39">
        <f>SUM(AL496:AR496)</f>
        <v>0</v>
      </c>
      <c r="AL496" s="90"/>
      <c r="AM496" s="38"/>
      <c r="AN496" s="38"/>
      <c r="AO496" s="38"/>
      <c r="AP496" s="38"/>
      <c r="AQ496" s="38"/>
      <c r="AR496" s="91"/>
      <c r="AS496" s="42">
        <f>SUM(AT496:AZ496)</f>
        <v>0</v>
      </c>
      <c r="AT496" s="48"/>
      <c r="AU496" s="48"/>
      <c r="AV496" s="48"/>
      <c r="AW496" s="48"/>
      <c r="AX496" s="48"/>
      <c r="AY496" s="48"/>
      <c r="AZ496" s="48"/>
      <c r="BA496" s="43">
        <f>IF((W496-SUM(AT496:AZ496))&lt;0,0,W496-SUM(AT496:AZ496))</f>
        <v>1</v>
      </c>
      <c r="BB496" s="125"/>
      <c r="BC496" s="47"/>
      <c r="BD496" s="47"/>
    </row>
    <row r="497" spans="1:56" ht="15" customHeight="1">
      <c r="A497" s="56" t="s">
        <v>2293</v>
      </c>
      <c r="B497" s="57" t="s">
        <v>112</v>
      </c>
      <c r="C497" s="46" t="s">
        <v>65</v>
      </c>
      <c r="D497" s="56" t="s">
        <v>84</v>
      </c>
      <c r="E497" s="56" t="s">
        <v>2294</v>
      </c>
      <c r="F497" s="127">
        <v>4</v>
      </c>
      <c r="G497" s="75" t="s">
        <v>2295</v>
      </c>
      <c r="H497" s="131" t="s">
        <v>889</v>
      </c>
      <c r="I497" s="131" t="s">
        <v>2296</v>
      </c>
      <c r="J497" s="131" t="s">
        <v>2297</v>
      </c>
      <c r="K497" s="131"/>
      <c r="L497" s="47"/>
      <c r="M497" s="47"/>
      <c r="N497" s="47"/>
      <c r="O497" s="47"/>
      <c r="P497" s="47"/>
      <c r="Q497" s="47"/>
      <c r="R497" s="47"/>
      <c r="S497" s="47"/>
      <c r="T497" s="47"/>
      <c r="U497" s="47"/>
      <c r="V497" s="131" t="s">
        <v>119</v>
      </c>
      <c r="W497" s="74">
        <v>1</v>
      </c>
      <c r="X497" s="57">
        <f>MAX(0,$AK497-$W497-$Z497)</f>
        <v>0</v>
      </c>
      <c r="Y497" s="127"/>
      <c r="Z497" s="127"/>
      <c r="AA497" s="132">
        <v>0.24</v>
      </c>
      <c r="AB497" s="60">
        <f>IF(AND($X497&gt;0,ISNUMBER($AA497)),$X497*$AA497,0)</f>
        <v>0</v>
      </c>
      <c r="AK497" s="39">
        <f>SUM(AL497:AR497)</f>
        <v>0</v>
      </c>
      <c r="AL497" s="90"/>
      <c r="AM497" s="38"/>
      <c r="AN497" s="38"/>
      <c r="AO497" s="38"/>
      <c r="AP497" s="38"/>
      <c r="AQ497" s="38"/>
      <c r="AR497" s="91"/>
      <c r="AS497" s="42">
        <f>SUM(AT497:AZ497)</f>
        <v>0</v>
      </c>
      <c r="AT497" s="48"/>
      <c r="AU497" s="48"/>
      <c r="AV497" s="48"/>
      <c r="AW497" s="48"/>
      <c r="AX497" s="48"/>
      <c r="AY497" s="48"/>
      <c r="AZ497" s="48"/>
      <c r="BA497" s="43">
        <f>IF((W497-SUM(AT497:AZ497))&lt;0,0,W497-SUM(AT497:AZ497))</f>
        <v>1</v>
      </c>
      <c r="BB497" s="125"/>
      <c r="BC497" s="47"/>
      <c r="BD497" s="47"/>
    </row>
    <row r="498" spans="1:56" ht="15" customHeight="1">
      <c r="A498" s="56" t="s">
        <v>2298</v>
      </c>
      <c r="B498" s="57" t="s">
        <v>112</v>
      </c>
      <c r="C498" s="46" t="s">
        <v>65</v>
      </c>
      <c r="D498" s="56" t="s">
        <v>134</v>
      </c>
      <c r="E498" s="56"/>
      <c r="F498" s="127">
        <v>4</v>
      </c>
      <c r="G498" s="75" t="s">
        <v>2299</v>
      </c>
      <c r="H498" s="131" t="s">
        <v>115</v>
      </c>
      <c r="I498" s="131" t="s">
        <v>2300</v>
      </c>
      <c r="J498" s="131" t="s">
        <v>2301</v>
      </c>
      <c r="K498" s="131"/>
      <c r="L498" s="47"/>
      <c r="M498" s="47"/>
      <c r="N498" s="47"/>
      <c r="O498" s="47"/>
      <c r="P498" s="47"/>
      <c r="Q498" s="47"/>
      <c r="R498" s="47"/>
      <c r="S498" s="47"/>
      <c r="T498" s="47"/>
      <c r="U498" s="47"/>
      <c r="V498" s="131" t="s">
        <v>383</v>
      </c>
      <c r="W498" s="74">
        <v>1</v>
      </c>
      <c r="X498" s="57">
        <f>MAX(0,$AK498-$W498-$Z498)</f>
        <v>0</v>
      </c>
      <c r="Y498" s="127"/>
      <c r="Z498" s="127"/>
      <c r="AA498" s="132">
        <v>0.11</v>
      </c>
      <c r="AB498" s="60">
        <f>IF(AND($X498&gt;0,ISNUMBER($AA498)),$X498*$AA498,0)</f>
        <v>0</v>
      </c>
      <c r="AC498" s="63"/>
      <c r="AK498" s="39">
        <f>SUM(AL498:AR498)</f>
        <v>1</v>
      </c>
      <c r="AL498" s="102">
        <v>1</v>
      </c>
      <c r="AM498" s="38"/>
      <c r="AN498" s="38"/>
      <c r="AO498" s="38"/>
      <c r="AP498" s="38"/>
      <c r="AQ498" s="38"/>
      <c r="AR498" s="91"/>
      <c r="AS498" s="42">
        <f>SUM(AT498:AZ498)</f>
        <v>1</v>
      </c>
      <c r="AT498" s="48">
        <v>1</v>
      </c>
      <c r="AU498" s="48"/>
      <c r="AV498" s="48"/>
      <c r="AW498" s="48"/>
      <c r="AX498" s="48"/>
      <c r="AY498" s="48"/>
      <c r="AZ498" s="48"/>
      <c r="BA498" s="43">
        <f>IF((W498-SUM(AT498:AZ498))&lt;0,0,W498-SUM(AT498:AZ498))</f>
        <v>0</v>
      </c>
      <c r="BB498" s="125"/>
      <c r="BC498" s="47"/>
      <c r="BD498" s="47"/>
    </row>
    <row r="499" spans="1:56" ht="15" customHeight="1">
      <c r="A499" s="56" t="s">
        <v>2302</v>
      </c>
      <c r="B499" s="57" t="s">
        <v>112</v>
      </c>
      <c r="C499" s="46" t="s">
        <v>65</v>
      </c>
      <c r="D499" s="56" t="s">
        <v>84</v>
      </c>
      <c r="E499" s="56" t="s">
        <v>2303</v>
      </c>
      <c r="F499" s="127">
        <v>3</v>
      </c>
      <c r="G499" s="75" t="s">
        <v>2304</v>
      </c>
      <c r="H499" s="131" t="s">
        <v>78</v>
      </c>
      <c r="I499" s="131" t="s">
        <v>2305</v>
      </c>
      <c r="J499" s="131" t="s">
        <v>2306</v>
      </c>
      <c r="K499" s="131"/>
      <c r="L499" s="46"/>
      <c r="M499" s="46"/>
      <c r="N499" s="46"/>
      <c r="O499" s="46"/>
      <c r="P499" s="46"/>
      <c r="Q499" s="46"/>
      <c r="R499" s="46"/>
      <c r="S499" s="46"/>
      <c r="T499" s="46"/>
      <c r="U499" s="46"/>
      <c r="V499" s="131" t="s">
        <v>991</v>
      </c>
      <c r="W499" s="74">
        <v>1</v>
      </c>
      <c r="X499" s="57">
        <f>MAX(0,$AK499-$W499-$Z499)</f>
        <v>0</v>
      </c>
      <c r="Y499" s="127"/>
      <c r="Z499" s="127"/>
      <c r="AA499" s="132">
        <v>0.5</v>
      </c>
      <c r="AB499" s="60">
        <f>IF(AND($X499&gt;0,ISNUMBER($AA499)),$X499*$AA499,0)</f>
        <v>0</v>
      </c>
      <c r="AK499" s="39">
        <f>SUM(AL499:AR499)</f>
        <v>1</v>
      </c>
      <c r="AL499" s="90"/>
      <c r="AM499" s="97">
        <v>1</v>
      </c>
      <c r="AN499" s="38"/>
      <c r="AO499" s="38"/>
      <c r="AP499" s="38"/>
      <c r="AQ499" s="38"/>
      <c r="AR499" s="91"/>
      <c r="AS499" s="42">
        <f>SUM(AT499:AZ499)</f>
        <v>1</v>
      </c>
      <c r="AT499" s="48"/>
      <c r="AU499" s="48">
        <v>1</v>
      </c>
      <c r="AV499" s="48"/>
      <c r="AW499" s="48"/>
      <c r="AX499" s="48"/>
      <c r="AY499" s="48"/>
      <c r="AZ499" s="48"/>
      <c r="BA499" s="43">
        <f>IF((W499-SUM(AT499:AZ499))&lt;0,0,W499-SUM(AT499:AZ499))</f>
        <v>0</v>
      </c>
      <c r="BB499" s="125"/>
      <c r="BC499" s="47"/>
      <c r="BD499" s="47"/>
    </row>
    <row r="500" spans="1:56" ht="15" customHeight="1">
      <c r="A500" s="64" t="s">
        <v>2307</v>
      </c>
      <c r="B500" s="65" t="s">
        <v>112</v>
      </c>
      <c r="C500" s="38" t="s">
        <v>65</v>
      </c>
      <c r="D500" s="64" t="s">
        <v>134</v>
      </c>
      <c r="E500" s="64"/>
      <c r="F500" s="128">
        <v>4</v>
      </c>
      <c r="G500" s="75" t="s">
        <v>2308</v>
      </c>
      <c r="H500" s="130" t="s">
        <v>108</v>
      </c>
      <c r="I500" s="130" t="s">
        <v>2309</v>
      </c>
      <c r="J500" s="130" t="s">
        <v>2310</v>
      </c>
      <c r="K500" s="130"/>
      <c r="L500" s="37"/>
      <c r="M500" s="37"/>
      <c r="N500" s="37"/>
      <c r="O500" s="68"/>
      <c r="P500" s="68"/>
      <c r="Q500" s="37"/>
      <c r="R500" s="37"/>
      <c r="S500" s="37"/>
      <c r="T500" s="68"/>
      <c r="U500" s="68"/>
      <c r="V500" s="130" t="s">
        <v>223</v>
      </c>
      <c r="W500" s="74">
        <v>1</v>
      </c>
      <c r="X500" s="57">
        <f>MAX(0,$AK500-$W500-$Z500)</f>
        <v>0</v>
      </c>
      <c r="Y500" s="130"/>
      <c r="Z500" s="130"/>
      <c r="AA500" s="137">
        <v>7.0000000000000007E-2</v>
      </c>
      <c r="AB500" s="60">
        <f>IF(AND($X500&gt;0,ISNUMBER($AA500)),$X500*$AA500,0)</f>
        <v>0</v>
      </c>
      <c r="AK500" s="39">
        <f>SUM(AL500:AR500)</f>
        <v>0</v>
      </c>
      <c r="AL500" s="90"/>
      <c r="AM500" s="38"/>
      <c r="AN500" s="38"/>
      <c r="AO500" s="38"/>
      <c r="AP500" s="38"/>
      <c r="AQ500" s="38"/>
      <c r="AR500" s="91"/>
      <c r="AS500" s="42">
        <f>SUM(AT500:AZ500)</f>
        <v>0</v>
      </c>
      <c r="AT500" s="48"/>
      <c r="AU500" s="48"/>
      <c r="AV500" s="48"/>
      <c r="AW500" s="48"/>
      <c r="AX500" s="48"/>
      <c r="AY500" s="48"/>
      <c r="AZ500" s="48"/>
      <c r="BA500" s="43">
        <f>IF((W500-SUM(AT500:AZ500))&lt;0,0,W500-SUM(AT500:AZ500))</f>
        <v>1</v>
      </c>
      <c r="BB500" s="130"/>
      <c r="BC500" s="37"/>
      <c r="BD500" s="37"/>
    </row>
    <row r="501" spans="1:56" ht="15" customHeight="1">
      <c r="A501" s="64" t="s">
        <v>2311</v>
      </c>
      <c r="B501" s="65" t="s">
        <v>112</v>
      </c>
      <c r="C501" s="38" t="s">
        <v>65</v>
      </c>
      <c r="D501" s="64" t="s">
        <v>105</v>
      </c>
      <c r="E501" s="64"/>
      <c r="F501" s="128">
        <v>4</v>
      </c>
      <c r="G501" s="75" t="s">
        <v>2312</v>
      </c>
      <c r="H501" s="130" t="s">
        <v>172</v>
      </c>
      <c r="I501" s="130" t="s">
        <v>2313</v>
      </c>
      <c r="J501" s="130" t="s">
        <v>2314</v>
      </c>
      <c r="K501" s="130"/>
      <c r="L501" s="37"/>
      <c r="M501" s="37"/>
      <c r="N501" s="37"/>
      <c r="O501" s="68"/>
      <c r="P501" s="68"/>
      <c r="Q501" s="37"/>
      <c r="R501" s="37"/>
      <c r="S501" s="37"/>
      <c r="T501" s="68"/>
      <c r="U501" s="68"/>
      <c r="V501" s="130" t="s">
        <v>223</v>
      </c>
      <c r="W501" s="74">
        <v>1</v>
      </c>
      <c r="X501" s="57">
        <f>MAX(0,$AK501-$W501-$Z501)</f>
        <v>0</v>
      </c>
      <c r="Y501" s="130"/>
      <c r="Z501" s="130"/>
      <c r="AA501" s="137">
        <v>1.18</v>
      </c>
      <c r="AB501" s="60">
        <f>IF(AND($X501&gt;0,ISNUMBER($AA501)),$X501*$AA501,0)</f>
        <v>0</v>
      </c>
      <c r="AK501" s="39">
        <f>SUM(AL501:AR501)</f>
        <v>0</v>
      </c>
      <c r="AL501" s="90"/>
      <c r="AM501" s="38"/>
      <c r="AN501" s="38"/>
      <c r="AO501" s="38"/>
      <c r="AP501" s="38"/>
      <c r="AQ501" s="38"/>
      <c r="AR501" s="91"/>
      <c r="AS501" s="42">
        <f>SUM(AT501:AZ501)</f>
        <v>0</v>
      </c>
      <c r="AT501" s="48"/>
      <c r="AU501" s="48"/>
      <c r="AV501" s="48"/>
      <c r="AW501" s="48"/>
      <c r="AX501" s="48"/>
      <c r="AY501" s="48"/>
      <c r="AZ501" s="48"/>
      <c r="BA501" s="43">
        <f>IF((W501-SUM(AT501:AZ501))&lt;0,0,W501-SUM(AT501:AZ501))</f>
        <v>1</v>
      </c>
      <c r="BB501" s="130"/>
      <c r="BC501" s="37"/>
      <c r="BD501" s="37"/>
    </row>
    <row r="502" spans="1:56" ht="15" customHeight="1">
      <c r="A502" s="56" t="s">
        <v>2315</v>
      </c>
      <c r="B502" s="57" t="s">
        <v>112</v>
      </c>
      <c r="C502" s="46" t="s">
        <v>65</v>
      </c>
      <c r="D502" s="56" t="s">
        <v>134</v>
      </c>
      <c r="E502" s="56"/>
      <c r="F502" s="127">
        <v>2</v>
      </c>
      <c r="G502" s="75" t="s">
        <v>2316</v>
      </c>
      <c r="H502" s="131" t="s">
        <v>78</v>
      </c>
      <c r="I502" s="131" t="s">
        <v>2317</v>
      </c>
      <c r="J502" s="131" t="s">
        <v>2318</v>
      </c>
      <c r="K502" s="131"/>
      <c r="L502" s="47"/>
      <c r="M502" s="47"/>
      <c r="N502" s="47"/>
      <c r="O502" s="68"/>
      <c r="P502" s="68"/>
      <c r="Q502" s="47"/>
      <c r="R502" s="47"/>
      <c r="S502" s="47"/>
      <c r="T502" s="68"/>
      <c r="U502" s="68"/>
      <c r="V502" s="131" t="s">
        <v>383</v>
      </c>
      <c r="W502" s="74">
        <v>1</v>
      </c>
      <c r="X502" s="57">
        <f>MAX(0,$AK502-$W502-$Z502)</f>
        <v>0</v>
      </c>
      <c r="Y502" s="127"/>
      <c r="Z502" s="127"/>
      <c r="AA502" s="132">
        <v>0.21</v>
      </c>
      <c r="AB502" s="60">
        <f>IF(AND($X502&gt;0,ISNUMBER($AA502)),$X502*$AA502,0)</f>
        <v>0</v>
      </c>
      <c r="AK502" s="39">
        <f>SUM(AL502:AR502)</f>
        <v>1</v>
      </c>
      <c r="AL502" s="102">
        <v>1</v>
      </c>
      <c r="AM502" s="38"/>
      <c r="AN502" s="38"/>
      <c r="AO502" s="38"/>
      <c r="AP502" s="38"/>
      <c r="AQ502" s="38"/>
      <c r="AR502" s="91"/>
      <c r="AS502" s="42">
        <f>SUM(AT502:AZ502)</f>
        <v>1</v>
      </c>
      <c r="AT502" s="48">
        <v>1</v>
      </c>
      <c r="AU502" s="48"/>
      <c r="AV502" s="48"/>
      <c r="AW502" s="48"/>
      <c r="AX502" s="48"/>
      <c r="AY502" s="48"/>
      <c r="AZ502" s="48"/>
      <c r="BA502" s="43">
        <f>IF((W502-SUM(AT502:AZ502))&lt;0,0,W502-SUM(AT502:AZ502))</f>
        <v>0</v>
      </c>
      <c r="BB502" s="125"/>
      <c r="BC502" s="47"/>
      <c r="BD502" s="47"/>
    </row>
    <row r="503" spans="1:56" ht="15" customHeight="1">
      <c r="A503" s="56" t="s">
        <v>2319</v>
      </c>
      <c r="B503" s="57" t="s">
        <v>112</v>
      </c>
      <c r="C503" s="46" t="s">
        <v>65</v>
      </c>
      <c r="D503" s="56" t="s">
        <v>84</v>
      </c>
      <c r="E503" s="56" t="s">
        <v>450</v>
      </c>
      <c r="F503" s="127">
        <v>3</v>
      </c>
      <c r="G503" s="75" t="s">
        <v>2320</v>
      </c>
      <c r="H503" s="131" t="s">
        <v>1252</v>
      </c>
      <c r="I503" s="131" t="s">
        <v>2321</v>
      </c>
      <c r="J503" s="131"/>
      <c r="K503" s="131"/>
      <c r="L503" s="47"/>
      <c r="M503" s="47"/>
      <c r="N503" s="47"/>
      <c r="O503" s="47"/>
      <c r="P503" s="47"/>
      <c r="Q503" s="47"/>
      <c r="R503" s="47"/>
      <c r="S503" s="47"/>
      <c r="T503" s="47"/>
      <c r="U503" s="47"/>
      <c r="V503" s="131" t="s">
        <v>368</v>
      </c>
      <c r="W503" s="74">
        <v>0</v>
      </c>
      <c r="X503" s="57">
        <f>MAX(0,$AK503-$W503-$Z503)</f>
        <v>0</v>
      </c>
      <c r="Y503" s="127"/>
      <c r="Z503" s="127"/>
      <c r="AA503" s="132">
        <v>0.31</v>
      </c>
      <c r="AB503" s="60">
        <f>IF(AND($X503&gt;0,ISNUMBER($AA503)),$X503*$AA503,0)</f>
        <v>0</v>
      </c>
      <c r="AC503" s="59"/>
      <c r="AD503" s="59"/>
      <c r="AE503" s="59"/>
      <c r="AF503" s="59"/>
      <c r="AG503" s="59"/>
      <c r="AH503" s="59"/>
      <c r="AI503" s="59"/>
      <c r="AJ503" s="59"/>
      <c r="AK503" s="39">
        <f>SUM(AL503:AR503)</f>
        <v>0</v>
      </c>
      <c r="AL503" s="114"/>
      <c r="AM503" s="43"/>
      <c r="AN503" s="43"/>
      <c r="AO503" s="43"/>
      <c r="AP503" s="43"/>
      <c r="AQ503" s="43"/>
      <c r="AR503" s="116"/>
      <c r="AS503" s="42">
        <f>SUM(AT503:AZ503)</f>
        <v>0</v>
      </c>
      <c r="AT503" s="48"/>
      <c r="AU503" s="48"/>
      <c r="AV503" s="48"/>
      <c r="AW503" s="48"/>
      <c r="AX503" s="48"/>
      <c r="AY503" s="48"/>
      <c r="AZ503" s="48"/>
      <c r="BA503" s="43">
        <f>IF((W503-SUM(AT503:AZ503))&lt;0,0,W503-SUM(AT503:AZ503))</f>
        <v>0</v>
      </c>
      <c r="BB503" s="125"/>
      <c r="BC503" s="47"/>
      <c r="BD503" s="47"/>
    </row>
    <row r="504" spans="1:56" ht="15" customHeight="1">
      <c r="A504" s="56" t="s">
        <v>2322</v>
      </c>
      <c r="B504" s="57" t="s">
        <v>112</v>
      </c>
      <c r="C504" s="46" t="s">
        <v>65</v>
      </c>
      <c r="D504" s="56" t="s">
        <v>105</v>
      </c>
      <c r="E504" s="56" t="s">
        <v>106</v>
      </c>
      <c r="F504" s="127">
        <v>2</v>
      </c>
      <c r="G504" s="75" t="s">
        <v>2323</v>
      </c>
      <c r="H504" s="131" t="s">
        <v>153</v>
      </c>
      <c r="I504" s="131" t="s">
        <v>2324</v>
      </c>
      <c r="J504" s="131" t="s">
        <v>2325</v>
      </c>
      <c r="K504" s="131"/>
      <c r="L504" s="108" t="s">
        <v>2326</v>
      </c>
      <c r="M504" s="46">
        <v>1</v>
      </c>
      <c r="N504" s="46">
        <v>1</v>
      </c>
      <c r="O504" s="68" t="s">
        <v>2327</v>
      </c>
      <c r="P504" s="110">
        <v>0.25</v>
      </c>
      <c r="Q504" s="47"/>
      <c r="R504" s="47"/>
      <c r="S504" s="47"/>
      <c r="T504" s="68"/>
      <c r="U504" s="68"/>
      <c r="V504" s="131" t="s">
        <v>1834</v>
      </c>
      <c r="W504" s="74">
        <v>1</v>
      </c>
      <c r="X504" s="57">
        <f>MAX(0,$AK504-$W504-$Z504)</f>
        <v>0</v>
      </c>
      <c r="Y504" s="127"/>
      <c r="Z504" s="127"/>
      <c r="AA504" s="132">
        <v>0.25</v>
      </c>
      <c r="AB504" s="60">
        <f>IF(AND($X504&gt;0,ISNUMBER($AA504)),$X504*$AA504,0)</f>
        <v>0</v>
      </c>
      <c r="AK504" s="39">
        <f>SUM(AL504:AR504)</f>
        <v>0</v>
      </c>
      <c r="AL504" s="90"/>
      <c r="AM504" s="38"/>
      <c r="AN504" s="38"/>
      <c r="AO504" s="38"/>
      <c r="AP504" s="38"/>
      <c r="AQ504" s="38"/>
      <c r="AR504" s="91"/>
      <c r="AS504" s="42">
        <f>SUM(AT504:AZ504)</f>
        <v>0</v>
      </c>
      <c r="AT504" s="48"/>
      <c r="AU504" s="48"/>
      <c r="AV504" s="48"/>
      <c r="AW504" s="48"/>
      <c r="AX504" s="48"/>
      <c r="AY504" s="48"/>
      <c r="AZ504" s="48"/>
      <c r="BA504" s="43">
        <f>IF((W504-SUM(AT504:AZ504))&lt;0,0,W504-SUM(AT504:AZ504))</f>
        <v>1</v>
      </c>
      <c r="BB504" s="125"/>
      <c r="BC504" s="47"/>
      <c r="BD504" s="47"/>
    </row>
    <row r="505" spans="1:56" ht="15" customHeight="1">
      <c r="A505" s="56" t="s">
        <v>2328</v>
      </c>
      <c r="B505" s="57" t="s">
        <v>112</v>
      </c>
      <c r="C505" s="46" t="s">
        <v>65</v>
      </c>
      <c r="D505" s="56" t="s">
        <v>178</v>
      </c>
      <c r="E505" s="56" t="s">
        <v>2329</v>
      </c>
      <c r="F505" s="127">
        <v>5</v>
      </c>
      <c r="G505" s="75" t="s">
        <v>2330</v>
      </c>
      <c r="H505" s="131" t="s">
        <v>1182</v>
      </c>
      <c r="I505" s="131" t="s">
        <v>2331</v>
      </c>
      <c r="J505" s="131" t="s">
        <v>2332</v>
      </c>
      <c r="K505" s="131"/>
      <c r="L505" s="46"/>
      <c r="M505" s="46"/>
      <c r="N505" s="46"/>
      <c r="O505" s="68"/>
      <c r="P505" s="68"/>
      <c r="Q505" s="46"/>
      <c r="R505" s="46"/>
      <c r="S505" s="46"/>
      <c r="T505" s="68"/>
      <c r="U505" s="68"/>
      <c r="V505" s="131" t="s">
        <v>740</v>
      </c>
      <c r="W505" s="74">
        <v>2</v>
      </c>
      <c r="X505" s="57">
        <f>MAX(0,$AK505-$W505-$Z505)</f>
        <v>0</v>
      </c>
      <c r="Y505" s="127"/>
      <c r="Z505" s="127"/>
      <c r="AA505" s="132">
        <v>0.31</v>
      </c>
      <c r="AB505" s="60">
        <f>IF(AND($X505&gt;0,ISNUMBER($AA505)),$X505*$AA505,0)</f>
        <v>0</v>
      </c>
      <c r="AK505" s="39">
        <f>SUM(AL505:AR505)</f>
        <v>1</v>
      </c>
      <c r="AL505" s="90"/>
      <c r="AM505" s="97">
        <v>1</v>
      </c>
      <c r="AN505" s="38"/>
      <c r="AO505" s="38"/>
      <c r="AP505" s="38"/>
      <c r="AQ505" s="38"/>
      <c r="AR505" s="91"/>
      <c r="AS505" s="42">
        <f>SUM(AT505:AZ505)</f>
        <v>1</v>
      </c>
      <c r="AT505" s="48"/>
      <c r="AU505" s="48">
        <v>1</v>
      </c>
      <c r="AV505" s="48"/>
      <c r="AW505" s="48"/>
      <c r="AX505" s="48"/>
      <c r="AY505" s="48"/>
      <c r="AZ505" s="48"/>
      <c r="BA505" s="43">
        <f>IF((W505-SUM(AT505:AZ505))&lt;0,0,W505-SUM(AT505:AZ505))</f>
        <v>1</v>
      </c>
      <c r="BB505" s="125"/>
      <c r="BC505" s="47"/>
      <c r="BD505" s="47"/>
    </row>
    <row r="506" spans="1:56" ht="15" customHeight="1">
      <c r="A506" s="56" t="s">
        <v>2333</v>
      </c>
      <c r="B506" s="57" t="s">
        <v>112</v>
      </c>
      <c r="C506" s="46" t="s">
        <v>65</v>
      </c>
      <c r="D506" s="56" t="s">
        <v>178</v>
      </c>
      <c r="E506" s="56" t="s">
        <v>2049</v>
      </c>
      <c r="F506" s="43">
        <v>5</v>
      </c>
      <c r="G506" s="75" t="s">
        <v>2334</v>
      </c>
      <c r="H506" s="58" t="s">
        <v>1252</v>
      </c>
      <c r="I506" s="58" t="s">
        <v>2335</v>
      </c>
      <c r="J506" s="58" t="s">
        <v>2336</v>
      </c>
      <c r="K506" s="58" t="s">
        <v>2337</v>
      </c>
      <c r="L506" s="47"/>
      <c r="M506" s="47"/>
      <c r="N506" s="47"/>
      <c r="O506" s="47"/>
      <c r="P506" s="47"/>
      <c r="Q506" s="47"/>
      <c r="R506" s="47"/>
      <c r="S506" s="47"/>
      <c r="T506" s="47"/>
      <c r="U506" s="47"/>
      <c r="V506" s="58" t="s">
        <v>1856</v>
      </c>
      <c r="W506" s="74">
        <v>1</v>
      </c>
      <c r="X506" s="57">
        <f>MAX(0,$AK506-$W506-$Z506)</f>
        <v>0</v>
      </c>
      <c r="Y506" s="43"/>
      <c r="Z506" s="43"/>
      <c r="AA506" s="59">
        <v>6.74</v>
      </c>
      <c r="AB506" s="60">
        <f>IF(AND($X506&gt;0,ISNUMBER($AA506)),$X506*$AA506,0)</f>
        <v>0</v>
      </c>
      <c r="AK506" s="39">
        <f>SUM(AL506:AR506)</f>
        <v>1</v>
      </c>
      <c r="AL506" s="90"/>
      <c r="AM506" s="38"/>
      <c r="AN506" s="38"/>
      <c r="AO506" s="97">
        <v>1</v>
      </c>
      <c r="AP506" s="38"/>
      <c r="AQ506" s="38"/>
      <c r="AR506" s="91"/>
      <c r="AS506" s="42">
        <f>SUM(AT506:AZ506)</f>
        <v>1</v>
      </c>
      <c r="AT506" s="48"/>
      <c r="AU506" s="48"/>
      <c r="AV506" s="48"/>
      <c r="AW506" s="48">
        <v>1</v>
      </c>
      <c r="AX506" s="48"/>
      <c r="AY506" s="48"/>
      <c r="AZ506" s="48"/>
      <c r="BA506" s="43">
        <f>IF((W506-SUM(AT506:AZ506))&lt;0,0,W506-SUM(AT506:AZ506))</f>
        <v>0</v>
      </c>
      <c r="BB506" s="52"/>
      <c r="BC506" s="47"/>
      <c r="BD506" s="47"/>
    </row>
    <row r="507" spans="1:56" ht="15" customHeight="1">
      <c r="A507" s="56" t="s">
        <v>2338</v>
      </c>
      <c r="B507" s="57" t="s">
        <v>112</v>
      </c>
      <c r="C507" s="46" t="s">
        <v>65</v>
      </c>
      <c r="D507" s="56" t="s">
        <v>84</v>
      </c>
      <c r="E507" s="56" t="s">
        <v>2339</v>
      </c>
      <c r="F507" s="43">
        <v>4</v>
      </c>
      <c r="G507" s="75" t="s">
        <v>2340</v>
      </c>
      <c r="H507" s="58" t="s">
        <v>162</v>
      </c>
      <c r="I507" s="58" t="s">
        <v>1895</v>
      </c>
      <c r="J507" s="58"/>
      <c r="K507" s="58"/>
      <c r="L507" s="47"/>
      <c r="M507" s="47"/>
      <c r="N507" s="47"/>
      <c r="O507" s="68"/>
      <c r="P507" s="68"/>
      <c r="Q507" s="47"/>
      <c r="R507" s="47"/>
      <c r="S507" s="47"/>
      <c r="T507" s="68"/>
      <c r="U507" s="68"/>
      <c r="V507" s="58" t="s">
        <v>145</v>
      </c>
      <c r="W507" s="74">
        <v>1</v>
      </c>
      <c r="X507" s="57">
        <f>MAX(0,$AK507-$W507-$Z507)</f>
        <v>0</v>
      </c>
      <c r="Y507" s="43"/>
      <c r="Z507" s="43"/>
      <c r="AA507" s="59">
        <v>0.08</v>
      </c>
      <c r="AB507" s="60">
        <f>IF(AND($X507&gt;0,ISNUMBER($AA507)),$X507*$AA507,0)</f>
        <v>0</v>
      </c>
      <c r="AD507" s="63"/>
      <c r="AK507" s="39">
        <f>SUM(AL507:AR507)</f>
        <v>0</v>
      </c>
      <c r="AL507" s="90"/>
      <c r="AM507" s="38"/>
      <c r="AN507" s="38"/>
      <c r="AO507" s="38"/>
      <c r="AP507" s="38"/>
      <c r="AQ507" s="38"/>
      <c r="AR507" s="91"/>
      <c r="AS507" s="42">
        <f>SUM(AT507:AZ507)</f>
        <v>0</v>
      </c>
      <c r="AT507" s="48"/>
      <c r="AU507" s="48"/>
      <c r="AV507" s="48"/>
      <c r="AW507" s="48"/>
      <c r="AX507" s="48"/>
      <c r="AY507" s="48"/>
      <c r="AZ507" s="48"/>
      <c r="BA507" s="43">
        <f>IF((W507-SUM(AT507:AZ507))&lt;0,0,W507-SUM(AT507:AZ507))</f>
        <v>1</v>
      </c>
      <c r="BB507" s="52"/>
      <c r="BC507" s="47"/>
      <c r="BD507" s="47"/>
    </row>
    <row r="508" spans="1:56" ht="15" customHeight="1">
      <c r="A508" s="64" t="s">
        <v>2341</v>
      </c>
      <c r="B508" s="65" t="s">
        <v>112</v>
      </c>
      <c r="C508" s="38" t="s">
        <v>65</v>
      </c>
      <c r="D508" s="64" t="s">
        <v>84</v>
      </c>
      <c r="E508" s="64" t="s">
        <v>2342</v>
      </c>
      <c r="F508" s="128">
        <v>3</v>
      </c>
      <c r="G508" s="75" t="s">
        <v>2343</v>
      </c>
      <c r="H508" s="130" t="s">
        <v>1252</v>
      </c>
      <c r="I508" s="130" t="s">
        <v>2344</v>
      </c>
      <c r="J508" s="130" t="s">
        <v>2345</v>
      </c>
      <c r="K508" s="130"/>
      <c r="L508" s="37"/>
      <c r="M508" s="37"/>
      <c r="N508" s="37"/>
      <c r="O508" s="68"/>
      <c r="P508" s="68"/>
      <c r="Q508" s="37"/>
      <c r="R508" s="37"/>
      <c r="S508" s="37"/>
      <c r="T508" s="68"/>
      <c r="U508" s="68"/>
      <c r="V508" s="130" t="s">
        <v>119</v>
      </c>
      <c r="W508" s="74">
        <v>1</v>
      </c>
      <c r="X508" s="57">
        <f>MAX(0,$AK508-$W508-$Z508)</f>
        <v>0</v>
      </c>
      <c r="Y508" s="130"/>
      <c r="Z508" s="130"/>
      <c r="AA508" s="137">
        <v>0.26</v>
      </c>
      <c r="AB508" s="60">
        <f>IF(AND($X508&gt;0,ISNUMBER($AA508)),$X508*$AA508,0)</f>
        <v>0</v>
      </c>
      <c r="AK508" s="39">
        <f>SUM(AL508:AR508)</f>
        <v>0</v>
      </c>
      <c r="AL508" s="90"/>
      <c r="AM508" s="38"/>
      <c r="AN508" s="38"/>
      <c r="AO508" s="38"/>
      <c r="AP508" s="38"/>
      <c r="AQ508" s="38"/>
      <c r="AR508" s="91"/>
      <c r="AS508" s="42">
        <f>SUM(AT508:AZ508)</f>
        <v>0</v>
      </c>
      <c r="AT508" s="48"/>
      <c r="AU508" s="48"/>
      <c r="AV508" s="48"/>
      <c r="AW508" s="48"/>
      <c r="AX508" s="48"/>
      <c r="AY508" s="48"/>
      <c r="AZ508" s="48"/>
      <c r="BA508" s="43">
        <f>IF((W508-SUM(AT508:AZ508))&lt;0,0,W508-SUM(AT508:AZ508))</f>
        <v>1</v>
      </c>
      <c r="BB508" s="130"/>
      <c r="BC508" s="37"/>
      <c r="BD508" s="37"/>
    </row>
    <row r="509" spans="1:56" ht="15" customHeight="1">
      <c r="A509" s="56" t="s">
        <v>399</v>
      </c>
      <c r="B509" s="57" t="s">
        <v>112</v>
      </c>
      <c r="C509" s="46" t="s">
        <v>65</v>
      </c>
      <c r="D509" s="56" t="s">
        <v>178</v>
      </c>
      <c r="E509" s="56" t="s">
        <v>400</v>
      </c>
      <c r="F509" s="127">
        <v>5</v>
      </c>
      <c r="G509" s="75" t="s">
        <v>401</v>
      </c>
      <c r="H509" s="131" t="s">
        <v>402</v>
      </c>
      <c r="I509" s="131" t="s">
        <v>403</v>
      </c>
      <c r="J509" s="131" t="s">
        <v>404</v>
      </c>
      <c r="K509" s="131" t="s">
        <v>405</v>
      </c>
      <c r="L509" s="47"/>
      <c r="M509" s="47"/>
      <c r="N509" s="47"/>
      <c r="O509" s="47"/>
      <c r="P509" s="47"/>
      <c r="Q509" s="47"/>
      <c r="R509" s="47"/>
      <c r="S509" s="47"/>
      <c r="T509" s="47"/>
      <c r="U509" s="47"/>
      <c r="V509" s="131" t="s">
        <v>383</v>
      </c>
      <c r="W509" s="74">
        <v>1</v>
      </c>
      <c r="X509" s="57">
        <f>MAX(0,$AK509-$W509-$Z509)</f>
        <v>0</v>
      </c>
      <c r="Y509" s="127"/>
      <c r="Z509" s="127"/>
      <c r="AA509" s="132">
        <v>0.34</v>
      </c>
      <c r="AB509" s="60">
        <f>IF(AND($X509&gt;0,ISNUMBER($AA509)),$X509*$AA509,0)</f>
        <v>0</v>
      </c>
      <c r="AK509" s="39">
        <f>SUM(AL509:AR509)</f>
        <v>1</v>
      </c>
      <c r="AL509" s="90"/>
      <c r="AM509" s="38"/>
      <c r="AN509" s="38"/>
      <c r="AO509" s="38"/>
      <c r="AP509" s="97">
        <v>1</v>
      </c>
      <c r="AQ509" s="38"/>
      <c r="AR509" s="91"/>
      <c r="AS509" s="42">
        <f>SUM(AT509:AZ509)</f>
        <v>1</v>
      </c>
      <c r="AT509" s="48"/>
      <c r="AU509" s="48"/>
      <c r="AV509" s="48"/>
      <c r="AW509" s="48"/>
      <c r="AX509" s="48">
        <v>1</v>
      </c>
      <c r="AY509" s="48"/>
      <c r="AZ509" s="48"/>
      <c r="BA509" s="43">
        <f>IF((W509-SUM(AT509:AZ509))&lt;0,0,W509-SUM(AT509:AZ509))</f>
        <v>0</v>
      </c>
      <c r="BB509" s="125"/>
      <c r="BC509" s="47"/>
      <c r="BD509" s="47"/>
    </row>
    <row r="510" spans="1:56" ht="15" customHeight="1">
      <c r="A510" s="56" t="s">
        <v>2346</v>
      </c>
      <c r="B510" s="57" t="s">
        <v>112</v>
      </c>
      <c r="C510" s="46" t="s">
        <v>65</v>
      </c>
      <c r="D510" s="56" t="s">
        <v>178</v>
      </c>
      <c r="E510" s="56" t="s">
        <v>483</v>
      </c>
      <c r="F510" s="127">
        <v>4</v>
      </c>
      <c r="G510" s="75" t="s">
        <v>2347</v>
      </c>
      <c r="H510" s="131" t="s">
        <v>227</v>
      </c>
      <c r="I510" s="131" t="s">
        <v>2348</v>
      </c>
      <c r="J510" s="131" t="s">
        <v>2349</v>
      </c>
      <c r="K510" s="131"/>
      <c r="L510" s="47"/>
      <c r="M510" s="47"/>
      <c r="N510" s="47"/>
      <c r="O510" s="47"/>
      <c r="P510" s="47"/>
      <c r="Q510" s="47"/>
      <c r="R510" s="47"/>
      <c r="S510" s="47"/>
      <c r="T510" s="47"/>
      <c r="U510" s="47"/>
      <c r="V510" s="131" t="s">
        <v>2350</v>
      </c>
      <c r="W510" s="74">
        <v>1</v>
      </c>
      <c r="X510" s="57">
        <f>MAX(0,$AK510-$W510-$Z510)</f>
        <v>0</v>
      </c>
      <c r="Y510" s="127"/>
      <c r="Z510" s="127"/>
      <c r="AA510" s="132">
        <v>1.1599999999999999</v>
      </c>
      <c r="AB510" s="60">
        <f>IF(AND($X510&gt;0,ISNUMBER($AA510)),$X510*$AA510,0)</f>
        <v>0</v>
      </c>
      <c r="AK510" s="39">
        <f>SUM(AL510:AR510)</f>
        <v>1</v>
      </c>
      <c r="AL510" s="90"/>
      <c r="AM510" s="38"/>
      <c r="AN510" s="38"/>
      <c r="AO510" s="97">
        <v>1</v>
      </c>
      <c r="AP510" s="38"/>
      <c r="AQ510" s="38"/>
      <c r="AR510" s="91"/>
      <c r="AS510" s="42">
        <f>SUM(AT510:AZ510)</f>
        <v>1</v>
      </c>
      <c r="AT510" s="48"/>
      <c r="AU510" s="48"/>
      <c r="AV510" s="48"/>
      <c r="AW510" s="48">
        <v>1</v>
      </c>
      <c r="AX510" s="48"/>
      <c r="AY510" s="48"/>
      <c r="AZ510" s="48"/>
      <c r="BA510" s="43">
        <f>IF((W510-SUM(AT510:AZ510))&lt;0,0,W510-SUM(AT510:AZ510))</f>
        <v>0</v>
      </c>
      <c r="BB510" s="125"/>
      <c r="BC510" s="47"/>
      <c r="BD510" s="126"/>
    </row>
    <row r="511" spans="1:56" ht="15" customHeight="1">
      <c r="A511" s="56" t="s">
        <v>2351</v>
      </c>
      <c r="B511" s="57" t="s">
        <v>112</v>
      </c>
      <c r="C511" s="46" t="s">
        <v>65</v>
      </c>
      <c r="D511" s="56" t="s">
        <v>178</v>
      </c>
      <c r="E511" s="56" t="s">
        <v>2352</v>
      </c>
      <c r="F511" s="127">
        <v>4</v>
      </c>
      <c r="G511" s="75" t="s">
        <v>2353</v>
      </c>
      <c r="H511" s="131" t="s">
        <v>2354</v>
      </c>
      <c r="I511" s="131" t="s">
        <v>2355</v>
      </c>
      <c r="J511" s="131" t="s">
        <v>2145</v>
      </c>
      <c r="K511" s="131"/>
      <c r="L511" s="47"/>
      <c r="M511" s="47"/>
      <c r="N511" s="47"/>
      <c r="O511" s="47"/>
      <c r="P511" s="47"/>
      <c r="Q511" s="47"/>
      <c r="R511" s="47"/>
      <c r="S511" s="47"/>
      <c r="T511" s="47"/>
      <c r="U511" s="47"/>
      <c r="V511" s="131" t="s">
        <v>1688</v>
      </c>
      <c r="W511" s="74">
        <v>1</v>
      </c>
      <c r="X511" s="57">
        <f>MAX(0,$AK511-$W511-$Z511)</f>
        <v>0</v>
      </c>
      <c r="Y511" s="127"/>
      <c r="Z511" s="127"/>
      <c r="AA511" s="132">
        <v>0.28000000000000003</v>
      </c>
      <c r="AB511" s="60">
        <f>IF(AND($X511&gt;0,ISNUMBER($AA511)),$X511*$AA511,0)</f>
        <v>0</v>
      </c>
      <c r="AK511" s="39">
        <f>SUM(AL511:AR511)</f>
        <v>1</v>
      </c>
      <c r="AL511" s="90"/>
      <c r="AM511" s="38"/>
      <c r="AN511" s="38"/>
      <c r="AO511" s="97">
        <v>1</v>
      </c>
      <c r="AP511" s="38"/>
      <c r="AQ511" s="38"/>
      <c r="AR511" s="91"/>
      <c r="AS511" s="42">
        <f>SUM(AT511:AZ511)</f>
        <v>1</v>
      </c>
      <c r="AT511" s="48"/>
      <c r="AU511" s="48"/>
      <c r="AV511" s="48"/>
      <c r="AW511" s="48">
        <v>1</v>
      </c>
      <c r="AX511" s="48"/>
      <c r="AY511" s="48"/>
      <c r="AZ511" s="48"/>
      <c r="BA511" s="43">
        <f>IF((W511-SUM(AT511:AZ511))&lt;0,0,W511-SUM(AT511:AZ511))</f>
        <v>0</v>
      </c>
      <c r="BB511" s="125"/>
      <c r="BC511" s="47"/>
      <c r="BD511" s="47"/>
    </row>
    <row r="512" spans="1:56" ht="15" customHeight="1">
      <c r="A512" s="64" t="s">
        <v>219</v>
      </c>
      <c r="B512" s="65" t="s">
        <v>112</v>
      </c>
      <c r="C512" s="38" t="s">
        <v>65</v>
      </c>
      <c r="D512" s="64" t="s">
        <v>76</v>
      </c>
      <c r="E512" s="64"/>
      <c r="F512" s="128">
        <v>2</v>
      </c>
      <c r="G512" s="75" t="s">
        <v>220</v>
      </c>
      <c r="H512" s="130" t="s">
        <v>78</v>
      </c>
      <c r="I512" s="130" t="s">
        <v>221</v>
      </c>
      <c r="J512" s="130" t="s">
        <v>222</v>
      </c>
      <c r="K512" s="130"/>
      <c r="L512" s="37"/>
      <c r="M512" s="37"/>
      <c r="N512" s="37"/>
      <c r="O512" s="68"/>
      <c r="P512" s="68"/>
      <c r="Q512" s="37"/>
      <c r="R512" s="37"/>
      <c r="S512" s="37"/>
      <c r="T512" s="68"/>
      <c r="U512" s="68"/>
      <c r="V512" s="130" t="s">
        <v>223</v>
      </c>
      <c r="W512" s="74">
        <v>1</v>
      </c>
      <c r="X512" s="57">
        <f>MAX(0,$AK512-$W512-$Z512)</f>
        <v>0</v>
      </c>
      <c r="Y512" s="130"/>
      <c r="Z512" s="130"/>
      <c r="AA512" s="137">
        <v>0.23</v>
      </c>
      <c r="AB512" s="60">
        <f>IF(AND($X512&gt;0,ISNUMBER($AA512)),$X512*$AA512,0)</f>
        <v>0</v>
      </c>
      <c r="AK512" s="39">
        <f>SUM(AL512:AR512)</f>
        <v>1</v>
      </c>
      <c r="AL512" s="90"/>
      <c r="AM512" s="38"/>
      <c r="AN512" s="38"/>
      <c r="AO512" s="38"/>
      <c r="AP512" s="97">
        <v>1</v>
      </c>
      <c r="AQ512" s="38"/>
      <c r="AR512" s="91"/>
      <c r="AS512" s="42">
        <f>SUM(AT512:AZ512)</f>
        <v>1</v>
      </c>
      <c r="AT512" s="48"/>
      <c r="AU512" s="48"/>
      <c r="AV512" s="48"/>
      <c r="AW512" s="48"/>
      <c r="AX512" s="48">
        <v>1</v>
      </c>
      <c r="AY512" s="48"/>
      <c r="AZ512" s="48"/>
      <c r="BA512" s="43">
        <f>IF((W512-SUM(AT512:AZ512))&lt;0,0,W512-SUM(AT512:AZ512))</f>
        <v>0</v>
      </c>
      <c r="BB512" s="130"/>
      <c r="BC512" s="37"/>
      <c r="BD512" s="37"/>
    </row>
    <row r="513" spans="1:56" ht="15" customHeight="1">
      <c r="A513" s="64" t="s">
        <v>2356</v>
      </c>
      <c r="B513" s="65" t="s">
        <v>112</v>
      </c>
      <c r="C513" s="38" t="s">
        <v>65</v>
      </c>
      <c r="D513" s="64" t="s">
        <v>178</v>
      </c>
      <c r="E513" s="64" t="s">
        <v>1273</v>
      </c>
      <c r="F513" s="128">
        <v>5</v>
      </c>
      <c r="G513" s="75" t="s">
        <v>2357</v>
      </c>
      <c r="H513" s="130" t="s">
        <v>233</v>
      </c>
      <c r="I513" s="130" t="s">
        <v>2358</v>
      </c>
      <c r="J513" s="130" t="s">
        <v>2359</v>
      </c>
      <c r="K513" s="130" t="s">
        <v>2360</v>
      </c>
      <c r="L513" s="109" t="s">
        <v>2361</v>
      </c>
      <c r="M513" s="38">
        <v>1</v>
      </c>
      <c r="N513" s="38">
        <v>0</v>
      </c>
      <c r="O513" s="68" t="s">
        <v>2362</v>
      </c>
      <c r="P513" s="110">
        <v>11.65</v>
      </c>
      <c r="Q513" s="37"/>
      <c r="R513" s="37"/>
      <c r="S513" s="37"/>
      <c r="T513" s="68"/>
      <c r="U513" s="68"/>
      <c r="V513" s="130" t="s">
        <v>167</v>
      </c>
      <c r="W513" s="74">
        <v>1</v>
      </c>
      <c r="X513" s="57">
        <f>MAX(0,$AK513-$W513-$Z513)</f>
        <v>0</v>
      </c>
      <c r="Y513" s="130"/>
      <c r="Z513" s="130"/>
      <c r="AA513" s="137">
        <v>11.65</v>
      </c>
      <c r="AB513" s="60">
        <f>IF(AND($X513&gt;0,ISNUMBER($AA513)),$X513*$AA513,0)</f>
        <v>0</v>
      </c>
      <c r="AK513" s="39">
        <f>SUM(AL513:AR513)</f>
        <v>0</v>
      </c>
      <c r="AL513" s="90"/>
      <c r="AM513" s="38"/>
      <c r="AN513" s="38"/>
      <c r="AO513" s="38"/>
      <c r="AP513" s="38"/>
      <c r="AQ513" s="38"/>
      <c r="AR513" s="91"/>
      <c r="AS513" s="42">
        <f>SUM(AT513:AZ513)</f>
        <v>0</v>
      </c>
      <c r="AT513" s="48"/>
      <c r="AU513" s="48"/>
      <c r="AV513" s="48"/>
      <c r="AW513" s="48"/>
      <c r="AX513" s="48"/>
      <c r="AY513" s="48"/>
      <c r="AZ513" s="48"/>
      <c r="BA513" s="43">
        <f>IF((W513-SUM(AT513:AZ513))&lt;0,0,W513-SUM(AT513:AZ513))</f>
        <v>1</v>
      </c>
      <c r="BB513" s="130"/>
      <c r="BC513" s="37"/>
      <c r="BD513" s="37"/>
    </row>
    <row r="514" spans="1:56" ht="15" customHeight="1">
      <c r="A514" s="56" t="s">
        <v>2363</v>
      </c>
      <c r="B514" s="57" t="s">
        <v>112</v>
      </c>
      <c r="C514" s="46" t="s">
        <v>65</v>
      </c>
      <c r="D514" s="56" t="s">
        <v>84</v>
      </c>
      <c r="E514" s="56" t="s">
        <v>1279</v>
      </c>
      <c r="F514" s="127">
        <v>3</v>
      </c>
      <c r="G514" s="75" t="s">
        <v>2364</v>
      </c>
      <c r="H514" s="131" t="s">
        <v>1182</v>
      </c>
      <c r="I514" s="131" t="s">
        <v>2365</v>
      </c>
      <c r="J514" s="131" t="s">
        <v>2366</v>
      </c>
      <c r="K514" s="131"/>
      <c r="L514" s="47"/>
      <c r="M514" s="47"/>
      <c r="N514" s="47"/>
      <c r="O514" s="47"/>
      <c r="P514" s="47"/>
      <c r="Q514" s="47"/>
      <c r="R514" s="47"/>
      <c r="S514" s="47"/>
      <c r="T514" s="47"/>
      <c r="U514" s="47"/>
      <c r="V514" s="131" t="s">
        <v>1600</v>
      </c>
      <c r="W514" s="74">
        <v>1</v>
      </c>
      <c r="X514" s="57">
        <f>MAX(0,$AK514-$W514-$Z514)</f>
        <v>0</v>
      </c>
      <c r="Y514" s="127"/>
      <c r="Z514" s="127"/>
      <c r="AA514" s="132">
        <v>1.93</v>
      </c>
      <c r="AB514" s="60">
        <f>IF(AND($X514&gt;0,ISNUMBER($AA514)),$X514*$AA514,0)</f>
        <v>0</v>
      </c>
      <c r="AK514" s="39">
        <f>SUM(AL514:AR514)</f>
        <v>1</v>
      </c>
      <c r="AL514" s="90"/>
      <c r="AM514" s="97">
        <v>1</v>
      </c>
      <c r="AN514" s="38"/>
      <c r="AO514" s="38"/>
      <c r="AP514" s="38"/>
      <c r="AQ514" s="38"/>
      <c r="AR514" s="91"/>
      <c r="AS514" s="42">
        <f>SUM(AT514:AZ514)</f>
        <v>1</v>
      </c>
      <c r="AT514" s="48"/>
      <c r="AU514" s="48">
        <v>1</v>
      </c>
      <c r="AV514" s="48"/>
      <c r="AW514" s="48"/>
      <c r="AX514" s="48"/>
      <c r="AY514" s="48"/>
      <c r="AZ514" s="48"/>
      <c r="BA514" s="43">
        <f>IF((W514-SUM(AT514:AZ514))&lt;0,0,W514-SUM(AT514:AZ514))</f>
        <v>0</v>
      </c>
      <c r="BB514" s="125"/>
      <c r="BC514" s="47"/>
      <c r="BD514" s="47"/>
    </row>
    <row r="515" spans="1:56" ht="15" customHeight="1">
      <c r="A515" s="64" t="s">
        <v>2367</v>
      </c>
      <c r="B515" s="65" t="s">
        <v>112</v>
      </c>
      <c r="C515" s="38" t="s">
        <v>65</v>
      </c>
      <c r="D515" s="64" t="s">
        <v>84</v>
      </c>
      <c r="E515" s="64" t="s">
        <v>1924</v>
      </c>
      <c r="F515" s="130">
        <v>4</v>
      </c>
      <c r="G515" s="75" t="s">
        <v>2368</v>
      </c>
      <c r="H515" s="130" t="s">
        <v>108</v>
      </c>
      <c r="I515" s="130" t="s">
        <v>2369</v>
      </c>
      <c r="J515" s="130" t="s">
        <v>2370</v>
      </c>
      <c r="K515" s="130"/>
      <c r="L515" s="37"/>
      <c r="M515" s="37"/>
      <c r="N515" s="37"/>
      <c r="O515" s="68"/>
      <c r="P515" s="68"/>
      <c r="Q515" s="37"/>
      <c r="R515" s="37"/>
      <c r="S515" s="37"/>
      <c r="T515" s="68"/>
      <c r="U515" s="68"/>
      <c r="V515" s="130" t="s">
        <v>223</v>
      </c>
      <c r="W515" s="74">
        <v>1</v>
      </c>
      <c r="X515" s="57">
        <f>MAX(0,$AK515-$W515-$Z515)</f>
        <v>0</v>
      </c>
      <c r="Y515" s="130"/>
      <c r="Z515" s="130"/>
      <c r="AA515" s="130">
        <v>0.06</v>
      </c>
      <c r="AB515" s="60">
        <f>IF(AND($X515&gt;0,ISNUMBER($AA515)),$X515*$AA515,0)</f>
        <v>0</v>
      </c>
      <c r="AK515" s="39">
        <f>SUM(AL515:AR515)</f>
        <v>0</v>
      </c>
      <c r="AL515" s="90"/>
      <c r="AM515" s="38"/>
      <c r="AN515" s="38"/>
      <c r="AO515" s="38"/>
      <c r="AP515" s="38"/>
      <c r="AQ515" s="38"/>
      <c r="AR515" s="91"/>
      <c r="AS515" s="42">
        <f>SUM(AT515:AZ515)</f>
        <v>0</v>
      </c>
      <c r="AT515" s="48"/>
      <c r="AU515" s="48"/>
      <c r="AV515" s="48"/>
      <c r="AW515" s="48"/>
      <c r="AX515" s="48"/>
      <c r="AY515" s="48"/>
      <c r="AZ515" s="48"/>
      <c r="BA515" s="43">
        <f>IF((W515-SUM(AT515:AZ515))&lt;0,0,W515-SUM(AT515:AZ515))</f>
        <v>1</v>
      </c>
      <c r="BB515" s="130"/>
      <c r="BC515" s="37"/>
      <c r="BD515" s="37"/>
    </row>
    <row r="516" spans="1:56" ht="15" customHeight="1">
      <c r="A516" s="64" t="s">
        <v>2371</v>
      </c>
      <c r="B516" s="65" t="s">
        <v>112</v>
      </c>
      <c r="C516" s="38" t="s">
        <v>65</v>
      </c>
      <c r="D516" s="64" t="s">
        <v>178</v>
      </c>
      <c r="E516" s="64" t="s">
        <v>2372</v>
      </c>
      <c r="F516" s="130">
        <v>4</v>
      </c>
      <c r="G516" s="75" t="s">
        <v>2373</v>
      </c>
      <c r="H516" s="130" t="s">
        <v>293</v>
      </c>
      <c r="I516" s="130" t="s">
        <v>2374</v>
      </c>
      <c r="J516" s="130" t="s">
        <v>2375</v>
      </c>
      <c r="K516" s="130"/>
      <c r="L516" s="37"/>
      <c r="M516" s="37"/>
      <c r="N516" s="37"/>
      <c r="O516" s="68"/>
      <c r="P516" s="68"/>
      <c r="Q516" s="37"/>
      <c r="R516" s="37"/>
      <c r="S516" s="37"/>
      <c r="T516" s="68"/>
      <c r="U516" s="68"/>
      <c r="V516" s="130" t="s">
        <v>223</v>
      </c>
      <c r="W516" s="74">
        <v>1</v>
      </c>
      <c r="X516" s="57">
        <f>MAX(0,$AK516-$W516-$Z516)</f>
        <v>0</v>
      </c>
      <c r="Y516" s="130"/>
      <c r="Z516" s="130"/>
      <c r="AA516" s="130">
        <v>0.28999999999999998</v>
      </c>
      <c r="AB516" s="60">
        <f>IF(AND($X516&gt;0,ISNUMBER($AA516)),$X516*$AA516,0)</f>
        <v>0</v>
      </c>
      <c r="AD516" s="63"/>
      <c r="AK516" s="39">
        <f>SUM(AL516:AR516)</f>
        <v>0</v>
      </c>
      <c r="AL516" s="90"/>
      <c r="AM516" s="38"/>
      <c r="AN516" s="38"/>
      <c r="AO516" s="38"/>
      <c r="AP516" s="38"/>
      <c r="AQ516" s="38"/>
      <c r="AR516" s="91"/>
      <c r="AS516" s="42">
        <f>SUM(AT516:AZ516)</f>
        <v>0</v>
      </c>
      <c r="AT516" s="48"/>
      <c r="AU516" s="48"/>
      <c r="AV516" s="48"/>
      <c r="AW516" s="48"/>
      <c r="AX516" s="48"/>
      <c r="AY516" s="48"/>
      <c r="AZ516" s="48"/>
      <c r="BA516" s="43">
        <f>IF((W516-SUM(AT516:AZ516))&lt;0,0,W516-SUM(AT516:AZ516))</f>
        <v>1</v>
      </c>
      <c r="BB516" s="130"/>
      <c r="BC516" s="37"/>
      <c r="BD516" s="37"/>
    </row>
    <row r="517" spans="1:56" ht="15" customHeight="1">
      <c r="A517" s="56" t="s">
        <v>2376</v>
      </c>
      <c r="B517" s="57" t="s">
        <v>112</v>
      </c>
      <c r="C517" s="46" t="s">
        <v>65</v>
      </c>
      <c r="D517" s="56" t="s">
        <v>178</v>
      </c>
      <c r="E517" s="56" t="s">
        <v>2377</v>
      </c>
      <c r="F517" s="127">
        <v>5</v>
      </c>
      <c r="G517" s="75" t="s">
        <v>2378</v>
      </c>
      <c r="H517" s="131" t="s">
        <v>293</v>
      </c>
      <c r="I517" s="131" t="s">
        <v>2379</v>
      </c>
      <c r="J517" s="131"/>
      <c r="K517" s="131"/>
      <c r="L517" s="47"/>
      <c r="M517" s="47"/>
      <c r="N517" s="47"/>
      <c r="O517" s="47"/>
      <c r="P517" s="47"/>
      <c r="Q517" s="47"/>
      <c r="R517" s="47"/>
      <c r="S517" s="47"/>
      <c r="T517" s="47"/>
      <c r="U517" s="47"/>
      <c r="V517" s="131" t="s">
        <v>2350</v>
      </c>
      <c r="W517" s="74">
        <v>1</v>
      </c>
      <c r="X517" s="57">
        <f>MAX(0,$AK517-$W517-$Z517)</f>
        <v>0</v>
      </c>
      <c r="Y517" s="127"/>
      <c r="Z517" s="127"/>
      <c r="AA517" s="132">
        <v>0.15</v>
      </c>
      <c r="AB517" s="60">
        <f>IF(AND($X517&gt;0,ISNUMBER($AA517)),$X517*$AA517,0)</f>
        <v>0</v>
      </c>
      <c r="AD517" s="63"/>
      <c r="AK517" s="39">
        <f>SUM(AL517:AR517)</f>
        <v>1</v>
      </c>
      <c r="AL517" s="90"/>
      <c r="AM517" s="98">
        <v>1</v>
      </c>
      <c r="AN517" s="38"/>
      <c r="AO517" s="38"/>
      <c r="AP517" s="38"/>
      <c r="AQ517" s="38"/>
      <c r="AR517" s="91"/>
      <c r="AS517" s="42">
        <f>SUM(AT517:AZ517)</f>
        <v>1</v>
      </c>
      <c r="AT517" s="48"/>
      <c r="AU517" s="48">
        <v>1</v>
      </c>
      <c r="AV517" s="48"/>
      <c r="AW517" s="48"/>
      <c r="AX517" s="48"/>
      <c r="AY517" s="48"/>
      <c r="AZ517" s="48"/>
      <c r="BA517" s="43">
        <f>IF((W517-SUM(AT517:AZ517))&lt;0,0,W517-SUM(AT517:AZ517))</f>
        <v>0</v>
      </c>
      <c r="BB517" s="125"/>
      <c r="BC517" s="47"/>
      <c r="BD517" s="47"/>
    </row>
    <row r="518" spans="1:56" ht="15" customHeight="1">
      <c r="A518" s="56" t="s">
        <v>406</v>
      </c>
      <c r="B518" s="57" t="s">
        <v>112</v>
      </c>
      <c r="C518" s="46" t="s">
        <v>83</v>
      </c>
      <c r="D518" s="56" t="s">
        <v>178</v>
      </c>
      <c r="E518" s="56" t="s">
        <v>394</v>
      </c>
      <c r="F518" s="127">
        <v>4</v>
      </c>
      <c r="G518" s="75" t="s">
        <v>407</v>
      </c>
      <c r="H518" s="131" t="s">
        <v>408</v>
      </c>
      <c r="I518" s="131" t="s">
        <v>409</v>
      </c>
      <c r="J518" s="131"/>
      <c r="K518" s="131"/>
      <c r="L518" s="46"/>
      <c r="M518" s="46"/>
      <c r="N518" s="46"/>
      <c r="O518" s="46"/>
      <c r="P518" s="46"/>
      <c r="Q518" s="46"/>
      <c r="R518" s="46"/>
      <c r="S518" s="46"/>
      <c r="T518" s="46"/>
      <c r="U518" s="46"/>
      <c r="V518" s="131" t="s">
        <v>145</v>
      </c>
      <c r="W518" s="74">
        <v>1</v>
      </c>
      <c r="X518" s="57">
        <f>MAX(0,$AK518-$W518-$Z518)</f>
        <v>0</v>
      </c>
      <c r="Y518" s="127"/>
      <c r="Z518" s="127"/>
      <c r="AA518" s="132">
        <v>2.67</v>
      </c>
      <c r="AB518" s="60">
        <f>IF(AND($X518&gt;0,ISNUMBER($AA518)),$X518*$AA518,0)</f>
        <v>0</v>
      </c>
      <c r="AK518" s="39">
        <f>SUM(AL518:AR518)</f>
        <v>1</v>
      </c>
      <c r="AL518" s="90"/>
      <c r="AM518" s="38"/>
      <c r="AN518" s="38"/>
      <c r="AO518" s="38"/>
      <c r="AP518" s="97">
        <v>1</v>
      </c>
      <c r="AQ518" s="38"/>
      <c r="AR518" s="91"/>
      <c r="AS518" s="42">
        <f>SUM(AT518:AZ518)</f>
        <v>1</v>
      </c>
      <c r="AT518" s="48"/>
      <c r="AU518" s="48"/>
      <c r="AV518" s="48"/>
      <c r="AW518" s="48"/>
      <c r="AX518" s="48">
        <v>1</v>
      </c>
      <c r="AY518" s="48"/>
      <c r="AZ518" s="48"/>
      <c r="BA518" s="43">
        <f>IF((W518-SUM(AT518:AZ518))&lt;0,0,W518-SUM(AT518:AZ518))</f>
        <v>0</v>
      </c>
      <c r="BB518" s="125"/>
      <c r="BC518" s="47"/>
      <c r="BD518" s="47"/>
    </row>
    <row r="519" spans="1:56" ht="15" customHeight="1">
      <c r="A519" s="64" t="s">
        <v>2380</v>
      </c>
      <c r="B519" s="65" t="s">
        <v>112</v>
      </c>
      <c r="C519" s="38" t="s">
        <v>65</v>
      </c>
      <c r="D519" s="64" t="s">
        <v>178</v>
      </c>
      <c r="E519" s="64" t="s">
        <v>2381</v>
      </c>
      <c r="F519" s="128">
        <v>2</v>
      </c>
      <c r="G519" s="75" t="s">
        <v>2382</v>
      </c>
      <c r="H519" s="130" t="s">
        <v>227</v>
      </c>
      <c r="I519" s="130" t="s">
        <v>2383</v>
      </c>
      <c r="J519" s="130" t="s">
        <v>2384</v>
      </c>
      <c r="K519" s="130" t="s">
        <v>2385</v>
      </c>
      <c r="L519" s="37"/>
      <c r="M519" s="37"/>
      <c r="N519" s="37"/>
      <c r="O519" s="68"/>
      <c r="P519" s="68"/>
      <c r="Q519" s="37"/>
      <c r="R519" s="37"/>
      <c r="S519" s="37"/>
      <c r="T519" s="68"/>
      <c r="U519" s="68"/>
      <c r="V519" s="130" t="s">
        <v>167</v>
      </c>
      <c r="W519" s="74">
        <v>1</v>
      </c>
      <c r="X519" s="57">
        <f>MAX(0,$AK519-$W519-$Z519)</f>
        <v>0</v>
      </c>
      <c r="Y519" s="130"/>
      <c r="Z519" s="130"/>
      <c r="AA519" s="137">
        <v>0.24</v>
      </c>
      <c r="AB519" s="60">
        <f>IF(AND($X519&gt;0,ISNUMBER($AA519)),$X519*$AA519,0)</f>
        <v>0</v>
      </c>
      <c r="AK519" s="39">
        <f>SUM(AL519:AR519)</f>
        <v>0</v>
      </c>
      <c r="AL519" s="90"/>
      <c r="AM519" s="38"/>
      <c r="AN519" s="38"/>
      <c r="AO519" s="38"/>
      <c r="AP519" s="38"/>
      <c r="AQ519" s="38"/>
      <c r="AR519" s="91"/>
      <c r="AS519" s="42">
        <f>SUM(AT519:AZ519)</f>
        <v>0</v>
      </c>
      <c r="AT519" s="48"/>
      <c r="AU519" s="48"/>
      <c r="AV519" s="48"/>
      <c r="AW519" s="48"/>
      <c r="AX519" s="48"/>
      <c r="AY519" s="48"/>
      <c r="AZ519" s="48"/>
      <c r="BA519" s="43">
        <f>IF((W519-SUM(AT519:AZ519))&lt;0,0,W519-SUM(AT519:AZ519))</f>
        <v>1</v>
      </c>
      <c r="BB519" s="130"/>
      <c r="BC519" s="37"/>
      <c r="BD519" s="37"/>
    </row>
    <row r="520" spans="1:56" ht="15" customHeight="1">
      <c r="A520" s="56" t="s">
        <v>2386</v>
      </c>
      <c r="B520" s="57" t="s">
        <v>112</v>
      </c>
      <c r="C520" s="46" t="s">
        <v>65</v>
      </c>
      <c r="D520" s="56" t="s">
        <v>134</v>
      </c>
      <c r="E520" s="56"/>
      <c r="F520" s="127">
        <v>2</v>
      </c>
      <c r="G520" s="75" t="s">
        <v>2387</v>
      </c>
      <c r="H520" s="131" t="s">
        <v>293</v>
      </c>
      <c r="I520" s="131" t="s">
        <v>2388</v>
      </c>
      <c r="J520" s="131" t="s">
        <v>2389</v>
      </c>
      <c r="K520" s="131"/>
      <c r="L520" s="47"/>
      <c r="M520" s="47"/>
      <c r="N520" s="47"/>
      <c r="O520" s="47"/>
      <c r="P520" s="47"/>
      <c r="Q520" s="47"/>
      <c r="R520" s="47"/>
      <c r="S520" s="47"/>
      <c r="T520" s="47"/>
      <c r="U520" s="47"/>
      <c r="V520" s="131" t="s">
        <v>383</v>
      </c>
      <c r="W520" s="74">
        <v>1</v>
      </c>
      <c r="X520" s="57">
        <f>MAX(0,$AK520-$W520-$Z520)</f>
        <v>0</v>
      </c>
      <c r="Y520" s="127"/>
      <c r="Z520" s="127"/>
      <c r="AA520" s="132">
        <v>0.39</v>
      </c>
      <c r="AB520" s="60">
        <f>IF(AND($X520&gt;0,ISNUMBER($AA520)),$X520*$AA520,0)</f>
        <v>0</v>
      </c>
      <c r="AC520" s="63"/>
      <c r="AK520" s="39">
        <f>SUM(AL520:AR520)</f>
        <v>1</v>
      </c>
      <c r="AL520" s="103">
        <v>1</v>
      </c>
      <c r="AM520" s="38"/>
      <c r="AN520" s="38"/>
      <c r="AO520" s="38"/>
      <c r="AP520" s="38"/>
      <c r="AQ520" s="38"/>
      <c r="AR520" s="91"/>
      <c r="AS520" s="42">
        <f>SUM(AT520:AZ520)</f>
        <v>1</v>
      </c>
      <c r="AT520" s="48">
        <v>1</v>
      </c>
      <c r="AU520" s="48"/>
      <c r="AV520" s="48"/>
      <c r="AW520" s="48"/>
      <c r="AX520" s="48"/>
      <c r="AY520" s="48"/>
      <c r="AZ520" s="48"/>
      <c r="BA520" s="43">
        <f>IF((W520-SUM(AT520:AZ520))&lt;0,0,W520-SUM(AT520:AZ520))</f>
        <v>0</v>
      </c>
      <c r="BB520" s="125"/>
      <c r="BC520" s="47"/>
      <c r="BD520" s="47"/>
    </row>
    <row r="521" spans="1:56" ht="15" customHeight="1">
      <c r="A521" s="56" t="s">
        <v>2390</v>
      </c>
      <c r="B521" s="57" t="s">
        <v>112</v>
      </c>
      <c r="C521" s="46" t="s">
        <v>65</v>
      </c>
      <c r="D521" s="56" t="s">
        <v>178</v>
      </c>
      <c r="E521" s="56" t="s">
        <v>1347</v>
      </c>
      <c r="F521" s="127">
        <v>3</v>
      </c>
      <c r="G521" s="75" t="s">
        <v>2391</v>
      </c>
      <c r="H521" s="131" t="s">
        <v>845</v>
      </c>
      <c r="I521" s="131" t="s">
        <v>2392</v>
      </c>
      <c r="J521" s="131" t="s">
        <v>2393</v>
      </c>
      <c r="K521" s="131"/>
      <c r="L521" s="47"/>
      <c r="M521" s="47"/>
      <c r="N521" s="47"/>
      <c r="O521" s="47"/>
      <c r="P521" s="47"/>
      <c r="Q521" s="47"/>
      <c r="R521" s="47"/>
      <c r="S521" s="47"/>
      <c r="T521" s="47"/>
      <c r="U521" s="47"/>
      <c r="V521" s="131" t="s">
        <v>2394</v>
      </c>
      <c r="W521" s="74">
        <v>1</v>
      </c>
      <c r="X521" s="57">
        <f>MAX(0,$AK521-$W521-$Z521)</f>
        <v>0</v>
      </c>
      <c r="Y521" s="127"/>
      <c r="Z521" s="127"/>
      <c r="AA521" s="132">
        <v>2.65</v>
      </c>
      <c r="AB521" s="60">
        <f>IF(AND($X521&gt;0,ISNUMBER($AA521)),$X521*$AA521,0)</f>
        <v>0</v>
      </c>
      <c r="AK521" s="39">
        <f>SUM(AL521:AR521)</f>
        <v>1</v>
      </c>
      <c r="AL521" s="90"/>
      <c r="AM521" s="38"/>
      <c r="AN521" s="97">
        <v>1</v>
      </c>
      <c r="AO521" s="38"/>
      <c r="AP521" s="38"/>
      <c r="AQ521" s="38"/>
      <c r="AR521" s="91"/>
      <c r="AS521" s="42">
        <f>SUM(AT521:AZ521)</f>
        <v>1</v>
      </c>
      <c r="AT521" s="48"/>
      <c r="AU521" s="48"/>
      <c r="AV521" s="48">
        <v>1</v>
      </c>
      <c r="AW521" s="48"/>
      <c r="AX521" s="48"/>
      <c r="AY521" s="48"/>
      <c r="AZ521" s="48"/>
      <c r="BA521" s="43">
        <f>IF((W521-SUM(AT521:AZ521))&lt;0,0,W521-SUM(AT521:AZ521))</f>
        <v>0</v>
      </c>
      <c r="BB521" s="125"/>
      <c r="BC521" s="47"/>
      <c r="BD521" s="47"/>
    </row>
    <row r="522" spans="1:56" ht="15" customHeight="1">
      <c r="A522" s="64" t="s">
        <v>2395</v>
      </c>
      <c r="B522" s="65" t="s">
        <v>112</v>
      </c>
      <c r="C522" s="38" t="s">
        <v>65</v>
      </c>
      <c r="D522" s="64" t="s">
        <v>178</v>
      </c>
      <c r="E522" s="64" t="s">
        <v>2396</v>
      </c>
      <c r="F522" s="128">
        <v>5</v>
      </c>
      <c r="G522" s="75" t="s">
        <v>2397</v>
      </c>
      <c r="H522" s="130" t="s">
        <v>293</v>
      </c>
      <c r="I522" s="130" t="s">
        <v>2398</v>
      </c>
      <c r="J522" s="130" t="s">
        <v>2399</v>
      </c>
      <c r="K522" s="130"/>
      <c r="L522" s="37"/>
      <c r="M522" s="37"/>
      <c r="N522" s="37"/>
      <c r="O522" s="68"/>
      <c r="P522" s="68"/>
      <c r="Q522" s="37"/>
      <c r="R522" s="37"/>
      <c r="S522" s="37"/>
      <c r="T522" s="68"/>
      <c r="U522" s="68"/>
      <c r="V522" s="130" t="s">
        <v>167</v>
      </c>
      <c r="W522" s="74">
        <v>1</v>
      </c>
      <c r="X522" s="57">
        <f>MAX(0,$AK522-$W522-$Z522)</f>
        <v>0</v>
      </c>
      <c r="Y522" s="130"/>
      <c r="Z522" s="130"/>
      <c r="AA522" s="137">
        <v>0.3</v>
      </c>
      <c r="AB522" s="60">
        <f>IF(AND($X522&gt;0,ISNUMBER($AA522)),$X522*$AA522,0)</f>
        <v>0</v>
      </c>
      <c r="AF522" s="63"/>
      <c r="AI522" s="63"/>
      <c r="AK522" s="39">
        <f>SUM(AL522:AR522)</f>
        <v>0</v>
      </c>
      <c r="AL522" s="90"/>
      <c r="AM522" s="38"/>
      <c r="AN522" s="38"/>
      <c r="AO522" s="38"/>
      <c r="AP522" s="38"/>
      <c r="AQ522" s="38"/>
      <c r="AR522" s="91"/>
      <c r="AS522" s="42">
        <f>SUM(AT522:AZ522)</f>
        <v>0</v>
      </c>
      <c r="AT522" s="48"/>
      <c r="AU522" s="48"/>
      <c r="AV522" s="48"/>
      <c r="AW522" s="48"/>
      <c r="AX522" s="48"/>
      <c r="AY522" s="48"/>
      <c r="AZ522" s="48"/>
      <c r="BA522" s="43">
        <f>IF((W522-SUM(AT522:AZ522))&lt;0,0,W522-SUM(AT522:AZ522))</f>
        <v>1</v>
      </c>
      <c r="BB522" s="130"/>
      <c r="BC522" s="37"/>
      <c r="BD522" s="37"/>
    </row>
    <row r="523" spans="1:56" ht="15" customHeight="1">
      <c r="A523" s="56" t="s">
        <v>2400</v>
      </c>
      <c r="B523" s="57" t="s">
        <v>112</v>
      </c>
      <c r="C523" s="46" t="s">
        <v>65</v>
      </c>
      <c r="D523" s="56" t="s">
        <v>68</v>
      </c>
      <c r="E523" s="56"/>
      <c r="F523" s="127">
        <v>0</v>
      </c>
      <c r="G523" s="75" t="s">
        <v>2401</v>
      </c>
      <c r="H523" s="131" t="s">
        <v>68</v>
      </c>
      <c r="I523" s="131" t="s">
        <v>1905</v>
      </c>
      <c r="J523" s="131"/>
      <c r="K523" s="131"/>
      <c r="L523" s="46"/>
      <c r="M523" s="46"/>
      <c r="N523" s="46"/>
      <c r="O523" s="46"/>
      <c r="P523" s="46"/>
      <c r="Q523" s="46"/>
      <c r="R523" s="46"/>
      <c r="S523" s="46"/>
      <c r="T523" s="46"/>
      <c r="U523" s="46"/>
      <c r="V523" s="131" t="s">
        <v>359</v>
      </c>
      <c r="W523" s="74">
        <v>0</v>
      </c>
      <c r="X523" s="57">
        <f>MAX(0,$AK523-$W523-$Z523)</f>
        <v>0</v>
      </c>
      <c r="Y523" s="127"/>
      <c r="Z523" s="127"/>
      <c r="AA523" s="132">
        <v>0.15</v>
      </c>
      <c r="AB523" s="60">
        <f>IF(AND($X523&gt;0,ISNUMBER($AA523)),$X523*$AA523,0)</f>
        <v>0</v>
      </c>
      <c r="AC523" s="59"/>
      <c r="AD523" s="59"/>
      <c r="AE523" s="59"/>
      <c r="AF523" s="59"/>
      <c r="AG523" s="59"/>
      <c r="AH523" s="59"/>
      <c r="AI523" s="59"/>
      <c r="AJ523" s="59"/>
      <c r="AK523" s="39">
        <f>SUM(AL523:AR523)</f>
        <v>0</v>
      </c>
      <c r="AL523" s="114"/>
      <c r="AM523" s="43"/>
      <c r="AN523" s="43"/>
      <c r="AO523" s="43"/>
      <c r="AP523" s="43"/>
      <c r="AQ523" s="43"/>
      <c r="AR523" s="116"/>
      <c r="AS523" s="42">
        <f>SUM(AT523:AZ523)</f>
        <v>0</v>
      </c>
      <c r="AT523" s="48"/>
      <c r="AU523" s="48"/>
      <c r="AV523" s="48"/>
      <c r="AW523" s="48"/>
      <c r="AX523" s="48"/>
      <c r="AY523" s="48"/>
      <c r="AZ523" s="48"/>
      <c r="BA523" s="43">
        <f>IF((W523-SUM(AT523:AZ523))&lt;0,0,W523-SUM(AT523:AZ523))</f>
        <v>0</v>
      </c>
      <c r="BB523" s="125"/>
      <c r="BC523" s="47"/>
      <c r="BD523" s="47"/>
    </row>
    <row r="524" spans="1:56" ht="15" customHeight="1">
      <c r="A524" s="56" t="s">
        <v>2402</v>
      </c>
      <c r="B524" s="57" t="s">
        <v>112</v>
      </c>
      <c r="C524" s="46" t="s">
        <v>65</v>
      </c>
      <c r="D524" s="56" t="s">
        <v>68</v>
      </c>
      <c r="E524" s="56"/>
      <c r="F524" s="127">
        <v>0</v>
      </c>
      <c r="G524" s="75" t="s">
        <v>1866</v>
      </c>
      <c r="H524" s="131" t="s">
        <v>68</v>
      </c>
      <c r="I524" s="131" t="s">
        <v>1867</v>
      </c>
      <c r="J524" s="131"/>
      <c r="K524" s="131"/>
      <c r="L524" s="46"/>
      <c r="M524" s="46"/>
      <c r="N524" s="46"/>
      <c r="O524" s="68"/>
      <c r="P524" s="68"/>
      <c r="Q524" s="46"/>
      <c r="R524" s="46"/>
      <c r="S524" s="46"/>
      <c r="T524" s="68"/>
      <c r="U524" s="68"/>
      <c r="V524" s="131" t="s">
        <v>991</v>
      </c>
      <c r="W524" s="74">
        <v>2</v>
      </c>
      <c r="X524" s="57">
        <f>MAX(0,$AK524-$W524-$Z524)</f>
        <v>0</v>
      </c>
      <c r="Y524" s="127"/>
      <c r="Z524" s="127"/>
      <c r="AA524" s="132">
        <v>0.1</v>
      </c>
      <c r="AB524" s="60">
        <f>IF(AND($X524&gt;0,ISNUMBER($AA524)),$X524*$AA524,0)</f>
        <v>0</v>
      </c>
      <c r="AK524" s="39">
        <f>SUM(AL524:AR524)</f>
        <v>1</v>
      </c>
      <c r="AL524" s="90"/>
      <c r="AM524" s="38"/>
      <c r="AN524" s="38"/>
      <c r="AO524" s="97">
        <v>1</v>
      </c>
      <c r="AP524" s="38"/>
      <c r="AQ524" s="38"/>
      <c r="AR524" s="91"/>
      <c r="AS524" s="42">
        <f>SUM(AT524:AZ524)</f>
        <v>1</v>
      </c>
      <c r="AT524" s="48"/>
      <c r="AU524" s="48"/>
      <c r="AV524" s="48"/>
      <c r="AW524" s="48">
        <v>1</v>
      </c>
      <c r="AX524" s="48"/>
      <c r="AY524" s="48"/>
      <c r="AZ524" s="48"/>
      <c r="BA524" s="43">
        <f>IF((W524-SUM(AT524:AZ524))&lt;0,0,W524-SUM(AT524:AZ524))</f>
        <v>1</v>
      </c>
      <c r="BB524" s="125"/>
      <c r="BC524" s="47"/>
      <c r="BD524" s="55" t="s">
        <v>1695</v>
      </c>
    </row>
    <row r="525" spans="1:56" ht="15" customHeight="1">
      <c r="A525" s="56" t="s">
        <v>2403</v>
      </c>
      <c r="B525" s="57" t="s">
        <v>112</v>
      </c>
      <c r="C525" s="46" t="s">
        <v>65</v>
      </c>
      <c r="D525" s="56" t="s">
        <v>68</v>
      </c>
      <c r="E525" s="56"/>
      <c r="F525" s="127">
        <v>0</v>
      </c>
      <c r="G525" s="75" t="s">
        <v>2404</v>
      </c>
      <c r="H525" s="131" t="s">
        <v>68</v>
      </c>
      <c r="I525" s="131" t="s">
        <v>2405</v>
      </c>
      <c r="J525" s="131"/>
      <c r="K525" s="131"/>
      <c r="L525" s="46"/>
      <c r="M525" s="46"/>
      <c r="N525" s="46"/>
      <c r="O525" s="46"/>
      <c r="P525" s="46"/>
      <c r="Q525" s="46"/>
      <c r="R525" s="46"/>
      <c r="S525" s="46"/>
      <c r="T525" s="46"/>
      <c r="U525" s="46"/>
      <c r="V525" s="131" t="s">
        <v>1471</v>
      </c>
      <c r="W525" s="74">
        <v>0</v>
      </c>
      <c r="X525" s="57">
        <f>MAX(0,$AK525-$W525-$Z525)</f>
        <v>0</v>
      </c>
      <c r="Y525" s="127"/>
      <c r="Z525" s="127"/>
      <c r="AA525" s="132">
        <v>2.39</v>
      </c>
      <c r="AB525" s="60">
        <f>IF(AND($X525&gt;0,ISNUMBER($AA525)),$X525*$AA525,0)</f>
        <v>0</v>
      </c>
      <c r="AC525" s="59"/>
      <c r="AD525" s="59"/>
      <c r="AE525" s="59"/>
      <c r="AF525" s="59"/>
      <c r="AG525" s="59"/>
      <c r="AH525" s="59"/>
      <c r="AI525" s="59"/>
      <c r="AJ525" s="59"/>
      <c r="AK525" s="39">
        <f>SUM(AL525:AR525)</f>
        <v>0</v>
      </c>
      <c r="AL525" s="114"/>
      <c r="AM525" s="43"/>
      <c r="AN525" s="43"/>
      <c r="AO525" s="43"/>
      <c r="AP525" s="43"/>
      <c r="AQ525" s="43"/>
      <c r="AR525" s="116"/>
      <c r="AS525" s="42">
        <f>SUM(AT525:AZ525)</f>
        <v>0</v>
      </c>
      <c r="AT525" s="48"/>
      <c r="AU525" s="48"/>
      <c r="AV525" s="48"/>
      <c r="AW525" s="48"/>
      <c r="AX525" s="48"/>
      <c r="AY525" s="48"/>
      <c r="AZ525" s="48"/>
      <c r="BA525" s="43">
        <f>IF((W525-SUM(AT525:AZ525))&lt;0,0,W525-SUM(AT525:AZ525))</f>
        <v>0</v>
      </c>
      <c r="BB525" s="125"/>
      <c r="BC525" s="47"/>
      <c r="BD525" s="53"/>
    </row>
    <row r="526" spans="1:56" ht="15" customHeight="1">
      <c r="A526" s="56" t="s">
        <v>2406</v>
      </c>
      <c r="B526" s="57" t="s">
        <v>112</v>
      </c>
      <c r="C526" s="46" t="s">
        <v>65</v>
      </c>
      <c r="D526" s="56" t="s">
        <v>76</v>
      </c>
      <c r="E526" s="56"/>
      <c r="F526" s="127">
        <v>4</v>
      </c>
      <c r="G526" s="75" t="s">
        <v>2407</v>
      </c>
      <c r="H526" s="131" t="s">
        <v>78</v>
      </c>
      <c r="I526" s="131" t="s">
        <v>1940</v>
      </c>
      <c r="J526" s="131"/>
      <c r="K526" s="131"/>
      <c r="L526" s="47"/>
      <c r="M526" s="47"/>
      <c r="N526" s="47"/>
      <c r="O526" s="47"/>
      <c r="P526" s="47"/>
      <c r="Q526" s="47"/>
      <c r="R526" s="47"/>
      <c r="S526" s="47"/>
      <c r="T526" s="47"/>
      <c r="U526" s="47"/>
      <c r="V526" s="131" t="s">
        <v>359</v>
      </c>
      <c r="W526" s="74">
        <v>0</v>
      </c>
      <c r="X526" s="57">
        <f>MAX(0,$AK526-$W526-$Z526)</f>
        <v>0</v>
      </c>
      <c r="Y526" s="127"/>
      <c r="Z526" s="127"/>
      <c r="AA526" s="132">
        <v>0.28999999999999998</v>
      </c>
      <c r="AB526" s="60">
        <f>IF(AND($X526&gt;0,ISNUMBER($AA526)),$X526*$AA526,0)</f>
        <v>0</v>
      </c>
      <c r="AC526" s="59"/>
      <c r="AD526" s="59"/>
      <c r="AE526" s="59"/>
      <c r="AF526" s="59"/>
      <c r="AG526" s="59"/>
      <c r="AH526" s="59"/>
      <c r="AI526" s="59"/>
      <c r="AJ526" s="59"/>
      <c r="AK526" s="39">
        <f>SUM(AL526:AR526)</f>
        <v>0</v>
      </c>
      <c r="AL526" s="114"/>
      <c r="AM526" s="43"/>
      <c r="AN526" s="43"/>
      <c r="AO526" s="43"/>
      <c r="AP526" s="43"/>
      <c r="AQ526" s="43"/>
      <c r="AR526" s="116"/>
      <c r="AS526" s="42">
        <f>SUM(AT526:AZ526)</f>
        <v>0</v>
      </c>
      <c r="AT526" s="48"/>
      <c r="AU526" s="48"/>
      <c r="AV526" s="48"/>
      <c r="AW526" s="48"/>
      <c r="AX526" s="48"/>
      <c r="AY526" s="48"/>
      <c r="AZ526" s="48"/>
      <c r="BA526" s="43">
        <f>IF((W526-SUM(AT526:AZ526))&lt;0,0,W526-SUM(AT526:AZ526))</f>
        <v>0</v>
      </c>
      <c r="BB526" s="125"/>
      <c r="BC526" s="47"/>
      <c r="BD526" s="47"/>
    </row>
    <row r="527" spans="1:56" ht="15" customHeight="1">
      <c r="A527" s="56" t="s">
        <v>2408</v>
      </c>
      <c r="B527" s="57" t="s">
        <v>112</v>
      </c>
      <c r="C527" s="46" t="s">
        <v>65</v>
      </c>
      <c r="D527" s="56" t="s">
        <v>84</v>
      </c>
      <c r="E527" s="56" t="s">
        <v>2409</v>
      </c>
      <c r="F527" s="127">
        <v>3</v>
      </c>
      <c r="G527" s="75" t="s">
        <v>2410</v>
      </c>
      <c r="H527" s="131" t="s">
        <v>115</v>
      </c>
      <c r="I527" s="131" t="s">
        <v>2411</v>
      </c>
      <c r="J527" s="131" t="s">
        <v>2412</v>
      </c>
      <c r="K527" s="131"/>
      <c r="L527" s="47"/>
      <c r="M527" s="47"/>
      <c r="N527" s="47"/>
      <c r="O527" s="47"/>
      <c r="P527" s="47"/>
      <c r="Q527" s="47"/>
      <c r="R527" s="47"/>
      <c r="S527" s="47"/>
      <c r="T527" s="47"/>
      <c r="U527" s="47"/>
      <c r="V527" s="131" t="s">
        <v>383</v>
      </c>
      <c r="W527" s="74">
        <v>1</v>
      </c>
      <c r="X527" s="57">
        <f>MAX(0,$AK527-$W527-$Z527)</f>
        <v>0</v>
      </c>
      <c r="Y527" s="127"/>
      <c r="Z527" s="127"/>
      <c r="AA527" s="132">
        <v>0.22</v>
      </c>
      <c r="AB527" s="60">
        <f>IF(AND($X527&gt;0,ISNUMBER($AA527)),$X527*$AA527,0)</f>
        <v>0</v>
      </c>
      <c r="AK527" s="39">
        <f>SUM(AL527:AR527)</f>
        <v>1</v>
      </c>
      <c r="AL527" s="102">
        <v>1</v>
      </c>
      <c r="AM527" s="38"/>
      <c r="AN527" s="38"/>
      <c r="AO527" s="38"/>
      <c r="AP527" s="38"/>
      <c r="AQ527" s="38"/>
      <c r="AR527" s="91"/>
      <c r="AS527" s="42">
        <f>SUM(AT527:AZ527)</f>
        <v>1</v>
      </c>
      <c r="AT527" s="48">
        <v>1</v>
      </c>
      <c r="AU527" s="48"/>
      <c r="AV527" s="48"/>
      <c r="AW527" s="48"/>
      <c r="AX527" s="48"/>
      <c r="AY527" s="48"/>
      <c r="AZ527" s="48"/>
      <c r="BA527" s="43">
        <f>IF((W527-SUM(AT527:AZ527))&lt;0,0,W527-SUM(AT527:AZ527))</f>
        <v>0</v>
      </c>
      <c r="BB527" s="125"/>
      <c r="BC527" s="47"/>
      <c r="BD527" s="47"/>
    </row>
    <row r="528" spans="1:56" ht="15" customHeight="1">
      <c r="A528" s="56" t="s">
        <v>2413</v>
      </c>
      <c r="B528" s="57" t="s">
        <v>112</v>
      </c>
      <c r="C528" s="46" t="s">
        <v>65</v>
      </c>
      <c r="D528" s="56" t="s">
        <v>134</v>
      </c>
      <c r="E528" s="56"/>
      <c r="F528" s="127">
        <v>3</v>
      </c>
      <c r="G528" s="75" t="s">
        <v>2414</v>
      </c>
      <c r="H528" s="131" t="s">
        <v>78</v>
      </c>
      <c r="I528" s="131" t="s">
        <v>2415</v>
      </c>
      <c r="J528" s="131"/>
      <c r="K528" s="131"/>
      <c r="L528" s="47"/>
      <c r="M528" s="47"/>
      <c r="N528" s="47"/>
      <c r="O528" s="47"/>
      <c r="P528" s="47"/>
      <c r="Q528" s="47"/>
      <c r="R528" s="47"/>
      <c r="S528" s="47"/>
      <c r="T528" s="47"/>
      <c r="U528" s="47"/>
      <c r="V528" s="131" t="s">
        <v>747</v>
      </c>
      <c r="W528" s="74">
        <v>1</v>
      </c>
      <c r="X528" s="57">
        <f>MAX(0,$AK528-$W528-$Z528)</f>
        <v>0</v>
      </c>
      <c r="Y528" s="127"/>
      <c r="Z528" s="127"/>
      <c r="AA528" s="132">
        <v>0.76</v>
      </c>
      <c r="AB528" s="60">
        <f>IF(AND($X528&gt;0,ISNUMBER($AA528)),$X528*$AA528,0)</f>
        <v>0</v>
      </c>
      <c r="AK528" s="39">
        <f>SUM(AL528:AR528)</f>
        <v>1</v>
      </c>
      <c r="AL528" s="90"/>
      <c r="AM528" s="38"/>
      <c r="AN528" s="38"/>
      <c r="AO528" s="97">
        <v>1</v>
      </c>
      <c r="AP528" s="38"/>
      <c r="AQ528" s="38"/>
      <c r="AR528" s="91"/>
      <c r="AS528" s="42">
        <f>SUM(AT528:AZ528)</f>
        <v>1</v>
      </c>
      <c r="AT528" s="48"/>
      <c r="AU528" s="48"/>
      <c r="AV528" s="48"/>
      <c r="AW528" s="48">
        <v>1</v>
      </c>
      <c r="AX528" s="48"/>
      <c r="AY528" s="48"/>
      <c r="AZ528" s="48"/>
      <c r="BA528" s="43">
        <f>IF((W528-SUM(AT528:AZ528))&lt;0,0,W528-SUM(AT528:AZ528))</f>
        <v>0</v>
      </c>
      <c r="BB528" s="125"/>
      <c r="BC528" s="47"/>
      <c r="BD528" s="47"/>
    </row>
    <row r="529" spans="1:56" ht="15" customHeight="1">
      <c r="A529" s="64" t="s">
        <v>2416</v>
      </c>
      <c r="B529" s="65" t="s">
        <v>112</v>
      </c>
      <c r="C529" s="38" t="s">
        <v>65</v>
      </c>
      <c r="D529" s="64" t="s">
        <v>134</v>
      </c>
      <c r="E529" s="64"/>
      <c r="F529" s="130">
        <v>7</v>
      </c>
      <c r="G529" s="75" t="s">
        <v>2417</v>
      </c>
      <c r="H529" s="130" t="s">
        <v>153</v>
      </c>
      <c r="I529" s="130" t="s">
        <v>2418</v>
      </c>
      <c r="J529" s="130" t="s">
        <v>2419</v>
      </c>
      <c r="K529" s="130"/>
      <c r="L529" s="37"/>
      <c r="M529" s="37"/>
      <c r="N529" s="37"/>
      <c r="O529" s="68"/>
      <c r="P529" s="68"/>
      <c r="Q529" s="37"/>
      <c r="R529" s="37"/>
      <c r="S529" s="37"/>
      <c r="T529" s="68"/>
      <c r="U529" s="68"/>
      <c r="V529" s="130" t="s">
        <v>223</v>
      </c>
      <c r="W529" s="74">
        <v>1</v>
      </c>
      <c r="X529" s="57">
        <f>MAX(0,$AK529-$W529-$Z529)</f>
        <v>0</v>
      </c>
      <c r="Y529" s="130"/>
      <c r="Z529" s="130"/>
      <c r="AA529" s="130">
        <v>0.12</v>
      </c>
      <c r="AB529" s="60">
        <f>IF(AND($X529&gt;0,ISNUMBER($AA529)),$X529*$AA529,0)</f>
        <v>0</v>
      </c>
      <c r="AK529" s="39">
        <f>SUM(AL529:AR529)</f>
        <v>0</v>
      </c>
      <c r="AL529" s="90"/>
      <c r="AM529" s="38"/>
      <c r="AN529" s="38"/>
      <c r="AO529" s="38"/>
      <c r="AP529" s="38"/>
      <c r="AQ529" s="38"/>
      <c r="AR529" s="91"/>
      <c r="AS529" s="42">
        <f>SUM(AT529:AZ529)</f>
        <v>0</v>
      </c>
      <c r="AT529" s="48"/>
      <c r="AU529" s="48"/>
      <c r="AV529" s="48"/>
      <c r="AW529" s="48"/>
      <c r="AX529" s="48"/>
      <c r="AY529" s="48"/>
      <c r="AZ529" s="48"/>
      <c r="BA529" s="43">
        <f>IF((W529-SUM(AT529:AZ529))&lt;0,0,W529-SUM(AT529:AZ529))</f>
        <v>1</v>
      </c>
      <c r="BB529" s="130"/>
      <c r="BC529" s="37"/>
      <c r="BD529" s="37"/>
    </row>
    <row r="530" spans="1:56" ht="15" customHeight="1">
      <c r="A530" s="56" t="s">
        <v>2420</v>
      </c>
      <c r="B530" s="57" t="s">
        <v>112</v>
      </c>
      <c r="C530" s="46" t="s">
        <v>65</v>
      </c>
      <c r="D530" s="56" t="s">
        <v>84</v>
      </c>
      <c r="E530" s="56" t="s">
        <v>2421</v>
      </c>
      <c r="F530" s="127">
        <v>3</v>
      </c>
      <c r="G530" s="75" t="s">
        <v>2422</v>
      </c>
      <c r="H530" s="131" t="s">
        <v>293</v>
      </c>
      <c r="I530" s="131" t="s">
        <v>2423</v>
      </c>
      <c r="J530" s="131"/>
      <c r="K530" s="131"/>
      <c r="L530" s="47"/>
      <c r="M530" s="47"/>
      <c r="N530" s="47"/>
      <c r="O530" s="68"/>
      <c r="P530" s="68"/>
      <c r="Q530" s="47"/>
      <c r="R530" s="47"/>
      <c r="S530" s="47"/>
      <c r="T530" s="68"/>
      <c r="U530" s="68"/>
      <c r="V530" s="131" t="s">
        <v>119</v>
      </c>
      <c r="W530" s="74">
        <v>1</v>
      </c>
      <c r="X530" s="57">
        <f>MAX(0,$AK530-$W530-$Z530)</f>
        <v>0</v>
      </c>
      <c r="Y530" s="127"/>
      <c r="Z530" s="127"/>
      <c r="AA530" s="132">
        <v>0.31</v>
      </c>
      <c r="AB530" s="60">
        <f>IF(AND($X530&gt;0,ISNUMBER($AA530)),$X530*$AA530,0)</f>
        <v>0</v>
      </c>
      <c r="AE530" s="63"/>
      <c r="AK530" s="39">
        <f>SUM(AL530:AR530)</f>
        <v>1</v>
      </c>
      <c r="AL530" s="90"/>
      <c r="AM530" s="38"/>
      <c r="AN530" s="98">
        <v>1</v>
      </c>
      <c r="AO530" s="38"/>
      <c r="AP530" s="38"/>
      <c r="AQ530" s="38"/>
      <c r="AR530" s="91"/>
      <c r="AS530" s="42">
        <f>SUM(AT530:AZ530)</f>
        <v>1</v>
      </c>
      <c r="AT530" s="48"/>
      <c r="AU530" s="48"/>
      <c r="AV530" s="48">
        <v>1</v>
      </c>
      <c r="AW530" s="48"/>
      <c r="AX530" s="48"/>
      <c r="AY530" s="48"/>
      <c r="AZ530" s="48"/>
      <c r="BA530" s="43">
        <f>IF((W530-SUM(AT530:AZ530))&lt;0,0,W530-SUM(AT530:AZ530))</f>
        <v>0</v>
      </c>
      <c r="BB530" s="125"/>
      <c r="BC530" s="47"/>
      <c r="BD530" s="47"/>
    </row>
    <row r="531" spans="1:56" ht="15" customHeight="1">
      <c r="A531" s="61" t="s">
        <v>2424</v>
      </c>
      <c r="B531" s="62" t="s">
        <v>112</v>
      </c>
      <c r="C531" s="46" t="s">
        <v>65</v>
      </c>
      <c r="D531" s="61" t="s">
        <v>84</v>
      </c>
      <c r="E531" s="61" t="s">
        <v>2425</v>
      </c>
      <c r="F531" s="129">
        <v>4</v>
      </c>
      <c r="G531" s="75" t="s">
        <v>2426</v>
      </c>
      <c r="H531" s="126" t="s">
        <v>446</v>
      </c>
      <c r="I531" s="126" t="s">
        <v>2427</v>
      </c>
      <c r="J531" s="126"/>
      <c r="K531" s="126"/>
      <c r="L531" s="47"/>
      <c r="M531" s="47"/>
      <c r="N531" s="47"/>
      <c r="O531" s="47"/>
      <c r="P531" s="47"/>
      <c r="Q531" s="47"/>
      <c r="R531" s="47"/>
      <c r="S531" s="47"/>
      <c r="T531" s="47"/>
      <c r="U531" s="47"/>
      <c r="V531" s="126" t="s">
        <v>568</v>
      </c>
      <c r="W531" s="74">
        <v>0</v>
      </c>
      <c r="X531" s="57">
        <f>MAX(0,$AK531-$W531-$Z531)</f>
        <v>0</v>
      </c>
      <c r="Y531" s="126"/>
      <c r="Z531" s="126"/>
      <c r="AA531" s="126">
        <v>0.12</v>
      </c>
      <c r="AB531" s="61">
        <f>IF(AND($X531&gt;0,ISNUMBER($AA531)),$X531*$AA531,0)</f>
        <v>0</v>
      </c>
      <c r="AC531" s="47"/>
      <c r="AD531" s="47"/>
      <c r="AE531" s="47"/>
      <c r="AF531" s="47"/>
      <c r="AG531" s="47"/>
      <c r="AH531" s="47"/>
      <c r="AI531" s="47"/>
      <c r="AJ531" s="47"/>
      <c r="AK531" s="39">
        <f>SUM(AL531:AR531)</f>
        <v>0</v>
      </c>
      <c r="AL531" s="115"/>
      <c r="AM531" s="46"/>
      <c r="AN531" s="46"/>
      <c r="AO531" s="46"/>
      <c r="AP531" s="46"/>
      <c r="AQ531" s="46"/>
      <c r="AR531" s="116"/>
      <c r="AS531" s="42">
        <f>SUM(AT531:AZ531)</f>
        <v>0</v>
      </c>
      <c r="AT531" s="48"/>
      <c r="AU531" s="48"/>
      <c r="AV531" s="48"/>
      <c r="AW531" s="48"/>
      <c r="AX531" s="48"/>
      <c r="AY531" s="48"/>
      <c r="AZ531" s="48"/>
      <c r="BA531" s="43">
        <f>IF((W531-SUM(AT531:AZ531))&lt;0,0,W531-SUM(AT531:AZ531))</f>
        <v>0</v>
      </c>
      <c r="BB531" s="126"/>
      <c r="BC531" s="47"/>
      <c r="BD531" s="47"/>
    </row>
    <row r="532" spans="1:56" ht="15" customHeight="1">
      <c r="A532" s="56" t="s">
        <v>2428</v>
      </c>
      <c r="B532" s="57" t="s">
        <v>112</v>
      </c>
      <c r="C532" s="46" t="s">
        <v>83</v>
      </c>
      <c r="D532" s="56" t="s">
        <v>256</v>
      </c>
      <c r="E532" s="56"/>
      <c r="F532" s="127">
        <v>3</v>
      </c>
      <c r="G532" s="75" t="s">
        <v>2429</v>
      </c>
      <c r="H532" s="131" t="s">
        <v>446</v>
      </c>
      <c r="I532" s="131" t="s">
        <v>2430</v>
      </c>
      <c r="J532" s="131" t="s">
        <v>2431</v>
      </c>
      <c r="K532" s="131"/>
      <c r="L532" s="47"/>
      <c r="M532" s="47"/>
      <c r="N532" s="47"/>
      <c r="O532" s="47"/>
      <c r="P532" s="47"/>
      <c r="Q532" s="47"/>
      <c r="R532" s="47"/>
      <c r="S532" s="47"/>
      <c r="T532" s="47"/>
      <c r="U532" s="47"/>
      <c r="V532" s="131" t="s">
        <v>697</v>
      </c>
      <c r="W532" s="74">
        <v>0</v>
      </c>
      <c r="X532" s="57">
        <f>MAX(0,$AK532-$W532-$Z532)</f>
        <v>0</v>
      </c>
      <c r="Y532" s="127"/>
      <c r="Z532" s="127"/>
      <c r="AA532" s="132">
        <v>2.98</v>
      </c>
      <c r="AB532" s="60">
        <f>IF(AND($X532&gt;0,ISNUMBER($AA532)),$X532*$AA532,0)</f>
        <v>0</v>
      </c>
      <c r="AC532" s="59"/>
      <c r="AD532" s="59"/>
      <c r="AE532" s="59"/>
      <c r="AF532" s="59"/>
      <c r="AG532" s="59"/>
      <c r="AH532" s="59"/>
      <c r="AI532" s="59"/>
      <c r="AJ532" s="59"/>
      <c r="AK532" s="39">
        <f>SUM(AL532:AR532)</f>
        <v>0</v>
      </c>
      <c r="AL532" s="114"/>
      <c r="AM532" s="43"/>
      <c r="AN532" s="43"/>
      <c r="AO532" s="43"/>
      <c r="AP532" s="43"/>
      <c r="AQ532" s="43"/>
      <c r="AR532" s="116"/>
      <c r="AS532" s="42">
        <f>SUM(AT532:AZ532)</f>
        <v>0</v>
      </c>
      <c r="AT532" s="48"/>
      <c r="AU532" s="48"/>
      <c r="AV532" s="48"/>
      <c r="AW532" s="48"/>
      <c r="AX532" s="48"/>
      <c r="AY532" s="48"/>
      <c r="AZ532" s="48"/>
      <c r="BA532" s="43">
        <f>IF((W532-SUM(AT532:AZ532))&lt;0,0,W532-SUM(AT532:AZ532))</f>
        <v>0</v>
      </c>
      <c r="BB532" s="125"/>
      <c r="BC532" s="47"/>
      <c r="BD532" s="53"/>
    </row>
    <row r="533" spans="1:56" ht="15" customHeight="1">
      <c r="A533" s="64" t="s">
        <v>2432</v>
      </c>
      <c r="B533" s="65" t="s">
        <v>112</v>
      </c>
      <c r="C533" s="38" t="s">
        <v>65</v>
      </c>
      <c r="D533" s="64" t="s">
        <v>84</v>
      </c>
      <c r="E533" s="64" t="s">
        <v>1568</v>
      </c>
      <c r="F533" s="128">
        <v>3</v>
      </c>
      <c r="G533" s="75" t="s">
        <v>2433</v>
      </c>
      <c r="H533" s="130" t="s">
        <v>162</v>
      </c>
      <c r="I533" s="130" t="s">
        <v>2434</v>
      </c>
      <c r="J533" s="130"/>
      <c r="K533" s="130"/>
      <c r="L533" s="37"/>
      <c r="M533" s="37"/>
      <c r="N533" s="37"/>
      <c r="O533" s="68"/>
      <c r="P533" s="68"/>
      <c r="Q533" s="37"/>
      <c r="R533" s="37"/>
      <c r="S533" s="37"/>
      <c r="T533" s="68"/>
      <c r="U533" s="68"/>
      <c r="V533" s="130" t="s">
        <v>119</v>
      </c>
      <c r="W533" s="74">
        <v>1</v>
      </c>
      <c r="X533" s="57">
        <f>MAX(0,$AK533-$W533-$Z533)</f>
        <v>0</v>
      </c>
      <c r="Y533" s="130"/>
      <c r="Z533" s="130"/>
      <c r="AA533" s="137">
        <v>0.14000000000000001</v>
      </c>
      <c r="AB533" s="60">
        <f>IF(AND($X533&gt;0,ISNUMBER($AA533)),$X533*$AA533,0)</f>
        <v>0</v>
      </c>
      <c r="AK533" s="39">
        <f>SUM(AL533:AR533)</f>
        <v>0</v>
      </c>
      <c r="AL533" s="90"/>
      <c r="AM533" s="38"/>
      <c r="AN533" s="38"/>
      <c r="AO533" s="38"/>
      <c r="AP533" s="38"/>
      <c r="AQ533" s="38"/>
      <c r="AR533" s="91"/>
      <c r="AS533" s="42">
        <f>SUM(AT533:AZ533)</f>
        <v>0</v>
      </c>
      <c r="AT533" s="48"/>
      <c r="AU533" s="48"/>
      <c r="AV533" s="48"/>
      <c r="AW533" s="48"/>
      <c r="AX533" s="48"/>
      <c r="AY533" s="48"/>
      <c r="AZ533" s="48"/>
      <c r="BA533" s="43">
        <f>IF((W533-SUM(AT533:AZ533))&lt;0,0,W533-SUM(AT533:AZ533))</f>
        <v>1</v>
      </c>
      <c r="BB533" s="130"/>
      <c r="BC533" s="37"/>
      <c r="BD533" s="37"/>
    </row>
    <row r="534" spans="1:56" ht="15" customHeight="1">
      <c r="A534" s="56" t="s">
        <v>2435</v>
      </c>
      <c r="B534" s="57" t="s">
        <v>112</v>
      </c>
      <c r="C534" s="46" t="s">
        <v>65</v>
      </c>
      <c r="D534" s="56" t="s">
        <v>84</v>
      </c>
      <c r="E534" s="56" t="s">
        <v>450</v>
      </c>
      <c r="F534" s="127">
        <v>5</v>
      </c>
      <c r="G534" s="75" t="s">
        <v>2436</v>
      </c>
      <c r="H534" s="131" t="s">
        <v>293</v>
      </c>
      <c r="I534" s="131" t="s">
        <v>2437</v>
      </c>
      <c r="J534" s="131" t="s">
        <v>2438</v>
      </c>
      <c r="K534" s="131"/>
      <c r="L534" s="46"/>
      <c r="M534" s="46"/>
      <c r="N534" s="46"/>
      <c r="O534" s="46"/>
      <c r="P534" s="46"/>
      <c r="Q534" s="46"/>
      <c r="R534" s="46"/>
      <c r="S534" s="46"/>
      <c r="T534" s="46"/>
      <c r="U534" s="46"/>
      <c r="V534" s="131" t="s">
        <v>1589</v>
      </c>
      <c r="W534" s="74">
        <v>1</v>
      </c>
      <c r="X534" s="57">
        <f>MAX(0,$AK534-$W534-$Z534)</f>
        <v>0</v>
      </c>
      <c r="Y534" s="127"/>
      <c r="Z534" s="127"/>
      <c r="AA534" s="132">
        <v>0.28999999999999998</v>
      </c>
      <c r="AB534" s="60">
        <f>IF(AND($X534&gt;0,ISNUMBER($AA534)),$X534*$AA534,0)</f>
        <v>0</v>
      </c>
      <c r="AD534" s="63"/>
      <c r="AK534" s="39">
        <f>SUM(AL534:AR534)</f>
        <v>1</v>
      </c>
      <c r="AL534" s="90"/>
      <c r="AM534" s="98">
        <v>1</v>
      </c>
      <c r="AN534" s="38"/>
      <c r="AO534" s="38"/>
      <c r="AP534" s="38"/>
      <c r="AQ534" s="38"/>
      <c r="AR534" s="91"/>
      <c r="AS534" s="42">
        <f>SUM(AT534:AZ534)</f>
        <v>1</v>
      </c>
      <c r="AT534" s="48"/>
      <c r="AU534" s="48">
        <v>1</v>
      </c>
      <c r="AV534" s="48"/>
      <c r="AW534" s="48"/>
      <c r="AX534" s="48"/>
      <c r="AY534" s="48"/>
      <c r="AZ534" s="48"/>
      <c r="BA534" s="43">
        <f>IF((W534-SUM(AT534:AZ534))&lt;0,0,W534-SUM(AT534:AZ534))</f>
        <v>0</v>
      </c>
      <c r="BB534" s="125"/>
      <c r="BC534" s="47"/>
      <c r="BD534" s="47"/>
    </row>
    <row r="535" spans="1:56" ht="15" customHeight="1">
      <c r="A535" s="56" t="s">
        <v>2439</v>
      </c>
      <c r="B535" s="127" t="s">
        <v>112</v>
      </c>
      <c r="C535" s="46" t="s">
        <v>65</v>
      </c>
      <c r="D535" s="125" t="s">
        <v>68</v>
      </c>
      <c r="E535" s="125"/>
      <c r="F535" s="127">
        <v>0</v>
      </c>
      <c r="G535" s="75" t="s">
        <v>2440</v>
      </c>
      <c r="H535" s="131" t="s">
        <v>68</v>
      </c>
      <c r="I535" s="131" t="s">
        <v>2441</v>
      </c>
      <c r="J535" s="131"/>
      <c r="K535" s="131"/>
      <c r="L535" s="46"/>
      <c r="M535" s="46"/>
      <c r="N535" s="46"/>
      <c r="O535" s="46"/>
      <c r="P535" s="46"/>
      <c r="Q535" s="46"/>
      <c r="R535" s="46"/>
      <c r="S535" s="46"/>
      <c r="T535" s="46"/>
      <c r="U535" s="46"/>
      <c r="V535" s="131" t="s">
        <v>747</v>
      </c>
      <c r="W535" s="74">
        <v>0</v>
      </c>
      <c r="X535" s="127">
        <f>MAX(0,$AK535-$W535-$Z535)</f>
        <v>0</v>
      </c>
      <c r="Y535" s="127"/>
      <c r="Z535" s="127"/>
      <c r="AA535" s="132">
        <v>0.36</v>
      </c>
      <c r="AB535" s="132">
        <f>IF(AND($X535&gt;0,ISNUMBER($AA535)),$X535*$AA535,0)</f>
        <v>0</v>
      </c>
      <c r="AC535" s="59"/>
      <c r="AD535" s="59"/>
      <c r="AE535" s="59"/>
      <c r="AF535" s="59"/>
      <c r="AG535" s="59"/>
      <c r="AH535" s="59"/>
      <c r="AI535" s="59"/>
      <c r="AJ535" s="59"/>
      <c r="AK535" s="39">
        <f>SUM(AL535:AR535)</f>
        <v>0</v>
      </c>
      <c r="AL535" s="114"/>
      <c r="AM535" s="43"/>
      <c r="AN535" s="43"/>
      <c r="AO535" s="43"/>
      <c r="AP535" s="43"/>
      <c r="AQ535" s="43"/>
      <c r="AR535" s="116"/>
      <c r="AS535" s="42">
        <f>SUM(AT535:AZ535)</f>
        <v>0</v>
      </c>
      <c r="AT535" s="48"/>
      <c r="AU535" s="48"/>
      <c r="AV535" s="48"/>
      <c r="AW535" s="48"/>
      <c r="AX535" s="48"/>
      <c r="AY535" s="48"/>
      <c r="AZ535" s="48"/>
      <c r="BA535" s="43">
        <f>IF((W535-SUM(AT535:AZ535))&lt;0,0,W535-SUM(AT535:AZ535))</f>
        <v>0</v>
      </c>
      <c r="BB535" s="125"/>
      <c r="BC535" s="47"/>
      <c r="BD535" s="53"/>
    </row>
    <row r="536" spans="1:56" ht="15" customHeight="1">
      <c r="A536" s="64" t="s">
        <v>2442</v>
      </c>
      <c r="B536" s="128" t="s">
        <v>112</v>
      </c>
      <c r="C536" s="38" t="s">
        <v>65</v>
      </c>
      <c r="D536" s="130" t="s">
        <v>178</v>
      </c>
      <c r="E536" s="130" t="s">
        <v>2443</v>
      </c>
      <c r="F536" s="130">
        <v>7</v>
      </c>
      <c r="G536" s="75" t="s">
        <v>2444</v>
      </c>
      <c r="H536" s="130" t="s">
        <v>1647</v>
      </c>
      <c r="I536" s="130" t="s">
        <v>2445</v>
      </c>
      <c r="J536" s="130" t="s">
        <v>2446</v>
      </c>
      <c r="K536" s="130"/>
      <c r="L536" s="37"/>
      <c r="M536" s="37"/>
      <c r="N536" s="37"/>
      <c r="O536" s="68"/>
      <c r="P536" s="68"/>
      <c r="Q536" s="37"/>
      <c r="R536" s="37"/>
      <c r="S536" s="37"/>
      <c r="T536" s="68"/>
      <c r="U536" s="68"/>
      <c r="V536" s="130" t="s">
        <v>223</v>
      </c>
      <c r="W536" s="74">
        <v>1</v>
      </c>
      <c r="X536" s="127">
        <f>MAX(0,$AK536-$W536-$Z536)</f>
        <v>0</v>
      </c>
      <c r="Y536" s="130"/>
      <c r="Z536" s="130"/>
      <c r="AA536" s="130">
        <v>0.23</v>
      </c>
      <c r="AB536" s="132">
        <f>IF(AND($X536&gt;0,ISNUMBER($AA536)),$X536*$AA536,0)</f>
        <v>0</v>
      </c>
      <c r="AK536" s="39">
        <f>SUM(AL536:AR536)</f>
        <v>0</v>
      </c>
      <c r="AL536" s="90"/>
      <c r="AM536" s="38"/>
      <c r="AN536" s="38"/>
      <c r="AO536" s="38"/>
      <c r="AP536" s="38"/>
      <c r="AQ536" s="38"/>
      <c r="AR536" s="91"/>
      <c r="AS536" s="42">
        <f>SUM(AT536:AZ536)</f>
        <v>0</v>
      </c>
      <c r="AT536" s="48"/>
      <c r="AU536" s="48"/>
      <c r="AV536" s="48"/>
      <c r="AW536" s="48"/>
      <c r="AX536" s="48"/>
      <c r="AY536" s="48"/>
      <c r="AZ536" s="48"/>
      <c r="BA536" s="43">
        <f>IF((W536-SUM(AT536:AZ536))&lt;0,0,W536-SUM(AT536:AZ536))</f>
        <v>1</v>
      </c>
      <c r="BB536" s="130"/>
      <c r="BC536" s="37"/>
      <c r="BD536" s="37"/>
    </row>
    <row r="537" spans="1:56" ht="15" customHeight="1">
      <c r="A537" s="56" t="s">
        <v>2447</v>
      </c>
      <c r="B537" s="127" t="s">
        <v>2448</v>
      </c>
      <c r="C537" s="46" t="s">
        <v>65</v>
      </c>
      <c r="D537" s="125" t="s">
        <v>76</v>
      </c>
      <c r="E537" s="125"/>
      <c r="F537" s="127">
        <v>2</v>
      </c>
      <c r="G537" s="75" t="s">
        <v>2449</v>
      </c>
      <c r="H537" s="131" t="s">
        <v>78</v>
      </c>
      <c r="I537" s="131" t="s">
        <v>2450</v>
      </c>
      <c r="J537" s="131"/>
      <c r="K537" s="131"/>
      <c r="L537" s="47"/>
      <c r="M537" s="47"/>
      <c r="N537" s="47"/>
      <c r="O537" s="47"/>
      <c r="P537" s="47"/>
      <c r="Q537" s="47"/>
      <c r="R537" s="47"/>
      <c r="S537" s="47"/>
      <c r="T537" s="47"/>
      <c r="U537" s="47"/>
      <c r="V537" s="131" t="s">
        <v>2451</v>
      </c>
      <c r="W537" s="74">
        <v>1</v>
      </c>
      <c r="X537" s="127">
        <f>MAX(0,$AK537-$W537-$Z537)</f>
        <v>0</v>
      </c>
      <c r="Y537" s="127"/>
      <c r="Z537" s="127"/>
      <c r="AA537" s="132">
        <v>0.34</v>
      </c>
      <c r="AB537" s="132">
        <f>IF(AND($X537&gt;0,ISNUMBER($AA537)),$X537*$AA537,0)</f>
        <v>0</v>
      </c>
      <c r="AK537" s="39">
        <f>SUM(AL537:AR537)</f>
        <v>1</v>
      </c>
      <c r="AL537" s="90"/>
      <c r="AM537" s="38"/>
      <c r="AN537" s="38"/>
      <c r="AO537" s="38"/>
      <c r="AP537" s="38"/>
      <c r="AQ537" s="97">
        <v>1</v>
      </c>
      <c r="AR537" s="91"/>
      <c r="AS537" s="42">
        <f>SUM(AT537:AZ537)</f>
        <v>1</v>
      </c>
      <c r="AT537" s="48"/>
      <c r="AU537" s="48"/>
      <c r="AV537" s="48"/>
      <c r="AW537" s="48"/>
      <c r="AX537" s="48"/>
      <c r="AY537" s="48">
        <v>1</v>
      </c>
      <c r="AZ537" s="48"/>
      <c r="BA537" s="43">
        <f>IF((W537-SUM(AT537:AZ537))&lt;0,0,W537-SUM(AT537:AZ537))</f>
        <v>0</v>
      </c>
      <c r="BB537" s="125"/>
      <c r="BC537" s="47"/>
      <c r="BD537" s="47"/>
    </row>
    <row r="538" spans="1:56" ht="15" customHeight="1">
      <c r="A538" s="56" t="s">
        <v>2452</v>
      </c>
      <c r="B538" s="127" t="s">
        <v>2448</v>
      </c>
      <c r="C538" s="46" t="s">
        <v>65</v>
      </c>
      <c r="D538" s="125" t="s">
        <v>256</v>
      </c>
      <c r="E538" s="125" t="s">
        <v>1400</v>
      </c>
      <c r="F538" s="127">
        <v>4</v>
      </c>
      <c r="G538" s="75" t="s">
        <v>2453</v>
      </c>
      <c r="H538" s="131" t="s">
        <v>1252</v>
      </c>
      <c r="I538" s="131" t="s">
        <v>2454</v>
      </c>
      <c r="J538" s="131" t="s">
        <v>2455</v>
      </c>
      <c r="K538" s="131" t="s">
        <v>2456</v>
      </c>
      <c r="L538" s="46"/>
      <c r="M538" s="46"/>
      <c r="N538" s="46"/>
      <c r="O538" s="46"/>
      <c r="P538" s="46"/>
      <c r="Q538" s="46"/>
      <c r="R538" s="46"/>
      <c r="S538" s="46"/>
      <c r="T538" s="46"/>
      <c r="U538" s="46"/>
      <c r="V538" s="131" t="s">
        <v>1916</v>
      </c>
      <c r="W538" s="74">
        <v>1</v>
      </c>
      <c r="X538" s="127">
        <f>MAX(0,$AK538-$W538-$Z538)</f>
        <v>0</v>
      </c>
      <c r="Y538" s="127"/>
      <c r="Z538" s="127"/>
      <c r="AA538" s="132">
        <v>0.37</v>
      </c>
      <c r="AB538" s="132">
        <f>IF(AND($X538&gt;0,ISNUMBER($AA538)),$X538*$AA538,0)</f>
        <v>0</v>
      </c>
      <c r="AK538" s="39">
        <f>SUM(AL538:AR538)</f>
        <v>1</v>
      </c>
      <c r="AL538" s="102">
        <v>1</v>
      </c>
      <c r="AM538" s="38"/>
      <c r="AN538" s="38"/>
      <c r="AO538" s="38"/>
      <c r="AP538" s="38"/>
      <c r="AQ538" s="38"/>
      <c r="AR538" s="91"/>
      <c r="AS538" s="42">
        <f>SUM(AT538:AZ538)</f>
        <v>1</v>
      </c>
      <c r="AT538" s="48">
        <v>1</v>
      </c>
      <c r="AU538" s="48"/>
      <c r="AV538" s="48"/>
      <c r="AW538" s="48"/>
      <c r="AX538" s="48"/>
      <c r="AY538" s="48"/>
      <c r="AZ538" s="48"/>
      <c r="BA538" s="43">
        <f>IF((W538-SUM(AT538:AZ538))&lt;0,0,W538-SUM(AT538:AZ538))</f>
        <v>0</v>
      </c>
      <c r="BB538" s="125"/>
      <c r="BC538" s="47"/>
      <c r="BD538" s="47"/>
    </row>
    <row r="539" spans="1:56" ht="15" customHeight="1">
      <c r="A539" s="56" t="s">
        <v>2457</v>
      </c>
      <c r="B539" s="127" t="s">
        <v>2448</v>
      </c>
      <c r="C539" s="46" t="s">
        <v>65</v>
      </c>
      <c r="D539" s="125" t="s">
        <v>84</v>
      </c>
      <c r="E539" s="125" t="s">
        <v>2458</v>
      </c>
      <c r="F539" s="127">
        <v>1</v>
      </c>
      <c r="G539" s="75" t="s">
        <v>2459</v>
      </c>
      <c r="H539" s="131" t="s">
        <v>499</v>
      </c>
      <c r="I539" s="131" t="s">
        <v>2460</v>
      </c>
      <c r="J539" s="131"/>
      <c r="K539" s="131"/>
      <c r="L539" s="47"/>
      <c r="M539" s="47"/>
      <c r="N539" s="47"/>
      <c r="O539" s="47"/>
      <c r="P539" s="47"/>
      <c r="Q539" s="47"/>
      <c r="R539" s="47"/>
      <c r="S539" s="47"/>
      <c r="T539" s="47"/>
      <c r="U539" s="47"/>
      <c r="V539" s="131" t="s">
        <v>635</v>
      </c>
      <c r="W539" s="74">
        <v>1</v>
      </c>
      <c r="X539" s="127">
        <f>MAX(0,$AK539-$W539-$Z539)</f>
        <v>0</v>
      </c>
      <c r="Y539" s="127"/>
      <c r="Z539" s="127"/>
      <c r="AA539" s="132">
        <v>0.2</v>
      </c>
      <c r="AB539" s="132">
        <f>IF(AND($X539&gt;0,ISNUMBER($AA539)),$X539*$AA539,0)</f>
        <v>0</v>
      </c>
      <c r="AK539" s="39">
        <f>SUM(AL539:AR539)</f>
        <v>0</v>
      </c>
      <c r="AL539" s="90"/>
      <c r="AM539" s="38"/>
      <c r="AN539" s="38"/>
      <c r="AO539" s="38"/>
      <c r="AP539" s="38"/>
      <c r="AQ539" s="38"/>
      <c r="AR539" s="91"/>
      <c r="AS539" s="42">
        <f>SUM(AT539:AZ539)</f>
        <v>0</v>
      </c>
      <c r="AT539" s="48"/>
      <c r="AU539" s="48"/>
      <c r="AV539" s="48"/>
      <c r="AW539" s="48"/>
      <c r="AX539" s="48"/>
      <c r="AY539" s="48"/>
      <c r="AZ539" s="48"/>
      <c r="BA539" s="43">
        <f>IF((W539-SUM(AT539:AZ539))&lt;0,0,W539-SUM(AT539:AZ539))</f>
        <v>1</v>
      </c>
      <c r="BB539" s="125"/>
      <c r="BC539" s="47"/>
      <c r="BD539" s="47"/>
    </row>
    <row r="540" spans="1:56" ht="15" customHeight="1">
      <c r="A540" s="56" t="s">
        <v>2461</v>
      </c>
      <c r="B540" s="127" t="s">
        <v>2448</v>
      </c>
      <c r="C540" s="46" t="s">
        <v>65</v>
      </c>
      <c r="D540" s="125" t="s">
        <v>178</v>
      </c>
      <c r="E540" s="125" t="s">
        <v>2462</v>
      </c>
      <c r="F540" s="127">
        <v>4</v>
      </c>
      <c r="G540" s="75" t="s">
        <v>2463</v>
      </c>
      <c r="H540" s="131" t="s">
        <v>233</v>
      </c>
      <c r="I540" s="131" t="s">
        <v>2464</v>
      </c>
      <c r="J540" s="131" t="s">
        <v>2465</v>
      </c>
      <c r="K540" s="131" t="s">
        <v>2466</v>
      </c>
      <c r="L540" s="47"/>
      <c r="M540" s="47"/>
      <c r="N540" s="47"/>
      <c r="O540" s="47"/>
      <c r="P540" s="47"/>
      <c r="Q540" s="47"/>
      <c r="R540" s="47"/>
      <c r="S540" s="47"/>
      <c r="T540" s="47"/>
      <c r="U540" s="47"/>
      <c r="V540" s="131" t="s">
        <v>588</v>
      </c>
      <c r="W540" s="74">
        <v>1</v>
      </c>
      <c r="X540" s="127">
        <f>MAX(0,$AK540-$W540-$Z540)</f>
        <v>0</v>
      </c>
      <c r="Y540" s="127"/>
      <c r="Z540" s="127"/>
      <c r="AA540" s="132">
        <v>0.39</v>
      </c>
      <c r="AB540" s="132">
        <f>IF(AND($X540&gt;0,ISNUMBER($AA540)),$X540*$AA540,0)</f>
        <v>0</v>
      </c>
      <c r="AH540" s="63"/>
      <c r="AK540" s="39">
        <f>SUM(AL540:AR540)</f>
        <v>0</v>
      </c>
      <c r="AL540" s="90"/>
      <c r="AM540" s="38"/>
      <c r="AN540" s="38"/>
      <c r="AO540" s="38"/>
      <c r="AP540" s="38"/>
      <c r="AQ540" s="38"/>
      <c r="AR540" s="91"/>
      <c r="AS540" s="42">
        <f>SUM(AT540:AZ540)</f>
        <v>0</v>
      </c>
      <c r="AT540" s="48"/>
      <c r="AU540" s="48"/>
      <c r="AV540" s="48"/>
      <c r="AW540" s="48"/>
      <c r="AX540" s="48"/>
      <c r="AY540" s="48"/>
      <c r="AZ540" s="48"/>
      <c r="BA540" s="43">
        <f>IF((W540-SUM(AT540:AZ540))&lt;0,0,W540-SUM(AT540:AZ540))</f>
        <v>1</v>
      </c>
      <c r="BB540" s="125"/>
      <c r="BC540" s="47"/>
      <c r="BD540" s="126"/>
    </row>
    <row r="541" spans="1:56" ht="15" customHeight="1">
      <c r="A541" s="64" t="s">
        <v>2467</v>
      </c>
      <c r="B541" s="128" t="s">
        <v>2448</v>
      </c>
      <c r="C541" s="38" t="s">
        <v>65</v>
      </c>
      <c r="D541" s="130" t="s">
        <v>134</v>
      </c>
      <c r="E541" s="130"/>
      <c r="F541" s="128">
        <v>1</v>
      </c>
      <c r="G541" s="75" t="s">
        <v>2468</v>
      </c>
      <c r="H541" s="130" t="s">
        <v>499</v>
      </c>
      <c r="I541" s="130" t="s">
        <v>2469</v>
      </c>
      <c r="J541" s="130" t="s">
        <v>1315</v>
      </c>
      <c r="K541" s="130"/>
      <c r="L541" s="37"/>
      <c r="M541" s="37"/>
      <c r="N541" s="37"/>
      <c r="O541" s="68"/>
      <c r="P541" s="68"/>
      <c r="Q541" s="37"/>
      <c r="R541" s="37"/>
      <c r="S541" s="37"/>
      <c r="T541" s="68"/>
      <c r="U541" s="68"/>
      <c r="V541" s="130" t="s">
        <v>523</v>
      </c>
      <c r="W541" s="74">
        <v>1</v>
      </c>
      <c r="X541" s="127">
        <f>MAX(0,$AK541-$W541-$Z541)</f>
        <v>0</v>
      </c>
      <c r="Y541" s="130"/>
      <c r="Z541" s="130"/>
      <c r="AA541" s="137">
        <v>0.13</v>
      </c>
      <c r="AB541" s="132">
        <f>IF(AND($X541&gt;0,ISNUMBER($AA541)),$X541*$AA541,0)</f>
        <v>0</v>
      </c>
      <c r="AK541" s="39">
        <f>SUM(AL541:AR541)</f>
        <v>0</v>
      </c>
      <c r="AL541" s="90"/>
      <c r="AM541" s="38"/>
      <c r="AN541" s="38"/>
      <c r="AO541" s="38"/>
      <c r="AP541" s="38"/>
      <c r="AQ541" s="38"/>
      <c r="AR541" s="91"/>
      <c r="AS541" s="42">
        <f>SUM(AT541:AZ541)</f>
        <v>0</v>
      </c>
      <c r="AT541" s="48"/>
      <c r="AU541" s="48"/>
      <c r="AV541" s="48"/>
      <c r="AW541" s="48"/>
      <c r="AX541" s="48"/>
      <c r="AY541" s="48"/>
      <c r="AZ541" s="48"/>
      <c r="BA541" s="43">
        <f>IF((W541-SUM(AT541:AZ541))&lt;0,0,W541-SUM(AT541:AZ541))</f>
        <v>1</v>
      </c>
      <c r="BB541" s="130"/>
      <c r="BC541" s="37"/>
      <c r="BD541" s="37"/>
    </row>
    <row r="542" spans="1:56" ht="15" customHeight="1">
      <c r="A542" s="56" t="s">
        <v>2470</v>
      </c>
      <c r="B542" s="127" t="s">
        <v>2448</v>
      </c>
      <c r="C542" s="46" t="s">
        <v>65</v>
      </c>
      <c r="D542" s="125" t="s">
        <v>84</v>
      </c>
      <c r="E542" s="125" t="s">
        <v>2471</v>
      </c>
      <c r="F542" s="127">
        <v>4</v>
      </c>
      <c r="G542" s="75" t="s">
        <v>2472</v>
      </c>
      <c r="H542" s="131" t="s">
        <v>959</v>
      </c>
      <c r="I542" s="131" t="s">
        <v>2473</v>
      </c>
      <c r="J542" s="131"/>
      <c r="K542" s="131"/>
      <c r="L542" s="47"/>
      <c r="M542" s="47"/>
      <c r="N542" s="47"/>
      <c r="O542" s="47"/>
      <c r="P542" s="47"/>
      <c r="Q542" s="47"/>
      <c r="R542" s="47"/>
      <c r="S542" s="47"/>
      <c r="T542" s="47"/>
      <c r="U542" s="47"/>
      <c r="V542" s="131" t="s">
        <v>1798</v>
      </c>
      <c r="W542" s="74">
        <v>1</v>
      </c>
      <c r="X542" s="127">
        <f>MAX(0,$AK542-$W542-$Z542)</f>
        <v>0</v>
      </c>
      <c r="Y542" s="127"/>
      <c r="Z542" s="127"/>
      <c r="AA542" s="132">
        <v>0.6</v>
      </c>
      <c r="AB542" s="132">
        <f>IF(AND($X542&gt;0,ISNUMBER($AA542)),$X542*$AA542,0)</f>
        <v>0</v>
      </c>
      <c r="AK542" s="39">
        <f>SUM(AL542:AR542)</f>
        <v>1</v>
      </c>
      <c r="AL542" s="90"/>
      <c r="AM542" s="38"/>
      <c r="AN542" s="38"/>
      <c r="AO542" s="38"/>
      <c r="AP542" s="38"/>
      <c r="AQ542" s="98">
        <v>1</v>
      </c>
      <c r="AR542" s="91"/>
      <c r="AS542" s="42">
        <f>SUM(AT542:AZ542)</f>
        <v>1</v>
      </c>
      <c r="AT542" s="48"/>
      <c r="AU542" s="48"/>
      <c r="AV542" s="48"/>
      <c r="AW542" s="48"/>
      <c r="AX542" s="48"/>
      <c r="AY542" s="48">
        <v>1</v>
      </c>
      <c r="AZ542" s="48"/>
      <c r="BA542" s="43">
        <f>IF((W542-SUM(AT542:AZ542))&lt;0,0,W542-SUM(AT542:AZ542))</f>
        <v>0</v>
      </c>
      <c r="BB542" s="125"/>
      <c r="BC542" s="47"/>
      <c r="BD542" s="47"/>
    </row>
    <row r="543" spans="1:56" ht="15" customHeight="1">
      <c r="A543" s="61" t="s">
        <v>2474</v>
      </c>
      <c r="B543" s="129" t="s">
        <v>2448</v>
      </c>
      <c r="C543" s="46" t="s">
        <v>65</v>
      </c>
      <c r="D543" s="126" t="s">
        <v>178</v>
      </c>
      <c r="E543" s="126" t="s">
        <v>2125</v>
      </c>
      <c r="F543" s="129">
        <v>2</v>
      </c>
      <c r="G543" s="75" t="s">
        <v>2475</v>
      </c>
      <c r="H543" s="126" t="s">
        <v>108</v>
      </c>
      <c r="I543" s="126" t="s">
        <v>2476</v>
      </c>
      <c r="J543" s="126" t="s">
        <v>2477</v>
      </c>
      <c r="K543" s="126" t="s">
        <v>2478</v>
      </c>
      <c r="L543" s="47"/>
      <c r="M543" s="47"/>
      <c r="N543" s="47"/>
      <c r="O543" s="68"/>
      <c r="P543" s="68"/>
      <c r="Q543" s="47"/>
      <c r="R543" s="47"/>
      <c r="S543" s="47"/>
      <c r="T543" s="68"/>
      <c r="U543" s="68"/>
      <c r="V543" s="126" t="s">
        <v>119</v>
      </c>
      <c r="W543" s="74">
        <v>1</v>
      </c>
      <c r="X543" s="127">
        <f>MAX(0,$AK543-$W543-$Z543)</f>
        <v>0</v>
      </c>
      <c r="Y543" s="126"/>
      <c r="Z543" s="126"/>
      <c r="AA543" s="126">
        <v>0.8</v>
      </c>
      <c r="AB543" s="126">
        <f>IF(AND($X543&gt;0,ISNUMBER($AA543)),$X543*$AA543,0)</f>
        <v>0</v>
      </c>
      <c r="AK543" s="39">
        <f>SUM(AL543:AR543)</f>
        <v>0</v>
      </c>
      <c r="AL543" s="90"/>
      <c r="AM543" s="38"/>
      <c r="AN543" s="38"/>
      <c r="AO543" s="38"/>
      <c r="AP543" s="38"/>
      <c r="AQ543" s="38"/>
      <c r="AR543" s="91"/>
      <c r="AS543" s="42">
        <f>SUM(AT543:AZ543)</f>
        <v>0</v>
      </c>
      <c r="AT543" s="48"/>
      <c r="AU543" s="48"/>
      <c r="AV543" s="48"/>
      <c r="AW543" s="48"/>
      <c r="AX543" s="48"/>
      <c r="AY543" s="48"/>
      <c r="AZ543" s="48"/>
      <c r="BA543" s="43">
        <f>IF((W543-SUM(AT543:AZ543))&lt;0,0,W543-SUM(AT543:AZ543))</f>
        <v>1</v>
      </c>
      <c r="BB543" s="126"/>
      <c r="BC543" s="47"/>
      <c r="BD543" s="47"/>
    </row>
    <row r="544" spans="1:56" ht="15" customHeight="1">
      <c r="A544" s="56" t="s">
        <v>2479</v>
      </c>
      <c r="B544" s="127" t="s">
        <v>2448</v>
      </c>
      <c r="C544" s="46" t="s">
        <v>65</v>
      </c>
      <c r="D544" s="125" t="s">
        <v>178</v>
      </c>
      <c r="E544" s="125" t="s">
        <v>2480</v>
      </c>
      <c r="F544" s="127">
        <v>4</v>
      </c>
      <c r="G544" s="75" t="s">
        <v>2481</v>
      </c>
      <c r="H544" s="131" t="s">
        <v>100</v>
      </c>
      <c r="I544" s="131" t="s">
        <v>2482</v>
      </c>
      <c r="J544" s="131" t="s">
        <v>2483</v>
      </c>
      <c r="K544" s="131" t="s">
        <v>2484</v>
      </c>
      <c r="L544" s="46"/>
      <c r="M544" s="46"/>
      <c r="N544" s="46"/>
      <c r="O544" s="46"/>
      <c r="P544" s="46"/>
      <c r="Q544" s="46"/>
      <c r="R544" s="46"/>
      <c r="S544" s="46"/>
      <c r="T544" s="46"/>
      <c r="U544" s="46"/>
      <c r="V544" s="131" t="s">
        <v>956</v>
      </c>
      <c r="W544" s="74">
        <v>1</v>
      </c>
      <c r="X544" s="127">
        <f>MAX(0,$AK544-$W544-$Z544)</f>
        <v>0</v>
      </c>
      <c r="Y544" s="127"/>
      <c r="Z544" s="127"/>
      <c r="AA544" s="132">
        <v>0.41</v>
      </c>
      <c r="AB544" s="132">
        <f>IF(AND($X544&gt;0,ISNUMBER($AA544)),$X544*$AA544,0)</f>
        <v>0</v>
      </c>
      <c r="AK544" s="39">
        <f>SUM(AL544:AR544)</f>
        <v>0</v>
      </c>
      <c r="AL544" s="90"/>
      <c r="AM544" s="38"/>
      <c r="AN544" s="38"/>
      <c r="AO544" s="38"/>
      <c r="AP544" s="38"/>
      <c r="AQ544" s="38"/>
      <c r="AR544" s="91"/>
      <c r="AS544" s="42">
        <f>SUM(AT544:AZ544)</f>
        <v>0</v>
      </c>
      <c r="AT544" s="48"/>
      <c r="AU544" s="48"/>
      <c r="AV544" s="48"/>
      <c r="AW544" s="48"/>
      <c r="AX544" s="48"/>
      <c r="AY544" s="48"/>
      <c r="AZ544" s="48"/>
      <c r="BA544" s="43">
        <f>IF((W544-SUM(AT544:AZ544))&lt;0,0,W544-SUM(AT544:AZ544))</f>
        <v>1</v>
      </c>
      <c r="BB544" s="125"/>
      <c r="BC544" s="47"/>
      <c r="BD544" s="47"/>
    </row>
    <row r="545" spans="1:56" ht="15" customHeight="1">
      <c r="A545" s="56" t="s">
        <v>2485</v>
      </c>
      <c r="B545" s="127" t="s">
        <v>2448</v>
      </c>
      <c r="C545" s="46" t="s">
        <v>65</v>
      </c>
      <c r="D545" s="125" t="s">
        <v>256</v>
      </c>
      <c r="E545" s="125"/>
      <c r="F545" s="127">
        <v>1</v>
      </c>
      <c r="G545" s="75" t="s">
        <v>2486</v>
      </c>
      <c r="H545" s="131" t="s">
        <v>92</v>
      </c>
      <c r="I545" s="131" t="s">
        <v>2487</v>
      </c>
      <c r="J545" s="131"/>
      <c r="K545" s="131"/>
      <c r="L545" s="47"/>
      <c r="M545" s="47"/>
      <c r="N545" s="47"/>
      <c r="O545" s="47"/>
      <c r="P545" s="47"/>
      <c r="Q545" s="47"/>
      <c r="R545" s="47"/>
      <c r="S545" s="47"/>
      <c r="T545" s="47"/>
      <c r="U545" s="47"/>
      <c r="V545" s="131" t="s">
        <v>2488</v>
      </c>
      <c r="W545" s="74">
        <v>1</v>
      </c>
      <c r="X545" s="127">
        <f>MAX(0,$AK545-$W545-$Z545)</f>
        <v>0</v>
      </c>
      <c r="Y545" s="127"/>
      <c r="Z545" s="127"/>
      <c r="AA545" s="132">
        <v>0.31</v>
      </c>
      <c r="AB545" s="132">
        <f>IF(AND($X545&gt;0,ISNUMBER($AA545)),$X545*$AA545,0)</f>
        <v>0</v>
      </c>
      <c r="AK545" s="39">
        <f>SUM(AL545:AR545)</f>
        <v>1</v>
      </c>
      <c r="AL545" s="90"/>
      <c r="AM545" s="38"/>
      <c r="AN545" s="38"/>
      <c r="AO545" s="38"/>
      <c r="AP545" s="38"/>
      <c r="AQ545" s="98">
        <v>1</v>
      </c>
      <c r="AR545" s="91"/>
      <c r="AS545" s="42">
        <f>SUM(AT545:AZ545)</f>
        <v>1</v>
      </c>
      <c r="AT545" s="48"/>
      <c r="AU545" s="48"/>
      <c r="AV545" s="48"/>
      <c r="AW545" s="48"/>
      <c r="AX545" s="48"/>
      <c r="AY545" s="48">
        <v>1</v>
      </c>
      <c r="AZ545" s="48"/>
      <c r="BA545" s="43">
        <f>IF((W545-SUM(AT545:AZ545))&lt;0,0,W545-SUM(AT545:AZ545))</f>
        <v>0</v>
      </c>
      <c r="BB545" s="125"/>
      <c r="BC545" s="47"/>
      <c r="BD545" s="47"/>
    </row>
    <row r="546" spans="1:56" ht="15" customHeight="1">
      <c r="A546" s="56" t="s">
        <v>2489</v>
      </c>
      <c r="B546" s="127" t="s">
        <v>2448</v>
      </c>
      <c r="C546" s="46" t="s">
        <v>65</v>
      </c>
      <c r="D546" s="125" t="s">
        <v>76</v>
      </c>
      <c r="E546" s="125"/>
      <c r="F546" s="127">
        <v>2</v>
      </c>
      <c r="G546" s="75" t="s">
        <v>2490</v>
      </c>
      <c r="H546" s="131" t="s">
        <v>172</v>
      </c>
      <c r="I546" s="131" t="s">
        <v>2491</v>
      </c>
      <c r="J546" s="131"/>
      <c r="K546" s="131"/>
      <c r="L546" s="47"/>
      <c r="M546" s="47"/>
      <c r="N546" s="47"/>
      <c r="O546" s="47"/>
      <c r="P546" s="47"/>
      <c r="Q546" s="47"/>
      <c r="R546" s="47"/>
      <c r="S546" s="47"/>
      <c r="T546" s="47"/>
      <c r="U546" s="47"/>
      <c r="V546" s="131" t="s">
        <v>558</v>
      </c>
      <c r="W546" s="74">
        <v>0</v>
      </c>
      <c r="X546" s="127">
        <f>MAX(0,$AK546-$W546-$Z546)</f>
        <v>0</v>
      </c>
      <c r="Y546" s="127"/>
      <c r="Z546" s="127"/>
      <c r="AA546" s="132">
        <v>1.55</v>
      </c>
      <c r="AB546" s="132">
        <f>IF(AND($X546&gt;0,ISNUMBER($AA546)),$X546*$AA546,0)</f>
        <v>0</v>
      </c>
      <c r="AC546" s="59"/>
      <c r="AD546" s="59"/>
      <c r="AE546" s="59"/>
      <c r="AF546" s="59"/>
      <c r="AG546" s="59"/>
      <c r="AH546" s="59"/>
      <c r="AI546" s="59"/>
      <c r="AJ546" s="59"/>
      <c r="AK546" s="39">
        <f>SUM(AL546:AR546)</f>
        <v>0</v>
      </c>
      <c r="AL546" s="114"/>
      <c r="AM546" s="43"/>
      <c r="AN546" s="43"/>
      <c r="AO546" s="43"/>
      <c r="AP546" s="43"/>
      <c r="AQ546" s="43"/>
      <c r="AR546" s="116"/>
      <c r="AS546" s="42">
        <f>SUM(AT546:AZ546)</f>
        <v>0</v>
      </c>
      <c r="AT546" s="48"/>
      <c r="AU546" s="48"/>
      <c r="AV546" s="48"/>
      <c r="AW546" s="48"/>
      <c r="AX546" s="48"/>
      <c r="AY546" s="48"/>
      <c r="AZ546" s="48"/>
      <c r="BA546" s="43">
        <f>IF((W546-SUM(AT546:AZ546))&lt;0,0,W546-SUM(AT546:AZ546))</f>
        <v>0</v>
      </c>
      <c r="BB546" s="125"/>
      <c r="BC546" s="47"/>
      <c r="BD546" s="53"/>
    </row>
    <row r="547" spans="1:56" ht="15" customHeight="1">
      <c r="A547" s="56" t="s">
        <v>2492</v>
      </c>
      <c r="B547" s="127" t="s">
        <v>2448</v>
      </c>
      <c r="C547" s="46" t="s">
        <v>65</v>
      </c>
      <c r="D547" s="125" t="s">
        <v>84</v>
      </c>
      <c r="E547" s="125" t="s">
        <v>2493</v>
      </c>
      <c r="F547" s="127">
        <v>4</v>
      </c>
      <c r="G547" s="75" t="s">
        <v>2494</v>
      </c>
      <c r="H547" s="131" t="s">
        <v>153</v>
      </c>
      <c r="I547" s="131" t="s">
        <v>2495</v>
      </c>
      <c r="J547" s="131"/>
      <c r="K547" s="131"/>
      <c r="L547" s="47"/>
      <c r="M547" s="47"/>
      <c r="N547" s="47"/>
      <c r="O547" s="47"/>
      <c r="P547" s="47"/>
      <c r="Q547" s="47"/>
      <c r="R547" s="47"/>
      <c r="S547" s="47"/>
      <c r="T547" s="47"/>
      <c r="U547" s="47"/>
      <c r="V547" s="131" t="s">
        <v>2496</v>
      </c>
      <c r="W547" s="74">
        <v>1</v>
      </c>
      <c r="X547" s="127">
        <f>MAX(0,$AK547-$W547-$Z547)</f>
        <v>0</v>
      </c>
      <c r="Y547" s="127"/>
      <c r="Z547" s="127"/>
      <c r="AA547" s="132">
        <v>0.31</v>
      </c>
      <c r="AB547" s="132">
        <f>IF(AND($X547&gt;0,ISNUMBER($AA547)),$X547*$AA547,0)</f>
        <v>0</v>
      </c>
      <c r="AH547" s="63"/>
      <c r="AK547" s="39">
        <f>SUM(AL547:AR547)</f>
        <v>1</v>
      </c>
      <c r="AL547" s="90"/>
      <c r="AM547" s="38"/>
      <c r="AN547" s="38"/>
      <c r="AO547" s="38"/>
      <c r="AP547" s="38"/>
      <c r="AQ547" s="97">
        <v>1</v>
      </c>
      <c r="AR547" s="91"/>
      <c r="AS547" s="42">
        <f>SUM(AT547:AZ547)</f>
        <v>1</v>
      </c>
      <c r="AT547" s="48"/>
      <c r="AU547" s="48"/>
      <c r="AV547" s="48"/>
      <c r="AW547" s="48"/>
      <c r="AX547" s="48"/>
      <c r="AY547" s="48">
        <v>1</v>
      </c>
      <c r="AZ547" s="48"/>
      <c r="BA547" s="43">
        <f>IF((W547-SUM(AT547:AZ547))&lt;0,0,W547-SUM(AT547:AZ547))</f>
        <v>0</v>
      </c>
      <c r="BB547" s="125"/>
      <c r="BC547" s="47"/>
      <c r="BD547" s="47"/>
    </row>
    <row r="548" spans="1:56" ht="15" customHeight="1">
      <c r="A548" s="56" t="s">
        <v>2497</v>
      </c>
      <c r="B548" s="127" t="s">
        <v>2448</v>
      </c>
      <c r="C548" s="46" t="s">
        <v>65</v>
      </c>
      <c r="D548" s="125" t="s">
        <v>76</v>
      </c>
      <c r="E548" s="125"/>
      <c r="F548" s="127">
        <v>4</v>
      </c>
      <c r="G548" s="75" t="s">
        <v>2498</v>
      </c>
      <c r="H548" s="131" t="s">
        <v>293</v>
      </c>
      <c r="I548" s="131" t="s">
        <v>2499</v>
      </c>
      <c r="J548" s="131"/>
      <c r="K548" s="131"/>
      <c r="L548" s="47"/>
      <c r="M548" s="47"/>
      <c r="N548" s="47"/>
      <c r="O548" s="47"/>
      <c r="P548" s="47"/>
      <c r="Q548" s="47"/>
      <c r="R548" s="47"/>
      <c r="S548" s="47"/>
      <c r="T548" s="47"/>
      <c r="U548" s="47"/>
      <c r="V548" s="131" t="s">
        <v>1174</v>
      </c>
      <c r="W548" s="74">
        <v>1</v>
      </c>
      <c r="X548" s="127">
        <f>MAX(0,$AK548-$W548-$Z548)</f>
        <v>0</v>
      </c>
      <c r="Y548" s="127"/>
      <c r="Z548" s="127"/>
      <c r="AA548" s="132">
        <v>0.45</v>
      </c>
      <c r="AB548" s="132">
        <f>IF(AND($X548&gt;0,ISNUMBER($AA548)),$X548*$AA548,0)</f>
        <v>0</v>
      </c>
      <c r="AC548" s="63"/>
      <c r="AK548" s="39">
        <f>SUM(AL548:AR548)</f>
        <v>1</v>
      </c>
      <c r="AL548" s="103">
        <v>1</v>
      </c>
      <c r="AM548" s="38"/>
      <c r="AN548" s="38"/>
      <c r="AO548" s="38"/>
      <c r="AP548" s="38"/>
      <c r="AQ548" s="38"/>
      <c r="AR548" s="91"/>
      <c r="AS548" s="42">
        <f>SUM(AT548:AZ548)</f>
        <v>1</v>
      </c>
      <c r="AT548" s="48">
        <v>1</v>
      </c>
      <c r="AU548" s="48"/>
      <c r="AV548" s="48"/>
      <c r="AW548" s="48"/>
      <c r="AX548" s="48"/>
      <c r="AY548" s="48"/>
      <c r="AZ548" s="48"/>
      <c r="BA548" s="43">
        <f>IF((W548-SUM(AT548:AZ548))&lt;0,0,W548-SUM(AT548:AZ548))</f>
        <v>0</v>
      </c>
      <c r="BB548" s="125"/>
      <c r="BC548" s="47"/>
      <c r="BD548" s="47"/>
    </row>
    <row r="549" spans="1:56" ht="15" customHeight="1">
      <c r="A549" s="56" t="s">
        <v>2500</v>
      </c>
      <c r="B549" s="127" t="s">
        <v>2448</v>
      </c>
      <c r="C549" s="46" t="s">
        <v>65</v>
      </c>
      <c r="D549" s="125" t="s">
        <v>134</v>
      </c>
      <c r="E549" s="125"/>
      <c r="F549" s="127">
        <v>9</v>
      </c>
      <c r="G549" s="75" t="s">
        <v>2501</v>
      </c>
      <c r="H549" s="131" t="s">
        <v>474</v>
      </c>
      <c r="I549" s="131" t="s">
        <v>2502</v>
      </c>
      <c r="J549" s="131" t="s">
        <v>2503</v>
      </c>
      <c r="K549" s="131"/>
      <c r="L549" s="47"/>
      <c r="M549" s="47"/>
      <c r="N549" s="47"/>
      <c r="O549" s="68"/>
      <c r="P549" s="68"/>
      <c r="Q549" s="47"/>
      <c r="R549" s="47"/>
      <c r="S549" s="47"/>
      <c r="T549" s="68"/>
      <c r="U549" s="68"/>
      <c r="V549" s="131" t="s">
        <v>351</v>
      </c>
      <c r="W549" s="74">
        <v>1</v>
      </c>
      <c r="X549" s="127">
        <f>MAX(0,$AK549-$W549-$Z549)</f>
        <v>0</v>
      </c>
      <c r="Y549" s="127"/>
      <c r="Z549" s="127"/>
      <c r="AA549" s="132">
        <v>0.98</v>
      </c>
      <c r="AB549" s="132">
        <f>IF(AND($X549&gt;0,ISNUMBER($AA549)),$X549*$AA549,0)</f>
        <v>0</v>
      </c>
      <c r="AK549" s="39">
        <f>SUM(AL549:AR549)</f>
        <v>0</v>
      </c>
      <c r="AL549" s="90"/>
      <c r="AM549" s="38"/>
      <c r="AN549" s="38"/>
      <c r="AO549" s="38"/>
      <c r="AP549" s="38"/>
      <c r="AQ549" s="38"/>
      <c r="AR549" s="91"/>
      <c r="AS549" s="42">
        <f>SUM(AT549:AZ549)</f>
        <v>0</v>
      </c>
      <c r="AT549" s="48"/>
      <c r="AU549" s="48"/>
      <c r="AV549" s="48"/>
      <c r="AW549" s="48"/>
      <c r="AX549" s="48"/>
      <c r="AY549" s="48"/>
      <c r="AZ549" s="48"/>
      <c r="BA549" s="43">
        <f>IF((W549-SUM(AT549:AZ549))&lt;0,0,W549-SUM(AT549:AZ549))</f>
        <v>1</v>
      </c>
      <c r="BB549" s="125"/>
      <c r="BC549" s="47"/>
      <c r="BD549" s="47"/>
    </row>
    <row r="550" spans="1:56" ht="15" customHeight="1">
      <c r="A550" s="64" t="s">
        <v>2504</v>
      </c>
      <c r="B550" s="128" t="s">
        <v>2448</v>
      </c>
      <c r="C550" s="38" t="s">
        <v>65</v>
      </c>
      <c r="D550" s="130" t="s">
        <v>84</v>
      </c>
      <c r="E550" s="130" t="s">
        <v>2233</v>
      </c>
      <c r="F550" s="128">
        <v>3</v>
      </c>
      <c r="G550" s="75" t="s">
        <v>2505</v>
      </c>
      <c r="H550" s="130" t="s">
        <v>172</v>
      </c>
      <c r="I550" s="130" t="s">
        <v>2506</v>
      </c>
      <c r="J550" s="130" t="s">
        <v>2507</v>
      </c>
      <c r="K550" s="130"/>
      <c r="L550" s="37"/>
      <c r="M550" s="37"/>
      <c r="N550" s="37"/>
      <c r="O550" s="68"/>
      <c r="P550" s="68"/>
      <c r="Q550" s="37"/>
      <c r="R550" s="37"/>
      <c r="S550" s="37"/>
      <c r="T550" s="68"/>
      <c r="U550" s="68"/>
      <c r="V550" s="130" t="s">
        <v>223</v>
      </c>
      <c r="W550" s="74">
        <v>1</v>
      </c>
      <c r="X550" s="127">
        <f>MAX(0,$AK550-$W550-$Z550)</f>
        <v>0</v>
      </c>
      <c r="Y550" s="130"/>
      <c r="Z550" s="130"/>
      <c r="AA550" s="137">
        <v>0.35</v>
      </c>
      <c r="AB550" s="132">
        <f>IF(AND($X550&gt;0,ISNUMBER($AA550)),$X550*$AA550,0)</f>
        <v>0</v>
      </c>
      <c r="AK550" s="39">
        <f>SUM(AL550:AR550)</f>
        <v>0</v>
      </c>
      <c r="AL550" s="90"/>
      <c r="AM550" s="38"/>
      <c r="AN550" s="38"/>
      <c r="AO550" s="38"/>
      <c r="AP550" s="38"/>
      <c r="AQ550" s="38"/>
      <c r="AR550" s="91"/>
      <c r="AS550" s="42">
        <f>SUM(AT550:AZ550)</f>
        <v>0</v>
      </c>
      <c r="AT550" s="48"/>
      <c r="AU550" s="48"/>
      <c r="AV550" s="48"/>
      <c r="AW550" s="48"/>
      <c r="AX550" s="48"/>
      <c r="AY550" s="48"/>
      <c r="AZ550" s="48"/>
      <c r="BA550" s="43">
        <f>IF((W550-SUM(AT550:AZ550))&lt;0,0,W550-SUM(AT550:AZ550))</f>
        <v>1</v>
      </c>
      <c r="BB550" s="130"/>
      <c r="BC550" s="37"/>
      <c r="BD550" s="37"/>
    </row>
    <row r="551" spans="1:56" ht="15" customHeight="1">
      <c r="A551" s="56" t="s">
        <v>2508</v>
      </c>
      <c r="B551" s="127" t="s">
        <v>2448</v>
      </c>
      <c r="C551" s="46" t="s">
        <v>65</v>
      </c>
      <c r="D551" s="125" t="s">
        <v>84</v>
      </c>
      <c r="E551" s="125" t="s">
        <v>370</v>
      </c>
      <c r="F551" s="127">
        <v>2</v>
      </c>
      <c r="G551" s="75" t="s">
        <v>2509</v>
      </c>
      <c r="H551" s="131" t="s">
        <v>238</v>
      </c>
      <c r="I551" s="131" t="s">
        <v>2510</v>
      </c>
      <c r="J551" s="131" t="s">
        <v>2511</v>
      </c>
      <c r="K551" s="131"/>
      <c r="L551" s="47"/>
      <c r="M551" s="47"/>
      <c r="N551" s="47"/>
      <c r="O551" s="68"/>
      <c r="P551" s="68"/>
      <c r="Q551" s="47"/>
      <c r="R551" s="47"/>
      <c r="S551" s="47"/>
      <c r="T551" s="68"/>
      <c r="U551" s="68"/>
      <c r="V551" s="131" t="s">
        <v>692</v>
      </c>
      <c r="W551" s="74">
        <v>1</v>
      </c>
      <c r="X551" s="127">
        <f>MAX(0,$AK551-$W551-$Z551)</f>
        <v>0</v>
      </c>
      <c r="Y551" s="127"/>
      <c r="Z551" s="127"/>
      <c r="AA551" s="132">
        <v>0.35</v>
      </c>
      <c r="AB551" s="132">
        <f>IF(AND($X551&gt;0,ISNUMBER($AA551)),$X551*$AA551,0)</f>
        <v>0</v>
      </c>
      <c r="AK551" s="39">
        <f>SUM(AL551:AR551)</f>
        <v>0</v>
      </c>
      <c r="AL551" s="90"/>
      <c r="AM551" s="38"/>
      <c r="AN551" s="38"/>
      <c r="AO551" s="38"/>
      <c r="AP551" s="38"/>
      <c r="AQ551" s="38"/>
      <c r="AR551" s="91"/>
      <c r="AS551" s="42">
        <f>SUM(AT551:AZ551)</f>
        <v>0</v>
      </c>
      <c r="AT551" s="48"/>
      <c r="AU551" s="48"/>
      <c r="AV551" s="48"/>
      <c r="AW551" s="48"/>
      <c r="AX551" s="48"/>
      <c r="AY551" s="48"/>
      <c r="AZ551" s="48"/>
      <c r="BA551" s="43">
        <f>IF((W551-SUM(AT551:AZ551))&lt;0,0,W551-SUM(AT551:AZ551))</f>
        <v>1</v>
      </c>
      <c r="BB551" s="125"/>
      <c r="BC551" s="47"/>
      <c r="BD551" s="47"/>
    </row>
    <row r="552" spans="1:56" ht="15" customHeight="1">
      <c r="A552" s="56" t="s">
        <v>2512</v>
      </c>
      <c r="B552" s="127" t="s">
        <v>2448</v>
      </c>
      <c r="C552" s="46" t="s">
        <v>65</v>
      </c>
      <c r="D552" s="125" t="s">
        <v>84</v>
      </c>
      <c r="E552" s="125" t="s">
        <v>2513</v>
      </c>
      <c r="F552" s="127">
        <v>3</v>
      </c>
      <c r="G552" s="75" t="s">
        <v>2514</v>
      </c>
      <c r="H552" s="131" t="s">
        <v>238</v>
      </c>
      <c r="I552" s="131" t="s">
        <v>2515</v>
      </c>
      <c r="J552" s="131"/>
      <c r="K552" s="131"/>
      <c r="L552" s="47"/>
      <c r="M552" s="47"/>
      <c r="N552" s="47"/>
      <c r="O552" s="68"/>
      <c r="P552" s="68"/>
      <c r="Q552" s="47"/>
      <c r="R552" s="47"/>
      <c r="S552" s="47"/>
      <c r="T552" s="68"/>
      <c r="U552" s="68"/>
      <c r="V552" s="131" t="s">
        <v>568</v>
      </c>
      <c r="W552" s="74">
        <v>1</v>
      </c>
      <c r="X552" s="127">
        <f>MAX(0,$AK552-$W552-$Z552)</f>
        <v>0</v>
      </c>
      <c r="Y552" s="127"/>
      <c r="Z552" s="127"/>
      <c r="AA552" s="132">
        <v>0.12</v>
      </c>
      <c r="AB552" s="132">
        <f>IF(AND($X552&gt;0,ISNUMBER($AA552)),$X552*$AA552,0)</f>
        <v>0</v>
      </c>
      <c r="AK552" s="39">
        <f>SUM(AL552:AR552)</f>
        <v>0</v>
      </c>
      <c r="AL552" s="90"/>
      <c r="AM552" s="38"/>
      <c r="AN552" s="38"/>
      <c r="AO552" s="38"/>
      <c r="AP552" s="38"/>
      <c r="AQ552" s="38"/>
      <c r="AR552" s="91"/>
      <c r="AS552" s="42">
        <f>SUM(AT552:AZ552)</f>
        <v>0</v>
      </c>
      <c r="AT552" s="48"/>
      <c r="AU552" s="48"/>
      <c r="AV552" s="48"/>
      <c r="AW552" s="48"/>
      <c r="AX552" s="48"/>
      <c r="AY552" s="48"/>
      <c r="AZ552" s="48"/>
      <c r="BA552" s="43">
        <f>IF((W552-SUM(AT552:AZ552))&lt;0,0,W552-SUM(AT552:AZ552))</f>
        <v>1</v>
      </c>
      <c r="BB552" s="125"/>
      <c r="BC552" s="47"/>
      <c r="BD552" s="47"/>
    </row>
    <row r="553" spans="1:56" ht="15" customHeight="1">
      <c r="A553" s="64" t="s">
        <v>2516</v>
      </c>
      <c r="B553" s="128" t="s">
        <v>2448</v>
      </c>
      <c r="C553" s="38" t="s">
        <v>65</v>
      </c>
      <c r="D553" s="130" t="s">
        <v>84</v>
      </c>
      <c r="E553" s="130" t="s">
        <v>2517</v>
      </c>
      <c r="F553" s="128">
        <v>5</v>
      </c>
      <c r="G553" s="75" t="s">
        <v>2518</v>
      </c>
      <c r="H553" s="130" t="s">
        <v>446</v>
      </c>
      <c r="I553" s="130" t="s">
        <v>2519</v>
      </c>
      <c r="J553" s="130" t="s">
        <v>2520</v>
      </c>
      <c r="K553" s="130"/>
      <c r="L553" s="37"/>
      <c r="M553" s="37"/>
      <c r="N553" s="37"/>
      <c r="O553" s="68"/>
      <c r="P553" s="68"/>
      <c r="Q553" s="37"/>
      <c r="R553" s="37"/>
      <c r="S553" s="37"/>
      <c r="T553" s="68"/>
      <c r="U553" s="68"/>
      <c r="V553" s="130" t="s">
        <v>119</v>
      </c>
      <c r="W553" s="74">
        <v>1</v>
      </c>
      <c r="X553" s="127">
        <f>MAX(0,$AK553-$W553-$Z553)</f>
        <v>0</v>
      </c>
      <c r="Y553" s="130"/>
      <c r="Z553" s="130"/>
      <c r="AA553" s="137">
        <v>0.26</v>
      </c>
      <c r="AB553" s="132">
        <f>IF(AND($X553&gt;0,ISNUMBER($AA553)),$X553*$AA553,0)</f>
        <v>0</v>
      </c>
      <c r="AK553" s="39">
        <f>SUM(AL553:AR553)</f>
        <v>0</v>
      </c>
      <c r="AL553" s="90"/>
      <c r="AM553" s="38"/>
      <c r="AN553" s="38"/>
      <c r="AO553" s="38"/>
      <c r="AP553" s="38"/>
      <c r="AQ553" s="38"/>
      <c r="AR553" s="91"/>
      <c r="AS553" s="42">
        <f>SUM(AT553:AZ553)</f>
        <v>0</v>
      </c>
      <c r="AT553" s="48"/>
      <c r="AU553" s="48"/>
      <c r="AV553" s="48"/>
      <c r="AW553" s="48"/>
      <c r="AX553" s="48"/>
      <c r="AY553" s="48"/>
      <c r="AZ553" s="48"/>
      <c r="BA553" s="43">
        <f>IF((W553-SUM(AT553:AZ553))&lt;0,0,W553-SUM(AT553:AZ553))</f>
        <v>1</v>
      </c>
      <c r="BB553" s="130"/>
      <c r="BC553" s="37"/>
      <c r="BD553" s="37"/>
    </row>
    <row r="554" spans="1:56" ht="15" customHeight="1">
      <c r="A554" s="49" t="s">
        <v>2521</v>
      </c>
      <c r="B554" s="39" t="s">
        <v>2448</v>
      </c>
      <c r="C554" s="46" t="s">
        <v>83</v>
      </c>
      <c r="D554" s="49" t="s">
        <v>76</v>
      </c>
      <c r="E554" s="49"/>
      <c r="F554" s="39">
        <v>4</v>
      </c>
      <c r="G554" s="75" t="s">
        <v>2522</v>
      </c>
      <c r="H554" s="50" t="s">
        <v>2190</v>
      </c>
      <c r="I554" s="50" t="s">
        <v>2522</v>
      </c>
      <c r="J554" s="50"/>
      <c r="K554" s="50"/>
      <c r="L554" s="46"/>
      <c r="M554" s="46"/>
      <c r="N554" s="46"/>
      <c r="O554" s="46"/>
      <c r="P554" s="46"/>
      <c r="Q554" s="46"/>
      <c r="R554" s="46"/>
      <c r="S554" s="46"/>
      <c r="T554" s="46"/>
      <c r="U554" s="46"/>
      <c r="V554" s="50" t="s">
        <v>281</v>
      </c>
      <c r="W554" s="74">
        <v>0</v>
      </c>
      <c r="X554" s="39">
        <f>MAX(0,$AK554-$W554-$Z554)</f>
        <v>0</v>
      </c>
      <c r="Y554" s="39"/>
      <c r="Z554" s="39"/>
      <c r="AA554" s="41">
        <v>3.24</v>
      </c>
      <c r="AB554" s="41">
        <f>IF(AND($X554&gt;0,ISNUMBER($AA554)),$X554*$AA554,0)</f>
        <v>0</v>
      </c>
      <c r="AC554" s="59"/>
      <c r="AD554" s="59"/>
      <c r="AE554" s="59"/>
      <c r="AF554" s="59"/>
      <c r="AG554" s="59"/>
      <c r="AH554" s="59"/>
      <c r="AI554" s="59"/>
      <c r="AJ554" s="59"/>
      <c r="AK554" s="39">
        <f>SUM(AL554:AR554)</f>
        <v>0</v>
      </c>
      <c r="AL554" s="114"/>
      <c r="AM554" s="43"/>
      <c r="AN554" s="43"/>
      <c r="AO554" s="43"/>
      <c r="AP554" s="43"/>
      <c r="AQ554" s="43"/>
      <c r="AR554" s="116"/>
      <c r="AS554" s="42">
        <f>SUM(AT554:AZ554)</f>
        <v>0</v>
      </c>
      <c r="AT554" s="48"/>
      <c r="AU554" s="48"/>
      <c r="AV554" s="48"/>
      <c r="AW554" s="48"/>
      <c r="AX554" s="48"/>
      <c r="AY554" s="48"/>
      <c r="AZ554" s="48"/>
      <c r="BA554" s="43">
        <f>IF((W554-SUM(AT554:AZ554))&lt;0,0,W554-SUM(AT554:AZ554))</f>
        <v>0</v>
      </c>
      <c r="BB554" s="49"/>
      <c r="BC554" s="47"/>
      <c r="BD554" s="47"/>
    </row>
    <row r="555" spans="1:56" ht="15" customHeight="1">
      <c r="A555" s="44" t="s">
        <v>2523</v>
      </c>
      <c r="B555" s="45" t="s">
        <v>2448</v>
      </c>
      <c r="C555" s="46" t="s">
        <v>65</v>
      </c>
      <c r="D555" s="44" t="s">
        <v>178</v>
      </c>
      <c r="E555" s="44" t="s">
        <v>2233</v>
      </c>
      <c r="F555" s="45">
        <v>3</v>
      </c>
      <c r="G555" s="75" t="s">
        <v>2524</v>
      </c>
      <c r="H555" s="44" t="s">
        <v>238</v>
      </c>
      <c r="I555" s="44" t="s">
        <v>2525</v>
      </c>
      <c r="J555" s="44" t="s">
        <v>2526</v>
      </c>
      <c r="K555" s="44"/>
      <c r="L555" s="47"/>
      <c r="M555" s="47"/>
      <c r="N555" s="47"/>
      <c r="O555" s="68"/>
      <c r="P555" s="68"/>
      <c r="Q555" s="47"/>
      <c r="R555" s="47"/>
      <c r="S555" s="47"/>
      <c r="T555" s="68"/>
      <c r="U555" s="68"/>
      <c r="V555" s="44" t="s">
        <v>167</v>
      </c>
      <c r="W555" s="74">
        <v>2</v>
      </c>
      <c r="X555" s="39">
        <f>MAX(0,$AK555-$W555-$Z555)</f>
        <v>0</v>
      </c>
      <c r="Y555" s="44"/>
      <c r="Z555" s="44"/>
      <c r="AA555" s="44">
        <v>0.2</v>
      </c>
      <c r="AB555" s="44">
        <f>IF(AND($X555&gt;0,ISNUMBER($AA555)),$X555*$AA555,0)</f>
        <v>0</v>
      </c>
      <c r="AK555" s="39">
        <f>SUM(AL555:AR555)</f>
        <v>0</v>
      </c>
      <c r="AL555" s="90"/>
      <c r="AM555" s="38"/>
      <c r="AN555" s="38"/>
      <c r="AO555" s="38"/>
      <c r="AP555" s="38"/>
      <c r="AQ555" s="38"/>
      <c r="AR555" s="91"/>
      <c r="AS555" s="42">
        <f>SUM(AT555:AZ555)</f>
        <v>0</v>
      </c>
      <c r="AT555" s="48"/>
      <c r="AU555" s="48"/>
      <c r="AV555" s="48"/>
      <c r="AW555" s="48"/>
      <c r="AX555" s="48"/>
      <c r="AY555" s="48"/>
      <c r="AZ555" s="48"/>
      <c r="BA555" s="43">
        <f>IF((W555-SUM(AT555:AZ555))&lt;0,0,W555-SUM(AT555:AZ555))</f>
        <v>2</v>
      </c>
      <c r="BB555" s="44"/>
      <c r="BC555" s="47"/>
      <c r="BD555" s="47"/>
    </row>
    <row r="556" spans="1:56" ht="15" customHeight="1">
      <c r="A556" s="44" t="s">
        <v>2527</v>
      </c>
      <c r="B556" s="45" t="s">
        <v>2448</v>
      </c>
      <c r="C556" s="46" t="s">
        <v>65</v>
      </c>
      <c r="D556" s="44" t="s">
        <v>84</v>
      </c>
      <c r="E556" s="44" t="s">
        <v>801</v>
      </c>
      <c r="F556" s="45">
        <v>2</v>
      </c>
      <c r="G556" s="75" t="s">
        <v>2528</v>
      </c>
      <c r="H556" s="44" t="s">
        <v>153</v>
      </c>
      <c r="I556" s="44" t="s">
        <v>2529</v>
      </c>
      <c r="J556" s="44"/>
      <c r="K556" s="44"/>
      <c r="L556" s="47"/>
      <c r="M556" s="47"/>
      <c r="N556" s="47"/>
      <c r="O556" s="68"/>
      <c r="P556" s="68"/>
      <c r="Q556" s="47"/>
      <c r="R556" s="47"/>
      <c r="S556" s="47"/>
      <c r="T556" s="68"/>
      <c r="U556" s="68"/>
      <c r="V556" s="44" t="s">
        <v>167</v>
      </c>
      <c r="W556" s="74">
        <v>1</v>
      </c>
      <c r="X556" s="39">
        <f>MAX(0,$AK556-$W556-$Z556)</f>
        <v>0</v>
      </c>
      <c r="Y556" s="44"/>
      <c r="Z556" s="44"/>
      <c r="AA556" s="44">
        <v>0.24</v>
      </c>
      <c r="AB556" s="44">
        <f>IF(AND($X556&gt;0,ISNUMBER($AA556)),$X556*$AA556,0)</f>
        <v>0</v>
      </c>
      <c r="AK556" s="39">
        <f>SUM(AL556:AR556)</f>
        <v>0</v>
      </c>
      <c r="AL556" s="90"/>
      <c r="AM556" s="38"/>
      <c r="AN556" s="38"/>
      <c r="AO556" s="38"/>
      <c r="AP556" s="38"/>
      <c r="AQ556" s="38"/>
      <c r="AR556" s="91"/>
      <c r="AS556" s="42">
        <f>SUM(AT556:AZ556)</f>
        <v>0</v>
      </c>
      <c r="AT556" s="48"/>
      <c r="AU556" s="48"/>
      <c r="AV556" s="48"/>
      <c r="AW556" s="48"/>
      <c r="AX556" s="48"/>
      <c r="AY556" s="48"/>
      <c r="AZ556" s="48"/>
      <c r="BA556" s="43">
        <f>IF((W556-SUM(AT556:AZ556))&lt;0,0,W556-SUM(AT556:AZ556))</f>
        <v>1</v>
      </c>
      <c r="BB556" s="44"/>
      <c r="BC556" s="47"/>
      <c r="BD556" s="47"/>
    </row>
    <row r="557" spans="1:56" ht="15" customHeight="1">
      <c r="A557" s="49" t="s">
        <v>2530</v>
      </c>
      <c r="B557" s="39" t="s">
        <v>2448</v>
      </c>
      <c r="C557" s="46" t="s">
        <v>83</v>
      </c>
      <c r="D557" s="49" t="s">
        <v>76</v>
      </c>
      <c r="E557" s="49"/>
      <c r="F557" s="39">
        <v>1</v>
      </c>
      <c r="G557" s="75" t="s">
        <v>2531</v>
      </c>
      <c r="H557" s="50" t="s">
        <v>172</v>
      </c>
      <c r="I557" s="50" t="s">
        <v>2532</v>
      </c>
      <c r="J557" s="50"/>
      <c r="K557" s="50"/>
      <c r="L557" s="47"/>
      <c r="M557" s="47"/>
      <c r="N557" s="47"/>
      <c r="O557" s="47"/>
      <c r="P557" s="47"/>
      <c r="Q557" s="47"/>
      <c r="R557" s="47"/>
      <c r="S557" s="47"/>
      <c r="T557" s="47"/>
      <c r="U557" s="47"/>
      <c r="V557" s="50" t="s">
        <v>254</v>
      </c>
      <c r="W557" s="74">
        <v>0</v>
      </c>
      <c r="X557" s="39">
        <f>MAX(0,$AK557-$W557-$Z557)</f>
        <v>0</v>
      </c>
      <c r="Y557" s="39"/>
      <c r="Z557" s="39"/>
      <c r="AA557" s="41">
        <v>2.29</v>
      </c>
      <c r="AB557" s="41">
        <f>IF(AND($X557&gt;0,ISNUMBER($AA557)),$X557*$AA557,0)</f>
        <v>0</v>
      </c>
      <c r="AC557" s="59"/>
      <c r="AD557" s="59"/>
      <c r="AE557" s="59"/>
      <c r="AF557" s="59"/>
      <c r="AG557" s="59"/>
      <c r="AH557" s="59"/>
      <c r="AI557" s="59"/>
      <c r="AJ557" s="59"/>
      <c r="AK557" s="39">
        <f>SUM(AL557:AR557)</f>
        <v>0</v>
      </c>
      <c r="AL557" s="114"/>
      <c r="AM557" s="43"/>
      <c r="AN557" s="43"/>
      <c r="AO557" s="43"/>
      <c r="AP557" s="43"/>
      <c r="AQ557" s="43"/>
      <c r="AR557" s="116"/>
      <c r="AS557" s="42">
        <f>SUM(AT557:AZ557)</f>
        <v>0</v>
      </c>
      <c r="AT557" s="48"/>
      <c r="AU557" s="48"/>
      <c r="AV557" s="48"/>
      <c r="AW557" s="48"/>
      <c r="AX557" s="48"/>
      <c r="AY557" s="48"/>
      <c r="AZ557" s="48"/>
      <c r="BA557" s="43">
        <f>IF((W557-SUM(AT557:AZ557))&lt;0,0,W557-SUM(AT557:AZ557))</f>
        <v>0</v>
      </c>
      <c r="BB557" s="49"/>
      <c r="BC557" s="47"/>
      <c r="BD557" s="47"/>
    </row>
    <row r="558" spans="1:56" ht="15" customHeight="1">
      <c r="A558" s="44" t="s">
        <v>2533</v>
      </c>
      <c r="B558" s="45" t="s">
        <v>2448</v>
      </c>
      <c r="C558" s="46" t="s">
        <v>65</v>
      </c>
      <c r="D558" s="44" t="s">
        <v>256</v>
      </c>
      <c r="E558" s="44" t="s">
        <v>2534</v>
      </c>
      <c r="F558" s="45">
        <v>4</v>
      </c>
      <c r="G558" s="75" t="s">
        <v>2535</v>
      </c>
      <c r="H558" s="44" t="s">
        <v>78</v>
      </c>
      <c r="I558" s="44" t="s">
        <v>2536</v>
      </c>
      <c r="J558" s="44" t="s">
        <v>2537</v>
      </c>
      <c r="K558" s="44" t="s">
        <v>2538</v>
      </c>
      <c r="L558" s="47"/>
      <c r="M558" s="47"/>
      <c r="N558" s="47"/>
      <c r="O558" s="68"/>
      <c r="P558" s="68"/>
      <c r="Q558" s="47"/>
      <c r="R558" s="47"/>
      <c r="S558" s="47"/>
      <c r="T558" s="68"/>
      <c r="U558" s="68"/>
      <c r="V558" s="44" t="s">
        <v>167</v>
      </c>
      <c r="W558" s="74">
        <v>1</v>
      </c>
      <c r="X558" s="39">
        <f>MAX(0,$AK558-$W558-$Z558)</f>
        <v>0</v>
      </c>
      <c r="Y558" s="44"/>
      <c r="Z558" s="44"/>
      <c r="AA558" s="44">
        <v>0.18</v>
      </c>
      <c r="AB558" s="44">
        <f>IF(AND($X558&gt;0,ISNUMBER($AA558)),$X558*$AA558,0)</f>
        <v>0</v>
      </c>
      <c r="AH558" s="63"/>
      <c r="AK558" s="39">
        <f>SUM(AL558:AR558)</f>
        <v>1</v>
      </c>
      <c r="AL558" s="90"/>
      <c r="AM558" s="38"/>
      <c r="AN558" s="38"/>
      <c r="AO558" s="38"/>
      <c r="AP558" s="38"/>
      <c r="AQ558" s="98">
        <v>1</v>
      </c>
      <c r="AR558" s="91"/>
      <c r="AS558" s="42">
        <f>SUM(AT558:AZ558)</f>
        <v>0</v>
      </c>
      <c r="AT558" s="48"/>
      <c r="AU558" s="48"/>
      <c r="AV558" s="48"/>
      <c r="AW558" s="48"/>
      <c r="AX558" s="48"/>
      <c r="AY558" s="48"/>
      <c r="AZ558" s="48"/>
      <c r="BA558" s="43">
        <f>IF((W558-SUM(AT558:AZ558))&lt;0,0,W558-SUM(AT558:AZ558))</f>
        <v>1</v>
      </c>
      <c r="BB558" s="44"/>
      <c r="BC558" s="47"/>
      <c r="BD558" s="47"/>
    </row>
    <row r="559" spans="1:56" ht="15" customHeight="1">
      <c r="A559" s="49" t="s">
        <v>2539</v>
      </c>
      <c r="B559" s="39" t="s">
        <v>2448</v>
      </c>
      <c r="C559" s="46" t="s">
        <v>65</v>
      </c>
      <c r="D559" s="49" t="s">
        <v>134</v>
      </c>
      <c r="E559" s="49"/>
      <c r="F559" s="39">
        <v>3</v>
      </c>
      <c r="G559" s="75" t="s">
        <v>2540</v>
      </c>
      <c r="H559" s="50" t="s">
        <v>162</v>
      </c>
      <c r="I559" s="50" t="s">
        <v>2541</v>
      </c>
      <c r="J559" s="50" t="s">
        <v>2542</v>
      </c>
      <c r="K559" s="50"/>
      <c r="L559" s="108" t="s">
        <v>2543</v>
      </c>
      <c r="M559" s="46">
        <v>1</v>
      </c>
      <c r="N559" s="46">
        <v>1</v>
      </c>
      <c r="O559" s="68" t="s">
        <v>2544</v>
      </c>
      <c r="P559" s="110">
        <v>0.28000000000000003</v>
      </c>
      <c r="Q559" s="47"/>
      <c r="R559" s="47"/>
      <c r="S559" s="47"/>
      <c r="T559" s="68"/>
      <c r="U559" s="68"/>
      <c r="V559" s="50" t="s">
        <v>119</v>
      </c>
      <c r="W559" s="74">
        <v>1</v>
      </c>
      <c r="X559" s="39">
        <f>MAX(0,$AK559-$W559-$Z559)</f>
        <v>0</v>
      </c>
      <c r="Y559" s="39"/>
      <c r="Z559" s="39"/>
      <c r="AA559" s="41">
        <v>0.28000000000000003</v>
      </c>
      <c r="AB559" s="41">
        <f>IF(AND($X559&gt;0,ISNUMBER($AA559)),$X559*$AA559,0)</f>
        <v>0</v>
      </c>
      <c r="AC559" s="63"/>
      <c r="AK559" s="39">
        <f>SUM(AL559:AR559)</f>
        <v>1</v>
      </c>
      <c r="AL559" s="103">
        <v>1</v>
      </c>
      <c r="AM559" s="38"/>
      <c r="AN559" s="38"/>
      <c r="AO559" s="38"/>
      <c r="AP559" s="38"/>
      <c r="AQ559" s="38"/>
      <c r="AR559" s="91"/>
      <c r="AS559" s="42">
        <f>SUM(AT559:AZ559)</f>
        <v>1</v>
      </c>
      <c r="AT559" s="48">
        <v>1</v>
      </c>
      <c r="AU559" s="48"/>
      <c r="AV559" s="48"/>
      <c r="AW559" s="48"/>
      <c r="AX559" s="48"/>
      <c r="AY559" s="48"/>
      <c r="AZ559" s="48"/>
      <c r="BA559" s="43">
        <f>IF((W559-SUM(AT559:AZ559))&lt;0,0,W559-SUM(AT559:AZ559))</f>
        <v>0</v>
      </c>
      <c r="BB559" s="49"/>
      <c r="BC559" s="47"/>
      <c r="BD559" s="47"/>
    </row>
    <row r="560" spans="1:56" ht="15" customHeight="1">
      <c r="A560" s="49" t="s">
        <v>2545</v>
      </c>
      <c r="B560" s="39" t="s">
        <v>2448</v>
      </c>
      <c r="C560" s="46" t="s">
        <v>65</v>
      </c>
      <c r="D560" s="49" t="s">
        <v>76</v>
      </c>
      <c r="E560" s="49"/>
      <c r="F560" s="39">
        <v>2</v>
      </c>
      <c r="G560" s="75" t="s">
        <v>2546</v>
      </c>
      <c r="H560" s="50" t="s">
        <v>78</v>
      </c>
      <c r="I560" s="50" t="s">
        <v>2547</v>
      </c>
      <c r="J560" s="50" t="s">
        <v>2548</v>
      </c>
      <c r="K560" s="50"/>
      <c r="L560" s="47"/>
      <c r="M560" s="47"/>
      <c r="N560" s="47"/>
      <c r="O560" s="47"/>
      <c r="P560" s="47"/>
      <c r="Q560" s="47"/>
      <c r="R560" s="47"/>
      <c r="S560" s="47"/>
      <c r="T560" s="47"/>
      <c r="U560" s="47"/>
      <c r="V560" s="50" t="s">
        <v>692</v>
      </c>
      <c r="W560" s="74">
        <v>0</v>
      </c>
      <c r="X560" s="39">
        <f>MAX(0,$AK560-$W560-$Z560)</f>
        <v>0</v>
      </c>
      <c r="Y560" s="39"/>
      <c r="Z560" s="39"/>
      <c r="AA560" s="41">
        <v>0.31</v>
      </c>
      <c r="AB560" s="41">
        <f>IF(AND($X560&gt;0,ISNUMBER($AA560)),$X560*$AA560,0)</f>
        <v>0</v>
      </c>
      <c r="AC560" s="59"/>
      <c r="AD560" s="59"/>
      <c r="AE560" s="59"/>
      <c r="AF560" s="59"/>
      <c r="AG560" s="59"/>
      <c r="AH560" s="59"/>
      <c r="AI560" s="59"/>
      <c r="AJ560" s="59"/>
      <c r="AK560" s="39">
        <f>SUM(AL560:AR560)</f>
        <v>0</v>
      </c>
      <c r="AL560" s="114"/>
      <c r="AM560" s="43"/>
      <c r="AN560" s="43"/>
      <c r="AO560" s="43"/>
      <c r="AP560" s="43"/>
      <c r="AQ560" s="43"/>
      <c r="AR560" s="116"/>
      <c r="AS560" s="42">
        <f>SUM(AT560:AZ560)</f>
        <v>0</v>
      </c>
      <c r="AT560" s="48"/>
      <c r="AU560" s="48"/>
      <c r="AV560" s="48"/>
      <c r="AW560" s="48"/>
      <c r="AX560" s="48"/>
      <c r="AY560" s="48"/>
      <c r="AZ560" s="48"/>
      <c r="BA560" s="43">
        <f>IF((W560-SUM(AT560:AZ560))&lt;0,0,W560-SUM(AT560:AZ560))</f>
        <v>0</v>
      </c>
      <c r="BB560" s="49"/>
      <c r="BC560" s="47"/>
      <c r="BD560" s="47"/>
    </row>
    <row r="561" spans="1:56" ht="15" customHeight="1">
      <c r="A561" s="49" t="s">
        <v>2549</v>
      </c>
      <c r="B561" s="39" t="s">
        <v>2448</v>
      </c>
      <c r="C561" s="46" t="s">
        <v>65</v>
      </c>
      <c r="D561" s="49" t="s">
        <v>134</v>
      </c>
      <c r="E561" s="49"/>
      <c r="F561" s="39">
        <v>2</v>
      </c>
      <c r="G561" s="75" t="s">
        <v>2550</v>
      </c>
      <c r="H561" s="50" t="s">
        <v>108</v>
      </c>
      <c r="I561" s="50" t="s">
        <v>2551</v>
      </c>
      <c r="J561" s="50"/>
      <c r="K561" s="50"/>
      <c r="L561" s="47"/>
      <c r="M561" s="47"/>
      <c r="N561" s="47"/>
      <c r="O561" s="47"/>
      <c r="P561" s="47"/>
      <c r="Q561" s="47"/>
      <c r="R561" s="47"/>
      <c r="S561" s="47"/>
      <c r="T561" s="47"/>
      <c r="U561" s="47"/>
      <c r="V561" s="50" t="s">
        <v>103</v>
      </c>
      <c r="W561" s="74">
        <v>1</v>
      </c>
      <c r="X561" s="39">
        <f>MAX(0,$AK561-$W561-$Z561)</f>
        <v>0</v>
      </c>
      <c r="Y561" s="39"/>
      <c r="Z561" s="39"/>
      <c r="AA561" s="41">
        <v>0.27</v>
      </c>
      <c r="AB561" s="41">
        <f>IF(AND($X561&gt;0,ISNUMBER($AA561)),$X561*$AA561,0)</f>
        <v>0</v>
      </c>
      <c r="AK561" s="39">
        <f>SUM(AL561:AR561)</f>
        <v>1</v>
      </c>
      <c r="AL561" s="102">
        <v>1</v>
      </c>
      <c r="AM561" s="38"/>
      <c r="AN561" s="38"/>
      <c r="AO561" s="38"/>
      <c r="AP561" s="38"/>
      <c r="AQ561" s="38"/>
      <c r="AR561" s="91"/>
      <c r="AS561" s="42">
        <f>SUM(AT561:AZ561)</f>
        <v>1</v>
      </c>
      <c r="AT561" s="48">
        <v>1</v>
      </c>
      <c r="AU561" s="48"/>
      <c r="AV561" s="48"/>
      <c r="AW561" s="48"/>
      <c r="AX561" s="48"/>
      <c r="AY561" s="48"/>
      <c r="AZ561" s="48"/>
      <c r="BA561" s="43">
        <f>IF((W561-SUM(AT561:AZ561))&lt;0,0,W561-SUM(AT561:AZ561))</f>
        <v>0</v>
      </c>
      <c r="BB561" s="49"/>
      <c r="BC561" s="47"/>
      <c r="BD561" s="47"/>
    </row>
    <row r="562" spans="1:56" ht="15" customHeight="1">
      <c r="A562" s="49" t="s">
        <v>2552</v>
      </c>
      <c r="B562" s="39" t="s">
        <v>2448</v>
      </c>
      <c r="C562" s="46" t="s">
        <v>83</v>
      </c>
      <c r="D562" s="49" t="s">
        <v>84</v>
      </c>
      <c r="E562" s="49" t="s">
        <v>2553</v>
      </c>
      <c r="F562" s="39">
        <v>7</v>
      </c>
      <c r="G562" s="75" t="s">
        <v>2554</v>
      </c>
      <c r="H562" s="50" t="s">
        <v>153</v>
      </c>
      <c r="I562" s="50" t="s">
        <v>2555</v>
      </c>
      <c r="J562" s="50" t="s">
        <v>2556</v>
      </c>
      <c r="K562" s="50"/>
      <c r="L562" s="47"/>
      <c r="M562" s="47"/>
      <c r="N562" s="47"/>
      <c r="O562" s="47"/>
      <c r="P562" s="47"/>
      <c r="Q562" s="47"/>
      <c r="R562" s="47"/>
      <c r="S562" s="47"/>
      <c r="T562" s="47"/>
      <c r="U562" s="47"/>
      <c r="V562" s="50" t="s">
        <v>1248</v>
      </c>
      <c r="W562" s="74">
        <v>0</v>
      </c>
      <c r="X562" s="39">
        <f>MAX(0,$AK562-$W562-$Z562)</f>
        <v>0</v>
      </c>
      <c r="Y562" s="39"/>
      <c r="Z562" s="39"/>
      <c r="AA562" s="41">
        <v>1.1100000000000001</v>
      </c>
      <c r="AB562" s="41">
        <f>IF(AND($X562&gt;0,ISNUMBER($AA562)),$X562*$AA562,0)</f>
        <v>0</v>
      </c>
      <c r="AC562" s="59"/>
      <c r="AD562" s="59"/>
      <c r="AE562" s="59"/>
      <c r="AF562" s="59"/>
      <c r="AG562" s="59"/>
      <c r="AH562" s="59"/>
      <c r="AI562" s="59"/>
      <c r="AJ562" s="59"/>
      <c r="AK562" s="39">
        <f>SUM(AL562:AR562)</f>
        <v>0</v>
      </c>
      <c r="AL562" s="114"/>
      <c r="AM562" s="43"/>
      <c r="AN562" s="43"/>
      <c r="AO562" s="43"/>
      <c r="AP562" s="43"/>
      <c r="AQ562" s="43"/>
      <c r="AR562" s="116"/>
      <c r="AS562" s="42">
        <f>SUM(AT562:AZ562)</f>
        <v>0</v>
      </c>
      <c r="AT562" s="48"/>
      <c r="AU562" s="48"/>
      <c r="AV562" s="48"/>
      <c r="AW562" s="48"/>
      <c r="AX562" s="48"/>
      <c r="AY562" s="48"/>
      <c r="AZ562" s="48"/>
      <c r="BA562" s="43">
        <f>IF((W562-SUM(AT562:AZ562))&lt;0,0,W562-SUM(AT562:AZ562))</f>
        <v>0</v>
      </c>
      <c r="BB562" s="49"/>
      <c r="BC562" s="47"/>
      <c r="BD562" s="53"/>
    </row>
    <row r="563" spans="1:56" ht="15" customHeight="1">
      <c r="A563" s="49" t="s">
        <v>2557</v>
      </c>
      <c r="B563" s="39" t="s">
        <v>2448</v>
      </c>
      <c r="C563" s="46" t="s">
        <v>65</v>
      </c>
      <c r="D563" s="49" t="s">
        <v>76</v>
      </c>
      <c r="E563" s="49"/>
      <c r="F563" s="39">
        <v>3</v>
      </c>
      <c r="G563" s="75" t="s">
        <v>2558</v>
      </c>
      <c r="H563" s="50" t="s">
        <v>78</v>
      </c>
      <c r="I563" s="50" t="s">
        <v>2559</v>
      </c>
      <c r="J563" s="50"/>
      <c r="K563" s="50"/>
      <c r="L563" s="47"/>
      <c r="M563" s="47"/>
      <c r="N563" s="47"/>
      <c r="O563" s="47"/>
      <c r="P563" s="47"/>
      <c r="Q563" s="47"/>
      <c r="R563" s="47"/>
      <c r="S563" s="47"/>
      <c r="T563" s="47"/>
      <c r="U563" s="47"/>
      <c r="V563" s="50" t="s">
        <v>1726</v>
      </c>
      <c r="W563" s="74">
        <v>1</v>
      </c>
      <c r="X563" s="39">
        <f>MAX(0,$AK563-$W563-$Z563)</f>
        <v>0</v>
      </c>
      <c r="Y563" s="39"/>
      <c r="Z563" s="39"/>
      <c r="AA563" s="41">
        <v>0.34</v>
      </c>
      <c r="AB563" s="41">
        <f>IF(AND($X563&gt;0,ISNUMBER($AA563)),$X563*$AA563,0)</f>
        <v>0</v>
      </c>
      <c r="AK563" s="39">
        <f>SUM(AL563:AR563)</f>
        <v>1</v>
      </c>
      <c r="AL563" s="90"/>
      <c r="AM563" s="38"/>
      <c r="AN563" s="38"/>
      <c r="AO563" s="38"/>
      <c r="AP563" s="38"/>
      <c r="AQ563" s="97">
        <v>1</v>
      </c>
      <c r="AR563" s="91"/>
      <c r="AS563" s="42">
        <f>SUM(AT563:AZ563)</f>
        <v>1</v>
      </c>
      <c r="AT563" s="48"/>
      <c r="AU563" s="48"/>
      <c r="AV563" s="48"/>
      <c r="AW563" s="48"/>
      <c r="AX563" s="48"/>
      <c r="AY563" s="48">
        <v>1</v>
      </c>
      <c r="AZ563" s="48"/>
      <c r="BA563" s="43">
        <f>IF((W563-SUM(AT563:AZ563))&lt;0,0,W563-SUM(AT563:AZ563))</f>
        <v>0</v>
      </c>
      <c r="BB563" s="49"/>
      <c r="BC563" s="47"/>
      <c r="BD563" s="126"/>
    </row>
    <row r="564" spans="1:56" ht="15" customHeight="1">
      <c r="A564" s="35" t="s">
        <v>2560</v>
      </c>
      <c r="B564" s="36" t="s">
        <v>2448</v>
      </c>
      <c r="C564" s="38" t="s">
        <v>65</v>
      </c>
      <c r="D564" s="35" t="s">
        <v>84</v>
      </c>
      <c r="E564" s="35" t="s">
        <v>231</v>
      </c>
      <c r="F564" s="36">
        <v>3</v>
      </c>
      <c r="G564" s="75" t="s">
        <v>2561</v>
      </c>
      <c r="H564" s="35" t="s">
        <v>108</v>
      </c>
      <c r="I564" s="35" t="s">
        <v>2562</v>
      </c>
      <c r="J564" s="35" t="s">
        <v>2563</v>
      </c>
      <c r="K564" s="35"/>
      <c r="L564" s="37"/>
      <c r="M564" s="37"/>
      <c r="N564" s="37"/>
      <c r="O564" s="68"/>
      <c r="P564" s="68"/>
      <c r="Q564" s="37"/>
      <c r="R564" s="37"/>
      <c r="S564" s="37"/>
      <c r="T564" s="68"/>
      <c r="U564" s="68"/>
      <c r="V564" s="35" t="s">
        <v>223</v>
      </c>
      <c r="W564" s="74">
        <v>1</v>
      </c>
      <c r="X564" s="39">
        <f>MAX(0,$AK564-$W564-$Z564)</f>
        <v>0</v>
      </c>
      <c r="Y564" s="35"/>
      <c r="Z564" s="35"/>
      <c r="AA564" s="40">
        <v>0.21</v>
      </c>
      <c r="AB564" s="41">
        <f>IF(AND($X564&gt;0,ISNUMBER($AA564)),$X564*$AA564,0)</f>
        <v>0</v>
      </c>
      <c r="AK564" s="39">
        <f>SUM(AL564:AR564)</f>
        <v>0</v>
      </c>
      <c r="AL564" s="90"/>
      <c r="AM564" s="38"/>
      <c r="AN564" s="38"/>
      <c r="AO564" s="38"/>
      <c r="AP564" s="38"/>
      <c r="AQ564" s="38"/>
      <c r="AR564" s="91"/>
      <c r="AS564" s="42">
        <f>SUM(AT564:AZ564)</f>
        <v>0</v>
      </c>
      <c r="AT564" s="48"/>
      <c r="AU564" s="48"/>
      <c r="AV564" s="48"/>
      <c r="AW564" s="48"/>
      <c r="AX564" s="48"/>
      <c r="AY564" s="48"/>
      <c r="AZ564" s="48"/>
      <c r="BA564" s="43">
        <f>IF((W564-SUM(AT564:AZ564))&lt;0,0,W564-SUM(AT564:AZ564))</f>
        <v>1</v>
      </c>
      <c r="BB564" s="35"/>
      <c r="BC564" s="37"/>
      <c r="BD564" s="37"/>
    </row>
    <row r="565" spans="1:56" ht="15" customHeight="1">
      <c r="A565" s="49" t="s">
        <v>2564</v>
      </c>
      <c r="B565" s="39" t="s">
        <v>2448</v>
      </c>
      <c r="C565" s="46" t="s">
        <v>65</v>
      </c>
      <c r="D565" s="49" t="s">
        <v>134</v>
      </c>
      <c r="E565" s="49"/>
      <c r="F565" s="39">
        <v>1</v>
      </c>
      <c r="G565" s="75" t="s">
        <v>2565</v>
      </c>
      <c r="H565" s="50" t="s">
        <v>78</v>
      </c>
      <c r="I565" s="50" t="s">
        <v>2566</v>
      </c>
      <c r="J565" s="50" t="s">
        <v>2567</v>
      </c>
      <c r="K565" s="50"/>
      <c r="L565" s="47"/>
      <c r="M565" s="47"/>
      <c r="N565" s="47"/>
      <c r="O565" s="47"/>
      <c r="P565" s="47"/>
      <c r="Q565" s="47"/>
      <c r="R565" s="47"/>
      <c r="S565" s="47"/>
      <c r="T565" s="47"/>
      <c r="U565" s="47"/>
      <c r="V565" s="50" t="s">
        <v>119</v>
      </c>
      <c r="W565" s="74">
        <v>1</v>
      </c>
      <c r="X565" s="39">
        <f>MAX(0,$AK565-$W565-$Z565)</f>
        <v>0</v>
      </c>
      <c r="Y565" s="39"/>
      <c r="Z565" s="39"/>
      <c r="AA565" s="41">
        <v>0.2</v>
      </c>
      <c r="AB565" s="41">
        <f>IF(AND($X565&gt;0,ISNUMBER($AA565)),$X565*$AA565,0)</f>
        <v>0</v>
      </c>
      <c r="AH565" s="63" t="s">
        <v>2568</v>
      </c>
      <c r="AK565" s="39">
        <f>SUM(AL565:AR565)</f>
        <v>1</v>
      </c>
      <c r="AL565" s="90"/>
      <c r="AM565" s="38"/>
      <c r="AN565" s="38"/>
      <c r="AO565" s="38"/>
      <c r="AP565" s="38"/>
      <c r="AQ565" s="99">
        <v>1</v>
      </c>
      <c r="AR565" s="91"/>
      <c r="AS565" s="42">
        <f>SUM(AT565:AZ565)</f>
        <v>1</v>
      </c>
      <c r="AT565" s="48"/>
      <c r="AU565" s="48"/>
      <c r="AV565" s="48"/>
      <c r="AW565" s="48"/>
      <c r="AX565" s="48"/>
      <c r="AY565" s="48">
        <v>1</v>
      </c>
      <c r="AZ565" s="48"/>
      <c r="BA565" s="43">
        <f>IF((W565-SUM(AT565:AZ565))&lt;0,0,W565-SUM(AT565:AZ565))</f>
        <v>0</v>
      </c>
      <c r="BB565" s="49"/>
      <c r="BC565" s="47"/>
      <c r="BD565" s="47"/>
    </row>
    <row r="566" spans="1:56" ht="15" customHeight="1">
      <c r="A566" s="49" t="s">
        <v>2569</v>
      </c>
      <c r="B566" s="39" t="s">
        <v>2448</v>
      </c>
      <c r="C566" s="46" t="s">
        <v>65</v>
      </c>
      <c r="D566" s="49" t="s">
        <v>76</v>
      </c>
      <c r="E566" s="49" t="s">
        <v>600</v>
      </c>
      <c r="F566" s="39">
        <v>2</v>
      </c>
      <c r="G566" s="75" t="s">
        <v>2570</v>
      </c>
      <c r="H566" s="50" t="s">
        <v>78</v>
      </c>
      <c r="I566" s="50" t="s">
        <v>2571</v>
      </c>
      <c r="J566" s="50" t="s">
        <v>2572</v>
      </c>
      <c r="K566" s="50"/>
      <c r="L566" s="47"/>
      <c r="M566" s="47"/>
      <c r="N566" s="47"/>
      <c r="O566" s="68"/>
      <c r="P566" s="68"/>
      <c r="Q566" s="47"/>
      <c r="R566" s="47"/>
      <c r="S566" s="47"/>
      <c r="T566" s="68"/>
      <c r="U566" s="68"/>
      <c r="V566" s="50" t="s">
        <v>568</v>
      </c>
      <c r="W566" s="74">
        <v>1</v>
      </c>
      <c r="X566" s="39">
        <f>MAX(0,$AK566-$W566-$Z566)</f>
        <v>0</v>
      </c>
      <c r="Y566" s="39"/>
      <c r="Z566" s="39"/>
      <c r="AA566" s="41">
        <v>0.3</v>
      </c>
      <c r="AB566" s="41">
        <f>IF(AND($X566&gt;0,ISNUMBER($AA566)),$X566*$AA566,0)</f>
        <v>0</v>
      </c>
      <c r="AH566" s="63"/>
      <c r="AK566" s="39">
        <f>SUM(AL566:AR566)</f>
        <v>0</v>
      </c>
      <c r="AL566" s="90"/>
      <c r="AM566" s="38"/>
      <c r="AN566" s="38"/>
      <c r="AO566" s="38"/>
      <c r="AP566" s="38"/>
      <c r="AQ566" s="38"/>
      <c r="AR566" s="91"/>
      <c r="AS566" s="42">
        <f>SUM(AT566:AZ566)</f>
        <v>0</v>
      </c>
      <c r="AT566" s="48"/>
      <c r="AU566" s="48"/>
      <c r="AV566" s="48"/>
      <c r="AW566" s="48"/>
      <c r="AX566" s="48"/>
      <c r="AY566" s="48"/>
      <c r="AZ566" s="48"/>
      <c r="BA566" s="43">
        <f>IF((W566-SUM(AT566:AZ566))&lt;0,0,W566-SUM(AT566:AZ566))</f>
        <v>1</v>
      </c>
      <c r="BB566" s="49"/>
      <c r="BC566" s="47"/>
      <c r="BD566" s="47"/>
    </row>
    <row r="567" spans="1:56" ht="15" customHeight="1">
      <c r="A567" s="49" t="s">
        <v>2573</v>
      </c>
      <c r="B567" s="39" t="s">
        <v>2448</v>
      </c>
      <c r="C567" s="46" t="s">
        <v>83</v>
      </c>
      <c r="D567" s="49" t="s">
        <v>84</v>
      </c>
      <c r="E567" s="49" t="s">
        <v>2574</v>
      </c>
      <c r="F567" s="39">
        <v>2</v>
      </c>
      <c r="G567" s="75" t="s">
        <v>2575</v>
      </c>
      <c r="H567" s="50" t="s">
        <v>408</v>
      </c>
      <c r="I567" s="50" t="s">
        <v>2576</v>
      </c>
      <c r="J567" s="50"/>
      <c r="K567" s="50"/>
      <c r="L567" s="47"/>
      <c r="M567" s="47"/>
      <c r="N567" s="47"/>
      <c r="O567" s="47"/>
      <c r="P567" s="47"/>
      <c r="Q567" s="47"/>
      <c r="R567" s="47"/>
      <c r="S567" s="47"/>
      <c r="T567" s="47"/>
      <c r="U567" s="47"/>
      <c r="V567" s="50" t="s">
        <v>94</v>
      </c>
      <c r="W567" s="74">
        <v>1</v>
      </c>
      <c r="X567" s="39">
        <f>MAX(0,$AK567-$W567-$Z567)</f>
        <v>0</v>
      </c>
      <c r="Y567" s="39"/>
      <c r="Z567" s="39"/>
      <c r="AA567" s="41">
        <v>4.8499999999999996</v>
      </c>
      <c r="AB567" s="41">
        <f>IF(AND($X567&gt;0,ISNUMBER($AA567)),$X567*$AA567,0)</f>
        <v>0</v>
      </c>
      <c r="AK567" s="39">
        <f>SUM(AL567:AR567)</f>
        <v>1</v>
      </c>
      <c r="AL567" s="90"/>
      <c r="AM567" s="38"/>
      <c r="AN567" s="38"/>
      <c r="AO567" s="38"/>
      <c r="AP567" s="38"/>
      <c r="AQ567" s="97">
        <v>1</v>
      </c>
      <c r="AR567" s="91"/>
      <c r="AS567" s="42">
        <f>SUM(AT567:AZ567)</f>
        <v>1</v>
      </c>
      <c r="AT567" s="48"/>
      <c r="AU567" s="48"/>
      <c r="AV567" s="48"/>
      <c r="AW567" s="48"/>
      <c r="AX567" s="48"/>
      <c r="AY567" s="48">
        <v>1</v>
      </c>
      <c r="AZ567" s="48"/>
      <c r="BA567" s="43">
        <f>IF((W567-SUM(AT567:AZ567))&lt;0,0,W567-SUM(AT567:AZ567))</f>
        <v>0</v>
      </c>
      <c r="BB567" s="49"/>
      <c r="BC567" s="47"/>
      <c r="BD567" s="47"/>
    </row>
    <row r="568" spans="1:56" ht="15" customHeight="1">
      <c r="A568" s="49" t="s">
        <v>2577</v>
      </c>
      <c r="B568" s="39" t="s">
        <v>2448</v>
      </c>
      <c r="C568" s="46" t="s">
        <v>65</v>
      </c>
      <c r="D568" s="49" t="s">
        <v>84</v>
      </c>
      <c r="E568" s="49" t="s">
        <v>737</v>
      </c>
      <c r="F568" s="39">
        <v>2</v>
      </c>
      <c r="G568" s="75" t="s">
        <v>2578</v>
      </c>
      <c r="H568" s="50" t="s">
        <v>293</v>
      </c>
      <c r="I568" s="50" t="s">
        <v>2579</v>
      </c>
      <c r="J568" s="50" t="s">
        <v>2580</v>
      </c>
      <c r="K568" s="50"/>
      <c r="L568" s="47"/>
      <c r="M568" s="47"/>
      <c r="N568" s="47"/>
      <c r="O568" s="68"/>
      <c r="P568" s="68"/>
      <c r="Q568" s="47"/>
      <c r="R568" s="47"/>
      <c r="S568" s="47"/>
      <c r="T568" s="68"/>
      <c r="U568" s="68"/>
      <c r="V568" s="50" t="s">
        <v>383</v>
      </c>
      <c r="W568" s="74">
        <v>1</v>
      </c>
      <c r="X568" s="39">
        <f>MAX(0,$AK568-$W568-$Z568)</f>
        <v>0</v>
      </c>
      <c r="Y568" s="39"/>
      <c r="Z568" s="39"/>
      <c r="AA568" s="41">
        <v>0.3</v>
      </c>
      <c r="AB568" s="41">
        <f>IF(AND($X568&gt;0,ISNUMBER($AA568)),$X568*$AA568,0)</f>
        <v>0</v>
      </c>
      <c r="AK568" s="39">
        <f>SUM(AL568:AR568)</f>
        <v>1</v>
      </c>
      <c r="AL568" s="102">
        <v>1</v>
      </c>
      <c r="AM568" s="38"/>
      <c r="AN568" s="38"/>
      <c r="AO568" s="38"/>
      <c r="AP568" s="38"/>
      <c r="AQ568" s="38"/>
      <c r="AR568" s="91"/>
      <c r="AS568" s="42">
        <f>SUM(AT568:AZ568)</f>
        <v>1</v>
      </c>
      <c r="AT568" s="48">
        <v>1</v>
      </c>
      <c r="AU568" s="48"/>
      <c r="AV568" s="48"/>
      <c r="AW568" s="48"/>
      <c r="AX568" s="48"/>
      <c r="AY568" s="48"/>
      <c r="AZ568" s="48"/>
      <c r="BA568" s="43">
        <f>IF((W568-SUM(AT568:AZ568))&lt;0,0,W568-SUM(AT568:AZ568))</f>
        <v>0</v>
      </c>
      <c r="BB568" s="49"/>
      <c r="BC568" s="47"/>
      <c r="BD568" s="47"/>
    </row>
    <row r="569" spans="1:56" ht="15" customHeight="1">
      <c r="A569" s="44" t="s">
        <v>2581</v>
      </c>
      <c r="B569" s="45" t="s">
        <v>2448</v>
      </c>
      <c r="C569" s="46" t="s">
        <v>65</v>
      </c>
      <c r="D569" s="44" t="s">
        <v>76</v>
      </c>
      <c r="E569" s="44"/>
      <c r="F569" s="45">
        <v>2</v>
      </c>
      <c r="G569" s="75" t="s">
        <v>2582</v>
      </c>
      <c r="H569" s="44" t="s">
        <v>293</v>
      </c>
      <c r="I569" s="44" t="s">
        <v>2583</v>
      </c>
      <c r="J569" s="44" t="s">
        <v>2584</v>
      </c>
      <c r="K569" s="44"/>
      <c r="L569" s="108"/>
      <c r="M569" s="46"/>
      <c r="N569" s="46"/>
      <c r="O569" s="68"/>
      <c r="P569" s="110"/>
      <c r="Q569" s="108"/>
      <c r="R569" s="46"/>
      <c r="S569" s="46"/>
      <c r="T569" s="68"/>
      <c r="U569" s="111"/>
      <c r="V569" s="44" t="s">
        <v>697</v>
      </c>
      <c r="W569" s="74">
        <v>0</v>
      </c>
      <c r="X569" s="39">
        <f>MAX(0,$AK569-$W569-$Z569)</f>
        <v>0</v>
      </c>
      <c r="Y569" s="44"/>
      <c r="Z569" s="44"/>
      <c r="AA569" s="44">
        <v>0.5</v>
      </c>
      <c r="AB569" s="44">
        <f>IF(AND($X569&gt;0,ISNUMBER($AA569)),$X569*$AA569,0)</f>
        <v>0</v>
      </c>
      <c r="AK569" s="39">
        <f>SUM(AL569:AR569)</f>
        <v>0</v>
      </c>
      <c r="AL569" s="90"/>
      <c r="AM569" s="38"/>
      <c r="AN569" s="38"/>
      <c r="AO569" s="38"/>
      <c r="AP569" s="38"/>
      <c r="AQ569" s="38"/>
      <c r="AR569" s="91"/>
      <c r="AS569" s="42">
        <f>SUM(AT569:AZ569)</f>
        <v>0</v>
      </c>
      <c r="AT569" s="48"/>
      <c r="AU569" s="48"/>
      <c r="AV569" s="48"/>
      <c r="AW569" s="48"/>
      <c r="AX569" s="48"/>
      <c r="AY569" s="48"/>
      <c r="AZ569" s="48"/>
      <c r="BA569" s="43">
        <f>IF((W569-SUM(AT569:AZ569))&lt;0,0,W569-SUM(AT569:AZ569))</f>
        <v>0</v>
      </c>
      <c r="BB569" s="44"/>
      <c r="BC569" s="47"/>
      <c r="BD569" s="47"/>
    </row>
    <row r="570" spans="1:56" ht="15" customHeight="1">
      <c r="A570" s="49" t="s">
        <v>2585</v>
      </c>
      <c r="B570" s="39" t="s">
        <v>2448</v>
      </c>
      <c r="C570" s="46" t="s">
        <v>83</v>
      </c>
      <c r="D570" s="49" t="s">
        <v>68</v>
      </c>
      <c r="E570" s="49"/>
      <c r="F570" s="39">
        <v>0</v>
      </c>
      <c r="G570" s="75" t="s">
        <v>2586</v>
      </c>
      <c r="H570" s="50" t="s">
        <v>87</v>
      </c>
      <c r="I570" s="50" t="s">
        <v>2587</v>
      </c>
      <c r="J570" s="50"/>
      <c r="K570" s="50"/>
      <c r="L570" s="47"/>
      <c r="M570" s="47"/>
      <c r="N570" s="47"/>
      <c r="O570" s="47"/>
      <c r="P570" s="47"/>
      <c r="Q570" s="47"/>
      <c r="R570" s="47"/>
      <c r="S570" s="47"/>
      <c r="T570" s="47"/>
      <c r="U570" s="47"/>
      <c r="V570" s="50" t="s">
        <v>276</v>
      </c>
      <c r="W570" s="74">
        <v>0</v>
      </c>
      <c r="X570" s="39">
        <f>MAX(0,$AK570-$W570-$Z570)</f>
        <v>0</v>
      </c>
      <c r="Y570" s="39"/>
      <c r="Z570" s="39"/>
      <c r="AA570" s="41">
        <v>1.33</v>
      </c>
      <c r="AB570" s="41">
        <f>IF(AND($X570&gt;0,ISNUMBER($AA570)),$X570*$AA570,0)</f>
        <v>0</v>
      </c>
      <c r="AC570" s="59"/>
      <c r="AD570" s="59"/>
      <c r="AE570" s="59"/>
      <c r="AF570" s="59"/>
      <c r="AG570" s="59"/>
      <c r="AH570" s="59"/>
      <c r="AI570" s="59"/>
      <c r="AJ570" s="59"/>
      <c r="AK570" s="39">
        <f>SUM(AL570:AR570)</f>
        <v>0</v>
      </c>
      <c r="AL570" s="114"/>
      <c r="AM570" s="43"/>
      <c r="AN570" s="43"/>
      <c r="AO570" s="43"/>
      <c r="AP570" s="43"/>
      <c r="AQ570" s="43"/>
      <c r="AR570" s="116"/>
      <c r="AS570" s="42">
        <f>SUM(AT570:AZ570)</f>
        <v>0</v>
      </c>
      <c r="AT570" s="48"/>
      <c r="AU570" s="48"/>
      <c r="AV570" s="48"/>
      <c r="AW570" s="48"/>
      <c r="AX570" s="48"/>
      <c r="AY570" s="48"/>
      <c r="AZ570" s="48"/>
      <c r="BA570" s="43">
        <f>IF((W570-SUM(AT570:AZ570))&lt;0,0,W570-SUM(AT570:AZ570))</f>
        <v>0</v>
      </c>
      <c r="BB570" s="49"/>
      <c r="BC570" s="47"/>
      <c r="BD570" s="53"/>
    </row>
    <row r="571" spans="1:56" ht="15" customHeight="1">
      <c r="A571" s="44" t="s">
        <v>2588</v>
      </c>
      <c r="B571" s="45" t="s">
        <v>2448</v>
      </c>
      <c r="C571" s="46" t="s">
        <v>65</v>
      </c>
      <c r="D571" s="44" t="s">
        <v>178</v>
      </c>
      <c r="E571" s="44" t="s">
        <v>2589</v>
      </c>
      <c r="F571" s="45">
        <v>3</v>
      </c>
      <c r="G571" s="75" t="s">
        <v>2590</v>
      </c>
      <c r="H571" s="44" t="s">
        <v>172</v>
      </c>
      <c r="I571" s="44" t="s">
        <v>2591</v>
      </c>
      <c r="J571" s="44" t="s">
        <v>2592</v>
      </c>
      <c r="K571" s="44"/>
      <c r="L571" s="47"/>
      <c r="M571" s="47"/>
      <c r="N571" s="47"/>
      <c r="O571" s="68"/>
      <c r="P571" s="68"/>
      <c r="Q571" s="47"/>
      <c r="R571" s="47"/>
      <c r="S571" s="47"/>
      <c r="T571" s="68"/>
      <c r="U571" s="68"/>
      <c r="V571" s="44" t="s">
        <v>167</v>
      </c>
      <c r="W571" s="74">
        <v>1</v>
      </c>
      <c r="X571" s="39">
        <f>MAX(0,$AK571-$W571-$Z571)</f>
        <v>0</v>
      </c>
      <c r="Y571" s="44"/>
      <c r="Z571" s="44"/>
      <c r="AA571" s="44">
        <v>0.17</v>
      </c>
      <c r="AB571" s="44">
        <f>IF(AND($X571&gt;0,ISNUMBER($AA571)),$X571*$AA571,0)</f>
        <v>0</v>
      </c>
      <c r="AK571" s="39">
        <f>SUM(AL571:AR571)</f>
        <v>0</v>
      </c>
      <c r="AL571" s="90"/>
      <c r="AM571" s="38"/>
      <c r="AN571" s="38"/>
      <c r="AO571" s="38"/>
      <c r="AP571" s="38"/>
      <c r="AQ571" s="38"/>
      <c r="AR571" s="91"/>
      <c r="AS571" s="42">
        <f>SUM(AT571:AZ571)</f>
        <v>0</v>
      </c>
      <c r="AT571" s="48"/>
      <c r="AU571" s="48"/>
      <c r="AV571" s="48"/>
      <c r="AW571" s="48"/>
      <c r="AX571" s="48"/>
      <c r="AY571" s="48"/>
      <c r="AZ571" s="48"/>
      <c r="BA571" s="43">
        <f>IF((W571-SUM(AT571:AZ571))&lt;0,0,W571-SUM(AT571:AZ571))</f>
        <v>1</v>
      </c>
      <c r="BB571" s="44"/>
      <c r="BC571" s="47"/>
      <c r="BD571" s="47"/>
    </row>
    <row r="572" spans="1:56" ht="15" customHeight="1">
      <c r="A572" s="49" t="s">
        <v>2593</v>
      </c>
      <c r="B572" s="39" t="s">
        <v>2448</v>
      </c>
      <c r="C572" s="46" t="s">
        <v>65</v>
      </c>
      <c r="D572" s="49" t="s">
        <v>134</v>
      </c>
      <c r="E572" s="49"/>
      <c r="F572" s="39">
        <v>2</v>
      </c>
      <c r="G572" s="75" t="s">
        <v>2594</v>
      </c>
      <c r="H572" s="50" t="s">
        <v>153</v>
      </c>
      <c r="I572" s="50" t="s">
        <v>2595</v>
      </c>
      <c r="J572" s="50"/>
      <c r="K572" s="50"/>
      <c r="L572" s="47"/>
      <c r="M572" s="47"/>
      <c r="N572" s="47"/>
      <c r="O572" s="47"/>
      <c r="P572" s="47"/>
      <c r="Q572" s="47"/>
      <c r="R572" s="47"/>
      <c r="S572" s="47"/>
      <c r="T572" s="47"/>
      <c r="U572" s="47"/>
      <c r="V572" s="50" t="s">
        <v>1304</v>
      </c>
      <c r="W572" s="74">
        <v>1</v>
      </c>
      <c r="X572" s="39">
        <f>MAX(0,$AK572-$W572-$Z572)</f>
        <v>0</v>
      </c>
      <c r="Y572" s="39"/>
      <c r="Z572" s="39"/>
      <c r="AA572" s="41">
        <v>0.1</v>
      </c>
      <c r="AB572" s="41">
        <f>IF(AND($X572&gt;0,ISNUMBER($AA572)),$X572*$AA572,0)</f>
        <v>0</v>
      </c>
      <c r="AH572" s="63"/>
      <c r="AK572" s="39">
        <f>SUM(AL572:AR572)</f>
        <v>1</v>
      </c>
      <c r="AL572" s="90"/>
      <c r="AM572" s="38"/>
      <c r="AN572" s="38"/>
      <c r="AO572" s="38"/>
      <c r="AP572" s="38"/>
      <c r="AQ572" s="97">
        <v>1</v>
      </c>
      <c r="AR572" s="91"/>
      <c r="AS572" s="42">
        <f>SUM(AT572:AZ572)</f>
        <v>1</v>
      </c>
      <c r="AT572" s="48"/>
      <c r="AU572" s="48"/>
      <c r="AV572" s="48"/>
      <c r="AW572" s="48"/>
      <c r="AX572" s="48"/>
      <c r="AY572" s="48">
        <v>1</v>
      </c>
      <c r="AZ572" s="48"/>
      <c r="BA572" s="43">
        <f>IF((W572-SUM(AT572:AZ572))&lt;0,0,W572-SUM(AT572:AZ572))</f>
        <v>0</v>
      </c>
      <c r="BB572" s="49"/>
      <c r="BC572" s="47"/>
      <c r="BD572" s="47"/>
    </row>
    <row r="573" spans="1:56" ht="15" customHeight="1">
      <c r="A573" s="49" t="s">
        <v>2596</v>
      </c>
      <c r="B573" s="39" t="s">
        <v>2448</v>
      </c>
      <c r="C573" s="46" t="s">
        <v>65</v>
      </c>
      <c r="D573" s="49" t="s">
        <v>84</v>
      </c>
      <c r="E573" s="49" t="s">
        <v>2589</v>
      </c>
      <c r="F573" s="39">
        <v>1</v>
      </c>
      <c r="G573" s="75" t="s">
        <v>2597</v>
      </c>
      <c r="H573" s="50" t="s">
        <v>1647</v>
      </c>
      <c r="I573" s="50" t="s">
        <v>2598</v>
      </c>
      <c r="J573" s="50" t="s">
        <v>2599</v>
      </c>
      <c r="K573" s="50"/>
      <c r="L573" s="47"/>
      <c r="M573" s="47"/>
      <c r="N573" s="47"/>
      <c r="O573" s="68"/>
      <c r="P573" s="68"/>
      <c r="Q573" s="47"/>
      <c r="R573" s="47"/>
      <c r="S573" s="47"/>
      <c r="T573" s="68"/>
      <c r="U573" s="68"/>
      <c r="V573" s="50" t="s">
        <v>167</v>
      </c>
      <c r="W573" s="74">
        <v>1</v>
      </c>
      <c r="X573" s="39">
        <f>MAX(0,$AK573-$W573-$Z573)</f>
        <v>0</v>
      </c>
      <c r="Y573" s="39"/>
      <c r="Z573" s="39"/>
      <c r="AA573" s="41">
        <v>0.28000000000000003</v>
      </c>
      <c r="AB573" s="41">
        <f>IF(AND($X573&gt;0,ISNUMBER($AA573)),$X573*$AA573,0)</f>
        <v>0</v>
      </c>
      <c r="AK573" s="39">
        <f>SUM(AL573:AR573)</f>
        <v>0</v>
      </c>
      <c r="AL573" s="90"/>
      <c r="AM573" s="38"/>
      <c r="AN573" s="38"/>
      <c r="AO573" s="38"/>
      <c r="AP573" s="38"/>
      <c r="AQ573" s="38"/>
      <c r="AR573" s="91"/>
      <c r="AS573" s="42">
        <f>SUM(AT573:AZ573)</f>
        <v>0</v>
      </c>
      <c r="AT573" s="48"/>
      <c r="AU573" s="48"/>
      <c r="AV573" s="48"/>
      <c r="AW573" s="48"/>
      <c r="AX573" s="48"/>
      <c r="AY573" s="48"/>
      <c r="AZ573" s="48"/>
      <c r="BA573" s="43">
        <f>IF((W573-SUM(AT573:AZ573))&lt;0,0,W573-SUM(AT573:AZ573))</f>
        <v>1</v>
      </c>
      <c r="BB573" s="49"/>
      <c r="BC573" s="47"/>
      <c r="BD573" s="47"/>
    </row>
    <row r="574" spans="1:56" ht="15" customHeight="1">
      <c r="A574" s="49" t="s">
        <v>2600</v>
      </c>
      <c r="B574" s="39" t="s">
        <v>2448</v>
      </c>
      <c r="C574" s="46" t="s">
        <v>65</v>
      </c>
      <c r="D574" s="49" t="s">
        <v>134</v>
      </c>
      <c r="E574" s="49"/>
      <c r="F574" s="39">
        <v>4</v>
      </c>
      <c r="G574" s="75" t="s">
        <v>2601</v>
      </c>
      <c r="H574" s="50" t="s">
        <v>153</v>
      </c>
      <c r="I574" s="50" t="s">
        <v>2595</v>
      </c>
      <c r="J574" s="50" t="s">
        <v>2602</v>
      </c>
      <c r="K574" s="50"/>
      <c r="L574" s="47"/>
      <c r="M574" s="47"/>
      <c r="N574" s="47"/>
      <c r="O574" s="47"/>
      <c r="P574" s="47"/>
      <c r="Q574" s="47"/>
      <c r="R574" s="47"/>
      <c r="S574" s="47"/>
      <c r="T574" s="47"/>
      <c r="U574" s="47"/>
      <c r="V574" s="50" t="s">
        <v>1069</v>
      </c>
      <c r="W574" s="74">
        <v>1</v>
      </c>
      <c r="X574" s="39">
        <f>MAX(0,$AK574-$W574-$Z574)</f>
        <v>0</v>
      </c>
      <c r="Y574" s="39"/>
      <c r="Z574" s="39"/>
      <c r="AA574" s="41">
        <v>0.15</v>
      </c>
      <c r="AB574" s="41">
        <f>IF(AND($X574&gt;0,ISNUMBER($AA574)),$X574*$AA574,0)</f>
        <v>0</v>
      </c>
      <c r="AH574" s="63"/>
      <c r="AK574" s="39">
        <f>SUM(AL574:AR574)</f>
        <v>1</v>
      </c>
      <c r="AL574" s="90"/>
      <c r="AM574" s="38"/>
      <c r="AN574" s="38"/>
      <c r="AO574" s="38"/>
      <c r="AP574" s="38"/>
      <c r="AQ574" s="97">
        <v>1</v>
      </c>
      <c r="AR574" s="91"/>
      <c r="AS574" s="42">
        <f>SUM(AT574:AZ574)</f>
        <v>1</v>
      </c>
      <c r="AT574" s="48"/>
      <c r="AU574" s="48"/>
      <c r="AV574" s="48"/>
      <c r="AW574" s="48"/>
      <c r="AX574" s="48"/>
      <c r="AY574" s="48">
        <v>1</v>
      </c>
      <c r="AZ574" s="48"/>
      <c r="BA574" s="43">
        <f>IF((W574-SUM(AT574:AZ574))&lt;0,0,W574-SUM(AT574:AZ574))</f>
        <v>0</v>
      </c>
      <c r="BB574" s="49"/>
      <c r="BC574" s="47"/>
      <c r="BD574" s="47"/>
    </row>
    <row r="575" spans="1:56" ht="15" customHeight="1">
      <c r="A575" s="49" t="s">
        <v>2603</v>
      </c>
      <c r="B575" s="39" t="s">
        <v>2448</v>
      </c>
      <c r="C575" s="46" t="s">
        <v>65</v>
      </c>
      <c r="D575" s="49" t="s">
        <v>84</v>
      </c>
      <c r="E575" s="49" t="s">
        <v>2125</v>
      </c>
      <c r="F575" s="39">
        <v>3</v>
      </c>
      <c r="G575" s="75" t="s">
        <v>2604</v>
      </c>
      <c r="H575" s="50" t="s">
        <v>2605</v>
      </c>
      <c r="I575" s="50" t="s">
        <v>2606</v>
      </c>
      <c r="J575" s="50"/>
      <c r="K575" s="50"/>
      <c r="L575" s="47"/>
      <c r="M575" s="47"/>
      <c r="N575" s="47"/>
      <c r="O575" s="68"/>
      <c r="P575" s="68"/>
      <c r="Q575" s="47"/>
      <c r="R575" s="47"/>
      <c r="S575" s="47"/>
      <c r="T575" s="68"/>
      <c r="U575" s="68"/>
      <c r="V575" s="50" t="s">
        <v>119</v>
      </c>
      <c r="W575" s="74">
        <v>2</v>
      </c>
      <c r="X575" s="39">
        <f>MAX(0,$AK575-$W575-$Z575)</f>
        <v>0</v>
      </c>
      <c r="Y575" s="39"/>
      <c r="Z575" s="39"/>
      <c r="AA575" s="41">
        <v>0.18</v>
      </c>
      <c r="AB575" s="41">
        <f>IF(AND($X575&gt;0,ISNUMBER($AA575)),$X575*$AA575,0)</f>
        <v>0</v>
      </c>
      <c r="AK575" s="39">
        <f>SUM(AL575:AR575)</f>
        <v>0</v>
      </c>
      <c r="AL575" s="90"/>
      <c r="AM575" s="38"/>
      <c r="AN575" s="38"/>
      <c r="AO575" s="38"/>
      <c r="AP575" s="38"/>
      <c r="AQ575" s="38"/>
      <c r="AR575" s="91"/>
      <c r="AS575" s="42">
        <f>SUM(AT575:AZ575)</f>
        <v>0</v>
      </c>
      <c r="AT575" s="48"/>
      <c r="AU575" s="48"/>
      <c r="AV575" s="48"/>
      <c r="AW575" s="48"/>
      <c r="AX575" s="48"/>
      <c r="AY575" s="48"/>
      <c r="AZ575" s="48"/>
      <c r="BA575" s="43">
        <f>IF((W575-SUM(AT575:AZ575))&lt;0,0,W575-SUM(AT575:AZ575))</f>
        <v>2</v>
      </c>
      <c r="BB575" s="49"/>
      <c r="BC575" s="47"/>
      <c r="BD575" s="47"/>
    </row>
    <row r="576" spans="1:56" ht="15" customHeight="1">
      <c r="A576" s="44" t="s">
        <v>2607</v>
      </c>
      <c r="B576" s="45" t="s">
        <v>2448</v>
      </c>
      <c r="C576" s="46" t="s">
        <v>65</v>
      </c>
      <c r="D576" s="44" t="s">
        <v>84</v>
      </c>
      <c r="E576" s="44" t="s">
        <v>2125</v>
      </c>
      <c r="F576" s="45">
        <v>2</v>
      </c>
      <c r="G576" s="75" t="s">
        <v>2608</v>
      </c>
      <c r="H576" s="44" t="s">
        <v>78</v>
      </c>
      <c r="I576" s="44" t="s">
        <v>2609</v>
      </c>
      <c r="J576" s="44"/>
      <c r="K576" s="44"/>
      <c r="L576" s="47"/>
      <c r="M576" s="47"/>
      <c r="N576" s="47"/>
      <c r="O576" s="68"/>
      <c r="P576" s="68"/>
      <c r="Q576" s="47"/>
      <c r="R576" s="47"/>
      <c r="S576" s="47"/>
      <c r="T576" s="68"/>
      <c r="U576" s="68"/>
      <c r="V576" s="44" t="s">
        <v>119</v>
      </c>
      <c r="W576" s="74">
        <v>1</v>
      </c>
      <c r="X576" s="39">
        <f>MAX(0,$AK576-$W576-$Z576)</f>
        <v>0</v>
      </c>
      <c r="Y576" s="44"/>
      <c r="Z576" s="44"/>
      <c r="AA576" s="44">
        <v>0.17</v>
      </c>
      <c r="AB576" s="44">
        <f>IF(AND($X576&gt;0,ISNUMBER($AA576)),$X576*$AA576,0)</f>
        <v>0</v>
      </c>
      <c r="AK576" s="39">
        <f>SUM(AL576:AR576)</f>
        <v>0</v>
      </c>
      <c r="AL576" s="90"/>
      <c r="AM576" s="38"/>
      <c r="AN576" s="38"/>
      <c r="AO576" s="38"/>
      <c r="AP576" s="38"/>
      <c r="AQ576" s="38"/>
      <c r="AR576" s="91"/>
      <c r="AS576" s="42">
        <f>SUM(AT576:AZ576)</f>
        <v>0</v>
      </c>
      <c r="AT576" s="48"/>
      <c r="AU576" s="48"/>
      <c r="AV576" s="48"/>
      <c r="AW576" s="48"/>
      <c r="AX576" s="48"/>
      <c r="AY576" s="48"/>
      <c r="AZ576" s="48"/>
      <c r="BA576" s="43">
        <f>IF((W576-SUM(AT576:AZ576))&lt;0,0,W576-SUM(AT576:AZ576))</f>
        <v>1</v>
      </c>
      <c r="BB576" s="44"/>
      <c r="BC576" s="47"/>
      <c r="BD576" s="126"/>
    </row>
    <row r="577" spans="1:56" ht="15" customHeight="1">
      <c r="A577" s="35" t="s">
        <v>2610</v>
      </c>
      <c r="B577" s="36" t="s">
        <v>2448</v>
      </c>
      <c r="C577" s="38" t="s">
        <v>65</v>
      </c>
      <c r="D577" s="35" t="s">
        <v>84</v>
      </c>
      <c r="E577" s="35" t="s">
        <v>2611</v>
      </c>
      <c r="F577" s="36">
        <v>2</v>
      </c>
      <c r="G577" s="75" t="s">
        <v>2612</v>
      </c>
      <c r="H577" s="35" t="s">
        <v>238</v>
      </c>
      <c r="I577" s="35" t="s">
        <v>2613</v>
      </c>
      <c r="J577" s="35" t="s">
        <v>2614</v>
      </c>
      <c r="K577" s="35"/>
      <c r="L577" s="37"/>
      <c r="M577" s="37"/>
      <c r="N577" s="37"/>
      <c r="O577" s="68"/>
      <c r="P577" s="68"/>
      <c r="Q577" s="37"/>
      <c r="R577" s="37"/>
      <c r="S577" s="37"/>
      <c r="T577" s="68"/>
      <c r="U577" s="68"/>
      <c r="V577" s="35" t="s">
        <v>223</v>
      </c>
      <c r="W577" s="74">
        <v>1</v>
      </c>
      <c r="X577" s="39">
        <f>MAX(0,$AK577-$W577-$Z577)</f>
        <v>0</v>
      </c>
      <c r="Y577" s="35"/>
      <c r="Z577" s="35"/>
      <c r="AA577" s="40">
        <v>0.05</v>
      </c>
      <c r="AB577" s="41">
        <f>IF(AND($X577&gt;0,ISNUMBER($AA577)),$X577*$AA577,0)</f>
        <v>0</v>
      </c>
      <c r="AK577" s="39">
        <f>SUM(AL577:AR577)</f>
        <v>0</v>
      </c>
      <c r="AL577" s="90"/>
      <c r="AM577" s="38"/>
      <c r="AN577" s="38"/>
      <c r="AO577" s="38"/>
      <c r="AP577" s="38"/>
      <c r="AQ577" s="38"/>
      <c r="AR577" s="91"/>
      <c r="AS577" s="42">
        <f>SUM(AT577:AZ577)</f>
        <v>0</v>
      </c>
      <c r="AT577" s="48"/>
      <c r="AU577" s="48"/>
      <c r="AV577" s="48"/>
      <c r="AW577" s="48"/>
      <c r="AX577" s="48"/>
      <c r="AY577" s="48"/>
      <c r="AZ577" s="48"/>
      <c r="BA577" s="43">
        <f>IF((W577-SUM(AT577:AZ577))&lt;0,0,W577-SUM(AT577:AZ577))</f>
        <v>1</v>
      </c>
      <c r="BB577" s="35"/>
      <c r="BC577" s="37"/>
      <c r="BD577" s="37"/>
    </row>
    <row r="578" spans="1:56" ht="15" customHeight="1">
      <c r="A578" s="49" t="s">
        <v>2615</v>
      </c>
      <c r="B578" s="39" t="s">
        <v>2448</v>
      </c>
      <c r="C578" s="46" t="s">
        <v>83</v>
      </c>
      <c r="D578" s="49" t="s">
        <v>256</v>
      </c>
      <c r="E578" s="49" t="s">
        <v>2534</v>
      </c>
      <c r="F578" s="39">
        <v>3</v>
      </c>
      <c r="G578" s="75" t="s">
        <v>2616</v>
      </c>
      <c r="H578" s="50" t="s">
        <v>87</v>
      </c>
      <c r="I578" s="50" t="s">
        <v>2617</v>
      </c>
      <c r="J578" s="50"/>
      <c r="K578" s="50"/>
      <c r="L578" s="46"/>
      <c r="M578" s="46"/>
      <c r="N578" s="46"/>
      <c r="O578" s="46"/>
      <c r="P578" s="46"/>
      <c r="Q578" s="46"/>
      <c r="R578" s="46"/>
      <c r="S578" s="46"/>
      <c r="T578" s="46"/>
      <c r="U578" s="46"/>
      <c r="V578" s="50" t="s">
        <v>956</v>
      </c>
      <c r="W578" s="74">
        <v>1</v>
      </c>
      <c r="X578" s="39">
        <f>MAX(0,$AK578-$W578-$Z578)</f>
        <v>0</v>
      </c>
      <c r="Y578" s="39"/>
      <c r="Z578" s="39"/>
      <c r="AA578" s="41">
        <v>6.72</v>
      </c>
      <c r="AB578" s="41">
        <f>IF(AND($X578&gt;0,ISNUMBER($AA578)),$X578*$AA578,0)</f>
        <v>0</v>
      </c>
      <c r="AK578" s="39">
        <f>SUM(AL578:AR578)</f>
        <v>1</v>
      </c>
      <c r="AL578" s="90"/>
      <c r="AM578" s="38"/>
      <c r="AN578" s="38"/>
      <c r="AO578" s="38"/>
      <c r="AP578" s="38"/>
      <c r="AQ578" s="97">
        <v>1</v>
      </c>
      <c r="AR578" s="91"/>
      <c r="AS578" s="42">
        <f>SUM(AT578:AZ578)</f>
        <v>0</v>
      </c>
      <c r="AT578" s="48"/>
      <c r="AU578" s="48"/>
      <c r="AV578" s="48"/>
      <c r="AW578" s="48"/>
      <c r="AX578" s="48"/>
      <c r="AY578" s="48"/>
      <c r="AZ578" s="48"/>
      <c r="BA578" s="43">
        <f>IF((W578-SUM(AT578:AZ578))&lt;0,0,W578-SUM(AT578:AZ578))</f>
        <v>1</v>
      </c>
      <c r="BB578" s="49"/>
      <c r="BC578" s="47"/>
      <c r="BD578" s="47"/>
    </row>
    <row r="579" spans="1:56" ht="15" customHeight="1">
      <c r="A579" s="49" t="s">
        <v>2618</v>
      </c>
      <c r="B579" s="39" t="s">
        <v>2448</v>
      </c>
      <c r="C579" s="46" t="s">
        <v>65</v>
      </c>
      <c r="D579" s="49" t="s">
        <v>134</v>
      </c>
      <c r="E579" s="49"/>
      <c r="F579" s="39">
        <v>1</v>
      </c>
      <c r="G579" s="75" t="s">
        <v>2619</v>
      </c>
      <c r="H579" s="50" t="s">
        <v>108</v>
      </c>
      <c r="I579" s="50" t="s">
        <v>2620</v>
      </c>
      <c r="J579" s="50" t="s">
        <v>2621</v>
      </c>
      <c r="K579" s="50"/>
      <c r="L579" s="46"/>
      <c r="M579" s="46"/>
      <c r="N579" s="46"/>
      <c r="O579" s="46"/>
      <c r="P579" s="46"/>
      <c r="Q579" s="46"/>
      <c r="R579" s="46"/>
      <c r="S579" s="46"/>
      <c r="T579" s="46"/>
      <c r="U579" s="46"/>
      <c r="V579" s="50" t="s">
        <v>363</v>
      </c>
      <c r="W579" s="74">
        <v>2</v>
      </c>
      <c r="X579" s="39">
        <f>MAX(0,$AK579-$W579-$Z579)</f>
        <v>0</v>
      </c>
      <c r="Y579" s="39"/>
      <c r="Z579" s="39"/>
      <c r="AA579" s="41">
        <v>0.39</v>
      </c>
      <c r="AB579" s="41">
        <f>IF(AND($X579&gt;0,ISNUMBER($AA579)),$X579*$AA579,0)</f>
        <v>0</v>
      </c>
      <c r="AC579" s="63"/>
      <c r="AK579" s="39">
        <f>SUM(AL579:AR579)</f>
        <v>1</v>
      </c>
      <c r="AL579" s="102">
        <v>1</v>
      </c>
      <c r="AM579" s="38"/>
      <c r="AN579" s="38"/>
      <c r="AO579" s="38"/>
      <c r="AP579" s="38"/>
      <c r="AQ579" s="38"/>
      <c r="AR579" s="91"/>
      <c r="AS579" s="42">
        <f>SUM(AT579:AZ579)</f>
        <v>1</v>
      </c>
      <c r="AT579" s="48">
        <v>1</v>
      </c>
      <c r="AU579" s="48"/>
      <c r="AV579" s="48"/>
      <c r="AW579" s="48"/>
      <c r="AX579" s="48"/>
      <c r="AY579" s="48"/>
      <c r="AZ579" s="48"/>
      <c r="BA579" s="43">
        <f>IF((W579-SUM(AT579:AZ579))&lt;0,0,W579-SUM(AT579:AZ579))</f>
        <v>1</v>
      </c>
      <c r="BB579" s="49"/>
      <c r="BC579" s="47"/>
      <c r="BD579" s="47"/>
    </row>
    <row r="580" spans="1:56" ht="15" customHeight="1">
      <c r="A580" s="49" t="s">
        <v>2622</v>
      </c>
      <c r="B580" s="39" t="s">
        <v>2448</v>
      </c>
      <c r="C580" s="46" t="s">
        <v>65</v>
      </c>
      <c r="D580" s="49" t="s">
        <v>84</v>
      </c>
      <c r="E580" s="49" t="s">
        <v>2623</v>
      </c>
      <c r="F580" s="39">
        <v>1</v>
      </c>
      <c r="G580" s="75" t="s">
        <v>2624</v>
      </c>
      <c r="H580" s="50" t="s">
        <v>2605</v>
      </c>
      <c r="I580" s="50" t="s">
        <v>2625</v>
      </c>
      <c r="J580" s="50" t="s">
        <v>2626</v>
      </c>
      <c r="K580" s="50"/>
      <c r="L580" s="47"/>
      <c r="M580" s="47"/>
      <c r="N580" s="47"/>
      <c r="O580" s="47"/>
      <c r="P580" s="47"/>
      <c r="Q580" s="47"/>
      <c r="R580" s="47"/>
      <c r="S580" s="47"/>
      <c r="T580" s="47"/>
      <c r="U580" s="47"/>
      <c r="V580" s="50" t="s">
        <v>89</v>
      </c>
      <c r="W580" s="74">
        <v>1</v>
      </c>
      <c r="X580" s="39">
        <f>MAX(0,$AK580-$W580-$Z580)</f>
        <v>0</v>
      </c>
      <c r="Y580" s="39"/>
      <c r="Z580" s="39"/>
      <c r="AA580" s="41">
        <v>0.25</v>
      </c>
      <c r="AB580" s="41">
        <f>IF(AND($X580&gt;0,ISNUMBER($AA580)),$X580*$AA580,0)</f>
        <v>0</v>
      </c>
      <c r="AH580" s="63"/>
      <c r="AK580" s="39">
        <f>SUM(AL580:AR580)</f>
        <v>1</v>
      </c>
      <c r="AL580" s="90"/>
      <c r="AM580" s="38"/>
      <c r="AN580" s="38"/>
      <c r="AO580" s="38"/>
      <c r="AP580" s="38"/>
      <c r="AQ580" s="97">
        <v>1</v>
      </c>
      <c r="AR580" s="91"/>
      <c r="AS580" s="42">
        <f>SUM(AT580:AZ580)</f>
        <v>1</v>
      </c>
      <c r="AT580" s="48"/>
      <c r="AU580" s="48"/>
      <c r="AV580" s="48"/>
      <c r="AW580" s="48"/>
      <c r="AX580" s="48"/>
      <c r="AY580" s="48">
        <v>1</v>
      </c>
      <c r="AZ580" s="48"/>
      <c r="BA580" s="43">
        <f>IF((W580-SUM(AT580:AZ580))&lt;0,0,W580-SUM(AT580:AZ580))</f>
        <v>0</v>
      </c>
      <c r="BB580" s="49"/>
      <c r="BC580" s="47"/>
      <c r="BD580" s="47"/>
    </row>
    <row r="581" spans="1:56" ht="15" customHeight="1">
      <c r="A581" s="49" t="s">
        <v>2627</v>
      </c>
      <c r="B581" s="39" t="s">
        <v>2448</v>
      </c>
      <c r="C581" s="46" t="s">
        <v>65</v>
      </c>
      <c r="D581" s="49" t="s">
        <v>134</v>
      </c>
      <c r="E581" s="49"/>
      <c r="F581" s="39">
        <v>3</v>
      </c>
      <c r="G581" s="75" t="s">
        <v>2628</v>
      </c>
      <c r="H581" s="50" t="s">
        <v>2605</v>
      </c>
      <c r="I581" s="50" t="s">
        <v>2629</v>
      </c>
      <c r="J581" s="50" t="s">
        <v>2630</v>
      </c>
      <c r="K581" s="50"/>
      <c r="L581" s="47"/>
      <c r="M581" s="47"/>
      <c r="N581" s="47"/>
      <c r="O581" s="68"/>
      <c r="P581" s="68"/>
      <c r="Q581" s="47"/>
      <c r="R581" s="47"/>
      <c r="S581" s="47"/>
      <c r="T581" s="68"/>
      <c r="U581" s="68"/>
      <c r="V581" s="50" t="s">
        <v>1916</v>
      </c>
      <c r="W581" s="74">
        <v>1</v>
      </c>
      <c r="X581" s="39">
        <f>MAX(0,$AK581-$W581-$Z581)</f>
        <v>0</v>
      </c>
      <c r="Y581" s="39"/>
      <c r="Z581" s="39"/>
      <c r="AA581" s="41">
        <v>0.21</v>
      </c>
      <c r="AB581" s="41">
        <f>IF(AND($X581&gt;0,ISNUMBER($AA581)),$X581*$AA581,0)</f>
        <v>0</v>
      </c>
      <c r="AK581" s="39">
        <f>SUM(AL581:AR581)</f>
        <v>0</v>
      </c>
      <c r="AL581" s="90"/>
      <c r="AM581" s="38"/>
      <c r="AN581" s="38"/>
      <c r="AO581" s="38"/>
      <c r="AP581" s="38"/>
      <c r="AQ581" s="38"/>
      <c r="AR581" s="91"/>
      <c r="AS581" s="42">
        <f>SUM(AT581:AZ581)</f>
        <v>0</v>
      </c>
      <c r="AT581" s="48"/>
      <c r="AU581" s="48"/>
      <c r="AV581" s="48"/>
      <c r="AW581" s="48"/>
      <c r="AX581" s="48"/>
      <c r="AY581" s="48"/>
      <c r="AZ581" s="48"/>
      <c r="BA581" s="43">
        <f>IF((W581-SUM(AT581:AZ581))&lt;0,0,W581-SUM(AT581:AZ581))</f>
        <v>1</v>
      </c>
      <c r="BB581" s="49"/>
      <c r="BC581" s="47"/>
      <c r="BD581" s="47"/>
    </row>
    <row r="582" spans="1:56" ht="15" customHeight="1">
      <c r="A582" s="49" t="s">
        <v>2631</v>
      </c>
      <c r="B582" s="39" t="s">
        <v>2448</v>
      </c>
      <c r="C582" s="46" t="s">
        <v>83</v>
      </c>
      <c r="D582" s="49" t="s">
        <v>256</v>
      </c>
      <c r="E582" s="49"/>
      <c r="F582" s="39">
        <v>3</v>
      </c>
      <c r="G582" s="75" t="s">
        <v>2632</v>
      </c>
      <c r="H582" s="50" t="s">
        <v>408</v>
      </c>
      <c r="I582" s="50" t="s">
        <v>2632</v>
      </c>
      <c r="J582" s="50"/>
      <c r="K582" s="50"/>
      <c r="L582" s="46"/>
      <c r="M582" s="46"/>
      <c r="N582" s="46"/>
      <c r="O582" s="46"/>
      <c r="P582" s="46"/>
      <c r="Q582" s="46"/>
      <c r="R582" s="46"/>
      <c r="S582" s="46"/>
      <c r="T582" s="46"/>
      <c r="U582" s="46"/>
      <c r="V582" s="50" t="s">
        <v>325</v>
      </c>
      <c r="W582" s="74">
        <v>0</v>
      </c>
      <c r="X582" s="39">
        <f>MAX(0,$AK582-$W582-$Z582)</f>
        <v>0</v>
      </c>
      <c r="Y582" s="39"/>
      <c r="Z582" s="39"/>
      <c r="AA582" s="41">
        <v>2.2200000000000002</v>
      </c>
      <c r="AB582" s="41">
        <f>IF(AND($X582&gt;0,ISNUMBER($AA582)),$X582*$AA582,0)</f>
        <v>0</v>
      </c>
      <c r="AC582" s="59"/>
      <c r="AD582" s="59"/>
      <c r="AE582" s="59"/>
      <c r="AF582" s="59"/>
      <c r="AG582" s="59"/>
      <c r="AH582" s="59"/>
      <c r="AI582" s="59"/>
      <c r="AJ582" s="59"/>
      <c r="AK582" s="39">
        <f>SUM(AL582:AR582)</f>
        <v>0</v>
      </c>
      <c r="AL582" s="114"/>
      <c r="AM582" s="43"/>
      <c r="AN582" s="43"/>
      <c r="AO582" s="43"/>
      <c r="AP582" s="43"/>
      <c r="AQ582" s="43"/>
      <c r="AR582" s="116"/>
      <c r="AS582" s="42">
        <f>SUM(AT582:AZ582)</f>
        <v>0</v>
      </c>
      <c r="AT582" s="48"/>
      <c r="AU582" s="48"/>
      <c r="AV582" s="48"/>
      <c r="AW582" s="48"/>
      <c r="AX582" s="48"/>
      <c r="AY582" s="48"/>
      <c r="AZ582" s="48"/>
      <c r="BA582" s="43">
        <f>IF((W582-SUM(AT582:AZ582))&lt;0,0,W582-SUM(AT582:AZ582))</f>
        <v>0</v>
      </c>
      <c r="BB582" s="49"/>
      <c r="BC582" s="47"/>
      <c r="BD582" s="47"/>
    </row>
    <row r="583" spans="1:56" ht="15" customHeight="1">
      <c r="A583" s="49" t="s">
        <v>2633</v>
      </c>
      <c r="B583" s="39" t="s">
        <v>2448</v>
      </c>
      <c r="C583" s="46" t="s">
        <v>65</v>
      </c>
      <c r="D583" s="49" t="s">
        <v>105</v>
      </c>
      <c r="E583" s="49"/>
      <c r="F583" s="39">
        <v>2</v>
      </c>
      <c r="G583" s="75" t="s">
        <v>2634</v>
      </c>
      <c r="H583" s="50" t="s">
        <v>314</v>
      </c>
      <c r="I583" s="50" t="s">
        <v>2635</v>
      </c>
      <c r="J583" s="50"/>
      <c r="K583" s="50"/>
      <c r="L583" s="47"/>
      <c r="M583" s="47"/>
      <c r="N583" s="47"/>
      <c r="O583" s="47"/>
      <c r="P583" s="47"/>
      <c r="Q583" s="47"/>
      <c r="R583" s="47"/>
      <c r="S583" s="47"/>
      <c r="T583" s="47"/>
      <c r="U583" s="47"/>
      <c r="V583" s="50" t="s">
        <v>1515</v>
      </c>
      <c r="W583" s="74">
        <v>0</v>
      </c>
      <c r="X583" s="39">
        <f>MAX(0,$AK583-$W583-$Z583)</f>
        <v>0</v>
      </c>
      <c r="Y583" s="39"/>
      <c r="Z583" s="39"/>
      <c r="AA583" s="41">
        <v>0.36</v>
      </c>
      <c r="AB583" s="41">
        <f>IF(AND($X583&gt;0,ISNUMBER($AA583)),$X583*$AA583,0)</f>
        <v>0</v>
      </c>
      <c r="AC583" s="59"/>
      <c r="AD583" s="59"/>
      <c r="AE583" s="59"/>
      <c r="AF583" s="59"/>
      <c r="AG583" s="59"/>
      <c r="AH583" s="59"/>
      <c r="AI583" s="59"/>
      <c r="AJ583" s="59"/>
      <c r="AK583" s="39">
        <f>SUM(AL583:AR583)</f>
        <v>0</v>
      </c>
      <c r="AL583" s="114"/>
      <c r="AM583" s="43"/>
      <c r="AN583" s="43"/>
      <c r="AO583" s="43"/>
      <c r="AP583" s="43"/>
      <c r="AQ583" s="43"/>
      <c r="AR583" s="116"/>
      <c r="AS583" s="42">
        <f>SUM(AT583:AZ583)</f>
        <v>0</v>
      </c>
      <c r="AT583" s="48"/>
      <c r="AU583" s="48"/>
      <c r="AV583" s="48"/>
      <c r="AW583" s="48"/>
      <c r="AX583" s="48"/>
      <c r="AY583" s="48"/>
      <c r="AZ583" s="48"/>
      <c r="BA583" s="43">
        <f>IF((W583-SUM(AT583:AZ583))&lt;0,0,W583-SUM(AT583:AZ583))</f>
        <v>0</v>
      </c>
      <c r="BB583" s="49"/>
      <c r="BC583" s="47"/>
      <c r="BD583" s="47"/>
    </row>
    <row r="584" spans="1:56" ht="15" customHeight="1">
      <c r="A584" s="44" t="s">
        <v>2636</v>
      </c>
      <c r="B584" s="45" t="s">
        <v>2448</v>
      </c>
      <c r="C584" s="46" t="s">
        <v>65</v>
      </c>
      <c r="D584" s="44" t="s">
        <v>84</v>
      </c>
      <c r="E584" s="44" t="s">
        <v>128</v>
      </c>
      <c r="F584" s="45">
        <v>1</v>
      </c>
      <c r="G584" s="75" t="s">
        <v>2637</v>
      </c>
      <c r="H584" s="44" t="s">
        <v>238</v>
      </c>
      <c r="I584" s="44" t="s">
        <v>2638</v>
      </c>
      <c r="J584" s="44" t="s">
        <v>2639</v>
      </c>
      <c r="K584" s="44"/>
      <c r="L584" s="47"/>
      <c r="M584" s="47"/>
      <c r="N584" s="47"/>
      <c r="O584" s="68"/>
      <c r="P584" s="68"/>
      <c r="Q584" s="47"/>
      <c r="R584" s="47"/>
      <c r="S584" s="47"/>
      <c r="T584" s="68"/>
      <c r="U584" s="68"/>
      <c r="V584" s="44" t="s">
        <v>568</v>
      </c>
      <c r="W584" s="74">
        <v>1</v>
      </c>
      <c r="X584" s="39">
        <f>MAX(0,$AK584-$W584-$Z584)</f>
        <v>0</v>
      </c>
      <c r="Y584" s="44"/>
      <c r="Z584" s="44"/>
      <c r="AA584" s="44">
        <v>0.18</v>
      </c>
      <c r="AB584" s="44">
        <f>IF(AND($X584&gt;0,ISNUMBER($AA584)),$X584*$AA584,0)</f>
        <v>0</v>
      </c>
      <c r="AK584" s="39">
        <f>SUM(AL584:AR584)</f>
        <v>0</v>
      </c>
      <c r="AL584" s="90"/>
      <c r="AM584" s="38"/>
      <c r="AN584" s="38"/>
      <c r="AO584" s="38"/>
      <c r="AP584" s="38"/>
      <c r="AQ584" s="38"/>
      <c r="AR584" s="91"/>
      <c r="AS584" s="42">
        <f>SUM(AT584:AZ584)</f>
        <v>0</v>
      </c>
      <c r="AT584" s="48"/>
      <c r="AU584" s="48"/>
      <c r="AV584" s="48"/>
      <c r="AW584" s="48"/>
      <c r="AX584" s="48"/>
      <c r="AY584" s="48"/>
      <c r="AZ584" s="48"/>
      <c r="BA584" s="43">
        <f>IF((W584-SUM(AT584:AZ584))&lt;0,0,W584-SUM(AT584:AZ584))</f>
        <v>1</v>
      </c>
      <c r="BB584" s="44"/>
      <c r="BC584" s="47"/>
      <c r="BD584" s="47"/>
    </row>
    <row r="585" spans="1:56" ht="15" customHeight="1">
      <c r="A585" s="35" t="s">
        <v>2640</v>
      </c>
      <c r="B585" s="36" t="s">
        <v>2448</v>
      </c>
      <c r="C585" s="38" t="s">
        <v>65</v>
      </c>
      <c r="D585" s="35" t="s">
        <v>84</v>
      </c>
      <c r="E585" s="35" t="s">
        <v>2641</v>
      </c>
      <c r="F585" s="36">
        <v>2</v>
      </c>
      <c r="G585" s="75" t="s">
        <v>2642</v>
      </c>
      <c r="H585" s="35" t="s">
        <v>815</v>
      </c>
      <c r="I585" s="35" t="s">
        <v>2643</v>
      </c>
      <c r="J585" s="35"/>
      <c r="K585" s="35"/>
      <c r="L585" s="37"/>
      <c r="M585" s="37"/>
      <c r="N585" s="37"/>
      <c r="O585" s="68"/>
      <c r="P585" s="68"/>
      <c r="Q585" s="37"/>
      <c r="R585" s="37"/>
      <c r="S585" s="37"/>
      <c r="T585" s="68"/>
      <c r="U585" s="68"/>
      <c r="V585" s="35" t="s">
        <v>119</v>
      </c>
      <c r="W585" s="74">
        <v>1</v>
      </c>
      <c r="X585" s="39">
        <f>MAX(0,$AK585-$W585-$Z585)</f>
        <v>0</v>
      </c>
      <c r="Y585" s="35"/>
      <c r="Z585" s="35"/>
      <c r="AA585" s="40">
        <v>0.1</v>
      </c>
      <c r="AB585" s="41">
        <f>IF(AND($X585&gt;0,ISNUMBER($AA585)),$X585*$AA585,0)</f>
        <v>0</v>
      </c>
      <c r="AK585" s="39">
        <f>SUM(AL585:AR585)</f>
        <v>0</v>
      </c>
      <c r="AL585" s="90"/>
      <c r="AM585" s="38"/>
      <c r="AN585" s="38"/>
      <c r="AO585" s="38"/>
      <c r="AP585" s="38"/>
      <c r="AQ585" s="38"/>
      <c r="AR585" s="91"/>
      <c r="AS585" s="42">
        <f>SUM(AT585:AZ585)</f>
        <v>0</v>
      </c>
      <c r="AT585" s="48"/>
      <c r="AU585" s="48"/>
      <c r="AV585" s="48"/>
      <c r="AW585" s="48"/>
      <c r="AX585" s="48"/>
      <c r="AY585" s="48"/>
      <c r="AZ585" s="48"/>
      <c r="BA585" s="43">
        <f>IF((W585-SUM(AT585:AZ585))&lt;0,0,W585-SUM(AT585:AZ585))</f>
        <v>1</v>
      </c>
      <c r="BB585" s="35"/>
      <c r="BC585" s="37"/>
      <c r="BD585" s="37"/>
    </row>
    <row r="586" spans="1:56" ht="15" customHeight="1">
      <c r="A586" s="35" t="s">
        <v>2644</v>
      </c>
      <c r="B586" s="36" t="s">
        <v>2448</v>
      </c>
      <c r="C586" s="38" t="s">
        <v>65</v>
      </c>
      <c r="D586" s="35" t="s">
        <v>84</v>
      </c>
      <c r="E586" s="35" t="s">
        <v>2125</v>
      </c>
      <c r="F586" s="36">
        <v>4</v>
      </c>
      <c r="G586" s="75" t="s">
        <v>2645</v>
      </c>
      <c r="H586" s="35" t="s">
        <v>172</v>
      </c>
      <c r="I586" s="35" t="s">
        <v>2591</v>
      </c>
      <c r="J586" s="35" t="s">
        <v>2646</v>
      </c>
      <c r="K586" s="35"/>
      <c r="L586" s="37"/>
      <c r="M586" s="37"/>
      <c r="N586" s="37"/>
      <c r="O586" s="68"/>
      <c r="P586" s="68"/>
      <c r="Q586" s="37"/>
      <c r="R586" s="37"/>
      <c r="S586" s="37"/>
      <c r="T586" s="68"/>
      <c r="U586" s="68"/>
      <c r="V586" s="35" t="s">
        <v>119</v>
      </c>
      <c r="W586" s="74">
        <v>1</v>
      </c>
      <c r="X586" s="39">
        <f>MAX(0,$AK586-$W586-$Z586)</f>
        <v>0</v>
      </c>
      <c r="Y586" s="35"/>
      <c r="Z586" s="35"/>
      <c r="AA586" s="40">
        <v>0.12</v>
      </c>
      <c r="AB586" s="41">
        <f>IF(AND($X586&gt;0,ISNUMBER($AA586)),$X586*$AA586,0)</f>
        <v>0</v>
      </c>
      <c r="AK586" s="39">
        <f>SUM(AL586:AR586)</f>
        <v>0</v>
      </c>
      <c r="AL586" s="90"/>
      <c r="AM586" s="38"/>
      <c r="AN586" s="38"/>
      <c r="AO586" s="38"/>
      <c r="AP586" s="38"/>
      <c r="AQ586" s="38"/>
      <c r="AR586" s="91"/>
      <c r="AS586" s="42">
        <f>SUM(AT586:AZ586)</f>
        <v>0</v>
      </c>
      <c r="AT586" s="48"/>
      <c r="AU586" s="48"/>
      <c r="AV586" s="48"/>
      <c r="AW586" s="48"/>
      <c r="AX586" s="48"/>
      <c r="AY586" s="48"/>
      <c r="AZ586" s="48"/>
      <c r="BA586" s="43">
        <f>IF((W586-SUM(AT586:AZ586))&lt;0,0,W586-SUM(AT586:AZ586))</f>
        <v>1</v>
      </c>
      <c r="BB586" s="35"/>
      <c r="BC586" s="37"/>
      <c r="BD586" s="37"/>
    </row>
    <row r="587" spans="1:56" ht="15" customHeight="1">
      <c r="A587" s="35" t="s">
        <v>2647</v>
      </c>
      <c r="B587" s="36" t="s">
        <v>2448</v>
      </c>
      <c r="C587" s="38" t="s">
        <v>65</v>
      </c>
      <c r="D587" s="35" t="s">
        <v>76</v>
      </c>
      <c r="E587" s="35"/>
      <c r="F587" s="35">
        <v>1</v>
      </c>
      <c r="G587" s="75" t="s">
        <v>2648</v>
      </c>
      <c r="H587" s="35" t="s">
        <v>115</v>
      </c>
      <c r="I587" s="35" t="s">
        <v>2649</v>
      </c>
      <c r="J587" s="35"/>
      <c r="K587" s="35"/>
      <c r="L587" s="37"/>
      <c r="M587" s="37"/>
      <c r="N587" s="37"/>
      <c r="O587" s="68"/>
      <c r="P587" s="68"/>
      <c r="Q587" s="37"/>
      <c r="R587" s="37"/>
      <c r="S587" s="37"/>
      <c r="T587" s="68"/>
      <c r="U587" s="68"/>
      <c r="V587" s="35" t="s">
        <v>223</v>
      </c>
      <c r="W587" s="74">
        <v>1</v>
      </c>
      <c r="X587" s="39">
        <f>MAX(0,$AK587-$W587-$Z587)</f>
        <v>0</v>
      </c>
      <c r="Y587" s="35"/>
      <c r="Z587" s="35"/>
      <c r="AA587" s="35">
        <v>3.08</v>
      </c>
      <c r="AB587" s="41">
        <f>IF(AND($X587&gt;0,ISNUMBER($AA587)),$X587*$AA587,0)</f>
        <v>0</v>
      </c>
      <c r="AK587" s="39">
        <f>SUM(AL587:AR587)</f>
        <v>1</v>
      </c>
      <c r="AL587" s="120">
        <v>1</v>
      </c>
      <c r="AM587" s="38"/>
      <c r="AN587" s="38"/>
      <c r="AO587" s="38"/>
      <c r="AP587" s="38"/>
      <c r="AQ587" s="38"/>
      <c r="AR587" s="91"/>
      <c r="AS587" s="42">
        <f>SUM(AT587:AZ587)</f>
        <v>1</v>
      </c>
      <c r="AT587" s="48">
        <v>1</v>
      </c>
      <c r="AU587" s="48"/>
      <c r="AV587" s="48"/>
      <c r="AW587" s="48"/>
      <c r="AX587" s="48"/>
      <c r="AY587" s="48"/>
      <c r="AZ587" s="48"/>
      <c r="BA587" s="43">
        <f>IF((W587-SUM(AT587:AZ587))&lt;0,0,W587-SUM(AT587:AZ587))</f>
        <v>0</v>
      </c>
      <c r="BB587" s="35"/>
      <c r="BC587" s="37"/>
      <c r="BD587" s="37"/>
    </row>
    <row r="588" spans="1:56" ht="15" customHeight="1">
      <c r="A588" s="49" t="s">
        <v>2650</v>
      </c>
      <c r="B588" s="39" t="s">
        <v>2448</v>
      </c>
      <c r="C588" s="46" t="s">
        <v>65</v>
      </c>
      <c r="D588" s="49" t="s">
        <v>84</v>
      </c>
      <c r="E588" s="49" t="s">
        <v>2493</v>
      </c>
      <c r="F588" s="39">
        <v>1</v>
      </c>
      <c r="G588" s="75" t="s">
        <v>2651</v>
      </c>
      <c r="H588" s="50" t="s">
        <v>446</v>
      </c>
      <c r="I588" s="50" t="s">
        <v>2652</v>
      </c>
      <c r="J588" s="50"/>
      <c r="K588" s="50"/>
      <c r="L588" s="47"/>
      <c r="M588" s="47"/>
      <c r="N588" s="47"/>
      <c r="O588" s="47"/>
      <c r="P588" s="47"/>
      <c r="Q588" s="47"/>
      <c r="R588" s="47"/>
      <c r="S588" s="47"/>
      <c r="T588" s="47"/>
      <c r="U588" s="47"/>
      <c r="V588" s="50" t="s">
        <v>217</v>
      </c>
      <c r="W588" s="74">
        <v>1</v>
      </c>
      <c r="X588" s="39">
        <f>MAX(0,$AK588-$W588-$Z588)</f>
        <v>0</v>
      </c>
      <c r="Y588" s="39"/>
      <c r="Z588" s="39"/>
      <c r="AA588" s="41">
        <v>0.17</v>
      </c>
      <c r="AB588" s="41">
        <f>IF(AND($X588&gt;0,ISNUMBER($AA588)),$X588*$AA588,0)</f>
        <v>0</v>
      </c>
      <c r="AH588" s="63"/>
      <c r="AK588" s="39">
        <f>SUM(AL588:AR588)</f>
        <v>1</v>
      </c>
      <c r="AL588" s="90"/>
      <c r="AM588" s="38"/>
      <c r="AN588" s="38"/>
      <c r="AO588" s="38"/>
      <c r="AP588" s="38"/>
      <c r="AQ588" s="97">
        <v>1</v>
      </c>
      <c r="AR588" s="91"/>
      <c r="AS588" s="42">
        <f>SUM(AT588:AZ588)</f>
        <v>1</v>
      </c>
      <c r="AT588" s="48"/>
      <c r="AU588" s="48"/>
      <c r="AV588" s="48"/>
      <c r="AW588" s="48"/>
      <c r="AX588" s="48"/>
      <c r="AY588" s="48">
        <v>1</v>
      </c>
      <c r="AZ588" s="48"/>
      <c r="BA588" s="43">
        <f>IF((W588-SUM(AT588:AZ588))&lt;0,0,W588-SUM(AT588:AZ588))</f>
        <v>0</v>
      </c>
      <c r="BB588" s="49"/>
      <c r="BC588" s="47"/>
      <c r="BD588" s="47"/>
    </row>
    <row r="589" spans="1:56" ht="15" customHeight="1">
      <c r="A589" s="35" t="s">
        <v>2653</v>
      </c>
      <c r="B589" s="36" t="s">
        <v>2448</v>
      </c>
      <c r="C589" s="38" t="s">
        <v>65</v>
      </c>
      <c r="D589" s="35" t="s">
        <v>178</v>
      </c>
      <c r="E589" s="35" t="s">
        <v>2654</v>
      </c>
      <c r="F589" s="36">
        <v>3</v>
      </c>
      <c r="G589" s="75" t="s">
        <v>2655</v>
      </c>
      <c r="H589" s="35" t="s">
        <v>2605</v>
      </c>
      <c r="I589" s="35" t="s">
        <v>2656</v>
      </c>
      <c r="J589" s="35" t="s">
        <v>2657</v>
      </c>
      <c r="K589" s="35"/>
      <c r="L589" s="37"/>
      <c r="M589" s="37"/>
      <c r="N589" s="37"/>
      <c r="O589" s="68"/>
      <c r="P589" s="68"/>
      <c r="Q589" s="37"/>
      <c r="R589" s="37"/>
      <c r="S589" s="37"/>
      <c r="T589" s="68"/>
      <c r="U589" s="68"/>
      <c r="V589" s="35" t="s">
        <v>167</v>
      </c>
      <c r="W589" s="74">
        <v>1</v>
      </c>
      <c r="X589" s="39">
        <f>MAX(0,$AK589-$W589-$Z589)</f>
        <v>0</v>
      </c>
      <c r="Y589" s="35"/>
      <c r="Z589" s="35"/>
      <c r="AA589" s="40">
        <v>4.6500000000000004</v>
      </c>
      <c r="AB589" s="41">
        <f>IF(AND($X589&gt;0,ISNUMBER($AA589)),$X589*$AA589,0)</f>
        <v>0</v>
      </c>
      <c r="AK589" s="39">
        <f>SUM(AL589:AR589)</f>
        <v>0</v>
      </c>
      <c r="AL589" s="90"/>
      <c r="AM589" s="38"/>
      <c r="AN589" s="38"/>
      <c r="AO589" s="38"/>
      <c r="AP589" s="38"/>
      <c r="AQ589" s="38"/>
      <c r="AR589" s="91"/>
      <c r="AS589" s="42">
        <f>SUM(AT589:AZ589)</f>
        <v>0</v>
      </c>
      <c r="AT589" s="48"/>
      <c r="AU589" s="48"/>
      <c r="AV589" s="48"/>
      <c r="AW589" s="48"/>
      <c r="AX589" s="48"/>
      <c r="AY589" s="48"/>
      <c r="AZ589" s="48"/>
      <c r="BA589" s="43">
        <f>IF((W589-SUM(AT589:AZ589))&lt;0,0,W589-SUM(AT589:AZ589))</f>
        <v>1</v>
      </c>
      <c r="BB589" s="35"/>
      <c r="BC589" s="37"/>
      <c r="BD589" s="37"/>
    </row>
    <row r="590" spans="1:56" ht="15" customHeight="1">
      <c r="A590" s="35" t="s">
        <v>2658</v>
      </c>
      <c r="B590" s="36" t="s">
        <v>2448</v>
      </c>
      <c r="C590" s="38" t="s">
        <v>65</v>
      </c>
      <c r="D590" s="35" t="s">
        <v>84</v>
      </c>
      <c r="E590" s="35" t="s">
        <v>2659</v>
      </c>
      <c r="F590" s="35">
        <v>4</v>
      </c>
      <c r="G590" s="75" t="s">
        <v>2660</v>
      </c>
      <c r="H590" s="35" t="s">
        <v>153</v>
      </c>
      <c r="I590" s="35" t="s">
        <v>2661</v>
      </c>
      <c r="J590" s="35" t="s">
        <v>2662</v>
      </c>
      <c r="K590" s="35"/>
      <c r="L590" s="37"/>
      <c r="M590" s="37"/>
      <c r="N590" s="37"/>
      <c r="O590" s="68"/>
      <c r="P590" s="68"/>
      <c r="Q590" s="37"/>
      <c r="R590" s="37"/>
      <c r="S590" s="37"/>
      <c r="T590" s="68"/>
      <c r="U590" s="68"/>
      <c r="V590" s="35" t="s">
        <v>223</v>
      </c>
      <c r="W590" s="74">
        <v>1</v>
      </c>
      <c r="X590" s="39">
        <f>MAX(0,$AK590-$W590-$Z590)</f>
        <v>0</v>
      </c>
      <c r="Y590" s="35"/>
      <c r="Z590" s="35"/>
      <c r="AA590" s="35">
        <v>0.22</v>
      </c>
      <c r="AB590" s="41">
        <f>IF(AND($X590&gt;0,ISNUMBER($AA590)),$X590*$AA590,0)</f>
        <v>0</v>
      </c>
      <c r="AC590" s="63"/>
      <c r="AK590" s="39">
        <f>SUM(AL590:AR590)</f>
        <v>1</v>
      </c>
      <c r="AL590" s="102">
        <v>1</v>
      </c>
      <c r="AM590" s="38"/>
      <c r="AN590" s="38"/>
      <c r="AO590" s="38"/>
      <c r="AP590" s="38"/>
      <c r="AQ590" s="38"/>
      <c r="AR590" s="91"/>
      <c r="AS590" s="42">
        <f>SUM(AT590:AZ590)</f>
        <v>1</v>
      </c>
      <c r="AT590" s="48">
        <v>1</v>
      </c>
      <c r="AU590" s="48"/>
      <c r="AV590" s="48"/>
      <c r="AW590" s="48"/>
      <c r="AX590" s="48"/>
      <c r="AY590" s="48"/>
      <c r="AZ590" s="48"/>
      <c r="BA590" s="43">
        <f>IF((W590-SUM(AT590:AZ590))&lt;0,0,W590-SUM(AT590:AZ590))</f>
        <v>0</v>
      </c>
      <c r="BB590" s="35"/>
      <c r="BC590" s="37"/>
      <c r="BD590" s="37"/>
    </row>
    <row r="591" spans="1:56" ht="15" customHeight="1">
      <c r="A591" s="44" t="s">
        <v>2663</v>
      </c>
      <c r="B591" s="45" t="s">
        <v>2448</v>
      </c>
      <c r="C591" s="46" t="s">
        <v>65</v>
      </c>
      <c r="D591" s="44" t="s">
        <v>105</v>
      </c>
      <c r="E591" s="44"/>
      <c r="F591" s="45">
        <v>4</v>
      </c>
      <c r="G591" s="75" t="s">
        <v>2664</v>
      </c>
      <c r="H591" s="44" t="s">
        <v>1252</v>
      </c>
      <c r="I591" s="44" t="s">
        <v>2665</v>
      </c>
      <c r="J591" s="44"/>
      <c r="K591" s="44"/>
      <c r="L591" s="47"/>
      <c r="M591" s="47"/>
      <c r="N591" s="47"/>
      <c r="O591" s="68"/>
      <c r="P591" s="68"/>
      <c r="Q591" s="47"/>
      <c r="R591" s="47"/>
      <c r="S591" s="47"/>
      <c r="T591" s="68"/>
      <c r="U591" s="68"/>
      <c r="V591" s="44" t="s">
        <v>167</v>
      </c>
      <c r="W591" s="74">
        <v>1</v>
      </c>
      <c r="X591" s="39">
        <f>MAX(0,$AK591-$W591-$Z591)</f>
        <v>0</v>
      </c>
      <c r="Y591" s="44"/>
      <c r="Z591" s="44"/>
      <c r="AA591" s="44">
        <v>0.28999999999999998</v>
      </c>
      <c r="AB591" s="44">
        <f>IF(AND($X591&gt;0,ISNUMBER($AA591)),$X591*$AA591,0)</f>
        <v>0</v>
      </c>
      <c r="AK591" s="39">
        <f>SUM(AL591:AR591)</f>
        <v>1</v>
      </c>
      <c r="AL591" s="102">
        <v>1</v>
      </c>
      <c r="AM591" s="38"/>
      <c r="AN591" s="38"/>
      <c r="AO591" s="38"/>
      <c r="AP591" s="38"/>
      <c r="AQ591" s="38"/>
      <c r="AR591" s="91"/>
      <c r="AS591" s="42">
        <f>SUM(AT591:AZ591)</f>
        <v>1</v>
      </c>
      <c r="AT591" s="48">
        <v>1</v>
      </c>
      <c r="AU591" s="48"/>
      <c r="AV591" s="48"/>
      <c r="AW591" s="48"/>
      <c r="AX591" s="48"/>
      <c r="AY591" s="48"/>
      <c r="AZ591" s="48"/>
      <c r="BA591" s="43">
        <f>IF((W591-SUM(AT591:AZ591))&lt;0,0,W591-SUM(AT591:AZ591))</f>
        <v>0</v>
      </c>
      <c r="BB591" s="44"/>
      <c r="BC591" s="47"/>
      <c r="BD591" s="47"/>
    </row>
    <row r="592" spans="1:56" ht="15" customHeight="1">
      <c r="A592" s="49" t="s">
        <v>2666</v>
      </c>
      <c r="B592" s="39" t="s">
        <v>2448</v>
      </c>
      <c r="C592" s="46" t="s">
        <v>65</v>
      </c>
      <c r="D592" s="49" t="s">
        <v>84</v>
      </c>
      <c r="E592" s="49" t="s">
        <v>1347</v>
      </c>
      <c r="F592" s="39">
        <v>4</v>
      </c>
      <c r="G592" s="75" t="s">
        <v>2667</v>
      </c>
      <c r="H592" s="50" t="s">
        <v>233</v>
      </c>
      <c r="I592" s="50" t="s">
        <v>2668</v>
      </c>
      <c r="J592" s="50" t="s">
        <v>2669</v>
      </c>
      <c r="K592" s="50"/>
      <c r="L592" s="47"/>
      <c r="M592" s="47"/>
      <c r="N592" s="47"/>
      <c r="O592" s="68"/>
      <c r="P592" s="68"/>
      <c r="Q592" s="47"/>
      <c r="R592" s="47"/>
      <c r="S592" s="47"/>
      <c r="T592" s="68"/>
      <c r="U592" s="68"/>
      <c r="V592" s="50" t="s">
        <v>145</v>
      </c>
      <c r="W592" s="74">
        <v>1</v>
      </c>
      <c r="X592" s="39">
        <f>MAX(0,$AK592-$W592-$Z592)</f>
        <v>0</v>
      </c>
      <c r="Y592" s="39"/>
      <c r="Z592" s="39"/>
      <c r="AA592" s="41">
        <v>0.15</v>
      </c>
      <c r="AB592" s="41">
        <f>IF(AND($X592&gt;0,ISNUMBER($AA592)),$X592*$AA592,0)</f>
        <v>0</v>
      </c>
      <c r="AK592" s="39">
        <f>SUM(AL592:AR592)</f>
        <v>0</v>
      </c>
      <c r="AL592" s="90"/>
      <c r="AM592" s="38"/>
      <c r="AN592" s="38"/>
      <c r="AO592" s="38"/>
      <c r="AP592" s="38"/>
      <c r="AQ592" s="38"/>
      <c r="AR592" s="91"/>
      <c r="AS592" s="42">
        <f>SUM(AT592:AZ592)</f>
        <v>0</v>
      </c>
      <c r="AT592" s="48"/>
      <c r="AU592" s="48"/>
      <c r="AV592" s="48"/>
      <c r="AW592" s="48"/>
      <c r="AX592" s="48"/>
      <c r="AY592" s="48"/>
      <c r="AZ592" s="48"/>
      <c r="BA592" s="43">
        <f>IF((W592-SUM(AT592:AZ592))&lt;0,0,W592-SUM(AT592:AZ592))</f>
        <v>1</v>
      </c>
      <c r="BB592" s="49"/>
      <c r="BC592" s="47"/>
      <c r="BD592" s="47"/>
    </row>
    <row r="593" spans="1:56" ht="15" customHeight="1">
      <c r="A593" s="44" t="s">
        <v>2670</v>
      </c>
      <c r="B593" s="45" t="s">
        <v>2448</v>
      </c>
      <c r="C593" s="46" t="s">
        <v>65</v>
      </c>
      <c r="D593" s="44" t="s">
        <v>178</v>
      </c>
      <c r="E593" s="44" t="s">
        <v>2589</v>
      </c>
      <c r="F593" s="45">
        <v>4</v>
      </c>
      <c r="G593" s="75" t="s">
        <v>2671</v>
      </c>
      <c r="H593" s="44" t="s">
        <v>172</v>
      </c>
      <c r="I593" s="44" t="s">
        <v>2672</v>
      </c>
      <c r="J593" s="44" t="s">
        <v>2673</v>
      </c>
      <c r="K593" s="44"/>
      <c r="L593" s="47"/>
      <c r="M593" s="47"/>
      <c r="N593" s="47"/>
      <c r="O593" s="68"/>
      <c r="P593" s="68"/>
      <c r="Q593" s="47"/>
      <c r="R593" s="47"/>
      <c r="S593" s="47"/>
      <c r="T593" s="68"/>
      <c r="U593" s="68"/>
      <c r="V593" s="44" t="s">
        <v>167</v>
      </c>
      <c r="W593" s="74">
        <v>1</v>
      </c>
      <c r="X593" s="39">
        <f>MAX(0,$AK593-$W593-$Z593)</f>
        <v>0</v>
      </c>
      <c r="Y593" s="44"/>
      <c r="Z593" s="44"/>
      <c r="AA593" s="44">
        <v>0.25</v>
      </c>
      <c r="AB593" s="44">
        <f>IF(AND($X593&gt;0,ISNUMBER($AA593)),$X593*$AA593,0)</f>
        <v>0</v>
      </c>
      <c r="AK593" s="39">
        <f>SUM(AL593:AR593)</f>
        <v>0</v>
      </c>
      <c r="AL593" s="90"/>
      <c r="AM593" s="38"/>
      <c r="AN593" s="38"/>
      <c r="AO593" s="38"/>
      <c r="AP593" s="38"/>
      <c r="AQ593" s="38"/>
      <c r="AR593" s="91"/>
      <c r="AS593" s="42">
        <f>SUM(AT593:AZ593)</f>
        <v>0</v>
      </c>
      <c r="AT593" s="48"/>
      <c r="AU593" s="48"/>
      <c r="AV593" s="48"/>
      <c r="AW593" s="48"/>
      <c r="AX593" s="48"/>
      <c r="AY593" s="48"/>
      <c r="AZ593" s="48"/>
      <c r="BA593" s="43">
        <f>IF((W593-SUM(AT593:AZ593))&lt;0,0,W593-SUM(AT593:AZ593))</f>
        <v>1</v>
      </c>
      <c r="BB593" s="44"/>
      <c r="BC593" s="47"/>
      <c r="BD593" s="47"/>
    </row>
    <row r="594" spans="1:56" ht="15" customHeight="1">
      <c r="A594" s="49" t="s">
        <v>2674</v>
      </c>
      <c r="B594" s="39" t="s">
        <v>2448</v>
      </c>
      <c r="C594" s="46" t="s">
        <v>65</v>
      </c>
      <c r="D594" s="49" t="s">
        <v>256</v>
      </c>
      <c r="E594" s="49"/>
      <c r="F594" s="39">
        <v>2</v>
      </c>
      <c r="G594" s="75" t="s">
        <v>2675</v>
      </c>
      <c r="H594" s="50" t="s">
        <v>92</v>
      </c>
      <c r="I594" s="50" t="s">
        <v>2676</v>
      </c>
      <c r="J594" s="50"/>
      <c r="K594" s="50"/>
      <c r="L594" s="47"/>
      <c r="M594" s="47"/>
      <c r="N594" s="47"/>
      <c r="O594" s="47"/>
      <c r="P594" s="47"/>
      <c r="Q594" s="47"/>
      <c r="R594" s="47"/>
      <c r="S594" s="47"/>
      <c r="T594" s="47"/>
      <c r="U594" s="47"/>
      <c r="V594" s="50" t="s">
        <v>1081</v>
      </c>
      <c r="W594" s="74">
        <v>1</v>
      </c>
      <c r="X594" s="39">
        <f>MAX(0,$AK594-$W594-$Z594)</f>
        <v>0</v>
      </c>
      <c r="Y594" s="39"/>
      <c r="Z594" s="39"/>
      <c r="AA594" s="41">
        <v>2.85</v>
      </c>
      <c r="AB594" s="41">
        <f>IF(AND($X594&gt;0,ISNUMBER($AA594)),$X594*$AA594,0)</f>
        <v>0</v>
      </c>
      <c r="AK594" s="39">
        <f>SUM(AL594:AR594)</f>
        <v>1</v>
      </c>
      <c r="AL594" s="90"/>
      <c r="AM594" s="38"/>
      <c r="AN594" s="38"/>
      <c r="AO594" s="38"/>
      <c r="AP594" s="38"/>
      <c r="AQ594" s="97">
        <v>1</v>
      </c>
      <c r="AR594" s="91"/>
      <c r="AS594" s="42">
        <f>SUM(AT594:AZ594)</f>
        <v>1</v>
      </c>
      <c r="AT594" s="48"/>
      <c r="AU594" s="48"/>
      <c r="AV594" s="48"/>
      <c r="AW594" s="48"/>
      <c r="AX594" s="48"/>
      <c r="AY594" s="48">
        <v>1</v>
      </c>
      <c r="AZ594" s="48"/>
      <c r="BA594" s="43">
        <f>IF((W594-SUM(AT594:AZ594))&lt;0,0,W594-SUM(AT594:AZ594))</f>
        <v>0</v>
      </c>
      <c r="BB594" s="49"/>
      <c r="BC594" s="47"/>
      <c r="BD594" s="47"/>
    </row>
    <row r="595" spans="1:56" ht="15" customHeight="1">
      <c r="A595" s="49" t="s">
        <v>2677</v>
      </c>
      <c r="B595" s="39" t="s">
        <v>2448</v>
      </c>
      <c r="C595" s="46" t="s">
        <v>83</v>
      </c>
      <c r="D595" s="49" t="s">
        <v>84</v>
      </c>
      <c r="E595" s="49" t="s">
        <v>269</v>
      </c>
      <c r="F595" s="39">
        <v>3</v>
      </c>
      <c r="G595" s="75" t="s">
        <v>2678</v>
      </c>
      <c r="H595" s="50" t="s">
        <v>408</v>
      </c>
      <c r="I595" s="50" t="s">
        <v>2679</v>
      </c>
      <c r="J595" s="50"/>
      <c r="K595" s="50"/>
      <c r="L595" s="47"/>
      <c r="M595" s="47"/>
      <c r="N595" s="47"/>
      <c r="O595" s="47"/>
      <c r="P595" s="47"/>
      <c r="Q595" s="47"/>
      <c r="R595" s="47"/>
      <c r="S595" s="47"/>
      <c r="T595" s="47"/>
      <c r="U595" s="47"/>
      <c r="V595" s="50" t="s">
        <v>790</v>
      </c>
      <c r="W595" s="74">
        <v>1</v>
      </c>
      <c r="X595" s="39">
        <f>MAX(0,$AK595-$W595-$Z595)</f>
        <v>0</v>
      </c>
      <c r="Y595" s="39"/>
      <c r="Z595" s="39"/>
      <c r="AA595" s="41">
        <v>5.94</v>
      </c>
      <c r="AB595" s="41">
        <f>IF(AND($X595&gt;0,ISNUMBER($AA595)),$X595*$AA595,0)</f>
        <v>0</v>
      </c>
      <c r="AK595" s="39">
        <f>SUM(AL595:AR595)</f>
        <v>1</v>
      </c>
      <c r="AL595" s="90"/>
      <c r="AM595" s="38"/>
      <c r="AN595" s="38"/>
      <c r="AO595" s="38"/>
      <c r="AP595" s="38"/>
      <c r="AQ595" s="97">
        <v>1</v>
      </c>
      <c r="AR595" s="91"/>
      <c r="AS595" s="42">
        <f>SUM(AT595:AZ595)</f>
        <v>1</v>
      </c>
      <c r="AT595" s="48"/>
      <c r="AU595" s="48"/>
      <c r="AV595" s="48"/>
      <c r="AW595" s="48"/>
      <c r="AX595" s="48"/>
      <c r="AY595" s="48">
        <v>1</v>
      </c>
      <c r="AZ595" s="48"/>
      <c r="BA595" s="43">
        <f>IF((W595-SUM(AT595:AZ595))&lt;0,0,W595-SUM(AT595:AZ595))</f>
        <v>0</v>
      </c>
      <c r="BB595" s="49"/>
      <c r="BC595" s="47"/>
      <c r="BD595" s="47"/>
    </row>
    <row r="596" spans="1:56" ht="15" customHeight="1">
      <c r="A596" s="49" t="s">
        <v>2680</v>
      </c>
      <c r="B596" s="39" t="s">
        <v>2448</v>
      </c>
      <c r="C596" s="46" t="s">
        <v>65</v>
      </c>
      <c r="D596" s="49" t="s">
        <v>134</v>
      </c>
      <c r="E596" s="49"/>
      <c r="F596" s="39">
        <v>3</v>
      </c>
      <c r="G596" s="75" t="s">
        <v>2681</v>
      </c>
      <c r="H596" s="50" t="s">
        <v>153</v>
      </c>
      <c r="I596" s="50" t="s">
        <v>2682</v>
      </c>
      <c r="J596" s="50"/>
      <c r="K596" s="50"/>
      <c r="L596" s="47"/>
      <c r="M596" s="47"/>
      <c r="N596" s="47"/>
      <c r="O596" s="47"/>
      <c r="P596" s="47"/>
      <c r="Q596" s="47"/>
      <c r="R596" s="47"/>
      <c r="S596" s="47"/>
      <c r="T596" s="47"/>
      <c r="U596" s="47"/>
      <c r="V596" s="50" t="s">
        <v>145</v>
      </c>
      <c r="W596" s="74">
        <v>1</v>
      </c>
      <c r="X596" s="39">
        <f>MAX(0,$AK596-$W596-$Z596)</f>
        <v>0</v>
      </c>
      <c r="Y596" s="39"/>
      <c r="Z596" s="39"/>
      <c r="AA596" s="41">
        <v>0.11</v>
      </c>
      <c r="AB596" s="41">
        <f>IF(AND($X596&gt;0,ISNUMBER($AA596)),$X596*$AA596,0)</f>
        <v>0</v>
      </c>
      <c r="AH596" s="63"/>
      <c r="AK596" s="39">
        <f>SUM(AL596:AR596)</f>
        <v>1</v>
      </c>
      <c r="AL596" s="90"/>
      <c r="AM596" s="38"/>
      <c r="AN596" s="38"/>
      <c r="AO596" s="38"/>
      <c r="AP596" s="38"/>
      <c r="AQ596" s="97">
        <v>1</v>
      </c>
      <c r="AR596" s="91"/>
      <c r="AS596" s="42">
        <f>SUM(AT596:AZ596)</f>
        <v>1</v>
      </c>
      <c r="AT596" s="48"/>
      <c r="AU596" s="48"/>
      <c r="AV596" s="48"/>
      <c r="AW596" s="48"/>
      <c r="AX596" s="48"/>
      <c r="AY596" s="48">
        <v>1</v>
      </c>
      <c r="AZ596" s="48"/>
      <c r="BA596" s="43">
        <f>IF((W596-SUM(AT596:AZ596))&lt;0,0,W596-SUM(AT596:AZ596))</f>
        <v>0</v>
      </c>
      <c r="BB596" s="49"/>
      <c r="BC596" s="47"/>
      <c r="BD596" s="47"/>
    </row>
    <row r="597" spans="1:56" ht="15" customHeight="1">
      <c r="A597" s="35" t="s">
        <v>2683</v>
      </c>
      <c r="B597" s="36" t="s">
        <v>2448</v>
      </c>
      <c r="C597" s="38" t="s">
        <v>65</v>
      </c>
      <c r="D597" s="35" t="s">
        <v>84</v>
      </c>
      <c r="E597" s="35" t="s">
        <v>2684</v>
      </c>
      <c r="F597" s="35">
        <v>2</v>
      </c>
      <c r="G597" s="75" t="s">
        <v>2685</v>
      </c>
      <c r="H597" s="35" t="s">
        <v>172</v>
      </c>
      <c r="I597" s="35" t="s">
        <v>2686</v>
      </c>
      <c r="J597" s="35" t="s">
        <v>2687</v>
      </c>
      <c r="K597" s="35"/>
      <c r="L597" s="37"/>
      <c r="M597" s="37"/>
      <c r="N597" s="37"/>
      <c r="O597" s="68"/>
      <c r="P597" s="68"/>
      <c r="Q597" s="37"/>
      <c r="R597" s="37"/>
      <c r="S597" s="37"/>
      <c r="T597" s="68"/>
      <c r="U597" s="68"/>
      <c r="V597" s="35" t="s">
        <v>223</v>
      </c>
      <c r="W597" s="74">
        <v>1</v>
      </c>
      <c r="X597" s="39">
        <f>MAX(0,$AK597-$W597-$Z597)</f>
        <v>0</v>
      </c>
      <c r="Y597" s="35"/>
      <c r="Z597" s="35"/>
      <c r="AA597" s="35">
        <v>0.16</v>
      </c>
      <c r="AB597" s="41">
        <f>IF(AND($X597&gt;0,ISNUMBER($AA597)),$X597*$AA597,0)</f>
        <v>0</v>
      </c>
      <c r="AH597" s="63"/>
      <c r="AK597" s="39">
        <f>SUM(AL597:AR597)</f>
        <v>1</v>
      </c>
      <c r="AL597" s="90"/>
      <c r="AM597" s="38"/>
      <c r="AN597" s="38"/>
      <c r="AO597" s="38"/>
      <c r="AP597" s="38"/>
      <c r="AQ597" s="97">
        <v>1</v>
      </c>
      <c r="AR597" s="91"/>
      <c r="AS597" s="42">
        <f>SUM(AT597:AZ597)</f>
        <v>0</v>
      </c>
      <c r="AT597" s="48"/>
      <c r="AU597" s="48"/>
      <c r="AV597" s="48"/>
      <c r="AW597" s="48"/>
      <c r="AX597" s="48"/>
      <c r="AY597" s="48"/>
      <c r="AZ597" s="48"/>
      <c r="BA597" s="43">
        <f>IF((W597-SUM(AT597:AZ597))&lt;0,0,W597-SUM(AT597:AZ597))</f>
        <v>1</v>
      </c>
      <c r="BB597" s="35"/>
      <c r="BC597" s="37"/>
      <c r="BD597" s="37"/>
    </row>
    <row r="598" spans="1:56" ht="15" customHeight="1">
      <c r="A598" s="49" t="s">
        <v>2688</v>
      </c>
      <c r="B598" s="39" t="s">
        <v>2448</v>
      </c>
      <c r="C598" s="46" t="s">
        <v>65</v>
      </c>
      <c r="D598" s="49" t="s">
        <v>84</v>
      </c>
      <c r="E598" s="49" t="s">
        <v>2574</v>
      </c>
      <c r="F598" s="39">
        <v>2</v>
      </c>
      <c r="G598" s="75" t="s">
        <v>2689</v>
      </c>
      <c r="H598" s="50" t="s">
        <v>153</v>
      </c>
      <c r="I598" s="50" t="s">
        <v>2690</v>
      </c>
      <c r="J598" s="50"/>
      <c r="K598" s="50"/>
      <c r="L598" s="47"/>
      <c r="M598" s="47"/>
      <c r="N598" s="47"/>
      <c r="O598" s="47"/>
      <c r="P598" s="47"/>
      <c r="Q598" s="47"/>
      <c r="R598" s="47"/>
      <c r="S598" s="47"/>
      <c r="T598" s="47"/>
      <c r="U598" s="47"/>
      <c r="V598" s="50" t="s">
        <v>1955</v>
      </c>
      <c r="W598" s="74">
        <v>1</v>
      </c>
      <c r="X598" s="39">
        <f>MAX(0,$AK598-$W598-$Z598)</f>
        <v>0</v>
      </c>
      <c r="Y598" s="39"/>
      <c r="Z598" s="39"/>
      <c r="AA598" s="41">
        <v>0.39</v>
      </c>
      <c r="AB598" s="41">
        <f>IF(AND($X598&gt;0,ISNUMBER($AA598)),$X598*$AA598,0)</f>
        <v>0</v>
      </c>
      <c r="AH598" s="63"/>
      <c r="AK598" s="39">
        <f>SUM(AL598:AR598)</f>
        <v>1</v>
      </c>
      <c r="AL598" s="90"/>
      <c r="AM598" s="38"/>
      <c r="AN598" s="38"/>
      <c r="AO598" s="38"/>
      <c r="AP598" s="38"/>
      <c r="AQ598" s="97">
        <v>1</v>
      </c>
      <c r="AR598" s="91"/>
      <c r="AS598" s="42">
        <f>SUM(AT598:AZ598)</f>
        <v>1</v>
      </c>
      <c r="AT598" s="48"/>
      <c r="AU598" s="48"/>
      <c r="AV598" s="48"/>
      <c r="AW598" s="48"/>
      <c r="AX598" s="48"/>
      <c r="AY598" s="48">
        <v>1</v>
      </c>
      <c r="AZ598" s="48"/>
      <c r="BA598" s="43">
        <f>IF((W598-SUM(AT598:AZ598))&lt;0,0,W598-SUM(AT598:AZ598))</f>
        <v>0</v>
      </c>
      <c r="BB598" s="49"/>
      <c r="BC598" s="47"/>
      <c r="BD598" s="47"/>
    </row>
    <row r="599" spans="1:56" ht="15" customHeight="1">
      <c r="A599" s="49" t="s">
        <v>2691</v>
      </c>
      <c r="B599" s="39" t="s">
        <v>2448</v>
      </c>
      <c r="C599" s="46" t="s">
        <v>83</v>
      </c>
      <c r="D599" s="49" t="s">
        <v>84</v>
      </c>
      <c r="E599" s="49" t="s">
        <v>269</v>
      </c>
      <c r="F599" s="39">
        <v>1</v>
      </c>
      <c r="G599" s="75" t="s">
        <v>2692</v>
      </c>
      <c r="H599" s="50" t="s">
        <v>153</v>
      </c>
      <c r="I599" s="50" t="s">
        <v>2693</v>
      </c>
      <c r="J599" s="50"/>
      <c r="K599" s="50"/>
      <c r="L599" s="47"/>
      <c r="M599" s="47"/>
      <c r="N599" s="47"/>
      <c r="O599" s="47"/>
      <c r="P599" s="47"/>
      <c r="Q599" s="47"/>
      <c r="R599" s="47"/>
      <c r="S599" s="47"/>
      <c r="T599" s="47"/>
      <c r="U599" s="47"/>
      <c r="V599" s="50" t="s">
        <v>1191</v>
      </c>
      <c r="W599" s="74">
        <v>0</v>
      </c>
      <c r="X599" s="39">
        <f>MAX(0,$AK599-$W599-$Z599)</f>
        <v>0</v>
      </c>
      <c r="Y599" s="39"/>
      <c r="Z599" s="39"/>
      <c r="AA599" s="41">
        <v>9.34</v>
      </c>
      <c r="AB599" s="41">
        <f>IF(AND($X599&gt;0,ISNUMBER($AA599)),$X599*$AA599,0)</f>
        <v>0</v>
      </c>
      <c r="AC599" s="59"/>
      <c r="AD599" s="59"/>
      <c r="AE599" s="59"/>
      <c r="AF599" s="59"/>
      <c r="AG599" s="59"/>
      <c r="AH599" s="59"/>
      <c r="AI599" s="59"/>
      <c r="AJ599" s="59"/>
      <c r="AK599" s="39">
        <f>SUM(AL599:AR599)</f>
        <v>0</v>
      </c>
      <c r="AL599" s="114"/>
      <c r="AM599" s="43"/>
      <c r="AN599" s="43"/>
      <c r="AO599" s="43"/>
      <c r="AP599" s="43"/>
      <c r="AQ599" s="43"/>
      <c r="AR599" s="116"/>
      <c r="AS599" s="42">
        <f>SUM(AT599:AZ599)</f>
        <v>0</v>
      </c>
      <c r="AT599" s="48"/>
      <c r="AU599" s="48"/>
      <c r="AV599" s="48"/>
      <c r="AW599" s="48"/>
      <c r="AX599" s="48"/>
      <c r="AY599" s="48"/>
      <c r="AZ599" s="48"/>
      <c r="BA599" s="43">
        <f>IF((W599-SUM(AT599:AZ599))&lt;0,0,W599-SUM(AT599:AZ599))</f>
        <v>0</v>
      </c>
      <c r="BB599" s="49"/>
      <c r="BC599" s="47"/>
      <c r="BD599" s="47"/>
    </row>
    <row r="600" spans="1:56" ht="15" customHeight="1">
      <c r="A600" s="49" t="s">
        <v>2694</v>
      </c>
      <c r="B600" s="39" t="s">
        <v>2448</v>
      </c>
      <c r="C600" s="46" t="s">
        <v>65</v>
      </c>
      <c r="D600" s="49" t="s">
        <v>84</v>
      </c>
      <c r="E600" s="49" t="s">
        <v>269</v>
      </c>
      <c r="F600" s="39">
        <v>3</v>
      </c>
      <c r="G600" s="75" t="s">
        <v>2695</v>
      </c>
      <c r="H600" s="50" t="s">
        <v>1089</v>
      </c>
      <c r="I600" s="50" t="s">
        <v>2696</v>
      </c>
      <c r="J600" s="50"/>
      <c r="K600" s="50"/>
      <c r="L600" s="47"/>
      <c r="M600" s="47"/>
      <c r="N600" s="47"/>
      <c r="O600" s="47"/>
      <c r="P600" s="47"/>
      <c r="Q600" s="47"/>
      <c r="R600" s="47"/>
      <c r="S600" s="47"/>
      <c r="T600" s="47"/>
      <c r="U600" s="47"/>
      <c r="V600" s="50" t="s">
        <v>2697</v>
      </c>
      <c r="W600" s="74">
        <v>1</v>
      </c>
      <c r="X600" s="39">
        <f>MAX(0,$AK600-$W600-$Z600)</f>
        <v>0</v>
      </c>
      <c r="Y600" s="39"/>
      <c r="Z600" s="39"/>
      <c r="AA600" s="41">
        <v>0.32</v>
      </c>
      <c r="AB600" s="41">
        <f>IF(AND($X600&gt;0,ISNUMBER($AA600)),$X600*$AA600,0)</f>
        <v>0</v>
      </c>
      <c r="AH600" s="63"/>
      <c r="AK600" s="39">
        <f>SUM(AL600:AR600)</f>
        <v>1</v>
      </c>
      <c r="AL600" s="90"/>
      <c r="AM600" s="38"/>
      <c r="AN600" s="38"/>
      <c r="AO600" s="38"/>
      <c r="AP600" s="38"/>
      <c r="AQ600" s="97">
        <v>1</v>
      </c>
      <c r="AR600" s="91"/>
      <c r="AS600" s="42">
        <f>SUM(AT600:AZ600)</f>
        <v>1</v>
      </c>
      <c r="AT600" s="48"/>
      <c r="AU600" s="48"/>
      <c r="AV600" s="48"/>
      <c r="AW600" s="48"/>
      <c r="AX600" s="48"/>
      <c r="AY600" s="48">
        <v>1</v>
      </c>
      <c r="AZ600" s="48"/>
      <c r="BA600" s="43">
        <f>IF((W600-SUM(AT600:AZ600))&lt;0,0,W600-SUM(AT600:AZ600))</f>
        <v>0</v>
      </c>
      <c r="BB600" s="49"/>
      <c r="BC600" s="47"/>
      <c r="BD600" s="47"/>
    </row>
    <row r="601" spans="1:56" ht="15" customHeight="1">
      <c r="A601" s="49" t="s">
        <v>2698</v>
      </c>
      <c r="B601" s="39" t="s">
        <v>2448</v>
      </c>
      <c r="C601" s="46" t="s">
        <v>65</v>
      </c>
      <c r="D601" s="49" t="s">
        <v>84</v>
      </c>
      <c r="E601" s="49" t="s">
        <v>2493</v>
      </c>
      <c r="F601" s="39">
        <v>1</v>
      </c>
      <c r="G601" s="75" t="s">
        <v>2699</v>
      </c>
      <c r="H601" s="50" t="s">
        <v>959</v>
      </c>
      <c r="I601" s="50" t="s">
        <v>2700</v>
      </c>
      <c r="J601" s="50"/>
      <c r="K601" s="50"/>
      <c r="L601" s="47"/>
      <c r="M601" s="47"/>
      <c r="N601" s="47"/>
      <c r="O601" s="47"/>
      <c r="P601" s="47"/>
      <c r="Q601" s="47"/>
      <c r="R601" s="47"/>
      <c r="S601" s="47"/>
      <c r="T601" s="47"/>
      <c r="U601" s="47"/>
      <c r="V601" s="50" t="s">
        <v>1955</v>
      </c>
      <c r="W601" s="74">
        <v>0</v>
      </c>
      <c r="X601" s="39">
        <f>MAX(0,$AK601-$W601-$Z601)</f>
        <v>0</v>
      </c>
      <c r="Y601" s="39"/>
      <c r="Z601" s="39"/>
      <c r="AA601" s="41">
        <v>0.26</v>
      </c>
      <c r="AB601" s="41">
        <f>IF(AND($X601&gt;0,ISNUMBER($AA601)),$X601*$AA601,0)</f>
        <v>0</v>
      </c>
      <c r="AC601" s="59"/>
      <c r="AD601" s="59"/>
      <c r="AE601" s="59"/>
      <c r="AF601" s="59"/>
      <c r="AG601" s="59"/>
      <c r="AH601" s="59"/>
      <c r="AI601" s="59"/>
      <c r="AJ601" s="59"/>
      <c r="AK601" s="39">
        <f>SUM(AL601:AR601)</f>
        <v>0</v>
      </c>
      <c r="AL601" s="114"/>
      <c r="AM601" s="43"/>
      <c r="AN601" s="43"/>
      <c r="AO601" s="43"/>
      <c r="AP601" s="43"/>
      <c r="AQ601" s="43"/>
      <c r="AR601" s="116"/>
      <c r="AS601" s="42">
        <f>SUM(AT601:AZ601)</f>
        <v>0</v>
      </c>
      <c r="AT601" s="48"/>
      <c r="AU601" s="48"/>
      <c r="AV601" s="48"/>
      <c r="AW601" s="48"/>
      <c r="AX601" s="48"/>
      <c r="AY601" s="48"/>
      <c r="AZ601" s="48"/>
      <c r="BA601" s="43">
        <f>IF((W601-SUM(AT601:AZ601))&lt;0,0,W601-SUM(AT601:AZ601))</f>
        <v>0</v>
      </c>
      <c r="BB601" s="49"/>
      <c r="BC601" s="47"/>
      <c r="BD601" s="47"/>
    </row>
    <row r="602" spans="1:56" ht="15" customHeight="1">
      <c r="A602" s="49" t="s">
        <v>2701</v>
      </c>
      <c r="B602" s="39" t="s">
        <v>2448</v>
      </c>
      <c r="C602" s="46" t="s">
        <v>65</v>
      </c>
      <c r="D602" s="49" t="s">
        <v>256</v>
      </c>
      <c r="E602" s="49"/>
      <c r="F602" s="39">
        <v>2</v>
      </c>
      <c r="G602" s="75" t="s">
        <v>2702</v>
      </c>
      <c r="H602" s="50" t="s">
        <v>446</v>
      </c>
      <c r="I602" s="50" t="s">
        <v>2703</v>
      </c>
      <c r="J602" s="50"/>
      <c r="K602" s="50"/>
      <c r="L602" s="47"/>
      <c r="M602" s="47"/>
      <c r="N602" s="47"/>
      <c r="O602" s="47"/>
      <c r="P602" s="47"/>
      <c r="Q602" s="47"/>
      <c r="R602" s="47"/>
      <c r="S602" s="47"/>
      <c r="T602" s="47"/>
      <c r="U602" s="47"/>
      <c r="V602" s="50" t="s">
        <v>1600</v>
      </c>
      <c r="W602" s="74">
        <v>0</v>
      </c>
      <c r="X602" s="39">
        <f>MAX(0,$AK602-$W602-$Z602)</f>
        <v>0</v>
      </c>
      <c r="Y602" s="39"/>
      <c r="Z602" s="39"/>
      <c r="AA602" s="41">
        <v>0.53</v>
      </c>
      <c r="AB602" s="41">
        <f>IF(AND($X602&gt;0,ISNUMBER($AA602)),$X602*$AA602,0)</f>
        <v>0</v>
      </c>
      <c r="AC602" s="59"/>
      <c r="AD602" s="59"/>
      <c r="AE602" s="59"/>
      <c r="AF602" s="59"/>
      <c r="AG602" s="59"/>
      <c r="AH602" s="59"/>
      <c r="AI602" s="59"/>
      <c r="AJ602" s="59"/>
      <c r="AK602" s="39">
        <f>SUM(AL602:AR602)</f>
        <v>0</v>
      </c>
      <c r="AL602" s="114"/>
      <c r="AM602" s="43"/>
      <c r="AN602" s="43"/>
      <c r="AO602" s="43"/>
      <c r="AP602" s="43"/>
      <c r="AQ602" s="43"/>
      <c r="AR602" s="116"/>
      <c r="AS602" s="42">
        <f>SUM(AT602:AZ602)</f>
        <v>0</v>
      </c>
      <c r="AT602" s="48"/>
      <c r="AU602" s="48"/>
      <c r="AV602" s="48"/>
      <c r="AW602" s="48"/>
      <c r="AX602" s="48"/>
      <c r="AY602" s="48"/>
      <c r="AZ602" s="48"/>
      <c r="BA602" s="43">
        <f>IF((W602-SUM(AT602:AZ602))&lt;0,0,W602-SUM(AT602:AZ602))</f>
        <v>0</v>
      </c>
      <c r="BB602" s="49"/>
      <c r="BC602" s="47"/>
      <c r="BD602" s="47"/>
    </row>
    <row r="603" spans="1:56" ht="15" customHeight="1">
      <c r="A603" s="49" t="s">
        <v>2704</v>
      </c>
      <c r="B603" s="39" t="s">
        <v>2448</v>
      </c>
      <c r="C603" s="46" t="s">
        <v>83</v>
      </c>
      <c r="D603" s="49" t="s">
        <v>84</v>
      </c>
      <c r="E603" s="49" t="s">
        <v>2493</v>
      </c>
      <c r="F603" s="39">
        <v>2</v>
      </c>
      <c r="G603" s="75" t="s">
        <v>2705</v>
      </c>
      <c r="H603" s="50" t="s">
        <v>87</v>
      </c>
      <c r="I603" s="50" t="s">
        <v>2706</v>
      </c>
      <c r="J603" s="50"/>
      <c r="K603" s="50"/>
      <c r="L603" s="47"/>
      <c r="M603" s="47"/>
      <c r="N603" s="47"/>
      <c r="O603" s="47"/>
      <c r="P603" s="47"/>
      <c r="Q603" s="47"/>
      <c r="R603" s="47"/>
      <c r="S603" s="47"/>
      <c r="T603" s="47"/>
      <c r="U603" s="47"/>
      <c r="V603" s="50" t="s">
        <v>254</v>
      </c>
      <c r="W603" s="74">
        <v>0</v>
      </c>
      <c r="X603" s="39">
        <f>MAX(0,$AK603-$W603-$Z603)</f>
        <v>0</v>
      </c>
      <c r="Y603" s="39"/>
      <c r="Z603" s="39"/>
      <c r="AA603" s="41">
        <v>2.58</v>
      </c>
      <c r="AB603" s="41">
        <f>IF(AND($X603&gt;0,ISNUMBER($AA603)),$X603*$AA603,0)</f>
        <v>0</v>
      </c>
      <c r="AC603" s="59"/>
      <c r="AD603" s="59"/>
      <c r="AE603" s="59"/>
      <c r="AF603" s="59"/>
      <c r="AG603" s="59"/>
      <c r="AH603" s="59"/>
      <c r="AI603" s="59"/>
      <c r="AJ603" s="59"/>
      <c r="AK603" s="39">
        <f>SUM(AL603:AR603)</f>
        <v>0</v>
      </c>
      <c r="AL603" s="114"/>
      <c r="AM603" s="43"/>
      <c r="AN603" s="43"/>
      <c r="AO603" s="43"/>
      <c r="AP603" s="43"/>
      <c r="AQ603" s="43"/>
      <c r="AR603" s="116"/>
      <c r="AS603" s="42">
        <f>SUM(AT603:AZ603)</f>
        <v>0</v>
      </c>
      <c r="AT603" s="48"/>
      <c r="AU603" s="48"/>
      <c r="AV603" s="48"/>
      <c r="AW603" s="48"/>
      <c r="AX603" s="48"/>
      <c r="AY603" s="48"/>
      <c r="AZ603" s="48"/>
      <c r="BA603" s="43">
        <f>IF((W603-SUM(AT603:AZ603))&lt;0,0,W603-SUM(AT603:AZ603))</f>
        <v>0</v>
      </c>
      <c r="BB603" s="49"/>
      <c r="BC603" s="47"/>
      <c r="BD603" s="53"/>
    </row>
    <row r="604" spans="1:56" ht="15" customHeight="1">
      <c r="A604" s="49" t="s">
        <v>2707</v>
      </c>
      <c r="B604" s="39" t="s">
        <v>2448</v>
      </c>
      <c r="C604" s="46" t="s">
        <v>83</v>
      </c>
      <c r="D604" s="49" t="s">
        <v>84</v>
      </c>
      <c r="E604" s="49" t="s">
        <v>2493</v>
      </c>
      <c r="F604" s="39">
        <v>3</v>
      </c>
      <c r="G604" s="75" t="s">
        <v>2708</v>
      </c>
      <c r="H604" s="50" t="s">
        <v>153</v>
      </c>
      <c r="I604" s="50" t="s">
        <v>2709</v>
      </c>
      <c r="J604" s="50" t="s">
        <v>2710</v>
      </c>
      <c r="K604" s="50"/>
      <c r="L604" s="47"/>
      <c r="M604" s="47"/>
      <c r="N604" s="47"/>
      <c r="O604" s="47"/>
      <c r="P604" s="47"/>
      <c r="Q604" s="47"/>
      <c r="R604" s="47"/>
      <c r="S604" s="47"/>
      <c r="T604" s="47"/>
      <c r="U604" s="47"/>
      <c r="V604" s="50" t="s">
        <v>860</v>
      </c>
      <c r="W604" s="74">
        <v>1</v>
      </c>
      <c r="X604" s="39">
        <f>MAX(0,$AK604-$W604-$Z604)</f>
        <v>0</v>
      </c>
      <c r="Y604" s="39"/>
      <c r="Z604" s="39"/>
      <c r="AA604" s="41">
        <v>0.66</v>
      </c>
      <c r="AB604" s="41">
        <f>IF(AND($X604&gt;0,ISNUMBER($AA604)),$X604*$AA604,0)</f>
        <v>0</v>
      </c>
      <c r="AK604" s="39">
        <f>SUM(AL604:AR604)</f>
        <v>1</v>
      </c>
      <c r="AL604" s="90"/>
      <c r="AM604" s="38"/>
      <c r="AN604" s="38"/>
      <c r="AO604" s="38"/>
      <c r="AP604" s="38"/>
      <c r="AQ604" s="97">
        <v>1</v>
      </c>
      <c r="AR604" s="91"/>
      <c r="AS604" s="42">
        <f>SUM(AT604:AZ604)</f>
        <v>1</v>
      </c>
      <c r="AT604" s="48"/>
      <c r="AU604" s="48"/>
      <c r="AV604" s="48"/>
      <c r="AW604" s="48"/>
      <c r="AX604" s="48"/>
      <c r="AY604" s="48">
        <v>1</v>
      </c>
      <c r="AZ604" s="48"/>
      <c r="BA604" s="43">
        <f>IF((W604-SUM(AT604:AZ604))&lt;0,0,W604-SUM(AT604:AZ604))</f>
        <v>0</v>
      </c>
      <c r="BB604" s="49"/>
      <c r="BC604" s="47"/>
      <c r="BD604" s="47"/>
    </row>
    <row r="605" spans="1:56" ht="15" customHeight="1">
      <c r="A605" s="49" t="s">
        <v>2711</v>
      </c>
      <c r="B605" s="39" t="s">
        <v>2448</v>
      </c>
      <c r="C605" s="46" t="s">
        <v>65</v>
      </c>
      <c r="D605" s="49" t="s">
        <v>134</v>
      </c>
      <c r="E605" s="49"/>
      <c r="F605" s="39">
        <v>5</v>
      </c>
      <c r="G605" s="75" t="s">
        <v>2712</v>
      </c>
      <c r="H605" s="50" t="s">
        <v>153</v>
      </c>
      <c r="I605" s="50" t="s">
        <v>2713</v>
      </c>
      <c r="J605" s="50"/>
      <c r="K605" s="50"/>
      <c r="L605" s="47"/>
      <c r="M605" s="47"/>
      <c r="N605" s="47"/>
      <c r="O605" s="47"/>
      <c r="P605" s="47"/>
      <c r="Q605" s="47"/>
      <c r="R605" s="47"/>
      <c r="S605" s="47"/>
      <c r="T605" s="47"/>
      <c r="U605" s="47"/>
      <c r="V605" s="50" t="s">
        <v>491</v>
      </c>
      <c r="W605" s="74">
        <v>1</v>
      </c>
      <c r="X605" s="39">
        <f>MAX(0,$AK605-$W605-$Z605)</f>
        <v>0</v>
      </c>
      <c r="Y605" s="39"/>
      <c r="Z605" s="39"/>
      <c r="AA605" s="41">
        <v>0.36</v>
      </c>
      <c r="AB605" s="41">
        <f>IF(AND($X605&gt;0,ISNUMBER($AA605)),$X605*$AA605,0)</f>
        <v>0</v>
      </c>
      <c r="AH605" s="63"/>
      <c r="AK605" s="39">
        <f>SUM(AL605:AR605)</f>
        <v>1</v>
      </c>
      <c r="AL605" s="90"/>
      <c r="AM605" s="38"/>
      <c r="AN605" s="38"/>
      <c r="AO605" s="38"/>
      <c r="AP605" s="38"/>
      <c r="AQ605" s="97">
        <v>1</v>
      </c>
      <c r="AR605" s="91"/>
      <c r="AS605" s="42">
        <f>SUM(AT605:AZ605)</f>
        <v>1</v>
      </c>
      <c r="AT605" s="48"/>
      <c r="AU605" s="48"/>
      <c r="AV605" s="48"/>
      <c r="AW605" s="48"/>
      <c r="AX605" s="48"/>
      <c r="AY605" s="48">
        <v>1</v>
      </c>
      <c r="AZ605" s="48"/>
      <c r="BA605" s="43">
        <f>IF((W605-SUM(AT605:AZ605))&lt;0,0,W605-SUM(AT605:AZ605))</f>
        <v>0</v>
      </c>
      <c r="BB605" s="49"/>
      <c r="BC605" s="47"/>
      <c r="BD605" s="47"/>
    </row>
    <row r="606" spans="1:56" ht="15" customHeight="1">
      <c r="A606" s="49" t="s">
        <v>2714</v>
      </c>
      <c r="B606" s="39" t="s">
        <v>2448</v>
      </c>
      <c r="C606" s="46" t="s">
        <v>83</v>
      </c>
      <c r="D606" s="49" t="s">
        <v>84</v>
      </c>
      <c r="E606" s="49" t="s">
        <v>269</v>
      </c>
      <c r="F606" s="39">
        <v>2</v>
      </c>
      <c r="G606" s="75" t="s">
        <v>2715</v>
      </c>
      <c r="H606" s="50" t="s">
        <v>87</v>
      </c>
      <c r="I606" s="50" t="s">
        <v>2716</v>
      </c>
      <c r="J606" s="50"/>
      <c r="K606" s="50"/>
      <c r="L606" s="47"/>
      <c r="M606" s="47"/>
      <c r="N606" s="47"/>
      <c r="O606" s="47"/>
      <c r="P606" s="47"/>
      <c r="Q606" s="47"/>
      <c r="R606" s="47"/>
      <c r="S606" s="47"/>
      <c r="T606" s="47"/>
      <c r="U606" s="47"/>
      <c r="V606" s="50" t="s">
        <v>2717</v>
      </c>
      <c r="W606" s="74">
        <v>0</v>
      </c>
      <c r="X606" s="39">
        <f>MAX(0,$AK606-$W606-$Z606)</f>
        <v>0</v>
      </c>
      <c r="Y606" s="39"/>
      <c r="Z606" s="39"/>
      <c r="AA606" s="41">
        <v>5.54</v>
      </c>
      <c r="AB606" s="41">
        <f>IF(AND($X606&gt;0,ISNUMBER($AA606)),$X606*$AA606,0)</f>
        <v>0</v>
      </c>
      <c r="AC606" s="59"/>
      <c r="AD606" s="59"/>
      <c r="AE606" s="59"/>
      <c r="AF606" s="59"/>
      <c r="AG606" s="59"/>
      <c r="AH606" s="59"/>
      <c r="AI606" s="59"/>
      <c r="AJ606" s="59"/>
      <c r="AK606" s="39">
        <f>SUM(AL606:AR606)</f>
        <v>0</v>
      </c>
      <c r="AL606" s="114"/>
      <c r="AM606" s="43"/>
      <c r="AN606" s="43"/>
      <c r="AO606" s="43"/>
      <c r="AP606" s="43"/>
      <c r="AQ606" s="43"/>
      <c r="AR606" s="116"/>
      <c r="AS606" s="42">
        <f>SUM(AT606:AZ606)</f>
        <v>0</v>
      </c>
      <c r="AT606" s="48"/>
      <c r="AU606" s="48"/>
      <c r="AV606" s="48"/>
      <c r="AW606" s="48"/>
      <c r="AX606" s="48"/>
      <c r="AY606" s="48"/>
      <c r="AZ606" s="48"/>
      <c r="BA606" s="43">
        <f>IF((W606-SUM(AT606:AZ606))&lt;0,0,W606-SUM(AT606:AZ606))</f>
        <v>0</v>
      </c>
      <c r="BB606" s="49"/>
      <c r="BC606" s="47"/>
      <c r="BD606" s="47"/>
    </row>
    <row r="607" spans="1:56" ht="15" customHeight="1">
      <c r="A607" s="49" t="s">
        <v>2718</v>
      </c>
      <c r="B607" s="39" t="s">
        <v>2448</v>
      </c>
      <c r="C607" s="46" t="s">
        <v>65</v>
      </c>
      <c r="D607" s="49" t="s">
        <v>84</v>
      </c>
      <c r="E607" s="49" t="s">
        <v>269</v>
      </c>
      <c r="F607" s="39">
        <v>4</v>
      </c>
      <c r="G607" s="75" t="s">
        <v>2719</v>
      </c>
      <c r="H607" s="50" t="s">
        <v>1089</v>
      </c>
      <c r="I607" s="50" t="s">
        <v>2720</v>
      </c>
      <c r="J607" s="50" t="s">
        <v>2721</v>
      </c>
      <c r="K607" s="50"/>
      <c r="L607" s="47"/>
      <c r="M607" s="47"/>
      <c r="N607" s="47"/>
      <c r="O607" s="47"/>
      <c r="P607" s="47"/>
      <c r="Q607" s="47"/>
      <c r="R607" s="47"/>
      <c r="S607" s="47"/>
      <c r="T607" s="47"/>
      <c r="U607" s="47"/>
      <c r="V607" s="50" t="s">
        <v>747</v>
      </c>
      <c r="W607" s="74">
        <v>1</v>
      </c>
      <c r="X607" s="39">
        <f>MAX(0,$AK607-$W607-$Z607)</f>
        <v>0</v>
      </c>
      <c r="Y607" s="39"/>
      <c r="Z607" s="39"/>
      <c r="AA607" s="41">
        <v>0.99</v>
      </c>
      <c r="AB607" s="41">
        <f>IF(AND($X607&gt;0,ISNUMBER($AA607)),$X607*$AA607,0)</f>
        <v>0</v>
      </c>
      <c r="AH607" s="63"/>
      <c r="AK607" s="39">
        <f>SUM(AL607:AR607)</f>
        <v>1</v>
      </c>
      <c r="AL607" s="90"/>
      <c r="AM607" s="38"/>
      <c r="AN607" s="38"/>
      <c r="AO607" s="38"/>
      <c r="AP607" s="38"/>
      <c r="AQ607" s="97">
        <v>1</v>
      </c>
      <c r="AR607" s="91"/>
      <c r="AS607" s="42">
        <f>SUM(AT607:AZ607)</f>
        <v>1</v>
      </c>
      <c r="AT607" s="48"/>
      <c r="AU607" s="48"/>
      <c r="AV607" s="48"/>
      <c r="AW607" s="48"/>
      <c r="AX607" s="48"/>
      <c r="AY607" s="48">
        <v>1</v>
      </c>
      <c r="AZ607" s="48"/>
      <c r="BA607" s="43">
        <f>IF((W607-SUM(AT607:AZ607))&lt;0,0,W607-SUM(AT607:AZ607))</f>
        <v>0</v>
      </c>
      <c r="BB607" s="49"/>
      <c r="BC607" s="47"/>
      <c r="BD607" s="47"/>
    </row>
    <row r="608" spans="1:56" ht="15" customHeight="1">
      <c r="A608" s="49" t="s">
        <v>2722</v>
      </c>
      <c r="B608" s="39" t="s">
        <v>2448</v>
      </c>
      <c r="C608" s="46" t="s">
        <v>83</v>
      </c>
      <c r="D608" s="49" t="s">
        <v>84</v>
      </c>
      <c r="E608" s="49" t="s">
        <v>2493</v>
      </c>
      <c r="F608" s="39">
        <v>4</v>
      </c>
      <c r="G608" s="75" t="s">
        <v>2723</v>
      </c>
      <c r="H608" s="50" t="s">
        <v>408</v>
      </c>
      <c r="I608" s="50" t="s">
        <v>2724</v>
      </c>
      <c r="J608" s="50"/>
      <c r="K608" s="50"/>
      <c r="L608" s="47"/>
      <c r="M608" s="47"/>
      <c r="N608" s="47"/>
      <c r="O608" s="47"/>
      <c r="P608" s="47"/>
      <c r="Q608" s="47"/>
      <c r="R608" s="47"/>
      <c r="S608" s="47"/>
      <c r="T608" s="47"/>
      <c r="U608" s="47"/>
      <c r="V608" s="50" t="s">
        <v>1955</v>
      </c>
      <c r="W608" s="74">
        <v>1</v>
      </c>
      <c r="X608" s="39">
        <f>MAX(0,$AK608-$W608-$Z608)</f>
        <v>0</v>
      </c>
      <c r="Y608" s="39"/>
      <c r="Z608" s="39"/>
      <c r="AA608" s="41">
        <v>7.78</v>
      </c>
      <c r="AB608" s="41">
        <f>IF(AND($X608&gt;0,ISNUMBER($AA608)),$X608*$AA608,0)</f>
        <v>0</v>
      </c>
      <c r="AK608" s="39">
        <f>SUM(AL608:AR608)</f>
        <v>1</v>
      </c>
      <c r="AL608" s="90"/>
      <c r="AM608" s="38"/>
      <c r="AN608" s="38"/>
      <c r="AO608" s="38"/>
      <c r="AP608" s="38"/>
      <c r="AQ608" s="97">
        <v>1</v>
      </c>
      <c r="AR608" s="91"/>
      <c r="AS608" s="42">
        <f>SUM(AT608:AZ608)</f>
        <v>1</v>
      </c>
      <c r="AT608" s="48"/>
      <c r="AU608" s="48"/>
      <c r="AV608" s="48"/>
      <c r="AW608" s="48"/>
      <c r="AX608" s="48"/>
      <c r="AY608" s="48">
        <v>1</v>
      </c>
      <c r="AZ608" s="48"/>
      <c r="BA608" s="43">
        <f>IF((W608-SUM(AT608:AZ608))&lt;0,0,W608-SUM(AT608:AZ608))</f>
        <v>0</v>
      </c>
      <c r="BB608" s="49"/>
      <c r="BC608" s="47"/>
      <c r="BD608" s="47"/>
    </row>
    <row r="609" spans="1:56" ht="15" customHeight="1">
      <c r="A609" s="49" t="s">
        <v>2725</v>
      </c>
      <c r="B609" s="39" t="s">
        <v>2448</v>
      </c>
      <c r="C609" s="46" t="s">
        <v>65</v>
      </c>
      <c r="D609" s="49" t="s">
        <v>84</v>
      </c>
      <c r="E609" s="49" t="s">
        <v>2493</v>
      </c>
      <c r="F609" s="39">
        <v>3</v>
      </c>
      <c r="G609" s="75" t="s">
        <v>2726</v>
      </c>
      <c r="H609" s="50" t="s">
        <v>1647</v>
      </c>
      <c r="I609" s="50" t="s">
        <v>2727</v>
      </c>
      <c r="J609" s="50" t="s">
        <v>2728</v>
      </c>
      <c r="K609" s="50"/>
      <c r="L609" s="47"/>
      <c r="M609" s="47"/>
      <c r="N609" s="47"/>
      <c r="O609" s="47"/>
      <c r="P609" s="47"/>
      <c r="Q609" s="47"/>
      <c r="R609" s="47"/>
      <c r="S609" s="47"/>
      <c r="T609" s="47"/>
      <c r="U609" s="47"/>
      <c r="V609" s="50" t="s">
        <v>582</v>
      </c>
      <c r="W609" s="74">
        <v>1</v>
      </c>
      <c r="X609" s="39">
        <f>MAX(0,$AK609-$W609-$Z609)</f>
        <v>0</v>
      </c>
      <c r="Y609" s="39"/>
      <c r="Z609" s="39"/>
      <c r="AA609" s="41">
        <v>1.1399999999999999</v>
      </c>
      <c r="AB609" s="41">
        <f>IF(AND($X609&gt;0,ISNUMBER($AA609)),$X609*$AA609,0)</f>
        <v>0</v>
      </c>
      <c r="AK609" s="39">
        <f>SUM(AL609:AR609)</f>
        <v>1</v>
      </c>
      <c r="AL609" s="90"/>
      <c r="AM609" s="38"/>
      <c r="AN609" s="38"/>
      <c r="AO609" s="38"/>
      <c r="AP609" s="38"/>
      <c r="AQ609" s="97">
        <v>1</v>
      </c>
      <c r="AR609" s="91"/>
      <c r="AS609" s="42">
        <f>SUM(AT609:AZ609)</f>
        <v>1</v>
      </c>
      <c r="AT609" s="48"/>
      <c r="AU609" s="48"/>
      <c r="AV609" s="48"/>
      <c r="AW609" s="48"/>
      <c r="AX609" s="48"/>
      <c r="AY609" s="48">
        <v>1</v>
      </c>
      <c r="AZ609" s="48"/>
      <c r="BA609" s="43">
        <f>IF((W609-SUM(AT609:AZ609))&lt;0,0,W609-SUM(AT609:AZ609))</f>
        <v>0</v>
      </c>
      <c r="BB609" s="49"/>
      <c r="BC609" s="47"/>
      <c r="BD609" s="47"/>
    </row>
    <row r="610" spans="1:56" ht="15" customHeight="1">
      <c r="A610" s="49" t="s">
        <v>2729</v>
      </c>
      <c r="B610" s="39" t="s">
        <v>2448</v>
      </c>
      <c r="C610" s="46" t="s">
        <v>65</v>
      </c>
      <c r="D610" s="49" t="s">
        <v>2730</v>
      </c>
      <c r="E610" s="49"/>
      <c r="F610" s="39">
        <v>0</v>
      </c>
      <c r="G610" s="75" t="s">
        <v>2731</v>
      </c>
      <c r="H610" s="50" t="s">
        <v>68</v>
      </c>
      <c r="I610" s="50" t="s">
        <v>1716</v>
      </c>
      <c r="J610" s="50"/>
      <c r="K610" s="50"/>
      <c r="L610" s="47"/>
      <c r="M610" s="47"/>
      <c r="N610" s="47"/>
      <c r="O610" s="47"/>
      <c r="P610" s="47"/>
      <c r="Q610" s="47"/>
      <c r="R610" s="47"/>
      <c r="S610" s="47"/>
      <c r="T610" s="47"/>
      <c r="U610" s="47"/>
      <c r="V610" s="50" t="s">
        <v>481</v>
      </c>
      <c r="W610" s="74">
        <v>0</v>
      </c>
      <c r="X610" s="39">
        <f>MAX(0,$AK610-$W610-$Z610)</f>
        <v>0</v>
      </c>
      <c r="Y610" s="39"/>
      <c r="Z610" s="39"/>
      <c r="AA610" s="41">
        <v>2.4300000000000002</v>
      </c>
      <c r="AB610" s="41">
        <f>IF(AND($X610&gt;0,ISNUMBER($AA610)),$X610*$AA610,0)</f>
        <v>0</v>
      </c>
      <c r="AC610" s="59"/>
      <c r="AD610" s="59"/>
      <c r="AE610" s="59"/>
      <c r="AF610" s="59"/>
      <c r="AG610" s="59"/>
      <c r="AH610" s="59"/>
      <c r="AI610" s="59"/>
      <c r="AJ610" s="59"/>
      <c r="AK610" s="39">
        <f>SUM(AL610:AR610)</f>
        <v>0</v>
      </c>
      <c r="AL610" s="114"/>
      <c r="AM610" s="43"/>
      <c r="AN610" s="43"/>
      <c r="AO610" s="43"/>
      <c r="AP610" s="43"/>
      <c r="AQ610" s="43"/>
      <c r="AR610" s="116"/>
      <c r="AS610" s="42">
        <f>SUM(AT610:AZ610)</f>
        <v>0</v>
      </c>
      <c r="AT610" s="48"/>
      <c r="AU610" s="48"/>
      <c r="AV610" s="48"/>
      <c r="AW610" s="48"/>
      <c r="AX610" s="48"/>
      <c r="AY610" s="48"/>
      <c r="AZ610" s="48"/>
      <c r="BA610" s="43">
        <f>IF((W610-SUM(AT610:AZ610))&lt;0,0,W610-SUM(AT610:AZ610))</f>
        <v>0</v>
      </c>
      <c r="BB610" s="49"/>
      <c r="BC610" s="47"/>
      <c r="BD610" s="47"/>
    </row>
    <row r="611" spans="1:56" ht="15" customHeight="1">
      <c r="A611" s="49" t="s">
        <v>2732</v>
      </c>
      <c r="B611" s="39" t="s">
        <v>2448</v>
      </c>
      <c r="C611" s="46" t="s">
        <v>65</v>
      </c>
      <c r="D611" s="49" t="s">
        <v>84</v>
      </c>
      <c r="E611" s="49" t="s">
        <v>2733</v>
      </c>
      <c r="F611" s="39">
        <v>2</v>
      </c>
      <c r="G611" s="75" t="s">
        <v>2734</v>
      </c>
      <c r="H611" s="50" t="s">
        <v>108</v>
      </c>
      <c r="I611" s="50" t="s">
        <v>2735</v>
      </c>
      <c r="J611" s="50"/>
      <c r="K611" s="50"/>
      <c r="L611" s="108" t="s">
        <v>2736</v>
      </c>
      <c r="M611" s="46">
        <v>1</v>
      </c>
      <c r="N611" s="46">
        <v>1</v>
      </c>
      <c r="O611" s="68" t="s">
        <v>455</v>
      </c>
      <c r="P611" s="110">
        <v>0.3</v>
      </c>
      <c r="Q611" s="47"/>
      <c r="R611" s="47"/>
      <c r="S611" s="47"/>
      <c r="T611" s="68"/>
      <c r="U611" s="68"/>
      <c r="V611" s="50" t="s">
        <v>119</v>
      </c>
      <c r="W611" s="74">
        <v>1</v>
      </c>
      <c r="X611" s="39">
        <f>MAX(0,$AK611-$W611-$Z611)</f>
        <v>0</v>
      </c>
      <c r="Y611" s="39"/>
      <c r="Z611" s="39"/>
      <c r="AA611" s="41">
        <v>0.3</v>
      </c>
      <c r="AB611" s="41">
        <f>IF(AND($X611&gt;0,ISNUMBER($AA611)),$X611*$AA611,0)</f>
        <v>0</v>
      </c>
      <c r="AK611" s="39">
        <f>SUM(AL611:AR611)</f>
        <v>0</v>
      </c>
      <c r="AL611" s="90"/>
      <c r="AM611" s="38"/>
      <c r="AN611" s="38"/>
      <c r="AO611" s="38"/>
      <c r="AP611" s="38"/>
      <c r="AQ611" s="38"/>
      <c r="AR611" s="91"/>
      <c r="AS611" s="42">
        <f>SUM(AT611:AZ611)</f>
        <v>0</v>
      </c>
      <c r="AT611" s="48"/>
      <c r="AU611" s="48"/>
      <c r="AV611" s="48"/>
      <c r="AW611" s="48"/>
      <c r="AX611" s="48"/>
      <c r="AY611" s="48"/>
      <c r="AZ611" s="48"/>
      <c r="BA611" s="43">
        <f>IF((W611-SUM(AT611:AZ611))&lt;0,0,W611-SUM(AT611:AZ611))</f>
        <v>1</v>
      </c>
      <c r="BB611" s="49"/>
      <c r="BC611" s="47"/>
      <c r="BD611" s="47"/>
    </row>
    <row r="612" spans="1:56" ht="15" customHeight="1">
      <c r="A612" s="49" t="s">
        <v>2737</v>
      </c>
      <c r="B612" s="39" t="s">
        <v>2448</v>
      </c>
      <c r="C612" s="46" t="s">
        <v>65</v>
      </c>
      <c r="D612" s="49" t="s">
        <v>84</v>
      </c>
      <c r="E612" s="49" t="s">
        <v>2574</v>
      </c>
      <c r="F612" s="45">
        <v>4</v>
      </c>
      <c r="G612" s="75" t="s">
        <v>2738</v>
      </c>
      <c r="H612" s="54" t="s">
        <v>1252</v>
      </c>
      <c r="I612" s="54" t="s">
        <v>2739</v>
      </c>
      <c r="J612" s="54"/>
      <c r="K612" s="54"/>
      <c r="L612" s="108" t="s">
        <v>2740</v>
      </c>
      <c r="M612" s="46">
        <v>1</v>
      </c>
      <c r="N612" s="46">
        <v>1</v>
      </c>
      <c r="O612" s="68" t="s">
        <v>2741</v>
      </c>
      <c r="P612" s="110">
        <v>0.25</v>
      </c>
      <c r="Q612" s="47"/>
      <c r="R612" s="47"/>
      <c r="S612" s="47"/>
      <c r="T612" s="68"/>
      <c r="U612" s="68"/>
      <c r="V612" s="54" t="s">
        <v>167</v>
      </c>
      <c r="W612" s="74">
        <v>3</v>
      </c>
      <c r="X612" s="39">
        <f>MAX(0,$AK612-$W612-$Z612)</f>
        <v>0</v>
      </c>
      <c r="Y612" s="44"/>
      <c r="Z612" s="44"/>
      <c r="AA612" s="44">
        <v>0.25</v>
      </c>
      <c r="AB612" s="41">
        <f>IF(AND($X612&gt;0,ISNUMBER($AA612)),$X612*$AA612,0)</f>
        <v>0</v>
      </c>
      <c r="AH612" s="63"/>
      <c r="AK612" s="39">
        <f>SUM(AL612:AR612)</f>
        <v>1</v>
      </c>
      <c r="AL612" s="90"/>
      <c r="AM612" s="38"/>
      <c r="AN612" s="38"/>
      <c r="AO612" s="38"/>
      <c r="AP612" s="38"/>
      <c r="AQ612" s="97">
        <v>1</v>
      </c>
      <c r="AR612" s="91"/>
      <c r="AS612" s="42">
        <f>SUM(AT612:AZ612)</f>
        <v>1</v>
      </c>
      <c r="AT612" s="48"/>
      <c r="AU612" s="48"/>
      <c r="AV612" s="48"/>
      <c r="AW612" s="48"/>
      <c r="AX612" s="48"/>
      <c r="AY612" s="48">
        <v>1</v>
      </c>
      <c r="AZ612" s="48"/>
      <c r="BA612" s="43">
        <f>IF((W612-SUM(AT612:AZ612))&lt;0,0,W612-SUM(AT612:AZ612))</f>
        <v>2</v>
      </c>
      <c r="BB612" s="44"/>
      <c r="BC612" s="47"/>
      <c r="BD612" s="47"/>
    </row>
    <row r="613" spans="1:56" ht="15" customHeight="1">
      <c r="A613" s="49" t="s">
        <v>2742</v>
      </c>
      <c r="B613" s="39" t="s">
        <v>2448</v>
      </c>
      <c r="C613" s="46" t="s">
        <v>65</v>
      </c>
      <c r="D613" s="49" t="s">
        <v>84</v>
      </c>
      <c r="E613" s="49" t="s">
        <v>128</v>
      </c>
      <c r="F613" s="39">
        <v>3</v>
      </c>
      <c r="G613" s="75" t="s">
        <v>2743</v>
      </c>
      <c r="H613" s="50" t="s">
        <v>153</v>
      </c>
      <c r="I613" s="50" t="s">
        <v>2744</v>
      </c>
      <c r="J613" s="50"/>
      <c r="K613" s="50"/>
      <c r="L613" s="47"/>
      <c r="M613" s="47"/>
      <c r="N613" s="47"/>
      <c r="O613" s="68"/>
      <c r="P613" s="68"/>
      <c r="Q613" s="47"/>
      <c r="R613" s="47"/>
      <c r="S613" s="47"/>
      <c r="T613" s="68"/>
      <c r="U613" s="68"/>
      <c r="V613" s="50" t="s">
        <v>822</v>
      </c>
      <c r="W613" s="74">
        <v>2</v>
      </c>
      <c r="X613" s="39">
        <f>MAX(0,$AK613-$W613-$Z613)</f>
        <v>0</v>
      </c>
      <c r="Y613" s="39"/>
      <c r="Z613" s="39"/>
      <c r="AA613" s="41">
        <v>2.0299999999999998</v>
      </c>
      <c r="AB613" s="41">
        <f>IF(AND($X613&gt;0,ISNUMBER($AA613)),$X613*$AA613,0)</f>
        <v>0</v>
      </c>
      <c r="AK613" s="39">
        <f>SUM(AL613:AR613)</f>
        <v>1</v>
      </c>
      <c r="AL613" s="90"/>
      <c r="AM613" s="38"/>
      <c r="AN613" s="38"/>
      <c r="AO613" s="38"/>
      <c r="AP613" s="38"/>
      <c r="AQ613" s="97">
        <v>1</v>
      </c>
      <c r="AR613" s="91"/>
      <c r="AS613" s="42">
        <f>SUM(AT613:AZ613)</f>
        <v>1</v>
      </c>
      <c r="AT613" s="48"/>
      <c r="AU613" s="48"/>
      <c r="AV613" s="48"/>
      <c r="AW613" s="48"/>
      <c r="AX613" s="48"/>
      <c r="AY613" s="48">
        <v>1</v>
      </c>
      <c r="AZ613" s="48"/>
      <c r="BA613" s="43">
        <f>IF((W613-SUM(AT613:AZ613))&lt;0,0,W613-SUM(AT613:AZ613))</f>
        <v>1</v>
      </c>
      <c r="BB613" s="49"/>
      <c r="BC613" s="47"/>
      <c r="BD613" s="47"/>
    </row>
    <row r="614" spans="1:56" ht="15" customHeight="1">
      <c r="A614" s="49" t="s">
        <v>2745</v>
      </c>
      <c r="B614" s="39" t="s">
        <v>2448</v>
      </c>
      <c r="C614" s="46" t="s">
        <v>83</v>
      </c>
      <c r="D614" s="49" t="s">
        <v>84</v>
      </c>
      <c r="E614" s="49" t="s">
        <v>2574</v>
      </c>
      <c r="F614" s="39">
        <v>3</v>
      </c>
      <c r="G614" s="75" t="s">
        <v>2746</v>
      </c>
      <c r="H614" s="50" t="s">
        <v>446</v>
      </c>
      <c r="I614" s="50" t="s">
        <v>2747</v>
      </c>
      <c r="J614" s="50"/>
      <c r="K614" s="50"/>
      <c r="L614" s="46"/>
      <c r="M614" s="46"/>
      <c r="N614" s="46"/>
      <c r="O614" s="46"/>
      <c r="P614" s="46"/>
      <c r="Q614" s="46"/>
      <c r="R614" s="46"/>
      <c r="S614" s="46"/>
      <c r="T614" s="46"/>
      <c r="U614" s="46"/>
      <c r="V614" s="50" t="s">
        <v>276</v>
      </c>
      <c r="W614" s="74">
        <v>0</v>
      </c>
      <c r="X614" s="39">
        <f>MAX(0,$AK614-$W614-$Z614)</f>
        <v>0</v>
      </c>
      <c r="Y614" s="39"/>
      <c r="Z614" s="39"/>
      <c r="AA614" s="41">
        <v>4.7699999999999996</v>
      </c>
      <c r="AB614" s="41">
        <f>IF(AND($X614&gt;0,ISNUMBER($AA614)),$X614*$AA614,0)</f>
        <v>0</v>
      </c>
      <c r="AC614" s="59"/>
      <c r="AD614" s="59"/>
      <c r="AE614" s="59"/>
      <c r="AF614" s="59"/>
      <c r="AG614" s="59"/>
      <c r="AH614" s="59"/>
      <c r="AI614" s="59"/>
      <c r="AJ614" s="59"/>
      <c r="AK614" s="39">
        <f>SUM(AL614:AR614)</f>
        <v>0</v>
      </c>
      <c r="AL614" s="114"/>
      <c r="AM614" s="43"/>
      <c r="AN614" s="43"/>
      <c r="AO614" s="43"/>
      <c r="AP614" s="43"/>
      <c r="AQ614" s="43"/>
      <c r="AR614" s="116"/>
      <c r="AS614" s="42">
        <f>SUM(AT614:AZ614)</f>
        <v>0</v>
      </c>
      <c r="AT614" s="48"/>
      <c r="AU614" s="48"/>
      <c r="AV614" s="48"/>
      <c r="AW614" s="48"/>
      <c r="AX614" s="48"/>
      <c r="AY614" s="48"/>
      <c r="AZ614" s="48"/>
      <c r="BA614" s="43">
        <f>IF((W614-SUM(AT614:AZ614))&lt;0,0,W614-SUM(AT614:AZ614))</f>
        <v>0</v>
      </c>
      <c r="BB614" s="49"/>
      <c r="BC614" s="47"/>
      <c r="BD614" s="53"/>
    </row>
    <row r="615" spans="1:56" ht="15" customHeight="1">
      <c r="A615" s="49" t="s">
        <v>2748</v>
      </c>
      <c r="B615" s="39" t="s">
        <v>2448</v>
      </c>
      <c r="C615" s="46" t="s">
        <v>65</v>
      </c>
      <c r="D615" s="49" t="s">
        <v>134</v>
      </c>
      <c r="E615" s="49"/>
      <c r="F615" s="39">
        <v>3</v>
      </c>
      <c r="G615" s="75" t="s">
        <v>2749</v>
      </c>
      <c r="H615" s="50" t="s">
        <v>153</v>
      </c>
      <c r="I615" s="50" t="s">
        <v>2750</v>
      </c>
      <c r="J615" s="50"/>
      <c r="K615" s="50"/>
      <c r="L615" s="47"/>
      <c r="M615" s="47"/>
      <c r="N615" s="47"/>
      <c r="O615" s="47"/>
      <c r="P615" s="47"/>
      <c r="Q615" s="47"/>
      <c r="R615" s="47"/>
      <c r="S615" s="47"/>
      <c r="T615" s="47"/>
      <c r="U615" s="47"/>
      <c r="V615" s="50" t="s">
        <v>359</v>
      </c>
      <c r="W615" s="74">
        <v>1</v>
      </c>
      <c r="X615" s="39">
        <f>MAX(0,$AK615-$W615-$Z615)</f>
        <v>0</v>
      </c>
      <c r="Y615" s="39"/>
      <c r="Z615" s="39"/>
      <c r="AA615" s="41">
        <v>0.45</v>
      </c>
      <c r="AB615" s="41">
        <f>IF(AND($X615&gt;0,ISNUMBER($AA615)),$X615*$AA615,0)</f>
        <v>0</v>
      </c>
      <c r="AH615" s="63"/>
      <c r="AK615" s="39">
        <f>SUM(AL615:AR615)</f>
        <v>1</v>
      </c>
      <c r="AL615" s="90"/>
      <c r="AM615" s="38"/>
      <c r="AN615" s="38"/>
      <c r="AO615" s="38"/>
      <c r="AP615" s="38"/>
      <c r="AQ615" s="97">
        <v>1</v>
      </c>
      <c r="AR615" s="91"/>
      <c r="AS615" s="42">
        <f>SUM(AT615:AZ615)</f>
        <v>1</v>
      </c>
      <c r="AT615" s="48"/>
      <c r="AU615" s="48"/>
      <c r="AV615" s="48"/>
      <c r="AW615" s="48"/>
      <c r="AX615" s="48"/>
      <c r="AY615" s="48">
        <v>1</v>
      </c>
      <c r="AZ615" s="48"/>
      <c r="BA615" s="43">
        <f>IF((W615-SUM(AT615:AZ615))&lt;0,0,W615-SUM(AT615:AZ615))</f>
        <v>0</v>
      </c>
      <c r="BB615" s="49"/>
      <c r="BC615" s="47"/>
      <c r="BD615" s="47"/>
    </row>
    <row r="616" spans="1:56" ht="15" customHeight="1">
      <c r="A616" s="49" t="s">
        <v>2751</v>
      </c>
      <c r="B616" s="39" t="s">
        <v>2448</v>
      </c>
      <c r="C616" s="46" t="s">
        <v>65</v>
      </c>
      <c r="D616" s="49" t="s">
        <v>256</v>
      </c>
      <c r="E616" s="49"/>
      <c r="F616" s="39">
        <v>2</v>
      </c>
      <c r="G616" s="75" t="s">
        <v>2752</v>
      </c>
      <c r="H616" s="50" t="s">
        <v>2605</v>
      </c>
      <c r="I616" s="50" t="s">
        <v>2753</v>
      </c>
      <c r="J616" s="50"/>
      <c r="K616" s="50"/>
      <c r="L616" s="47"/>
      <c r="M616" s="47"/>
      <c r="N616" s="47"/>
      <c r="O616" s="47"/>
      <c r="P616" s="47"/>
      <c r="Q616" s="47"/>
      <c r="R616" s="47"/>
      <c r="S616" s="47"/>
      <c r="T616" s="47"/>
      <c r="U616" s="47"/>
      <c r="V616" s="50" t="s">
        <v>1228</v>
      </c>
      <c r="W616" s="74">
        <v>1</v>
      </c>
      <c r="X616" s="39">
        <f>MAX(0,$AK616-$W616-$Z616)</f>
        <v>0</v>
      </c>
      <c r="Y616" s="39"/>
      <c r="Z616" s="39"/>
      <c r="AA616" s="41">
        <v>2.1</v>
      </c>
      <c r="AB616" s="41">
        <f>IF(AND($X616&gt;0,ISNUMBER($AA616)),$X616*$AA616,0)</f>
        <v>0</v>
      </c>
      <c r="AK616" s="39">
        <f>SUM(AL616:AR616)</f>
        <v>1</v>
      </c>
      <c r="AL616" s="90"/>
      <c r="AM616" s="38"/>
      <c r="AN616" s="38"/>
      <c r="AO616" s="38"/>
      <c r="AP616" s="38"/>
      <c r="AQ616" s="98">
        <v>1</v>
      </c>
      <c r="AR616" s="91"/>
      <c r="AS616" s="42">
        <f>SUM(AT616:AZ616)</f>
        <v>1</v>
      </c>
      <c r="AT616" s="48"/>
      <c r="AU616" s="48"/>
      <c r="AV616" s="48"/>
      <c r="AW616" s="48"/>
      <c r="AX616" s="48"/>
      <c r="AY616" s="48">
        <v>1</v>
      </c>
      <c r="AZ616" s="48"/>
      <c r="BA616" s="43">
        <f>IF((W616-SUM(AT616:AZ616))&lt;0,0,W616-SUM(AT616:AZ616))</f>
        <v>0</v>
      </c>
      <c r="BB616" s="49"/>
      <c r="BC616" s="47"/>
      <c r="BD616" s="47"/>
    </row>
    <row r="617" spans="1:56" ht="15" customHeight="1">
      <c r="A617" s="35" t="s">
        <v>2754</v>
      </c>
      <c r="B617" s="36" t="s">
        <v>2448</v>
      </c>
      <c r="C617" s="38" t="s">
        <v>65</v>
      </c>
      <c r="D617" s="35" t="s">
        <v>134</v>
      </c>
      <c r="E617" s="35"/>
      <c r="F617" s="36">
        <v>1</v>
      </c>
      <c r="G617" s="75" t="s">
        <v>2755</v>
      </c>
      <c r="H617" s="35" t="s">
        <v>499</v>
      </c>
      <c r="I617" s="35" t="s">
        <v>2756</v>
      </c>
      <c r="J617" s="35" t="s">
        <v>1315</v>
      </c>
      <c r="K617" s="35"/>
      <c r="L617" s="37"/>
      <c r="M617" s="37"/>
      <c r="N617" s="37"/>
      <c r="O617" s="68"/>
      <c r="P617" s="68"/>
      <c r="Q617" s="37"/>
      <c r="R617" s="37"/>
      <c r="S617" s="37"/>
      <c r="T617" s="68"/>
      <c r="U617" s="68"/>
      <c r="V617" s="35" t="s">
        <v>119</v>
      </c>
      <c r="W617" s="74">
        <v>1</v>
      </c>
      <c r="X617" s="39">
        <f>MAX(0,$AK617-$W617-$Z617)</f>
        <v>0</v>
      </c>
      <c r="Y617" s="35"/>
      <c r="Z617" s="35"/>
      <c r="AA617" s="40">
        <v>0.33</v>
      </c>
      <c r="AB617" s="41">
        <f>IF(AND($X617&gt;0,ISNUMBER($AA617)),$X617*$AA617,0)</f>
        <v>0</v>
      </c>
      <c r="AK617" s="39">
        <f>SUM(AL617:AR617)</f>
        <v>0</v>
      </c>
      <c r="AL617" s="90"/>
      <c r="AM617" s="38"/>
      <c r="AN617" s="38"/>
      <c r="AO617" s="38"/>
      <c r="AP617" s="38"/>
      <c r="AQ617" s="38"/>
      <c r="AR617" s="91"/>
      <c r="AS617" s="42">
        <f>SUM(AT617:AZ617)</f>
        <v>0</v>
      </c>
      <c r="AT617" s="48"/>
      <c r="AU617" s="48"/>
      <c r="AV617" s="48"/>
      <c r="AW617" s="48"/>
      <c r="AX617" s="48"/>
      <c r="AY617" s="48"/>
      <c r="AZ617" s="48"/>
      <c r="BA617" s="43">
        <f>IF((W617-SUM(AT617:AZ617))&lt;0,0,W617-SUM(AT617:AZ617))</f>
        <v>1</v>
      </c>
      <c r="BB617" s="35"/>
      <c r="BC617" s="37"/>
      <c r="BD617" s="37"/>
    </row>
    <row r="618" spans="1:56" ht="15" customHeight="1">
      <c r="A618" s="44" t="s">
        <v>2757</v>
      </c>
      <c r="B618" s="45" t="s">
        <v>2448</v>
      </c>
      <c r="C618" s="46" t="s">
        <v>65</v>
      </c>
      <c r="D618" s="44" t="s">
        <v>84</v>
      </c>
      <c r="E618" s="44" t="s">
        <v>2589</v>
      </c>
      <c r="F618" s="45">
        <v>5</v>
      </c>
      <c r="G618" s="75" t="s">
        <v>2758</v>
      </c>
      <c r="H618" s="44" t="s">
        <v>238</v>
      </c>
      <c r="I618" s="44" t="s">
        <v>2759</v>
      </c>
      <c r="J618" s="44" t="s">
        <v>2760</v>
      </c>
      <c r="K618" s="44"/>
      <c r="L618" s="47"/>
      <c r="M618" s="47"/>
      <c r="N618" s="47"/>
      <c r="O618" s="68"/>
      <c r="P618" s="68"/>
      <c r="Q618" s="47"/>
      <c r="R618" s="47"/>
      <c r="S618" s="47"/>
      <c r="T618" s="68"/>
      <c r="U618" s="68"/>
      <c r="V618" s="44" t="s">
        <v>167</v>
      </c>
      <c r="W618" s="74">
        <v>2</v>
      </c>
      <c r="X618" s="39">
        <f>MAX(0,$AK618-$W618-$Z618)</f>
        <v>0</v>
      </c>
      <c r="Y618" s="44"/>
      <c r="Z618" s="44"/>
      <c r="AA618" s="44">
        <v>0.12</v>
      </c>
      <c r="AB618" s="44">
        <f>IF(AND($X618&gt;0,ISNUMBER($AA618)),$X618*$AA618,0)</f>
        <v>0</v>
      </c>
      <c r="AK618" s="39">
        <f>SUM(AL618:AR618)</f>
        <v>0</v>
      </c>
      <c r="AL618" s="90"/>
      <c r="AM618" s="38"/>
      <c r="AN618" s="38"/>
      <c r="AO618" s="38"/>
      <c r="AP618" s="38"/>
      <c r="AQ618" s="38"/>
      <c r="AR618" s="91"/>
      <c r="AS618" s="42">
        <f>SUM(AT618:AZ618)</f>
        <v>0</v>
      </c>
      <c r="AT618" s="48"/>
      <c r="AU618" s="48"/>
      <c r="AV618" s="48"/>
      <c r="AW618" s="48"/>
      <c r="AX618" s="48"/>
      <c r="AY618" s="48"/>
      <c r="AZ618" s="48"/>
      <c r="BA618" s="43">
        <f>IF((W618-SUM(AT618:AZ618))&lt;0,0,W618-SUM(AT618:AZ618))</f>
        <v>2</v>
      </c>
      <c r="BB618" s="44"/>
      <c r="BC618" s="47"/>
      <c r="BD618" s="47"/>
    </row>
    <row r="619" spans="1:56" ht="15" customHeight="1">
      <c r="A619" s="49" t="s">
        <v>2761</v>
      </c>
      <c r="B619" s="39" t="s">
        <v>2448</v>
      </c>
      <c r="C619" s="46" t="s">
        <v>83</v>
      </c>
      <c r="D619" s="49" t="s">
        <v>134</v>
      </c>
      <c r="E619" s="49"/>
      <c r="F619" s="39">
        <v>3</v>
      </c>
      <c r="G619" s="75" t="s">
        <v>2762</v>
      </c>
      <c r="H619" s="50" t="s">
        <v>87</v>
      </c>
      <c r="I619" s="50" t="s">
        <v>2763</v>
      </c>
      <c r="J619" s="50" t="s">
        <v>2764</v>
      </c>
      <c r="K619" s="50" t="s">
        <v>2765</v>
      </c>
      <c r="L619" s="47"/>
      <c r="M619" s="47"/>
      <c r="N619" s="47"/>
      <c r="O619" s="47"/>
      <c r="P619" s="47"/>
      <c r="Q619" s="47"/>
      <c r="R619" s="47"/>
      <c r="S619" s="47"/>
      <c r="T619" s="47"/>
      <c r="U619" s="47"/>
      <c r="V619" s="50" t="s">
        <v>132</v>
      </c>
      <c r="W619" s="74">
        <v>0</v>
      </c>
      <c r="X619" s="39">
        <f>MAX(0,$AK619-$W619-$Z619)</f>
        <v>0</v>
      </c>
      <c r="Y619" s="39"/>
      <c r="Z619" s="39"/>
      <c r="AA619" s="41">
        <v>40.090000000000003</v>
      </c>
      <c r="AB619" s="41">
        <f>IF(AND($X619&gt;0,ISNUMBER($AA619)),$X619*$AA619,0)</f>
        <v>0</v>
      </c>
      <c r="AC619" s="59"/>
      <c r="AD619" s="59"/>
      <c r="AE619" s="59"/>
      <c r="AF619" s="59"/>
      <c r="AG619" s="59"/>
      <c r="AH619" s="59"/>
      <c r="AI619" s="59"/>
      <c r="AJ619" s="59"/>
      <c r="AK619" s="39">
        <f>SUM(AL619:AR619)</f>
        <v>0</v>
      </c>
      <c r="AL619" s="114"/>
      <c r="AM619" s="43"/>
      <c r="AN619" s="43"/>
      <c r="AO619" s="43"/>
      <c r="AP619" s="43"/>
      <c r="AQ619" s="43"/>
      <c r="AR619" s="116"/>
      <c r="AS619" s="42">
        <f>SUM(AT619:AZ619)</f>
        <v>0</v>
      </c>
      <c r="AT619" s="48"/>
      <c r="AU619" s="48"/>
      <c r="AV619" s="48"/>
      <c r="AW619" s="48"/>
      <c r="AX619" s="48"/>
      <c r="AY619" s="48"/>
      <c r="AZ619" s="48"/>
      <c r="BA619" s="43">
        <f>IF((W619-SUM(AT619:AZ619))&lt;0,0,W619-SUM(AT619:AZ619))</f>
        <v>0</v>
      </c>
      <c r="BB619" s="49"/>
      <c r="BC619" s="47"/>
      <c r="BD619" s="47"/>
    </row>
    <row r="620" spans="1:56" ht="15" customHeight="1">
      <c r="A620" s="49" t="s">
        <v>2766</v>
      </c>
      <c r="B620" s="39" t="s">
        <v>2448</v>
      </c>
      <c r="C620" s="46" t="s">
        <v>83</v>
      </c>
      <c r="D620" s="49" t="s">
        <v>178</v>
      </c>
      <c r="E620" s="49" t="s">
        <v>2767</v>
      </c>
      <c r="F620" s="39">
        <v>5</v>
      </c>
      <c r="G620" s="75" t="s">
        <v>2768</v>
      </c>
      <c r="H620" s="50" t="s">
        <v>100</v>
      </c>
      <c r="I620" s="50" t="s">
        <v>2510</v>
      </c>
      <c r="J620" s="50" t="s">
        <v>2769</v>
      </c>
      <c r="K620" s="50"/>
      <c r="L620" s="47"/>
      <c r="M620" s="47"/>
      <c r="N620" s="47"/>
      <c r="O620" s="47"/>
      <c r="P620" s="47"/>
      <c r="Q620" s="47"/>
      <c r="R620" s="47"/>
      <c r="S620" s="47"/>
      <c r="T620" s="47"/>
      <c r="U620" s="47"/>
      <c r="V620" s="50" t="s">
        <v>1415</v>
      </c>
      <c r="W620" s="74">
        <v>0</v>
      </c>
      <c r="X620" s="39">
        <f>MAX(0,$AK620-$W620-$Z620)</f>
        <v>0</v>
      </c>
      <c r="Y620" s="39"/>
      <c r="Z620" s="39"/>
      <c r="AA620" s="41">
        <v>14.23</v>
      </c>
      <c r="AB620" s="41">
        <f>IF(AND($X620&gt;0,ISNUMBER($AA620)),$X620*$AA620,0)</f>
        <v>0</v>
      </c>
      <c r="AC620" s="59"/>
      <c r="AD620" s="59"/>
      <c r="AE620" s="59"/>
      <c r="AF620" s="59"/>
      <c r="AG620" s="59"/>
      <c r="AH620" s="59"/>
      <c r="AI620" s="59"/>
      <c r="AJ620" s="59"/>
      <c r="AK620" s="39">
        <f>SUM(AL620:AR620)</f>
        <v>0</v>
      </c>
      <c r="AL620" s="114"/>
      <c r="AM620" s="43"/>
      <c r="AN620" s="43"/>
      <c r="AO620" s="43"/>
      <c r="AP620" s="43"/>
      <c r="AQ620" s="43"/>
      <c r="AR620" s="116"/>
      <c r="AS620" s="42">
        <f>SUM(AT620:AZ620)</f>
        <v>0</v>
      </c>
      <c r="AT620" s="48"/>
      <c r="AU620" s="48"/>
      <c r="AV620" s="48"/>
      <c r="AW620" s="48"/>
      <c r="AX620" s="48"/>
      <c r="AY620" s="48"/>
      <c r="AZ620" s="48"/>
      <c r="BA620" s="43">
        <f>IF((W620-SUM(AT620:AZ620))&lt;0,0,W620-SUM(AT620:AZ620))</f>
        <v>0</v>
      </c>
      <c r="BB620" s="49"/>
      <c r="BC620" s="47"/>
      <c r="BD620" s="47"/>
    </row>
    <row r="621" spans="1:56" ht="15" customHeight="1">
      <c r="A621" s="44" t="s">
        <v>2770</v>
      </c>
      <c r="B621" s="45" t="s">
        <v>2448</v>
      </c>
      <c r="C621" s="46" t="s">
        <v>65</v>
      </c>
      <c r="D621" s="44" t="s">
        <v>2771</v>
      </c>
      <c r="E621" s="44" t="s">
        <v>450</v>
      </c>
      <c r="F621" s="45">
        <v>4</v>
      </c>
      <c r="G621" s="75" t="s">
        <v>2772</v>
      </c>
      <c r="H621" s="44" t="s">
        <v>2773</v>
      </c>
      <c r="I621" s="44" t="s">
        <v>2774</v>
      </c>
      <c r="J621" s="44" t="s">
        <v>2775</v>
      </c>
      <c r="K621" s="44"/>
      <c r="L621" s="47"/>
      <c r="M621" s="47"/>
      <c r="N621" s="47"/>
      <c r="O621" s="68"/>
      <c r="P621" s="68"/>
      <c r="Q621" s="47"/>
      <c r="R621" s="47"/>
      <c r="S621" s="47"/>
      <c r="T621" s="68"/>
      <c r="U621" s="68"/>
      <c r="V621" s="44" t="s">
        <v>119</v>
      </c>
      <c r="W621" s="74">
        <v>1</v>
      </c>
      <c r="X621" s="39">
        <f>MAX(0,$AK621-$W621-$Z621)</f>
        <v>0</v>
      </c>
      <c r="Y621" s="44"/>
      <c r="Z621" s="44"/>
      <c r="AA621" s="44">
        <v>0.26</v>
      </c>
      <c r="AB621" s="44">
        <f>IF(AND($X621&gt;0,ISNUMBER($AA621)),$X621*$AA621,0)</f>
        <v>0</v>
      </c>
      <c r="AK621" s="39">
        <f>SUM(AL621:AR621)</f>
        <v>0</v>
      </c>
      <c r="AL621" s="90"/>
      <c r="AM621" s="38"/>
      <c r="AN621" s="38"/>
      <c r="AO621" s="38"/>
      <c r="AP621" s="38"/>
      <c r="AQ621" s="38"/>
      <c r="AR621" s="91"/>
      <c r="AS621" s="42">
        <f>SUM(AT621:AZ621)</f>
        <v>0</v>
      </c>
      <c r="AT621" s="48"/>
      <c r="AU621" s="48"/>
      <c r="AV621" s="48"/>
      <c r="AW621" s="48"/>
      <c r="AX621" s="48"/>
      <c r="AY621" s="48"/>
      <c r="AZ621" s="48"/>
      <c r="BA621" s="43">
        <f>IF((W621-SUM(AT621:AZ621))&lt;0,0,W621-SUM(AT621:AZ621))</f>
        <v>1</v>
      </c>
      <c r="BB621" s="44"/>
      <c r="BC621" s="47"/>
      <c r="BD621" s="47"/>
    </row>
    <row r="622" spans="1:56" ht="15" customHeight="1">
      <c r="A622" s="49" t="s">
        <v>2776</v>
      </c>
      <c r="B622" s="39" t="s">
        <v>2448</v>
      </c>
      <c r="C622" s="46" t="s">
        <v>65</v>
      </c>
      <c r="D622" s="49" t="s">
        <v>178</v>
      </c>
      <c r="E622" s="49" t="s">
        <v>2493</v>
      </c>
      <c r="F622" s="39">
        <v>4</v>
      </c>
      <c r="G622" s="75" t="s">
        <v>2777</v>
      </c>
      <c r="H622" s="50" t="s">
        <v>402</v>
      </c>
      <c r="I622" s="50" t="s">
        <v>2778</v>
      </c>
      <c r="J622" s="50"/>
      <c r="K622" s="50"/>
      <c r="L622" s="47"/>
      <c r="M622" s="47"/>
      <c r="N622" s="47"/>
      <c r="O622" s="68"/>
      <c r="P622" s="68"/>
      <c r="Q622" s="47"/>
      <c r="R622" s="47"/>
      <c r="S622" s="47"/>
      <c r="T622" s="68"/>
      <c r="U622" s="68"/>
      <c r="V622" s="50" t="s">
        <v>2779</v>
      </c>
      <c r="W622" s="74">
        <v>2</v>
      </c>
      <c r="X622" s="39">
        <f>MAX(0,$AK622-$W622-$Z622)</f>
        <v>0</v>
      </c>
      <c r="Y622" s="39"/>
      <c r="Z622" s="39"/>
      <c r="AA622" s="41">
        <v>3.22</v>
      </c>
      <c r="AB622" s="41">
        <f>IF(AND($X622&gt;0,ISNUMBER($AA622)),$X622*$AA622,0)</f>
        <v>0</v>
      </c>
      <c r="AK622" s="39">
        <f>SUM(AL622:AR622)</f>
        <v>1</v>
      </c>
      <c r="AL622" s="90"/>
      <c r="AM622" s="38"/>
      <c r="AN622" s="38"/>
      <c r="AO622" s="38"/>
      <c r="AP622" s="38"/>
      <c r="AQ622" s="97">
        <v>1</v>
      </c>
      <c r="AR622" s="91"/>
      <c r="AS622" s="42">
        <f>SUM(AT622:AZ622)</f>
        <v>1</v>
      </c>
      <c r="AT622" s="48"/>
      <c r="AU622" s="48"/>
      <c r="AV622" s="48"/>
      <c r="AW622" s="48"/>
      <c r="AX622" s="48"/>
      <c r="AY622" s="48">
        <v>1</v>
      </c>
      <c r="AZ622" s="48"/>
      <c r="BA622" s="43">
        <f>IF((W622-SUM(AT622:AZ622))&lt;0,0,W622-SUM(AT622:AZ622))</f>
        <v>1</v>
      </c>
      <c r="BB622" s="49"/>
      <c r="BC622" s="47"/>
      <c r="BD622" s="47"/>
    </row>
    <row r="623" spans="1:56" ht="15" customHeight="1">
      <c r="A623" s="49" t="s">
        <v>2780</v>
      </c>
      <c r="B623" s="39" t="s">
        <v>2448</v>
      </c>
      <c r="C623" s="46" t="s">
        <v>65</v>
      </c>
      <c r="D623" s="49" t="s">
        <v>178</v>
      </c>
      <c r="E623" s="49" t="s">
        <v>269</v>
      </c>
      <c r="F623" s="39">
        <v>3</v>
      </c>
      <c r="G623" s="75" t="s">
        <v>2781</v>
      </c>
      <c r="H623" s="50" t="s">
        <v>153</v>
      </c>
      <c r="I623" s="50" t="s">
        <v>2782</v>
      </c>
      <c r="J623" s="50"/>
      <c r="K623" s="50"/>
      <c r="L623" s="47"/>
      <c r="M623" s="47"/>
      <c r="N623" s="47"/>
      <c r="O623" s="47"/>
      <c r="P623" s="47"/>
      <c r="Q623" s="47"/>
      <c r="R623" s="47"/>
      <c r="S623" s="47"/>
      <c r="T623" s="47"/>
      <c r="U623" s="47"/>
      <c r="V623" s="50" t="s">
        <v>281</v>
      </c>
      <c r="W623" s="74">
        <v>1</v>
      </c>
      <c r="X623" s="39">
        <f>MAX(0,$AK623-$W623-$Z623)</f>
        <v>0</v>
      </c>
      <c r="Y623" s="39"/>
      <c r="Z623" s="39"/>
      <c r="AA623" s="41">
        <v>2.63</v>
      </c>
      <c r="AB623" s="41">
        <f>IF(AND($X623&gt;0,ISNUMBER($AA623)),$X623*$AA623,0)</f>
        <v>0</v>
      </c>
      <c r="AK623" s="39">
        <f>SUM(AL623:AR623)</f>
        <v>1</v>
      </c>
      <c r="AL623" s="90"/>
      <c r="AM623" s="38"/>
      <c r="AN623" s="38"/>
      <c r="AO623" s="38"/>
      <c r="AP623" s="38"/>
      <c r="AQ623" s="97">
        <v>1</v>
      </c>
      <c r="AR623" s="91"/>
      <c r="AS623" s="42">
        <f>SUM(AT623:AZ623)</f>
        <v>1</v>
      </c>
      <c r="AT623" s="48"/>
      <c r="AU623" s="48"/>
      <c r="AV623" s="48"/>
      <c r="AW623" s="48"/>
      <c r="AX623" s="48"/>
      <c r="AY623" s="48">
        <v>1</v>
      </c>
      <c r="AZ623" s="48"/>
      <c r="BA623" s="43">
        <f>IF((W623-SUM(AT623:AZ623))&lt;0,0,W623-SUM(AT623:AZ623))</f>
        <v>0</v>
      </c>
      <c r="BB623" s="49"/>
      <c r="BC623" s="47"/>
      <c r="BD623" s="47"/>
    </row>
    <row r="624" spans="1:56" ht="15" customHeight="1">
      <c r="A624" s="49" t="s">
        <v>2783</v>
      </c>
      <c r="B624" s="39" t="s">
        <v>2448</v>
      </c>
      <c r="C624" s="46" t="s">
        <v>65</v>
      </c>
      <c r="D624" s="49" t="s">
        <v>134</v>
      </c>
      <c r="E624" s="49"/>
      <c r="F624" s="39">
        <v>2</v>
      </c>
      <c r="G624" s="75" t="s">
        <v>2594</v>
      </c>
      <c r="H624" s="50" t="s">
        <v>153</v>
      </c>
      <c r="I624" s="50" t="s">
        <v>2595</v>
      </c>
      <c r="J624" s="50"/>
      <c r="K624" s="50"/>
      <c r="L624" s="47"/>
      <c r="M624" s="47"/>
      <c r="N624" s="47"/>
      <c r="O624" s="68"/>
      <c r="P624" s="68"/>
      <c r="Q624" s="47"/>
      <c r="R624" s="47"/>
      <c r="S624" s="47"/>
      <c r="T624" s="68"/>
      <c r="U624" s="68"/>
      <c r="V624" s="50" t="s">
        <v>2779</v>
      </c>
      <c r="W624" s="74">
        <v>2</v>
      </c>
      <c r="X624" s="39">
        <f>MAX(0,$AK624-$W624-$Z624)</f>
        <v>0</v>
      </c>
      <c r="Y624" s="39"/>
      <c r="Z624" s="39"/>
      <c r="AA624" s="41">
        <v>0.24</v>
      </c>
      <c r="AB624" s="41">
        <f>IF(AND($X624&gt;0,ISNUMBER($AA624)),$X624*$AA624,0)</f>
        <v>0</v>
      </c>
      <c r="AH624" s="63"/>
      <c r="AK624" s="39">
        <f>SUM(AL624:AR624)</f>
        <v>1</v>
      </c>
      <c r="AL624" s="90"/>
      <c r="AM624" s="38"/>
      <c r="AN624" s="38"/>
      <c r="AO624" s="38"/>
      <c r="AP624" s="38"/>
      <c r="AQ624" s="97">
        <v>1</v>
      </c>
      <c r="AR624" s="91"/>
      <c r="AS624" s="42">
        <f>SUM(AT624:AZ624)</f>
        <v>1</v>
      </c>
      <c r="AT624" s="48"/>
      <c r="AU624" s="48"/>
      <c r="AV624" s="48"/>
      <c r="AW624" s="48"/>
      <c r="AX624" s="48"/>
      <c r="AY624" s="48">
        <v>1</v>
      </c>
      <c r="AZ624" s="48"/>
      <c r="BA624" s="43">
        <f>IF((W624-SUM(AT624:AZ624))&lt;0,0,W624-SUM(AT624:AZ624))</f>
        <v>1</v>
      </c>
      <c r="BB624" s="49"/>
      <c r="BC624" s="47"/>
      <c r="BD624" s="47"/>
    </row>
    <row r="625" spans="1:56" ht="15" customHeight="1">
      <c r="A625" s="49" t="s">
        <v>2784</v>
      </c>
      <c r="B625" s="39" t="s">
        <v>2448</v>
      </c>
      <c r="C625" s="46" t="s">
        <v>65</v>
      </c>
      <c r="D625" s="49" t="s">
        <v>84</v>
      </c>
      <c r="E625" s="49" t="s">
        <v>2641</v>
      </c>
      <c r="F625" s="39">
        <v>6</v>
      </c>
      <c r="G625" s="75" t="s">
        <v>2785</v>
      </c>
      <c r="H625" s="50" t="s">
        <v>162</v>
      </c>
      <c r="I625" s="50" t="s">
        <v>2786</v>
      </c>
      <c r="J625" s="50" t="s">
        <v>2787</v>
      </c>
      <c r="K625" s="50"/>
      <c r="L625" s="47"/>
      <c r="M625" s="47"/>
      <c r="N625" s="47"/>
      <c r="O625" s="68"/>
      <c r="P625" s="68"/>
      <c r="Q625" s="47"/>
      <c r="R625" s="47"/>
      <c r="S625" s="47"/>
      <c r="T625" s="68"/>
      <c r="U625" s="68"/>
      <c r="V625" s="50" t="s">
        <v>119</v>
      </c>
      <c r="W625" s="74">
        <v>2</v>
      </c>
      <c r="X625" s="39">
        <f>MAX(0,$AK625-$W625-$Z625)</f>
        <v>0</v>
      </c>
      <c r="Y625" s="39"/>
      <c r="Z625" s="39"/>
      <c r="AA625" s="41">
        <v>0.14000000000000001</v>
      </c>
      <c r="AB625" s="41">
        <f>IF(AND($X625&gt;0,ISNUMBER($AA625)),$X625*$AA625,0)</f>
        <v>0</v>
      </c>
      <c r="AK625" s="39">
        <f>SUM(AL625:AR625)</f>
        <v>0</v>
      </c>
      <c r="AL625" s="90"/>
      <c r="AM625" s="38"/>
      <c r="AN625" s="38"/>
      <c r="AO625" s="38"/>
      <c r="AP625" s="38"/>
      <c r="AQ625" s="38"/>
      <c r="AR625" s="91"/>
      <c r="AS625" s="42">
        <f>SUM(AT625:AZ625)</f>
        <v>0</v>
      </c>
      <c r="AT625" s="48"/>
      <c r="AU625" s="48"/>
      <c r="AV625" s="48"/>
      <c r="AW625" s="48"/>
      <c r="AX625" s="48"/>
      <c r="AY625" s="48"/>
      <c r="AZ625" s="48"/>
      <c r="BA625" s="43">
        <f>IF((W625-SUM(AT625:AZ625))&lt;0,0,W625-SUM(AT625:AZ625))</f>
        <v>2</v>
      </c>
      <c r="BB625" s="49"/>
      <c r="BC625" s="47"/>
      <c r="BD625" s="47"/>
    </row>
    <row r="626" spans="1:56" ht="15" customHeight="1">
      <c r="A626" s="49" t="s">
        <v>2788</v>
      </c>
      <c r="B626" s="39" t="s">
        <v>2448</v>
      </c>
      <c r="C626" s="46" t="s">
        <v>65</v>
      </c>
      <c r="D626" s="49" t="s">
        <v>178</v>
      </c>
      <c r="E626" s="49" t="s">
        <v>2789</v>
      </c>
      <c r="F626" s="39">
        <v>3</v>
      </c>
      <c r="G626" s="75" t="s">
        <v>2790</v>
      </c>
      <c r="H626" s="50" t="s">
        <v>1252</v>
      </c>
      <c r="I626" s="50" t="s">
        <v>2098</v>
      </c>
      <c r="J626" s="50" t="s">
        <v>2791</v>
      </c>
      <c r="K626" s="50" t="s">
        <v>2792</v>
      </c>
      <c r="L626" s="46"/>
      <c r="M626" s="46"/>
      <c r="N626" s="46"/>
      <c r="O626" s="46"/>
      <c r="P626" s="46"/>
      <c r="Q626" s="46"/>
      <c r="R626" s="46"/>
      <c r="S626" s="46"/>
      <c r="T626" s="46"/>
      <c r="U626" s="46"/>
      <c r="V626" s="50" t="s">
        <v>432</v>
      </c>
      <c r="W626" s="74">
        <v>1</v>
      </c>
      <c r="X626" s="39">
        <f>MAX(0,$AK626-$W626-$Z626)</f>
        <v>0</v>
      </c>
      <c r="Y626" s="39"/>
      <c r="Z626" s="39"/>
      <c r="AA626" s="41">
        <v>0.3</v>
      </c>
      <c r="AB626" s="41">
        <f>IF(AND($X626&gt;0,ISNUMBER($AA626)),$X626*$AA626,0)</f>
        <v>0</v>
      </c>
      <c r="AK626" s="39">
        <f>SUM(AL626:AR626)</f>
        <v>1</v>
      </c>
      <c r="AL626" s="102">
        <v>1</v>
      </c>
      <c r="AM626" s="38"/>
      <c r="AN626" s="38"/>
      <c r="AO626" s="38"/>
      <c r="AP626" s="38"/>
      <c r="AQ626" s="38"/>
      <c r="AR626" s="91"/>
      <c r="AS626" s="42">
        <f>SUM(AT626:AZ626)</f>
        <v>1</v>
      </c>
      <c r="AT626" s="48">
        <v>1</v>
      </c>
      <c r="AU626" s="48"/>
      <c r="AV626" s="48"/>
      <c r="AW626" s="48"/>
      <c r="AX626" s="48"/>
      <c r="AY626" s="48"/>
      <c r="AZ626" s="48"/>
      <c r="BA626" s="43">
        <f>IF((W626-SUM(AT626:AZ626))&lt;0,0,W626-SUM(AT626:AZ626))</f>
        <v>0</v>
      </c>
      <c r="BB626" s="49"/>
      <c r="BC626" s="47"/>
      <c r="BD626" s="47"/>
    </row>
    <row r="627" spans="1:56" ht="15" customHeight="1">
      <c r="A627" s="49" t="s">
        <v>2793</v>
      </c>
      <c r="B627" s="39" t="s">
        <v>2448</v>
      </c>
      <c r="C627" s="46" t="s">
        <v>65</v>
      </c>
      <c r="D627" s="49" t="s">
        <v>84</v>
      </c>
      <c r="E627" s="49" t="s">
        <v>643</v>
      </c>
      <c r="F627" s="39">
        <v>3</v>
      </c>
      <c r="G627" s="75" t="s">
        <v>2794</v>
      </c>
      <c r="H627" s="50" t="s">
        <v>153</v>
      </c>
      <c r="I627" s="50" t="s">
        <v>2795</v>
      </c>
      <c r="J627" s="50" t="s">
        <v>2796</v>
      </c>
      <c r="K627" s="50"/>
      <c r="L627" s="47"/>
      <c r="M627" s="47"/>
      <c r="N627" s="47"/>
      <c r="O627" s="47"/>
      <c r="P627" s="47"/>
      <c r="Q627" s="47"/>
      <c r="R627" s="47"/>
      <c r="S627" s="47"/>
      <c r="T627" s="47"/>
      <c r="U627" s="47"/>
      <c r="V627" s="50" t="s">
        <v>779</v>
      </c>
      <c r="W627" s="74">
        <v>1</v>
      </c>
      <c r="X627" s="39">
        <f>MAX(0,$AK627-$W627-$Z627)</f>
        <v>0</v>
      </c>
      <c r="Y627" s="39"/>
      <c r="Z627" s="39"/>
      <c r="AA627" s="41">
        <v>0.35</v>
      </c>
      <c r="AB627" s="41">
        <f>IF(AND($X627&gt;0,ISNUMBER($AA627)),$X627*$AA627,0)</f>
        <v>0</v>
      </c>
      <c r="AK627" s="39">
        <f>SUM(AL627:AR627)</f>
        <v>1</v>
      </c>
      <c r="AL627" s="90"/>
      <c r="AM627" s="38"/>
      <c r="AN627" s="38"/>
      <c r="AO627" s="38"/>
      <c r="AP627" s="38"/>
      <c r="AQ627" s="97">
        <v>1</v>
      </c>
      <c r="AR627" s="91"/>
      <c r="AS627" s="42">
        <f>SUM(AT627:AZ627)</f>
        <v>1</v>
      </c>
      <c r="AT627" s="48"/>
      <c r="AU627" s="48"/>
      <c r="AV627" s="48"/>
      <c r="AW627" s="48"/>
      <c r="AX627" s="48"/>
      <c r="AY627" s="48">
        <v>1</v>
      </c>
      <c r="AZ627" s="48"/>
      <c r="BA627" s="43">
        <f>IF((W627-SUM(AT627:AZ627))&lt;0,0,W627-SUM(AT627:AZ627))</f>
        <v>0</v>
      </c>
      <c r="BB627" s="49"/>
      <c r="BC627" s="47"/>
      <c r="BD627" s="47"/>
    </row>
    <row r="628" spans="1:56" ht="15" customHeight="1">
      <c r="A628" s="49" t="s">
        <v>2797</v>
      </c>
      <c r="B628" s="39" t="s">
        <v>2448</v>
      </c>
      <c r="C628" s="46" t="s">
        <v>65</v>
      </c>
      <c r="D628" s="49" t="s">
        <v>134</v>
      </c>
      <c r="E628" s="49"/>
      <c r="F628" s="39">
        <v>3</v>
      </c>
      <c r="G628" s="75" t="s">
        <v>2798</v>
      </c>
      <c r="H628" s="50" t="s">
        <v>293</v>
      </c>
      <c r="I628" s="50" t="s">
        <v>2799</v>
      </c>
      <c r="J628" s="50" t="s">
        <v>2800</v>
      </c>
      <c r="K628" s="50"/>
      <c r="L628" s="47"/>
      <c r="M628" s="47"/>
      <c r="N628" s="47"/>
      <c r="O628" s="47"/>
      <c r="P628" s="47"/>
      <c r="Q628" s="47"/>
      <c r="R628" s="47"/>
      <c r="S628" s="47"/>
      <c r="T628" s="47"/>
      <c r="U628" s="47"/>
      <c r="V628" s="50" t="s">
        <v>145</v>
      </c>
      <c r="W628" s="74">
        <v>1</v>
      </c>
      <c r="X628" s="39">
        <f>MAX(0,$AK628-$W628-$Z628)</f>
        <v>0</v>
      </c>
      <c r="Y628" s="39"/>
      <c r="Z628" s="39"/>
      <c r="AA628" s="41">
        <v>0.38</v>
      </c>
      <c r="AB628" s="41">
        <f>IF(AND($X628&gt;0,ISNUMBER($AA628)),$X628*$AA628,0)</f>
        <v>0</v>
      </c>
      <c r="AH628" s="63"/>
      <c r="AK628" s="39">
        <f>SUM(AL628:AR628)</f>
        <v>1</v>
      </c>
      <c r="AL628" s="90"/>
      <c r="AM628" s="38"/>
      <c r="AN628" s="38"/>
      <c r="AO628" s="38"/>
      <c r="AP628" s="38"/>
      <c r="AQ628" s="98">
        <v>1</v>
      </c>
      <c r="AR628" s="91"/>
      <c r="AS628" s="42">
        <f>SUM(AT628:AZ628)</f>
        <v>1</v>
      </c>
      <c r="AT628" s="48"/>
      <c r="AU628" s="48"/>
      <c r="AV628" s="48"/>
      <c r="AW628" s="48"/>
      <c r="AX628" s="48"/>
      <c r="AY628" s="48">
        <v>1</v>
      </c>
      <c r="AZ628" s="48"/>
      <c r="BA628" s="43">
        <f>IF((W628-SUM(AT628:AZ628))&lt;0,0,W628-SUM(AT628:AZ628))</f>
        <v>0</v>
      </c>
      <c r="BB628" s="49"/>
      <c r="BC628" s="47"/>
      <c r="BD628" s="47"/>
    </row>
    <row r="629" spans="1:56" ht="15" customHeight="1">
      <c r="A629" s="49" t="s">
        <v>2801</v>
      </c>
      <c r="B629" s="39" t="s">
        <v>2448</v>
      </c>
      <c r="C629" s="46" t="s">
        <v>65</v>
      </c>
      <c r="D629" s="49" t="s">
        <v>76</v>
      </c>
      <c r="E629" s="49"/>
      <c r="F629" s="39">
        <v>3</v>
      </c>
      <c r="G629" s="75" t="s">
        <v>2802</v>
      </c>
      <c r="H629" s="50" t="s">
        <v>2605</v>
      </c>
      <c r="I629" s="50" t="s">
        <v>2803</v>
      </c>
      <c r="J629" s="50"/>
      <c r="K629" s="50"/>
      <c r="L629" s="47"/>
      <c r="M629" s="47"/>
      <c r="N629" s="47"/>
      <c r="O629" s="47"/>
      <c r="P629" s="47"/>
      <c r="Q629" s="47"/>
      <c r="R629" s="47"/>
      <c r="S629" s="47"/>
      <c r="T629" s="47"/>
      <c r="U629" s="47"/>
      <c r="V629" s="50" t="s">
        <v>217</v>
      </c>
      <c r="W629" s="74">
        <v>1</v>
      </c>
      <c r="X629" s="39">
        <f>MAX(0,$AK629-$W629-$Z629)</f>
        <v>0</v>
      </c>
      <c r="Y629" s="39"/>
      <c r="Z629" s="39"/>
      <c r="AA629" s="41">
        <v>0.22</v>
      </c>
      <c r="AB629" s="41">
        <f>IF(AND($X629&gt;0,ISNUMBER($AA629)),$X629*$AA629,0)</f>
        <v>0</v>
      </c>
      <c r="AK629" s="39">
        <f>SUM(AL629:AR629)</f>
        <v>1</v>
      </c>
      <c r="AL629" s="90"/>
      <c r="AM629" s="38"/>
      <c r="AN629" s="38"/>
      <c r="AO629" s="38"/>
      <c r="AP629" s="38"/>
      <c r="AQ629" s="38">
        <v>1</v>
      </c>
      <c r="AR629" s="91"/>
      <c r="AS629" s="42">
        <f>SUM(AT629:AZ629)</f>
        <v>1</v>
      </c>
      <c r="AT629" s="48"/>
      <c r="AU629" s="48"/>
      <c r="AV629" s="48"/>
      <c r="AW629" s="48"/>
      <c r="AX629" s="48"/>
      <c r="AY629" s="48">
        <v>1</v>
      </c>
      <c r="AZ629" s="48"/>
      <c r="BA629" s="43">
        <f>IF((W629-SUM(AT629:AZ629))&lt;0,0,W629-SUM(AT629:AZ629))</f>
        <v>0</v>
      </c>
      <c r="BB629" s="49"/>
      <c r="BC629" s="47"/>
      <c r="BD629" s="47"/>
    </row>
    <row r="630" spans="1:56" ht="15" customHeight="1">
      <c r="A630" s="35" t="s">
        <v>2804</v>
      </c>
      <c r="B630" s="36" t="s">
        <v>2448</v>
      </c>
      <c r="C630" s="38" t="s">
        <v>65</v>
      </c>
      <c r="D630" s="35" t="s">
        <v>178</v>
      </c>
      <c r="E630" s="35" t="s">
        <v>2805</v>
      </c>
      <c r="F630" s="35">
        <v>4</v>
      </c>
      <c r="G630" s="75" t="s">
        <v>2806</v>
      </c>
      <c r="H630" s="35" t="s">
        <v>2773</v>
      </c>
      <c r="I630" s="35" t="s">
        <v>2807</v>
      </c>
      <c r="J630" s="35" t="s">
        <v>2808</v>
      </c>
      <c r="K630" s="35"/>
      <c r="L630" s="37"/>
      <c r="M630" s="37"/>
      <c r="N630" s="37"/>
      <c r="O630" s="68"/>
      <c r="P630" s="68"/>
      <c r="Q630" s="37"/>
      <c r="R630" s="37"/>
      <c r="S630" s="37"/>
      <c r="T630" s="68"/>
      <c r="U630" s="68"/>
      <c r="V630" s="35" t="s">
        <v>223</v>
      </c>
      <c r="W630" s="74">
        <v>2</v>
      </c>
      <c r="X630" s="39">
        <f>MAX(0,$AK630-$W630-$Z630)</f>
        <v>0</v>
      </c>
      <c r="Y630" s="35"/>
      <c r="Z630" s="35"/>
      <c r="AA630" s="35">
        <v>0.21</v>
      </c>
      <c r="AB630" s="41">
        <f>IF(AND($X630&gt;0,ISNUMBER($AA630)),$X630*$AA630,0)</f>
        <v>0</v>
      </c>
      <c r="AK630" s="39">
        <f>SUM(AL630:AR630)</f>
        <v>0</v>
      </c>
      <c r="AL630" s="90"/>
      <c r="AM630" s="38"/>
      <c r="AN630" s="38"/>
      <c r="AO630" s="38"/>
      <c r="AP630" s="38"/>
      <c r="AQ630" s="38"/>
      <c r="AR630" s="91"/>
      <c r="AS630" s="42">
        <f>SUM(AT630:AZ630)</f>
        <v>0</v>
      </c>
      <c r="AT630" s="48"/>
      <c r="AU630" s="48"/>
      <c r="AV630" s="48"/>
      <c r="AW630" s="48"/>
      <c r="AX630" s="48"/>
      <c r="AY630" s="48"/>
      <c r="AZ630" s="48"/>
      <c r="BA630" s="43">
        <f>IF((W630-SUM(AT630:AZ630))&lt;0,0,W630-SUM(AT630:AZ630))</f>
        <v>2</v>
      </c>
      <c r="BB630" s="35"/>
      <c r="BC630" s="37"/>
      <c r="BD630" s="37"/>
    </row>
    <row r="631" spans="1:56" ht="15" customHeight="1">
      <c r="A631" s="35" t="s">
        <v>2809</v>
      </c>
      <c r="B631" s="36" t="s">
        <v>2448</v>
      </c>
      <c r="C631" s="38" t="s">
        <v>65</v>
      </c>
      <c r="D631" s="35" t="s">
        <v>84</v>
      </c>
      <c r="E631" s="35" t="s">
        <v>643</v>
      </c>
      <c r="F631" s="36">
        <v>5</v>
      </c>
      <c r="G631" s="75" t="s">
        <v>2810</v>
      </c>
      <c r="H631" s="35" t="s">
        <v>153</v>
      </c>
      <c r="I631" s="35" t="s">
        <v>2811</v>
      </c>
      <c r="J631" s="35"/>
      <c r="K631" s="35"/>
      <c r="L631" s="37"/>
      <c r="M631" s="37"/>
      <c r="N631" s="37"/>
      <c r="O631" s="68"/>
      <c r="P631" s="68"/>
      <c r="Q631" s="37"/>
      <c r="R631" s="37"/>
      <c r="S631" s="37"/>
      <c r="T631" s="68"/>
      <c r="U631" s="68"/>
      <c r="V631" s="35" t="s">
        <v>167</v>
      </c>
      <c r="W631" s="74">
        <v>1</v>
      </c>
      <c r="X631" s="39">
        <f>MAX(0,$AK631-$W631-$Z631)</f>
        <v>0</v>
      </c>
      <c r="Y631" s="35"/>
      <c r="Z631" s="35"/>
      <c r="AA631" s="40">
        <v>0.21</v>
      </c>
      <c r="AB631" s="41">
        <f>IF(AND($X631&gt;0,ISNUMBER($AA631)),$X631*$AA631,0)</f>
        <v>0</v>
      </c>
      <c r="AH631" s="63"/>
      <c r="AK631" s="39">
        <f>SUM(AL631:AR631)</f>
        <v>0</v>
      </c>
      <c r="AL631" s="90"/>
      <c r="AM631" s="38"/>
      <c r="AN631" s="38"/>
      <c r="AO631" s="38"/>
      <c r="AP631" s="38"/>
      <c r="AQ631" s="38"/>
      <c r="AR631" s="91"/>
      <c r="AS631" s="42">
        <f>SUM(AT631:AZ631)</f>
        <v>0</v>
      </c>
      <c r="AT631" s="48"/>
      <c r="AU631" s="48"/>
      <c r="AV631" s="48"/>
      <c r="AW631" s="48"/>
      <c r="AX631" s="48"/>
      <c r="AY631" s="48"/>
      <c r="AZ631" s="48"/>
      <c r="BA631" s="43">
        <f>IF((W631-SUM(AT631:AZ631))&lt;0,0,W631-SUM(AT631:AZ631))</f>
        <v>1</v>
      </c>
      <c r="BB631" s="35"/>
      <c r="BC631" s="37"/>
      <c r="BD631" s="37"/>
    </row>
    <row r="632" spans="1:56" ht="15" customHeight="1">
      <c r="A632" s="49" t="s">
        <v>2812</v>
      </c>
      <c r="B632" s="39" t="s">
        <v>2448</v>
      </c>
      <c r="C632" s="46" t="s">
        <v>83</v>
      </c>
      <c r="D632" s="49" t="s">
        <v>134</v>
      </c>
      <c r="E632" s="49"/>
      <c r="F632" s="39">
        <v>4</v>
      </c>
      <c r="G632" s="75" t="s">
        <v>2813</v>
      </c>
      <c r="H632" s="50" t="s">
        <v>115</v>
      </c>
      <c r="I632" s="50" t="s">
        <v>2814</v>
      </c>
      <c r="J632" s="50" t="s">
        <v>2815</v>
      </c>
      <c r="K632" s="50"/>
      <c r="L632" s="47"/>
      <c r="M632" s="47"/>
      <c r="N632" s="47"/>
      <c r="O632" s="47"/>
      <c r="P632" s="47"/>
      <c r="Q632" s="47"/>
      <c r="R632" s="47"/>
      <c r="S632" s="47"/>
      <c r="T632" s="47"/>
      <c r="U632" s="47"/>
      <c r="V632" s="50" t="s">
        <v>1145</v>
      </c>
      <c r="W632" s="74">
        <v>0</v>
      </c>
      <c r="X632" s="39">
        <f>MAX(0,$AK632-$W632-$Z632)</f>
        <v>0</v>
      </c>
      <c r="Y632" s="39"/>
      <c r="Z632" s="39"/>
      <c r="AA632" s="41">
        <v>4.5199999999999996</v>
      </c>
      <c r="AB632" s="41">
        <f>IF(AND($X632&gt;0,ISNUMBER($AA632)),$X632*$AA632,0)</f>
        <v>0</v>
      </c>
      <c r="AC632" s="59"/>
      <c r="AD632" s="59"/>
      <c r="AE632" s="59"/>
      <c r="AF632" s="59"/>
      <c r="AG632" s="59"/>
      <c r="AH632" s="59"/>
      <c r="AI632" s="59"/>
      <c r="AJ632" s="59"/>
      <c r="AK632" s="39">
        <f>SUM(AL632:AR632)</f>
        <v>0</v>
      </c>
      <c r="AL632" s="114"/>
      <c r="AM632" s="43"/>
      <c r="AN632" s="43"/>
      <c r="AO632" s="43"/>
      <c r="AP632" s="43"/>
      <c r="AQ632" s="43"/>
      <c r="AR632" s="116"/>
      <c r="AS632" s="42">
        <f>SUM(AT632:AZ632)</f>
        <v>0</v>
      </c>
      <c r="AT632" s="48"/>
      <c r="AU632" s="48"/>
      <c r="AV632" s="48"/>
      <c r="AW632" s="48"/>
      <c r="AX632" s="48"/>
      <c r="AY632" s="48"/>
      <c r="AZ632" s="48"/>
      <c r="BA632" s="43">
        <f>IF((W632-SUM(AT632:AZ632))&lt;0,0,W632-SUM(AT632:AZ632))</f>
        <v>0</v>
      </c>
      <c r="BB632" s="49"/>
      <c r="BC632" s="47"/>
      <c r="BD632" s="47"/>
    </row>
    <row r="633" spans="1:56" ht="15" customHeight="1">
      <c r="A633" s="49" t="s">
        <v>2816</v>
      </c>
      <c r="B633" s="39" t="s">
        <v>2448</v>
      </c>
      <c r="C633" s="46" t="s">
        <v>65</v>
      </c>
      <c r="D633" s="49" t="s">
        <v>84</v>
      </c>
      <c r="E633" s="49" t="s">
        <v>2493</v>
      </c>
      <c r="F633" s="39">
        <v>2</v>
      </c>
      <c r="G633" s="75" t="s">
        <v>2817</v>
      </c>
      <c r="H633" s="50" t="s">
        <v>153</v>
      </c>
      <c r="I633" s="50" t="s">
        <v>2818</v>
      </c>
      <c r="J633" s="50" t="s">
        <v>2819</v>
      </c>
      <c r="K633" s="50"/>
      <c r="L633" s="47"/>
      <c r="M633" s="47"/>
      <c r="N633" s="47"/>
      <c r="O633" s="47"/>
      <c r="P633" s="47"/>
      <c r="Q633" s="47"/>
      <c r="R633" s="47"/>
      <c r="S633" s="47"/>
      <c r="T633" s="47"/>
      <c r="U633" s="47"/>
      <c r="V633" s="50" t="s">
        <v>1069</v>
      </c>
      <c r="W633" s="74">
        <v>1</v>
      </c>
      <c r="X633" s="39">
        <f>MAX(0,$AK633-$W633-$Z633)</f>
        <v>0</v>
      </c>
      <c r="Y633" s="39"/>
      <c r="Z633" s="39"/>
      <c r="AA633" s="41">
        <v>0.34</v>
      </c>
      <c r="AB633" s="41">
        <f>IF(AND($X633&gt;0,ISNUMBER($AA633)),$X633*$AA633,0)</f>
        <v>0</v>
      </c>
      <c r="AH633" s="63"/>
      <c r="AJ633" s="63"/>
      <c r="AK633" s="39">
        <f>SUM(AL633:AR633)</f>
        <v>1</v>
      </c>
      <c r="AL633" s="90"/>
      <c r="AM633" s="38"/>
      <c r="AN633" s="38"/>
      <c r="AO633" s="38"/>
      <c r="AP633" s="38"/>
      <c r="AQ633" s="97">
        <v>1</v>
      </c>
      <c r="AR633" s="91"/>
      <c r="AS633" s="42">
        <f>SUM(AT633:AZ633)</f>
        <v>1</v>
      </c>
      <c r="AT633" s="48"/>
      <c r="AU633" s="48"/>
      <c r="AV633" s="48"/>
      <c r="AW633" s="48"/>
      <c r="AX633" s="48"/>
      <c r="AY633" s="48">
        <v>1</v>
      </c>
      <c r="AZ633" s="48"/>
      <c r="BA633" s="43">
        <f>IF((W633-SUM(AT633:AZ633))&lt;0,0,W633-SUM(AT633:AZ633))</f>
        <v>0</v>
      </c>
      <c r="BB633" s="49"/>
      <c r="BC633" s="47"/>
      <c r="BD633" s="47"/>
    </row>
    <row r="634" spans="1:56" ht="15" customHeight="1">
      <c r="A634" s="49" t="s">
        <v>2820</v>
      </c>
      <c r="B634" s="39" t="s">
        <v>2448</v>
      </c>
      <c r="C634" s="46" t="s">
        <v>83</v>
      </c>
      <c r="D634" s="49" t="s">
        <v>256</v>
      </c>
      <c r="E634" s="49"/>
      <c r="F634" s="39">
        <v>4</v>
      </c>
      <c r="G634" s="75" t="s">
        <v>2821</v>
      </c>
      <c r="H634" s="50" t="s">
        <v>408</v>
      </c>
      <c r="I634" s="50" t="s">
        <v>2822</v>
      </c>
      <c r="J634" s="50"/>
      <c r="K634" s="50"/>
      <c r="L634" s="46"/>
      <c r="M634" s="46"/>
      <c r="N634" s="46"/>
      <c r="O634" s="46"/>
      <c r="P634" s="46"/>
      <c r="Q634" s="46"/>
      <c r="R634" s="46"/>
      <c r="S634" s="46"/>
      <c r="T634" s="46"/>
      <c r="U634" s="46"/>
      <c r="V634" s="50" t="s">
        <v>2823</v>
      </c>
      <c r="W634" s="74">
        <v>0</v>
      </c>
      <c r="X634" s="39">
        <f>MAX(0,$AK634-$W634-$Z634)</f>
        <v>0</v>
      </c>
      <c r="Y634" s="39"/>
      <c r="Z634" s="39"/>
      <c r="AA634" s="41">
        <v>9.51</v>
      </c>
      <c r="AB634" s="41">
        <f>IF(AND($X634&gt;0,ISNUMBER($AA634)),$X634*$AA634,0)</f>
        <v>0</v>
      </c>
      <c r="AC634" s="59"/>
      <c r="AD634" s="59"/>
      <c r="AE634" s="59"/>
      <c r="AF634" s="59"/>
      <c r="AG634" s="59"/>
      <c r="AH634" s="59"/>
      <c r="AI634" s="59"/>
      <c r="AJ634" s="59"/>
      <c r="AK634" s="39">
        <f>SUM(AL634:AR634)</f>
        <v>0</v>
      </c>
      <c r="AL634" s="114"/>
      <c r="AM634" s="43"/>
      <c r="AN634" s="43"/>
      <c r="AO634" s="43"/>
      <c r="AP634" s="43"/>
      <c r="AQ634" s="43"/>
      <c r="AR634" s="116"/>
      <c r="AS634" s="42">
        <f>SUM(AT634:AZ634)</f>
        <v>0</v>
      </c>
      <c r="AT634" s="48"/>
      <c r="AU634" s="48"/>
      <c r="AV634" s="48"/>
      <c r="AW634" s="48"/>
      <c r="AX634" s="48"/>
      <c r="AY634" s="48"/>
      <c r="AZ634" s="48"/>
      <c r="BA634" s="43">
        <f>IF((W634-SUM(AT634:AZ634))&lt;0,0,W634-SUM(AT634:AZ634))</f>
        <v>0</v>
      </c>
      <c r="BB634" s="49"/>
      <c r="BC634" s="47"/>
      <c r="BD634" s="47"/>
    </row>
    <row r="635" spans="1:56" ht="15" customHeight="1">
      <c r="A635" s="49" t="s">
        <v>2824</v>
      </c>
      <c r="B635" s="39" t="s">
        <v>2448</v>
      </c>
      <c r="C635" s="46" t="s">
        <v>65</v>
      </c>
      <c r="D635" s="49" t="s">
        <v>134</v>
      </c>
      <c r="E635" s="49"/>
      <c r="F635" s="39">
        <v>3</v>
      </c>
      <c r="G635" s="75" t="s">
        <v>2825</v>
      </c>
      <c r="H635" s="50" t="s">
        <v>162</v>
      </c>
      <c r="I635" s="50" t="s">
        <v>2826</v>
      </c>
      <c r="J635" s="50" t="s">
        <v>2827</v>
      </c>
      <c r="K635" s="50"/>
      <c r="L635" s="108" t="s">
        <v>2828</v>
      </c>
      <c r="M635" s="46">
        <v>1</v>
      </c>
      <c r="N635" s="46">
        <v>1</v>
      </c>
      <c r="O635" s="68" t="s">
        <v>2829</v>
      </c>
      <c r="P635" s="110">
        <v>0.28999999999999998</v>
      </c>
      <c r="Q635" s="47"/>
      <c r="R635" s="47"/>
      <c r="S635" s="47"/>
      <c r="T635" s="68"/>
      <c r="U635" s="68"/>
      <c r="V635" s="50" t="s">
        <v>588</v>
      </c>
      <c r="W635" s="74">
        <v>1</v>
      </c>
      <c r="X635" s="39">
        <f>MAX(0,$AK635-$W635-$Z635)</f>
        <v>0</v>
      </c>
      <c r="Y635" s="39"/>
      <c r="Z635" s="39"/>
      <c r="AA635" s="41">
        <v>0.28999999999999998</v>
      </c>
      <c r="AB635" s="41">
        <f>IF(AND($X635&gt;0,ISNUMBER($AA635)),$X635*$AA635,0)</f>
        <v>0</v>
      </c>
      <c r="AK635" s="39">
        <f>SUM(AL635:AR635)</f>
        <v>1</v>
      </c>
      <c r="AL635" s="103">
        <v>1</v>
      </c>
      <c r="AM635" s="38"/>
      <c r="AN635" s="38"/>
      <c r="AO635" s="38"/>
      <c r="AP635" s="38"/>
      <c r="AQ635" s="38"/>
      <c r="AR635" s="91"/>
      <c r="AS635" s="42">
        <f>SUM(AT635:AZ635)</f>
        <v>1</v>
      </c>
      <c r="AT635" s="48">
        <v>1</v>
      </c>
      <c r="AU635" s="48"/>
      <c r="AV635" s="48"/>
      <c r="AW635" s="48"/>
      <c r="AX635" s="48"/>
      <c r="AY635" s="48"/>
      <c r="AZ635" s="48"/>
      <c r="BA635" s="43">
        <f>IF((W635-SUM(AT635:AZ635))&lt;0,0,W635-SUM(AT635:AZ635))</f>
        <v>0</v>
      </c>
      <c r="BB635" s="49"/>
      <c r="BC635" s="47"/>
      <c r="BD635" s="47"/>
    </row>
    <row r="636" spans="1:56" ht="15" customHeight="1">
      <c r="A636" s="49" t="s">
        <v>2830</v>
      </c>
      <c r="B636" s="39" t="s">
        <v>2448</v>
      </c>
      <c r="C636" s="46" t="s">
        <v>83</v>
      </c>
      <c r="D636" s="49" t="s">
        <v>178</v>
      </c>
      <c r="E636" s="49" t="s">
        <v>2831</v>
      </c>
      <c r="F636" s="39">
        <v>6</v>
      </c>
      <c r="G636" s="75" t="s">
        <v>2832</v>
      </c>
      <c r="H636" s="50" t="s">
        <v>87</v>
      </c>
      <c r="I636" s="50" t="s">
        <v>2833</v>
      </c>
      <c r="J636" s="50"/>
      <c r="K636" s="50"/>
      <c r="L636" s="47"/>
      <c r="M636" s="47"/>
      <c r="N636" s="47"/>
      <c r="O636" s="47"/>
      <c r="P636" s="47"/>
      <c r="Q636" s="47"/>
      <c r="R636" s="47"/>
      <c r="S636" s="47"/>
      <c r="T636" s="47"/>
      <c r="U636" s="47"/>
      <c r="V636" s="50" t="s">
        <v>1259</v>
      </c>
      <c r="W636" s="74">
        <v>0</v>
      </c>
      <c r="X636" s="39">
        <f>MAX(0,$AK636-$W636-$Z636)</f>
        <v>0</v>
      </c>
      <c r="Y636" s="39"/>
      <c r="Z636" s="39"/>
      <c r="AA636" s="41">
        <v>11.19</v>
      </c>
      <c r="AB636" s="41">
        <f>IF(AND($X636&gt;0,ISNUMBER($AA636)),$X636*$AA636,0)</f>
        <v>0</v>
      </c>
      <c r="AC636" s="59"/>
      <c r="AD636" s="59"/>
      <c r="AE636" s="59"/>
      <c r="AF636" s="59"/>
      <c r="AG636" s="59"/>
      <c r="AH636" s="59"/>
      <c r="AI636" s="59"/>
      <c r="AJ636" s="59"/>
      <c r="AK636" s="39">
        <f>SUM(AL636:AR636)</f>
        <v>0</v>
      </c>
      <c r="AL636" s="114"/>
      <c r="AM636" s="43"/>
      <c r="AN636" s="43"/>
      <c r="AO636" s="43"/>
      <c r="AP636" s="43"/>
      <c r="AQ636" s="43"/>
      <c r="AR636" s="116"/>
      <c r="AS636" s="42">
        <f>SUM(AT636:AZ636)</f>
        <v>0</v>
      </c>
      <c r="AT636" s="48"/>
      <c r="AU636" s="48"/>
      <c r="AV636" s="48"/>
      <c r="AW636" s="48"/>
      <c r="AX636" s="48"/>
      <c r="AY636" s="48"/>
      <c r="AZ636" s="48"/>
      <c r="BA636" s="43">
        <f>IF((W636-SUM(AT636:AZ636))&lt;0,0,W636-SUM(AT636:AZ636))</f>
        <v>0</v>
      </c>
      <c r="BB636" s="49"/>
      <c r="BC636" s="47"/>
      <c r="BD636" s="126"/>
    </row>
    <row r="637" spans="1:56" ht="15" customHeight="1">
      <c r="A637" s="49" t="s">
        <v>2834</v>
      </c>
      <c r="B637" s="39" t="s">
        <v>2448</v>
      </c>
      <c r="C637" s="46" t="s">
        <v>65</v>
      </c>
      <c r="D637" s="49" t="s">
        <v>84</v>
      </c>
      <c r="E637" s="49" t="s">
        <v>2835</v>
      </c>
      <c r="F637" s="39">
        <v>3</v>
      </c>
      <c r="G637" s="75" t="s">
        <v>2836</v>
      </c>
      <c r="H637" s="50" t="s">
        <v>2014</v>
      </c>
      <c r="I637" s="50" t="s">
        <v>2837</v>
      </c>
      <c r="J637" s="50" t="s">
        <v>2838</v>
      </c>
      <c r="K637" s="50"/>
      <c r="L637" s="47"/>
      <c r="M637" s="47"/>
      <c r="N637" s="47"/>
      <c r="O637" s="47"/>
      <c r="P637" s="47"/>
      <c r="Q637" s="47"/>
      <c r="R637" s="47"/>
      <c r="S637" s="47"/>
      <c r="T637" s="47"/>
      <c r="U637" s="47"/>
      <c r="V637" s="50" t="s">
        <v>1916</v>
      </c>
      <c r="W637" s="74">
        <v>1</v>
      </c>
      <c r="X637" s="39">
        <f>MAX(0,$AK637-$W637-$Z637)</f>
        <v>0</v>
      </c>
      <c r="Y637" s="39"/>
      <c r="Z637" s="39"/>
      <c r="AA637" s="41">
        <v>1.69</v>
      </c>
      <c r="AB637" s="41">
        <f>IF(AND($X637&gt;0,ISNUMBER($AA637)),$X637*$AA637,0)</f>
        <v>0</v>
      </c>
      <c r="AH637" t="s">
        <v>2839</v>
      </c>
      <c r="AK637" s="39">
        <f>SUM(AL637:AR637)</f>
        <v>1</v>
      </c>
      <c r="AL637" s="90"/>
      <c r="AM637" s="38"/>
      <c r="AN637" s="38"/>
      <c r="AO637" s="38"/>
      <c r="AP637" s="38"/>
      <c r="AQ637" s="99">
        <v>1</v>
      </c>
      <c r="AR637" s="91"/>
      <c r="AS637" s="42">
        <f>SUM(AT637:AZ637)</f>
        <v>1</v>
      </c>
      <c r="AT637" s="48"/>
      <c r="AU637" s="48"/>
      <c r="AV637" s="48"/>
      <c r="AW637" s="48"/>
      <c r="AX637" s="48"/>
      <c r="AY637" s="48">
        <v>1</v>
      </c>
      <c r="AZ637" s="48"/>
      <c r="BA637" s="43">
        <f>IF((W637-SUM(AT637:AZ637))&lt;0,0,W637-SUM(AT637:AZ637))</f>
        <v>0</v>
      </c>
      <c r="BB637" s="49"/>
      <c r="BC637" s="47"/>
      <c r="BD637" s="47"/>
    </row>
    <row r="638" spans="1:56" ht="15" customHeight="1">
      <c r="A638" s="49" t="s">
        <v>2840</v>
      </c>
      <c r="B638" s="39" t="s">
        <v>2448</v>
      </c>
      <c r="C638" s="46" t="s">
        <v>65</v>
      </c>
      <c r="D638" s="49" t="s">
        <v>84</v>
      </c>
      <c r="E638" s="49" t="s">
        <v>2004</v>
      </c>
      <c r="F638" s="39">
        <v>4</v>
      </c>
      <c r="G638" s="75" t="s">
        <v>2841</v>
      </c>
      <c r="H638" s="50" t="s">
        <v>959</v>
      </c>
      <c r="I638" s="50" t="s">
        <v>2842</v>
      </c>
      <c r="J638" s="50"/>
      <c r="K638" s="50"/>
      <c r="L638" s="47"/>
      <c r="M638" s="47"/>
      <c r="N638" s="47"/>
      <c r="O638" s="47"/>
      <c r="P638" s="47"/>
      <c r="Q638" s="47"/>
      <c r="R638" s="47"/>
      <c r="S638" s="47"/>
      <c r="T638" s="47"/>
      <c r="U638" s="47"/>
      <c r="V638" s="50" t="s">
        <v>2488</v>
      </c>
      <c r="W638" s="74">
        <v>1</v>
      </c>
      <c r="X638" s="39">
        <f>MAX(0,$AK638-$W638-$Z638)</f>
        <v>0</v>
      </c>
      <c r="Y638" s="39"/>
      <c r="Z638" s="39"/>
      <c r="AA638" s="41">
        <v>0.35</v>
      </c>
      <c r="AB638" s="41">
        <f>IF(AND($X638&gt;0,ISNUMBER($AA638)),$X638*$AA638,0)</f>
        <v>0</v>
      </c>
      <c r="AK638" s="39">
        <f>SUM(AL638:AR638)</f>
        <v>1</v>
      </c>
      <c r="AL638" s="90"/>
      <c r="AM638" s="38"/>
      <c r="AN638" s="38"/>
      <c r="AO638" s="38"/>
      <c r="AP638" s="38"/>
      <c r="AQ638" s="98">
        <v>1</v>
      </c>
      <c r="AR638" s="91"/>
      <c r="AS638" s="42">
        <f>SUM(AT638:AZ638)</f>
        <v>1</v>
      </c>
      <c r="AT638" s="48"/>
      <c r="AU638" s="48"/>
      <c r="AV638" s="48"/>
      <c r="AW638" s="48"/>
      <c r="AX638" s="48"/>
      <c r="AY638" s="48">
        <v>1</v>
      </c>
      <c r="AZ638" s="48"/>
      <c r="BA638" s="43">
        <f>IF((W638-SUM(AT638:AZ638))&lt;0,0,W638-SUM(AT638:AZ638))</f>
        <v>0</v>
      </c>
      <c r="BB638" s="49"/>
      <c r="BC638" s="47"/>
      <c r="BD638" s="47"/>
    </row>
    <row r="639" spans="1:56" ht="15" customHeight="1">
      <c r="A639" s="44" t="s">
        <v>2843</v>
      </c>
      <c r="B639" s="45" t="s">
        <v>2448</v>
      </c>
      <c r="C639" s="46" t="s">
        <v>65</v>
      </c>
      <c r="D639" s="44" t="s">
        <v>178</v>
      </c>
      <c r="E639" s="44" t="s">
        <v>2589</v>
      </c>
      <c r="F639" s="45">
        <v>2</v>
      </c>
      <c r="G639" s="75" t="s">
        <v>2844</v>
      </c>
      <c r="H639" s="44" t="s">
        <v>108</v>
      </c>
      <c r="I639" s="44" t="s">
        <v>2845</v>
      </c>
      <c r="J639" s="44" t="s">
        <v>2846</v>
      </c>
      <c r="K639" s="44" t="s">
        <v>2526</v>
      </c>
      <c r="L639" s="47"/>
      <c r="M639" s="47"/>
      <c r="N639" s="47"/>
      <c r="O639" s="68"/>
      <c r="P639" s="68"/>
      <c r="Q639" s="47"/>
      <c r="R639" s="47"/>
      <c r="S639" s="47"/>
      <c r="T639" s="68"/>
      <c r="U639" s="68"/>
      <c r="V639" s="44" t="s">
        <v>167</v>
      </c>
      <c r="W639" s="74">
        <v>2</v>
      </c>
      <c r="X639" s="39">
        <f>MAX(0,$AK639-$W639-$Z639)</f>
        <v>0</v>
      </c>
      <c r="Y639" s="44"/>
      <c r="Z639" s="44"/>
      <c r="AA639" s="44">
        <v>0.17</v>
      </c>
      <c r="AB639" s="44">
        <f>IF(AND($X639&gt;0,ISNUMBER($AA639)),$X639*$AA639,0)</f>
        <v>0</v>
      </c>
      <c r="AK639" s="39">
        <f>SUM(AL639:AR639)</f>
        <v>0</v>
      </c>
      <c r="AL639" s="90"/>
      <c r="AM639" s="38"/>
      <c r="AN639" s="38"/>
      <c r="AO639" s="38"/>
      <c r="AP639" s="38"/>
      <c r="AQ639" s="38"/>
      <c r="AR639" s="91"/>
      <c r="AS639" s="42">
        <f>SUM(AT639:AZ639)</f>
        <v>0</v>
      </c>
      <c r="AT639" s="48"/>
      <c r="AU639" s="48"/>
      <c r="AV639" s="48"/>
      <c r="AW639" s="48"/>
      <c r="AX639" s="48"/>
      <c r="AY639" s="48"/>
      <c r="AZ639" s="48"/>
      <c r="BA639" s="43">
        <f>IF((W639-SUM(AT639:AZ639))&lt;0,0,W639-SUM(AT639:AZ639))</f>
        <v>2</v>
      </c>
      <c r="BB639" s="44"/>
      <c r="BC639" s="47"/>
      <c r="BD639" s="126"/>
    </row>
    <row r="640" spans="1:56" ht="15" customHeight="1">
      <c r="A640" s="49" t="s">
        <v>2847</v>
      </c>
      <c r="B640" s="39" t="s">
        <v>2448</v>
      </c>
      <c r="C640" s="46" t="s">
        <v>65</v>
      </c>
      <c r="D640" s="49" t="s">
        <v>256</v>
      </c>
      <c r="E640" s="49"/>
      <c r="F640" s="39">
        <v>4</v>
      </c>
      <c r="G640" s="75" t="s">
        <v>2848</v>
      </c>
      <c r="H640" s="50" t="s">
        <v>1252</v>
      </c>
      <c r="I640" s="50" t="s">
        <v>2849</v>
      </c>
      <c r="J640" s="50" t="s">
        <v>2850</v>
      </c>
      <c r="K640" s="50" t="s">
        <v>2851</v>
      </c>
      <c r="L640" s="47"/>
      <c r="M640" s="47"/>
      <c r="N640" s="47"/>
      <c r="O640" s="47"/>
      <c r="P640" s="47"/>
      <c r="Q640" s="47"/>
      <c r="R640" s="47"/>
      <c r="S640" s="47"/>
      <c r="T640" s="47"/>
      <c r="U640" s="47"/>
      <c r="V640" s="50" t="s">
        <v>1585</v>
      </c>
      <c r="W640" s="74">
        <v>1</v>
      </c>
      <c r="X640" s="39">
        <f>MAX(0,$AK640-$W640-$Z640)</f>
        <v>0</v>
      </c>
      <c r="Y640" s="39"/>
      <c r="Z640" s="39"/>
      <c r="AA640" s="41">
        <v>0.28000000000000003</v>
      </c>
      <c r="AB640" s="41">
        <f>IF(AND($X640&gt;0,ISNUMBER($AA640)),$X640*$AA640,0)</f>
        <v>0</v>
      </c>
      <c r="AH640" s="63"/>
      <c r="AK640" s="39">
        <f>SUM(AL640:AR640)</f>
        <v>1</v>
      </c>
      <c r="AL640" s="90"/>
      <c r="AM640" s="38"/>
      <c r="AN640" s="38"/>
      <c r="AO640" s="38"/>
      <c r="AP640" s="38"/>
      <c r="AQ640" s="98">
        <v>1</v>
      </c>
      <c r="AR640" s="91"/>
      <c r="AS640" s="42">
        <f>SUM(AT640:AZ640)</f>
        <v>1</v>
      </c>
      <c r="AT640" s="48"/>
      <c r="AU640" s="48"/>
      <c r="AV640" s="48"/>
      <c r="AW640" s="48"/>
      <c r="AX640" s="48"/>
      <c r="AY640" s="48">
        <v>1</v>
      </c>
      <c r="AZ640" s="48"/>
      <c r="BA640" s="43">
        <f>IF((W640-SUM(AT640:AZ640))&lt;0,0,W640-SUM(AT640:AZ640))</f>
        <v>0</v>
      </c>
      <c r="BB640" s="49"/>
      <c r="BC640" s="47"/>
      <c r="BD640" s="47"/>
    </row>
    <row r="641" spans="1:56" ht="15" customHeight="1">
      <c r="A641" s="49" t="s">
        <v>2852</v>
      </c>
      <c r="B641" s="39" t="s">
        <v>2448</v>
      </c>
      <c r="C641" s="46" t="s">
        <v>83</v>
      </c>
      <c r="D641" s="49" t="s">
        <v>178</v>
      </c>
      <c r="E641" s="49" t="s">
        <v>2493</v>
      </c>
      <c r="F641" s="39">
        <v>3</v>
      </c>
      <c r="G641" s="75" t="s">
        <v>2853</v>
      </c>
      <c r="H641" s="50" t="s">
        <v>87</v>
      </c>
      <c r="I641" s="50" t="s">
        <v>2854</v>
      </c>
      <c r="J641" s="50"/>
      <c r="K641" s="50"/>
      <c r="L641" s="47"/>
      <c r="M641" s="47"/>
      <c r="N641" s="47"/>
      <c r="O641" s="47"/>
      <c r="P641" s="47"/>
      <c r="Q641" s="47"/>
      <c r="R641" s="47"/>
      <c r="S641" s="47"/>
      <c r="T641" s="47"/>
      <c r="U641" s="47"/>
      <c r="V641" s="50" t="s">
        <v>1600</v>
      </c>
      <c r="W641" s="74">
        <v>0</v>
      </c>
      <c r="X641" s="39">
        <f>MAX(0,$AK641-$W641-$Z641)</f>
        <v>0</v>
      </c>
      <c r="Y641" s="39"/>
      <c r="Z641" s="39"/>
      <c r="AA641" s="41">
        <v>3.9</v>
      </c>
      <c r="AB641" s="41">
        <f>IF(AND($X641&gt;0,ISNUMBER($AA641)),$X641*$AA641,0)</f>
        <v>0</v>
      </c>
      <c r="AC641" s="59"/>
      <c r="AD641" s="59"/>
      <c r="AE641" s="59"/>
      <c r="AF641" s="59"/>
      <c r="AG641" s="59"/>
      <c r="AH641" s="59"/>
      <c r="AI641" s="59"/>
      <c r="AJ641" s="59"/>
      <c r="AK641" s="39">
        <f>SUM(AL641:AR641)</f>
        <v>0</v>
      </c>
      <c r="AL641" s="114"/>
      <c r="AM641" s="43"/>
      <c r="AN641" s="43"/>
      <c r="AO641" s="43"/>
      <c r="AP641" s="43"/>
      <c r="AQ641" s="43"/>
      <c r="AR641" s="116"/>
      <c r="AS641" s="42">
        <f>SUM(AT641:AZ641)</f>
        <v>0</v>
      </c>
      <c r="AT641" s="48"/>
      <c r="AU641" s="48"/>
      <c r="AV641" s="48"/>
      <c r="AW641" s="48"/>
      <c r="AX641" s="48"/>
      <c r="AY641" s="48"/>
      <c r="AZ641" s="48"/>
      <c r="BA641" s="43">
        <f>IF((W641-SUM(AT641:AZ641))&lt;0,0,W641-SUM(AT641:AZ641))</f>
        <v>0</v>
      </c>
      <c r="BB641" s="49"/>
      <c r="BC641" s="47"/>
      <c r="BD641" s="134"/>
    </row>
    <row r="642" spans="1:56" ht="15" customHeight="1">
      <c r="A642" s="49" t="s">
        <v>2855</v>
      </c>
      <c r="B642" s="39" t="s">
        <v>2448</v>
      </c>
      <c r="C642" s="46" t="s">
        <v>83</v>
      </c>
      <c r="D642" s="49" t="s">
        <v>84</v>
      </c>
      <c r="E642" s="49" t="s">
        <v>1347</v>
      </c>
      <c r="F642" s="39">
        <v>3</v>
      </c>
      <c r="G642" s="75" t="s">
        <v>2856</v>
      </c>
      <c r="H642" s="50" t="s">
        <v>87</v>
      </c>
      <c r="I642" s="50" t="s">
        <v>2857</v>
      </c>
      <c r="J642" s="50"/>
      <c r="K642" s="50"/>
      <c r="L642" s="47"/>
      <c r="M642" s="47"/>
      <c r="N642" s="47"/>
      <c r="O642" s="47"/>
      <c r="P642" s="47"/>
      <c r="Q642" s="47"/>
      <c r="R642" s="47"/>
      <c r="S642" s="47"/>
      <c r="T642" s="47"/>
      <c r="U642" s="47"/>
      <c r="V642" s="50" t="s">
        <v>1174</v>
      </c>
      <c r="W642" s="74">
        <v>0</v>
      </c>
      <c r="X642" s="39">
        <f>MAX(0,$AK642-$W642-$Z642)</f>
        <v>0</v>
      </c>
      <c r="Y642" s="39"/>
      <c r="Z642" s="39"/>
      <c r="AA642" s="41">
        <v>7.22</v>
      </c>
      <c r="AB642" s="41">
        <f>IF(AND($X642&gt;0,ISNUMBER($AA642)),$X642*$AA642,0)</f>
        <v>0</v>
      </c>
      <c r="AC642" s="59"/>
      <c r="AD642" s="59"/>
      <c r="AE642" s="59"/>
      <c r="AF642" s="59"/>
      <c r="AG642" s="59"/>
      <c r="AH642" s="59"/>
      <c r="AI642" s="59"/>
      <c r="AJ642" s="59"/>
      <c r="AK642" s="39">
        <f>SUM(AL642:AR642)</f>
        <v>0</v>
      </c>
      <c r="AL642" s="114"/>
      <c r="AM642" s="43"/>
      <c r="AN642" s="43"/>
      <c r="AO642" s="43"/>
      <c r="AP642" s="43"/>
      <c r="AQ642" s="43"/>
      <c r="AR642" s="116"/>
      <c r="AS642" s="42">
        <f>SUM(AT642:AZ642)</f>
        <v>0</v>
      </c>
      <c r="AT642" s="48"/>
      <c r="AU642" s="48"/>
      <c r="AV642" s="48"/>
      <c r="AW642" s="48"/>
      <c r="AX642" s="48"/>
      <c r="AY642" s="48"/>
      <c r="AZ642" s="48"/>
      <c r="BA642" s="43">
        <f>IF((W642-SUM(AT642:AZ642))&lt;0,0,W642-SUM(AT642:AZ642))</f>
        <v>0</v>
      </c>
      <c r="BB642" s="49"/>
      <c r="BC642" s="47"/>
      <c r="BD642" s="126"/>
    </row>
    <row r="643" spans="1:56" ht="15" customHeight="1">
      <c r="A643" s="56" t="s">
        <v>2858</v>
      </c>
      <c r="B643" s="57" t="s">
        <v>2448</v>
      </c>
      <c r="C643" s="46" t="s">
        <v>65</v>
      </c>
      <c r="D643" s="56" t="s">
        <v>2859</v>
      </c>
      <c r="E643" s="125" t="s">
        <v>179</v>
      </c>
      <c r="F643" s="127">
        <v>4</v>
      </c>
      <c r="G643" s="75" t="s">
        <v>2860</v>
      </c>
      <c r="H643" s="131" t="s">
        <v>2605</v>
      </c>
      <c r="I643" s="131" t="s">
        <v>2861</v>
      </c>
      <c r="J643" s="131" t="s">
        <v>2862</v>
      </c>
      <c r="K643" s="131" t="s">
        <v>2863</v>
      </c>
      <c r="L643" s="47"/>
      <c r="M643" s="47"/>
      <c r="N643" s="47"/>
      <c r="O643" s="47"/>
      <c r="P643" s="47"/>
      <c r="Q643" s="47"/>
      <c r="R643" s="47"/>
      <c r="S643" s="47"/>
      <c r="T643" s="47"/>
      <c r="U643" s="47"/>
      <c r="V643" s="131" t="s">
        <v>208</v>
      </c>
      <c r="W643" s="74">
        <v>1</v>
      </c>
      <c r="X643" s="39">
        <f>MAX(0,$AK643-$W643-$Z643)</f>
        <v>0</v>
      </c>
      <c r="Y643" s="127"/>
      <c r="Z643" s="127"/>
      <c r="AA643" s="132">
        <v>31.48</v>
      </c>
      <c r="AB643" s="132">
        <f>IF(AND($X643&gt;0,ISNUMBER($AA643)),$X643*$AA643,0)</f>
        <v>0</v>
      </c>
      <c r="AK643" s="39">
        <f>SUM(AL643:AR643)</f>
        <v>1</v>
      </c>
      <c r="AL643" s="90"/>
      <c r="AM643" s="38"/>
      <c r="AN643" s="38"/>
      <c r="AO643" s="38"/>
      <c r="AP643" s="38"/>
      <c r="AQ643" s="97">
        <v>1</v>
      </c>
      <c r="AR643" s="91"/>
      <c r="AS643" s="42">
        <f>SUM(AT643:AZ643)</f>
        <v>1</v>
      </c>
      <c r="AT643" s="48"/>
      <c r="AU643" s="48"/>
      <c r="AV643" s="48"/>
      <c r="AW643" s="48"/>
      <c r="AX643" s="48"/>
      <c r="AY643" s="48">
        <v>1</v>
      </c>
      <c r="AZ643" s="48"/>
      <c r="BA643" s="43">
        <f>IF((W643-SUM(AT643:AZ643))&lt;0,0,W643-SUM(AT643:AZ643))</f>
        <v>0</v>
      </c>
      <c r="BB643" s="125"/>
      <c r="BC643" s="47"/>
      <c r="BD643" s="47"/>
    </row>
    <row r="644" spans="1:56" ht="15" customHeight="1">
      <c r="A644" s="125" t="s">
        <v>2864</v>
      </c>
      <c r="B644" s="127" t="s">
        <v>2448</v>
      </c>
      <c r="C644" s="46" t="s">
        <v>83</v>
      </c>
      <c r="D644" s="125" t="s">
        <v>134</v>
      </c>
      <c r="E644" s="125"/>
      <c r="F644" s="127">
        <v>1</v>
      </c>
      <c r="G644" s="75" t="s">
        <v>2865</v>
      </c>
      <c r="H644" s="131" t="s">
        <v>78</v>
      </c>
      <c r="I644" s="131" t="s">
        <v>2866</v>
      </c>
      <c r="J644" s="131"/>
      <c r="K644" s="131"/>
      <c r="L644" s="47"/>
      <c r="M644" s="47"/>
      <c r="N644" s="47"/>
      <c r="O644" s="68"/>
      <c r="P644" s="68"/>
      <c r="Q644" s="47"/>
      <c r="R644" s="47"/>
      <c r="S644" s="47"/>
      <c r="T644" s="68"/>
      <c r="U644" s="68"/>
      <c r="V644" s="131" t="s">
        <v>440</v>
      </c>
      <c r="W644" s="74">
        <v>1</v>
      </c>
      <c r="X644" s="39">
        <f>MAX(0,$AK644-$W644-$Z644)</f>
        <v>0</v>
      </c>
      <c r="Y644" s="127"/>
      <c r="Z644" s="127"/>
      <c r="AA644" s="132">
        <v>0.28000000000000003</v>
      </c>
      <c r="AB644" s="132">
        <f>IF(AND($X644&gt;0,ISNUMBER($AA644)),$X644*$AA644,0)</f>
        <v>0</v>
      </c>
      <c r="AK644" s="39">
        <f>SUM(AL644:AR644)</f>
        <v>1</v>
      </c>
      <c r="AL644" s="90"/>
      <c r="AM644" s="38"/>
      <c r="AN644" s="38"/>
      <c r="AO644" s="38"/>
      <c r="AP644" s="38"/>
      <c r="AQ644" s="97">
        <v>1</v>
      </c>
      <c r="AR644" s="91"/>
      <c r="AS644" s="42">
        <f>SUM(AT644:AZ644)</f>
        <v>0</v>
      </c>
      <c r="AT644" s="48"/>
      <c r="AU644" s="48"/>
      <c r="AV644" s="48"/>
      <c r="AW644" s="48"/>
      <c r="AX644" s="48"/>
      <c r="AY644" s="48"/>
      <c r="AZ644" s="48"/>
      <c r="BA644" s="43">
        <f>IF((W644-SUM(AT644:AZ644))&lt;0,0,W644-SUM(AT644:AZ644))</f>
        <v>1</v>
      </c>
      <c r="BB644" s="125"/>
      <c r="BC644" s="47"/>
      <c r="BD644" s="126"/>
    </row>
    <row r="645" spans="1:56" ht="15" customHeight="1">
      <c r="A645" s="125" t="s">
        <v>2867</v>
      </c>
      <c r="B645" s="127" t="s">
        <v>2448</v>
      </c>
      <c r="C645" s="46" t="s">
        <v>65</v>
      </c>
      <c r="D645" s="125" t="s">
        <v>256</v>
      </c>
      <c r="E645" s="125"/>
      <c r="F645" s="127">
        <v>1</v>
      </c>
      <c r="G645" s="75" t="s">
        <v>2868</v>
      </c>
      <c r="H645" s="131" t="s">
        <v>446</v>
      </c>
      <c r="I645" s="131" t="s">
        <v>2869</v>
      </c>
      <c r="J645" s="131" t="s">
        <v>2870</v>
      </c>
      <c r="K645" s="131"/>
      <c r="L645" s="47"/>
      <c r="M645" s="47"/>
      <c r="N645" s="47"/>
      <c r="O645" s="47"/>
      <c r="P645" s="47"/>
      <c r="Q645" s="47"/>
      <c r="R645" s="47"/>
      <c r="S645" s="47"/>
      <c r="T645" s="47"/>
      <c r="U645" s="47"/>
      <c r="V645" s="131" t="s">
        <v>175</v>
      </c>
      <c r="W645" s="74">
        <v>1</v>
      </c>
      <c r="X645" s="39">
        <f>MAX(0,$AK645-$W645-$Z645)</f>
        <v>0</v>
      </c>
      <c r="Y645" s="127"/>
      <c r="Z645" s="127"/>
      <c r="AA645" s="132">
        <v>1.84</v>
      </c>
      <c r="AB645" s="132">
        <f>IF(AND($X645&gt;0,ISNUMBER($AA645)),$X645*$AA645,0)</f>
        <v>0</v>
      </c>
      <c r="AK645" s="39">
        <f>SUM(AL645:AR645)</f>
        <v>1</v>
      </c>
      <c r="AL645" s="90"/>
      <c r="AM645" s="38"/>
      <c r="AN645" s="38"/>
      <c r="AO645" s="38"/>
      <c r="AP645" s="38"/>
      <c r="AQ645" s="97">
        <v>1</v>
      </c>
      <c r="AR645" s="91"/>
      <c r="AS645" s="42">
        <f>SUM(AT645:AZ645)</f>
        <v>1</v>
      </c>
      <c r="AT645" s="48"/>
      <c r="AU645" s="48"/>
      <c r="AV645" s="48"/>
      <c r="AW645" s="48"/>
      <c r="AX645" s="48"/>
      <c r="AY645" s="48">
        <v>1</v>
      </c>
      <c r="AZ645" s="48"/>
      <c r="BA645" s="43">
        <f>IF((W645-SUM(AT645:AZ645))&lt;0,0,W645-SUM(AT645:AZ645))</f>
        <v>0</v>
      </c>
      <c r="BB645" s="125"/>
      <c r="BC645" s="47"/>
      <c r="BD645" s="47"/>
    </row>
    <row r="646" spans="1:56" ht="15" customHeight="1">
      <c r="A646" s="125" t="s">
        <v>2871</v>
      </c>
      <c r="B646" s="127" t="s">
        <v>2448</v>
      </c>
      <c r="C646" s="46" t="s">
        <v>65</v>
      </c>
      <c r="D646" s="125" t="s">
        <v>105</v>
      </c>
      <c r="E646" s="125" t="s">
        <v>151</v>
      </c>
      <c r="F646" s="127">
        <v>2</v>
      </c>
      <c r="G646" s="75" t="s">
        <v>2872</v>
      </c>
      <c r="H646" s="131" t="s">
        <v>293</v>
      </c>
      <c r="I646" s="131" t="s">
        <v>2873</v>
      </c>
      <c r="J646" s="131" t="s">
        <v>2874</v>
      </c>
      <c r="K646" s="131"/>
      <c r="L646" s="47"/>
      <c r="M646" s="47"/>
      <c r="N646" s="47"/>
      <c r="O646" s="68"/>
      <c r="P646" s="68"/>
      <c r="Q646" s="47"/>
      <c r="R646" s="47"/>
      <c r="S646" s="47"/>
      <c r="T646" s="68"/>
      <c r="U646" s="68"/>
      <c r="V646" s="131" t="s">
        <v>167</v>
      </c>
      <c r="W646" s="74">
        <v>2</v>
      </c>
      <c r="X646" s="39">
        <f>MAX(0,$AK646-$W646-$Z646)</f>
        <v>0</v>
      </c>
      <c r="Y646" s="127"/>
      <c r="Z646" s="127"/>
      <c r="AA646" s="132">
        <v>0.14000000000000001</v>
      </c>
      <c r="AB646" s="132">
        <f>IF(AND($X646&gt;0,ISNUMBER($AA646)),$X646*$AA646,0)</f>
        <v>0</v>
      </c>
      <c r="AC646" s="63" t="s">
        <v>2875</v>
      </c>
      <c r="AH646" s="63"/>
      <c r="AK646" s="39">
        <f>SUM(AL646:AR646)</f>
        <v>1</v>
      </c>
      <c r="AL646" s="103">
        <v>1</v>
      </c>
      <c r="AM646" s="38"/>
      <c r="AN646" s="38"/>
      <c r="AO646" s="38"/>
      <c r="AP646" s="38"/>
      <c r="AQ646" s="38"/>
      <c r="AR646" s="91"/>
      <c r="AS646" s="42">
        <f>SUM(AT646:AZ646)</f>
        <v>1</v>
      </c>
      <c r="AT646" s="48">
        <v>1</v>
      </c>
      <c r="AU646" s="48"/>
      <c r="AV646" s="48"/>
      <c r="AW646" s="48"/>
      <c r="AX646" s="48"/>
      <c r="AY646" s="48"/>
      <c r="AZ646" s="48"/>
      <c r="BA646" s="43">
        <f>IF((W646-SUM(AT646:AZ646))&lt;0,0,W646-SUM(AT646:AZ646))</f>
        <v>1</v>
      </c>
      <c r="BB646" s="125"/>
      <c r="BC646" s="47"/>
      <c r="BD646" s="126"/>
    </row>
    <row r="647" spans="1:56" ht="15" customHeight="1">
      <c r="A647" s="125" t="s">
        <v>2876</v>
      </c>
      <c r="B647" s="127" t="s">
        <v>2448</v>
      </c>
      <c r="C647" s="46" t="s">
        <v>65</v>
      </c>
      <c r="D647" s="125" t="s">
        <v>256</v>
      </c>
      <c r="E647" s="125"/>
      <c r="F647" s="127">
        <v>3</v>
      </c>
      <c r="G647" s="75" t="s">
        <v>2877</v>
      </c>
      <c r="H647" s="131" t="s">
        <v>2605</v>
      </c>
      <c r="I647" s="131" t="s">
        <v>2878</v>
      </c>
      <c r="J647" s="131"/>
      <c r="K647" s="131"/>
      <c r="L647" s="47"/>
      <c r="M647" s="47"/>
      <c r="N647" s="47"/>
      <c r="O647" s="47"/>
      <c r="P647" s="47"/>
      <c r="Q647" s="47"/>
      <c r="R647" s="47"/>
      <c r="S647" s="47"/>
      <c r="T647" s="47"/>
      <c r="U647" s="47"/>
      <c r="V647" s="131" t="s">
        <v>196</v>
      </c>
      <c r="W647" s="74">
        <v>1</v>
      </c>
      <c r="X647" s="39">
        <f>MAX(0,$AK647-$W647-$Z647)</f>
        <v>0</v>
      </c>
      <c r="Y647" s="127"/>
      <c r="Z647" s="127"/>
      <c r="AA647" s="132">
        <v>0.3</v>
      </c>
      <c r="AB647" s="132">
        <f>IF(AND($X647&gt;0,ISNUMBER($AA647)),$X647*$AA647,0)</f>
        <v>0</v>
      </c>
      <c r="AK647" s="39">
        <f>SUM(AL647:AR647)</f>
        <v>0</v>
      </c>
      <c r="AL647" s="90"/>
      <c r="AM647" s="38"/>
      <c r="AN647" s="38"/>
      <c r="AO647" s="38"/>
      <c r="AP647" s="38"/>
      <c r="AQ647" s="38"/>
      <c r="AR647" s="91"/>
      <c r="AS647" s="42">
        <f>SUM(AT647:AZ647)</f>
        <v>0</v>
      </c>
      <c r="AT647" s="48"/>
      <c r="AU647" s="48"/>
      <c r="AV647" s="48"/>
      <c r="AW647" s="48"/>
      <c r="AX647" s="48"/>
      <c r="AY647" s="48"/>
      <c r="AZ647" s="48"/>
      <c r="BA647" s="43">
        <f>IF((W647-SUM(AT647:AZ647))&lt;0,0,W647-SUM(AT647:AZ647))</f>
        <v>1</v>
      </c>
      <c r="BB647" s="125"/>
      <c r="BC647" s="47"/>
      <c r="BD647" s="126"/>
    </row>
    <row r="648" spans="1:56" ht="15" customHeight="1">
      <c r="A648" s="125" t="s">
        <v>2879</v>
      </c>
      <c r="B648" s="127" t="s">
        <v>2448</v>
      </c>
      <c r="C648" s="46" t="s">
        <v>65</v>
      </c>
      <c r="D648" s="125" t="s">
        <v>84</v>
      </c>
      <c r="E648" s="125" t="s">
        <v>2880</v>
      </c>
      <c r="F648" s="127">
        <v>3</v>
      </c>
      <c r="G648" s="75" t="s">
        <v>2881</v>
      </c>
      <c r="H648" s="131" t="s">
        <v>959</v>
      </c>
      <c r="I648" s="131" t="s">
        <v>2882</v>
      </c>
      <c r="J648" s="131" t="s">
        <v>2510</v>
      </c>
      <c r="K648" s="131" t="s">
        <v>2883</v>
      </c>
      <c r="L648" s="47"/>
      <c r="M648" s="47"/>
      <c r="N648" s="47"/>
      <c r="O648" s="47"/>
      <c r="P648" s="47"/>
      <c r="Q648" s="47"/>
      <c r="R648" s="47"/>
      <c r="S648" s="47"/>
      <c r="T648" s="47"/>
      <c r="U648" s="47"/>
      <c r="V648" s="131" t="s">
        <v>991</v>
      </c>
      <c r="W648" s="74">
        <v>0</v>
      </c>
      <c r="X648" s="39">
        <f>MAX(0,$AK648-$W648-$Z648)</f>
        <v>0</v>
      </c>
      <c r="Y648" s="127"/>
      <c r="Z648" s="127"/>
      <c r="AA648" s="132">
        <v>0.19</v>
      </c>
      <c r="AB648" s="132">
        <f>IF(AND($X648&gt;0,ISNUMBER($AA648)),$X648*$AA648,0)</f>
        <v>0</v>
      </c>
      <c r="AC648" s="59"/>
      <c r="AD648" s="59"/>
      <c r="AE648" s="59"/>
      <c r="AF648" s="59"/>
      <c r="AG648" s="59"/>
      <c r="AH648" s="59"/>
      <c r="AI648" s="59"/>
      <c r="AJ648" s="59"/>
      <c r="AK648" s="39">
        <f>SUM(AL648:AR648)</f>
        <v>0</v>
      </c>
      <c r="AL648" s="114"/>
      <c r="AM648" s="43"/>
      <c r="AN648" s="43"/>
      <c r="AO648" s="43"/>
      <c r="AP648" s="43"/>
      <c r="AQ648" s="43"/>
      <c r="AR648" s="116"/>
      <c r="AS648" s="42">
        <f>SUM(AT648:AZ648)</f>
        <v>0</v>
      </c>
      <c r="AT648" s="48"/>
      <c r="AU648" s="48"/>
      <c r="AV648" s="48"/>
      <c r="AW648" s="48"/>
      <c r="AX648" s="48"/>
      <c r="AY648" s="48"/>
      <c r="AZ648" s="48"/>
      <c r="BA648" s="43">
        <f>IF((W648-SUM(AT648:AZ648))&lt;0,0,W648-SUM(AT648:AZ648))</f>
        <v>0</v>
      </c>
      <c r="BB648" s="125"/>
      <c r="BC648" s="47"/>
      <c r="BD648" s="134"/>
    </row>
    <row r="649" spans="1:56" ht="15" customHeight="1">
      <c r="A649" s="125" t="s">
        <v>2884</v>
      </c>
      <c r="B649" s="127" t="s">
        <v>2448</v>
      </c>
      <c r="C649" s="46" t="s">
        <v>65</v>
      </c>
      <c r="D649" s="125" t="s">
        <v>76</v>
      </c>
      <c r="E649" s="125"/>
      <c r="F649" s="127">
        <v>2</v>
      </c>
      <c r="G649" s="75" t="s">
        <v>2885</v>
      </c>
      <c r="H649" s="131" t="s">
        <v>499</v>
      </c>
      <c r="I649" s="131" t="s">
        <v>2886</v>
      </c>
      <c r="J649" s="131" t="s">
        <v>2887</v>
      </c>
      <c r="K649" s="131"/>
      <c r="L649" s="47"/>
      <c r="M649" s="47"/>
      <c r="N649" s="47"/>
      <c r="O649" s="68"/>
      <c r="P649" s="68"/>
      <c r="Q649" s="47"/>
      <c r="R649" s="47"/>
      <c r="S649" s="47"/>
      <c r="T649" s="68"/>
      <c r="U649" s="68"/>
      <c r="V649" s="131" t="s">
        <v>119</v>
      </c>
      <c r="W649" s="74">
        <v>1</v>
      </c>
      <c r="X649" s="39">
        <f>MAX(0,$AK649-$W649-$Z649)</f>
        <v>0</v>
      </c>
      <c r="Y649" s="127"/>
      <c r="Z649" s="127"/>
      <c r="AA649" s="132">
        <v>0.27</v>
      </c>
      <c r="AB649" s="132">
        <f>IF(AND($X649&gt;0,ISNUMBER($AA649)),$X649*$AA649,0)</f>
        <v>0</v>
      </c>
      <c r="AK649" s="39">
        <f>SUM(AL649:AR649)</f>
        <v>0</v>
      </c>
      <c r="AL649" s="90"/>
      <c r="AM649" s="38"/>
      <c r="AN649" s="38"/>
      <c r="AO649" s="38"/>
      <c r="AP649" s="38"/>
      <c r="AQ649" s="38"/>
      <c r="AR649" s="91"/>
      <c r="AS649" s="42">
        <f>SUM(AT649:AZ649)</f>
        <v>0</v>
      </c>
      <c r="AT649" s="48"/>
      <c r="AU649" s="48"/>
      <c r="AV649" s="48"/>
      <c r="AW649" s="48"/>
      <c r="AX649" s="48"/>
      <c r="AY649" s="48"/>
      <c r="AZ649" s="48"/>
      <c r="BA649" s="43">
        <f>IF((W649-SUM(AT649:AZ649))&lt;0,0,W649-SUM(AT649:AZ649))</f>
        <v>1</v>
      </c>
      <c r="BB649" s="125"/>
      <c r="BC649" s="47"/>
      <c r="BD649" s="126"/>
    </row>
    <row r="650" spans="1:56" ht="15" customHeight="1">
      <c r="A650" s="125" t="s">
        <v>2888</v>
      </c>
      <c r="B650" s="127" t="s">
        <v>2448</v>
      </c>
      <c r="C650" s="46" t="s">
        <v>65</v>
      </c>
      <c r="D650" s="125" t="s">
        <v>84</v>
      </c>
      <c r="E650" s="125" t="s">
        <v>2889</v>
      </c>
      <c r="F650" s="127">
        <v>2</v>
      </c>
      <c r="G650" s="75" t="s">
        <v>2890</v>
      </c>
      <c r="H650" s="131" t="s">
        <v>100</v>
      </c>
      <c r="I650" s="131" t="s">
        <v>2185</v>
      </c>
      <c r="J650" s="131" t="s">
        <v>2891</v>
      </c>
      <c r="K650" s="131"/>
      <c r="L650" s="47"/>
      <c r="M650" s="47"/>
      <c r="N650" s="47"/>
      <c r="O650" s="68"/>
      <c r="P650" s="68"/>
      <c r="Q650" s="47"/>
      <c r="R650" s="47"/>
      <c r="S650" s="47"/>
      <c r="T650" s="68"/>
      <c r="U650" s="68"/>
      <c r="V650" s="131" t="s">
        <v>1916</v>
      </c>
      <c r="W650" s="74">
        <v>1</v>
      </c>
      <c r="X650" s="39">
        <f>MAX(0,$AK650-$W650-$Z650)</f>
        <v>0</v>
      </c>
      <c r="Y650" s="127"/>
      <c r="Z650" s="127"/>
      <c r="AA650" s="132">
        <v>0.24</v>
      </c>
      <c r="AB650" s="132">
        <f>IF(AND($X650&gt;0,ISNUMBER($AA650)),$X650*$AA650,0)</f>
        <v>0</v>
      </c>
      <c r="AK650" s="39">
        <f>SUM(AL650:AR650)</f>
        <v>1</v>
      </c>
      <c r="AL650" s="102">
        <v>1</v>
      </c>
      <c r="AM650" s="38"/>
      <c r="AN650" s="38"/>
      <c r="AO650" s="38"/>
      <c r="AP650" s="38"/>
      <c r="AQ650" s="38"/>
      <c r="AR650" s="91"/>
      <c r="AS650" s="42">
        <f>SUM(AT650:AZ650)</f>
        <v>1</v>
      </c>
      <c r="AT650" s="48">
        <v>1</v>
      </c>
      <c r="AU650" s="48"/>
      <c r="AV650" s="48"/>
      <c r="AW650" s="48"/>
      <c r="AX650" s="48"/>
      <c r="AY650" s="48"/>
      <c r="AZ650" s="48"/>
      <c r="BA650" s="43">
        <f>IF((W650-SUM(AT650:AZ650))&lt;0,0,W650-SUM(AT650:AZ650))</f>
        <v>0</v>
      </c>
      <c r="BB650" s="125"/>
      <c r="BC650" s="47"/>
      <c r="BD650" s="126"/>
    </row>
    <row r="651" spans="1:56" ht="15" customHeight="1">
      <c r="A651" s="130" t="s">
        <v>2892</v>
      </c>
      <c r="B651" s="128" t="s">
        <v>2448</v>
      </c>
      <c r="C651" s="38" t="s">
        <v>65</v>
      </c>
      <c r="D651" s="130" t="s">
        <v>84</v>
      </c>
      <c r="E651" s="130" t="s">
        <v>2893</v>
      </c>
      <c r="F651" s="130">
        <v>3</v>
      </c>
      <c r="G651" s="75" t="s">
        <v>2894</v>
      </c>
      <c r="H651" s="130" t="s">
        <v>2605</v>
      </c>
      <c r="I651" s="130" t="s">
        <v>2895</v>
      </c>
      <c r="J651" s="130" t="s">
        <v>2896</v>
      </c>
      <c r="K651" s="130"/>
      <c r="L651" s="37"/>
      <c r="M651" s="37"/>
      <c r="N651" s="37"/>
      <c r="O651" s="68"/>
      <c r="P651" s="68"/>
      <c r="Q651" s="37"/>
      <c r="R651" s="37"/>
      <c r="S651" s="37"/>
      <c r="T651" s="68"/>
      <c r="U651" s="68"/>
      <c r="V651" s="130" t="s">
        <v>223</v>
      </c>
      <c r="W651" s="74">
        <v>1</v>
      </c>
      <c r="X651" s="39">
        <f>MAX(0,$AK651-$W651-$Z651)</f>
        <v>0</v>
      </c>
      <c r="Y651" s="130"/>
      <c r="Z651" s="130"/>
      <c r="AA651" s="130">
        <v>0.16</v>
      </c>
      <c r="AB651" s="132">
        <f>IF(AND($X651&gt;0,ISNUMBER($AA651)),$X651*$AA651,0)</f>
        <v>0</v>
      </c>
      <c r="AC651" s="63"/>
      <c r="AK651" s="39">
        <f>SUM(AL651:AR651)</f>
        <v>1</v>
      </c>
      <c r="AL651" s="102">
        <v>1</v>
      </c>
      <c r="AM651" s="38"/>
      <c r="AN651" s="38"/>
      <c r="AO651" s="38"/>
      <c r="AP651" s="38"/>
      <c r="AQ651" s="38"/>
      <c r="AR651" s="91"/>
      <c r="AS651" s="42">
        <f>SUM(AT651:AZ651)</f>
        <v>1</v>
      </c>
      <c r="AT651" s="48">
        <v>1</v>
      </c>
      <c r="AU651" s="48"/>
      <c r="AV651" s="48"/>
      <c r="AW651" s="48"/>
      <c r="AX651" s="48"/>
      <c r="AY651" s="48"/>
      <c r="AZ651" s="48"/>
      <c r="BA651" s="43">
        <f>IF((W651-SUM(AT651:AZ651))&lt;0,0,W651-SUM(AT651:AZ651))</f>
        <v>0</v>
      </c>
      <c r="BB651" s="130"/>
      <c r="BC651" s="37"/>
      <c r="BD651" s="130"/>
    </row>
    <row r="652" spans="1:56" ht="15" customHeight="1">
      <c r="A652" s="125" t="s">
        <v>2897</v>
      </c>
      <c r="B652" s="127" t="s">
        <v>2448</v>
      </c>
      <c r="C652" s="46" t="s">
        <v>65</v>
      </c>
      <c r="D652" s="125" t="s">
        <v>84</v>
      </c>
      <c r="E652" s="125" t="s">
        <v>2574</v>
      </c>
      <c r="F652" s="127">
        <v>3</v>
      </c>
      <c r="G652" s="75" t="s">
        <v>2898</v>
      </c>
      <c r="H652" s="131" t="s">
        <v>108</v>
      </c>
      <c r="I652" s="131" t="s">
        <v>2899</v>
      </c>
      <c r="J652" s="131"/>
      <c r="K652" s="131"/>
      <c r="L652" s="47"/>
      <c r="M652" s="47"/>
      <c r="N652" s="47"/>
      <c r="O652" s="47"/>
      <c r="P652" s="47"/>
      <c r="Q652" s="47"/>
      <c r="R652" s="47"/>
      <c r="S652" s="47"/>
      <c r="T652" s="47"/>
      <c r="U652" s="47"/>
      <c r="V652" s="131" t="s">
        <v>2779</v>
      </c>
      <c r="W652" s="74">
        <v>0</v>
      </c>
      <c r="X652" s="39">
        <f>MAX(0,$AK652-$W652-$Z652)</f>
        <v>0</v>
      </c>
      <c r="Y652" s="127"/>
      <c r="Z652" s="127"/>
      <c r="AA652" s="132">
        <v>0.2</v>
      </c>
      <c r="AB652" s="132">
        <f>IF(AND($X652&gt;0,ISNUMBER($AA652)),$X652*$AA652,0)</f>
        <v>0</v>
      </c>
      <c r="AC652" s="59"/>
      <c r="AD652" s="59"/>
      <c r="AE652" s="59"/>
      <c r="AF652" s="59"/>
      <c r="AG652" s="59"/>
      <c r="AH652" s="59"/>
      <c r="AI652" s="59"/>
      <c r="AJ652" s="59"/>
      <c r="AK652" s="39">
        <f>SUM(AL652:AR652)</f>
        <v>0</v>
      </c>
      <c r="AL652" s="114"/>
      <c r="AM652" s="43"/>
      <c r="AN652" s="43"/>
      <c r="AO652" s="43"/>
      <c r="AP652" s="43"/>
      <c r="AQ652" s="43"/>
      <c r="AR652" s="116"/>
      <c r="AS652" s="42">
        <f>SUM(AT652:AZ652)</f>
        <v>0</v>
      </c>
      <c r="AT652" s="48"/>
      <c r="AU652" s="48"/>
      <c r="AV652" s="48"/>
      <c r="AW652" s="48"/>
      <c r="AX652" s="48"/>
      <c r="AY652" s="48"/>
      <c r="AZ652" s="48"/>
      <c r="BA652" s="43">
        <f>IF((W652-SUM(AT652:AZ652))&lt;0,0,W652-SUM(AT652:AZ652))</f>
        <v>0</v>
      </c>
      <c r="BB652" s="125"/>
      <c r="BC652" s="47"/>
      <c r="BD652" s="126"/>
    </row>
    <row r="653" spans="1:56" ht="15" customHeight="1">
      <c r="A653" s="125" t="s">
        <v>2900</v>
      </c>
      <c r="B653" s="127" t="s">
        <v>2448</v>
      </c>
      <c r="C653" s="46" t="s">
        <v>83</v>
      </c>
      <c r="D653" s="125" t="s">
        <v>84</v>
      </c>
      <c r="E653" s="125" t="s">
        <v>2493</v>
      </c>
      <c r="F653" s="127">
        <v>2</v>
      </c>
      <c r="G653" s="75" t="s">
        <v>2901</v>
      </c>
      <c r="H653" s="131" t="s">
        <v>408</v>
      </c>
      <c r="I653" s="131" t="s">
        <v>2902</v>
      </c>
      <c r="J653" s="131"/>
      <c r="K653" s="131"/>
      <c r="L653" s="46"/>
      <c r="M653" s="46"/>
      <c r="N653" s="46"/>
      <c r="O653" s="46"/>
      <c r="P653" s="46"/>
      <c r="Q653" s="46"/>
      <c r="R653" s="46"/>
      <c r="S653" s="46"/>
      <c r="T653" s="46"/>
      <c r="U653" s="46"/>
      <c r="V653" s="131" t="s">
        <v>379</v>
      </c>
      <c r="W653" s="74">
        <v>0</v>
      </c>
      <c r="X653" s="39">
        <f>MAX(0,$AK653-$W653-$Z653)</f>
        <v>0</v>
      </c>
      <c r="Y653" s="127"/>
      <c r="Z653" s="127"/>
      <c r="AA653" s="132">
        <v>4.87</v>
      </c>
      <c r="AB653" s="132">
        <f>IF(AND($X653&gt;0,ISNUMBER($AA653)),$X653*$AA653,0)</f>
        <v>0</v>
      </c>
      <c r="AC653" s="59"/>
      <c r="AD653" s="59"/>
      <c r="AE653" s="59"/>
      <c r="AF653" s="59"/>
      <c r="AG653" s="59"/>
      <c r="AH653" s="59"/>
      <c r="AI653" s="59"/>
      <c r="AJ653" s="59"/>
      <c r="AK653" s="39">
        <f>SUM(AL653:AR653)</f>
        <v>0</v>
      </c>
      <c r="AL653" s="114"/>
      <c r="AM653" s="43"/>
      <c r="AN653" s="43"/>
      <c r="AO653" s="43"/>
      <c r="AP653" s="43"/>
      <c r="AQ653" s="43"/>
      <c r="AR653" s="116"/>
      <c r="AS653" s="42">
        <f>SUM(AT653:AZ653)</f>
        <v>0</v>
      </c>
      <c r="AT653" s="48"/>
      <c r="AU653" s="48"/>
      <c r="AV653" s="48"/>
      <c r="AW653" s="48"/>
      <c r="AX653" s="48"/>
      <c r="AY653" s="48"/>
      <c r="AZ653" s="48"/>
      <c r="BA653" s="43">
        <f>IF((W653-SUM(AT653:AZ653))&lt;0,0,W653-SUM(AT653:AZ653))</f>
        <v>0</v>
      </c>
      <c r="BB653" s="125"/>
      <c r="BC653" s="47"/>
      <c r="BD653" s="126"/>
    </row>
    <row r="654" spans="1:56" ht="15" customHeight="1">
      <c r="A654" s="125" t="s">
        <v>2903</v>
      </c>
      <c r="B654" s="127" t="s">
        <v>2448</v>
      </c>
      <c r="C654" s="46" t="s">
        <v>65</v>
      </c>
      <c r="D654" s="125" t="s">
        <v>134</v>
      </c>
      <c r="E654" s="125"/>
      <c r="F654" s="127">
        <v>3</v>
      </c>
      <c r="G654" s="75" t="s">
        <v>2904</v>
      </c>
      <c r="H654" s="131" t="s">
        <v>293</v>
      </c>
      <c r="I654" s="131" t="s">
        <v>2905</v>
      </c>
      <c r="J654" s="131" t="s">
        <v>2906</v>
      </c>
      <c r="K654" s="131"/>
      <c r="L654" s="46"/>
      <c r="M654" s="46"/>
      <c r="N654" s="46"/>
      <c r="O654" s="46"/>
      <c r="P654" s="46"/>
      <c r="Q654" s="46"/>
      <c r="R654" s="46"/>
      <c r="S654" s="46"/>
      <c r="T654" s="46"/>
      <c r="U654" s="46"/>
      <c r="V654" s="131" t="s">
        <v>158</v>
      </c>
      <c r="W654" s="74">
        <v>1</v>
      </c>
      <c r="X654" s="39">
        <f>MAX(0,$AK654-$W654-$Z654)</f>
        <v>0</v>
      </c>
      <c r="Y654" s="127"/>
      <c r="Z654" s="127"/>
      <c r="AA654" s="132">
        <v>0.22</v>
      </c>
      <c r="AB654" s="132">
        <f>IF(AND($X654&gt;0,ISNUMBER($AA654)),$X654*$AA654,0)</f>
        <v>0</v>
      </c>
      <c r="AC654" s="63"/>
      <c r="AK654" s="39">
        <f>SUM(AL654:AR654)</f>
        <v>1</v>
      </c>
      <c r="AL654" s="103">
        <v>1</v>
      </c>
      <c r="AM654" s="38"/>
      <c r="AN654" s="38"/>
      <c r="AO654" s="38"/>
      <c r="AP654" s="38"/>
      <c r="AQ654" s="38"/>
      <c r="AR654" s="91"/>
      <c r="AS654" s="42">
        <f>SUM(AT654:AZ654)</f>
        <v>1</v>
      </c>
      <c r="AT654" s="48">
        <v>1</v>
      </c>
      <c r="AU654" s="48"/>
      <c r="AV654" s="48"/>
      <c r="AW654" s="48"/>
      <c r="AX654" s="48"/>
      <c r="AY654" s="48"/>
      <c r="AZ654" s="48"/>
      <c r="BA654" s="43">
        <f>IF((W654-SUM(AT654:AZ654))&lt;0,0,W654-SUM(AT654:AZ654))</f>
        <v>0</v>
      </c>
      <c r="BB654" s="125"/>
      <c r="BC654" s="47"/>
      <c r="BD654" s="126"/>
    </row>
    <row r="655" spans="1:56" ht="15" customHeight="1">
      <c r="A655" s="125" t="s">
        <v>2907</v>
      </c>
      <c r="B655" s="127" t="s">
        <v>2448</v>
      </c>
      <c r="C655" s="46" t="s">
        <v>83</v>
      </c>
      <c r="D655" s="125" t="s">
        <v>256</v>
      </c>
      <c r="E655" s="125"/>
      <c r="F655" s="127">
        <v>3</v>
      </c>
      <c r="G655" s="75" t="s">
        <v>2908</v>
      </c>
      <c r="H655" s="131" t="s">
        <v>408</v>
      </c>
      <c r="I655" s="131" t="s">
        <v>2909</v>
      </c>
      <c r="J655" s="131"/>
      <c r="K655" s="131"/>
      <c r="L655" s="46"/>
      <c r="M655" s="46"/>
      <c r="N655" s="46"/>
      <c r="O655" s="46"/>
      <c r="P655" s="46"/>
      <c r="Q655" s="46"/>
      <c r="R655" s="46"/>
      <c r="S655" s="46"/>
      <c r="T655" s="46"/>
      <c r="U655" s="46"/>
      <c r="V655" s="131" t="s">
        <v>1140</v>
      </c>
      <c r="W655" s="74">
        <v>1</v>
      </c>
      <c r="X655" s="39">
        <f>MAX(0,$AK655-$W655-$Z655)</f>
        <v>0</v>
      </c>
      <c r="Y655" s="127"/>
      <c r="Z655" s="127"/>
      <c r="AA655" s="132">
        <v>4.47</v>
      </c>
      <c r="AB655" s="132">
        <f>IF(AND($X655&gt;0,ISNUMBER($AA655)),$X655*$AA655,0)</f>
        <v>0</v>
      </c>
      <c r="AK655" s="39">
        <f>SUM(AL655:AR655)</f>
        <v>1</v>
      </c>
      <c r="AL655" s="90"/>
      <c r="AM655" s="38"/>
      <c r="AN655" s="38"/>
      <c r="AO655" s="38"/>
      <c r="AP655" s="38"/>
      <c r="AQ655" s="97">
        <v>1</v>
      </c>
      <c r="AR655" s="91"/>
      <c r="AS655" s="42">
        <f>SUM(AT655:AZ655)</f>
        <v>1</v>
      </c>
      <c r="AT655" s="48"/>
      <c r="AU655" s="48"/>
      <c r="AV655" s="48"/>
      <c r="AW655" s="48"/>
      <c r="AX655" s="48"/>
      <c r="AY655" s="48">
        <v>1</v>
      </c>
      <c r="AZ655" s="48"/>
      <c r="BA655" s="43">
        <f>IF((W655-SUM(AT655:AZ655))&lt;0,0,W655-SUM(AT655:AZ655))</f>
        <v>0</v>
      </c>
      <c r="BB655" s="125"/>
      <c r="BC655" s="47"/>
      <c r="BD655" s="126"/>
    </row>
    <row r="656" spans="1:56" ht="15" customHeight="1">
      <c r="A656" s="125" t="s">
        <v>2910</v>
      </c>
      <c r="B656" s="127" t="s">
        <v>2448</v>
      </c>
      <c r="C656" s="46" t="s">
        <v>65</v>
      </c>
      <c r="D656" s="125" t="s">
        <v>76</v>
      </c>
      <c r="E656" s="125"/>
      <c r="F656" s="127">
        <v>2</v>
      </c>
      <c r="G656" s="75" t="s">
        <v>2911</v>
      </c>
      <c r="H656" s="131" t="s">
        <v>1268</v>
      </c>
      <c r="I656" s="131" t="s">
        <v>2912</v>
      </c>
      <c r="J656" s="131" t="s">
        <v>2913</v>
      </c>
      <c r="K656" s="131" t="s">
        <v>2914</v>
      </c>
      <c r="L656" s="47"/>
      <c r="M656" s="47"/>
      <c r="N656" s="47"/>
      <c r="O656" s="68"/>
      <c r="P656" s="68"/>
      <c r="Q656" s="47"/>
      <c r="R656" s="47"/>
      <c r="S656" s="47"/>
      <c r="T656" s="68"/>
      <c r="U656" s="68"/>
      <c r="V656" s="131" t="s">
        <v>641</v>
      </c>
      <c r="W656" s="74">
        <v>1</v>
      </c>
      <c r="X656" s="39">
        <f>MAX(0,$AK656-$W656-$Z656)</f>
        <v>0</v>
      </c>
      <c r="Y656" s="127"/>
      <c r="Z656" s="127"/>
      <c r="AA656" s="132">
        <v>0.3</v>
      </c>
      <c r="AB656" s="132">
        <f>IF(AND($X656&gt;0,ISNUMBER($AA656)),$X656*$AA656,0)</f>
        <v>0</v>
      </c>
      <c r="AH656" s="63" t="s">
        <v>2915</v>
      </c>
      <c r="AK656" s="39">
        <f>SUM(AL656:AR656)</f>
        <v>1</v>
      </c>
      <c r="AL656" s="90"/>
      <c r="AM656" s="38"/>
      <c r="AN656" s="38"/>
      <c r="AO656" s="38"/>
      <c r="AP656" s="38"/>
      <c r="AQ656" s="99">
        <v>1</v>
      </c>
      <c r="AR656" s="91"/>
      <c r="AS656" s="42">
        <f>SUM(AT656:AZ656)</f>
        <v>0</v>
      </c>
      <c r="AT656" s="48"/>
      <c r="AU656" s="48"/>
      <c r="AV656" s="48"/>
      <c r="AW656" s="48"/>
      <c r="AX656" s="48"/>
      <c r="AY656" s="48"/>
      <c r="AZ656" s="48"/>
      <c r="BA656" s="43">
        <f>IF((W656-SUM(AT656:AZ656))&lt;0,0,W656-SUM(AT656:AZ656))</f>
        <v>1</v>
      </c>
      <c r="BB656" s="125"/>
      <c r="BC656" s="47"/>
      <c r="BD656" s="126"/>
    </row>
    <row r="657" spans="1:56" ht="15" customHeight="1">
      <c r="A657" s="125" t="s">
        <v>2916</v>
      </c>
      <c r="B657" s="127" t="s">
        <v>2448</v>
      </c>
      <c r="C657" s="46" t="s">
        <v>65</v>
      </c>
      <c r="D657" s="125" t="s">
        <v>84</v>
      </c>
      <c r="E657" s="125" t="s">
        <v>269</v>
      </c>
      <c r="F657" s="127">
        <v>5</v>
      </c>
      <c r="G657" s="75" t="s">
        <v>2917</v>
      </c>
      <c r="H657" s="131" t="s">
        <v>153</v>
      </c>
      <c r="I657" s="131" t="s">
        <v>2918</v>
      </c>
      <c r="J657" s="131" t="s">
        <v>2919</v>
      </c>
      <c r="K657" s="131"/>
      <c r="L657" s="47"/>
      <c r="M657" s="47"/>
      <c r="N657" s="47"/>
      <c r="O657" s="47"/>
      <c r="P657" s="47"/>
      <c r="Q657" s="47"/>
      <c r="R657" s="47"/>
      <c r="S657" s="47"/>
      <c r="T657" s="47"/>
      <c r="U657" s="47"/>
      <c r="V657" s="131" t="s">
        <v>582</v>
      </c>
      <c r="W657" s="74">
        <v>1</v>
      </c>
      <c r="X657" s="39">
        <f>MAX(0,$AK657-$W657-$Z657)</f>
        <v>0</v>
      </c>
      <c r="Y657" s="127"/>
      <c r="Z657" s="127"/>
      <c r="AA657" s="132">
        <v>0.27</v>
      </c>
      <c r="AB657" s="132">
        <f>IF(AND($X657&gt;0,ISNUMBER($AA657)),$X657*$AA657,0)</f>
        <v>0</v>
      </c>
      <c r="AK657" s="39">
        <f>SUM(AL657:AR657)</f>
        <v>1</v>
      </c>
      <c r="AL657" s="90"/>
      <c r="AM657" s="38"/>
      <c r="AN657" s="38"/>
      <c r="AO657" s="38"/>
      <c r="AP657" s="38"/>
      <c r="AQ657" s="97">
        <v>1</v>
      </c>
      <c r="AR657" s="91"/>
      <c r="AS657" s="42">
        <f>SUM(AT657:AZ657)</f>
        <v>1</v>
      </c>
      <c r="AT657" s="48"/>
      <c r="AU657" s="48"/>
      <c r="AV657" s="48"/>
      <c r="AW657" s="48"/>
      <c r="AX657" s="48"/>
      <c r="AY657" s="48">
        <v>1</v>
      </c>
      <c r="AZ657" s="48"/>
      <c r="BA657" s="43">
        <f>IF((W657-SUM(AT657:AZ657))&lt;0,0,W657-SUM(AT657:AZ657))</f>
        <v>0</v>
      </c>
      <c r="BB657" s="125"/>
      <c r="BC657" s="47"/>
      <c r="BD657" s="126"/>
    </row>
    <row r="658" spans="1:56" ht="15" customHeight="1">
      <c r="A658" s="125" t="s">
        <v>2920</v>
      </c>
      <c r="B658" s="127" t="s">
        <v>2448</v>
      </c>
      <c r="C658" s="46" t="s">
        <v>83</v>
      </c>
      <c r="D658" s="125" t="s">
        <v>84</v>
      </c>
      <c r="E658" s="125" t="s">
        <v>269</v>
      </c>
      <c r="F658" s="127">
        <v>5</v>
      </c>
      <c r="G658" s="75" t="s">
        <v>2921</v>
      </c>
      <c r="H658" s="131" t="s">
        <v>233</v>
      </c>
      <c r="I658" s="131" t="s">
        <v>2922</v>
      </c>
      <c r="J658" s="131" t="s">
        <v>2923</v>
      </c>
      <c r="K658" s="131"/>
      <c r="L658" s="47"/>
      <c r="M658" s="47"/>
      <c r="N658" s="47"/>
      <c r="O658" s="47"/>
      <c r="P658" s="47"/>
      <c r="Q658" s="47"/>
      <c r="R658" s="47"/>
      <c r="S658" s="47"/>
      <c r="T658" s="47"/>
      <c r="U658" s="47"/>
      <c r="V658" s="131" t="s">
        <v>254</v>
      </c>
      <c r="W658" s="74">
        <v>0</v>
      </c>
      <c r="X658" s="39">
        <f>MAX(0,$AK658-$W658-$Z658)</f>
        <v>0</v>
      </c>
      <c r="Y658" s="127"/>
      <c r="Z658" s="127"/>
      <c r="AA658" s="132">
        <v>0.93</v>
      </c>
      <c r="AB658" s="132">
        <f>IF(AND($X658&gt;0,ISNUMBER($AA658)),$X658*$AA658,0)</f>
        <v>0</v>
      </c>
      <c r="AC658" s="59"/>
      <c r="AD658" s="59"/>
      <c r="AE658" s="59"/>
      <c r="AF658" s="59"/>
      <c r="AG658" s="59"/>
      <c r="AH658" s="59"/>
      <c r="AI658" s="59"/>
      <c r="AJ658" s="59"/>
      <c r="AK658" s="39">
        <f>SUM(AL658:AR658)</f>
        <v>0</v>
      </c>
      <c r="AL658" s="114"/>
      <c r="AM658" s="43"/>
      <c r="AN658" s="43"/>
      <c r="AO658" s="43"/>
      <c r="AP658" s="43"/>
      <c r="AQ658" s="43"/>
      <c r="AR658" s="116"/>
      <c r="AS658" s="42">
        <f>SUM(AT658:AZ658)</f>
        <v>0</v>
      </c>
      <c r="AT658" s="48"/>
      <c r="AU658" s="48"/>
      <c r="AV658" s="48"/>
      <c r="AW658" s="48"/>
      <c r="AX658" s="48"/>
      <c r="AY658" s="48"/>
      <c r="AZ658" s="48"/>
      <c r="BA658" s="43">
        <f>IF((W658-SUM(AT658:AZ658))&lt;0,0,W658-SUM(AT658:AZ658))</f>
        <v>0</v>
      </c>
      <c r="BB658" s="125"/>
      <c r="BC658" s="47"/>
      <c r="BD658" s="134"/>
    </row>
    <row r="659" spans="1:56" ht="15" customHeight="1">
      <c r="A659" s="125" t="s">
        <v>2924</v>
      </c>
      <c r="B659" s="127" t="s">
        <v>2448</v>
      </c>
      <c r="C659" s="46" t="s">
        <v>65</v>
      </c>
      <c r="D659" s="125" t="s">
        <v>84</v>
      </c>
      <c r="E659" s="125" t="s">
        <v>269</v>
      </c>
      <c r="F659" s="127">
        <v>1</v>
      </c>
      <c r="G659" s="75" t="s">
        <v>2925</v>
      </c>
      <c r="H659" s="131" t="s">
        <v>92</v>
      </c>
      <c r="I659" s="131" t="s">
        <v>2926</v>
      </c>
      <c r="J659" s="131"/>
      <c r="K659" s="131"/>
      <c r="L659" s="47"/>
      <c r="M659" s="47"/>
      <c r="N659" s="47"/>
      <c r="O659" s="47"/>
      <c r="P659" s="47"/>
      <c r="Q659" s="47"/>
      <c r="R659" s="47"/>
      <c r="S659" s="47"/>
      <c r="T659" s="47"/>
      <c r="U659" s="47"/>
      <c r="V659" s="131" t="s">
        <v>254</v>
      </c>
      <c r="W659" s="74">
        <v>1</v>
      </c>
      <c r="X659" s="39">
        <f>MAX(0,$AK659-$W659-$Z659)</f>
        <v>0</v>
      </c>
      <c r="Y659" s="127"/>
      <c r="Z659" s="127"/>
      <c r="AA659" s="132">
        <v>0.37</v>
      </c>
      <c r="AB659" s="132">
        <f>IF(AND($X659&gt;0,ISNUMBER($AA659)),$X659*$AA659,0)</f>
        <v>0</v>
      </c>
      <c r="AH659" s="63"/>
      <c r="AK659" s="39">
        <f>SUM(AL659:AR659)</f>
        <v>1</v>
      </c>
      <c r="AL659" s="90"/>
      <c r="AM659" s="38"/>
      <c r="AN659" s="38"/>
      <c r="AO659" s="38"/>
      <c r="AP659" s="38"/>
      <c r="AQ659" s="97">
        <v>1</v>
      </c>
      <c r="AR659" s="91"/>
      <c r="AS659" s="42">
        <f>SUM(AT659:AZ659)</f>
        <v>1</v>
      </c>
      <c r="AT659" s="48"/>
      <c r="AU659" s="48"/>
      <c r="AV659" s="48"/>
      <c r="AW659" s="48"/>
      <c r="AX659" s="48"/>
      <c r="AY659" s="48">
        <v>1</v>
      </c>
      <c r="AZ659" s="48"/>
      <c r="BA659" s="43">
        <f>IF((W659-SUM(AT659:AZ659))&lt;0,0,W659-SUM(AT659:AZ659))</f>
        <v>0</v>
      </c>
      <c r="BB659" s="125"/>
      <c r="BC659" s="47"/>
      <c r="BD659" s="126"/>
    </row>
    <row r="660" spans="1:56" ht="15" customHeight="1">
      <c r="A660" s="126" t="s">
        <v>2927</v>
      </c>
      <c r="B660" s="129" t="s">
        <v>2448</v>
      </c>
      <c r="C660" s="46" t="s">
        <v>65</v>
      </c>
      <c r="D660" s="126" t="s">
        <v>178</v>
      </c>
      <c r="E660" s="126" t="s">
        <v>1273</v>
      </c>
      <c r="F660" s="129">
        <v>7</v>
      </c>
      <c r="G660" s="75" t="s">
        <v>2928</v>
      </c>
      <c r="H660" s="126" t="s">
        <v>233</v>
      </c>
      <c r="I660" s="126" t="s">
        <v>164</v>
      </c>
      <c r="J660" s="126" t="s">
        <v>2929</v>
      </c>
      <c r="K660" s="126"/>
      <c r="L660" s="108" t="s">
        <v>2930</v>
      </c>
      <c r="M660" s="46">
        <v>1</v>
      </c>
      <c r="N660" s="46">
        <v>1</v>
      </c>
      <c r="O660" s="68" t="s">
        <v>2931</v>
      </c>
      <c r="P660" s="110">
        <v>0.26</v>
      </c>
      <c r="Q660" s="47"/>
      <c r="R660" s="47"/>
      <c r="S660" s="47"/>
      <c r="T660" s="68"/>
      <c r="U660" s="68"/>
      <c r="V660" s="126" t="s">
        <v>167</v>
      </c>
      <c r="W660" s="74">
        <v>3</v>
      </c>
      <c r="X660" s="39">
        <f>MAX(0,$AK660-$W660-$Z660)</f>
        <v>0</v>
      </c>
      <c r="Y660" s="126"/>
      <c r="Z660" s="126"/>
      <c r="AA660" s="126">
        <v>0.26</v>
      </c>
      <c r="AB660" s="126">
        <f>IF(AND($X660&gt;0,ISNUMBER($AA660)),$X660*$AA660,0)</f>
        <v>0</v>
      </c>
      <c r="AK660" s="39">
        <f>SUM(AL660:AR660)</f>
        <v>0</v>
      </c>
      <c r="AL660" s="90"/>
      <c r="AM660" s="38"/>
      <c r="AN660" s="38"/>
      <c r="AO660" s="38"/>
      <c r="AP660" s="38"/>
      <c r="AQ660" s="38"/>
      <c r="AR660" s="91"/>
      <c r="AS660" s="42">
        <f>SUM(AT660:AZ660)</f>
        <v>0</v>
      </c>
      <c r="AT660" s="48"/>
      <c r="AU660" s="48"/>
      <c r="AV660" s="48"/>
      <c r="AW660" s="48"/>
      <c r="AX660" s="48"/>
      <c r="AY660" s="48"/>
      <c r="AZ660" s="48"/>
      <c r="BA660" s="43">
        <f>IF((W660-SUM(AT660:AZ660))&lt;0,0,W660-SUM(AT660:AZ660))</f>
        <v>3</v>
      </c>
      <c r="BB660" s="126"/>
      <c r="BC660" s="47"/>
      <c r="BD660" s="126"/>
    </row>
    <row r="661" spans="1:56" ht="15" customHeight="1">
      <c r="A661" s="49" t="s">
        <v>2932</v>
      </c>
      <c r="B661" s="39" t="s">
        <v>2448</v>
      </c>
      <c r="C661" s="46" t="s">
        <v>65</v>
      </c>
      <c r="D661" s="49" t="s">
        <v>84</v>
      </c>
      <c r="E661" s="49" t="s">
        <v>2493</v>
      </c>
      <c r="F661" s="39">
        <v>4</v>
      </c>
      <c r="G661" s="75" t="s">
        <v>2933</v>
      </c>
      <c r="H661" s="50" t="s">
        <v>153</v>
      </c>
      <c r="I661" s="50" t="s">
        <v>2934</v>
      </c>
      <c r="J661" s="50"/>
      <c r="K661" s="50"/>
      <c r="L661" s="47"/>
      <c r="M661" s="47"/>
      <c r="N661" s="47"/>
      <c r="O661" s="47"/>
      <c r="P661" s="47"/>
      <c r="Q661" s="47"/>
      <c r="R661" s="47"/>
      <c r="S661" s="47"/>
      <c r="T661" s="47"/>
      <c r="U661" s="47"/>
      <c r="V661" s="50" t="s">
        <v>119</v>
      </c>
      <c r="W661" s="74">
        <v>1</v>
      </c>
      <c r="X661" s="39">
        <f>MAX(0,$AK661-$W661-$Z661)</f>
        <v>0</v>
      </c>
      <c r="Y661" s="39"/>
      <c r="Z661" s="39"/>
      <c r="AA661" s="41">
        <v>0.28000000000000003</v>
      </c>
      <c r="AB661" s="41">
        <f>IF(AND($X661&gt;0,ISNUMBER($AA661)),$X661*$AA661,0)</f>
        <v>0</v>
      </c>
      <c r="AH661" s="63"/>
      <c r="AK661" s="39">
        <f>SUM(AL661:AR661)</f>
        <v>1</v>
      </c>
      <c r="AL661" s="90"/>
      <c r="AM661" s="38"/>
      <c r="AN661" s="38"/>
      <c r="AO661" s="38"/>
      <c r="AP661" s="38"/>
      <c r="AQ661" s="97">
        <v>1</v>
      </c>
      <c r="AR661" s="91"/>
      <c r="AS661" s="42">
        <f>SUM(AT661:AZ661)</f>
        <v>1</v>
      </c>
      <c r="AT661" s="48"/>
      <c r="AU661" s="48"/>
      <c r="AV661" s="48"/>
      <c r="AW661" s="48"/>
      <c r="AX661" s="48"/>
      <c r="AY661" s="48">
        <v>1</v>
      </c>
      <c r="AZ661" s="48"/>
      <c r="BA661" s="43">
        <f>IF((W661-SUM(AT661:AZ661))&lt;0,0,W661-SUM(AT661:AZ661))</f>
        <v>0</v>
      </c>
      <c r="BB661" s="49"/>
      <c r="BC661" s="47"/>
      <c r="BD661" s="126"/>
    </row>
    <row r="662" spans="1:56" ht="15" customHeight="1">
      <c r="A662" s="49" t="s">
        <v>2935</v>
      </c>
      <c r="B662" s="39" t="s">
        <v>2448</v>
      </c>
      <c r="C662" s="46" t="s">
        <v>65</v>
      </c>
      <c r="D662" s="49" t="s">
        <v>84</v>
      </c>
      <c r="E662" s="49" t="s">
        <v>2789</v>
      </c>
      <c r="F662" s="39">
        <v>3</v>
      </c>
      <c r="G662" s="75" t="s">
        <v>2936</v>
      </c>
      <c r="H662" s="50" t="s">
        <v>100</v>
      </c>
      <c r="I662" s="50" t="s">
        <v>2937</v>
      </c>
      <c r="J662" s="50" t="s">
        <v>2938</v>
      </c>
      <c r="K662" s="50"/>
      <c r="L662" s="46"/>
      <c r="M662" s="46"/>
      <c r="N662" s="46"/>
      <c r="O662" s="46"/>
      <c r="P662" s="46"/>
      <c r="Q662" s="46"/>
      <c r="R662" s="46"/>
      <c r="S662" s="46"/>
      <c r="T662" s="46"/>
      <c r="U662" s="46"/>
      <c r="V662" s="50" t="s">
        <v>1916</v>
      </c>
      <c r="W662" s="74">
        <v>1</v>
      </c>
      <c r="X662" s="39">
        <f>MAX(0,$AK662-$W662-$Z662)</f>
        <v>0</v>
      </c>
      <c r="Y662" s="39"/>
      <c r="Z662" s="39"/>
      <c r="AA662" s="41">
        <v>0.17</v>
      </c>
      <c r="AB662" s="41">
        <f>IF(AND($X662&gt;0,ISNUMBER($AA662)),$X662*$AA662,0)</f>
        <v>0</v>
      </c>
      <c r="AK662" s="39">
        <f>SUM(AL662:AR662)</f>
        <v>0</v>
      </c>
      <c r="AL662" s="90"/>
      <c r="AM662" s="38"/>
      <c r="AN662" s="38"/>
      <c r="AO662" s="38"/>
      <c r="AP662" s="38"/>
      <c r="AQ662" s="38"/>
      <c r="AR662" s="91"/>
      <c r="AS662" s="42">
        <f>SUM(AT662:AZ662)</f>
        <v>0</v>
      </c>
      <c r="AT662" s="48"/>
      <c r="AU662" s="48"/>
      <c r="AV662" s="48"/>
      <c r="AW662" s="48"/>
      <c r="AX662" s="48"/>
      <c r="AY662" s="48"/>
      <c r="AZ662" s="48"/>
      <c r="BA662" s="43">
        <f>IF((W662-SUM(AT662:AZ662))&lt;0,0,W662-SUM(AT662:AZ662))</f>
        <v>1</v>
      </c>
      <c r="BB662" s="49"/>
      <c r="BC662" s="47"/>
      <c r="BD662" s="51"/>
    </row>
    <row r="663" spans="1:56" ht="15" customHeight="1">
      <c r="A663" s="107" t="s">
        <v>2939</v>
      </c>
      <c r="B663" s="127" t="s">
        <v>2448</v>
      </c>
      <c r="C663" s="46" t="s">
        <v>65</v>
      </c>
      <c r="D663" s="125" t="s">
        <v>178</v>
      </c>
      <c r="E663" s="125" t="s">
        <v>2831</v>
      </c>
      <c r="F663" s="127">
        <v>3</v>
      </c>
      <c r="G663" s="75" t="s">
        <v>2940</v>
      </c>
      <c r="H663" s="131" t="s">
        <v>153</v>
      </c>
      <c r="I663" s="131" t="s">
        <v>2098</v>
      </c>
      <c r="J663" s="131" t="s">
        <v>2941</v>
      </c>
      <c r="K663" s="131" t="s">
        <v>2942</v>
      </c>
      <c r="L663" s="47"/>
      <c r="M663" s="47"/>
      <c r="N663" s="47"/>
      <c r="O663" s="47"/>
      <c r="P663" s="47"/>
      <c r="Q663" s="47"/>
      <c r="R663" s="47"/>
      <c r="S663" s="47"/>
      <c r="T663" s="47"/>
      <c r="U663" s="47"/>
      <c r="V663" s="131" t="s">
        <v>379</v>
      </c>
      <c r="W663" s="74">
        <v>1</v>
      </c>
      <c r="X663" s="39">
        <f>MAX(0,$AK663-$W663-$Z663)</f>
        <v>0</v>
      </c>
      <c r="Y663" s="127"/>
      <c r="Z663" s="127"/>
      <c r="AA663" s="132">
        <v>0.67</v>
      </c>
      <c r="AB663" s="132">
        <f>IF(AND($X663&gt;0,ISNUMBER($AA663)),$X663*$AA663,0)</f>
        <v>0</v>
      </c>
      <c r="AK663" s="39">
        <f>SUM(AL663:AR663)</f>
        <v>1</v>
      </c>
      <c r="AL663" s="90"/>
      <c r="AM663" s="38"/>
      <c r="AN663" s="38"/>
      <c r="AO663" s="38"/>
      <c r="AP663" s="38"/>
      <c r="AQ663" s="97">
        <v>1</v>
      </c>
      <c r="AR663" s="91"/>
      <c r="AS663" s="42">
        <f>SUM(AT663:AZ663)</f>
        <v>1</v>
      </c>
      <c r="AT663" s="48"/>
      <c r="AU663" s="48"/>
      <c r="AV663" s="48"/>
      <c r="AW663" s="48"/>
      <c r="AX663" s="48"/>
      <c r="AY663" s="48">
        <v>1</v>
      </c>
      <c r="AZ663" s="48"/>
      <c r="BA663" s="43">
        <f>IF((W663-SUM(AT663:AZ663))&lt;0,0,W663-SUM(AT663:AZ663))</f>
        <v>0</v>
      </c>
      <c r="BB663" s="125"/>
      <c r="BC663" s="47"/>
      <c r="BD663" s="126"/>
    </row>
    <row r="664" spans="1:56" ht="15" customHeight="1">
      <c r="A664" s="107" t="s">
        <v>2943</v>
      </c>
      <c r="B664" s="127" t="s">
        <v>2448</v>
      </c>
      <c r="C664" s="46" t="s">
        <v>65</v>
      </c>
      <c r="D664" s="125" t="s">
        <v>178</v>
      </c>
      <c r="E664" s="125" t="s">
        <v>269</v>
      </c>
      <c r="F664" s="127">
        <v>3</v>
      </c>
      <c r="G664" s="75" t="s">
        <v>2944</v>
      </c>
      <c r="H664" s="131" t="s">
        <v>115</v>
      </c>
      <c r="I664" s="131" t="s">
        <v>2945</v>
      </c>
      <c r="J664" s="131"/>
      <c r="K664" s="131"/>
      <c r="L664" s="46"/>
      <c r="M664" s="46"/>
      <c r="N664" s="46"/>
      <c r="O664" s="68"/>
      <c r="P664" s="68"/>
      <c r="Q664" s="46"/>
      <c r="R664" s="46"/>
      <c r="S664" s="46"/>
      <c r="T664" s="68"/>
      <c r="U664" s="68"/>
      <c r="V664" s="131" t="s">
        <v>1046</v>
      </c>
      <c r="W664" s="74">
        <v>1</v>
      </c>
      <c r="X664" s="39">
        <f>MAX(0,$AK664-$W664-$Z664)</f>
        <v>0</v>
      </c>
      <c r="Y664" s="127"/>
      <c r="Z664" s="127"/>
      <c r="AA664" s="132">
        <v>0.3</v>
      </c>
      <c r="AB664" s="132">
        <f>IF(AND($X664&gt;0,ISNUMBER($AA664)),$X664*$AA664,0)</f>
        <v>0</v>
      </c>
      <c r="AK664" s="39">
        <f>SUM(AL664:AR664)</f>
        <v>0</v>
      </c>
      <c r="AL664" s="90"/>
      <c r="AM664" s="38"/>
      <c r="AN664" s="38"/>
      <c r="AO664" s="38"/>
      <c r="AP664" s="38"/>
      <c r="AQ664" s="38"/>
      <c r="AR664" s="91"/>
      <c r="AS664" s="42">
        <f>SUM(AT664:AZ664)</f>
        <v>0</v>
      </c>
      <c r="AT664" s="48"/>
      <c r="AU664" s="48"/>
      <c r="AV664" s="48"/>
      <c r="AW664" s="48"/>
      <c r="AX664" s="48"/>
      <c r="AY664" s="48"/>
      <c r="AZ664" s="48"/>
      <c r="BA664" s="43">
        <f>IF((W664-SUM(AT664:AZ664))&lt;0,0,W664-SUM(AT664:AZ664))</f>
        <v>1</v>
      </c>
      <c r="BB664" s="125"/>
      <c r="BC664" s="47"/>
      <c r="BD664" s="126"/>
    </row>
    <row r="665" spans="1:56" ht="15" customHeight="1">
      <c r="A665" s="107" t="s">
        <v>2946</v>
      </c>
      <c r="B665" s="127" t="s">
        <v>2448</v>
      </c>
      <c r="C665" s="46" t="s">
        <v>65</v>
      </c>
      <c r="D665" s="125" t="s">
        <v>178</v>
      </c>
      <c r="E665" s="125" t="s">
        <v>269</v>
      </c>
      <c r="F665" s="127">
        <v>3</v>
      </c>
      <c r="G665" s="75" t="s">
        <v>2947</v>
      </c>
      <c r="H665" s="131" t="s">
        <v>115</v>
      </c>
      <c r="I665" s="131" t="s">
        <v>2948</v>
      </c>
      <c r="J665" s="131"/>
      <c r="K665" s="131"/>
      <c r="L665" s="46"/>
      <c r="M665" s="46"/>
      <c r="N665" s="46"/>
      <c r="O665" s="46"/>
      <c r="P665" s="46"/>
      <c r="Q665" s="46"/>
      <c r="R665" s="46"/>
      <c r="S665" s="46"/>
      <c r="T665" s="46"/>
      <c r="U665" s="46"/>
      <c r="V665" s="131" t="s">
        <v>2350</v>
      </c>
      <c r="W665" s="74">
        <v>1</v>
      </c>
      <c r="X665" s="39">
        <f>MAX(0,$AK665-$W665-$Z665)</f>
        <v>0</v>
      </c>
      <c r="Y665" s="127"/>
      <c r="Z665" s="127"/>
      <c r="AA665" s="132">
        <v>1.37</v>
      </c>
      <c r="AB665" s="132">
        <f>IF(AND($X665&gt;0,ISNUMBER($AA665)),$X665*$AA665,0)</f>
        <v>0</v>
      </c>
      <c r="AK665" s="39">
        <f>SUM(AL665:AR665)</f>
        <v>1</v>
      </c>
      <c r="AL665" s="102">
        <v>1</v>
      </c>
      <c r="AM665" s="38"/>
      <c r="AN665" s="38"/>
      <c r="AO665" s="38"/>
      <c r="AP665" s="38"/>
      <c r="AQ665" s="38"/>
      <c r="AR665" s="91"/>
      <c r="AS665" s="42">
        <f>SUM(AT665:AZ665)</f>
        <v>1</v>
      </c>
      <c r="AT665" s="48">
        <v>1</v>
      </c>
      <c r="AU665" s="48"/>
      <c r="AV665" s="48"/>
      <c r="AW665" s="48"/>
      <c r="AX665" s="48"/>
      <c r="AY665" s="48"/>
      <c r="AZ665" s="48"/>
      <c r="BA665" s="43">
        <f>IF((W665-SUM(AT665:AZ665))&lt;0,0,W665-SUM(AT665:AZ665))</f>
        <v>0</v>
      </c>
      <c r="BB665" s="125"/>
      <c r="BC665" s="47"/>
      <c r="BD665" s="47"/>
    </row>
    <row r="666" spans="1:56" ht="15" customHeight="1">
      <c r="A666" s="118" t="s">
        <v>2949</v>
      </c>
      <c r="B666" s="128" t="s">
        <v>2448</v>
      </c>
      <c r="C666" s="38" t="s">
        <v>65</v>
      </c>
      <c r="D666" s="130" t="s">
        <v>134</v>
      </c>
      <c r="E666" s="130"/>
      <c r="F666" s="130">
        <v>3</v>
      </c>
      <c r="G666" s="75" t="s">
        <v>2950</v>
      </c>
      <c r="H666" s="130" t="s">
        <v>108</v>
      </c>
      <c r="I666" s="130" t="s">
        <v>2951</v>
      </c>
      <c r="J666" s="130" t="s">
        <v>2952</v>
      </c>
      <c r="K666" s="130"/>
      <c r="L666" s="37"/>
      <c r="M666" s="37"/>
      <c r="N666" s="37"/>
      <c r="O666" s="68"/>
      <c r="P666" s="68"/>
      <c r="Q666" s="37"/>
      <c r="R666" s="37"/>
      <c r="S666" s="37"/>
      <c r="T666" s="68"/>
      <c r="U666" s="68"/>
      <c r="V666" s="130" t="s">
        <v>223</v>
      </c>
      <c r="W666" s="74">
        <v>1</v>
      </c>
      <c r="X666" s="39">
        <f>MAX(0,$AK666-$W666-$Z666)</f>
        <v>0</v>
      </c>
      <c r="Y666" s="130"/>
      <c r="Z666" s="130"/>
      <c r="AA666" s="130">
        <v>0.28000000000000003</v>
      </c>
      <c r="AB666" s="132">
        <f>IF(AND($X666&gt;0,ISNUMBER($AA666)),$X666*$AA666,0)</f>
        <v>0</v>
      </c>
      <c r="AK666" s="39">
        <f>SUM(AL666:AR666)</f>
        <v>0</v>
      </c>
      <c r="AL666" s="90"/>
      <c r="AM666" s="38"/>
      <c r="AN666" s="38"/>
      <c r="AO666" s="38"/>
      <c r="AP666" s="38"/>
      <c r="AQ666" s="38"/>
      <c r="AR666" s="91"/>
      <c r="AS666" s="42">
        <f>SUM(AT666:AZ666)</f>
        <v>0</v>
      </c>
      <c r="AT666" s="48"/>
      <c r="AU666" s="48"/>
      <c r="AV666" s="48"/>
      <c r="AW666" s="48"/>
      <c r="AX666" s="48"/>
      <c r="AY666" s="48"/>
      <c r="AZ666" s="48"/>
      <c r="BA666" s="43">
        <f>IF((W666-SUM(AT666:AZ666))&lt;0,0,W666-SUM(AT666:AZ666))</f>
        <v>1</v>
      </c>
      <c r="BB666" s="130"/>
      <c r="BC666" s="37"/>
      <c r="BD666" s="37"/>
    </row>
    <row r="667" spans="1:56" ht="15" customHeight="1">
      <c r="A667" s="107" t="s">
        <v>2953</v>
      </c>
      <c r="B667" s="127" t="s">
        <v>2448</v>
      </c>
      <c r="C667" s="46" t="s">
        <v>65</v>
      </c>
      <c r="D667" s="125" t="s">
        <v>134</v>
      </c>
      <c r="E667" s="125"/>
      <c r="F667" s="127">
        <v>1</v>
      </c>
      <c r="G667" s="75" t="s">
        <v>2954</v>
      </c>
      <c r="H667" s="131" t="s">
        <v>153</v>
      </c>
      <c r="I667" s="131" t="s">
        <v>2955</v>
      </c>
      <c r="J667" s="131" t="s">
        <v>2956</v>
      </c>
      <c r="K667" s="131"/>
      <c r="L667" s="47"/>
      <c r="M667" s="47"/>
      <c r="N667" s="47"/>
      <c r="O667" s="68"/>
      <c r="P667" s="68"/>
      <c r="Q667" s="47"/>
      <c r="R667" s="47"/>
      <c r="S667" s="47"/>
      <c r="T667" s="68"/>
      <c r="U667" s="68"/>
      <c r="V667" s="131" t="s">
        <v>740</v>
      </c>
      <c r="W667" s="74">
        <v>1</v>
      </c>
      <c r="X667" s="39">
        <f>MAX(0,$AK667-$W667-$Z667)</f>
        <v>0</v>
      </c>
      <c r="Y667" s="127"/>
      <c r="Z667" s="127"/>
      <c r="AA667" s="132">
        <v>0.32</v>
      </c>
      <c r="AB667" s="132">
        <f>IF(AND($X667&gt;0,ISNUMBER($AA667)),$X667*$AA667,0)</f>
        <v>0</v>
      </c>
      <c r="AK667" s="39">
        <f>SUM(AL667:AR667)</f>
        <v>0</v>
      </c>
      <c r="AL667" s="90"/>
      <c r="AM667" s="38"/>
      <c r="AN667" s="38"/>
      <c r="AO667" s="38"/>
      <c r="AP667" s="38"/>
      <c r="AQ667" s="38"/>
      <c r="AR667" s="91"/>
      <c r="AS667" s="42">
        <f>SUM(AT667:AZ667)</f>
        <v>0</v>
      </c>
      <c r="AT667" s="48"/>
      <c r="AU667" s="48"/>
      <c r="AV667" s="48"/>
      <c r="AW667" s="48"/>
      <c r="AX667" s="48"/>
      <c r="AY667" s="48"/>
      <c r="AZ667" s="48"/>
      <c r="BA667" s="43">
        <f>IF((W667-SUM(AT667:AZ667))&lt;0,0,W667-SUM(AT667:AZ667))</f>
        <v>1</v>
      </c>
      <c r="BB667" s="125"/>
      <c r="BC667" s="47"/>
      <c r="BD667" s="47"/>
    </row>
    <row r="668" spans="1:56" ht="15" customHeight="1">
      <c r="A668" s="136" t="s">
        <v>2957</v>
      </c>
      <c r="B668" s="129" t="s">
        <v>2448</v>
      </c>
      <c r="C668" s="46" t="s">
        <v>65</v>
      </c>
      <c r="D668" s="126" t="s">
        <v>256</v>
      </c>
      <c r="E668" s="126" t="s">
        <v>2534</v>
      </c>
      <c r="F668" s="129">
        <v>3</v>
      </c>
      <c r="G668" s="75" t="s">
        <v>2958</v>
      </c>
      <c r="H668" s="126" t="s">
        <v>172</v>
      </c>
      <c r="I668" s="126" t="s">
        <v>2959</v>
      </c>
      <c r="J668" s="126" t="s">
        <v>2960</v>
      </c>
      <c r="K668" s="126"/>
      <c r="L668" s="47"/>
      <c r="M668" s="47"/>
      <c r="N668" s="47"/>
      <c r="O668" s="68"/>
      <c r="P668" s="68"/>
      <c r="Q668" s="47"/>
      <c r="R668" s="47"/>
      <c r="S668" s="47"/>
      <c r="T668" s="68"/>
      <c r="U668" s="68"/>
      <c r="V668" s="126" t="s">
        <v>167</v>
      </c>
      <c r="W668" s="74">
        <v>1</v>
      </c>
      <c r="X668" s="39">
        <f>MAX(0,$AK668-$W668-$Z668)</f>
        <v>0</v>
      </c>
      <c r="Y668" s="126"/>
      <c r="Z668" s="126"/>
      <c r="AA668" s="126">
        <v>0.3</v>
      </c>
      <c r="AB668" s="126">
        <f>IF(AND($X668&gt;0,ISNUMBER($AA668)),$X668*$AA668,0)</f>
        <v>0</v>
      </c>
      <c r="AK668" s="39">
        <f>SUM(AL668:AR668)</f>
        <v>0</v>
      </c>
      <c r="AL668" s="90"/>
      <c r="AM668" s="38"/>
      <c r="AN668" s="38"/>
      <c r="AO668" s="38"/>
      <c r="AP668" s="38"/>
      <c r="AQ668" s="38"/>
      <c r="AR668" s="91"/>
      <c r="AS668" s="42">
        <f>SUM(AT668:AZ668)</f>
        <v>0</v>
      </c>
      <c r="AT668" s="48"/>
      <c r="AU668" s="48"/>
      <c r="AV668" s="48"/>
      <c r="AW668" s="48"/>
      <c r="AX668" s="48"/>
      <c r="AY668" s="48"/>
      <c r="AZ668" s="48"/>
      <c r="BA668" s="43">
        <f>IF((W668-SUM(AT668:AZ668))&lt;0,0,W668-SUM(AT668:AZ668))</f>
        <v>1</v>
      </c>
      <c r="BB668" s="126"/>
      <c r="BC668" s="47"/>
      <c r="BD668" s="47"/>
    </row>
    <row r="669" spans="1:56" ht="15" customHeight="1">
      <c r="A669" s="107" t="s">
        <v>2961</v>
      </c>
      <c r="B669" s="127" t="s">
        <v>2448</v>
      </c>
      <c r="C669" s="46" t="s">
        <v>65</v>
      </c>
      <c r="D669" s="125" t="s">
        <v>76</v>
      </c>
      <c r="E669" s="125"/>
      <c r="F669" s="127">
        <v>2</v>
      </c>
      <c r="G669" s="75" t="s">
        <v>2962</v>
      </c>
      <c r="H669" s="131" t="s">
        <v>293</v>
      </c>
      <c r="I669" s="131" t="s">
        <v>2905</v>
      </c>
      <c r="J669" s="131" t="s">
        <v>2583</v>
      </c>
      <c r="K669" s="131"/>
      <c r="L669" s="47"/>
      <c r="M669" s="47"/>
      <c r="N669" s="47"/>
      <c r="O669" s="47"/>
      <c r="P669" s="47"/>
      <c r="Q669" s="47"/>
      <c r="R669" s="47"/>
      <c r="S669" s="47"/>
      <c r="T669" s="47"/>
      <c r="U669" s="47"/>
      <c r="V669" s="131" t="s">
        <v>204</v>
      </c>
      <c r="W669" s="74">
        <v>1</v>
      </c>
      <c r="X669" s="39">
        <f>MAX(0,$AK669-$W669-$Z669)</f>
        <v>0</v>
      </c>
      <c r="Y669" s="127"/>
      <c r="Z669" s="127"/>
      <c r="AA669" s="132">
        <v>0.3</v>
      </c>
      <c r="AB669" s="132">
        <f>IF(AND($X669&gt;0,ISNUMBER($AA669)),$X669*$AA669,0)</f>
        <v>0</v>
      </c>
      <c r="AH669" s="63" t="s">
        <v>2875</v>
      </c>
      <c r="AK669" s="39">
        <f>SUM(AL669:AR669)</f>
        <v>1</v>
      </c>
      <c r="AL669" s="90"/>
      <c r="AM669" s="38"/>
      <c r="AN669" s="38"/>
      <c r="AO669" s="38"/>
      <c r="AP669" s="38"/>
      <c r="AQ669" s="99">
        <v>1</v>
      </c>
      <c r="AR669" s="91"/>
      <c r="AS669" s="42">
        <f>SUM(AT669:AZ669)</f>
        <v>1</v>
      </c>
      <c r="AT669" s="48"/>
      <c r="AU669" s="48"/>
      <c r="AV669" s="48"/>
      <c r="AW669" s="48"/>
      <c r="AX669" s="48"/>
      <c r="AY669" s="48">
        <v>1</v>
      </c>
      <c r="AZ669" s="48"/>
      <c r="BA669" s="43">
        <f>IF((W669-SUM(AT669:AZ669))&lt;0,0,W669-SUM(AT669:AZ669))</f>
        <v>0</v>
      </c>
      <c r="BB669" s="125"/>
      <c r="BC669" s="47"/>
      <c r="BD669" s="47"/>
    </row>
    <row r="670" spans="1:56" ht="15" customHeight="1">
      <c r="A670" s="44" t="s">
        <v>2963</v>
      </c>
      <c r="B670" s="45" t="s">
        <v>2448</v>
      </c>
      <c r="C670" s="46" t="s">
        <v>65</v>
      </c>
      <c r="D670" s="44" t="s">
        <v>134</v>
      </c>
      <c r="E670" s="44"/>
      <c r="F670" s="45">
        <v>1</v>
      </c>
      <c r="G670" s="75" t="s">
        <v>2964</v>
      </c>
      <c r="H670" s="44" t="s">
        <v>153</v>
      </c>
      <c r="I670" s="44" t="s">
        <v>2965</v>
      </c>
      <c r="J670" s="44" t="s">
        <v>2966</v>
      </c>
      <c r="K670" s="44"/>
      <c r="L670" s="47"/>
      <c r="M670" s="47"/>
      <c r="N670" s="47"/>
      <c r="O670" s="68"/>
      <c r="P670" s="68"/>
      <c r="Q670" s="47"/>
      <c r="R670" s="47"/>
      <c r="S670" s="47"/>
      <c r="T670" s="68"/>
      <c r="U670" s="68"/>
      <c r="V670" s="44" t="s">
        <v>167</v>
      </c>
      <c r="W670" s="74">
        <v>2</v>
      </c>
      <c r="X670" s="39">
        <f>MAX(0,$AK670-$W670-$Z670)</f>
        <v>0</v>
      </c>
      <c r="Y670" s="44"/>
      <c r="Z670" s="44"/>
      <c r="AA670" s="44">
        <v>0.2</v>
      </c>
      <c r="AB670" s="44">
        <f>IF(AND($X670&gt;0,ISNUMBER($AA670)),$X670*$AA670,0)</f>
        <v>0</v>
      </c>
      <c r="AC670" s="63"/>
      <c r="AH670" s="63"/>
      <c r="AK670" s="39">
        <f>SUM(AL670:AR670)</f>
        <v>1</v>
      </c>
      <c r="AL670" s="90"/>
      <c r="AM670" s="38"/>
      <c r="AN670" s="38"/>
      <c r="AO670" s="38"/>
      <c r="AP670" s="38"/>
      <c r="AQ670" s="97">
        <v>1</v>
      </c>
      <c r="AR670" s="91"/>
      <c r="AS670" s="42">
        <f>SUM(AT670:AZ670)</f>
        <v>0</v>
      </c>
      <c r="AT670" s="48"/>
      <c r="AU670" s="48"/>
      <c r="AV670" s="48"/>
      <c r="AW670" s="48"/>
      <c r="AX670" s="48"/>
      <c r="AY670" s="48"/>
      <c r="AZ670" s="48"/>
      <c r="BA670" s="43">
        <f>IF((W670-SUM(AT670:AZ670))&lt;0,0,W670-SUM(AT670:AZ670))</f>
        <v>2</v>
      </c>
      <c r="BB670" s="44"/>
      <c r="BC670" s="47"/>
      <c r="BD670" s="47"/>
    </row>
    <row r="671" spans="1:56" ht="15" customHeight="1">
      <c r="A671" s="35" t="s">
        <v>2967</v>
      </c>
      <c r="B671" s="36" t="s">
        <v>2448</v>
      </c>
      <c r="C671" s="38" t="s">
        <v>65</v>
      </c>
      <c r="D671" s="35" t="s">
        <v>134</v>
      </c>
      <c r="E671" s="35"/>
      <c r="F671" s="35">
        <v>2</v>
      </c>
      <c r="G671" s="75" t="s">
        <v>2968</v>
      </c>
      <c r="H671" s="35" t="s">
        <v>2605</v>
      </c>
      <c r="I671" s="35" t="s">
        <v>2969</v>
      </c>
      <c r="J671" s="35" t="s">
        <v>2970</v>
      </c>
      <c r="K671" s="35"/>
      <c r="L671" s="37"/>
      <c r="M671" s="37"/>
      <c r="N671" s="37"/>
      <c r="O671" s="68"/>
      <c r="P671" s="68"/>
      <c r="Q671" s="37"/>
      <c r="R671" s="37"/>
      <c r="S671" s="37"/>
      <c r="T671" s="68"/>
      <c r="U671" s="68"/>
      <c r="V671" s="35" t="s">
        <v>223</v>
      </c>
      <c r="W671" s="74">
        <v>2</v>
      </c>
      <c r="X671" s="39">
        <f>MAX(0,$AK671-$W671-$Z671)</f>
        <v>0</v>
      </c>
      <c r="Y671" s="35"/>
      <c r="Z671" s="35"/>
      <c r="AA671" s="35">
        <v>0.11</v>
      </c>
      <c r="AB671" s="41">
        <f>IF(AND($X671&gt;0,ISNUMBER($AA671)),$X671*$AA671,0)</f>
        <v>0</v>
      </c>
      <c r="AK671" s="39">
        <f>SUM(AL671:AR671)</f>
        <v>0</v>
      </c>
      <c r="AL671" s="90"/>
      <c r="AM671" s="38"/>
      <c r="AN671" s="38"/>
      <c r="AO671" s="38"/>
      <c r="AP671" s="38"/>
      <c r="AQ671" s="38"/>
      <c r="AR671" s="91"/>
      <c r="AS671" s="42">
        <f>SUM(AT671:AZ671)</f>
        <v>0</v>
      </c>
      <c r="AT671" s="48"/>
      <c r="AU671" s="48"/>
      <c r="AV671" s="48"/>
      <c r="AW671" s="48"/>
      <c r="AX671" s="48"/>
      <c r="AY671" s="48"/>
      <c r="AZ671" s="48"/>
      <c r="BA671" s="43">
        <f>IF((W671-SUM(AT671:AZ671))&lt;0,0,W671-SUM(AT671:AZ671))</f>
        <v>2</v>
      </c>
      <c r="BB671" s="35"/>
      <c r="BC671" s="37"/>
      <c r="BD671" s="37"/>
    </row>
    <row r="672" spans="1:56" ht="15" customHeight="1">
      <c r="A672" s="49" t="s">
        <v>2971</v>
      </c>
      <c r="B672" s="39" t="s">
        <v>2448</v>
      </c>
      <c r="C672" s="46" t="s">
        <v>65</v>
      </c>
      <c r="D672" s="49" t="s">
        <v>76</v>
      </c>
      <c r="E672" s="49"/>
      <c r="F672" s="39">
        <v>3</v>
      </c>
      <c r="G672" s="75" t="s">
        <v>2972</v>
      </c>
      <c r="H672" s="50" t="s">
        <v>2605</v>
      </c>
      <c r="I672" s="50" t="s">
        <v>2973</v>
      </c>
      <c r="J672" s="50" t="s">
        <v>2974</v>
      </c>
      <c r="K672" s="50"/>
      <c r="L672" s="47"/>
      <c r="M672" s="47"/>
      <c r="N672" s="47"/>
      <c r="O672" s="47"/>
      <c r="P672" s="47"/>
      <c r="Q672" s="47"/>
      <c r="R672" s="47"/>
      <c r="S672" s="47"/>
      <c r="T672" s="47"/>
      <c r="U672" s="47"/>
      <c r="V672" s="50" t="s">
        <v>119</v>
      </c>
      <c r="W672" s="74">
        <v>1</v>
      </c>
      <c r="X672" s="39">
        <f>MAX(0,$AK672-$W672-$Z672)</f>
        <v>0</v>
      </c>
      <c r="Y672" s="39"/>
      <c r="Z672" s="39"/>
      <c r="AA672" s="41">
        <v>0.15</v>
      </c>
      <c r="AB672" s="41">
        <f>IF(AND($X672&gt;0,ISNUMBER($AA672)),$X672*$AA672,0)</f>
        <v>0</v>
      </c>
      <c r="AK672" s="39">
        <f>SUM(AL672:AR672)</f>
        <v>0</v>
      </c>
      <c r="AL672" s="90"/>
      <c r="AM672" s="38"/>
      <c r="AN672" s="38"/>
      <c r="AO672" s="38"/>
      <c r="AP672" s="38"/>
      <c r="AQ672" s="38"/>
      <c r="AR672" s="91"/>
      <c r="AS672" s="42">
        <f>SUM(AT672:AZ672)</f>
        <v>0</v>
      </c>
      <c r="AT672" s="48"/>
      <c r="AU672" s="48"/>
      <c r="AV672" s="48"/>
      <c r="AW672" s="48"/>
      <c r="AX672" s="48"/>
      <c r="AY672" s="48"/>
      <c r="AZ672" s="48"/>
      <c r="BA672" s="43">
        <f>IF((W672-SUM(AT672:AZ672))&lt;0,0,W672-SUM(AT672:AZ672))</f>
        <v>1</v>
      </c>
      <c r="BB672" s="49"/>
      <c r="BC672" s="47"/>
      <c r="BD672" s="51"/>
    </row>
    <row r="673" spans="1:56" ht="15" customHeight="1">
      <c r="A673" s="49" t="s">
        <v>2975</v>
      </c>
      <c r="B673" s="39" t="s">
        <v>2448</v>
      </c>
      <c r="C673" s="46" t="s">
        <v>83</v>
      </c>
      <c r="D673" s="49" t="s">
        <v>256</v>
      </c>
      <c r="E673" s="49"/>
      <c r="F673" s="39">
        <v>2</v>
      </c>
      <c r="G673" s="75" t="s">
        <v>2976</v>
      </c>
      <c r="H673" s="50" t="s">
        <v>87</v>
      </c>
      <c r="I673" s="50" t="s">
        <v>2977</v>
      </c>
      <c r="J673" s="50"/>
      <c r="K673" s="50"/>
      <c r="L673" s="47"/>
      <c r="M673" s="47"/>
      <c r="N673" s="47"/>
      <c r="O673" s="47"/>
      <c r="P673" s="47"/>
      <c r="Q673" s="47"/>
      <c r="R673" s="47"/>
      <c r="S673" s="47"/>
      <c r="T673" s="47"/>
      <c r="U673" s="47"/>
      <c r="V673" s="50" t="s">
        <v>440</v>
      </c>
      <c r="W673" s="74">
        <v>1</v>
      </c>
      <c r="X673" s="39">
        <f>MAX(0,$AK673-$W673-$Z673)</f>
        <v>0</v>
      </c>
      <c r="Y673" s="39"/>
      <c r="Z673" s="39"/>
      <c r="AA673" s="41">
        <v>7.35</v>
      </c>
      <c r="AB673" s="41">
        <f>IF(AND($X673&gt;0,ISNUMBER($AA673)),$X673*$AA673,0)</f>
        <v>0</v>
      </c>
      <c r="AK673" s="39">
        <f>SUM(AL673:AR673)</f>
        <v>0</v>
      </c>
      <c r="AL673" s="90"/>
      <c r="AM673" s="38"/>
      <c r="AN673" s="38"/>
      <c r="AO673" s="38"/>
      <c r="AP673" s="38"/>
      <c r="AQ673" s="38"/>
      <c r="AR673" s="91"/>
      <c r="AS673" s="42">
        <f>SUM(AT673:AZ673)</f>
        <v>0</v>
      </c>
      <c r="AT673" s="48"/>
      <c r="AU673" s="48"/>
      <c r="AV673" s="48"/>
      <c r="AW673" s="48"/>
      <c r="AX673" s="48"/>
      <c r="AY673" s="48"/>
      <c r="AZ673" s="48"/>
      <c r="BA673" s="43">
        <f>IF((W673-SUM(AT673:AZ673))&lt;0,0,W673-SUM(AT673:AZ673))</f>
        <v>1</v>
      </c>
      <c r="BB673" s="49"/>
      <c r="BC673" s="47"/>
      <c r="BD673" s="51"/>
    </row>
    <row r="674" spans="1:56" ht="15" customHeight="1">
      <c r="A674" s="49" t="s">
        <v>2978</v>
      </c>
      <c r="B674" s="39" t="s">
        <v>2448</v>
      </c>
      <c r="C674" s="46" t="s">
        <v>65</v>
      </c>
      <c r="D674" s="49" t="s">
        <v>76</v>
      </c>
      <c r="E674" s="49"/>
      <c r="F674" s="39">
        <v>4</v>
      </c>
      <c r="G674" s="75" t="s">
        <v>2498</v>
      </c>
      <c r="H674" s="50" t="s">
        <v>100</v>
      </c>
      <c r="I674" s="50" t="s">
        <v>2979</v>
      </c>
      <c r="J674" s="50" t="s">
        <v>2980</v>
      </c>
      <c r="K674" s="50"/>
      <c r="L674" s="47"/>
      <c r="M674" s="47"/>
      <c r="N674" s="47"/>
      <c r="O674" s="47"/>
      <c r="P674" s="47"/>
      <c r="Q674" s="47"/>
      <c r="R674" s="47"/>
      <c r="S674" s="47"/>
      <c r="T674" s="47"/>
      <c r="U674" s="47"/>
      <c r="V674" s="50" t="s">
        <v>276</v>
      </c>
      <c r="W674" s="74">
        <v>0</v>
      </c>
      <c r="X674" s="39">
        <f>MAX(0,$AK674-$W674-$Z674)</f>
        <v>0</v>
      </c>
      <c r="Y674" s="39"/>
      <c r="Z674" s="39"/>
      <c r="AA674" s="41">
        <v>3.34</v>
      </c>
      <c r="AB674" s="41">
        <f>IF(AND($X674&gt;0,ISNUMBER($AA674)),$X674*$AA674,0)</f>
        <v>0</v>
      </c>
      <c r="AC674" s="59"/>
      <c r="AD674" s="59"/>
      <c r="AE674" s="59"/>
      <c r="AF674" s="59"/>
      <c r="AG674" s="59"/>
      <c r="AH674" s="59"/>
      <c r="AI674" s="59"/>
      <c r="AJ674" s="59"/>
      <c r="AK674" s="39">
        <f>SUM(AL674:AR674)</f>
        <v>0</v>
      </c>
      <c r="AL674" s="114"/>
      <c r="AM674" s="43"/>
      <c r="AN674" s="43"/>
      <c r="AO674" s="43"/>
      <c r="AP674" s="43"/>
      <c r="AQ674" s="43"/>
      <c r="AR674" s="116"/>
      <c r="AS674" s="42">
        <f>SUM(AT674:AZ674)</f>
        <v>0</v>
      </c>
      <c r="AT674" s="48"/>
      <c r="AU674" s="48"/>
      <c r="AV674" s="48"/>
      <c r="AW674" s="48"/>
      <c r="AX674" s="48"/>
      <c r="AY674" s="48"/>
      <c r="AZ674" s="48"/>
      <c r="BA674" s="43">
        <f>IF((W674-SUM(AT674:AZ674))&lt;0,0,W674-SUM(AT674:AZ674))</f>
        <v>0</v>
      </c>
      <c r="BB674" s="49"/>
      <c r="BC674" s="47"/>
      <c r="BD674" s="51"/>
    </row>
    <row r="675" spans="1:56" ht="15" customHeight="1">
      <c r="A675" s="49" t="s">
        <v>2981</v>
      </c>
      <c r="B675" s="39" t="s">
        <v>2448</v>
      </c>
      <c r="C675" s="46" t="s">
        <v>65</v>
      </c>
      <c r="D675" s="49" t="s">
        <v>256</v>
      </c>
      <c r="E675" s="49"/>
      <c r="F675" s="39">
        <v>3</v>
      </c>
      <c r="G675" s="75" t="s">
        <v>2982</v>
      </c>
      <c r="H675" s="50" t="s">
        <v>1252</v>
      </c>
      <c r="I675" s="50" t="s">
        <v>2983</v>
      </c>
      <c r="J675" s="50" t="s">
        <v>2984</v>
      </c>
      <c r="K675" s="50"/>
      <c r="L675" s="46"/>
      <c r="M675" s="46"/>
      <c r="N675" s="46"/>
      <c r="O675" s="46"/>
      <c r="P675" s="46"/>
      <c r="Q675" s="46"/>
      <c r="R675" s="46"/>
      <c r="S675" s="46"/>
      <c r="T675" s="46"/>
      <c r="U675" s="46"/>
      <c r="V675" s="50" t="s">
        <v>635</v>
      </c>
      <c r="W675" s="74">
        <v>1</v>
      </c>
      <c r="X675" s="39">
        <f>MAX(0,$AK675-$W675-$Z675)</f>
        <v>0</v>
      </c>
      <c r="Y675" s="39"/>
      <c r="Z675" s="39"/>
      <c r="AA675" s="41">
        <v>4.1100000000000003</v>
      </c>
      <c r="AB675" s="41">
        <f>IF(AND($X675&gt;0,ISNUMBER($AA675)),$X675*$AA675,0)</f>
        <v>0</v>
      </c>
      <c r="AK675" s="39">
        <f>SUM(AL675:AR675)</f>
        <v>1</v>
      </c>
      <c r="AL675" s="102">
        <v>1</v>
      </c>
      <c r="AM675" s="38"/>
      <c r="AN675" s="38"/>
      <c r="AO675" s="38"/>
      <c r="AP675" s="38"/>
      <c r="AQ675" s="38"/>
      <c r="AR675" s="91"/>
      <c r="AS675" s="42">
        <f>SUM(AT675:AZ675)</f>
        <v>1</v>
      </c>
      <c r="AT675" s="48">
        <v>1</v>
      </c>
      <c r="AU675" s="48"/>
      <c r="AV675" s="48"/>
      <c r="AW675" s="48"/>
      <c r="AX675" s="48"/>
      <c r="AY675" s="48"/>
      <c r="AZ675" s="48"/>
      <c r="BA675" s="43">
        <f>IF((W675-SUM(AT675:AZ675))&lt;0,0,W675-SUM(AT675:AZ675))</f>
        <v>0</v>
      </c>
      <c r="BB675" s="49"/>
      <c r="BC675" s="47"/>
      <c r="BD675" s="51"/>
    </row>
    <row r="676" spans="1:56" ht="15" customHeight="1">
      <c r="A676" s="49" t="s">
        <v>2985</v>
      </c>
      <c r="B676" s="39" t="s">
        <v>2448</v>
      </c>
      <c r="C676" s="46" t="s">
        <v>65</v>
      </c>
      <c r="D676" s="49" t="s">
        <v>134</v>
      </c>
      <c r="E676" s="49"/>
      <c r="F676" s="39">
        <v>1</v>
      </c>
      <c r="G676" s="75" t="s">
        <v>2986</v>
      </c>
      <c r="H676" s="50" t="s">
        <v>1268</v>
      </c>
      <c r="I676" s="50" t="s">
        <v>2987</v>
      </c>
      <c r="J676" s="50" t="s">
        <v>2988</v>
      </c>
      <c r="K676" s="50"/>
      <c r="L676" s="47"/>
      <c r="M676" s="47"/>
      <c r="N676" s="47"/>
      <c r="O676" s="47"/>
      <c r="P676" s="47"/>
      <c r="Q676" s="47"/>
      <c r="R676" s="47"/>
      <c r="S676" s="47"/>
      <c r="T676" s="47"/>
      <c r="U676" s="47"/>
      <c r="V676" s="50" t="s">
        <v>491</v>
      </c>
      <c r="W676" s="74">
        <v>1</v>
      </c>
      <c r="X676" s="39">
        <f>MAX(0,$AK676-$W676-$Z676)</f>
        <v>0</v>
      </c>
      <c r="Y676" s="39"/>
      <c r="Z676" s="39"/>
      <c r="AA676" s="41">
        <v>1.51</v>
      </c>
      <c r="AB676" s="41">
        <f>IF(AND($X676&gt;0,ISNUMBER($AA676)),$X676*$AA676,0)</f>
        <v>0</v>
      </c>
      <c r="AK676" s="39">
        <f>SUM(AL676:AR676)</f>
        <v>1</v>
      </c>
      <c r="AL676" s="90"/>
      <c r="AM676" s="38"/>
      <c r="AN676" s="38"/>
      <c r="AO676" s="38"/>
      <c r="AP676" s="38"/>
      <c r="AQ676" s="97">
        <v>1</v>
      </c>
      <c r="AR676" s="91"/>
      <c r="AS676" s="42">
        <f>SUM(AT676:AZ676)</f>
        <v>1</v>
      </c>
      <c r="AT676" s="48"/>
      <c r="AU676" s="48"/>
      <c r="AV676" s="48"/>
      <c r="AW676" s="48"/>
      <c r="AX676" s="48"/>
      <c r="AY676" s="48">
        <v>1</v>
      </c>
      <c r="AZ676" s="48"/>
      <c r="BA676" s="43">
        <f>IF((W676-SUM(AT676:AZ676))&lt;0,0,W676-SUM(AT676:AZ676))</f>
        <v>0</v>
      </c>
      <c r="BB676" s="49"/>
      <c r="BC676" s="47"/>
      <c r="BD676" s="51"/>
    </row>
    <row r="677" spans="1:56" ht="15" customHeight="1">
      <c r="A677" s="49" t="s">
        <v>2989</v>
      </c>
      <c r="B677" s="39" t="s">
        <v>2448</v>
      </c>
      <c r="C677" s="46" t="s">
        <v>65</v>
      </c>
      <c r="D677" s="49" t="s">
        <v>84</v>
      </c>
      <c r="E677" s="49" t="s">
        <v>370</v>
      </c>
      <c r="F677" s="39">
        <v>1</v>
      </c>
      <c r="G677" s="75" t="s">
        <v>2990</v>
      </c>
      <c r="H677" s="50" t="s">
        <v>2605</v>
      </c>
      <c r="I677" s="50" t="s">
        <v>2991</v>
      </c>
      <c r="J677" s="50" t="s">
        <v>2992</v>
      </c>
      <c r="K677" s="50"/>
      <c r="L677" s="47"/>
      <c r="M677" s="47"/>
      <c r="N677" s="47"/>
      <c r="O677" s="47"/>
      <c r="P677" s="47"/>
      <c r="Q677" s="47"/>
      <c r="R677" s="47"/>
      <c r="S677" s="47"/>
      <c r="T677" s="47"/>
      <c r="U677" s="47"/>
      <c r="V677" s="50" t="s">
        <v>523</v>
      </c>
      <c r="W677" s="74">
        <v>1</v>
      </c>
      <c r="X677" s="39">
        <f>MAX(0,$AK677-$W677-$Z677)</f>
        <v>0</v>
      </c>
      <c r="Y677" s="39"/>
      <c r="Z677" s="39"/>
      <c r="AA677" s="41">
        <v>0.33</v>
      </c>
      <c r="AB677" s="41">
        <f>IF(AND($X677&gt;0,ISNUMBER($AA677)),$X677*$AA677,0)</f>
        <v>0</v>
      </c>
      <c r="AK677" s="39">
        <f>SUM(AL677:AR677)</f>
        <v>0</v>
      </c>
      <c r="AL677" s="90"/>
      <c r="AM677" s="38"/>
      <c r="AN677" s="38"/>
      <c r="AO677" s="38"/>
      <c r="AP677" s="38"/>
      <c r="AQ677" s="38"/>
      <c r="AR677" s="91"/>
      <c r="AS677" s="42">
        <f>SUM(AT677:AZ677)</f>
        <v>0</v>
      </c>
      <c r="AT677" s="48"/>
      <c r="AU677" s="48"/>
      <c r="AV677" s="48"/>
      <c r="AW677" s="48"/>
      <c r="AX677" s="48"/>
      <c r="AY677" s="48"/>
      <c r="AZ677" s="48"/>
      <c r="BA677" s="43">
        <f>IF((W677-SUM(AT677:AZ677))&lt;0,0,W677-SUM(AT677:AZ677))</f>
        <v>1</v>
      </c>
      <c r="BB677" s="49"/>
      <c r="BC677" s="47"/>
      <c r="BD677" s="126"/>
    </row>
    <row r="678" spans="1:56" ht="15" customHeight="1">
      <c r="A678" s="44" t="s">
        <v>2993</v>
      </c>
      <c r="B678" s="45" t="s">
        <v>2448</v>
      </c>
      <c r="C678" s="46" t="s">
        <v>65</v>
      </c>
      <c r="D678" s="44" t="s">
        <v>84</v>
      </c>
      <c r="E678" s="44" t="s">
        <v>2994</v>
      </c>
      <c r="F678" s="45">
        <v>4</v>
      </c>
      <c r="G678" s="75" t="s">
        <v>2995</v>
      </c>
      <c r="H678" s="44" t="s">
        <v>959</v>
      </c>
      <c r="I678" s="44" t="s">
        <v>2996</v>
      </c>
      <c r="J678" s="44" t="s">
        <v>2510</v>
      </c>
      <c r="K678" s="44"/>
      <c r="L678" s="47"/>
      <c r="M678" s="47"/>
      <c r="N678" s="47"/>
      <c r="O678" s="68"/>
      <c r="P678" s="68"/>
      <c r="Q678" s="47"/>
      <c r="R678" s="47"/>
      <c r="S678" s="47"/>
      <c r="T678" s="68"/>
      <c r="U678" s="68"/>
      <c r="V678" s="44" t="s">
        <v>568</v>
      </c>
      <c r="W678" s="74">
        <v>1</v>
      </c>
      <c r="X678" s="39">
        <f>MAX(0,$AK678-$W678-$Z678)</f>
        <v>0</v>
      </c>
      <c r="Y678" s="44"/>
      <c r="Z678" s="44"/>
      <c r="AA678" s="44">
        <v>0.27</v>
      </c>
      <c r="AB678" s="44">
        <f>IF(AND($X678&gt;0,ISNUMBER($AA678)),$X678*$AA678,0)</f>
        <v>0</v>
      </c>
      <c r="AK678" s="39">
        <f>SUM(AL678:AR678)</f>
        <v>0</v>
      </c>
      <c r="AL678" s="90"/>
      <c r="AM678" s="38"/>
      <c r="AN678" s="38"/>
      <c r="AO678" s="38"/>
      <c r="AP678" s="38"/>
      <c r="AQ678" s="38"/>
      <c r="AR678" s="91"/>
      <c r="AS678" s="42">
        <f>SUM(AT678:AZ678)</f>
        <v>0</v>
      </c>
      <c r="AT678" s="48"/>
      <c r="AU678" s="48"/>
      <c r="AV678" s="48"/>
      <c r="AW678" s="48"/>
      <c r="AX678" s="48"/>
      <c r="AY678" s="48"/>
      <c r="AZ678" s="48"/>
      <c r="BA678" s="43">
        <f>IF((W678-SUM(AT678:AZ678))&lt;0,0,W678-SUM(AT678:AZ678))</f>
        <v>1</v>
      </c>
      <c r="BB678" s="44"/>
      <c r="BC678" s="47"/>
      <c r="BD678" s="47"/>
    </row>
    <row r="679" spans="1:56" ht="15" customHeight="1">
      <c r="A679" s="49" t="s">
        <v>2997</v>
      </c>
      <c r="B679" s="39" t="s">
        <v>2448</v>
      </c>
      <c r="C679" s="46" t="s">
        <v>65</v>
      </c>
      <c r="D679" s="49" t="s">
        <v>84</v>
      </c>
      <c r="E679" s="49" t="s">
        <v>2998</v>
      </c>
      <c r="F679" s="39">
        <v>3</v>
      </c>
      <c r="G679" s="75" t="s">
        <v>2999</v>
      </c>
      <c r="H679" s="50" t="s">
        <v>2605</v>
      </c>
      <c r="I679" s="50" t="s">
        <v>3000</v>
      </c>
      <c r="J679" s="50"/>
      <c r="K679" s="50"/>
      <c r="L679" s="47"/>
      <c r="M679" s="47"/>
      <c r="N679" s="47"/>
      <c r="O679" s="47"/>
      <c r="P679" s="47"/>
      <c r="Q679" s="47"/>
      <c r="R679" s="47"/>
      <c r="S679" s="47"/>
      <c r="T679" s="47"/>
      <c r="U679" s="47"/>
      <c r="V679" s="50" t="s">
        <v>1174</v>
      </c>
      <c r="W679" s="74">
        <v>1</v>
      </c>
      <c r="X679" s="39">
        <f>MAX(0,$AK679-$W679-$Z679)</f>
        <v>0</v>
      </c>
      <c r="Y679" s="39"/>
      <c r="Z679" s="39"/>
      <c r="AA679" s="41">
        <v>1.45</v>
      </c>
      <c r="AB679" s="41">
        <f>IF(AND($X679&gt;0,ISNUMBER($AA679)),$X679*$AA679,0)</f>
        <v>0</v>
      </c>
      <c r="AK679" s="39">
        <f>SUM(AL679:AR679)</f>
        <v>1</v>
      </c>
      <c r="AL679" s="90"/>
      <c r="AM679" s="38"/>
      <c r="AN679" s="38"/>
      <c r="AO679" s="38"/>
      <c r="AP679" s="38"/>
      <c r="AQ679" s="97">
        <v>1</v>
      </c>
      <c r="AR679" s="91"/>
      <c r="AS679" s="42">
        <f>SUM(AT679:AZ679)</f>
        <v>1</v>
      </c>
      <c r="AT679" s="48"/>
      <c r="AU679" s="48"/>
      <c r="AV679" s="48"/>
      <c r="AW679" s="48"/>
      <c r="AX679" s="48"/>
      <c r="AY679" s="48">
        <v>1</v>
      </c>
      <c r="AZ679" s="48"/>
      <c r="BA679" s="43">
        <f>IF((W679-SUM(AT679:AZ679))&lt;0,0,W679-SUM(AT679:AZ679))</f>
        <v>0</v>
      </c>
      <c r="BB679" s="49"/>
      <c r="BC679" s="47"/>
      <c r="BD679" s="51"/>
    </row>
    <row r="680" spans="1:56" ht="15" customHeight="1">
      <c r="A680" s="35" t="s">
        <v>3006</v>
      </c>
      <c r="B680" s="36" t="s">
        <v>3002</v>
      </c>
      <c r="C680" s="38" t="s">
        <v>65</v>
      </c>
      <c r="D680" s="35" t="s">
        <v>178</v>
      </c>
      <c r="E680" s="35" t="s">
        <v>3007</v>
      </c>
      <c r="F680" s="35">
        <v>3</v>
      </c>
      <c r="G680" s="75" t="s">
        <v>3008</v>
      </c>
      <c r="H680" s="35" t="s">
        <v>293</v>
      </c>
      <c r="I680" s="35" t="s">
        <v>1463</v>
      </c>
      <c r="J680" s="35" t="s">
        <v>3009</v>
      </c>
      <c r="K680" s="35"/>
      <c r="L680" s="37"/>
      <c r="M680" s="37"/>
      <c r="N680" s="37"/>
      <c r="O680" s="68"/>
      <c r="P680" s="68"/>
      <c r="Q680" s="37"/>
      <c r="R680" s="37"/>
      <c r="S680" s="37"/>
      <c r="T680" s="68"/>
      <c r="U680" s="68"/>
      <c r="V680" s="35" t="s">
        <v>167</v>
      </c>
      <c r="W680" s="74">
        <v>2</v>
      </c>
      <c r="X680" s="39">
        <f>MAX(0,$AK680-$W680-$Z680)</f>
        <v>0</v>
      </c>
      <c r="Y680" s="35"/>
      <c r="Z680" s="35"/>
      <c r="AA680" s="35">
        <v>0.14000000000000001</v>
      </c>
      <c r="AB680" s="41">
        <f>IF(AND($X680&gt;0,ISNUMBER($AA680)),$X680*$AA680,0)</f>
        <v>0</v>
      </c>
      <c r="AD680" s="63"/>
      <c r="AK680" s="39">
        <f>SUM(AL680:AR680)</f>
        <v>1</v>
      </c>
      <c r="AL680" s="90"/>
      <c r="AM680" s="98">
        <v>1</v>
      </c>
      <c r="AN680" s="38"/>
      <c r="AO680" s="38"/>
      <c r="AP680" s="38"/>
      <c r="AQ680" s="38"/>
      <c r="AR680" s="91"/>
      <c r="AS680" s="42">
        <f>SUM(AT680:AZ680)</f>
        <v>1</v>
      </c>
      <c r="AT680" s="48"/>
      <c r="AU680" s="48">
        <v>1</v>
      </c>
      <c r="AV680" s="48"/>
      <c r="AW680" s="48"/>
      <c r="AX680" s="48"/>
      <c r="AY680" s="48"/>
      <c r="AZ680" s="48"/>
      <c r="BA680" s="43">
        <f>IF((W680-SUM(AT680:AZ680))&lt;0,0,W680-SUM(AT680:AZ680))</f>
        <v>1</v>
      </c>
      <c r="BB680" s="35"/>
      <c r="BC680" s="37"/>
      <c r="BD680" s="135"/>
    </row>
    <row r="681" spans="1:56" ht="15" customHeight="1">
      <c r="A681" s="49" t="s">
        <v>3010</v>
      </c>
      <c r="B681" s="39" t="s">
        <v>3002</v>
      </c>
      <c r="C681" s="46" t="s">
        <v>65</v>
      </c>
      <c r="D681" s="49" t="s">
        <v>3011</v>
      </c>
      <c r="E681" s="49" t="s">
        <v>160</v>
      </c>
      <c r="F681" s="39">
        <v>5</v>
      </c>
      <c r="G681" s="75" t="s">
        <v>3012</v>
      </c>
      <c r="H681" s="50" t="s">
        <v>1182</v>
      </c>
      <c r="I681" s="50" t="s">
        <v>3013</v>
      </c>
      <c r="J681" s="50" t="s">
        <v>3014</v>
      </c>
      <c r="K681" s="50"/>
      <c r="L681" s="47"/>
      <c r="M681" s="47"/>
      <c r="N681" s="47"/>
      <c r="O681" s="68"/>
      <c r="P681" s="68"/>
      <c r="Q681" s="47"/>
      <c r="R681" s="47"/>
      <c r="S681" s="47"/>
      <c r="T681" s="68"/>
      <c r="U681" s="68"/>
      <c r="V681" s="50" t="s">
        <v>1600</v>
      </c>
      <c r="W681" s="74">
        <v>1</v>
      </c>
      <c r="X681" s="39">
        <f>MAX(0,$AK681-$W681-$Z681)</f>
        <v>0</v>
      </c>
      <c r="Y681" s="39"/>
      <c r="Z681" s="39"/>
      <c r="AA681" s="41">
        <v>0.18</v>
      </c>
      <c r="AB681" s="41">
        <f>IF(AND($X681&gt;0,ISNUMBER($AA681)),$X681*$AA681,0)</f>
        <v>0</v>
      </c>
      <c r="AK681" s="39">
        <f>SUM(AL681:AR681)</f>
        <v>1</v>
      </c>
      <c r="AL681" s="90"/>
      <c r="AM681" s="97">
        <v>1</v>
      </c>
      <c r="AN681" s="38"/>
      <c r="AO681" s="38"/>
      <c r="AP681" s="38"/>
      <c r="AQ681" s="38"/>
      <c r="AR681" s="91"/>
      <c r="AS681" s="42">
        <f>SUM(AT681:AZ681)</f>
        <v>1</v>
      </c>
      <c r="AT681" s="48"/>
      <c r="AU681" s="48">
        <v>1</v>
      </c>
      <c r="AV681" s="48"/>
      <c r="AW681" s="48"/>
      <c r="AX681" s="48"/>
      <c r="AY681" s="48"/>
      <c r="AZ681" s="48"/>
      <c r="BA681" s="43">
        <f>IF((W681-SUM(AT681:AZ681))&lt;0,0,W681-SUM(AT681:AZ681))</f>
        <v>0</v>
      </c>
      <c r="BB681" s="49"/>
      <c r="BC681" s="47"/>
      <c r="BD681" s="47"/>
    </row>
    <row r="682" spans="1:56" ht="15" customHeight="1">
      <c r="A682" s="44" t="s">
        <v>3015</v>
      </c>
      <c r="B682" s="45" t="s">
        <v>3002</v>
      </c>
      <c r="C682" s="46" t="s">
        <v>65</v>
      </c>
      <c r="D682" s="44" t="s">
        <v>76</v>
      </c>
      <c r="E682" s="44"/>
      <c r="F682" s="45">
        <v>1</v>
      </c>
      <c r="G682" s="75" t="s">
        <v>3016</v>
      </c>
      <c r="H682" s="44" t="s">
        <v>293</v>
      </c>
      <c r="I682" s="44" t="s">
        <v>3017</v>
      </c>
      <c r="J682" s="44"/>
      <c r="K682" s="44"/>
      <c r="L682" s="108"/>
      <c r="M682" s="46"/>
      <c r="N682" s="46"/>
      <c r="O682" s="68"/>
      <c r="P682" s="110"/>
      <c r="Q682" s="108"/>
      <c r="R682" s="46"/>
      <c r="S682" s="46"/>
      <c r="T682" s="68"/>
      <c r="U682" s="111"/>
      <c r="V682" s="44" t="s">
        <v>1471</v>
      </c>
      <c r="W682" s="74">
        <v>0</v>
      </c>
      <c r="X682" s="39">
        <f>MAX(0,$AK682-$W682-$Z682)</f>
        <v>0</v>
      </c>
      <c r="Y682" s="44"/>
      <c r="Z682" s="44"/>
      <c r="AA682" s="44">
        <v>1.38</v>
      </c>
      <c r="AB682" s="44">
        <f>IF(AND($X682&gt;0,ISNUMBER($AA682)),$X682*$AA682,0)</f>
        <v>0</v>
      </c>
      <c r="AK682" s="39">
        <f>SUM(AL682:AR682)</f>
        <v>0</v>
      </c>
      <c r="AL682" s="90"/>
      <c r="AM682" s="38"/>
      <c r="AN682" s="38"/>
      <c r="AO682" s="38"/>
      <c r="AP682" s="38"/>
      <c r="AQ682" s="38"/>
      <c r="AR682" s="91"/>
      <c r="AS682" s="42">
        <f>SUM(AT682:AZ682)</f>
        <v>0</v>
      </c>
      <c r="AT682" s="48"/>
      <c r="AU682" s="48"/>
      <c r="AV682" s="48"/>
      <c r="AW682" s="48"/>
      <c r="AX682" s="48"/>
      <c r="AY682" s="48"/>
      <c r="AZ682" s="48"/>
      <c r="BA682" s="43">
        <f>IF((W682-SUM(AT682:AZ682))&lt;0,0,W682-SUM(AT682:AZ682))</f>
        <v>0</v>
      </c>
      <c r="BB682" s="44"/>
      <c r="BC682" s="47"/>
      <c r="BD682" s="47"/>
    </row>
    <row r="683" spans="1:56" ht="15" customHeight="1">
      <c r="A683" s="49" t="s">
        <v>3018</v>
      </c>
      <c r="B683" s="39" t="s">
        <v>3002</v>
      </c>
      <c r="C683" s="46" t="s">
        <v>65</v>
      </c>
      <c r="D683" s="49" t="s">
        <v>134</v>
      </c>
      <c r="E683" s="49"/>
      <c r="F683" s="39">
        <v>2</v>
      </c>
      <c r="G683" s="75" t="s">
        <v>3019</v>
      </c>
      <c r="H683" s="50" t="s">
        <v>845</v>
      </c>
      <c r="I683" s="50" t="s">
        <v>845</v>
      </c>
      <c r="J683" s="50" t="s">
        <v>1315</v>
      </c>
      <c r="K683" s="50"/>
      <c r="L683" s="47"/>
      <c r="M683" s="47"/>
      <c r="N683" s="47"/>
      <c r="O683" s="47"/>
      <c r="P683" s="47"/>
      <c r="Q683" s="47"/>
      <c r="R683" s="47"/>
      <c r="S683" s="47"/>
      <c r="T683" s="47"/>
      <c r="U683" s="47"/>
      <c r="V683" s="50" t="s">
        <v>281</v>
      </c>
      <c r="W683" s="74">
        <v>0</v>
      </c>
      <c r="X683" s="39">
        <f>MAX(0,$AK683-$W683-$Z683)</f>
        <v>0</v>
      </c>
      <c r="Y683" s="39"/>
      <c r="Z683" s="39"/>
      <c r="AA683" s="41">
        <v>0.39</v>
      </c>
      <c r="AB683" s="41">
        <f>IF(AND($X683&gt;0,ISNUMBER($AA683)),$X683*$AA683,0)</f>
        <v>0</v>
      </c>
      <c r="AC683" s="59"/>
      <c r="AD683" s="59"/>
      <c r="AE683" s="59"/>
      <c r="AF683" s="59"/>
      <c r="AG683" s="59"/>
      <c r="AH683" s="59"/>
      <c r="AI683" s="59"/>
      <c r="AJ683" s="59"/>
      <c r="AK683" s="39">
        <f>SUM(AL683:AR683)</f>
        <v>0</v>
      </c>
      <c r="AL683" s="114"/>
      <c r="AM683" s="43"/>
      <c r="AN683" s="43"/>
      <c r="AO683" s="43"/>
      <c r="AP683" s="43"/>
      <c r="AQ683" s="43"/>
      <c r="AR683" s="116"/>
      <c r="AS683" s="42">
        <f>SUM(AT683:AZ683)</f>
        <v>0</v>
      </c>
      <c r="AT683" s="48"/>
      <c r="AU683" s="48"/>
      <c r="AV683" s="48"/>
      <c r="AW683" s="48"/>
      <c r="AX683" s="48"/>
      <c r="AY683" s="48"/>
      <c r="AZ683" s="48"/>
      <c r="BA683" s="43">
        <f>IF((W683-SUM(AT683:AZ683))&lt;0,0,W683-SUM(AT683:AZ683))</f>
        <v>0</v>
      </c>
      <c r="BB683" s="49"/>
      <c r="BC683" s="47"/>
      <c r="BD683" s="53"/>
    </row>
    <row r="684" spans="1:56" ht="15" customHeight="1">
      <c r="A684" s="49" t="s">
        <v>3023</v>
      </c>
      <c r="B684" s="39" t="s">
        <v>3002</v>
      </c>
      <c r="C684" s="46" t="s">
        <v>65</v>
      </c>
      <c r="D684" s="49" t="s">
        <v>84</v>
      </c>
      <c r="E684" s="49" t="s">
        <v>3024</v>
      </c>
      <c r="F684" s="39">
        <v>5</v>
      </c>
      <c r="G684" s="75" t="s">
        <v>3025</v>
      </c>
      <c r="H684" s="50" t="s">
        <v>845</v>
      </c>
      <c r="I684" s="50" t="s">
        <v>3026</v>
      </c>
      <c r="J684" s="50"/>
      <c r="K684" s="50"/>
      <c r="L684" s="47"/>
      <c r="M684" s="47"/>
      <c r="N684" s="47"/>
      <c r="O684" s="47"/>
      <c r="P684" s="47"/>
      <c r="Q684" s="47"/>
      <c r="R684" s="47"/>
      <c r="S684" s="47"/>
      <c r="T684" s="47"/>
      <c r="U684" s="47"/>
      <c r="V684" s="50" t="s">
        <v>1688</v>
      </c>
      <c r="W684" s="74">
        <v>1</v>
      </c>
      <c r="X684" s="39">
        <f>MAX(0,$AK684-$W684-$Z684)</f>
        <v>0</v>
      </c>
      <c r="Y684" s="39"/>
      <c r="Z684" s="39"/>
      <c r="AA684" s="41">
        <v>0.28000000000000003</v>
      </c>
      <c r="AB684" s="41">
        <f>IF(AND($X684&gt;0,ISNUMBER($AA684)),$X684*$AA684,0)</f>
        <v>0</v>
      </c>
      <c r="AE684" s="63"/>
      <c r="AK684" s="39">
        <f>SUM(AL684:AR684)</f>
        <v>1</v>
      </c>
      <c r="AL684" s="90"/>
      <c r="AM684" s="38"/>
      <c r="AN684" s="97">
        <v>1</v>
      </c>
      <c r="AO684" s="38"/>
      <c r="AP684" s="38"/>
      <c r="AQ684" s="38"/>
      <c r="AR684" s="91"/>
      <c r="AS684" s="42">
        <f>SUM(AT684:AZ684)</f>
        <v>1</v>
      </c>
      <c r="AT684" s="48"/>
      <c r="AU684" s="48"/>
      <c r="AV684" s="48">
        <v>1</v>
      </c>
      <c r="AW684" s="48"/>
      <c r="AX684" s="48"/>
      <c r="AY684" s="48"/>
      <c r="AZ684" s="48"/>
      <c r="BA684" s="43">
        <f>IF((W684-SUM(AT684:AZ684))&lt;0,0,W684-SUM(AT684:AZ684))</f>
        <v>0</v>
      </c>
      <c r="BB684" s="49"/>
      <c r="BC684" s="47"/>
      <c r="BD684" s="47"/>
    </row>
    <row r="685" spans="1:56" ht="15" customHeight="1">
      <c r="A685" s="49" t="s">
        <v>3032</v>
      </c>
      <c r="B685" s="39" t="s">
        <v>3002</v>
      </c>
      <c r="C685" s="46" t="s">
        <v>65</v>
      </c>
      <c r="D685" s="49" t="s">
        <v>84</v>
      </c>
      <c r="E685" s="49" t="s">
        <v>3033</v>
      </c>
      <c r="F685" s="39">
        <v>2</v>
      </c>
      <c r="G685" s="75" t="s">
        <v>3034</v>
      </c>
      <c r="H685" s="50" t="s">
        <v>1182</v>
      </c>
      <c r="I685" s="50" t="s">
        <v>3035</v>
      </c>
      <c r="J685" s="50"/>
      <c r="K685" s="50"/>
      <c r="L685" s="47"/>
      <c r="M685" s="47"/>
      <c r="N685" s="47"/>
      <c r="O685" s="47"/>
      <c r="P685" s="47"/>
      <c r="Q685" s="47"/>
      <c r="R685" s="47"/>
      <c r="S685" s="47"/>
      <c r="T685" s="47"/>
      <c r="U685" s="47"/>
      <c r="V685" s="50" t="s">
        <v>1069</v>
      </c>
      <c r="W685" s="74">
        <v>0</v>
      </c>
      <c r="X685" s="39">
        <f>MAX(0,$AK685-$W685-$Z685)</f>
        <v>0</v>
      </c>
      <c r="Y685" s="39"/>
      <c r="Z685" s="39"/>
      <c r="AA685" s="41">
        <v>0.17</v>
      </c>
      <c r="AB685" s="41">
        <f>IF(AND($X685&gt;0,ISNUMBER($AA685)),$X685*$AA685,0)</f>
        <v>0</v>
      </c>
      <c r="AC685" s="59"/>
      <c r="AD685" s="59"/>
      <c r="AE685" s="59"/>
      <c r="AF685" s="59"/>
      <c r="AG685" s="59"/>
      <c r="AH685" s="59"/>
      <c r="AI685" s="59"/>
      <c r="AJ685" s="59"/>
      <c r="AK685" s="39">
        <f>SUM(AL685:AR685)</f>
        <v>0</v>
      </c>
      <c r="AL685" s="114"/>
      <c r="AM685" s="43"/>
      <c r="AN685" s="43"/>
      <c r="AO685" s="43"/>
      <c r="AP685" s="43"/>
      <c r="AQ685" s="43"/>
      <c r="AR685" s="116"/>
      <c r="AS685" s="42">
        <f>SUM(AT685:AZ685)</f>
        <v>0</v>
      </c>
      <c r="AT685" s="48"/>
      <c r="AU685" s="48"/>
      <c r="AV685" s="48"/>
      <c r="AW685" s="48"/>
      <c r="AX685" s="48"/>
      <c r="AY685" s="48"/>
      <c r="AZ685" s="48"/>
      <c r="BA685" s="43">
        <f>IF((W685-SUM(AT685:AZ685))&lt;0,0,W685-SUM(AT685:AZ685))</f>
        <v>0</v>
      </c>
      <c r="BB685" s="49"/>
      <c r="BC685" s="47"/>
      <c r="BD685" s="134"/>
    </row>
    <row r="686" spans="1:56" ht="15" customHeight="1">
      <c r="A686" s="49" t="s">
        <v>3051</v>
      </c>
      <c r="B686" s="39" t="s">
        <v>3002</v>
      </c>
      <c r="C686" s="46" t="s">
        <v>65</v>
      </c>
      <c r="D686" s="49" t="s">
        <v>178</v>
      </c>
      <c r="E686" s="49" t="s">
        <v>3052</v>
      </c>
      <c r="F686" s="39">
        <v>2</v>
      </c>
      <c r="G686" s="75" t="s">
        <v>3053</v>
      </c>
      <c r="H686" s="50" t="s">
        <v>293</v>
      </c>
      <c r="I686" s="50" t="s">
        <v>3054</v>
      </c>
      <c r="J686" s="50" t="s">
        <v>3055</v>
      </c>
      <c r="K686" s="50"/>
      <c r="L686" s="47"/>
      <c r="M686" s="47"/>
      <c r="N686" s="47"/>
      <c r="O686" s="47"/>
      <c r="P686" s="47"/>
      <c r="Q686" s="47"/>
      <c r="R686" s="47"/>
      <c r="S686" s="47"/>
      <c r="T686" s="47"/>
      <c r="U686" s="47"/>
      <c r="V686" s="50" t="s">
        <v>281</v>
      </c>
      <c r="W686" s="74">
        <v>1</v>
      </c>
      <c r="X686" s="39">
        <f>MAX(0,$AK686-$W686-$Z686)</f>
        <v>0</v>
      </c>
      <c r="Y686" s="39"/>
      <c r="Z686" s="39"/>
      <c r="AA686" s="41">
        <v>0.27</v>
      </c>
      <c r="AB686" s="41">
        <f>IF(AND($X686&gt;0,ISNUMBER($AA686)),$X686*$AA686,0)</f>
        <v>0</v>
      </c>
      <c r="AK686" s="39">
        <f>SUM(AL686:AR686)</f>
        <v>1</v>
      </c>
      <c r="AL686" s="90"/>
      <c r="AM686" s="97">
        <v>1</v>
      </c>
      <c r="AN686" s="38"/>
      <c r="AO686" s="38"/>
      <c r="AP686" s="38"/>
      <c r="AQ686" s="38"/>
      <c r="AR686" s="91"/>
      <c r="AS686" s="42">
        <f>SUM(AT686:AZ686)</f>
        <v>1</v>
      </c>
      <c r="AT686" s="48"/>
      <c r="AU686" s="48">
        <v>1</v>
      </c>
      <c r="AV686" s="48"/>
      <c r="AW686" s="48"/>
      <c r="AX686" s="48"/>
      <c r="AY686" s="48"/>
      <c r="AZ686" s="48"/>
      <c r="BA686" s="43">
        <f>IF((W686-SUM(AT686:AZ686))&lt;0,0,W686-SUM(AT686:AZ686))</f>
        <v>0</v>
      </c>
      <c r="BB686" s="49"/>
      <c r="BC686" s="47"/>
      <c r="BD686" s="47"/>
    </row>
    <row r="687" spans="1:56" ht="15" customHeight="1">
      <c r="A687" s="35" t="s">
        <v>3056</v>
      </c>
      <c r="B687" s="36" t="s">
        <v>3002</v>
      </c>
      <c r="C687" s="38" t="s">
        <v>65</v>
      </c>
      <c r="D687" s="35" t="s">
        <v>134</v>
      </c>
      <c r="E687" s="35"/>
      <c r="F687" s="35">
        <v>2</v>
      </c>
      <c r="G687" s="75" t="s">
        <v>3057</v>
      </c>
      <c r="H687" s="35" t="s">
        <v>162</v>
      </c>
      <c r="I687" s="35" t="s">
        <v>3058</v>
      </c>
      <c r="J687" s="35" t="s">
        <v>3059</v>
      </c>
      <c r="K687" s="35"/>
      <c r="L687" s="37"/>
      <c r="M687" s="37"/>
      <c r="N687" s="37"/>
      <c r="O687" s="68"/>
      <c r="P687" s="68"/>
      <c r="Q687" s="37"/>
      <c r="R687" s="37"/>
      <c r="S687" s="37"/>
      <c r="T687" s="68"/>
      <c r="U687" s="68"/>
      <c r="V687" s="35" t="s">
        <v>223</v>
      </c>
      <c r="W687" s="74">
        <v>1</v>
      </c>
      <c r="X687" s="39">
        <f>MAX(0,$AK687-$W687-$Z687)</f>
        <v>0</v>
      </c>
      <c r="Y687" s="35"/>
      <c r="Z687" s="35"/>
      <c r="AA687" s="35">
        <v>1.89</v>
      </c>
      <c r="AB687" s="41">
        <f>IF(AND($X687&gt;0,ISNUMBER($AA687)),$X687*$AA687,0)</f>
        <v>0</v>
      </c>
      <c r="AK687" s="39">
        <f>SUM(AL687:AR687)</f>
        <v>1</v>
      </c>
      <c r="AL687" s="90"/>
      <c r="AM687" s="38"/>
      <c r="AN687" s="97">
        <v>1</v>
      </c>
      <c r="AO687" s="38"/>
      <c r="AP687" s="38"/>
      <c r="AQ687" s="38"/>
      <c r="AR687" s="91"/>
      <c r="AS687" s="42">
        <f>SUM(AT687:AZ687)</f>
        <v>1</v>
      </c>
      <c r="AT687" s="48"/>
      <c r="AU687" s="48"/>
      <c r="AV687" s="48">
        <v>1</v>
      </c>
      <c r="AW687" s="48"/>
      <c r="AX687" s="48"/>
      <c r="AY687" s="48"/>
      <c r="AZ687" s="48"/>
      <c r="BA687" s="43">
        <f>IF((W687-SUM(AT687:AZ687))&lt;0,0,W687-SUM(AT687:AZ687))</f>
        <v>0</v>
      </c>
      <c r="BB687" s="35"/>
      <c r="BC687" s="37"/>
      <c r="BD687" s="130"/>
    </row>
    <row r="688" spans="1:56" ht="15" customHeight="1">
      <c r="A688" s="49" t="s">
        <v>3060</v>
      </c>
      <c r="B688" s="39" t="s">
        <v>3002</v>
      </c>
      <c r="C688" s="46" t="s">
        <v>65</v>
      </c>
      <c r="D688" s="49" t="s">
        <v>84</v>
      </c>
      <c r="E688" s="49" t="s">
        <v>2303</v>
      </c>
      <c r="F688" s="39">
        <v>3</v>
      </c>
      <c r="G688" s="75" t="s">
        <v>3061</v>
      </c>
      <c r="H688" s="50" t="s">
        <v>845</v>
      </c>
      <c r="I688" s="50" t="s">
        <v>3062</v>
      </c>
      <c r="J688" s="50"/>
      <c r="K688" s="50"/>
      <c r="L688" s="47"/>
      <c r="M688" s="47"/>
      <c r="N688" s="47"/>
      <c r="O688" s="47"/>
      <c r="P688" s="47"/>
      <c r="Q688" s="47"/>
      <c r="R688" s="47"/>
      <c r="S688" s="47"/>
      <c r="T688" s="47"/>
      <c r="U688" s="47"/>
      <c r="V688" s="50" t="s">
        <v>281</v>
      </c>
      <c r="W688" s="74">
        <v>1</v>
      </c>
      <c r="X688" s="39">
        <f>MAX(0,$AK688-$W688-$Z688)</f>
        <v>0</v>
      </c>
      <c r="Y688" s="39"/>
      <c r="Z688" s="39"/>
      <c r="AA688" s="41">
        <v>3.49</v>
      </c>
      <c r="AB688" s="41">
        <f>IF(AND($X688&gt;0,ISNUMBER($AA688)),$X688*$AA688,0)</f>
        <v>0</v>
      </c>
      <c r="AK688" s="39">
        <f>SUM(AL688:AR688)</f>
        <v>1</v>
      </c>
      <c r="AL688" s="90"/>
      <c r="AM688" s="38"/>
      <c r="AN688" s="97">
        <v>1</v>
      </c>
      <c r="AO688" s="38"/>
      <c r="AP688" s="38"/>
      <c r="AQ688" s="38"/>
      <c r="AR688" s="91"/>
      <c r="AS688" s="42">
        <f>SUM(AT688:AZ688)</f>
        <v>1</v>
      </c>
      <c r="AT688" s="48"/>
      <c r="AU688" s="48"/>
      <c r="AV688" s="48">
        <v>1</v>
      </c>
      <c r="AW688" s="48"/>
      <c r="AX688" s="48"/>
      <c r="AY688" s="48"/>
      <c r="AZ688" s="48"/>
      <c r="BA688" s="43">
        <f>IF((W688-SUM(AT688:AZ688))&lt;0,0,W688-SUM(AT688:AZ688))</f>
        <v>0</v>
      </c>
      <c r="BB688" s="49"/>
      <c r="BC688" s="47"/>
      <c r="BD688" s="126"/>
    </row>
    <row r="689" spans="1:56" ht="15" customHeight="1">
      <c r="A689" s="35" t="s">
        <v>3063</v>
      </c>
      <c r="B689" s="36" t="s">
        <v>3002</v>
      </c>
      <c r="C689" s="38" t="s">
        <v>65</v>
      </c>
      <c r="D689" s="35" t="s">
        <v>76</v>
      </c>
      <c r="E689" s="35"/>
      <c r="F689" s="36">
        <v>1</v>
      </c>
      <c r="G689" s="75" t="s">
        <v>3064</v>
      </c>
      <c r="H689" s="35" t="s">
        <v>153</v>
      </c>
      <c r="I689" s="35" t="s">
        <v>3065</v>
      </c>
      <c r="J689" s="35"/>
      <c r="K689" s="35"/>
      <c r="L689" s="37"/>
      <c r="M689" s="37"/>
      <c r="N689" s="37"/>
      <c r="O689" s="68"/>
      <c r="P689" s="68"/>
      <c r="Q689" s="37"/>
      <c r="R689" s="37"/>
      <c r="S689" s="37"/>
      <c r="T689" s="68"/>
      <c r="U689" s="68"/>
      <c r="V689" s="35" t="s">
        <v>223</v>
      </c>
      <c r="W689" s="74">
        <v>1</v>
      </c>
      <c r="X689" s="39">
        <f>MAX(0,$AK689-$W689-$Z689)</f>
        <v>0</v>
      </c>
      <c r="Y689" s="35"/>
      <c r="Z689" s="35"/>
      <c r="AA689" s="40">
        <v>0.23</v>
      </c>
      <c r="AB689" s="41">
        <f>IF(AND($X689&gt;0,ISNUMBER($AA689)),$X689*$AA689,0)</f>
        <v>0</v>
      </c>
      <c r="AK689" s="39">
        <f>SUM(AL689:AR689)</f>
        <v>0</v>
      </c>
      <c r="AL689" s="90"/>
      <c r="AM689" s="38"/>
      <c r="AN689" s="38"/>
      <c r="AO689" s="38"/>
      <c r="AP689" s="38"/>
      <c r="AQ689" s="38"/>
      <c r="AR689" s="91"/>
      <c r="AS689" s="42">
        <f>SUM(AT689:AZ689)</f>
        <v>0</v>
      </c>
      <c r="AT689" s="48"/>
      <c r="AU689" s="48"/>
      <c r="AV689" s="48"/>
      <c r="AW689" s="48"/>
      <c r="AX689" s="48"/>
      <c r="AY689" s="48"/>
      <c r="AZ689" s="48"/>
      <c r="BA689" s="43">
        <f>IF((W689-SUM(AT689:AZ689))&lt;0,0,W689-SUM(AT689:AZ689))</f>
        <v>1</v>
      </c>
      <c r="BB689" s="35"/>
      <c r="BC689" s="37"/>
      <c r="BD689" s="37"/>
    </row>
    <row r="690" spans="1:56" ht="15" customHeight="1">
      <c r="A690" s="44" t="s">
        <v>3066</v>
      </c>
      <c r="B690" s="45" t="s">
        <v>3002</v>
      </c>
      <c r="C690" s="46" t="s">
        <v>65</v>
      </c>
      <c r="D690" s="44" t="s">
        <v>76</v>
      </c>
      <c r="E690" s="44"/>
      <c r="F690" s="45">
        <v>3</v>
      </c>
      <c r="G690" s="75" t="s">
        <v>3067</v>
      </c>
      <c r="H690" s="44" t="s">
        <v>293</v>
      </c>
      <c r="I690" s="44" t="s">
        <v>3068</v>
      </c>
      <c r="J690" s="44"/>
      <c r="K690" s="44"/>
      <c r="L690" s="108"/>
      <c r="M690" s="46"/>
      <c r="N690" s="46"/>
      <c r="O690" s="68"/>
      <c r="P690" s="110"/>
      <c r="Q690" s="108"/>
      <c r="R690" s="46"/>
      <c r="S690" s="46"/>
      <c r="T690" s="68"/>
      <c r="U690" s="111"/>
      <c r="V690" s="44" t="s">
        <v>3069</v>
      </c>
      <c r="W690" s="74">
        <v>0</v>
      </c>
      <c r="X690" s="39">
        <f>MAX(0,$AK690-$W690-$Z690)</f>
        <v>0</v>
      </c>
      <c r="Y690" s="44"/>
      <c r="Z690" s="44"/>
      <c r="AA690" s="44">
        <v>2.17</v>
      </c>
      <c r="AB690" s="44">
        <f>IF(AND($X690&gt;0,ISNUMBER($AA690)),$X690*$AA690,0)</f>
        <v>0</v>
      </c>
      <c r="AK690" s="39">
        <f>SUM(AL690:AR690)</f>
        <v>0</v>
      </c>
      <c r="AL690" s="90"/>
      <c r="AM690" s="38"/>
      <c r="AN690" s="38"/>
      <c r="AO690" s="38"/>
      <c r="AP690" s="38"/>
      <c r="AQ690" s="38"/>
      <c r="AR690" s="91"/>
      <c r="AS690" s="42">
        <f>SUM(AT690:AZ690)</f>
        <v>0</v>
      </c>
      <c r="AT690" s="48"/>
      <c r="AU690" s="48"/>
      <c r="AV690" s="48"/>
      <c r="AW690" s="48"/>
      <c r="AX690" s="48"/>
      <c r="AY690" s="48"/>
      <c r="AZ690" s="48"/>
      <c r="BA690" s="43">
        <f>IF((W690-SUM(AT690:AZ690))&lt;0,0,W690-SUM(AT690:AZ690))</f>
        <v>0</v>
      </c>
      <c r="BB690" s="44"/>
      <c r="BC690" s="47"/>
      <c r="BD690" s="47"/>
    </row>
    <row r="691" spans="1:56" ht="15" customHeight="1">
      <c r="A691" s="49" t="s">
        <v>3070</v>
      </c>
      <c r="B691" s="39" t="s">
        <v>3002</v>
      </c>
      <c r="C691" s="46" t="s">
        <v>83</v>
      </c>
      <c r="D691" s="49" t="s">
        <v>256</v>
      </c>
      <c r="E691" s="49" t="s">
        <v>468</v>
      </c>
      <c r="F691" s="39">
        <v>3</v>
      </c>
      <c r="G691" s="75" t="s">
        <v>3071</v>
      </c>
      <c r="H691" s="50" t="s">
        <v>100</v>
      </c>
      <c r="I691" s="50" t="s">
        <v>3042</v>
      </c>
      <c r="J691" s="50" t="s">
        <v>3072</v>
      </c>
      <c r="K691" s="50" t="s">
        <v>3073</v>
      </c>
      <c r="L691" s="47"/>
      <c r="M691" s="47"/>
      <c r="N691" s="47"/>
      <c r="O691" s="47"/>
      <c r="P691" s="47"/>
      <c r="Q691" s="47"/>
      <c r="R691" s="47"/>
      <c r="S691" s="47"/>
      <c r="T691" s="47"/>
      <c r="U691" s="47"/>
      <c r="V691" s="50" t="s">
        <v>3074</v>
      </c>
      <c r="W691" s="74">
        <v>1</v>
      </c>
      <c r="X691" s="39">
        <f>MAX(0,$AK691-$W691-$Z691)</f>
        <v>0</v>
      </c>
      <c r="Y691" s="39"/>
      <c r="Z691" s="39"/>
      <c r="AA691" s="41">
        <v>7.02</v>
      </c>
      <c r="AB691" s="41">
        <f>IF(AND($X691&gt;0,ISNUMBER($AA691)),$X691*$AA691,0)</f>
        <v>0</v>
      </c>
      <c r="AK691" s="39">
        <f>SUM(AL691:AR691)</f>
        <v>1</v>
      </c>
      <c r="AL691" s="90"/>
      <c r="AM691" s="97">
        <v>1</v>
      </c>
      <c r="AN691" s="38"/>
      <c r="AO691" s="38"/>
      <c r="AP691" s="38"/>
      <c r="AQ691" s="38"/>
      <c r="AR691" s="91"/>
      <c r="AS691" s="42">
        <f>SUM(AT691:AZ691)</f>
        <v>1</v>
      </c>
      <c r="AT691" s="48"/>
      <c r="AU691" s="48">
        <v>1</v>
      </c>
      <c r="AV691" s="48"/>
      <c r="AW691" s="48"/>
      <c r="AX691" s="48"/>
      <c r="AY691" s="48"/>
      <c r="AZ691" s="48"/>
      <c r="BA691" s="43">
        <f>IF((W691-SUM(AT691:AZ691))&lt;0,0,W691-SUM(AT691:AZ691))</f>
        <v>0</v>
      </c>
      <c r="BB691" s="49"/>
      <c r="BC691" s="47"/>
      <c r="BD691" s="47"/>
    </row>
    <row r="692" spans="1:56" ht="15" customHeight="1">
      <c r="A692" s="49" t="s">
        <v>3075</v>
      </c>
      <c r="B692" s="39" t="s">
        <v>3002</v>
      </c>
      <c r="C692" s="46" t="s">
        <v>65</v>
      </c>
      <c r="D692" s="49" t="s">
        <v>76</v>
      </c>
      <c r="E692" s="49"/>
      <c r="F692" s="39">
        <v>4</v>
      </c>
      <c r="G692" s="75" t="s">
        <v>3076</v>
      </c>
      <c r="H692" s="50" t="s">
        <v>2190</v>
      </c>
      <c r="I692" s="50" t="s">
        <v>3077</v>
      </c>
      <c r="J692" s="50"/>
      <c r="K692" s="50"/>
      <c r="L692" s="47"/>
      <c r="M692" s="47"/>
      <c r="N692" s="47"/>
      <c r="O692" s="47"/>
      <c r="P692" s="47"/>
      <c r="Q692" s="47"/>
      <c r="R692" s="47"/>
      <c r="S692" s="47"/>
      <c r="T692" s="47"/>
      <c r="U692" s="47"/>
      <c r="V692" s="50" t="s">
        <v>660</v>
      </c>
      <c r="W692" s="74">
        <v>1</v>
      </c>
      <c r="X692" s="39">
        <f>MAX(0,$AK692-$W692-$Z692)</f>
        <v>0</v>
      </c>
      <c r="Y692" s="39"/>
      <c r="Z692" s="39"/>
      <c r="AA692" s="41">
        <v>0.34</v>
      </c>
      <c r="AB692" s="41">
        <f>IF(AND($X692&gt;0,ISNUMBER($AA692)),$X692*$AA692,0)</f>
        <v>0</v>
      </c>
      <c r="AE692" s="63"/>
      <c r="AK692" s="39">
        <f>SUM(AL692:AR692)</f>
        <v>1</v>
      </c>
      <c r="AL692" s="90"/>
      <c r="AM692" s="38"/>
      <c r="AN692" s="97">
        <v>1</v>
      </c>
      <c r="AO692" s="38"/>
      <c r="AP692" s="38"/>
      <c r="AQ692" s="38"/>
      <c r="AR692" s="91"/>
      <c r="AS692" s="42">
        <f>SUM(AT692:AZ692)</f>
        <v>1</v>
      </c>
      <c r="AT692" s="48"/>
      <c r="AU692" s="48"/>
      <c r="AV692" s="48">
        <v>1</v>
      </c>
      <c r="AW692" s="48"/>
      <c r="AX692" s="48"/>
      <c r="AY692" s="48"/>
      <c r="AZ692" s="48"/>
      <c r="BA692" s="43">
        <f>IF((W692-SUM(AT692:AZ692))&lt;0,0,W692-SUM(AT692:AZ692))</f>
        <v>0</v>
      </c>
      <c r="BB692" s="49"/>
      <c r="BC692" s="47"/>
      <c r="BD692" s="47"/>
    </row>
    <row r="693" spans="1:56" ht="15" customHeight="1">
      <c r="A693" s="49" t="s">
        <v>3078</v>
      </c>
      <c r="B693" s="45" t="s">
        <v>3002</v>
      </c>
      <c r="C693" s="46" t="s">
        <v>65</v>
      </c>
      <c r="D693" s="44" t="s">
        <v>178</v>
      </c>
      <c r="E693" s="44" t="s">
        <v>2654</v>
      </c>
      <c r="F693" s="45">
        <v>5</v>
      </c>
      <c r="G693" s="75" t="s">
        <v>3079</v>
      </c>
      <c r="H693" s="44" t="s">
        <v>293</v>
      </c>
      <c r="I693" s="44" t="s">
        <v>3080</v>
      </c>
      <c r="J693" s="44" t="s">
        <v>3081</v>
      </c>
      <c r="K693" s="44"/>
      <c r="L693" s="47"/>
      <c r="M693" s="47"/>
      <c r="N693" s="47"/>
      <c r="O693" s="68"/>
      <c r="P693" s="68"/>
      <c r="Q693" s="47"/>
      <c r="R693" s="47"/>
      <c r="S693" s="47"/>
      <c r="T693" s="68"/>
      <c r="U693" s="68"/>
      <c r="V693" s="44" t="s">
        <v>167</v>
      </c>
      <c r="W693" s="74">
        <v>1</v>
      </c>
      <c r="X693" s="39">
        <f>MAX(0,$AK693-$W693-$Z693)</f>
        <v>0</v>
      </c>
      <c r="Y693" s="39" t="s">
        <v>265</v>
      </c>
      <c r="Z693" s="39">
        <v>1</v>
      </c>
      <c r="AA693" s="44">
        <v>0.11</v>
      </c>
      <c r="AB693" s="44">
        <f>IF(AND($X693&gt;0,ISNUMBER($AA693)),$X693*$AA693,0)</f>
        <v>0</v>
      </c>
      <c r="AD693" t="s">
        <v>3082</v>
      </c>
      <c r="AI693" s="63"/>
      <c r="AJ693" s="106">
        <v>1</v>
      </c>
      <c r="AK693" s="39">
        <f>SUM(AL693:AR693)</f>
        <v>1</v>
      </c>
      <c r="AL693" s="90"/>
      <c r="AM693" s="98">
        <v>1</v>
      </c>
      <c r="AN693" s="38"/>
      <c r="AO693" s="38"/>
      <c r="AP693" s="38"/>
      <c r="AQ693" s="38"/>
      <c r="AR693" s="101"/>
      <c r="AS693" s="42">
        <f>SUM(AT693:AZ693)</f>
        <v>1</v>
      </c>
      <c r="AT693" s="48"/>
      <c r="AU693" s="48">
        <v>1</v>
      </c>
      <c r="AV693" s="48"/>
      <c r="AW693" s="48"/>
      <c r="AX693" s="48"/>
      <c r="AY693" s="48"/>
      <c r="AZ693" s="48"/>
      <c r="BA693" s="43">
        <f>IF((W693-SUM(AT693:AZ693))&lt;0,0,W693-SUM(AT693:AZ693))</f>
        <v>0</v>
      </c>
      <c r="BB693" s="44"/>
      <c r="BC693" s="47"/>
      <c r="BD693" s="47"/>
    </row>
    <row r="694" spans="1:56" ht="15" customHeight="1">
      <c r="A694" s="44" t="s">
        <v>3083</v>
      </c>
      <c r="B694" s="45" t="s">
        <v>3002</v>
      </c>
      <c r="C694" s="46" t="s">
        <v>65</v>
      </c>
      <c r="D694" s="44" t="s">
        <v>84</v>
      </c>
      <c r="E694" s="44" t="s">
        <v>3024</v>
      </c>
      <c r="F694" s="45">
        <v>6</v>
      </c>
      <c r="G694" s="75" t="s">
        <v>3084</v>
      </c>
      <c r="H694" s="44" t="s">
        <v>233</v>
      </c>
      <c r="I694" s="44" t="s">
        <v>3085</v>
      </c>
      <c r="J694" s="44" t="s">
        <v>3086</v>
      </c>
      <c r="K694" s="44"/>
      <c r="L694" s="47"/>
      <c r="M694" s="47"/>
      <c r="N694" s="47"/>
      <c r="O694" s="68"/>
      <c r="P694" s="68"/>
      <c r="Q694" s="47"/>
      <c r="R694" s="47"/>
      <c r="S694" s="47"/>
      <c r="T694" s="68"/>
      <c r="U694" s="68"/>
      <c r="V694" s="44" t="s">
        <v>568</v>
      </c>
      <c r="W694" s="74">
        <v>1</v>
      </c>
      <c r="X694" s="39">
        <f>MAX(0,$AK694-$W694-$Z694)</f>
        <v>0</v>
      </c>
      <c r="Y694" s="44"/>
      <c r="Z694" s="44"/>
      <c r="AA694" s="44">
        <v>0.11</v>
      </c>
      <c r="AB694" s="44">
        <f>IF(AND($X694&gt;0,ISNUMBER($AA694)),$X694*$AA694,0)</f>
        <v>0</v>
      </c>
      <c r="AK694" s="39">
        <f>SUM(AL694:AR694)</f>
        <v>0</v>
      </c>
      <c r="AL694" s="90"/>
      <c r="AM694" s="38"/>
      <c r="AN694" s="38"/>
      <c r="AO694" s="38"/>
      <c r="AP694" s="38"/>
      <c r="AQ694" s="38"/>
      <c r="AR694" s="91"/>
      <c r="AS694" s="42">
        <f>SUM(AT694:AZ694)</f>
        <v>0</v>
      </c>
      <c r="AT694" s="48"/>
      <c r="AU694" s="48"/>
      <c r="AV694" s="48"/>
      <c r="AW694" s="48"/>
      <c r="AX694" s="48"/>
      <c r="AY694" s="48"/>
      <c r="AZ694" s="48"/>
      <c r="BA694" s="43">
        <f>IF((W694-SUM(AT694:AZ694))&lt;0,0,W694-SUM(AT694:AZ694))</f>
        <v>1</v>
      </c>
      <c r="BB694" s="44"/>
      <c r="BC694" s="47"/>
      <c r="BD694" s="47"/>
    </row>
    <row r="695" spans="1:56" ht="15" customHeight="1">
      <c r="A695" s="49" t="s">
        <v>3095</v>
      </c>
      <c r="B695" s="39" t="s">
        <v>3002</v>
      </c>
      <c r="C695" s="46" t="s">
        <v>65</v>
      </c>
      <c r="D695" s="49" t="s">
        <v>178</v>
      </c>
      <c r="E695" s="49" t="s">
        <v>1522</v>
      </c>
      <c r="F695" s="39">
        <v>1</v>
      </c>
      <c r="G695" s="75" t="s">
        <v>3096</v>
      </c>
      <c r="H695" s="50" t="s">
        <v>108</v>
      </c>
      <c r="I695" s="50" t="s">
        <v>3097</v>
      </c>
      <c r="J695" s="50" t="s">
        <v>3098</v>
      </c>
      <c r="K695" s="50"/>
      <c r="L695" s="46"/>
      <c r="M695" s="46"/>
      <c r="N695" s="46"/>
      <c r="O695" s="68"/>
      <c r="P695" s="68"/>
      <c r="Q695" s="46"/>
      <c r="R695" s="46"/>
      <c r="S695" s="46"/>
      <c r="T695" s="68"/>
      <c r="U695" s="68"/>
      <c r="V695" s="50" t="s">
        <v>568</v>
      </c>
      <c r="W695" s="74">
        <v>1</v>
      </c>
      <c r="X695" s="39">
        <f>MAX(0,$AK695-$W695-$Z695)</f>
        <v>0</v>
      </c>
      <c r="Y695" s="39"/>
      <c r="Z695" s="39"/>
      <c r="AA695" s="41">
        <v>0.3</v>
      </c>
      <c r="AB695" s="41">
        <f>IF(AND($X695&gt;0,ISNUMBER($AA695)),$X695*$AA695,0)</f>
        <v>0</v>
      </c>
      <c r="AK695" s="39">
        <f>SUM(AL695:AR695)</f>
        <v>0</v>
      </c>
      <c r="AL695" s="90"/>
      <c r="AM695" s="38"/>
      <c r="AN695" s="38"/>
      <c r="AO695" s="38"/>
      <c r="AP695" s="38"/>
      <c r="AQ695" s="38"/>
      <c r="AR695" s="91"/>
      <c r="AS695" s="42">
        <f>SUM(AT695:AZ695)</f>
        <v>0</v>
      </c>
      <c r="AT695" s="48"/>
      <c r="AU695" s="48"/>
      <c r="AV695" s="48"/>
      <c r="AW695" s="48"/>
      <c r="AX695" s="48"/>
      <c r="AY695" s="48"/>
      <c r="AZ695" s="48"/>
      <c r="BA695" s="43">
        <f>IF((W695-SUM(AT695:AZ695))&lt;0,0,W695-SUM(AT695:AZ695))</f>
        <v>1</v>
      </c>
      <c r="BB695" s="49"/>
      <c r="BC695" s="47"/>
      <c r="BD695" s="47"/>
    </row>
    <row r="696" spans="1:56" ht="15" customHeight="1">
      <c r="A696" s="125" t="s">
        <v>3099</v>
      </c>
      <c r="B696" s="127" t="s">
        <v>3002</v>
      </c>
      <c r="C696" s="46" t="s">
        <v>83</v>
      </c>
      <c r="D696" s="125" t="s">
        <v>105</v>
      </c>
      <c r="E696" s="125"/>
      <c r="F696" s="127">
        <v>3</v>
      </c>
      <c r="G696" s="75" t="s">
        <v>3100</v>
      </c>
      <c r="H696" s="131" t="s">
        <v>87</v>
      </c>
      <c r="I696" s="131" t="s">
        <v>3101</v>
      </c>
      <c r="J696" s="131"/>
      <c r="K696" s="131"/>
      <c r="L696" s="47"/>
      <c r="M696" s="47"/>
      <c r="N696" s="47"/>
      <c r="O696" s="47"/>
      <c r="P696" s="47"/>
      <c r="Q696" s="47"/>
      <c r="R696" s="47"/>
      <c r="S696" s="47"/>
      <c r="T696" s="47"/>
      <c r="U696" s="47"/>
      <c r="V696" s="131" t="s">
        <v>471</v>
      </c>
      <c r="W696" s="74">
        <v>1</v>
      </c>
      <c r="X696" s="127">
        <f>MAX(0,$AK696-$W696-$Z696)</f>
        <v>0</v>
      </c>
      <c r="Y696" s="127"/>
      <c r="Z696" s="127"/>
      <c r="AA696" s="132">
        <v>4.8</v>
      </c>
      <c r="AB696" s="132">
        <f>IF(AND($X696&gt;0,ISNUMBER($AA696)),$X696*$AA696,0)</f>
        <v>0</v>
      </c>
      <c r="AK696" s="39">
        <f>SUM(AL696:AR696)</f>
        <v>1</v>
      </c>
      <c r="AL696" s="90"/>
      <c r="AM696" s="38"/>
      <c r="AN696" s="97">
        <v>1</v>
      </c>
      <c r="AO696" s="38"/>
      <c r="AP696" s="38"/>
      <c r="AQ696" s="38"/>
      <c r="AR696" s="91"/>
      <c r="AS696" s="42">
        <f>SUM(AT696:AZ696)</f>
        <v>1</v>
      </c>
      <c r="AT696" s="48"/>
      <c r="AU696" s="48"/>
      <c r="AV696" s="48">
        <v>1</v>
      </c>
      <c r="AW696" s="48"/>
      <c r="AX696" s="48"/>
      <c r="AY696" s="48"/>
      <c r="AZ696" s="48"/>
      <c r="BA696" s="43">
        <f>IF((W696-SUM(AT696:AZ696))&lt;0,0,W696-SUM(AT696:AZ696))</f>
        <v>0</v>
      </c>
      <c r="BB696" s="125"/>
      <c r="BC696" s="47"/>
      <c r="BD696" s="47"/>
    </row>
    <row r="697" spans="1:56" ht="15" customHeight="1">
      <c r="A697" s="125" t="s">
        <v>3102</v>
      </c>
      <c r="B697" s="127" t="s">
        <v>3002</v>
      </c>
      <c r="C697" s="46" t="s">
        <v>65</v>
      </c>
      <c r="D697" s="125" t="s">
        <v>256</v>
      </c>
      <c r="E697" s="125"/>
      <c r="F697" s="127">
        <v>5</v>
      </c>
      <c r="G697" s="75" t="s">
        <v>3103</v>
      </c>
      <c r="H697" s="131" t="s">
        <v>845</v>
      </c>
      <c r="I697" s="131" t="s">
        <v>3104</v>
      </c>
      <c r="J697" s="131"/>
      <c r="K697" s="131"/>
      <c r="L697" s="47"/>
      <c r="M697" s="47"/>
      <c r="N697" s="47"/>
      <c r="O697" s="47"/>
      <c r="P697" s="47"/>
      <c r="Q697" s="47"/>
      <c r="R697" s="47"/>
      <c r="S697" s="47"/>
      <c r="T697" s="47"/>
      <c r="U697" s="47"/>
      <c r="V697" s="131" t="s">
        <v>331</v>
      </c>
      <c r="W697" s="74">
        <v>1</v>
      </c>
      <c r="X697" s="127">
        <f>MAX(0,$AK697-$W697-$Z697)</f>
        <v>0</v>
      </c>
      <c r="Y697" s="127"/>
      <c r="Z697" s="127"/>
      <c r="AA697" s="132">
        <v>3.66</v>
      </c>
      <c r="AB697" s="132">
        <f>IF(AND($X697&gt;0,ISNUMBER($AA697)),$X697*$AA697,0)</f>
        <v>0</v>
      </c>
      <c r="AK697" s="39">
        <f>SUM(AL697:AR697)</f>
        <v>1</v>
      </c>
      <c r="AL697" s="90"/>
      <c r="AM697" s="38"/>
      <c r="AN697" s="97">
        <v>1</v>
      </c>
      <c r="AO697" s="38"/>
      <c r="AP697" s="38"/>
      <c r="AQ697" s="38"/>
      <c r="AR697" s="91"/>
      <c r="AS697" s="42">
        <f>SUM(AT697:AZ697)</f>
        <v>1</v>
      </c>
      <c r="AT697" s="48"/>
      <c r="AU697" s="48"/>
      <c r="AV697" s="48">
        <v>1</v>
      </c>
      <c r="AW697" s="48"/>
      <c r="AX697" s="48"/>
      <c r="AY697" s="48"/>
      <c r="AZ697" s="48"/>
      <c r="BA697" s="43">
        <f>IF((W697-SUM(AT697:AZ697))&lt;0,0,W697-SUM(AT697:AZ697))</f>
        <v>0</v>
      </c>
      <c r="BB697" s="125"/>
      <c r="BC697" s="47"/>
      <c r="BD697" s="47"/>
    </row>
    <row r="698" spans="1:56" ht="15" customHeight="1">
      <c r="A698" s="125" t="s">
        <v>3105</v>
      </c>
      <c r="B698" s="127" t="s">
        <v>3002</v>
      </c>
      <c r="C698" s="46" t="s">
        <v>65</v>
      </c>
      <c r="D698" s="125" t="s">
        <v>256</v>
      </c>
      <c r="E698" s="125"/>
      <c r="F698" s="127">
        <v>3</v>
      </c>
      <c r="G698" s="75" t="s">
        <v>3106</v>
      </c>
      <c r="H698" s="131" t="s">
        <v>100</v>
      </c>
      <c r="I698" s="131" t="s">
        <v>3107</v>
      </c>
      <c r="J698" s="131" t="s">
        <v>3108</v>
      </c>
      <c r="K698" s="131"/>
      <c r="L698" s="47"/>
      <c r="M698" s="47"/>
      <c r="N698" s="47"/>
      <c r="O698" s="47"/>
      <c r="P698" s="47"/>
      <c r="Q698" s="47"/>
      <c r="R698" s="47"/>
      <c r="S698" s="47"/>
      <c r="T698" s="47"/>
      <c r="U698" s="47"/>
      <c r="V698" s="131" t="s">
        <v>1468</v>
      </c>
      <c r="W698" s="74">
        <v>1</v>
      </c>
      <c r="X698" s="127">
        <f>MAX(0,$AK698-$W698-$Z698)</f>
        <v>0</v>
      </c>
      <c r="Y698" s="127"/>
      <c r="Z698" s="127"/>
      <c r="AA698" s="132">
        <v>3.68</v>
      </c>
      <c r="AB698" s="132">
        <f>IF(AND($X698&gt;0,ISNUMBER($AA698)),$X698*$AA698,0)</f>
        <v>0</v>
      </c>
      <c r="AK698" s="39">
        <f>SUM(AL698:AR698)</f>
        <v>0</v>
      </c>
      <c r="AL698" s="90"/>
      <c r="AM698" s="38"/>
      <c r="AN698" s="38"/>
      <c r="AO698" s="38"/>
      <c r="AP698" s="38"/>
      <c r="AQ698" s="38"/>
      <c r="AR698" s="91"/>
      <c r="AS698" s="42">
        <f>SUM(AT698:AZ698)</f>
        <v>0</v>
      </c>
      <c r="AT698" s="48"/>
      <c r="AU698" s="48"/>
      <c r="AV698" s="48"/>
      <c r="AW698" s="48"/>
      <c r="AX698" s="48"/>
      <c r="AY698" s="48"/>
      <c r="AZ698" s="48"/>
      <c r="BA698" s="43">
        <f>IF((W698-SUM(AT698:AZ698))&lt;0,0,W698-SUM(AT698:AZ698))</f>
        <v>1</v>
      </c>
      <c r="BB698" s="125"/>
      <c r="BC698" s="47"/>
      <c r="BD698" s="47"/>
    </row>
    <row r="699" spans="1:56" ht="15" customHeight="1">
      <c r="A699" s="130" t="s">
        <v>3109</v>
      </c>
      <c r="B699" s="128" t="s">
        <v>3002</v>
      </c>
      <c r="C699" s="38" t="s">
        <v>65</v>
      </c>
      <c r="D699" s="130" t="s">
        <v>84</v>
      </c>
      <c r="E699" s="130" t="s">
        <v>2237</v>
      </c>
      <c r="F699" s="130">
        <v>6</v>
      </c>
      <c r="G699" s="75" t="s">
        <v>3110</v>
      </c>
      <c r="H699" s="130" t="s">
        <v>1182</v>
      </c>
      <c r="I699" s="130" t="s">
        <v>3111</v>
      </c>
      <c r="J699" s="130" t="s">
        <v>3112</v>
      </c>
      <c r="K699" s="130"/>
      <c r="L699" s="37"/>
      <c r="M699" s="37"/>
      <c r="N699" s="37"/>
      <c r="O699" s="68"/>
      <c r="P699" s="68"/>
      <c r="Q699" s="37"/>
      <c r="R699" s="37"/>
      <c r="S699" s="37"/>
      <c r="T699" s="68"/>
      <c r="U699" s="68"/>
      <c r="V699" s="130" t="s">
        <v>167</v>
      </c>
      <c r="W699" s="74">
        <v>1</v>
      </c>
      <c r="X699" s="127">
        <f>MAX(0,$AK699-$W699-$Z699)</f>
        <v>0</v>
      </c>
      <c r="Y699" s="130"/>
      <c r="Z699" s="130"/>
      <c r="AA699" s="130">
        <v>0.09</v>
      </c>
      <c r="AB699" s="132">
        <f>IF(AND($X699&gt;0,ISNUMBER($AA699)),$X699*$AA699,0)</f>
        <v>0</v>
      </c>
      <c r="AK699" s="39">
        <f>SUM(AL699:AR699)</f>
        <v>1</v>
      </c>
      <c r="AL699" s="90"/>
      <c r="AM699" s="98">
        <v>1</v>
      </c>
      <c r="AN699" s="38"/>
      <c r="AO699" s="38"/>
      <c r="AP699" s="38"/>
      <c r="AQ699" s="38"/>
      <c r="AR699" s="91"/>
      <c r="AS699" s="42">
        <f>SUM(AT699:AZ699)</f>
        <v>1</v>
      </c>
      <c r="AT699" s="48"/>
      <c r="AU699" s="48">
        <v>1</v>
      </c>
      <c r="AV699" s="48"/>
      <c r="AW699" s="48"/>
      <c r="AX699" s="48"/>
      <c r="AY699" s="48"/>
      <c r="AZ699" s="48"/>
      <c r="BA699" s="43">
        <f>IF((W699-SUM(AT699:AZ699))&lt;0,0,W699-SUM(AT699:AZ699))</f>
        <v>0</v>
      </c>
      <c r="BB699" s="130"/>
      <c r="BC699" s="37"/>
      <c r="BD699" s="37"/>
    </row>
    <row r="700" spans="1:56" ht="15" customHeight="1">
      <c r="A700" s="126" t="s">
        <v>3113</v>
      </c>
      <c r="B700" s="127" t="s">
        <v>3002</v>
      </c>
      <c r="C700" s="46" t="s">
        <v>65</v>
      </c>
      <c r="D700" s="125" t="s">
        <v>84</v>
      </c>
      <c r="E700" s="125" t="s">
        <v>160</v>
      </c>
      <c r="F700" s="127">
        <v>4</v>
      </c>
      <c r="G700" s="75" t="s">
        <v>3114</v>
      </c>
      <c r="H700" s="126" t="s">
        <v>153</v>
      </c>
      <c r="I700" s="126" t="s">
        <v>3115</v>
      </c>
      <c r="J700" s="126" t="s">
        <v>3116</v>
      </c>
      <c r="K700" s="126"/>
      <c r="L700" s="47"/>
      <c r="M700" s="47"/>
      <c r="N700" s="47"/>
      <c r="O700" s="68"/>
      <c r="P700" s="68"/>
      <c r="Q700" s="47"/>
      <c r="R700" s="47"/>
      <c r="S700" s="47"/>
      <c r="T700" s="68"/>
      <c r="U700" s="68"/>
      <c r="V700" s="131" t="s">
        <v>167</v>
      </c>
      <c r="W700" s="74">
        <v>3</v>
      </c>
      <c r="X700" s="127">
        <f>MAX(0,$AK700-$W700-$Z700)</f>
        <v>0</v>
      </c>
      <c r="Y700" s="127"/>
      <c r="Z700" s="127"/>
      <c r="AA700" s="132"/>
      <c r="AB700" s="132">
        <f>IF(AND($X700&gt;0,ISNUMBER($AA700)),$X700*$AA700,0)</f>
        <v>0</v>
      </c>
      <c r="AK700" s="39">
        <f>SUM(AL700:AR700)</f>
        <v>1</v>
      </c>
      <c r="AL700" s="90"/>
      <c r="AM700" s="98">
        <v>1</v>
      </c>
      <c r="AN700" s="38"/>
      <c r="AO700" s="38"/>
      <c r="AP700" s="38"/>
      <c r="AQ700" s="38"/>
      <c r="AR700" s="91"/>
      <c r="AS700" s="42">
        <f>SUM(AT700:AZ700)</f>
        <v>1</v>
      </c>
      <c r="AT700" s="48"/>
      <c r="AU700" s="48">
        <v>1</v>
      </c>
      <c r="AV700" s="48"/>
      <c r="AW700" s="48"/>
      <c r="AX700" s="48"/>
      <c r="AY700" s="48"/>
      <c r="AZ700" s="48"/>
      <c r="BA700" s="43">
        <f>IF((W700-SUM(AT700:AZ700))&lt;0,0,W700-SUM(AT700:AZ700))</f>
        <v>2</v>
      </c>
      <c r="BB700" s="126"/>
      <c r="BC700" s="47"/>
      <c r="BD700" s="47"/>
    </row>
    <row r="701" spans="1:56" ht="15" customHeight="1">
      <c r="A701" s="125" t="s">
        <v>3117</v>
      </c>
      <c r="B701" s="127" t="s">
        <v>3002</v>
      </c>
      <c r="C701" s="46" t="s">
        <v>65</v>
      </c>
      <c r="D701" s="125" t="s">
        <v>84</v>
      </c>
      <c r="E701" s="125" t="s">
        <v>2805</v>
      </c>
      <c r="F701" s="127">
        <v>3</v>
      </c>
      <c r="G701" s="75" t="s">
        <v>3118</v>
      </c>
      <c r="H701" s="131" t="s">
        <v>1089</v>
      </c>
      <c r="I701" s="131" t="s">
        <v>3119</v>
      </c>
      <c r="J701" s="131" t="s">
        <v>3120</v>
      </c>
      <c r="K701" s="131"/>
      <c r="L701" s="47"/>
      <c r="M701" s="47"/>
      <c r="N701" s="47"/>
      <c r="O701" s="68"/>
      <c r="P701" s="68"/>
      <c r="Q701" s="47"/>
      <c r="R701" s="47"/>
      <c r="S701" s="47"/>
      <c r="T701" s="68"/>
      <c r="U701" s="68"/>
      <c r="V701" s="131" t="s">
        <v>588</v>
      </c>
      <c r="W701" s="74">
        <v>1</v>
      </c>
      <c r="X701" s="127">
        <f>MAX(0,$AK701-$W701-$Z701)</f>
        <v>0</v>
      </c>
      <c r="Y701" s="127"/>
      <c r="Z701" s="127"/>
      <c r="AA701" s="132">
        <v>0.25</v>
      </c>
      <c r="AB701" s="132">
        <f>IF(AND($X701&gt;0,ISNUMBER($AA701)),$X701*$AA701,0)</f>
        <v>0</v>
      </c>
      <c r="AK701" s="39">
        <f>SUM(AL701:AR701)</f>
        <v>0</v>
      </c>
      <c r="AL701" s="90"/>
      <c r="AM701" s="38"/>
      <c r="AN701" s="38"/>
      <c r="AO701" s="38"/>
      <c r="AP701" s="38"/>
      <c r="AQ701" s="38"/>
      <c r="AR701" s="91"/>
      <c r="AS701" s="42">
        <f>SUM(AT701:AZ701)</f>
        <v>0</v>
      </c>
      <c r="AT701" s="48"/>
      <c r="AU701" s="48"/>
      <c r="AV701" s="48"/>
      <c r="AW701" s="48"/>
      <c r="AX701" s="48"/>
      <c r="AY701" s="48"/>
      <c r="AZ701" s="48"/>
      <c r="BA701" s="43">
        <f>IF((W701-SUM(AT701:AZ701))&lt;0,0,W701-SUM(AT701:AZ701))</f>
        <v>1</v>
      </c>
      <c r="BB701" s="125"/>
      <c r="BC701" s="47"/>
      <c r="BD701" s="47"/>
    </row>
    <row r="702" spans="1:56" ht="15" customHeight="1">
      <c r="A702" s="125" t="s">
        <v>3121</v>
      </c>
      <c r="B702" s="127" t="s">
        <v>3002</v>
      </c>
      <c r="C702" s="46" t="s">
        <v>65</v>
      </c>
      <c r="D702" s="125" t="s">
        <v>84</v>
      </c>
      <c r="E702" s="125" t="s">
        <v>3122</v>
      </c>
      <c r="F702" s="127">
        <v>3</v>
      </c>
      <c r="G702" s="75" t="s">
        <v>3123</v>
      </c>
      <c r="H702" s="131" t="s">
        <v>78</v>
      </c>
      <c r="I702" s="131" t="s">
        <v>3124</v>
      </c>
      <c r="J702" s="131"/>
      <c r="K702" s="131"/>
      <c r="L702" s="46"/>
      <c r="M702" s="46"/>
      <c r="N702" s="46"/>
      <c r="O702" s="46"/>
      <c r="P702" s="46"/>
      <c r="Q702" s="46"/>
      <c r="R702" s="46"/>
      <c r="S702" s="46"/>
      <c r="T702" s="46"/>
      <c r="U702" s="46"/>
      <c r="V702" s="131" t="s">
        <v>2717</v>
      </c>
      <c r="W702" s="74">
        <v>1</v>
      </c>
      <c r="X702" s="127">
        <f>MAX(0,$AK702-$W702-$Z702)</f>
        <v>0</v>
      </c>
      <c r="Y702" s="127"/>
      <c r="Z702" s="127"/>
      <c r="AA702" s="132">
        <v>0.08</v>
      </c>
      <c r="AB702" s="132">
        <f>IF(AND($X702&gt;0,ISNUMBER($AA702)),$X702*$AA702,0)</f>
        <v>0</v>
      </c>
      <c r="AK702" s="39">
        <f>SUM(AL702:AR702)</f>
        <v>1</v>
      </c>
      <c r="AL702" s="90"/>
      <c r="AM702" s="97">
        <v>1</v>
      </c>
      <c r="AN702" s="38"/>
      <c r="AO702" s="38"/>
      <c r="AP702" s="38"/>
      <c r="AQ702" s="38"/>
      <c r="AR702" s="91"/>
      <c r="AS702" s="42">
        <f>SUM(AT702:AZ702)</f>
        <v>1</v>
      </c>
      <c r="AT702" s="48"/>
      <c r="AU702" s="48">
        <v>1</v>
      </c>
      <c r="AV702" s="48"/>
      <c r="AW702" s="48"/>
      <c r="AX702" s="48"/>
      <c r="AY702" s="48"/>
      <c r="AZ702" s="48"/>
      <c r="BA702" s="43">
        <f>IF((W702-SUM(AT702:AZ702))&lt;0,0,W702-SUM(AT702:AZ702))</f>
        <v>0</v>
      </c>
      <c r="BB702" s="125"/>
      <c r="BC702" s="47"/>
      <c r="BD702" s="47"/>
    </row>
    <row r="703" spans="1:56" ht="15" customHeight="1">
      <c r="A703" s="130" t="s">
        <v>3125</v>
      </c>
      <c r="B703" s="128" t="s">
        <v>3002</v>
      </c>
      <c r="C703" s="38" t="s">
        <v>65</v>
      </c>
      <c r="D703" s="130" t="s">
        <v>84</v>
      </c>
      <c r="E703" s="130" t="s">
        <v>394</v>
      </c>
      <c r="F703" s="128">
        <v>2</v>
      </c>
      <c r="G703" s="75" t="s">
        <v>3126</v>
      </c>
      <c r="H703" s="130" t="s">
        <v>238</v>
      </c>
      <c r="I703" s="130" t="s">
        <v>3127</v>
      </c>
      <c r="J703" s="130" t="s">
        <v>3128</v>
      </c>
      <c r="K703" s="130" t="s">
        <v>1658</v>
      </c>
      <c r="L703" s="37"/>
      <c r="M703" s="37"/>
      <c r="N703" s="37"/>
      <c r="O703" s="68"/>
      <c r="P703" s="68"/>
      <c r="Q703" s="37"/>
      <c r="R703" s="37"/>
      <c r="S703" s="37"/>
      <c r="T703" s="68"/>
      <c r="U703" s="68"/>
      <c r="V703" s="130" t="s">
        <v>167</v>
      </c>
      <c r="W703" s="74">
        <v>1</v>
      </c>
      <c r="X703" s="127">
        <f>MAX(0,$AK703-$W703-$Z703)</f>
        <v>0</v>
      </c>
      <c r="Y703" s="130"/>
      <c r="Z703" s="130"/>
      <c r="AA703" s="137">
        <v>0.16</v>
      </c>
      <c r="AB703" s="132">
        <f>IF(AND($X703&gt;0,ISNUMBER($AA703)),$X703*$AA703,0)</f>
        <v>0</v>
      </c>
      <c r="AK703" s="39">
        <f>SUM(AL703:AR703)</f>
        <v>0</v>
      </c>
      <c r="AL703" s="90"/>
      <c r="AM703" s="38"/>
      <c r="AN703" s="38"/>
      <c r="AO703" s="38"/>
      <c r="AP703" s="38"/>
      <c r="AQ703" s="38"/>
      <c r="AR703" s="91"/>
      <c r="AS703" s="42">
        <f>SUM(AT703:AZ703)</f>
        <v>0</v>
      </c>
      <c r="AT703" s="48"/>
      <c r="AU703" s="48"/>
      <c r="AV703" s="48"/>
      <c r="AW703" s="48"/>
      <c r="AX703" s="48"/>
      <c r="AY703" s="48"/>
      <c r="AZ703" s="48"/>
      <c r="BA703" s="43">
        <f>IF((W703-SUM(AT703:AZ703))&lt;0,0,W703-SUM(AT703:AZ703))</f>
        <v>1</v>
      </c>
      <c r="BB703" s="130"/>
      <c r="BC703" s="37"/>
      <c r="BD703" s="37"/>
    </row>
    <row r="704" spans="1:56" ht="15" customHeight="1">
      <c r="A704" s="125" t="s">
        <v>3129</v>
      </c>
      <c r="B704" s="127" t="s">
        <v>3002</v>
      </c>
      <c r="C704" s="46" t="s">
        <v>65</v>
      </c>
      <c r="D704" s="125" t="s">
        <v>76</v>
      </c>
      <c r="E704" s="125"/>
      <c r="F704" s="43">
        <v>6</v>
      </c>
      <c r="G704" s="75" t="s">
        <v>3130</v>
      </c>
      <c r="H704" s="58" t="s">
        <v>2773</v>
      </c>
      <c r="I704" s="58" t="s">
        <v>3131</v>
      </c>
      <c r="J704" s="58"/>
      <c r="K704" s="58"/>
      <c r="L704" s="47"/>
      <c r="M704" s="47"/>
      <c r="N704" s="47"/>
      <c r="O704" s="68"/>
      <c r="P704" s="68"/>
      <c r="Q704" s="47"/>
      <c r="R704" s="47"/>
      <c r="S704" s="47"/>
      <c r="T704" s="68"/>
      <c r="U704" s="68"/>
      <c r="V704" s="58" t="s">
        <v>119</v>
      </c>
      <c r="W704" s="74">
        <v>1</v>
      </c>
      <c r="X704" s="127">
        <f>MAX(0,$AK704-$W704-$Z704)</f>
        <v>0</v>
      </c>
      <c r="Y704" s="43"/>
      <c r="Z704" s="43"/>
      <c r="AA704" s="59">
        <v>1.75</v>
      </c>
      <c r="AB704" s="132">
        <f>IF(AND($X704&gt;0,ISNUMBER($AA704)),$X704*$AA704,0)</f>
        <v>0</v>
      </c>
      <c r="AK704" s="39">
        <f>SUM(AL704:AR704)</f>
        <v>0</v>
      </c>
      <c r="AL704" s="90"/>
      <c r="AM704" s="128"/>
      <c r="AN704" s="128"/>
      <c r="AO704" s="128"/>
      <c r="AP704" s="128"/>
      <c r="AQ704" s="128"/>
      <c r="AR704" s="91"/>
      <c r="AS704" s="42">
        <f>SUM(AT704:AZ704)</f>
        <v>0</v>
      </c>
      <c r="AT704" s="48"/>
      <c r="AU704" s="48"/>
      <c r="AV704" s="48"/>
      <c r="AW704" s="48"/>
      <c r="AX704" s="48"/>
      <c r="AY704" s="48"/>
      <c r="AZ704" s="48"/>
      <c r="BA704" s="43">
        <f>IF((W704-SUM(AT704:AZ704))&lt;0,0,W704-SUM(AT704:AZ704))</f>
        <v>1</v>
      </c>
      <c r="BB704" s="52"/>
      <c r="BC704" s="47"/>
      <c r="BD704" s="47"/>
    </row>
    <row r="705" spans="1:56" ht="15" customHeight="1">
      <c r="A705" s="125" t="s">
        <v>3132</v>
      </c>
      <c r="B705" s="127" t="s">
        <v>3002</v>
      </c>
      <c r="C705" s="46" t="s">
        <v>65</v>
      </c>
      <c r="D705" s="125" t="s">
        <v>84</v>
      </c>
      <c r="E705" s="125" t="s">
        <v>450</v>
      </c>
      <c r="F705" s="127">
        <v>5</v>
      </c>
      <c r="G705" s="75" t="s">
        <v>3133</v>
      </c>
      <c r="H705" s="131" t="s">
        <v>293</v>
      </c>
      <c r="I705" s="131" t="s">
        <v>3134</v>
      </c>
      <c r="J705" s="131" t="s">
        <v>3135</v>
      </c>
      <c r="K705" s="131" t="s">
        <v>181</v>
      </c>
      <c r="L705" s="47"/>
      <c r="M705" s="47"/>
      <c r="N705" s="47"/>
      <c r="O705" s="47"/>
      <c r="P705" s="47"/>
      <c r="Q705" s="47"/>
      <c r="R705" s="47"/>
      <c r="S705" s="47"/>
      <c r="T705" s="47"/>
      <c r="U705" s="47"/>
      <c r="V705" s="131" t="s">
        <v>1150</v>
      </c>
      <c r="W705" s="74">
        <v>1</v>
      </c>
      <c r="X705" s="127">
        <f>MAX(0,$AK705-$W705-$Z705)</f>
        <v>0</v>
      </c>
      <c r="Y705" s="127"/>
      <c r="Z705" s="127"/>
      <c r="AA705" s="132">
        <v>0.32</v>
      </c>
      <c r="AB705" s="132">
        <f>IF(AND($X705&gt;0,ISNUMBER($AA705)),$X705*$AA705,0)</f>
        <v>0</v>
      </c>
      <c r="AD705" s="63"/>
      <c r="AE705" t="s">
        <v>3136</v>
      </c>
      <c r="AK705" s="39">
        <f>SUM(AL705:AR705)</f>
        <v>1</v>
      </c>
      <c r="AL705" s="90"/>
      <c r="AM705" s="38"/>
      <c r="AN705" s="99">
        <v>1</v>
      </c>
      <c r="AO705" s="38"/>
      <c r="AP705" s="38"/>
      <c r="AQ705" s="38"/>
      <c r="AR705" s="91"/>
      <c r="AS705" s="42">
        <f>SUM(AT705:AZ705)</f>
        <v>1</v>
      </c>
      <c r="AT705" s="48"/>
      <c r="AU705" s="48"/>
      <c r="AV705" s="48">
        <v>1</v>
      </c>
      <c r="AW705" s="48"/>
      <c r="AX705" s="48"/>
      <c r="AY705" s="48"/>
      <c r="AZ705" s="48"/>
      <c r="BA705" s="43">
        <f>IF((W705-SUM(AT705:AZ705))&lt;0,0,W705-SUM(AT705:AZ705))</f>
        <v>0</v>
      </c>
      <c r="BB705" s="125"/>
      <c r="BC705" s="47"/>
      <c r="BD705" s="47"/>
    </row>
    <row r="706" spans="1:56" ht="15" customHeight="1">
      <c r="A706" s="130" t="s">
        <v>3137</v>
      </c>
      <c r="B706" s="128" t="s">
        <v>3002</v>
      </c>
      <c r="C706" s="38" t="s">
        <v>65</v>
      </c>
      <c r="D706" s="130" t="s">
        <v>76</v>
      </c>
      <c r="E706" s="130"/>
      <c r="F706" s="38">
        <v>5</v>
      </c>
      <c r="G706" s="75" t="s">
        <v>3138</v>
      </c>
      <c r="H706" s="37" t="s">
        <v>153</v>
      </c>
      <c r="I706" s="37" t="s">
        <v>3139</v>
      </c>
      <c r="J706" s="37" t="s">
        <v>3140</v>
      </c>
      <c r="K706" s="37"/>
      <c r="L706" s="37"/>
      <c r="M706" s="37"/>
      <c r="N706" s="37"/>
      <c r="O706" s="68"/>
      <c r="P706" s="68"/>
      <c r="Q706" s="37"/>
      <c r="R706" s="37"/>
      <c r="S706" s="37"/>
      <c r="T706" s="68"/>
      <c r="U706" s="68"/>
      <c r="V706" s="37" t="s">
        <v>223</v>
      </c>
      <c r="W706" s="74">
        <v>1</v>
      </c>
      <c r="X706" s="127">
        <f>MAX(0,$AK706-$W706-$Z706)</f>
        <v>0</v>
      </c>
      <c r="Y706" s="37"/>
      <c r="Z706" s="37"/>
      <c r="AA706" s="66">
        <v>7.0000000000000007E-2</v>
      </c>
      <c r="AB706" s="132">
        <f>IF(AND($X706&gt;0,ISNUMBER($AA706)),$X706*$AA706,0)</f>
        <v>0</v>
      </c>
      <c r="AK706" s="39">
        <f>SUM(AL706:AR706)</f>
        <v>0</v>
      </c>
      <c r="AL706" s="90"/>
      <c r="AM706" s="128"/>
      <c r="AN706" s="128"/>
      <c r="AO706" s="128"/>
      <c r="AP706" s="128"/>
      <c r="AQ706" s="128"/>
      <c r="AR706" s="91"/>
      <c r="AS706" s="42">
        <f>SUM(AT706:AZ706)</f>
        <v>0</v>
      </c>
      <c r="AT706" s="48"/>
      <c r="AU706" s="48"/>
      <c r="AV706" s="48"/>
      <c r="AW706" s="48"/>
      <c r="AX706" s="48"/>
      <c r="AY706" s="48"/>
      <c r="AZ706" s="48"/>
      <c r="BA706" s="43">
        <f>IF((W706-SUM(AT706:AZ706))&lt;0,0,W706-SUM(AT706:AZ706))</f>
        <v>1</v>
      </c>
      <c r="BB706" s="37"/>
      <c r="BC706" s="37"/>
      <c r="BD706" s="37"/>
    </row>
    <row r="707" spans="1:56" ht="15" customHeight="1">
      <c r="A707" s="126" t="s">
        <v>3141</v>
      </c>
      <c r="B707" s="129" t="s">
        <v>3002</v>
      </c>
      <c r="C707" s="46" t="s">
        <v>65</v>
      </c>
      <c r="D707" s="126" t="s">
        <v>256</v>
      </c>
      <c r="E707" s="126"/>
      <c r="F707" s="46">
        <v>1</v>
      </c>
      <c r="G707" s="75" t="s">
        <v>3142</v>
      </c>
      <c r="H707" s="47" t="s">
        <v>293</v>
      </c>
      <c r="I707" s="47" t="s">
        <v>3143</v>
      </c>
      <c r="J707" s="47" t="s">
        <v>3144</v>
      </c>
      <c r="K707" s="47"/>
      <c r="L707" s="108"/>
      <c r="M707" s="46"/>
      <c r="N707" s="46"/>
      <c r="O707" s="68"/>
      <c r="P707" s="110"/>
      <c r="Q707" s="108"/>
      <c r="R707" s="46"/>
      <c r="S707" s="46"/>
      <c r="T707" s="68"/>
      <c r="U707" s="111"/>
      <c r="V707" s="47" t="s">
        <v>1471</v>
      </c>
      <c r="W707" s="74">
        <v>0</v>
      </c>
      <c r="X707" s="127">
        <f>MAX(0,$AK707-$W707-$Z707)</f>
        <v>0</v>
      </c>
      <c r="Y707" s="47"/>
      <c r="Z707" s="47"/>
      <c r="AA707" s="47">
        <v>12.86</v>
      </c>
      <c r="AB707" s="126">
        <f>IF(AND($X707&gt;0,ISNUMBER($AA707)),$X707*$AA707,0)</f>
        <v>0</v>
      </c>
      <c r="AK707" s="39">
        <f>SUM(AL707:AR707)</f>
        <v>0</v>
      </c>
      <c r="AL707" s="90"/>
      <c r="AM707" s="128"/>
      <c r="AN707" s="128"/>
      <c r="AO707" s="128"/>
      <c r="AP707" s="128"/>
      <c r="AQ707" s="128"/>
      <c r="AR707" s="91"/>
      <c r="AS707" s="42">
        <f>SUM(AT707:AZ707)</f>
        <v>0</v>
      </c>
      <c r="AT707" s="48"/>
      <c r="AU707" s="48"/>
      <c r="AV707" s="48"/>
      <c r="AW707" s="48"/>
      <c r="AX707" s="48"/>
      <c r="AY707" s="48"/>
      <c r="AZ707" s="48"/>
      <c r="BA707" s="43">
        <f>IF((W707-SUM(AT707:AZ707))&lt;0,0,W707-SUM(AT707:AZ707))</f>
        <v>0</v>
      </c>
      <c r="BB707" s="47"/>
      <c r="BC707" s="47"/>
      <c r="BD707" s="47"/>
    </row>
    <row r="708" spans="1:56" ht="15" customHeight="1">
      <c r="A708" s="125" t="s">
        <v>3145</v>
      </c>
      <c r="B708" s="127" t="s">
        <v>3002</v>
      </c>
      <c r="C708" s="46" t="s">
        <v>65</v>
      </c>
      <c r="D708" s="125" t="s">
        <v>76</v>
      </c>
      <c r="E708" s="125"/>
      <c r="F708" s="127">
        <v>2</v>
      </c>
      <c r="G708" s="75" t="s">
        <v>3146</v>
      </c>
      <c r="H708" s="131" t="s">
        <v>2190</v>
      </c>
      <c r="I708" s="131" t="s">
        <v>3147</v>
      </c>
      <c r="J708" s="131"/>
      <c r="K708" s="131"/>
      <c r="L708" s="46"/>
      <c r="M708" s="46"/>
      <c r="N708" s="46"/>
      <c r="O708" s="46"/>
      <c r="P708" s="46"/>
      <c r="Q708" s="46"/>
      <c r="R708" s="46"/>
      <c r="S708" s="46"/>
      <c r="T708" s="46"/>
      <c r="U708" s="46"/>
      <c r="V708" s="131" t="s">
        <v>1140</v>
      </c>
      <c r="W708" s="74">
        <v>1</v>
      </c>
      <c r="X708" s="127">
        <f>MAX(0,$AK708-$W708-$Z708)</f>
        <v>0</v>
      </c>
      <c r="Y708" s="127"/>
      <c r="Z708" s="127"/>
      <c r="AA708" s="132">
        <v>0.23</v>
      </c>
      <c r="AB708" s="132">
        <f>IF(AND($X708&gt;0,ISNUMBER($AA708)),$X708*$AA708,0)</f>
        <v>0</v>
      </c>
      <c r="AD708" t="s">
        <v>3148</v>
      </c>
      <c r="AI708" s="63"/>
      <c r="AK708" s="39">
        <f>SUM(AL708:AR708)</f>
        <v>1</v>
      </c>
      <c r="AL708" s="90"/>
      <c r="AM708" s="133">
        <v>1</v>
      </c>
      <c r="AN708" s="128"/>
      <c r="AO708" s="128"/>
      <c r="AP708" s="128"/>
      <c r="AQ708" s="128"/>
      <c r="AR708" s="91"/>
      <c r="AS708" s="42">
        <f>SUM(AT708:AZ708)</f>
        <v>1</v>
      </c>
      <c r="AT708" s="48"/>
      <c r="AU708" s="48">
        <v>1</v>
      </c>
      <c r="AV708" s="48"/>
      <c r="AW708" s="48"/>
      <c r="AX708" s="48"/>
      <c r="AY708" s="48"/>
      <c r="AZ708" s="48"/>
      <c r="BA708" s="43">
        <f>IF((W708-SUM(AT708:AZ708))&lt;0,0,W708-SUM(AT708:AZ708))</f>
        <v>0</v>
      </c>
      <c r="BB708" s="125"/>
      <c r="BC708" s="47"/>
      <c r="BD708" s="47"/>
    </row>
    <row r="709" spans="1:56" ht="15" customHeight="1">
      <c r="A709" s="125" t="s">
        <v>3149</v>
      </c>
      <c r="B709" s="127" t="s">
        <v>3002</v>
      </c>
      <c r="C709" s="46" t="s">
        <v>65</v>
      </c>
      <c r="D709" s="125" t="s">
        <v>76</v>
      </c>
      <c r="E709" s="125" t="s">
        <v>600</v>
      </c>
      <c r="F709" s="43">
        <v>1</v>
      </c>
      <c r="G709" s="75" t="s">
        <v>3150</v>
      </c>
      <c r="H709" s="58" t="s">
        <v>227</v>
      </c>
      <c r="I709" s="58" t="s">
        <v>3151</v>
      </c>
      <c r="J709" s="58" t="s">
        <v>3152</v>
      </c>
      <c r="K709" s="58"/>
      <c r="L709" s="47"/>
      <c r="M709" s="47"/>
      <c r="N709" s="47"/>
      <c r="O709" s="47"/>
      <c r="P709" s="47"/>
      <c r="Q709" s="47"/>
      <c r="R709" s="47"/>
      <c r="S709" s="47"/>
      <c r="T709" s="47"/>
      <c r="U709" s="47"/>
      <c r="V709" s="58" t="s">
        <v>568</v>
      </c>
      <c r="W709" s="74">
        <v>1</v>
      </c>
      <c r="X709" s="127">
        <f>MAX(0,$AK709-$W709-$Z709)</f>
        <v>0</v>
      </c>
      <c r="Y709" s="43"/>
      <c r="Z709" s="43"/>
      <c r="AA709" s="59">
        <v>0.26</v>
      </c>
      <c r="AB709" s="132">
        <f>IF(AND($X709&gt;0,ISNUMBER($AA709)),$X709*$AA709,0)</f>
        <v>0</v>
      </c>
      <c r="AE709" s="63"/>
      <c r="AK709" s="39">
        <f>SUM(AL709:AR709)</f>
        <v>0</v>
      </c>
      <c r="AL709" s="90"/>
      <c r="AM709" s="38"/>
      <c r="AN709" s="38"/>
      <c r="AO709" s="38"/>
      <c r="AP709" s="38"/>
      <c r="AQ709" s="38"/>
      <c r="AR709" s="91"/>
      <c r="AS709" s="42">
        <f>SUM(AT709:AZ709)</f>
        <v>0</v>
      </c>
      <c r="AT709" s="48"/>
      <c r="AU709" s="48"/>
      <c r="AV709" s="48"/>
      <c r="AW709" s="48"/>
      <c r="AX709" s="48"/>
      <c r="AY709" s="48"/>
      <c r="AZ709" s="48"/>
      <c r="BA709" s="43">
        <f>IF((W709-SUM(AT709:AZ709))&lt;0,0,W709-SUM(AT709:AZ709))</f>
        <v>1</v>
      </c>
      <c r="BB709" s="52"/>
      <c r="BC709" s="47"/>
      <c r="BD709" s="47"/>
    </row>
    <row r="710" spans="1:56" ht="15" customHeight="1">
      <c r="A710" s="126" t="s">
        <v>3153</v>
      </c>
      <c r="B710" s="46" t="s">
        <v>3002</v>
      </c>
      <c r="C710" s="46" t="s">
        <v>65</v>
      </c>
      <c r="D710" s="47" t="s">
        <v>256</v>
      </c>
      <c r="E710" s="47" t="s">
        <v>2534</v>
      </c>
      <c r="F710" s="46">
        <v>3</v>
      </c>
      <c r="G710" s="75" t="s">
        <v>3154</v>
      </c>
      <c r="H710" s="47" t="s">
        <v>227</v>
      </c>
      <c r="I710" s="47" t="s">
        <v>3155</v>
      </c>
      <c r="J710" s="47" t="s">
        <v>3156</v>
      </c>
      <c r="K710" s="47" t="s">
        <v>3157</v>
      </c>
      <c r="L710" s="47"/>
      <c r="M710" s="47"/>
      <c r="N710" s="47"/>
      <c r="O710" s="68"/>
      <c r="P710" s="68"/>
      <c r="Q710" s="47"/>
      <c r="R710" s="47"/>
      <c r="S710" s="47"/>
      <c r="T710" s="68"/>
      <c r="U710" s="68"/>
      <c r="V710" s="47" t="s">
        <v>167</v>
      </c>
      <c r="W710" s="74">
        <v>1</v>
      </c>
      <c r="X710" s="43">
        <f>MAX(0,$AK710-$W710-$Z710)</f>
        <v>0</v>
      </c>
      <c r="Y710" s="47"/>
      <c r="Z710" s="47"/>
      <c r="AA710" s="47">
        <v>0.2</v>
      </c>
      <c r="AB710" s="47">
        <f>IF(AND($X710&gt;0,ISNUMBER($AA710)),$X710*$AA710,0)</f>
        <v>0</v>
      </c>
      <c r="AK710" s="39">
        <f>SUM(AL710:AR710)</f>
        <v>0</v>
      </c>
      <c r="AL710" s="90"/>
      <c r="AM710" s="128"/>
      <c r="AN710" s="128"/>
      <c r="AO710" s="128"/>
      <c r="AP710" s="128"/>
      <c r="AQ710" s="128"/>
      <c r="AR710" s="91"/>
      <c r="AS710" s="42">
        <f>SUM(AT710:AZ710)</f>
        <v>0</v>
      </c>
      <c r="AT710" s="48"/>
      <c r="AU710" s="48"/>
      <c r="AV710" s="48"/>
      <c r="AW710" s="48"/>
      <c r="AX710" s="48"/>
      <c r="AY710" s="48"/>
      <c r="AZ710" s="48"/>
      <c r="BA710" s="43">
        <f>IF((W710-SUM(AT710:AZ710))&lt;0,0,W710-SUM(AT710:AZ710))</f>
        <v>1</v>
      </c>
      <c r="BB710" s="47"/>
      <c r="BC710" s="47"/>
      <c r="BD710" s="47"/>
    </row>
    <row r="711" spans="1:56" ht="15" customHeight="1">
      <c r="A711" s="125" t="s">
        <v>3158</v>
      </c>
      <c r="B711" s="127" t="s">
        <v>3002</v>
      </c>
      <c r="C711" s="46" t="s">
        <v>65</v>
      </c>
      <c r="D711" s="125" t="s">
        <v>84</v>
      </c>
      <c r="E711" s="125" t="s">
        <v>3159</v>
      </c>
      <c r="F711" s="127">
        <v>5</v>
      </c>
      <c r="G711" s="75" t="s">
        <v>3160</v>
      </c>
      <c r="H711" s="131" t="s">
        <v>172</v>
      </c>
      <c r="I711" s="131" t="s">
        <v>3161</v>
      </c>
      <c r="J711" s="131" t="s">
        <v>181</v>
      </c>
      <c r="K711" s="131"/>
      <c r="L711" s="47"/>
      <c r="M711" s="47"/>
      <c r="N711" s="47"/>
      <c r="O711" s="47"/>
      <c r="P711" s="47"/>
      <c r="Q711" s="47"/>
      <c r="R711" s="47"/>
      <c r="S711" s="47"/>
      <c r="T711" s="47"/>
      <c r="U711" s="47"/>
      <c r="V711" s="131" t="s">
        <v>1191</v>
      </c>
      <c r="W711" s="74">
        <v>1</v>
      </c>
      <c r="X711" s="127">
        <f>MAX(0,$AK711-$W711-$Z711)</f>
        <v>0</v>
      </c>
      <c r="Y711" s="127"/>
      <c r="Z711" s="127"/>
      <c r="AA711" s="132">
        <v>0.27</v>
      </c>
      <c r="AB711" s="132">
        <f>IF(AND($X711&gt;0,ISNUMBER($AA711)),$X711*$AA711,0)</f>
        <v>0</v>
      </c>
      <c r="AD711" s="63"/>
      <c r="AK711" s="39">
        <f>SUM(AL711:AR711)</f>
        <v>1</v>
      </c>
      <c r="AL711" s="90"/>
      <c r="AM711" s="98">
        <v>1</v>
      </c>
      <c r="AN711" s="38"/>
      <c r="AO711" s="38"/>
      <c r="AP711" s="38"/>
      <c r="AQ711" s="38"/>
      <c r="AR711" s="91"/>
      <c r="AS711" s="42">
        <f>SUM(AT711:AZ711)</f>
        <v>1</v>
      </c>
      <c r="AT711" s="48"/>
      <c r="AU711" s="48">
        <v>1</v>
      </c>
      <c r="AV711" s="48"/>
      <c r="AW711" s="48"/>
      <c r="AX711" s="48"/>
      <c r="AY711" s="48"/>
      <c r="AZ711" s="48"/>
      <c r="BA711" s="43">
        <f>IF((W711-SUM(AT711:AZ711))&lt;0,0,W711-SUM(AT711:AZ711))</f>
        <v>0</v>
      </c>
      <c r="BB711" s="125"/>
      <c r="BC711" s="47"/>
      <c r="BD711" s="47"/>
    </row>
    <row r="712" spans="1:56" ht="15" customHeight="1">
      <c r="A712" s="125" t="s">
        <v>3166</v>
      </c>
      <c r="B712" s="127" t="s">
        <v>3002</v>
      </c>
      <c r="C712" s="46" t="s">
        <v>83</v>
      </c>
      <c r="D712" s="125" t="s">
        <v>76</v>
      </c>
      <c r="E712" s="125"/>
      <c r="F712" s="127">
        <v>2</v>
      </c>
      <c r="G712" s="75" t="s">
        <v>3167</v>
      </c>
      <c r="H712" s="131" t="s">
        <v>679</v>
      </c>
      <c r="I712" s="131" t="s">
        <v>3167</v>
      </c>
      <c r="J712" s="131"/>
      <c r="K712" s="131"/>
      <c r="L712" s="46"/>
      <c r="M712" s="46"/>
      <c r="N712" s="46"/>
      <c r="O712" s="46"/>
      <c r="P712" s="46"/>
      <c r="Q712" s="46"/>
      <c r="R712" s="46"/>
      <c r="S712" s="46"/>
      <c r="T712" s="46"/>
      <c r="U712" s="46"/>
      <c r="V712" s="131" t="s">
        <v>471</v>
      </c>
      <c r="W712" s="74">
        <v>0</v>
      </c>
      <c r="X712" s="127">
        <f>MAX(0,$AK712-$W712-$Z712)</f>
        <v>0</v>
      </c>
      <c r="Y712" s="127"/>
      <c r="Z712" s="127"/>
      <c r="AA712" s="132">
        <v>0.53</v>
      </c>
      <c r="AB712" s="132">
        <f>IF(AND($X712&gt;0,ISNUMBER($AA712)),$X712*$AA712,0)</f>
        <v>0</v>
      </c>
      <c r="AC712" s="59"/>
      <c r="AD712" s="59"/>
      <c r="AE712" s="59"/>
      <c r="AF712" s="59"/>
      <c r="AG712" s="59"/>
      <c r="AH712" s="59"/>
      <c r="AI712" s="59"/>
      <c r="AJ712" s="59"/>
      <c r="AK712" s="39">
        <f>SUM(AL712:AR712)</f>
        <v>0</v>
      </c>
      <c r="AL712" s="114"/>
      <c r="AM712" s="43"/>
      <c r="AN712" s="43"/>
      <c r="AO712" s="43"/>
      <c r="AP712" s="43"/>
      <c r="AQ712" s="43"/>
      <c r="AR712" s="116"/>
      <c r="AS712" s="42">
        <f>SUM(AT712:AZ712)</f>
        <v>0</v>
      </c>
      <c r="AT712" s="48"/>
      <c r="AU712" s="48"/>
      <c r="AV712" s="48"/>
      <c r="AW712" s="48"/>
      <c r="AX712" s="48"/>
      <c r="AY712" s="48"/>
      <c r="AZ712" s="48"/>
      <c r="BA712" s="43">
        <f>IF((W712-SUM(AT712:AZ712))&lt;0,0,W712-SUM(AT712:AZ712))</f>
        <v>0</v>
      </c>
      <c r="BB712" s="125"/>
      <c r="BC712" s="47"/>
      <c r="BD712" s="53"/>
    </row>
    <row r="713" spans="1:56" ht="15" customHeight="1">
      <c r="A713" s="125" t="s">
        <v>3168</v>
      </c>
      <c r="B713" s="127" t="s">
        <v>3002</v>
      </c>
      <c r="C713" s="46" t="s">
        <v>83</v>
      </c>
      <c r="D713" s="125" t="s">
        <v>256</v>
      </c>
      <c r="E713" s="125"/>
      <c r="F713" s="127">
        <v>3</v>
      </c>
      <c r="G713" s="75" t="s">
        <v>3169</v>
      </c>
      <c r="H713" s="131" t="s">
        <v>87</v>
      </c>
      <c r="I713" s="131" t="s">
        <v>3169</v>
      </c>
      <c r="J713" s="131"/>
      <c r="K713" s="131"/>
      <c r="L713" s="47"/>
      <c r="M713" s="47"/>
      <c r="N713" s="47"/>
      <c r="O713" s="47"/>
      <c r="P713" s="47"/>
      <c r="Q713" s="47"/>
      <c r="R713" s="47"/>
      <c r="S713" s="47"/>
      <c r="T713" s="47"/>
      <c r="U713" s="47"/>
      <c r="V713" s="131" t="s">
        <v>3170</v>
      </c>
      <c r="W713" s="74">
        <v>0</v>
      </c>
      <c r="X713" s="127">
        <f>MAX(0,$AK713-$W713-$Z713)</f>
        <v>0</v>
      </c>
      <c r="Y713" s="127"/>
      <c r="Z713" s="127"/>
      <c r="AA713" s="132">
        <v>70.58</v>
      </c>
      <c r="AB713" s="132">
        <f>IF(AND($X713&gt;0,ISNUMBER($AA713)),$X713*$AA713,0)</f>
        <v>0</v>
      </c>
      <c r="AC713" s="59"/>
      <c r="AD713" s="59"/>
      <c r="AE713" s="59"/>
      <c r="AF713" s="59"/>
      <c r="AG713" s="59"/>
      <c r="AH713" s="59"/>
      <c r="AI713" s="59"/>
      <c r="AJ713" s="59"/>
      <c r="AK713" s="39">
        <f>SUM(AL713:AR713)</f>
        <v>0</v>
      </c>
      <c r="AL713" s="114"/>
      <c r="AM713" s="43"/>
      <c r="AN713" s="43"/>
      <c r="AO713" s="43"/>
      <c r="AP713" s="43"/>
      <c r="AQ713" s="43"/>
      <c r="AR713" s="116"/>
      <c r="AS713" s="42">
        <f>SUM(AT713:AZ713)</f>
        <v>0</v>
      </c>
      <c r="AT713" s="48"/>
      <c r="AU713" s="48"/>
      <c r="AV713" s="48"/>
      <c r="AW713" s="48"/>
      <c r="AX713" s="48"/>
      <c r="AY713" s="48"/>
      <c r="AZ713" s="48"/>
      <c r="BA713" s="43">
        <f>IF((W713-SUM(AT713:AZ713))&lt;0,0,W713-SUM(AT713:AZ713))</f>
        <v>0</v>
      </c>
      <c r="BB713" s="125"/>
      <c r="BC713" s="47"/>
      <c r="BD713" s="47"/>
    </row>
    <row r="714" spans="1:56" ht="15" customHeight="1">
      <c r="A714" s="130" t="s">
        <v>3171</v>
      </c>
      <c r="B714" s="128" t="s">
        <v>3002</v>
      </c>
      <c r="C714" s="38" t="s">
        <v>65</v>
      </c>
      <c r="D714" s="130" t="s">
        <v>76</v>
      </c>
      <c r="E714" s="130"/>
      <c r="F714" s="128">
        <v>7</v>
      </c>
      <c r="G714" s="75" t="s">
        <v>3172</v>
      </c>
      <c r="H714" s="130" t="s">
        <v>2190</v>
      </c>
      <c r="I714" s="130" t="s">
        <v>3173</v>
      </c>
      <c r="J714" s="130" t="s">
        <v>3174</v>
      </c>
      <c r="K714" s="130" t="s">
        <v>1315</v>
      </c>
      <c r="L714" s="37"/>
      <c r="M714" s="37"/>
      <c r="N714" s="37"/>
      <c r="O714" s="68"/>
      <c r="P714" s="68"/>
      <c r="Q714" s="37"/>
      <c r="R714" s="37"/>
      <c r="S714" s="37"/>
      <c r="T714" s="68"/>
      <c r="U714" s="68"/>
      <c r="V714" s="130" t="s">
        <v>119</v>
      </c>
      <c r="W714" s="74">
        <v>1</v>
      </c>
      <c r="X714" s="127">
        <f>MAX(0,$AK714-$W714-$Z714)</f>
        <v>0</v>
      </c>
      <c r="Y714" s="130"/>
      <c r="Z714" s="130"/>
      <c r="AA714" s="137">
        <v>0.1</v>
      </c>
      <c r="AB714" s="132">
        <f>IF(AND($X714&gt;0,ISNUMBER($AA714)),$X714*$AA714,0)</f>
        <v>0</v>
      </c>
      <c r="AK714" s="39">
        <f>SUM(AL714:AR714)</f>
        <v>0</v>
      </c>
      <c r="AL714" s="90"/>
      <c r="AM714" s="38"/>
      <c r="AN714" s="38"/>
      <c r="AO714" s="38"/>
      <c r="AP714" s="38"/>
      <c r="AQ714" s="38"/>
      <c r="AR714" s="91"/>
      <c r="AS714" s="42">
        <f>SUM(AT714:AZ714)</f>
        <v>0</v>
      </c>
      <c r="AT714" s="48"/>
      <c r="AU714" s="48"/>
      <c r="AV714" s="48"/>
      <c r="AW714" s="48"/>
      <c r="AX714" s="48"/>
      <c r="AY714" s="48"/>
      <c r="AZ714" s="48"/>
      <c r="BA714" s="43">
        <f>IF((W714-SUM(AT714:AZ714))&lt;0,0,W714-SUM(AT714:AZ714))</f>
        <v>1</v>
      </c>
      <c r="BB714" s="130"/>
      <c r="BC714" s="37"/>
      <c r="BD714" s="37"/>
    </row>
    <row r="715" spans="1:56" ht="15" customHeight="1">
      <c r="A715" s="37" t="s">
        <v>3179</v>
      </c>
      <c r="B715" s="38" t="s">
        <v>3002</v>
      </c>
      <c r="C715" s="38" t="s">
        <v>65</v>
      </c>
      <c r="D715" s="37" t="s">
        <v>76</v>
      </c>
      <c r="E715" s="37"/>
      <c r="F715" s="37">
        <v>4</v>
      </c>
      <c r="G715" s="75" t="s">
        <v>3180</v>
      </c>
      <c r="H715" s="37" t="s">
        <v>78</v>
      </c>
      <c r="I715" s="37" t="s">
        <v>3181</v>
      </c>
      <c r="J715" s="37" t="s">
        <v>3182</v>
      </c>
      <c r="K715" s="37"/>
      <c r="L715" s="37"/>
      <c r="M715" s="37"/>
      <c r="N715" s="37"/>
      <c r="O715" s="68"/>
      <c r="P715" s="68"/>
      <c r="Q715" s="37"/>
      <c r="R715" s="37"/>
      <c r="S715" s="37"/>
      <c r="T715" s="68"/>
      <c r="U715" s="68"/>
      <c r="V715" s="37" t="s">
        <v>223</v>
      </c>
      <c r="W715" s="74">
        <v>1</v>
      </c>
      <c r="X715" s="127">
        <f>MAX(0,$AK715-$W715-$Z715)</f>
        <v>0</v>
      </c>
      <c r="Y715" s="37"/>
      <c r="Z715" s="37"/>
      <c r="AA715" s="37">
        <v>0.05</v>
      </c>
      <c r="AB715" s="59">
        <f>IF(AND($X715&gt;0,ISNUMBER($AA715)),$X715*$AA715,0)</f>
        <v>0</v>
      </c>
      <c r="AK715" s="39">
        <f>SUM(AL715:AR715)</f>
        <v>0</v>
      </c>
      <c r="AL715" s="90"/>
      <c r="AM715" s="38"/>
      <c r="AN715" s="38"/>
      <c r="AO715" s="38"/>
      <c r="AP715" s="38"/>
      <c r="AQ715" s="38"/>
      <c r="AR715" s="91"/>
      <c r="AS715" s="42">
        <f>SUM(AT715:AZ715)</f>
        <v>0</v>
      </c>
      <c r="AT715" s="48"/>
      <c r="AU715" s="48"/>
      <c r="AV715" s="48"/>
      <c r="AW715" s="48"/>
      <c r="AX715" s="48"/>
      <c r="AY715" s="48"/>
      <c r="AZ715" s="48"/>
      <c r="BA715" s="43">
        <f>IF((W715-SUM(AT715:AZ715))&lt;0,0,W715-SUM(AT715:AZ715))</f>
        <v>1</v>
      </c>
      <c r="BB715" s="37"/>
      <c r="BC715" s="37"/>
      <c r="BD715" s="37"/>
    </row>
    <row r="716" spans="1:56" ht="15" customHeight="1">
      <c r="A716" s="125" t="s">
        <v>3183</v>
      </c>
      <c r="B716" s="43" t="s">
        <v>3002</v>
      </c>
      <c r="C716" s="46" t="s">
        <v>65</v>
      </c>
      <c r="D716" s="52" t="s">
        <v>76</v>
      </c>
      <c r="E716" s="52"/>
      <c r="F716" s="43">
        <v>2</v>
      </c>
      <c r="G716" s="75" t="s">
        <v>3184</v>
      </c>
      <c r="H716" s="58" t="s">
        <v>78</v>
      </c>
      <c r="I716" s="58" t="s">
        <v>3185</v>
      </c>
      <c r="J716" s="58"/>
      <c r="K716" s="58"/>
      <c r="L716" s="47"/>
      <c r="M716" s="47"/>
      <c r="N716" s="47"/>
      <c r="O716" s="47"/>
      <c r="P716" s="47"/>
      <c r="Q716" s="47"/>
      <c r="R716" s="47"/>
      <c r="S716" s="47"/>
      <c r="T716" s="47"/>
      <c r="U716" s="47"/>
      <c r="V716" s="58" t="s">
        <v>471</v>
      </c>
      <c r="W716" s="74">
        <v>0</v>
      </c>
      <c r="X716" s="127">
        <f>MAX(0,$AK716-$W716-$Z716)</f>
        <v>0</v>
      </c>
      <c r="Y716" s="43"/>
      <c r="Z716" s="43"/>
      <c r="AA716" s="59">
        <v>0.35</v>
      </c>
      <c r="AB716" s="59">
        <f>IF(AND($X716&gt;0,ISNUMBER($AA716)),$X716*$AA716,0)</f>
        <v>0</v>
      </c>
      <c r="AC716" s="59"/>
      <c r="AD716" s="59"/>
      <c r="AE716" s="59"/>
      <c r="AF716" s="59"/>
      <c r="AG716" s="59"/>
      <c r="AH716" s="59"/>
      <c r="AI716" s="59"/>
      <c r="AJ716" s="59"/>
      <c r="AK716" s="39">
        <f>SUM(AL716:AR716)</f>
        <v>0</v>
      </c>
      <c r="AL716" s="114"/>
      <c r="AM716" s="43"/>
      <c r="AN716" s="43"/>
      <c r="AO716" s="43"/>
      <c r="AP716" s="43"/>
      <c r="AQ716" s="43"/>
      <c r="AR716" s="116"/>
      <c r="AS716" s="42">
        <f>SUM(AT716:AZ716)</f>
        <v>0</v>
      </c>
      <c r="AT716" s="48"/>
      <c r="AU716" s="48"/>
      <c r="AV716" s="48"/>
      <c r="AW716" s="48"/>
      <c r="AX716" s="48"/>
      <c r="AY716" s="48"/>
      <c r="AZ716" s="48"/>
      <c r="BA716" s="43">
        <f>IF((W716-SUM(AT716:AZ716))&lt;0,0,W716-SUM(AT716:AZ716))</f>
        <v>0</v>
      </c>
      <c r="BB716" s="52"/>
      <c r="BC716" s="47"/>
      <c r="BD716" s="47"/>
    </row>
    <row r="717" spans="1:56" ht="15" customHeight="1">
      <c r="A717" s="125" t="s">
        <v>3186</v>
      </c>
      <c r="B717" s="127" t="s">
        <v>3002</v>
      </c>
      <c r="C717" s="46" t="s">
        <v>65</v>
      </c>
      <c r="D717" s="125" t="s">
        <v>84</v>
      </c>
      <c r="E717" s="125" t="s">
        <v>450</v>
      </c>
      <c r="F717" s="127">
        <v>6</v>
      </c>
      <c r="G717" s="75" t="s">
        <v>3187</v>
      </c>
      <c r="H717" s="131" t="s">
        <v>293</v>
      </c>
      <c r="I717" s="131" t="s">
        <v>3188</v>
      </c>
      <c r="J717" s="131"/>
      <c r="K717" s="131"/>
      <c r="L717" s="46"/>
      <c r="M717" s="46"/>
      <c r="N717" s="46"/>
      <c r="O717" s="46"/>
      <c r="P717" s="46"/>
      <c r="Q717" s="46"/>
      <c r="R717" s="46"/>
      <c r="S717" s="46"/>
      <c r="T717" s="46"/>
      <c r="U717" s="46"/>
      <c r="V717" s="131" t="s">
        <v>119</v>
      </c>
      <c r="W717" s="74">
        <v>1</v>
      </c>
      <c r="X717" s="127">
        <f>MAX(0,$AK717-$W717-$Z717)</f>
        <v>0</v>
      </c>
      <c r="Y717" s="127"/>
      <c r="Z717" s="127"/>
      <c r="AA717" s="132">
        <v>0.26</v>
      </c>
      <c r="AB717" s="132">
        <f>IF(AND($X717&gt;0,ISNUMBER($AA717)),$X717*$AA717,0)</f>
        <v>0</v>
      </c>
      <c r="AD717" s="63"/>
      <c r="AK717" s="39">
        <f>SUM(AL717:AR717)</f>
        <v>1</v>
      </c>
      <c r="AL717" s="90"/>
      <c r="AM717" s="98">
        <v>1</v>
      </c>
      <c r="AN717" s="38"/>
      <c r="AO717" s="38"/>
      <c r="AP717" s="38"/>
      <c r="AQ717" s="38"/>
      <c r="AR717" s="91"/>
      <c r="AS717" s="42">
        <f>SUM(AT717:AZ717)</f>
        <v>1</v>
      </c>
      <c r="AT717" s="48"/>
      <c r="AU717" s="48">
        <v>1</v>
      </c>
      <c r="AV717" s="48"/>
      <c r="AW717" s="48"/>
      <c r="AX717" s="48"/>
      <c r="AY717" s="48"/>
      <c r="AZ717" s="48"/>
      <c r="BA717" s="43">
        <f>IF((W717-SUM(AT717:AZ717))&lt;0,0,W717-SUM(AT717:AZ717))</f>
        <v>0</v>
      </c>
      <c r="BB717" s="125"/>
      <c r="BC717" s="47"/>
      <c r="BD717" s="126"/>
    </row>
    <row r="718" spans="1:56" ht="15" customHeight="1">
      <c r="A718" s="125" t="s">
        <v>3189</v>
      </c>
      <c r="B718" s="127" t="s">
        <v>3002</v>
      </c>
      <c r="C718" s="46" t="s">
        <v>65</v>
      </c>
      <c r="D718" s="125" t="s">
        <v>84</v>
      </c>
      <c r="E718" s="125" t="s">
        <v>3159</v>
      </c>
      <c r="F718" s="127">
        <v>1</v>
      </c>
      <c r="G718" s="75" t="s">
        <v>3190</v>
      </c>
      <c r="H718" s="131" t="s">
        <v>1182</v>
      </c>
      <c r="I718" s="131" t="s">
        <v>164</v>
      </c>
      <c r="J718" s="131" t="s">
        <v>3191</v>
      </c>
      <c r="K718" s="131"/>
      <c r="L718" s="47"/>
      <c r="M718" s="47"/>
      <c r="N718" s="47"/>
      <c r="O718" s="47"/>
      <c r="P718" s="47"/>
      <c r="Q718" s="47"/>
      <c r="R718" s="47"/>
      <c r="S718" s="47"/>
      <c r="T718" s="47"/>
      <c r="U718" s="47"/>
      <c r="V718" s="131" t="s">
        <v>2717</v>
      </c>
      <c r="W718" s="74">
        <v>1</v>
      </c>
      <c r="X718" s="127">
        <f>MAX(0,$AK718-$W718-$Z718)</f>
        <v>0</v>
      </c>
      <c r="Y718" s="127"/>
      <c r="Z718" s="127"/>
      <c r="AA718" s="132">
        <v>0.23</v>
      </c>
      <c r="AB718" s="132">
        <f>IF(AND($X718&gt;0,ISNUMBER($AA718)),$X718*$AA718,0)</f>
        <v>0</v>
      </c>
      <c r="AK718" s="39">
        <f>SUM(AL718:AR718)</f>
        <v>1</v>
      </c>
      <c r="AL718" s="90"/>
      <c r="AM718" s="97">
        <v>1</v>
      </c>
      <c r="AN718" s="38"/>
      <c r="AO718" s="38"/>
      <c r="AP718" s="38"/>
      <c r="AQ718" s="38"/>
      <c r="AR718" s="91"/>
      <c r="AS718" s="42">
        <f>SUM(AT718:AZ718)</f>
        <v>1</v>
      </c>
      <c r="AT718" s="48"/>
      <c r="AU718" s="48">
        <v>1</v>
      </c>
      <c r="AV718" s="48"/>
      <c r="AW718" s="48"/>
      <c r="AX718" s="48"/>
      <c r="AY718" s="48"/>
      <c r="AZ718" s="48"/>
      <c r="BA718" s="43">
        <f>IF((W718-SUM(AT718:AZ718))&lt;0,0,W718-SUM(AT718:AZ718))</f>
        <v>0</v>
      </c>
      <c r="BB718" s="125"/>
      <c r="BC718" s="47"/>
      <c r="BD718" s="47"/>
    </row>
    <row r="719" spans="1:56" ht="15" customHeight="1">
      <c r="A719" s="130" t="s">
        <v>3192</v>
      </c>
      <c r="B719" s="128" t="s">
        <v>3002</v>
      </c>
      <c r="C719" s="38" t="s">
        <v>65</v>
      </c>
      <c r="D719" s="130" t="s">
        <v>84</v>
      </c>
      <c r="E719" s="130" t="s">
        <v>3193</v>
      </c>
      <c r="F719" s="128">
        <v>3</v>
      </c>
      <c r="G719" s="75" t="s">
        <v>3194</v>
      </c>
      <c r="H719" s="130" t="s">
        <v>108</v>
      </c>
      <c r="I719" s="130" t="s">
        <v>3195</v>
      </c>
      <c r="J719" s="130"/>
      <c r="K719" s="130"/>
      <c r="L719" s="37"/>
      <c r="M719" s="37"/>
      <c r="N719" s="37"/>
      <c r="O719" s="68"/>
      <c r="P719" s="68"/>
      <c r="Q719" s="37"/>
      <c r="R719" s="37"/>
      <c r="S719" s="37"/>
      <c r="T719" s="68"/>
      <c r="U719" s="68"/>
      <c r="V719" s="130" t="s">
        <v>119</v>
      </c>
      <c r="W719" s="74">
        <v>1</v>
      </c>
      <c r="X719" s="127">
        <f>MAX(0,$AK719-$W719-$Z719)</f>
        <v>0</v>
      </c>
      <c r="Y719" s="130"/>
      <c r="Z719" s="130"/>
      <c r="AA719" s="137">
        <v>0.15</v>
      </c>
      <c r="AB719" s="132">
        <f>IF(AND($X719&gt;0,ISNUMBER($AA719)),$X719*$AA719,0)</f>
        <v>0</v>
      </c>
      <c r="AK719" s="39">
        <f>SUM(AL719:AR719)</f>
        <v>0</v>
      </c>
      <c r="AL719" s="90"/>
      <c r="AM719" s="38"/>
      <c r="AN719" s="38"/>
      <c r="AO719" s="38"/>
      <c r="AP719" s="38"/>
      <c r="AQ719" s="38"/>
      <c r="AR719" s="91"/>
      <c r="AS719" s="42">
        <f>SUM(AT719:AZ719)</f>
        <v>0</v>
      </c>
      <c r="AT719" s="48"/>
      <c r="AU719" s="48"/>
      <c r="AV719" s="48"/>
      <c r="AW719" s="48"/>
      <c r="AX719" s="48"/>
      <c r="AY719" s="48"/>
      <c r="AZ719" s="48"/>
      <c r="BA719" s="43">
        <f>IF((W719-SUM(AT719:AZ719))&lt;0,0,W719-SUM(AT719:AZ719))</f>
        <v>1</v>
      </c>
      <c r="BB719" s="130"/>
      <c r="BC719" s="37"/>
      <c r="BD719" s="37"/>
    </row>
    <row r="720" spans="1:56" ht="15" customHeight="1">
      <c r="A720" s="125" t="s">
        <v>3196</v>
      </c>
      <c r="B720" s="127" t="s">
        <v>3002</v>
      </c>
      <c r="C720" s="46" t="s">
        <v>65</v>
      </c>
      <c r="D720" s="125" t="s">
        <v>76</v>
      </c>
      <c r="E720" s="125"/>
      <c r="F720" s="127">
        <v>2</v>
      </c>
      <c r="G720" s="75" t="s">
        <v>3197</v>
      </c>
      <c r="H720" s="131" t="s">
        <v>1182</v>
      </c>
      <c r="I720" s="131" t="s">
        <v>2227</v>
      </c>
      <c r="J720" s="131" t="s">
        <v>3198</v>
      </c>
      <c r="K720" s="131"/>
      <c r="L720" s="46"/>
      <c r="M720" s="46"/>
      <c r="N720" s="46"/>
      <c r="O720" s="46"/>
      <c r="P720" s="46"/>
      <c r="Q720" s="46"/>
      <c r="R720" s="46"/>
      <c r="S720" s="46"/>
      <c r="T720" s="46"/>
      <c r="U720" s="46"/>
      <c r="V720" s="131" t="s">
        <v>592</v>
      </c>
      <c r="W720" s="74">
        <v>1</v>
      </c>
      <c r="X720" s="127">
        <f>MAX(0,$AK720-$W720-$Z720)</f>
        <v>0</v>
      </c>
      <c r="Y720" s="127"/>
      <c r="Z720" s="127"/>
      <c r="AA720" s="132">
        <v>0.23</v>
      </c>
      <c r="AB720" s="132">
        <f>IF(AND($X720&gt;0,ISNUMBER($AA720)),$X720*$AA720,0)</f>
        <v>0</v>
      </c>
      <c r="AK720" s="39">
        <f>SUM(AL720:AR720)</f>
        <v>1</v>
      </c>
      <c r="AL720" s="90"/>
      <c r="AM720" s="97">
        <v>1</v>
      </c>
      <c r="AN720" s="38"/>
      <c r="AO720" s="38"/>
      <c r="AP720" s="38"/>
      <c r="AQ720" s="38"/>
      <c r="AR720" s="91"/>
      <c r="AS720" s="42">
        <f>SUM(AT720:AZ720)</f>
        <v>1</v>
      </c>
      <c r="AT720" s="48"/>
      <c r="AU720" s="48">
        <v>1</v>
      </c>
      <c r="AV720" s="48"/>
      <c r="AW720" s="48"/>
      <c r="AX720" s="48"/>
      <c r="AY720" s="48"/>
      <c r="AZ720" s="48"/>
      <c r="BA720" s="43">
        <f>IF((W720-SUM(AT720:AZ720))&lt;0,0,W720-SUM(AT720:AZ720))</f>
        <v>0</v>
      </c>
      <c r="BB720" s="125"/>
      <c r="BC720" s="47"/>
      <c r="BD720" s="47"/>
    </row>
    <row r="721" spans="1:56" ht="15" customHeight="1">
      <c r="A721" s="37" t="s">
        <v>3199</v>
      </c>
      <c r="B721" s="38" t="s">
        <v>3002</v>
      </c>
      <c r="C721" s="38" t="s">
        <v>65</v>
      </c>
      <c r="D721" s="37" t="s">
        <v>84</v>
      </c>
      <c r="E721" s="37" t="s">
        <v>3200</v>
      </c>
      <c r="F721" s="37">
        <v>4</v>
      </c>
      <c r="G721" s="75" t="s">
        <v>3201</v>
      </c>
      <c r="H721" s="37" t="s">
        <v>108</v>
      </c>
      <c r="I721" s="37" t="s">
        <v>3202</v>
      </c>
      <c r="J721" s="37" t="s">
        <v>3203</v>
      </c>
      <c r="K721" s="37"/>
      <c r="L721" s="37"/>
      <c r="M721" s="37"/>
      <c r="N721" s="37"/>
      <c r="O721" s="68"/>
      <c r="P721" s="68"/>
      <c r="Q721" s="37"/>
      <c r="R721" s="37"/>
      <c r="S721" s="37"/>
      <c r="T721" s="68"/>
      <c r="U721" s="68"/>
      <c r="V721" s="37" t="s">
        <v>223</v>
      </c>
      <c r="W721" s="74">
        <v>1</v>
      </c>
      <c r="X721" s="43">
        <f>MAX(0,$AK721-$W721-$Z721)</f>
        <v>0</v>
      </c>
      <c r="Y721" s="37"/>
      <c r="Z721" s="37"/>
      <c r="AA721" s="37">
        <v>0.11</v>
      </c>
      <c r="AB721" s="59">
        <f>IF(AND($X721&gt;0,ISNUMBER($AA721)),$X721*$AA721,0)</f>
        <v>0</v>
      </c>
      <c r="AK721" s="39">
        <f>SUM(AL721:AR721)</f>
        <v>0</v>
      </c>
      <c r="AL721" s="90"/>
      <c r="AM721" s="38"/>
      <c r="AN721" s="38"/>
      <c r="AO721" s="38"/>
      <c r="AP721" s="38"/>
      <c r="AQ721" s="38"/>
      <c r="AR721" s="91"/>
      <c r="AS721" s="42">
        <f>SUM(AT721:AZ721)</f>
        <v>0</v>
      </c>
      <c r="AT721" s="48"/>
      <c r="AU721" s="48"/>
      <c r="AV721" s="48"/>
      <c r="AW721" s="48"/>
      <c r="AX721" s="48"/>
      <c r="AY721" s="48"/>
      <c r="AZ721" s="48"/>
      <c r="BA721" s="43">
        <f>IF((W721-SUM(AT721:AZ721))&lt;0,0,W721-SUM(AT721:AZ721))</f>
        <v>1</v>
      </c>
      <c r="BB721" s="37"/>
      <c r="BC721" s="37"/>
      <c r="BD721" s="37"/>
    </row>
    <row r="722" spans="1:56" ht="15" customHeight="1">
      <c r="A722" s="52" t="s">
        <v>3204</v>
      </c>
      <c r="B722" s="43" t="s">
        <v>3002</v>
      </c>
      <c r="C722" s="46" t="s">
        <v>65</v>
      </c>
      <c r="D722" s="52" t="s">
        <v>76</v>
      </c>
      <c r="E722" s="52"/>
      <c r="F722" s="43">
        <v>3</v>
      </c>
      <c r="G722" s="75" t="s">
        <v>3019</v>
      </c>
      <c r="H722" s="58" t="s">
        <v>845</v>
      </c>
      <c r="I722" s="58" t="s">
        <v>3205</v>
      </c>
      <c r="J722" s="58"/>
      <c r="K722" s="58"/>
      <c r="L722" s="47"/>
      <c r="M722" s="47"/>
      <c r="N722" s="47"/>
      <c r="O722" s="68"/>
      <c r="P722" s="68"/>
      <c r="Q722" s="47"/>
      <c r="R722" s="47"/>
      <c r="S722" s="47"/>
      <c r="T722" s="68"/>
      <c r="U722" s="68"/>
      <c r="V722" s="58" t="s">
        <v>331</v>
      </c>
      <c r="W722" s="74">
        <v>2</v>
      </c>
      <c r="X722" s="43">
        <f>MAX(0,$AK722-$W722-$Z722)</f>
        <v>0</v>
      </c>
      <c r="Y722" s="43"/>
      <c r="Z722" s="43"/>
      <c r="AA722" s="59">
        <v>0.28999999999999998</v>
      </c>
      <c r="AB722" s="59">
        <f>IF(AND($X722&gt;0,ISNUMBER($AA722)),$X722*$AA722,0)</f>
        <v>0</v>
      </c>
      <c r="AK722" s="39">
        <f>SUM(AL722:AR722)</f>
        <v>1</v>
      </c>
      <c r="AL722" s="90"/>
      <c r="AM722" s="38"/>
      <c r="AN722" s="97">
        <v>1</v>
      </c>
      <c r="AO722" s="38"/>
      <c r="AP722" s="38"/>
      <c r="AQ722" s="38"/>
      <c r="AR722" s="91"/>
      <c r="AS722" s="42">
        <f>SUM(AT722:AZ722)</f>
        <v>1</v>
      </c>
      <c r="AT722" s="48"/>
      <c r="AU722" s="48"/>
      <c r="AV722" s="48">
        <v>1</v>
      </c>
      <c r="AW722" s="48"/>
      <c r="AX722" s="48"/>
      <c r="AY722" s="48"/>
      <c r="AZ722" s="48"/>
      <c r="BA722" s="43">
        <f>IF((W722-SUM(AT722:AZ722))&lt;0,0,W722-SUM(AT722:AZ722))</f>
        <v>1</v>
      </c>
      <c r="BB722" s="52"/>
      <c r="BC722" s="47"/>
      <c r="BD722" s="47"/>
    </row>
    <row r="723" spans="1:56" ht="15" customHeight="1">
      <c r="A723" s="52" t="s">
        <v>3214</v>
      </c>
      <c r="B723" s="43" t="s">
        <v>3002</v>
      </c>
      <c r="C723" s="46" t="s">
        <v>65</v>
      </c>
      <c r="D723" s="52" t="s">
        <v>178</v>
      </c>
      <c r="E723" s="52" t="s">
        <v>1075</v>
      </c>
      <c r="F723" s="43">
        <v>4</v>
      </c>
      <c r="G723" s="75" t="s">
        <v>3215</v>
      </c>
      <c r="H723" s="58" t="s">
        <v>845</v>
      </c>
      <c r="I723" s="58" t="s">
        <v>3216</v>
      </c>
      <c r="J723" s="58" t="s">
        <v>3217</v>
      </c>
      <c r="K723" s="58" t="s">
        <v>181</v>
      </c>
      <c r="L723" s="47"/>
      <c r="M723" s="47"/>
      <c r="N723" s="47"/>
      <c r="O723" s="47"/>
      <c r="P723" s="47"/>
      <c r="Q723" s="47"/>
      <c r="R723" s="47"/>
      <c r="S723" s="47"/>
      <c r="T723" s="47"/>
      <c r="U723" s="47"/>
      <c r="V723" s="58" t="s">
        <v>471</v>
      </c>
      <c r="W723" s="74">
        <v>1</v>
      </c>
      <c r="X723" s="43">
        <f>MAX(0,$AK723-$W723-$Z723)</f>
        <v>0</v>
      </c>
      <c r="Y723" s="43"/>
      <c r="Z723" s="43"/>
      <c r="AA723" s="59">
        <v>1.47</v>
      </c>
      <c r="AB723" s="59">
        <f>IF(AND($X723&gt;0,ISNUMBER($AA723)),$X723*$AA723,0)</f>
        <v>0</v>
      </c>
      <c r="AK723" s="39">
        <f>SUM(AL723:AR723)</f>
        <v>1</v>
      </c>
      <c r="AL723" s="90"/>
      <c r="AM723" s="38"/>
      <c r="AN723" s="97">
        <v>1</v>
      </c>
      <c r="AO723" s="38"/>
      <c r="AP723" s="38"/>
      <c r="AQ723" s="38"/>
      <c r="AR723" s="91"/>
      <c r="AS723" s="42">
        <f>SUM(AT723:AZ723)</f>
        <v>1</v>
      </c>
      <c r="AT723" s="48"/>
      <c r="AU723" s="48"/>
      <c r="AV723" s="48">
        <v>1</v>
      </c>
      <c r="AW723" s="48"/>
      <c r="AX723" s="48"/>
      <c r="AY723" s="48"/>
      <c r="AZ723" s="48"/>
      <c r="BA723" s="43">
        <f>IF((W723-SUM(AT723:AZ723))&lt;0,0,W723-SUM(AT723:AZ723))</f>
        <v>0</v>
      </c>
      <c r="BB723" s="52"/>
      <c r="BC723" s="47"/>
      <c r="BD723" s="47"/>
    </row>
    <row r="724" spans="1:56" ht="15" customHeight="1">
      <c r="A724" s="52" t="s">
        <v>3218</v>
      </c>
      <c r="B724" s="43" t="s">
        <v>3002</v>
      </c>
      <c r="C724" s="46" t="s">
        <v>65</v>
      </c>
      <c r="D724" s="52" t="s">
        <v>134</v>
      </c>
      <c r="E724" s="52"/>
      <c r="F724" s="43">
        <v>4</v>
      </c>
      <c r="G724" s="75" t="s">
        <v>3219</v>
      </c>
      <c r="H724" s="58" t="s">
        <v>78</v>
      </c>
      <c r="I724" s="58" t="s">
        <v>3220</v>
      </c>
      <c r="J724" s="58" t="s">
        <v>3221</v>
      </c>
      <c r="K724" s="58"/>
      <c r="L724" s="47"/>
      <c r="M724" s="47"/>
      <c r="N724" s="47"/>
      <c r="O724" s="68"/>
      <c r="P724" s="68"/>
      <c r="Q724" s="47"/>
      <c r="R724" s="47"/>
      <c r="S724" s="47"/>
      <c r="T724" s="68"/>
      <c r="U724" s="68"/>
      <c r="V724" s="58" t="s">
        <v>713</v>
      </c>
      <c r="W724" s="74">
        <v>2</v>
      </c>
      <c r="X724" s="43">
        <f>MAX(0,$AK724-$W724-$Z724)</f>
        <v>0</v>
      </c>
      <c r="Y724" s="43"/>
      <c r="Z724" s="43"/>
      <c r="AA724" s="59">
        <v>0.15</v>
      </c>
      <c r="AB724" s="59">
        <f>IF(AND($X724&gt;0,ISNUMBER($AA724)),$X724*$AA724,0)</f>
        <v>0</v>
      </c>
      <c r="AI724" s="63"/>
      <c r="AK724" s="39">
        <f>SUM(AL724:AR724)</f>
        <v>0</v>
      </c>
      <c r="AL724" s="90"/>
      <c r="AM724" s="38"/>
      <c r="AN724" s="38"/>
      <c r="AO724" s="38"/>
      <c r="AP724" s="38"/>
      <c r="AQ724" s="38"/>
      <c r="AR724" s="91"/>
      <c r="AS724" s="42">
        <f>SUM(AT724:AZ724)</f>
        <v>0</v>
      </c>
      <c r="AT724" s="48"/>
      <c r="AU724" s="48"/>
      <c r="AV724" s="48"/>
      <c r="AW724" s="48"/>
      <c r="AX724" s="48"/>
      <c r="AY724" s="48"/>
      <c r="AZ724" s="48"/>
      <c r="BA724" s="43">
        <f>IF((W724-SUM(AT724:AZ724))&lt;0,0,W724-SUM(AT724:AZ724))</f>
        <v>2</v>
      </c>
      <c r="BB724" s="52"/>
      <c r="BC724" s="47"/>
      <c r="BD724" s="47"/>
    </row>
    <row r="725" spans="1:56" ht="15" customHeight="1">
      <c r="A725" s="52" t="s">
        <v>3222</v>
      </c>
      <c r="B725" s="43" t="s">
        <v>3002</v>
      </c>
      <c r="C725" s="46" t="s">
        <v>65</v>
      </c>
      <c r="D725" s="52" t="s">
        <v>134</v>
      </c>
      <c r="E725" s="52"/>
      <c r="F725" s="43">
        <v>4</v>
      </c>
      <c r="G725" s="75" t="s">
        <v>3223</v>
      </c>
      <c r="H725" s="58" t="s">
        <v>845</v>
      </c>
      <c r="I725" s="58" t="s">
        <v>3224</v>
      </c>
      <c r="J725" s="58" t="s">
        <v>3225</v>
      </c>
      <c r="K725" s="58"/>
      <c r="L725" s="47"/>
      <c r="M725" s="47"/>
      <c r="N725" s="47"/>
      <c r="O725" s="47"/>
      <c r="P725" s="47"/>
      <c r="Q725" s="47"/>
      <c r="R725" s="47"/>
      <c r="S725" s="47"/>
      <c r="T725" s="47"/>
      <c r="U725" s="47"/>
      <c r="V725" s="58" t="s">
        <v>1248</v>
      </c>
      <c r="W725" s="74">
        <v>1</v>
      </c>
      <c r="X725" s="43">
        <f>MAX(0,$AK725-$W725-$Z725)</f>
        <v>0</v>
      </c>
      <c r="Y725" s="43"/>
      <c r="Z725" s="43"/>
      <c r="AA725" s="59">
        <v>0.27</v>
      </c>
      <c r="AB725" s="59">
        <f>IF(AND($X725&gt;0,ISNUMBER($AA725)),$X725*$AA725,0)</f>
        <v>0</v>
      </c>
      <c r="AE725" s="63"/>
      <c r="AK725" s="39">
        <f>SUM(AL725:AR725)</f>
        <v>1</v>
      </c>
      <c r="AL725" s="90"/>
      <c r="AM725" s="38"/>
      <c r="AN725" s="97">
        <v>1</v>
      </c>
      <c r="AO725" s="38"/>
      <c r="AP725" s="38"/>
      <c r="AQ725" s="38"/>
      <c r="AR725" s="91"/>
      <c r="AS725" s="42">
        <f>SUM(AT725:AZ725)</f>
        <v>1</v>
      </c>
      <c r="AT725" s="48"/>
      <c r="AU725" s="48"/>
      <c r="AV725" s="48">
        <v>1</v>
      </c>
      <c r="AW725" s="48"/>
      <c r="AX725" s="48"/>
      <c r="AY725" s="48"/>
      <c r="AZ725" s="48"/>
      <c r="BA725" s="43">
        <f>IF((W725-SUM(AT725:AZ725))&lt;0,0,W725-SUM(AT725:AZ725))</f>
        <v>0</v>
      </c>
      <c r="BB725" s="52"/>
      <c r="BC725" s="47"/>
      <c r="BD725" s="47"/>
    </row>
    <row r="726" spans="1:56" ht="15" customHeight="1">
      <c r="A726" s="52" t="s">
        <v>3226</v>
      </c>
      <c r="B726" s="46" t="s">
        <v>3002</v>
      </c>
      <c r="C726" s="46" t="s">
        <v>65</v>
      </c>
      <c r="D726" s="47" t="s">
        <v>76</v>
      </c>
      <c r="E726" s="47"/>
      <c r="F726" s="46">
        <v>6</v>
      </c>
      <c r="G726" s="75" t="s">
        <v>3227</v>
      </c>
      <c r="H726" s="47" t="s">
        <v>2190</v>
      </c>
      <c r="I726" s="47" t="s">
        <v>3228</v>
      </c>
      <c r="J726" s="47" t="s">
        <v>3229</v>
      </c>
      <c r="K726" s="47"/>
      <c r="L726" s="47"/>
      <c r="M726" s="47"/>
      <c r="N726" s="47"/>
      <c r="O726" s="68"/>
      <c r="P726" s="68"/>
      <c r="Q726" s="47"/>
      <c r="R726" s="47"/>
      <c r="S726" s="47"/>
      <c r="T726" s="68"/>
      <c r="U726" s="68"/>
      <c r="V726" s="47" t="s">
        <v>167</v>
      </c>
      <c r="W726" s="74">
        <v>1</v>
      </c>
      <c r="X726" s="43">
        <f>MAX(0,$AK726-$W726-$Z726)</f>
        <v>0</v>
      </c>
      <c r="Y726" s="47"/>
      <c r="Z726" s="47"/>
      <c r="AA726" s="47">
        <v>0.22</v>
      </c>
      <c r="AB726" s="47">
        <f>IF(AND($X726&gt;0,ISNUMBER($AA726)),$X726*$AA726,0)</f>
        <v>0</v>
      </c>
      <c r="AI726" s="63"/>
      <c r="AK726" s="39">
        <f>SUM(AL726:AR726)</f>
        <v>0</v>
      </c>
      <c r="AL726" s="90"/>
      <c r="AM726" s="38"/>
      <c r="AN726" s="38"/>
      <c r="AO726" s="38"/>
      <c r="AP726" s="38"/>
      <c r="AQ726" s="38"/>
      <c r="AR726" s="91"/>
      <c r="AS726" s="42">
        <f>SUM(AT726:AZ726)</f>
        <v>0</v>
      </c>
      <c r="AT726" s="48"/>
      <c r="AU726" s="48"/>
      <c r="AV726" s="48"/>
      <c r="AW726" s="48"/>
      <c r="AX726" s="48"/>
      <c r="AY726" s="48"/>
      <c r="AZ726" s="48"/>
      <c r="BA726" s="43">
        <f>IF((W726-SUM(AT726:AZ726))&lt;0,0,W726-SUM(AT726:AZ726))</f>
        <v>1</v>
      </c>
      <c r="BB726" s="47"/>
      <c r="BC726" s="47"/>
      <c r="BD726" s="47"/>
    </row>
    <row r="727" spans="1:56" ht="15" customHeight="1">
      <c r="A727" s="52" t="s">
        <v>3230</v>
      </c>
      <c r="B727" s="43" t="s">
        <v>3002</v>
      </c>
      <c r="C727" s="46" t="s">
        <v>65</v>
      </c>
      <c r="D727" s="52" t="s">
        <v>84</v>
      </c>
      <c r="E727" s="52" t="s">
        <v>3231</v>
      </c>
      <c r="F727" s="43">
        <v>2</v>
      </c>
      <c r="G727" s="75" t="s">
        <v>3232</v>
      </c>
      <c r="H727" s="58" t="s">
        <v>845</v>
      </c>
      <c r="I727" s="58" t="s">
        <v>3233</v>
      </c>
      <c r="J727" s="58" t="s">
        <v>181</v>
      </c>
      <c r="K727" s="58"/>
      <c r="L727" s="47"/>
      <c r="M727" s="47"/>
      <c r="N727" s="47"/>
      <c r="O727" s="47"/>
      <c r="P727" s="47"/>
      <c r="Q727" s="47"/>
      <c r="R727" s="47"/>
      <c r="S727" s="47"/>
      <c r="T727" s="47"/>
      <c r="U727" s="47"/>
      <c r="V727" s="58" t="s">
        <v>331</v>
      </c>
      <c r="W727" s="74">
        <v>1</v>
      </c>
      <c r="X727" s="43">
        <f>MAX(0,$AK727-$W727-$Z727)</f>
        <v>0</v>
      </c>
      <c r="Y727" s="43"/>
      <c r="Z727" s="43"/>
      <c r="AA727" s="59">
        <v>0.21</v>
      </c>
      <c r="AB727" s="59">
        <f>IF(AND($X727&gt;0,ISNUMBER($AA727)),$X727*$AA727,0)</f>
        <v>0</v>
      </c>
      <c r="AK727" s="39">
        <f>SUM(AL727:AR727)</f>
        <v>1</v>
      </c>
      <c r="AL727" s="90"/>
      <c r="AM727" s="38"/>
      <c r="AN727" s="97">
        <v>1</v>
      </c>
      <c r="AO727" s="38"/>
      <c r="AP727" s="38"/>
      <c r="AQ727" s="38"/>
      <c r="AR727" s="91"/>
      <c r="AS727" s="42">
        <f>SUM(AT727:AZ727)</f>
        <v>1</v>
      </c>
      <c r="AT727" s="48"/>
      <c r="AU727" s="48"/>
      <c r="AV727" s="48">
        <v>1</v>
      </c>
      <c r="AW727" s="48"/>
      <c r="AX727" s="48"/>
      <c r="AY727" s="48"/>
      <c r="AZ727" s="48"/>
      <c r="BA727" s="43">
        <f>IF((W727-SUM(AT727:AZ727))&lt;0,0,W727-SUM(AT727:AZ727))</f>
        <v>0</v>
      </c>
      <c r="BB727" s="52"/>
      <c r="BC727" s="47"/>
      <c r="BD727" s="47"/>
    </row>
    <row r="728" spans="1:56" ht="15" customHeight="1">
      <c r="A728" s="52" t="s">
        <v>3234</v>
      </c>
      <c r="B728" s="46" t="s">
        <v>3002</v>
      </c>
      <c r="C728" s="46" t="s">
        <v>65</v>
      </c>
      <c r="D728" s="47" t="s">
        <v>76</v>
      </c>
      <c r="E728" s="47"/>
      <c r="F728" s="46">
        <v>4</v>
      </c>
      <c r="G728" s="75" t="s">
        <v>3235</v>
      </c>
      <c r="H728" s="47" t="s">
        <v>78</v>
      </c>
      <c r="I728" s="47" t="s">
        <v>3236</v>
      </c>
      <c r="J728" s="47" t="s">
        <v>3237</v>
      </c>
      <c r="K728" s="47"/>
      <c r="L728" s="108" t="s">
        <v>3238</v>
      </c>
      <c r="M728" s="46">
        <v>1</v>
      </c>
      <c r="N728" s="46">
        <v>1</v>
      </c>
      <c r="O728" s="68" t="s">
        <v>253</v>
      </c>
      <c r="P728" s="110">
        <v>0.14000000000000001</v>
      </c>
      <c r="Q728" s="47"/>
      <c r="R728" s="47"/>
      <c r="S728" s="47"/>
      <c r="T728" s="68"/>
      <c r="U728" s="68"/>
      <c r="V728" s="47" t="s">
        <v>167</v>
      </c>
      <c r="W728" s="74">
        <v>2</v>
      </c>
      <c r="X728" s="43">
        <f>MAX(0,$AK728-$W728-$Z728)</f>
        <v>0</v>
      </c>
      <c r="Y728" s="47"/>
      <c r="Z728" s="47"/>
      <c r="AA728" s="47">
        <v>0.14000000000000001</v>
      </c>
      <c r="AB728" s="47">
        <f>IF(AND($X728&gt;0,ISNUMBER($AA728)),$X728*$AA728,0)</f>
        <v>0</v>
      </c>
      <c r="AK728" s="39">
        <f>SUM(AL728:AR728)</f>
        <v>0</v>
      </c>
      <c r="AL728" s="90"/>
      <c r="AM728" s="38"/>
      <c r="AN728" s="38"/>
      <c r="AO728" s="38"/>
      <c r="AP728" s="38"/>
      <c r="AQ728" s="38"/>
      <c r="AR728" s="91"/>
      <c r="AS728" s="42">
        <f>SUM(AT728:AZ728)</f>
        <v>0</v>
      </c>
      <c r="AT728" s="48"/>
      <c r="AU728" s="48"/>
      <c r="AV728" s="48"/>
      <c r="AW728" s="48"/>
      <c r="AX728" s="48"/>
      <c r="AY728" s="48"/>
      <c r="AZ728" s="48"/>
      <c r="BA728" s="43">
        <f>IF((W728-SUM(AT728:AZ728))&lt;0,0,W728-SUM(AT728:AZ728))</f>
        <v>2</v>
      </c>
      <c r="BB728" s="47"/>
      <c r="BC728" s="47"/>
      <c r="BD728" s="47"/>
    </row>
    <row r="729" spans="1:56" ht="15" customHeight="1">
      <c r="A729" s="52" t="s">
        <v>3248</v>
      </c>
      <c r="B729" s="43" t="s">
        <v>3002</v>
      </c>
      <c r="C729" s="46" t="s">
        <v>65</v>
      </c>
      <c r="D729" s="52" t="s">
        <v>84</v>
      </c>
      <c r="E729" s="52" t="s">
        <v>3249</v>
      </c>
      <c r="F729" s="43">
        <v>4</v>
      </c>
      <c r="G729" s="75" t="s">
        <v>3250</v>
      </c>
      <c r="H729" s="58" t="s">
        <v>845</v>
      </c>
      <c r="I729" s="58" t="s">
        <v>3251</v>
      </c>
      <c r="J729" s="58" t="s">
        <v>3252</v>
      </c>
      <c r="K729" s="58" t="s">
        <v>181</v>
      </c>
      <c r="L729" s="47"/>
      <c r="M729" s="47"/>
      <c r="N729" s="47"/>
      <c r="O729" s="68"/>
      <c r="P729" s="68"/>
      <c r="Q729" s="47"/>
      <c r="R729" s="47"/>
      <c r="S729" s="47"/>
      <c r="T729" s="68"/>
      <c r="U729" s="68"/>
      <c r="V729" s="58" t="s">
        <v>1248</v>
      </c>
      <c r="W729" s="74">
        <v>2</v>
      </c>
      <c r="X729" s="43">
        <f>MAX(0,$AK729-$W729-$Z729)</f>
        <v>0</v>
      </c>
      <c r="Y729" s="43"/>
      <c r="Z729" s="43"/>
      <c r="AA729" s="59">
        <v>1.94</v>
      </c>
      <c r="AB729" s="59">
        <f>IF(AND($X729&gt;0,ISNUMBER($AA729)),$X729*$AA729,0)</f>
        <v>0</v>
      </c>
      <c r="AK729" s="39">
        <f>SUM(AL729:AR729)</f>
        <v>1</v>
      </c>
      <c r="AL729" s="90"/>
      <c r="AM729" s="38"/>
      <c r="AN729" s="97">
        <v>1</v>
      </c>
      <c r="AO729" s="38"/>
      <c r="AP729" s="38"/>
      <c r="AQ729" s="38"/>
      <c r="AR729" s="91"/>
      <c r="AS729" s="42">
        <f>SUM(AT729:AZ729)</f>
        <v>1</v>
      </c>
      <c r="AT729" s="48"/>
      <c r="AU729" s="48"/>
      <c r="AV729" s="48">
        <v>1</v>
      </c>
      <c r="AW729" s="48"/>
      <c r="AX729" s="48"/>
      <c r="AY729" s="48"/>
      <c r="AZ729" s="48"/>
      <c r="BA729" s="43">
        <f>IF((W729-SUM(AT729:AZ729))&lt;0,0,W729-SUM(AT729:AZ729))</f>
        <v>1</v>
      </c>
      <c r="BB729" s="52"/>
      <c r="BC729" s="47"/>
      <c r="BD729" s="47"/>
    </row>
    <row r="730" spans="1:56" ht="15" customHeight="1">
      <c r="A730" s="52" t="s">
        <v>3253</v>
      </c>
      <c r="B730" s="43" t="s">
        <v>3002</v>
      </c>
      <c r="C730" s="46" t="s">
        <v>65</v>
      </c>
      <c r="D730" s="52" t="s">
        <v>84</v>
      </c>
      <c r="E730" s="52" t="s">
        <v>3254</v>
      </c>
      <c r="F730" s="43">
        <v>4</v>
      </c>
      <c r="G730" s="75" t="s">
        <v>3255</v>
      </c>
      <c r="H730" s="58" t="s">
        <v>78</v>
      </c>
      <c r="I730" s="58" t="s">
        <v>3256</v>
      </c>
      <c r="J730" s="58"/>
      <c r="K730" s="58"/>
      <c r="L730" s="47"/>
      <c r="M730" s="47"/>
      <c r="N730" s="47"/>
      <c r="O730" s="68"/>
      <c r="P730" s="68"/>
      <c r="Q730" s="47"/>
      <c r="R730" s="47"/>
      <c r="S730" s="47"/>
      <c r="T730" s="68"/>
      <c r="U730" s="68"/>
      <c r="V730" s="58" t="s">
        <v>119</v>
      </c>
      <c r="W730" s="74">
        <v>1</v>
      </c>
      <c r="X730" s="43">
        <f>MAX(0,$AK730-$W730-$Z730)</f>
        <v>0</v>
      </c>
      <c r="Y730" s="43"/>
      <c r="Z730" s="43"/>
      <c r="AA730" s="59">
        <v>0.08</v>
      </c>
      <c r="AB730" s="59">
        <f>IF(AND($X730&gt;0,ISNUMBER($AA730)),$X730*$AA730,0)</f>
        <v>0</v>
      </c>
      <c r="AK730" s="39">
        <f>SUM(AL730:AR730)</f>
        <v>0</v>
      </c>
      <c r="AL730" s="90"/>
      <c r="AM730" s="38"/>
      <c r="AN730" s="38"/>
      <c r="AO730" s="38"/>
      <c r="AP730" s="38"/>
      <c r="AQ730" s="38"/>
      <c r="AR730" s="91"/>
      <c r="AS730" s="42">
        <f>SUM(AT730:AZ730)</f>
        <v>0</v>
      </c>
      <c r="AT730" s="48"/>
      <c r="AU730" s="48"/>
      <c r="AV730" s="48"/>
      <c r="AW730" s="48"/>
      <c r="AX730" s="48"/>
      <c r="AY730" s="48"/>
      <c r="AZ730" s="48"/>
      <c r="BA730" s="43">
        <f>IF((W730-SUM(AT730:AZ730))&lt;0,0,W730-SUM(AT730:AZ730))</f>
        <v>1</v>
      </c>
      <c r="BB730" s="52"/>
      <c r="BC730" s="47"/>
      <c r="BD730" s="47"/>
    </row>
    <row r="731" spans="1:56" ht="15" customHeight="1">
      <c r="A731" s="130" t="s">
        <v>3257</v>
      </c>
      <c r="B731" s="128" t="s">
        <v>127</v>
      </c>
      <c r="C731" s="38" t="s">
        <v>65</v>
      </c>
      <c r="D731" s="130" t="s">
        <v>256</v>
      </c>
      <c r="E731" s="130"/>
      <c r="F731" s="130">
        <v>4</v>
      </c>
      <c r="G731" s="75" t="s">
        <v>3258</v>
      </c>
      <c r="H731" s="130" t="s">
        <v>446</v>
      </c>
      <c r="I731" s="130" t="s">
        <v>3259</v>
      </c>
      <c r="J731" s="130" t="s">
        <v>3260</v>
      </c>
      <c r="K731" s="130"/>
      <c r="L731" s="37"/>
      <c r="M731" s="37"/>
      <c r="N731" s="37"/>
      <c r="O731" s="68"/>
      <c r="P731" s="68"/>
      <c r="Q731" s="37"/>
      <c r="R731" s="37"/>
      <c r="S731" s="37"/>
      <c r="T731" s="68"/>
      <c r="U731" s="68"/>
      <c r="V731" s="130" t="s">
        <v>167</v>
      </c>
      <c r="W731" s="74">
        <v>1</v>
      </c>
      <c r="X731" s="127">
        <f>MAX(0,$AK731-$W731-$Z731)</f>
        <v>0</v>
      </c>
      <c r="Y731" s="130"/>
      <c r="Z731" s="130"/>
      <c r="AA731" s="130">
        <v>0.31</v>
      </c>
      <c r="AB731" s="132">
        <f>IF(AND($X731&gt;0,ISNUMBER($AA731)),$X731*$AA731,0)</f>
        <v>0</v>
      </c>
      <c r="AK731" s="39">
        <f>SUM(AL731:AR731)</f>
        <v>0</v>
      </c>
      <c r="AL731" s="90"/>
      <c r="AM731" s="38"/>
      <c r="AN731" s="38"/>
      <c r="AO731" s="38"/>
      <c r="AP731" s="38"/>
      <c r="AQ731" s="38"/>
      <c r="AR731" s="91"/>
      <c r="AS731" s="42">
        <f>SUM(AT731:AZ731)</f>
        <v>0</v>
      </c>
      <c r="AT731" s="48"/>
      <c r="AU731" s="48"/>
      <c r="AV731" s="48"/>
      <c r="AW731" s="48"/>
      <c r="AX731" s="48"/>
      <c r="AY731" s="48"/>
      <c r="AZ731" s="48"/>
      <c r="BA731" s="43">
        <f>IF((W731-SUM(AT731:AZ731))&lt;0,0,W731-SUM(AT731:AZ731))</f>
        <v>1</v>
      </c>
      <c r="BB731" s="130"/>
      <c r="BC731" s="37"/>
      <c r="BD731" s="37"/>
    </row>
    <row r="732" spans="1:56" ht="15" customHeight="1">
      <c r="A732" s="125" t="s">
        <v>410</v>
      </c>
      <c r="B732" s="127" t="s">
        <v>127</v>
      </c>
      <c r="C732" s="46" t="s">
        <v>65</v>
      </c>
      <c r="D732" s="125" t="s">
        <v>84</v>
      </c>
      <c r="E732" s="125" t="s">
        <v>411</v>
      </c>
      <c r="F732" s="127">
        <v>6</v>
      </c>
      <c r="G732" s="75" t="s">
        <v>412</v>
      </c>
      <c r="H732" s="131" t="s">
        <v>115</v>
      </c>
      <c r="I732" s="131" t="s">
        <v>413</v>
      </c>
      <c r="J732" s="131" t="s">
        <v>414</v>
      </c>
      <c r="K732" s="131" t="s">
        <v>415</v>
      </c>
      <c r="L732" s="47"/>
      <c r="M732" s="47"/>
      <c r="N732" s="47"/>
      <c r="O732" s="47"/>
      <c r="P732" s="47"/>
      <c r="Q732" s="47"/>
      <c r="R732" s="47"/>
      <c r="S732" s="47"/>
      <c r="T732" s="47"/>
      <c r="U732" s="47"/>
      <c r="V732" s="131" t="s">
        <v>416</v>
      </c>
      <c r="W732" s="74">
        <v>1</v>
      </c>
      <c r="X732" s="127">
        <f>MAX(0,$AK732-$W732-$Z732)</f>
        <v>0</v>
      </c>
      <c r="Y732" s="127"/>
      <c r="Z732" s="127"/>
      <c r="AA732" s="132">
        <v>0.38</v>
      </c>
      <c r="AB732" s="132">
        <f>IF(AND($X732&gt;0,ISNUMBER($AA732)),$X732*$AA732,0)</f>
        <v>0</v>
      </c>
      <c r="AK732" s="39">
        <f>SUM(AL732:AR732)</f>
        <v>1</v>
      </c>
      <c r="AL732" s="90"/>
      <c r="AM732" s="38"/>
      <c r="AN732" s="38"/>
      <c r="AO732" s="38"/>
      <c r="AP732" s="97">
        <v>1</v>
      </c>
      <c r="AQ732" s="38"/>
      <c r="AR732" s="91"/>
      <c r="AS732" s="42">
        <f>SUM(AT732:AZ732)</f>
        <v>1</v>
      </c>
      <c r="AT732" s="48"/>
      <c r="AU732" s="48"/>
      <c r="AV732" s="48"/>
      <c r="AW732" s="48"/>
      <c r="AX732" s="48">
        <v>1</v>
      </c>
      <c r="AY732" s="48"/>
      <c r="AZ732" s="48"/>
      <c r="BA732" s="43">
        <f>IF((W732-SUM(AT732:AZ732))&lt;0,0,W732-SUM(AT732:AZ732))</f>
        <v>0</v>
      </c>
      <c r="BB732" s="125"/>
      <c r="BC732" s="47"/>
      <c r="BD732" s="47"/>
    </row>
    <row r="733" spans="1:56" ht="15" customHeight="1">
      <c r="A733" s="125" t="s">
        <v>3261</v>
      </c>
      <c r="B733" s="127" t="s">
        <v>127</v>
      </c>
      <c r="C733" s="46" t="s">
        <v>83</v>
      </c>
      <c r="D733" s="125" t="s">
        <v>256</v>
      </c>
      <c r="E733" s="125"/>
      <c r="F733" s="127">
        <v>4</v>
      </c>
      <c r="G733" s="75" t="s">
        <v>3262</v>
      </c>
      <c r="H733" s="131" t="s">
        <v>87</v>
      </c>
      <c r="I733" s="131" t="s">
        <v>3262</v>
      </c>
      <c r="J733" s="131"/>
      <c r="K733" s="131"/>
      <c r="L733" s="47"/>
      <c r="M733" s="47"/>
      <c r="N733" s="47"/>
      <c r="O733" s="47"/>
      <c r="P733" s="47"/>
      <c r="Q733" s="47"/>
      <c r="R733" s="47"/>
      <c r="S733" s="47"/>
      <c r="T733" s="47"/>
      <c r="U733" s="47"/>
      <c r="V733" s="131" t="s">
        <v>421</v>
      </c>
      <c r="W733" s="74">
        <v>0</v>
      </c>
      <c r="X733" s="127">
        <f>MAX(0,$AK733-$W733-$Z733)</f>
        <v>0</v>
      </c>
      <c r="Y733" s="127"/>
      <c r="Z733" s="127"/>
      <c r="AA733" s="132">
        <v>59.34</v>
      </c>
      <c r="AB733" s="132">
        <f>IF(AND($X733&gt;0,ISNUMBER($AA733)),$X733*$AA733,0)</f>
        <v>0</v>
      </c>
      <c r="AC733" s="59"/>
      <c r="AD733" s="59"/>
      <c r="AE733" s="59"/>
      <c r="AF733" s="59"/>
      <c r="AG733" s="59"/>
      <c r="AH733" s="59"/>
      <c r="AI733" s="59"/>
      <c r="AJ733" s="59"/>
      <c r="AK733" s="39">
        <f>SUM(AL733:AR733)</f>
        <v>0</v>
      </c>
      <c r="AL733" s="114"/>
      <c r="AM733" s="43"/>
      <c r="AN733" s="43"/>
      <c r="AO733" s="43"/>
      <c r="AP733" s="43"/>
      <c r="AQ733" s="43"/>
      <c r="AR733" s="116"/>
      <c r="AS733" s="42">
        <f>SUM(AT733:AZ733)</f>
        <v>0</v>
      </c>
      <c r="AT733" s="48"/>
      <c r="AU733" s="48"/>
      <c r="AV733" s="48"/>
      <c r="AW733" s="48"/>
      <c r="AX733" s="48"/>
      <c r="AY733" s="48"/>
      <c r="AZ733" s="48"/>
      <c r="BA733" s="43">
        <f>IF((W733-SUM(AT733:AZ733))&lt;0,0,W733-SUM(AT733:AZ733))</f>
        <v>0</v>
      </c>
      <c r="BB733" s="125"/>
      <c r="BC733" s="47"/>
      <c r="BD733" s="47"/>
    </row>
    <row r="734" spans="1:56" ht="15" customHeight="1">
      <c r="A734" s="125" t="s">
        <v>417</v>
      </c>
      <c r="B734" s="127" t="s">
        <v>127</v>
      </c>
      <c r="C734" s="46" t="s">
        <v>65</v>
      </c>
      <c r="D734" s="125" t="s">
        <v>84</v>
      </c>
      <c r="E734" s="125" t="s">
        <v>225</v>
      </c>
      <c r="F734" s="127">
        <v>2</v>
      </c>
      <c r="G734" s="75" t="s">
        <v>418</v>
      </c>
      <c r="H734" s="131" t="s">
        <v>123</v>
      </c>
      <c r="I734" s="131" t="s">
        <v>419</v>
      </c>
      <c r="J734" s="131" t="s">
        <v>420</v>
      </c>
      <c r="K734" s="131"/>
      <c r="L734" s="47"/>
      <c r="M734" s="47"/>
      <c r="N734" s="47"/>
      <c r="O734" s="47"/>
      <c r="P734" s="47"/>
      <c r="Q734" s="47"/>
      <c r="R734" s="47"/>
      <c r="S734" s="47"/>
      <c r="T734" s="47"/>
      <c r="U734" s="47"/>
      <c r="V734" s="131" t="s">
        <v>421</v>
      </c>
      <c r="W734" s="74">
        <v>1</v>
      </c>
      <c r="X734" s="127">
        <f>MAX(0,$AK734-$W734-$Z734)</f>
        <v>0</v>
      </c>
      <c r="Y734" s="127"/>
      <c r="Z734" s="127"/>
      <c r="AA734" s="132">
        <v>0.17</v>
      </c>
      <c r="AB734" s="132">
        <f>IF(AND($X734&gt;0,ISNUMBER($AA734)),$X734*$AA734,0)</f>
        <v>0</v>
      </c>
      <c r="AK734" s="39">
        <f>SUM(AL734:AR734)</f>
        <v>1</v>
      </c>
      <c r="AL734" s="90"/>
      <c r="AM734" s="38"/>
      <c r="AN734" s="38"/>
      <c r="AO734" s="38"/>
      <c r="AP734" s="98">
        <v>1</v>
      </c>
      <c r="AQ734" s="38"/>
      <c r="AR734" s="91"/>
      <c r="AS734" s="42">
        <f>SUM(AT734:AZ734)</f>
        <v>1</v>
      </c>
      <c r="AT734" s="48"/>
      <c r="AU734" s="48"/>
      <c r="AV734" s="48"/>
      <c r="AW734" s="48"/>
      <c r="AX734" s="48">
        <v>1</v>
      </c>
      <c r="AY734" s="48"/>
      <c r="AZ734" s="48"/>
      <c r="BA734" s="43">
        <f>IF((W734-SUM(AT734:AZ734))&lt;0,0,W734-SUM(AT734:AZ734))</f>
        <v>0</v>
      </c>
      <c r="BB734" s="125"/>
      <c r="BC734" s="47"/>
      <c r="BD734" s="47"/>
    </row>
    <row r="735" spans="1:56" ht="15" customHeight="1" thickBot="1">
      <c r="A735" s="125" t="s">
        <v>3263</v>
      </c>
      <c r="B735" s="127" t="s">
        <v>127</v>
      </c>
      <c r="C735" s="46" t="s">
        <v>65</v>
      </c>
      <c r="D735" s="125" t="s">
        <v>178</v>
      </c>
      <c r="E735" s="125" t="s">
        <v>2480</v>
      </c>
      <c r="F735" s="127">
        <v>5</v>
      </c>
      <c r="G735" s="75" t="s">
        <v>3264</v>
      </c>
      <c r="H735" s="131" t="s">
        <v>100</v>
      </c>
      <c r="I735" s="131" t="s">
        <v>3265</v>
      </c>
      <c r="J735" s="131" t="s">
        <v>3266</v>
      </c>
      <c r="K735" s="131"/>
      <c r="L735" s="47"/>
      <c r="M735" s="47"/>
      <c r="N735" s="47"/>
      <c r="O735" s="68"/>
      <c r="P735" s="68"/>
      <c r="Q735" s="47"/>
      <c r="R735" s="47"/>
      <c r="S735" s="47"/>
      <c r="T735" s="68"/>
      <c r="U735" s="68"/>
      <c r="V735" s="131" t="s">
        <v>956</v>
      </c>
      <c r="W735" s="74">
        <v>1</v>
      </c>
      <c r="X735" s="127">
        <f>MAX(0,$AK735-$W735-$Z735)</f>
        <v>0</v>
      </c>
      <c r="Y735" s="127"/>
      <c r="Z735" s="127"/>
      <c r="AA735" s="132">
        <v>0.31</v>
      </c>
      <c r="AB735" s="132">
        <f>IF(AND($X735&gt;0,ISNUMBER($AA735)),$X735*$AA735,0)</f>
        <v>0</v>
      </c>
      <c r="AK735" s="39">
        <f>SUM(AL735:AR735)</f>
        <v>0</v>
      </c>
      <c r="AL735" s="92"/>
      <c r="AM735" s="93"/>
      <c r="AN735" s="93"/>
      <c r="AO735" s="93"/>
      <c r="AP735" s="93"/>
      <c r="AQ735" s="93"/>
      <c r="AR735" s="94"/>
      <c r="AS735" s="42">
        <f>SUM(AT735:AZ735)</f>
        <v>0</v>
      </c>
      <c r="AT735" s="48"/>
      <c r="AU735" s="48"/>
      <c r="AV735" s="48"/>
      <c r="AW735" s="48"/>
      <c r="AX735" s="48"/>
      <c r="AY735" s="48"/>
      <c r="AZ735" s="48"/>
      <c r="BA735" s="43">
        <f>IF((W735-SUM(AT735:AZ735))&lt;0,0,W735-SUM(AT735:AZ735))</f>
        <v>1</v>
      </c>
      <c r="BB735" s="125"/>
      <c r="BC735" s="47"/>
      <c r="BD735" s="47"/>
    </row>
    <row r="736" spans="1:56" ht="15" customHeight="1">
      <c r="A736" s="130" t="s">
        <v>3267</v>
      </c>
      <c r="B736" s="128" t="s">
        <v>127</v>
      </c>
      <c r="C736" s="38" t="s">
        <v>65</v>
      </c>
      <c r="D736" s="130" t="s">
        <v>76</v>
      </c>
      <c r="E736" s="130"/>
      <c r="F736" s="128">
        <v>4</v>
      </c>
      <c r="G736" s="75" t="s">
        <v>3268</v>
      </c>
      <c r="H736" s="130" t="s">
        <v>499</v>
      </c>
      <c r="I736" s="130" t="s">
        <v>3269</v>
      </c>
      <c r="J736" s="130" t="s">
        <v>3270</v>
      </c>
      <c r="K736" s="130"/>
      <c r="L736" s="37"/>
      <c r="M736" s="37"/>
      <c r="N736" s="37"/>
      <c r="O736" s="68"/>
      <c r="P736" s="68"/>
      <c r="Q736" s="37"/>
      <c r="R736" s="37"/>
      <c r="S736" s="37"/>
      <c r="T736" s="68"/>
      <c r="U736" s="68"/>
      <c r="V736" s="130" t="s">
        <v>119</v>
      </c>
      <c r="W736" s="74">
        <v>1</v>
      </c>
      <c r="X736" s="127">
        <f>MAX(0,$AK736-$W736-$Z736)</f>
        <v>0</v>
      </c>
      <c r="Y736" s="130"/>
      <c r="Z736" s="130"/>
      <c r="AA736" s="137">
        <v>0.11</v>
      </c>
      <c r="AB736" s="132">
        <f>IF(AND($X736&gt;0,ISNUMBER($AA736)),$X736*$AA736,0)</f>
        <v>0</v>
      </c>
      <c r="AK736" s="39">
        <f>SUM(AL736:AR736)</f>
        <v>0</v>
      </c>
      <c r="AL736" s="128"/>
      <c r="AM736" s="38"/>
      <c r="AN736" s="38"/>
      <c r="AO736" s="38"/>
      <c r="AP736" s="38"/>
      <c r="AQ736" s="38"/>
      <c r="AR736" s="128"/>
      <c r="AS736" s="42">
        <f>SUM(AT736:AZ736)</f>
        <v>0</v>
      </c>
      <c r="AT736" s="48"/>
      <c r="AU736" s="48"/>
      <c r="AV736" s="48"/>
      <c r="AW736" s="48"/>
      <c r="AX736" s="48"/>
      <c r="AY736" s="48"/>
      <c r="AZ736" s="48"/>
      <c r="BA736" s="43">
        <f>IF((W736-SUM(AT736:AZ736))&lt;0,0,W736-SUM(AT736:AZ736))</f>
        <v>1</v>
      </c>
      <c r="BB736" s="130"/>
      <c r="BC736" s="37"/>
      <c r="BD736" s="37"/>
    </row>
    <row r="737" spans="1:56" ht="15" customHeight="1">
      <c r="A737" s="125" t="s">
        <v>3271</v>
      </c>
      <c r="B737" s="127" t="s">
        <v>127</v>
      </c>
      <c r="C737" s="46" t="s">
        <v>83</v>
      </c>
      <c r="D737" s="125" t="s">
        <v>134</v>
      </c>
      <c r="E737" s="125"/>
      <c r="F737" s="127">
        <v>7</v>
      </c>
      <c r="G737" s="75" t="s">
        <v>3272</v>
      </c>
      <c r="H737" s="131" t="s">
        <v>233</v>
      </c>
      <c r="I737" s="131" t="s">
        <v>3272</v>
      </c>
      <c r="J737" s="131"/>
      <c r="K737" s="131"/>
      <c r="L737" s="46"/>
      <c r="M737" s="46"/>
      <c r="N737" s="46"/>
      <c r="O737" s="46"/>
      <c r="P737" s="46"/>
      <c r="Q737" s="46"/>
      <c r="R737" s="46"/>
      <c r="S737" s="46"/>
      <c r="T737" s="46"/>
      <c r="U737" s="46"/>
      <c r="V737" s="131" t="s">
        <v>421</v>
      </c>
      <c r="W737" s="74">
        <v>0</v>
      </c>
      <c r="X737" s="127">
        <f>MAX(0,$AK737-$W737-$Z737)</f>
        <v>0</v>
      </c>
      <c r="Y737" s="127"/>
      <c r="Z737" s="127"/>
      <c r="AA737" s="132">
        <v>6.66</v>
      </c>
      <c r="AB737" s="132">
        <f>IF(AND($X737&gt;0,ISNUMBER($AA737)),$X737*$AA737,0)</f>
        <v>0</v>
      </c>
      <c r="AC737" s="59"/>
      <c r="AD737" s="59"/>
      <c r="AE737" s="59"/>
      <c r="AF737" s="59"/>
      <c r="AG737" s="59"/>
      <c r="AH737" s="59"/>
      <c r="AI737" s="59"/>
      <c r="AJ737" s="59"/>
      <c r="AK737" s="39">
        <f>SUM(AL737:AR737)</f>
        <v>0</v>
      </c>
      <c r="AL737" s="127"/>
      <c r="AM737" s="43"/>
      <c r="AN737" s="43"/>
      <c r="AO737" s="43"/>
      <c r="AP737" s="43"/>
      <c r="AQ737" s="43"/>
      <c r="AR737" s="127"/>
      <c r="AS737" s="42">
        <f>SUM(AT737:AZ737)</f>
        <v>0</v>
      </c>
      <c r="AT737" s="48"/>
      <c r="AU737" s="48"/>
      <c r="AV737" s="48"/>
      <c r="AW737" s="48"/>
      <c r="AX737" s="48"/>
      <c r="AY737" s="48"/>
      <c r="AZ737" s="48"/>
      <c r="BA737" s="43">
        <f>IF((W737-SUM(AT737:AZ737))&lt;0,0,W737-SUM(AT737:AZ737))</f>
        <v>0</v>
      </c>
      <c r="BB737" s="125"/>
      <c r="BC737" s="47"/>
      <c r="BD737" s="53"/>
    </row>
    <row r="738" spans="1:56" ht="15" customHeight="1">
      <c r="A738" s="125" t="s">
        <v>3273</v>
      </c>
      <c r="B738" s="127" t="s">
        <v>127</v>
      </c>
      <c r="C738" s="46" t="s">
        <v>65</v>
      </c>
      <c r="D738" s="125" t="s">
        <v>105</v>
      </c>
      <c r="E738" s="125"/>
      <c r="F738" s="127">
        <v>3</v>
      </c>
      <c r="G738" s="75" t="s">
        <v>3274</v>
      </c>
      <c r="H738" s="131" t="s">
        <v>172</v>
      </c>
      <c r="I738" s="131" t="s">
        <v>3275</v>
      </c>
      <c r="J738" s="131" t="s">
        <v>3276</v>
      </c>
      <c r="K738" s="131"/>
      <c r="L738" s="46"/>
      <c r="M738" s="46"/>
      <c r="N738" s="46"/>
      <c r="O738" s="46"/>
      <c r="P738" s="46"/>
      <c r="Q738" s="46"/>
      <c r="R738" s="46"/>
      <c r="S738" s="46"/>
      <c r="T738" s="46"/>
      <c r="U738" s="46"/>
      <c r="V738" s="131" t="s">
        <v>432</v>
      </c>
      <c r="W738" s="74">
        <v>1</v>
      </c>
      <c r="X738" s="127">
        <f>MAX(0,$AK738-$W738-$Z738)</f>
        <v>0</v>
      </c>
      <c r="Y738" s="127"/>
      <c r="Z738" s="127"/>
      <c r="AA738" s="132">
        <v>1.18</v>
      </c>
      <c r="AB738" s="132">
        <f>IF(AND($X738&gt;0,ISNUMBER($AA738)),$X738*$AA738,0)</f>
        <v>0</v>
      </c>
      <c r="AK738" s="39">
        <f>SUM(AL738:AR738)</f>
        <v>1</v>
      </c>
      <c r="AL738" s="139">
        <v>1</v>
      </c>
      <c r="AM738" s="38"/>
      <c r="AN738" s="38"/>
      <c r="AO738" s="38"/>
      <c r="AP738" s="38"/>
      <c r="AQ738" s="38"/>
      <c r="AR738" s="128"/>
      <c r="AS738" s="42">
        <f>SUM(AT738:AZ738)</f>
        <v>1</v>
      </c>
      <c r="AT738" s="48">
        <v>1</v>
      </c>
      <c r="AU738" s="48"/>
      <c r="AV738" s="48"/>
      <c r="AW738" s="48"/>
      <c r="AX738" s="48"/>
      <c r="AY738" s="48"/>
      <c r="AZ738" s="48"/>
      <c r="BA738" s="43">
        <f>IF((W738-SUM(AT738:AZ738))&lt;0,0,W738-SUM(AT738:AZ738))</f>
        <v>0</v>
      </c>
      <c r="BB738" s="125"/>
      <c r="BC738" s="47"/>
      <c r="BD738" s="47"/>
    </row>
    <row r="739" spans="1:56" ht="15" customHeight="1">
      <c r="A739" s="130" t="s">
        <v>3277</v>
      </c>
      <c r="B739" s="128" t="s">
        <v>127</v>
      </c>
      <c r="C739" s="38" t="s">
        <v>65</v>
      </c>
      <c r="D739" s="130" t="s">
        <v>84</v>
      </c>
      <c r="E739" s="130" t="s">
        <v>3278</v>
      </c>
      <c r="F739" s="128">
        <v>5</v>
      </c>
      <c r="G739" s="75" t="s">
        <v>3279</v>
      </c>
      <c r="H739" s="130" t="s">
        <v>564</v>
      </c>
      <c r="I739" s="130" t="s">
        <v>3280</v>
      </c>
      <c r="J739" s="130" t="s">
        <v>3281</v>
      </c>
      <c r="K739" s="130" t="s">
        <v>3282</v>
      </c>
      <c r="L739" s="37"/>
      <c r="M739" s="37"/>
      <c r="N739" s="37"/>
      <c r="O739" s="68"/>
      <c r="P739" s="68"/>
      <c r="Q739" s="37"/>
      <c r="R739" s="37"/>
      <c r="S739" s="37"/>
      <c r="T739" s="68"/>
      <c r="U739" s="68"/>
      <c r="V739" s="130" t="s">
        <v>223</v>
      </c>
      <c r="W739" s="74">
        <v>1</v>
      </c>
      <c r="X739" s="127">
        <f>MAX(0,$AK739-$W739-$Z739)</f>
        <v>0</v>
      </c>
      <c r="Y739" s="130"/>
      <c r="Z739" s="130"/>
      <c r="AA739" s="137">
        <v>0.08</v>
      </c>
      <c r="AB739" s="132">
        <f>IF(AND($X739&gt;0,ISNUMBER($AA739)),$X739*$AA739,0)</f>
        <v>0</v>
      </c>
      <c r="AK739" s="39">
        <f>SUM(AL739:AR739)</f>
        <v>0</v>
      </c>
      <c r="AL739" s="128"/>
      <c r="AM739" s="38"/>
      <c r="AN739" s="38"/>
      <c r="AO739" s="38"/>
      <c r="AP739" s="38"/>
      <c r="AQ739" s="38"/>
      <c r="AR739" s="128"/>
      <c r="AS739" s="42">
        <f>SUM(AT739:AZ739)</f>
        <v>0</v>
      </c>
      <c r="AT739" s="48"/>
      <c r="AU739" s="48"/>
      <c r="AV739" s="48"/>
      <c r="AW739" s="48"/>
      <c r="AX739" s="48"/>
      <c r="AY739" s="48"/>
      <c r="AZ739" s="48"/>
      <c r="BA739" s="43">
        <f>IF((W739-SUM(AT739:AZ739))&lt;0,0,W739-SUM(AT739:AZ739))</f>
        <v>1</v>
      </c>
      <c r="BB739" s="130"/>
      <c r="BC739" s="37"/>
      <c r="BD739" s="37"/>
    </row>
    <row r="740" spans="1:56" ht="15" customHeight="1">
      <c r="A740" s="125" t="s">
        <v>3283</v>
      </c>
      <c r="B740" s="127" t="s">
        <v>127</v>
      </c>
      <c r="C740" s="46" t="s">
        <v>65</v>
      </c>
      <c r="D740" s="125" t="s">
        <v>178</v>
      </c>
      <c r="E740" s="125" t="s">
        <v>3284</v>
      </c>
      <c r="F740" s="127">
        <v>3</v>
      </c>
      <c r="G740" s="75" t="s">
        <v>3285</v>
      </c>
      <c r="H740" s="131" t="s">
        <v>564</v>
      </c>
      <c r="I740" s="131" t="s">
        <v>3286</v>
      </c>
      <c r="J740" s="131" t="s">
        <v>3287</v>
      </c>
      <c r="K740" s="131" t="s">
        <v>3288</v>
      </c>
      <c r="L740" s="46"/>
      <c r="M740" s="46"/>
      <c r="N740" s="46"/>
      <c r="O740" s="46"/>
      <c r="P740" s="46"/>
      <c r="Q740" s="46"/>
      <c r="R740" s="46"/>
      <c r="S740" s="46"/>
      <c r="T740" s="46"/>
      <c r="U740" s="46"/>
      <c r="V740" s="131" t="s">
        <v>1916</v>
      </c>
      <c r="W740" s="74">
        <v>1</v>
      </c>
      <c r="X740" s="127">
        <f>MAX(0,$AK740-$W740-$Z740)</f>
        <v>0</v>
      </c>
      <c r="Y740" s="127"/>
      <c r="Z740" s="127"/>
      <c r="AA740" s="132">
        <v>0.2</v>
      </c>
      <c r="AB740" s="132">
        <f>IF(AND($X740&gt;0,ISNUMBER($AA740)),$X740*$AA740,0)</f>
        <v>0</v>
      </c>
      <c r="AK740" s="39">
        <f>SUM(AL740:AR740)</f>
        <v>0</v>
      </c>
      <c r="AL740" s="128"/>
      <c r="AM740" s="38"/>
      <c r="AN740" s="38"/>
      <c r="AO740" s="38"/>
      <c r="AP740" s="38"/>
      <c r="AQ740" s="38"/>
      <c r="AR740" s="128"/>
      <c r="AS740" s="42">
        <f>SUM(AT740:AZ740)</f>
        <v>0</v>
      </c>
      <c r="AT740" s="48"/>
      <c r="AU740" s="48"/>
      <c r="AV740" s="48"/>
      <c r="AW740" s="48"/>
      <c r="AX740" s="48"/>
      <c r="AY740" s="48"/>
      <c r="AZ740" s="48"/>
      <c r="BA740" s="43">
        <f>IF((W740-SUM(AT740:AZ740))&lt;0,0,W740-SUM(AT740:AZ740))</f>
        <v>1</v>
      </c>
      <c r="BB740" s="125"/>
      <c r="BC740" s="47"/>
      <c r="BD740" s="47"/>
    </row>
    <row r="741" spans="1:56" ht="15" customHeight="1">
      <c r="A741" s="126" t="s">
        <v>3289</v>
      </c>
      <c r="B741" s="129" t="s">
        <v>127</v>
      </c>
      <c r="C741" s="46" t="s">
        <v>65</v>
      </c>
      <c r="D741" s="126" t="s">
        <v>134</v>
      </c>
      <c r="E741" s="126"/>
      <c r="F741" s="129">
        <v>6</v>
      </c>
      <c r="G741" s="75" t="s">
        <v>3290</v>
      </c>
      <c r="H741" s="126" t="s">
        <v>474</v>
      </c>
      <c r="I741" s="126" t="s">
        <v>3291</v>
      </c>
      <c r="J741" s="126"/>
      <c r="K741" s="126"/>
      <c r="L741" s="108"/>
      <c r="M741" s="46"/>
      <c r="N741" s="46"/>
      <c r="O741" s="68"/>
      <c r="P741" s="110"/>
      <c r="Q741" s="108"/>
      <c r="R741" s="46"/>
      <c r="S741" s="46"/>
      <c r="T741" s="68"/>
      <c r="U741" s="111"/>
      <c r="V741" s="126" t="s">
        <v>1150</v>
      </c>
      <c r="W741" s="74">
        <v>0</v>
      </c>
      <c r="X741" s="127">
        <f>MAX(0,$AK741-$W741-$Z741)</f>
        <v>0</v>
      </c>
      <c r="Y741" s="126"/>
      <c r="Z741" s="126"/>
      <c r="AA741" s="126">
        <v>0.36</v>
      </c>
      <c r="AB741" s="126">
        <f>IF(AND($X741&gt;0,ISNUMBER($AA741)),$X741*$AA741,0)</f>
        <v>0</v>
      </c>
      <c r="AK741" s="39">
        <f>SUM(AL741:AR741)</f>
        <v>0</v>
      </c>
      <c r="AL741" s="128"/>
      <c r="AM741" s="38"/>
      <c r="AN741" s="38"/>
      <c r="AO741" s="38"/>
      <c r="AP741" s="38"/>
      <c r="AQ741" s="38"/>
      <c r="AR741" s="128"/>
      <c r="AS741" s="42">
        <f>SUM(AT741:AZ741)</f>
        <v>0</v>
      </c>
      <c r="AT741" s="48"/>
      <c r="AU741" s="48"/>
      <c r="AV741" s="48"/>
      <c r="AW741" s="48"/>
      <c r="AX741" s="48"/>
      <c r="AY741" s="48"/>
      <c r="AZ741" s="48"/>
      <c r="BA741" s="43">
        <f>IF((W741-SUM(AT741:AZ741))&lt;0,0,W741-SUM(AT741:AZ741))</f>
        <v>0</v>
      </c>
      <c r="BB741" s="126"/>
      <c r="BC741" s="47"/>
      <c r="BD741" s="47"/>
    </row>
    <row r="742" spans="1:56" ht="15" customHeight="1">
      <c r="A742" s="126" t="s">
        <v>3292</v>
      </c>
      <c r="B742" s="129" t="s">
        <v>127</v>
      </c>
      <c r="C742" s="46" t="s">
        <v>65</v>
      </c>
      <c r="D742" s="126" t="s">
        <v>178</v>
      </c>
      <c r="E742" s="126" t="s">
        <v>3293</v>
      </c>
      <c r="F742" s="129">
        <v>1</v>
      </c>
      <c r="G742" s="75" t="s">
        <v>3294</v>
      </c>
      <c r="H742" s="126" t="s">
        <v>227</v>
      </c>
      <c r="I742" s="126" t="s">
        <v>3295</v>
      </c>
      <c r="J742" s="126" t="s">
        <v>3296</v>
      </c>
      <c r="K742" s="126"/>
      <c r="L742" s="47"/>
      <c r="M742" s="47"/>
      <c r="N742" s="47"/>
      <c r="O742" s="47"/>
      <c r="P742" s="47"/>
      <c r="Q742" s="47"/>
      <c r="R742" s="47"/>
      <c r="S742" s="47"/>
      <c r="T742" s="47"/>
      <c r="U742" s="47"/>
      <c r="V742" s="126" t="s">
        <v>167</v>
      </c>
      <c r="W742" s="74">
        <v>1</v>
      </c>
      <c r="X742" s="127">
        <f>MAX(0,$AK742-$W742-$Z742)</f>
        <v>0</v>
      </c>
      <c r="Y742" s="126"/>
      <c r="Z742" s="126"/>
      <c r="AA742" s="126">
        <v>0.24</v>
      </c>
      <c r="AB742" s="126">
        <f>IF(AND($X742&gt;0,ISNUMBER($AA742)),$X742*$AA742,0)</f>
        <v>0</v>
      </c>
      <c r="AK742" s="39">
        <f>SUM(AL742:AR742)</f>
        <v>1</v>
      </c>
      <c r="AL742" s="128"/>
      <c r="AM742" s="97">
        <v>1</v>
      </c>
      <c r="AN742" s="38"/>
      <c r="AO742" s="38"/>
      <c r="AP742" s="38"/>
      <c r="AQ742" s="38"/>
      <c r="AR742" s="128"/>
      <c r="AS742" s="42">
        <f>SUM(AT742:AZ742)</f>
        <v>1</v>
      </c>
      <c r="AT742" s="48"/>
      <c r="AU742" s="48">
        <v>1</v>
      </c>
      <c r="AV742" s="48"/>
      <c r="AW742" s="48"/>
      <c r="AX742" s="48"/>
      <c r="AY742" s="48"/>
      <c r="AZ742" s="48"/>
      <c r="BA742" s="43">
        <f>IF((W742-SUM(AT742:AZ742))&lt;0,0,W742-SUM(AT742:AZ742))</f>
        <v>0</v>
      </c>
      <c r="BB742" s="126"/>
      <c r="BC742" s="47"/>
      <c r="BD742" s="47"/>
    </row>
    <row r="743" spans="1:56" ht="15" customHeight="1">
      <c r="A743" s="125" t="s">
        <v>3297</v>
      </c>
      <c r="B743" s="127" t="s">
        <v>127</v>
      </c>
      <c r="C743" s="46" t="s">
        <v>65</v>
      </c>
      <c r="D743" s="125" t="s">
        <v>97</v>
      </c>
      <c r="E743" s="125" t="s">
        <v>1087</v>
      </c>
      <c r="F743" s="127">
        <v>5</v>
      </c>
      <c r="G743" s="75" t="s">
        <v>3298</v>
      </c>
      <c r="H743" s="131" t="s">
        <v>227</v>
      </c>
      <c r="I743" s="131" t="s">
        <v>3299</v>
      </c>
      <c r="J743" s="131" t="s">
        <v>3300</v>
      </c>
      <c r="K743" s="131" t="s">
        <v>3301</v>
      </c>
      <c r="L743" s="47"/>
      <c r="M743" s="47"/>
      <c r="N743" s="47"/>
      <c r="O743" s="68"/>
      <c r="P743" s="68"/>
      <c r="Q743" s="47"/>
      <c r="R743" s="47"/>
      <c r="S743" s="47"/>
      <c r="T743" s="68"/>
      <c r="U743" s="68"/>
      <c r="V743" s="131" t="s">
        <v>432</v>
      </c>
      <c r="W743" s="74">
        <v>1</v>
      </c>
      <c r="X743" s="127">
        <f>MAX(0,$AK743-$W743-$Z743)</f>
        <v>0</v>
      </c>
      <c r="Y743" s="127"/>
      <c r="Z743" s="127"/>
      <c r="AA743" s="132">
        <v>1.36</v>
      </c>
      <c r="AB743" s="132">
        <f>IF(AND($X743&gt;0,ISNUMBER($AA743)),$X743*$AA743,0)</f>
        <v>0</v>
      </c>
      <c r="AK743" s="39">
        <f>SUM(AL743:AR743)</f>
        <v>0</v>
      </c>
      <c r="AL743" s="128"/>
      <c r="AM743" s="38"/>
      <c r="AN743" s="38"/>
      <c r="AO743" s="38"/>
      <c r="AP743" s="38"/>
      <c r="AQ743" s="38"/>
      <c r="AR743" s="128"/>
      <c r="AS743" s="42">
        <f>SUM(AT743:AZ743)</f>
        <v>0</v>
      </c>
      <c r="AT743" s="48"/>
      <c r="AU743" s="48"/>
      <c r="AV743" s="48"/>
      <c r="AW743" s="48"/>
      <c r="AX743" s="48"/>
      <c r="AY743" s="48"/>
      <c r="AZ743" s="48"/>
      <c r="BA743" s="43">
        <f>IF((W743-SUM(AT743:AZ743))&lt;0,0,W743-SUM(AT743:AZ743))</f>
        <v>1</v>
      </c>
      <c r="BB743" s="125"/>
      <c r="BC743" s="47"/>
      <c r="BD743" s="47"/>
    </row>
    <row r="744" spans="1:56" ht="15" customHeight="1">
      <c r="A744" s="125" t="s">
        <v>3302</v>
      </c>
      <c r="B744" s="127" t="s">
        <v>127</v>
      </c>
      <c r="C744" s="46" t="s">
        <v>83</v>
      </c>
      <c r="D744" s="125" t="s">
        <v>76</v>
      </c>
      <c r="E744" s="125"/>
      <c r="F744" s="127">
        <v>2</v>
      </c>
      <c r="G744" s="75" t="s">
        <v>3303</v>
      </c>
      <c r="H744" s="131" t="s">
        <v>115</v>
      </c>
      <c r="I744" s="131" t="s">
        <v>3304</v>
      </c>
      <c r="J744" s="131"/>
      <c r="K744" s="131"/>
      <c r="L744" s="47"/>
      <c r="M744" s="47"/>
      <c r="N744" s="47"/>
      <c r="O744" s="47"/>
      <c r="P744" s="47"/>
      <c r="Q744" s="47"/>
      <c r="R744" s="47"/>
      <c r="S744" s="47"/>
      <c r="T744" s="47"/>
      <c r="U744" s="47"/>
      <c r="V744" s="131" t="s">
        <v>368</v>
      </c>
      <c r="W744" s="74">
        <v>0</v>
      </c>
      <c r="X744" s="127">
        <f>MAX(0,$AK744-$W744-$Z744)</f>
        <v>0</v>
      </c>
      <c r="Y744" s="127"/>
      <c r="Z744" s="127"/>
      <c r="AA744" s="132">
        <v>1.55</v>
      </c>
      <c r="AB744" s="132">
        <f>IF(AND($X744&gt;0,ISNUMBER($AA744)),$X744*$AA744,0)</f>
        <v>0</v>
      </c>
      <c r="AC744" s="59"/>
      <c r="AD744" s="59"/>
      <c r="AE744" s="59"/>
      <c r="AF744" s="59"/>
      <c r="AG744" s="59"/>
      <c r="AH744" s="59"/>
      <c r="AI744" s="59"/>
      <c r="AJ744" s="59"/>
      <c r="AK744" s="39">
        <f>SUM(AL744:AR744)</f>
        <v>0</v>
      </c>
      <c r="AL744" s="127"/>
      <c r="AM744" s="43"/>
      <c r="AN744" s="43"/>
      <c r="AO744" s="43"/>
      <c r="AP744" s="43"/>
      <c r="AQ744" s="43"/>
      <c r="AR744" s="127"/>
      <c r="AS744" s="42">
        <f>SUM(AT744:AZ744)</f>
        <v>0</v>
      </c>
      <c r="AT744" s="48"/>
      <c r="AU744" s="48"/>
      <c r="AV744" s="48"/>
      <c r="AW744" s="48"/>
      <c r="AX744" s="48"/>
      <c r="AY744" s="48"/>
      <c r="AZ744" s="48"/>
      <c r="BA744" s="43">
        <f>IF((W744-SUM(AT744:AZ744))&lt;0,0,W744-SUM(AT744:AZ744))</f>
        <v>0</v>
      </c>
      <c r="BB744" s="125"/>
      <c r="BC744" s="47"/>
      <c r="BD744" s="47"/>
    </row>
    <row r="745" spans="1:56" ht="15" customHeight="1">
      <c r="A745" s="125" t="s">
        <v>3305</v>
      </c>
      <c r="B745" s="127" t="s">
        <v>127</v>
      </c>
      <c r="C745" s="46" t="s">
        <v>65</v>
      </c>
      <c r="D745" s="125" t="s">
        <v>84</v>
      </c>
      <c r="E745" s="125" t="s">
        <v>2517</v>
      </c>
      <c r="F745" s="127">
        <v>2</v>
      </c>
      <c r="G745" s="75" t="s">
        <v>3306</v>
      </c>
      <c r="H745" s="131" t="s">
        <v>227</v>
      </c>
      <c r="I745" s="131" t="s">
        <v>2296</v>
      </c>
      <c r="J745" s="131" t="s">
        <v>3307</v>
      </c>
      <c r="K745" s="131"/>
      <c r="L745" s="47"/>
      <c r="M745" s="47"/>
      <c r="N745" s="47"/>
      <c r="O745" s="68"/>
      <c r="P745" s="68"/>
      <c r="Q745" s="47"/>
      <c r="R745" s="47"/>
      <c r="S745" s="47"/>
      <c r="T745" s="68"/>
      <c r="U745" s="68"/>
      <c r="V745" s="131" t="s">
        <v>119</v>
      </c>
      <c r="W745" s="74">
        <v>1</v>
      </c>
      <c r="X745" s="127">
        <f>MAX(0,$AK745-$W745-$Z745)</f>
        <v>0</v>
      </c>
      <c r="Y745" s="127"/>
      <c r="Z745" s="127"/>
      <c r="AA745" s="132">
        <v>0.16</v>
      </c>
      <c r="AB745" s="132">
        <f>IF(AND($X745&gt;0,ISNUMBER($AA745)),$X745*$AA745,0)</f>
        <v>0</v>
      </c>
      <c r="AK745" s="39">
        <f>SUM(AL745:AR745)</f>
        <v>0</v>
      </c>
      <c r="AL745" s="128"/>
      <c r="AM745" s="38"/>
      <c r="AN745" s="38"/>
      <c r="AO745" s="38"/>
      <c r="AP745" s="38"/>
      <c r="AQ745" s="38"/>
      <c r="AR745" s="128"/>
      <c r="AS745" s="42">
        <f>SUM(AT745:AZ745)</f>
        <v>0</v>
      </c>
      <c r="AT745" s="48"/>
      <c r="AU745" s="48"/>
      <c r="AV745" s="48"/>
      <c r="AW745" s="48"/>
      <c r="AX745" s="48"/>
      <c r="AY745" s="48"/>
      <c r="AZ745" s="48"/>
      <c r="BA745" s="43">
        <f>IF((W745-SUM(AT745:AZ745))&lt;0,0,W745-SUM(AT745:AZ745))</f>
        <v>1</v>
      </c>
      <c r="BB745" s="125"/>
      <c r="BC745" s="47"/>
      <c r="BD745" s="47"/>
    </row>
    <row r="746" spans="1:56" ht="15" customHeight="1">
      <c r="A746" s="125" t="s">
        <v>3308</v>
      </c>
      <c r="B746" s="127" t="s">
        <v>127</v>
      </c>
      <c r="C746" s="46" t="s">
        <v>65</v>
      </c>
      <c r="D746" s="125" t="s">
        <v>256</v>
      </c>
      <c r="E746" s="125"/>
      <c r="F746" s="127">
        <v>4</v>
      </c>
      <c r="G746" s="75" t="s">
        <v>3309</v>
      </c>
      <c r="H746" s="131" t="s">
        <v>78</v>
      </c>
      <c r="I746" s="131" t="s">
        <v>1294</v>
      </c>
      <c r="J746" s="131" t="s">
        <v>3310</v>
      </c>
      <c r="K746" s="131" t="s">
        <v>3311</v>
      </c>
      <c r="L746" s="46"/>
      <c r="M746" s="46"/>
      <c r="N746" s="46"/>
      <c r="O746" s="46"/>
      <c r="P746" s="46"/>
      <c r="Q746" s="46"/>
      <c r="R746" s="46"/>
      <c r="S746" s="46"/>
      <c r="T746" s="46"/>
      <c r="U746" s="46"/>
      <c r="V746" s="131" t="s">
        <v>421</v>
      </c>
      <c r="W746" s="74">
        <v>3</v>
      </c>
      <c r="X746" s="127">
        <f>MAX(0,$AK746-$W746-$Z746)</f>
        <v>0</v>
      </c>
      <c r="Y746" s="127"/>
      <c r="Z746" s="127"/>
      <c r="AA746" s="132">
        <v>0.27</v>
      </c>
      <c r="AB746" s="132">
        <f>IF(AND($X746&gt;0,ISNUMBER($AA746)),$X746*$AA746,0)</f>
        <v>0</v>
      </c>
      <c r="AK746" s="39">
        <f>SUM(AL746:AR746)</f>
        <v>2</v>
      </c>
      <c r="AL746" s="128"/>
      <c r="AM746" s="97">
        <v>1</v>
      </c>
      <c r="AN746" s="97">
        <v>1</v>
      </c>
      <c r="AO746" s="38"/>
      <c r="AP746" s="38"/>
      <c r="AQ746" s="38"/>
      <c r="AR746" s="128"/>
      <c r="AS746" s="42">
        <f>SUM(AT746:AZ746)</f>
        <v>2</v>
      </c>
      <c r="AT746" s="48"/>
      <c r="AU746" s="48">
        <v>1</v>
      </c>
      <c r="AV746" s="48">
        <v>1</v>
      </c>
      <c r="AW746" s="48"/>
      <c r="AX746" s="48"/>
      <c r="AY746" s="48"/>
      <c r="AZ746" s="48"/>
      <c r="BA746" s="43">
        <f>IF((W746-SUM(AT746:AZ746))&lt;0,0,W746-SUM(AT746:AZ746))</f>
        <v>1</v>
      </c>
      <c r="BB746" s="125"/>
      <c r="BC746" s="47"/>
      <c r="BD746" s="47"/>
    </row>
    <row r="747" spans="1:56" ht="15" customHeight="1">
      <c r="A747" s="125" t="s">
        <v>3312</v>
      </c>
      <c r="B747" s="127" t="s">
        <v>127</v>
      </c>
      <c r="C747" s="46" t="s">
        <v>65</v>
      </c>
      <c r="D747" s="125" t="s">
        <v>84</v>
      </c>
      <c r="E747" s="125" t="s">
        <v>128</v>
      </c>
      <c r="F747" s="127">
        <v>2</v>
      </c>
      <c r="G747" s="75" t="s">
        <v>3313</v>
      </c>
      <c r="H747" s="131" t="s">
        <v>1268</v>
      </c>
      <c r="I747" s="131" t="s">
        <v>3314</v>
      </c>
      <c r="J747" s="131"/>
      <c r="K747" s="131"/>
      <c r="L747" s="47"/>
      <c r="M747" s="47"/>
      <c r="N747" s="47"/>
      <c r="O747" s="68"/>
      <c r="P747" s="68"/>
      <c r="Q747" s="47"/>
      <c r="R747" s="47"/>
      <c r="S747" s="47"/>
      <c r="T747" s="68"/>
      <c r="U747" s="68"/>
      <c r="V747" s="131" t="s">
        <v>692</v>
      </c>
      <c r="W747" s="74">
        <v>1</v>
      </c>
      <c r="X747" s="127">
        <f>MAX(0,$AK747-$W747-$Z747)</f>
        <v>0</v>
      </c>
      <c r="Y747" s="127"/>
      <c r="Z747" s="127"/>
      <c r="AA747" s="132">
        <v>0.21</v>
      </c>
      <c r="AB747" s="132">
        <f>IF(AND($X747&gt;0,ISNUMBER($AA747)),$X747*$AA747,0)</f>
        <v>0</v>
      </c>
      <c r="AK747" s="39">
        <f>SUM(AL747:AR747)</f>
        <v>0</v>
      </c>
      <c r="AL747" s="128"/>
      <c r="AM747" s="38"/>
      <c r="AN747" s="38"/>
      <c r="AO747" s="38"/>
      <c r="AP747" s="38"/>
      <c r="AQ747" s="38"/>
      <c r="AR747" s="128"/>
      <c r="AS747" s="42">
        <f>SUM(AT747:AZ747)</f>
        <v>0</v>
      </c>
      <c r="AT747" s="48"/>
      <c r="AU747" s="48"/>
      <c r="AV747" s="48"/>
      <c r="AW747" s="48"/>
      <c r="AX747" s="48"/>
      <c r="AY747" s="48"/>
      <c r="AZ747" s="48"/>
      <c r="BA747" s="43">
        <f>IF((W747-SUM(AT747:AZ747))&lt;0,0,W747-SUM(AT747:AZ747))</f>
        <v>1</v>
      </c>
      <c r="BB747" s="125"/>
      <c r="BC747" s="47"/>
      <c r="BD747" s="47"/>
    </row>
    <row r="748" spans="1:56" ht="15" customHeight="1">
      <c r="A748" s="125" t="s">
        <v>3315</v>
      </c>
      <c r="B748" s="127" t="s">
        <v>127</v>
      </c>
      <c r="C748" s="46" t="s">
        <v>65</v>
      </c>
      <c r="D748" s="125" t="s">
        <v>134</v>
      </c>
      <c r="E748" s="125"/>
      <c r="F748" s="127">
        <v>5</v>
      </c>
      <c r="G748" s="75" t="s">
        <v>3316</v>
      </c>
      <c r="H748" s="131" t="s">
        <v>474</v>
      </c>
      <c r="I748" s="131" t="s">
        <v>3317</v>
      </c>
      <c r="J748" s="131" t="s">
        <v>3318</v>
      </c>
      <c r="K748" s="131"/>
      <c r="L748" s="46"/>
      <c r="M748" s="46"/>
      <c r="N748" s="46"/>
      <c r="O748" s="46"/>
      <c r="P748" s="46"/>
      <c r="Q748" s="46"/>
      <c r="R748" s="46"/>
      <c r="S748" s="46"/>
      <c r="T748" s="46"/>
      <c r="U748" s="46"/>
      <c r="V748" s="131" t="s">
        <v>1916</v>
      </c>
      <c r="W748" s="74">
        <v>1</v>
      </c>
      <c r="X748" s="127">
        <f>MAX(0,$AK748-$W748-$Z748)</f>
        <v>0</v>
      </c>
      <c r="Y748" s="127"/>
      <c r="Z748" s="127"/>
      <c r="AA748" s="132">
        <v>0.3</v>
      </c>
      <c r="AB748" s="132">
        <f>IF(AND($X748&gt;0,ISNUMBER($AA748)),$X748*$AA748,0)</f>
        <v>0</v>
      </c>
      <c r="AK748" s="39">
        <f>SUM(AL748:AR748)</f>
        <v>1</v>
      </c>
      <c r="AL748" s="139">
        <v>1</v>
      </c>
      <c r="AM748" s="38"/>
      <c r="AN748" s="38"/>
      <c r="AO748" s="38"/>
      <c r="AP748" s="38"/>
      <c r="AQ748" s="38"/>
      <c r="AR748" s="128"/>
      <c r="AS748" s="42">
        <f>SUM(AT748:AZ748)</f>
        <v>1</v>
      </c>
      <c r="AT748" s="48">
        <v>1</v>
      </c>
      <c r="AU748" s="48"/>
      <c r="AV748" s="48"/>
      <c r="AW748" s="48"/>
      <c r="AX748" s="48"/>
      <c r="AY748" s="48"/>
      <c r="AZ748" s="48"/>
      <c r="BA748" s="43">
        <f>IF((W748-SUM(AT748:AZ748))&lt;0,0,W748-SUM(AT748:AZ748))</f>
        <v>0</v>
      </c>
      <c r="BB748" s="125"/>
      <c r="BC748" s="47"/>
      <c r="BD748" s="47"/>
    </row>
    <row r="749" spans="1:56" ht="15" customHeight="1">
      <c r="A749" s="125" t="s">
        <v>3319</v>
      </c>
      <c r="B749" s="127" t="s">
        <v>127</v>
      </c>
      <c r="C749" s="46" t="s">
        <v>65</v>
      </c>
      <c r="D749" s="125" t="s">
        <v>84</v>
      </c>
      <c r="E749" s="125" t="s">
        <v>3320</v>
      </c>
      <c r="F749" s="127">
        <v>2</v>
      </c>
      <c r="G749" s="75" t="s">
        <v>3321</v>
      </c>
      <c r="H749" s="131" t="s">
        <v>1182</v>
      </c>
      <c r="I749" s="131" t="s">
        <v>3322</v>
      </c>
      <c r="J749" s="131"/>
      <c r="K749" s="131"/>
      <c r="L749" s="47"/>
      <c r="M749" s="47"/>
      <c r="N749" s="47"/>
      <c r="O749" s="47"/>
      <c r="P749" s="47"/>
      <c r="Q749" s="47"/>
      <c r="R749" s="47"/>
      <c r="S749" s="47"/>
      <c r="T749" s="47"/>
      <c r="U749" s="47"/>
      <c r="V749" s="131" t="s">
        <v>204</v>
      </c>
      <c r="W749" s="74">
        <v>1</v>
      </c>
      <c r="X749" s="127">
        <f>MAX(0,$AK749-$W749-$Z749)</f>
        <v>0</v>
      </c>
      <c r="Y749" s="127"/>
      <c r="Z749" s="127"/>
      <c r="AA749" s="132">
        <v>0.31</v>
      </c>
      <c r="AB749" s="132">
        <f>IF(AND($X749&gt;0,ISNUMBER($AA749)),$X749*$AA749,0)</f>
        <v>0</v>
      </c>
      <c r="AK749" s="39">
        <f>SUM(AL749:AR749)</f>
        <v>1</v>
      </c>
      <c r="AL749" s="128"/>
      <c r="AM749" s="97">
        <v>1</v>
      </c>
      <c r="AN749" s="38"/>
      <c r="AO749" s="38"/>
      <c r="AP749" s="38"/>
      <c r="AQ749" s="38"/>
      <c r="AR749" s="128"/>
      <c r="AS749" s="42">
        <f>SUM(AT749:AZ749)</f>
        <v>1</v>
      </c>
      <c r="AT749" s="48"/>
      <c r="AU749" s="48">
        <v>1</v>
      </c>
      <c r="AV749" s="48"/>
      <c r="AW749" s="48"/>
      <c r="AX749" s="48"/>
      <c r="AY749" s="48"/>
      <c r="AZ749" s="48"/>
      <c r="BA749" s="43">
        <f>IF((W749-SUM(AT749:AZ749))&lt;0,0,W749-SUM(AT749:AZ749))</f>
        <v>0</v>
      </c>
      <c r="BB749" s="125"/>
      <c r="BC749" s="47"/>
      <c r="BD749" s="47"/>
    </row>
    <row r="750" spans="1:56" ht="15" customHeight="1">
      <c r="A750" s="125" t="s">
        <v>3323</v>
      </c>
      <c r="B750" s="127" t="s">
        <v>127</v>
      </c>
      <c r="C750" s="46" t="s">
        <v>65</v>
      </c>
      <c r="D750" s="125" t="s">
        <v>84</v>
      </c>
      <c r="E750" s="125" t="s">
        <v>2352</v>
      </c>
      <c r="F750" s="127">
        <v>4</v>
      </c>
      <c r="G750" s="75" t="s">
        <v>3324</v>
      </c>
      <c r="H750" s="131" t="s">
        <v>679</v>
      </c>
      <c r="I750" s="131" t="s">
        <v>3325</v>
      </c>
      <c r="J750" s="131"/>
      <c r="K750" s="131"/>
      <c r="L750" s="47"/>
      <c r="M750" s="47"/>
      <c r="N750" s="47"/>
      <c r="O750" s="47"/>
      <c r="P750" s="47"/>
      <c r="Q750" s="47"/>
      <c r="R750" s="47"/>
      <c r="S750" s="47"/>
      <c r="T750" s="47"/>
      <c r="U750" s="47"/>
      <c r="V750" s="131" t="s">
        <v>2394</v>
      </c>
      <c r="W750" s="74">
        <v>0</v>
      </c>
      <c r="X750" s="127">
        <f>MAX(0,$AK750-$W750-$Z750)</f>
        <v>0</v>
      </c>
      <c r="Y750" s="127" t="s">
        <v>1311</v>
      </c>
      <c r="Z750" s="127">
        <v>1</v>
      </c>
      <c r="AA750" s="132">
        <v>0.34</v>
      </c>
      <c r="AB750" s="132">
        <f>IF(AND($X750&gt;0,ISNUMBER($AA750)),$X750*$AA750,0)</f>
        <v>0</v>
      </c>
      <c r="AC750" s="59"/>
      <c r="AD750" s="59"/>
      <c r="AE750" s="59"/>
      <c r="AF750" s="59"/>
      <c r="AG750" s="59"/>
      <c r="AH750" s="59"/>
      <c r="AI750" s="59"/>
      <c r="AJ750" s="59"/>
      <c r="AK750" s="39">
        <f>SUM(AL750:AR750)</f>
        <v>0</v>
      </c>
      <c r="AL750" s="127"/>
      <c r="AM750" s="43"/>
      <c r="AN750" s="43"/>
      <c r="AO750" s="43"/>
      <c r="AP750" s="43"/>
      <c r="AQ750" s="43"/>
      <c r="AR750" s="127"/>
      <c r="AS750" s="42">
        <f>SUM(AT750:AZ750)</f>
        <v>0</v>
      </c>
      <c r="AT750" s="48"/>
      <c r="AU750" s="48"/>
      <c r="AV750" s="48"/>
      <c r="AW750" s="48"/>
      <c r="AX750" s="48"/>
      <c r="AY750" s="48"/>
      <c r="AZ750" s="48"/>
      <c r="BA750" s="43">
        <f>IF((W750-SUM(AT750:AZ750))&lt;0,0,W750-SUM(AT750:AZ750))</f>
        <v>0</v>
      </c>
      <c r="BB750" s="125"/>
      <c r="BC750" s="47"/>
      <c r="BD750" s="47"/>
    </row>
    <row r="751" spans="1:56" ht="15" customHeight="1">
      <c r="A751" s="125" t="s">
        <v>3326</v>
      </c>
      <c r="B751" s="127" t="s">
        <v>127</v>
      </c>
      <c r="C751" s="46" t="s">
        <v>65</v>
      </c>
      <c r="D751" s="125" t="s">
        <v>84</v>
      </c>
      <c r="E751" s="125" t="s">
        <v>3327</v>
      </c>
      <c r="F751" s="127">
        <v>4</v>
      </c>
      <c r="G751" s="75" t="s">
        <v>3328</v>
      </c>
      <c r="H751" s="131" t="s">
        <v>499</v>
      </c>
      <c r="I751" s="131" t="s">
        <v>3329</v>
      </c>
      <c r="J751" s="131"/>
      <c r="K751" s="131"/>
      <c r="L751" s="47"/>
      <c r="M751" s="47"/>
      <c r="N751" s="47"/>
      <c r="O751" s="68"/>
      <c r="P751" s="68"/>
      <c r="Q751" s="47"/>
      <c r="R751" s="47"/>
      <c r="S751" s="47"/>
      <c r="T751" s="68"/>
      <c r="U751" s="68"/>
      <c r="V751" s="131" t="s">
        <v>145</v>
      </c>
      <c r="W751" s="74">
        <v>1</v>
      </c>
      <c r="X751" s="127">
        <f>MAX(0,$AK751-$W751-$Z751)</f>
        <v>0</v>
      </c>
      <c r="Y751" s="127"/>
      <c r="Z751" s="127"/>
      <c r="AA751" s="132">
        <v>0.05</v>
      </c>
      <c r="AB751" s="132">
        <f>IF(AND($X751&gt;0,ISNUMBER($AA751)),$X751*$AA751,0)</f>
        <v>0</v>
      </c>
      <c r="AK751" s="39">
        <f>SUM(AL751:AR751)</f>
        <v>0</v>
      </c>
      <c r="AL751" s="128"/>
      <c r="AM751" s="38"/>
      <c r="AN751" s="38"/>
      <c r="AO751" s="38"/>
      <c r="AP751" s="38"/>
      <c r="AQ751" s="38"/>
      <c r="AR751" s="128"/>
      <c r="AS751" s="42">
        <f>SUM(AT751:AZ751)</f>
        <v>0</v>
      </c>
      <c r="AT751" s="48"/>
      <c r="AU751" s="48"/>
      <c r="AV751" s="48"/>
      <c r="AW751" s="48"/>
      <c r="AX751" s="48"/>
      <c r="AY751" s="48"/>
      <c r="AZ751" s="48"/>
      <c r="BA751" s="43">
        <f>IF((W751-SUM(AT751:AZ751))&lt;0,0,W751-SUM(AT751:AZ751))</f>
        <v>1</v>
      </c>
      <c r="BB751" s="125"/>
      <c r="BC751" s="47"/>
      <c r="BD751" s="47"/>
    </row>
    <row r="752" spans="1:56" ht="15" customHeight="1">
      <c r="A752" s="125" t="s">
        <v>422</v>
      </c>
      <c r="B752" s="127" t="s">
        <v>127</v>
      </c>
      <c r="C752" s="46" t="s">
        <v>65</v>
      </c>
      <c r="D752" s="125" t="s">
        <v>268</v>
      </c>
      <c r="E752" s="125" t="s">
        <v>423</v>
      </c>
      <c r="F752" s="127">
        <v>3</v>
      </c>
      <c r="G752" s="75" t="s">
        <v>424</v>
      </c>
      <c r="H752" s="131" t="s">
        <v>153</v>
      </c>
      <c r="I752" s="131" t="s">
        <v>425</v>
      </c>
      <c r="J752" s="131" t="s">
        <v>426</v>
      </c>
      <c r="K752" s="131"/>
      <c r="L752" s="47"/>
      <c r="M752" s="47"/>
      <c r="N752" s="47"/>
      <c r="O752" s="47"/>
      <c r="P752" s="47"/>
      <c r="Q752" s="47"/>
      <c r="R752" s="47"/>
      <c r="S752" s="47"/>
      <c r="T752" s="47"/>
      <c r="U752" s="47"/>
      <c r="V752" s="131" t="s">
        <v>119</v>
      </c>
      <c r="W752" s="74">
        <v>1</v>
      </c>
      <c r="X752" s="127">
        <f>MAX(0,$AK752-$W752-$Z752)</f>
        <v>0</v>
      </c>
      <c r="Y752" s="127"/>
      <c r="Z752" s="127"/>
      <c r="AA752" s="132">
        <v>0.22</v>
      </c>
      <c r="AB752" s="132">
        <f>IF(AND($X752&gt;0,ISNUMBER($AA752)),$X752*$AA752,0)</f>
        <v>0</v>
      </c>
      <c r="AG752" s="63"/>
      <c r="AK752" s="39">
        <f>SUM(AL752:AR752)</f>
        <v>1</v>
      </c>
      <c r="AL752" s="128"/>
      <c r="AM752" s="38"/>
      <c r="AN752" s="38"/>
      <c r="AO752" s="38"/>
      <c r="AP752" s="97">
        <v>1</v>
      </c>
      <c r="AQ752" s="38"/>
      <c r="AR752" s="128"/>
      <c r="AS752" s="42">
        <f>SUM(AT752:AZ752)</f>
        <v>1</v>
      </c>
      <c r="AT752" s="48"/>
      <c r="AU752" s="48"/>
      <c r="AV752" s="48"/>
      <c r="AW752" s="48"/>
      <c r="AX752" s="48">
        <v>1</v>
      </c>
      <c r="AY752" s="48"/>
      <c r="AZ752" s="48"/>
      <c r="BA752" s="43">
        <f>IF((W752-SUM(AT752:AZ752))&lt;0,0,W752-SUM(AT752:AZ752))</f>
        <v>0</v>
      </c>
      <c r="BB752" s="125"/>
      <c r="BC752" s="47"/>
      <c r="BD752" s="47"/>
    </row>
    <row r="753" spans="1:56" ht="15" customHeight="1">
      <c r="A753" s="125" t="s">
        <v>3330</v>
      </c>
      <c r="B753" s="127" t="s">
        <v>127</v>
      </c>
      <c r="C753" s="46" t="s">
        <v>65</v>
      </c>
      <c r="D753" s="125" t="s">
        <v>84</v>
      </c>
      <c r="E753" s="125" t="s">
        <v>3331</v>
      </c>
      <c r="F753" s="127">
        <v>3</v>
      </c>
      <c r="G753" s="75" t="s">
        <v>3332</v>
      </c>
      <c r="H753" s="131" t="s">
        <v>172</v>
      </c>
      <c r="I753" s="131" t="s">
        <v>3333</v>
      </c>
      <c r="J753" s="131" t="s">
        <v>3334</v>
      </c>
      <c r="K753" s="131"/>
      <c r="L753" s="47"/>
      <c r="M753" s="47"/>
      <c r="N753" s="47"/>
      <c r="O753" s="68"/>
      <c r="P753" s="68"/>
      <c r="Q753" s="47"/>
      <c r="R753" s="47"/>
      <c r="S753" s="47"/>
      <c r="T753" s="68"/>
      <c r="U753" s="68"/>
      <c r="V753" s="131" t="s">
        <v>398</v>
      </c>
      <c r="W753" s="74">
        <v>1</v>
      </c>
      <c r="X753" s="127">
        <f>MAX(0,$AK753-$W753-$Z753)</f>
        <v>0</v>
      </c>
      <c r="Y753" s="127"/>
      <c r="Z753" s="127"/>
      <c r="AA753" s="132">
        <v>0.31</v>
      </c>
      <c r="AB753" s="132">
        <f>IF(AND($X753&gt;0,ISNUMBER($AA753)),$X753*$AA753,0)</f>
        <v>0</v>
      </c>
      <c r="AK753" s="39">
        <f>SUM(AL753:AR753)</f>
        <v>1</v>
      </c>
      <c r="AL753" s="128"/>
      <c r="AM753" s="97">
        <v>1</v>
      </c>
      <c r="AN753" s="38"/>
      <c r="AO753" s="38"/>
      <c r="AP753" s="38"/>
      <c r="AQ753" s="38"/>
      <c r="AR753" s="128"/>
      <c r="AS753" s="42">
        <f>SUM(AT753:AZ753)</f>
        <v>1</v>
      </c>
      <c r="AT753" s="48"/>
      <c r="AU753" s="48">
        <v>1</v>
      </c>
      <c r="AV753" s="48"/>
      <c r="AW753" s="48"/>
      <c r="AX753" s="48"/>
      <c r="AY753" s="48"/>
      <c r="AZ753" s="48"/>
      <c r="BA753" s="43">
        <f>IF((W753-SUM(AT753:AZ753))&lt;0,0,W753-SUM(AT753:AZ753))</f>
        <v>0</v>
      </c>
      <c r="BB753" s="125"/>
      <c r="BC753" s="47"/>
      <c r="BD753" s="47"/>
    </row>
    <row r="754" spans="1:56" ht="15" customHeight="1">
      <c r="A754" s="125" t="s">
        <v>3335</v>
      </c>
      <c r="B754" s="127" t="s">
        <v>127</v>
      </c>
      <c r="C754" s="46" t="s">
        <v>65</v>
      </c>
      <c r="D754" s="125" t="s">
        <v>76</v>
      </c>
      <c r="E754" s="125"/>
      <c r="F754" s="127">
        <v>2</v>
      </c>
      <c r="G754" s="75" t="s">
        <v>3336</v>
      </c>
      <c r="H754" s="131" t="s">
        <v>78</v>
      </c>
      <c r="I754" s="131" t="s">
        <v>3337</v>
      </c>
      <c r="J754" s="131" t="s">
        <v>3338</v>
      </c>
      <c r="K754" s="131" t="s">
        <v>3339</v>
      </c>
      <c r="L754" s="47"/>
      <c r="M754" s="47"/>
      <c r="N754" s="47"/>
      <c r="O754" s="68"/>
      <c r="P754" s="68"/>
      <c r="Q754" s="47"/>
      <c r="R754" s="47"/>
      <c r="S754" s="47"/>
      <c r="T754" s="68"/>
      <c r="U754" s="68"/>
      <c r="V754" s="131" t="s">
        <v>2394</v>
      </c>
      <c r="W754" s="74">
        <v>1</v>
      </c>
      <c r="X754" s="127">
        <f>MAX(0,$AK754-$W754-$Z754)</f>
        <v>0</v>
      </c>
      <c r="Y754" s="127"/>
      <c r="Z754" s="127"/>
      <c r="AA754" s="132">
        <v>0.28999999999999998</v>
      </c>
      <c r="AB754" s="132">
        <f>IF(AND($X754&gt;0,ISNUMBER($AA754)),$X754*$AA754,0)</f>
        <v>0</v>
      </c>
      <c r="AK754" s="39">
        <f>SUM(AL754:AR754)</f>
        <v>0</v>
      </c>
      <c r="AL754" s="128"/>
      <c r="AM754" s="38"/>
      <c r="AN754" s="38"/>
      <c r="AO754" s="38"/>
      <c r="AP754" s="38"/>
      <c r="AQ754" s="38"/>
      <c r="AR754" s="128"/>
      <c r="AS754" s="42">
        <f>SUM(AT754:AZ754)</f>
        <v>0</v>
      </c>
      <c r="AT754" s="48"/>
      <c r="AU754" s="48"/>
      <c r="AV754" s="48"/>
      <c r="AW754" s="48"/>
      <c r="AX754" s="48"/>
      <c r="AY754" s="48"/>
      <c r="AZ754" s="48"/>
      <c r="BA754" s="43">
        <f>IF((W754-SUM(AT754:AZ754))&lt;0,0,W754-SUM(AT754:AZ754))</f>
        <v>1</v>
      </c>
      <c r="BB754" s="125"/>
      <c r="BC754" s="47"/>
      <c r="BD754" s="47"/>
    </row>
    <row r="755" spans="1:56" ht="15" customHeight="1">
      <c r="A755" s="125" t="s">
        <v>3340</v>
      </c>
      <c r="B755" s="127" t="s">
        <v>127</v>
      </c>
      <c r="C755" s="46" t="s">
        <v>65</v>
      </c>
      <c r="D755" s="125" t="s">
        <v>134</v>
      </c>
      <c r="E755" s="125"/>
      <c r="F755" s="127">
        <v>3</v>
      </c>
      <c r="G755" s="75" t="s">
        <v>3341</v>
      </c>
      <c r="H755" s="131" t="s">
        <v>78</v>
      </c>
      <c r="I755" s="131" t="s">
        <v>3342</v>
      </c>
      <c r="J755" s="131" t="s">
        <v>3343</v>
      </c>
      <c r="K755" s="131"/>
      <c r="L755" s="47"/>
      <c r="M755" s="47"/>
      <c r="N755" s="47"/>
      <c r="O755" s="47"/>
      <c r="P755" s="47"/>
      <c r="Q755" s="47"/>
      <c r="R755" s="47"/>
      <c r="S755" s="47"/>
      <c r="T755" s="47"/>
      <c r="U755" s="47"/>
      <c r="V755" s="131" t="s">
        <v>822</v>
      </c>
      <c r="W755" s="74">
        <v>1</v>
      </c>
      <c r="X755" s="127">
        <f>MAX(0,$AK755-$W755-$Z755)</f>
        <v>0</v>
      </c>
      <c r="Y755" s="127"/>
      <c r="Z755" s="127"/>
      <c r="AA755" s="132">
        <v>0.23</v>
      </c>
      <c r="AB755" s="132">
        <f>IF(AND($X755&gt;0,ISNUMBER($AA755)),$X755*$AA755,0)</f>
        <v>0</v>
      </c>
      <c r="AK755" s="39">
        <f>SUM(AL755:AR755)</f>
        <v>1</v>
      </c>
      <c r="AL755" s="128"/>
      <c r="AM755" s="38"/>
      <c r="AN755" s="97">
        <v>1</v>
      </c>
      <c r="AO755" s="38"/>
      <c r="AP755" s="38"/>
      <c r="AQ755" s="38"/>
      <c r="AR755" s="128"/>
      <c r="AS755" s="42">
        <f>SUM(AT755:AZ755)</f>
        <v>1</v>
      </c>
      <c r="AT755" s="48"/>
      <c r="AU755" s="48"/>
      <c r="AV755" s="48">
        <v>1</v>
      </c>
      <c r="AW755" s="48"/>
      <c r="AX755" s="48"/>
      <c r="AY755" s="48"/>
      <c r="AZ755" s="48"/>
      <c r="BA755" s="43">
        <f>IF((W755-SUM(AT755:AZ755))&lt;0,0,W755-SUM(AT755:AZ755))</f>
        <v>0</v>
      </c>
      <c r="BB755" s="125"/>
      <c r="BC755" s="47"/>
      <c r="BD755" s="47"/>
    </row>
    <row r="756" spans="1:56" ht="15" customHeight="1">
      <c r="A756" s="125" t="s">
        <v>427</v>
      </c>
      <c r="B756" s="127" t="s">
        <v>127</v>
      </c>
      <c r="C756" s="46" t="s">
        <v>65</v>
      </c>
      <c r="D756" s="125" t="s">
        <v>84</v>
      </c>
      <c r="E756" s="125" t="s">
        <v>428</v>
      </c>
      <c r="F756" s="127">
        <v>4</v>
      </c>
      <c r="G756" s="75" t="s">
        <v>429</v>
      </c>
      <c r="H756" s="131" t="s">
        <v>153</v>
      </c>
      <c r="I756" s="131" t="s">
        <v>164</v>
      </c>
      <c r="J756" s="131" t="s">
        <v>430</v>
      </c>
      <c r="K756" s="131" t="s">
        <v>431</v>
      </c>
      <c r="L756" s="47"/>
      <c r="M756" s="47"/>
      <c r="N756" s="47"/>
      <c r="O756" s="47"/>
      <c r="P756" s="47"/>
      <c r="Q756" s="47"/>
      <c r="R756" s="47"/>
      <c r="S756" s="47"/>
      <c r="T756" s="47"/>
      <c r="U756" s="47"/>
      <c r="V756" s="131" t="s">
        <v>432</v>
      </c>
      <c r="W756" s="74">
        <v>1</v>
      </c>
      <c r="X756" s="127">
        <f>MAX(0,$AK756-$W756-$Z756)</f>
        <v>0</v>
      </c>
      <c r="Y756" s="127"/>
      <c r="Z756" s="127"/>
      <c r="AA756" s="132">
        <v>0.3</v>
      </c>
      <c r="AB756" s="132">
        <f>IF(AND($X756&gt;0,ISNUMBER($AA756)),$X756*$AA756,0)</f>
        <v>0</v>
      </c>
      <c r="AK756" s="39">
        <f>SUM(AL756:AR756)</f>
        <v>1</v>
      </c>
      <c r="AL756" s="128"/>
      <c r="AM756" s="38"/>
      <c r="AN756" s="38"/>
      <c r="AO756" s="38"/>
      <c r="AP756" s="97">
        <v>1</v>
      </c>
      <c r="AQ756" s="38"/>
      <c r="AR756" s="128"/>
      <c r="AS756" s="42">
        <f>SUM(AT756:AZ756)</f>
        <v>1</v>
      </c>
      <c r="AT756" s="48"/>
      <c r="AU756" s="48"/>
      <c r="AV756" s="48"/>
      <c r="AW756" s="48"/>
      <c r="AX756" s="48">
        <v>1</v>
      </c>
      <c r="AY756" s="48"/>
      <c r="AZ756" s="48"/>
      <c r="BA756" s="43">
        <f>IF((W756-SUM(AT756:AZ756))&lt;0,0,W756-SUM(AT756:AZ756))</f>
        <v>0</v>
      </c>
      <c r="BB756" s="125"/>
      <c r="BC756" s="47"/>
      <c r="BD756" s="47"/>
    </row>
    <row r="757" spans="1:56" ht="15" customHeight="1">
      <c r="A757" s="125" t="s">
        <v>3344</v>
      </c>
      <c r="B757" s="127" t="s">
        <v>127</v>
      </c>
      <c r="C757" s="46" t="s">
        <v>65</v>
      </c>
      <c r="D757" s="125" t="s">
        <v>84</v>
      </c>
      <c r="E757" s="125" t="s">
        <v>128</v>
      </c>
      <c r="F757" s="127">
        <v>3</v>
      </c>
      <c r="G757" s="75" t="s">
        <v>3345</v>
      </c>
      <c r="H757" s="131" t="s">
        <v>238</v>
      </c>
      <c r="I757" s="131" t="s">
        <v>3346</v>
      </c>
      <c r="J757" s="131"/>
      <c r="K757" s="131"/>
      <c r="L757" s="47"/>
      <c r="M757" s="47"/>
      <c r="N757" s="47"/>
      <c r="O757" s="68"/>
      <c r="P757" s="68"/>
      <c r="Q757" s="47"/>
      <c r="R757" s="47"/>
      <c r="S757" s="47"/>
      <c r="T757" s="68"/>
      <c r="U757" s="68"/>
      <c r="V757" s="131" t="s">
        <v>217</v>
      </c>
      <c r="W757" s="74">
        <v>1</v>
      </c>
      <c r="X757" s="127">
        <f>MAX(0,$AK757-$W757-$Z757)</f>
        <v>0</v>
      </c>
      <c r="Y757" s="127"/>
      <c r="Z757" s="127"/>
      <c r="AA757" s="132">
        <v>0.21</v>
      </c>
      <c r="AB757" s="132">
        <f>IF(AND($X757&gt;0,ISNUMBER($AA757)),$X757*$AA757,0)</f>
        <v>0</v>
      </c>
      <c r="AK757" s="39">
        <f>SUM(AL757:AR757)</f>
        <v>0</v>
      </c>
      <c r="AL757" s="128"/>
      <c r="AM757" s="38"/>
      <c r="AN757" s="38"/>
      <c r="AO757" s="38"/>
      <c r="AP757" s="38"/>
      <c r="AQ757" s="38"/>
      <c r="AR757" s="128"/>
      <c r="AS757" s="42">
        <f>SUM(AT757:AZ757)</f>
        <v>0</v>
      </c>
      <c r="AT757" s="48"/>
      <c r="AU757" s="48"/>
      <c r="AV757" s="48"/>
      <c r="AW757" s="48"/>
      <c r="AX757" s="48"/>
      <c r="AY757" s="48"/>
      <c r="AZ757" s="48"/>
      <c r="BA757" s="43">
        <f>IF((W757-SUM(AT757:AZ757))&lt;0,0,W757-SUM(AT757:AZ757))</f>
        <v>1</v>
      </c>
      <c r="BB757" s="125"/>
      <c r="BC757" s="47"/>
      <c r="BD757" s="47"/>
    </row>
    <row r="758" spans="1:56" ht="15" customHeight="1">
      <c r="A758" s="125" t="s">
        <v>3347</v>
      </c>
      <c r="B758" s="127" t="s">
        <v>127</v>
      </c>
      <c r="C758" s="46" t="s">
        <v>65</v>
      </c>
      <c r="D758" s="125" t="s">
        <v>84</v>
      </c>
      <c r="E758" s="125" t="s">
        <v>3348</v>
      </c>
      <c r="F758" s="127">
        <v>1</v>
      </c>
      <c r="G758" s="75" t="s">
        <v>3349</v>
      </c>
      <c r="H758" s="131" t="s">
        <v>1268</v>
      </c>
      <c r="I758" s="131" t="s">
        <v>3350</v>
      </c>
      <c r="J758" s="131" t="s">
        <v>3351</v>
      </c>
      <c r="K758" s="131"/>
      <c r="L758" s="47"/>
      <c r="M758" s="47"/>
      <c r="N758" s="47"/>
      <c r="O758" s="68"/>
      <c r="P758" s="68"/>
      <c r="Q758" s="47"/>
      <c r="R758" s="47"/>
      <c r="S758" s="47"/>
      <c r="T758" s="68"/>
      <c r="U758" s="68"/>
      <c r="V758" s="131" t="s">
        <v>568</v>
      </c>
      <c r="W758" s="74">
        <v>1</v>
      </c>
      <c r="X758" s="127">
        <f>MAX(0,$AK758-$W758-$Z758)</f>
        <v>0</v>
      </c>
      <c r="Y758" s="127"/>
      <c r="Z758" s="127"/>
      <c r="AA758" s="132">
        <v>0.25</v>
      </c>
      <c r="AB758" s="132">
        <f>IF(AND($X758&gt;0,ISNUMBER($AA758)),$X758*$AA758,0)</f>
        <v>0</v>
      </c>
      <c r="AK758" s="39">
        <f>SUM(AL758:AR758)</f>
        <v>0</v>
      </c>
      <c r="AL758" s="128"/>
      <c r="AM758" s="38"/>
      <c r="AN758" s="38"/>
      <c r="AO758" s="38"/>
      <c r="AP758" s="38"/>
      <c r="AQ758" s="38"/>
      <c r="AR758" s="128"/>
      <c r="AS758" s="42">
        <f>SUM(AT758:AZ758)</f>
        <v>0</v>
      </c>
      <c r="AT758" s="48"/>
      <c r="AU758" s="48"/>
      <c r="AV758" s="48"/>
      <c r="AW758" s="48"/>
      <c r="AX758" s="48"/>
      <c r="AY758" s="48"/>
      <c r="AZ758" s="48"/>
      <c r="BA758" s="43">
        <f>IF((W758-SUM(AT758:AZ758))&lt;0,0,W758-SUM(AT758:AZ758))</f>
        <v>1</v>
      </c>
      <c r="BB758" s="125"/>
      <c r="BC758" s="47"/>
      <c r="BD758" s="47"/>
    </row>
    <row r="759" spans="1:56" ht="15" customHeight="1">
      <c r="A759" s="125" t="s">
        <v>3352</v>
      </c>
      <c r="B759" s="127" t="s">
        <v>127</v>
      </c>
      <c r="C759" s="46" t="s">
        <v>65</v>
      </c>
      <c r="D759" s="125" t="s">
        <v>178</v>
      </c>
      <c r="E759" s="125" t="s">
        <v>2352</v>
      </c>
      <c r="F759" s="127">
        <v>3</v>
      </c>
      <c r="G759" s="75" t="s">
        <v>3353</v>
      </c>
      <c r="H759" s="131" t="s">
        <v>1647</v>
      </c>
      <c r="I759" s="131" t="s">
        <v>3354</v>
      </c>
      <c r="J759" s="131" t="s">
        <v>3355</v>
      </c>
      <c r="K759" s="131"/>
      <c r="L759" s="47"/>
      <c r="M759" s="47"/>
      <c r="N759" s="47"/>
      <c r="O759" s="68"/>
      <c r="P759" s="68"/>
      <c r="Q759" s="47"/>
      <c r="R759" s="47"/>
      <c r="S759" s="47"/>
      <c r="T759" s="68"/>
      <c r="U759" s="68"/>
      <c r="V759" s="131" t="s">
        <v>2350</v>
      </c>
      <c r="W759" s="74">
        <v>1</v>
      </c>
      <c r="X759" s="127">
        <f>MAX(0,$AK759-$W759-$Z759)</f>
        <v>0</v>
      </c>
      <c r="Y759" s="127"/>
      <c r="Z759" s="127"/>
      <c r="AA759" s="132">
        <v>0.4</v>
      </c>
      <c r="AB759" s="132">
        <f>IF(AND($X759&gt;0,ISNUMBER($AA759)),$X759*$AA759,0)</f>
        <v>0</v>
      </c>
      <c r="AK759" s="39">
        <f>SUM(AL759:AR759)</f>
        <v>0</v>
      </c>
      <c r="AL759" s="128"/>
      <c r="AM759" s="38"/>
      <c r="AN759" s="38"/>
      <c r="AO759" s="38"/>
      <c r="AP759" s="38"/>
      <c r="AQ759" s="38"/>
      <c r="AR759" s="128"/>
      <c r="AS759" s="42">
        <f>SUM(AT759:AZ759)</f>
        <v>0</v>
      </c>
      <c r="AT759" s="48"/>
      <c r="AU759" s="48"/>
      <c r="AV759" s="48"/>
      <c r="AW759" s="48"/>
      <c r="AX759" s="48"/>
      <c r="AY759" s="48"/>
      <c r="AZ759" s="48"/>
      <c r="BA759" s="43">
        <f>IF((W759-SUM(AT759:AZ759))&lt;0,0,W759-SUM(AT759:AZ759))</f>
        <v>1</v>
      </c>
      <c r="BB759" s="125"/>
      <c r="BC759" s="47"/>
      <c r="BD759" s="47"/>
    </row>
    <row r="760" spans="1:56" ht="15" customHeight="1">
      <c r="A760" s="125" t="s">
        <v>3356</v>
      </c>
      <c r="B760" s="127" t="s">
        <v>127</v>
      </c>
      <c r="C760" s="46" t="s">
        <v>83</v>
      </c>
      <c r="D760" s="125" t="s">
        <v>134</v>
      </c>
      <c r="E760" s="125"/>
      <c r="F760" s="127">
        <v>4</v>
      </c>
      <c r="G760" s="75" t="s">
        <v>3357</v>
      </c>
      <c r="H760" s="131" t="s">
        <v>474</v>
      </c>
      <c r="I760" s="131" t="s">
        <v>3317</v>
      </c>
      <c r="J760" s="131"/>
      <c r="K760" s="131"/>
      <c r="L760" s="47"/>
      <c r="M760" s="47"/>
      <c r="N760" s="47"/>
      <c r="O760" s="68"/>
      <c r="P760" s="68"/>
      <c r="Q760" s="47"/>
      <c r="R760" s="47"/>
      <c r="S760" s="47"/>
      <c r="T760" s="68"/>
      <c r="U760" s="68"/>
      <c r="V760" s="131" t="s">
        <v>841</v>
      </c>
      <c r="W760" s="74">
        <v>1</v>
      </c>
      <c r="X760" s="127">
        <f>MAX(0,$AK760-$W760-$Z760)</f>
        <v>0</v>
      </c>
      <c r="Y760" s="127"/>
      <c r="Z760" s="127"/>
      <c r="AA760" s="132">
        <v>1.0900000000000001</v>
      </c>
      <c r="AB760" s="132">
        <f>IF(AND($X760&gt;0,ISNUMBER($AA760)),$X760*$AA760,0)</f>
        <v>0</v>
      </c>
      <c r="AK760" s="39">
        <f>SUM(AL760:AR760)</f>
        <v>0</v>
      </c>
      <c r="AL760" s="128"/>
      <c r="AM760" s="38"/>
      <c r="AN760" s="38"/>
      <c r="AO760" s="38"/>
      <c r="AP760" s="38"/>
      <c r="AQ760" s="38"/>
      <c r="AR760" s="128"/>
      <c r="AS760" s="42">
        <f>SUM(AT760:AZ760)</f>
        <v>0</v>
      </c>
      <c r="AT760" s="48"/>
      <c r="AU760" s="48"/>
      <c r="AV760" s="48"/>
      <c r="AW760" s="48"/>
      <c r="AX760" s="48"/>
      <c r="AY760" s="48"/>
      <c r="AZ760" s="48"/>
      <c r="BA760" s="43">
        <f>IF((W760-SUM(AT760:AZ760))&lt;0,0,W760-SUM(AT760:AZ760))</f>
        <v>1</v>
      </c>
      <c r="BB760" s="125"/>
      <c r="BC760" s="47"/>
      <c r="BD760" s="47"/>
    </row>
    <row r="761" spans="1:56" ht="15" customHeight="1">
      <c r="A761" s="130" t="s">
        <v>3358</v>
      </c>
      <c r="B761" s="128" t="s">
        <v>127</v>
      </c>
      <c r="C761" s="38" t="s">
        <v>65</v>
      </c>
      <c r="D761" s="130" t="s">
        <v>134</v>
      </c>
      <c r="E761" s="130"/>
      <c r="F761" s="128">
        <v>1</v>
      </c>
      <c r="G761" s="75" t="s">
        <v>3359</v>
      </c>
      <c r="H761" s="130" t="s">
        <v>1182</v>
      </c>
      <c r="I761" s="130" t="s">
        <v>3360</v>
      </c>
      <c r="J761" s="130" t="s">
        <v>3361</v>
      </c>
      <c r="K761" s="130"/>
      <c r="L761" s="37"/>
      <c r="M761" s="37"/>
      <c r="N761" s="37"/>
      <c r="O761" s="68"/>
      <c r="P761" s="68"/>
      <c r="Q761" s="37"/>
      <c r="R761" s="37"/>
      <c r="S761" s="37"/>
      <c r="T761" s="68"/>
      <c r="U761" s="68"/>
      <c r="V761" s="130" t="s">
        <v>223</v>
      </c>
      <c r="W761" s="74">
        <v>1</v>
      </c>
      <c r="X761" s="127">
        <f>MAX(0,$AK761-$W761-$Z761)</f>
        <v>0</v>
      </c>
      <c r="Y761" s="130"/>
      <c r="Z761" s="130"/>
      <c r="AA761" s="137">
        <v>0.36</v>
      </c>
      <c r="AB761" s="132">
        <f>IF(AND($X761&gt;0,ISNUMBER($AA761)),$X761*$AA761,0)</f>
        <v>0</v>
      </c>
      <c r="AK761" s="39">
        <f>SUM(AL761:AR761)</f>
        <v>0</v>
      </c>
      <c r="AL761" s="128"/>
      <c r="AM761" s="38"/>
      <c r="AN761" s="38"/>
      <c r="AO761" s="38"/>
      <c r="AP761" s="38"/>
      <c r="AQ761" s="38"/>
      <c r="AR761" s="128"/>
      <c r="AS761" s="42">
        <f>SUM(AT761:AZ761)</f>
        <v>0</v>
      </c>
      <c r="AT761" s="48"/>
      <c r="AU761" s="48"/>
      <c r="AV761" s="48"/>
      <c r="AW761" s="48"/>
      <c r="AX761" s="48"/>
      <c r="AY761" s="48"/>
      <c r="AZ761" s="48"/>
      <c r="BA761" s="43">
        <f>IF((W761-SUM(AT761:AZ761))&lt;0,0,W761-SUM(AT761:AZ761))</f>
        <v>1</v>
      </c>
      <c r="BB761" s="130"/>
      <c r="BC761" s="37"/>
      <c r="BD761" s="37"/>
    </row>
    <row r="762" spans="1:56" ht="15" customHeight="1">
      <c r="A762" s="125" t="s">
        <v>3362</v>
      </c>
      <c r="B762" s="127" t="s">
        <v>127</v>
      </c>
      <c r="C762" s="46" t="s">
        <v>65</v>
      </c>
      <c r="D762" s="125" t="s">
        <v>76</v>
      </c>
      <c r="E762" s="125"/>
      <c r="F762" s="127">
        <v>2</v>
      </c>
      <c r="G762" s="75" t="s">
        <v>3363</v>
      </c>
      <c r="H762" s="131" t="s">
        <v>78</v>
      </c>
      <c r="I762" s="131" t="s">
        <v>3364</v>
      </c>
      <c r="J762" s="131" t="s">
        <v>3365</v>
      </c>
      <c r="K762" s="131"/>
      <c r="L762" s="47"/>
      <c r="M762" s="47"/>
      <c r="N762" s="47"/>
      <c r="O762" s="47"/>
      <c r="P762" s="47"/>
      <c r="Q762" s="47"/>
      <c r="R762" s="47"/>
      <c r="S762" s="47"/>
      <c r="T762" s="47"/>
      <c r="U762" s="47"/>
      <c r="V762" s="131" t="s">
        <v>379</v>
      </c>
      <c r="W762" s="74">
        <v>1</v>
      </c>
      <c r="X762" s="127">
        <f>MAX(0,$AK762-$W762-$Z762)</f>
        <v>0</v>
      </c>
      <c r="Y762" s="127"/>
      <c r="Z762" s="127"/>
      <c r="AA762" s="132">
        <v>0.19</v>
      </c>
      <c r="AB762" s="132">
        <f>IF(AND($X762&gt;0,ISNUMBER($AA762)),$X762*$AA762,0)</f>
        <v>0</v>
      </c>
      <c r="AF762" s="63" t="s">
        <v>3366</v>
      </c>
      <c r="AK762" s="39">
        <f>SUM(AL762:AR762)</f>
        <v>1</v>
      </c>
      <c r="AL762" s="128"/>
      <c r="AM762" s="38"/>
      <c r="AN762" s="38"/>
      <c r="AO762" s="99">
        <v>1</v>
      </c>
      <c r="AP762" s="38"/>
      <c r="AQ762" s="38"/>
      <c r="AR762" s="128"/>
      <c r="AS762" s="42">
        <f>SUM(AT762:AZ762)</f>
        <v>1</v>
      </c>
      <c r="AT762" s="48"/>
      <c r="AU762" s="48"/>
      <c r="AV762" s="48"/>
      <c r="AW762" s="48">
        <v>1</v>
      </c>
      <c r="AX762" s="48"/>
      <c r="AY762" s="48"/>
      <c r="AZ762" s="48"/>
      <c r="BA762" s="43">
        <f>IF((W762-SUM(AT762:AZ762))&lt;0,0,W762-SUM(AT762:AZ762))</f>
        <v>0</v>
      </c>
      <c r="BB762" s="125"/>
      <c r="BC762" s="47"/>
      <c r="BD762" s="47"/>
    </row>
    <row r="763" spans="1:56" ht="15" customHeight="1">
      <c r="A763" s="125" t="s">
        <v>3367</v>
      </c>
      <c r="B763" s="127" t="s">
        <v>127</v>
      </c>
      <c r="C763" s="46" t="s">
        <v>65</v>
      </c>
      <c r="D763" s="125" t="s">
        <v>76</v>
      </c>
      <c r="E763" s="125"/>
      <c r="F763" s="127">
        <v>2</v>
      </c>
      <c r="G763" s="75" t="s">
        <v>3368</v>
      </c>
      <c r="H763" s="131" t="s">
        <v>1268</v>
      </c>
      <c r="I763" s="131" t="s">
        <v>3369</v>
      </c>
      <c r="J763" s="131"/>
      <c r="K763" s="131"/>
      <c r="L763" s="47"/>
      <c r="M763" s="47"/>
      <c r="N763" s="47"/>
      <c r="O763" s="68"/>
      <c r="P763" s="68"/>
      <c r="Q763" s="47"/>
      <c r="R763" s="47"/>
      <c r="S763" s="47"/>
      <c r="T763" s="68"/>
      <c r="U763" s="68"/>
      <c r="V763" s="131" t="s">
        <v>70</v>
      </c>
      <c r="W763" s="74">
        <v>1</v>
      </c>
      <c r="X763" s="127">
        <f>MAX(0,$AK763-$W763-$Z763)</f>
        <v>0</v>
      </c>
      <c r="Y763" s="127"/>
      <c r="Z763" s="127"/>
      <c r="AA763" s="132">
        <v>0.1</v>
      </c>
      <c r="AB763" s="132">
        <f>IF(AND($X763&gt;0,ISNUMBER($AA763)),$X763*$AA763,0)</f>
        <v>0</v>
      </c>
      <c r="AK763" s="39">
        <f>SUM(AL763:AR763)</f>
        <v>0</v>
      </c>
      <c r="AL763" s="128"/>
      <c r="AM763" s="38"/>
      <c r="AN763" s="38"/>
      <c r="AO763" s="38"/>
      <c r="AP763" s="38"/>
      <c r="AQ763" s="38"/>
      <c r="AR763" s="128"/>
      <c r="AS763" s="42">
        <f>SUM(AT763:AZ763)</f>
        <v>0</v>
      </c>
      <c r="AT763" s="48"/>
      <c r="AU763" s="48"/>
      <c r="AV763" s="48"/>
      <c r="AW763" s="48"/>
      <c r="AX763" s="48"/>
      <c r="AY763" s="48"/>
      <c r="AZ763" s="48"/>
      <c r="BA763" s="43">
        <f>IF((W763-SUM(AT763:AZ763))&lt;0,0,W763-SUM(AT763:AZ763))</f>
        <v>1</v>
      </c>
      <c r="BB763" s="125"/>
      <c r="BC763" s="47"/>
      <c r="BD763" s="47"/>
    </row>
    <row r="764" spans="1:56" ht="15" customHeight="1">
      <c r="A764" s="125" t="s">
        <v>3370</v>
      </c>
      <c r="B764" s="127" t="s">
        <v>127</v>
      </c>
      <c r="C764" s="46" t="s">
        <v>65</v>
      </c>
      <c r="D764" s="125" t="s">
        <v>84</v>
      </c>
      <c r="E764" s="125" t="s">
        <v>128</v>
      </c>
      <c r="F764" s="127">
        <v>1</v>
      </c>
      <c r="G764" s="75" t="s">
        <v>3371</v>
      </c>
      <c r="H764" s="131" t="s">
        <v>153</v>
      </c>
      <c r="I764" s="131" t="s">
        <v>144</v>
      </c>
      <c r="J764" s="131"/>
      <c r="K764" s="131"/>
      <c r="L764" s="47"/>
      <c r="M764" s="47"/>
      <c r="N764" s="47"/>
      <c r="O764" s="47"/>
      <c r="P764" s="47"/>
      <c r="Q764" s="47"/>
      <c r="R764" s="47"/>
      <c r="S764" s="47"/>
      <c r="T764" s="47"/>
      <c r="U764" s="47"/>
      <c r="V764" s="131" t="s">
        <v>351</v>
      </c>
      <c r="W764" s="74">
        <v>0</v>
      </c>
      <c r="X764" s="127">
        <f>MAX(0,$AK764-$W764-$Z764)</f>
        <v>0</v>
      </c>
      <c r="Y764" s="127"/>
      <c r="Z764" s="127"/>
      <c r="AA764" s="132">
        <v>0.09</v>
      </c>
      <c r="AB764" s="132">
        <f>IF(AND($X764&gt;0,ISNUMBER($AA764)),$X764*$AA764,0)</f>
        <v>0</v>
      </c>
      <c r="AC764" s="59"/>
      <c r="AD764" s="59"/>
      <c r="AE764" s="59"/>
      <c r="AF764" s="59"/>
      <c r="AG764" s="59"/>
      <c r="AH764" s="59"/>
      <c r="AI764" s="59"/>
      <c r="AJ764" s="59"/>
      <c r="AK764" s="39">
        <f>SUM(AL764:AR764)</f>
        <v>0</v>
      </c>
      <c r="AL764" s="127"/>
      <c r="AM764" s="43"/>
      <c r="AN764" s="43"/>
      <c r="AO764" s="43"/>
      <c r="AP764" s="43"/>
      <c r="AQ764" s="43"/>
      <c r="AR764" s="127"/>
      <c r="AS764" s="42">
        <f>SUM(AT764:AZ764)</f>
        <v>0</v>
      </c>
      <c r="AT764" s="48"/>
      <c r="AU764" s="48"/>
      <c r="AV764" s="48"/>
      <c r="AW764" s="48"/>
      <c r="AX764" s="48"/>
      <c r="AY764" s="48"/>
      <c r="AZ764" s="48"/>
      <c r="BA764" s="43">
        <f>IF((W764-SUM(AT764:AZ764))&lt;0,0,W764-SUM(AT764:AZ764))</f>
        <v>0</v>
      </c>
      <c r="BB764" s="125"/>
      <c r="BC764" s="47"/>
      <c r="BD764" s="47"/>
    </row>
    <row r="765" spans="1:56" ht="15" customHeight="1">
      <c r="A765" s="125" t="s">
        <v>3372</v>
      </c>
      <c r="B765" s="127" t="s">
        <v>127</v>
      </c>
      <c r="C765" s="46" t="s">
        <v>65</v>
      </c>
      <c r="D765" s="125" t="s">
        <v>84</v>
      </c>
      <c r="E765" s="125" t="s">
        <v>3373</v>
      </c>
      <c r="F765" s="127">
        <v>3</v>
      </c>
      <c r="G765" s="75" t="s">
        <v>3374</v>
      </c>
      <c r="H765" s="131" t="s">
        <v>499</v>
      </c>
      <c r="I765" s="131" t="s">
        <v>3375</v>
      </c>
      <c r="J765" s="131" t="s">
        <v>3376</v>
      </c>
      <c r="K765" s="131"/>
      <c r="L765" s="47"/>
      <c r="M765" s="47"/>
      <c r="N765" s="47"/>
      <c r="O765" s="68"/>
      <c r="P765" s="68"/>
      <c r="Q765" s="47"/>
      <c r="R765" s="47"/>
      <c r="S765" s="47"/>
      <c r="T765" s="68"/>
      <c r="U765" s="68"/>
      <c r="V765" s="131" t="s">
        <v>822</v>
      </c>
      <c r="W765" s="74">
        <v>1</v>
      </c>
      <c r="X765" s="127">
        <f>MAX(0,$AK765-$W765-$Z765)</f>
        <v>0</v>
      </c>
      <c r="Y765" s="127"/>
      <c r="Z765" s="127"/>
      <c r="AA765" s="132">
        <v>0.1</v>
      </c>
      <c r="AB765" s="132">
        <f>IF(AND($X765&gt;0,ISNUMBER($AA765)),$X765*$AA765,0)</f>
        <v>0</v>
      </c>
      <c r="AK765" s="39">
        <f>SUM(AL765:AR765)</f>
        <v>0</v>
      </c>
      <c r="AL765" s="128"/>
      <c r="AM765" s="38"/>
      <c r="AN765" s="38"/>
      <c r="AO765" s="38"/>
      <c r="AP765" s="38"/>
      <c r="AQ765" s="38"/>
      <c r="AR765" s="128"/>
      <c r="AS765" s="42">
        <f>SUM(AT765:AZ765)</f>
        <v>0</v>
      </c>
      <c r="AT765" s="48"/>
      <c r="AU765" s="48"/>
      <c r="AV765" s="48"/>
      <c r="AW765" s="48"/>
      <c r="AX765" s="48"/>
      <c r="AY765" s="48"/>
      <c r="AZ765" s="48"/>
      <c r="BA765" s="43">
        <f>IF((W765-SUM(AT765:AZ765))&lt;0,0,W765-SUM(AT765:AZ765))</f>
        <v>1</v>
      </c>
      <c r="BB765" s="125"/>
      <c r="BC765" s="47"/>
      <c r="BD765" s="47"/>
    </row>
    <row r="766" spans="1:56" ht="15" customHeight="1">
      <c r="A766" s="125" t="s">
        <v>3377</v>
      </c>
      <c r="B766" s="127" t="s">
        <v>127</v>
      </c>
      <c r="C766" s="46" t="s">
        <v>65</v>
      </c>
      <c r="D766" s="125" t="s">
        <v>84</v>
      </c>
      <c r="E766" s="125" t="s">
        <v>1279</v>
      </c>
      <c r="F766" s="127">
        <v>3</v>
      </c>
      <c r="G766" s="75" t="s">
        <v>3378</v>
      </c>
      <c r="H766" s="131" t="s">
        <v>238</v>
      </c>
      <c r="I766" s="131" t="s">
        <v>3379</v>
      </c>
      <c r="J766" s="131" t="s">
        <v>181</v>
      </c>
      <c r="K766" s="131"/>
      <c r="L766" s="47"/>
      <c r="M766" s="47"/>
      <c r="N766" s="47"/>
      <c r="O766" s="47"/>
      <c r="P766" s="47"/>
      <c r="Q766" s="47"/>
      <c r="R766" s="47"/>
      <c r="S766" s="47"/>
      <c r="T766" s="47"/>
      <c r="U766" s="47"/>
      <c r="V766" s="131" t="s">
        <v>3380</v>
      </c>
      <c r="W766" s="74">
        <v>1</v>
      </c>
      <c r="X766" s="127">
        <f>MAX(0,$AK766-$W766-$Z766)</f>
        <v>0</v>
      </c>
      <c r="Y766" s="127"/>
      <c r="Z766" s="127"/>
      <c r="AA766" s="132">
        <v>2.8</v>
      </c>
      <c r="AB766" s="132">
        <f>IF(AND($X766&gt;0,ISNUMBER($AA766)),$X766*$AA766,0)</f>
        <v>0</v>
      </c>
      <c r="AF766" t="s">
        <v>3381</v>
      </c>
      <c r="AK766" s="39">
        <f>SUM(AL766:AR766)</f>
        <v>1</v>
      </c>
      <c r="AL766" s="128"/>
      <c r="AM766" s="38"/>
      <c r="AN766" s="38"/>
      <c r="AO766" s="99">
        <v>1</v>
      </c>
      <c r="AP766" s="38"/>
      <c r="AQ766" s="38"/>
      <c r="AR766" s="128"/>
      <c r="AS766" s="42">
        <f>SUM(AT766:AZ766)</f>
        <v>1</v>
      </c>
      <c r="AT766" s="48"/>
      <c r="AU766" s="48"/>
      <c r="AV766" s="48"/>
      <c r="AW766" s="48">
        <v>1</v>
      </c>
      <c r="AX766" s="48"/>
      <c r="AY766" s="48"/>
      <c r="AZ766" s="48"/>
      <c r="BA766" s="43">
        <f>IF((W766-SUM(AT766:AZ766))&lt;0,0,W766-SUM(AT766:AZ766))</f>
        <v>0</v>
      </c>
      <c r="BB766" s="125"/>
      <c r="BC766" s="47"/>
      <c r="BD766" s="126"/>
    </row>
    <row r="767" spans="1:56" ht="15" customHeight="1">
      <c r="A767" s="130" t="s">
        <v>3382</v>
      </c>
      <c r="B767" s="128" t="s">
        <v>127</v>
      </c>
      <c r="C767" s="38" t="s">
        <v>65</v>
      </c>
      <c r="D767" s="130" t="s">
        <v>76</v>
      </c>
      <c r="E767" s="130"/>
      <c r="F767" s="130">
        <v>2</v>
      </c>
      <c r="G767" s="75" t="s">
        <v>3383</v>
      </c>
      <c r="H767" s="130" t="s">
        <v>227</v>
      </c>
      <c r="I767" s="130" t="s">
        <v>3384</v>
      </c>
      <c r="J767" s="130" t="s">
        <v>3385</v>
      </c>
      <c r="K767" s="130"/>
      <c r="L767" s="109" t="s">
        <v>3386</v>
      </c>
      <c r="M767" s="38">
        <v>1</v>
      </c>
      <c r="N767" s="38">
        <v>0</v>
      </c>
      <c r="O767" s="68" t="s">
        <v>3387</v>
      </c>
      <c r="P767" s="110">
        <v>0.33</v>
      </c>
      <c r="Q767" s="37"/>
      <c r="R767" s="37"/>
      <c r="S767" s="37"/>
      <c r="T767" s="68"/>
      <c r="U767" s="68"/>
      <c r="V767" s="130" t="s">
        <v>3388</v>
      </c>
      <c r="W767" s="74">
        <v>1</v>
      </c>
      <c r="X767" s="127">
        <f>MAX(0,$AK767-$W767-$Z767)</f>
        <v>0</v>
      </c>
      <c r="Y767" s="130"/>
      <c r="Z767" s="130"/>
      <c r="AA767" s="130">
        <v>0.33</v>
      </c>
      <c r="AB767" s="132">
        <f>IF(AND($X767&gt;0,ISNUMBER($AA767)),$X767*$AA767,0)</f>
        <v>0</v>
      </c>
      <c r="AK767" s="39">
        <f>SUM(AL767:AR767)</f>
        <v>1</v>
      </c>
      <c r="AL767" s="128"/>
      <c r="AM767" s="38"/>
      <c r="AN767" s="97">
        <v>1</v>
      </c>
      <c r="AO767" s="38"/>
      <c r="AP767" s="38"/>
      <c r="AQ767" s="38"/>
      <c r="AR767" s="128"/>
      <c r="AS767" s="42">
        <f>SUM(AT767:AZ767)</f>
        <v>1</v>
      </c>
      <c r="AT767" s="48"/>
      <c r="AU767" s="48"/>
      <c r="AV767" s="48">
        <v>1</v>
      </c>
      <c r="AW767" s="48"/>
      <c r="AX767" s="48"/>
      <c r="AY767" s="48"/>
      <c r="AZ767" s="48"/>
      <c r="BA767" s="43">
        <f>IF((W767-SUM(AT767:AZ767))&lt;0,0,W767-SUM(AT767:AZ767))</f>
        <v>0</v>
      </c>
      <c r="BB767" s="130"/>
      <c r="BC767" s="37"/>
      <c r="BD767" s="37"/>
    </row>
    <row r="768" spans="1:56" ht="15" customHeight="1">
      <c r="A768" s="126" t="s">
        <v>3389</v>
      </c>
      <c r="B768" s="129" t="s">
        <v>127</v>
      </c>
      <c r="C768" s="46" t="s">
        <v>65</v>
      </c>
      <c r="D768" s="126" t="s">
        <v>84</v>
      </c>
      <c r="E768" s="126" t="s">
        <v>3390</v>
      </c>
      <c r="F768" s="129">
        <v>2</v>
      </c>
      <c r="G768" s="75" t="s">
        <v>3391</v>
      </c>
      <c r="H768" s="126" t="s">
        <v>446</v>
      </c>
      <c r="I768" s="126" t="s">
        <v>3392</v>
      </c>
      <c r="J768" s="126"/>
      <c r="K768" s="126"/>
      <c r="L768" s="47"/>
      <c r="M768" s="47"/>
      <c r="N768" s="47"/>
      <c r="O768" s="68"/>
      <c r="P768" s="68"/>
      <c r="Q768" s="47"/>
      <c r="R768" s="47"/>
      <c r="S768" s="47"/>
      <c r="T768" s="68"/>
      <c r="U768" s="68"/>
      <c r="V768" s="126" t="s">
        <v>167</v>
      </c>
      <c r="W768" s="74">
        <v>2</v>
      </c>
      <c r="X768" s="127">
        <f>MAX(0,$AK768-$W768-$Z768)</f>
        <v>0</v>
      </c>
      <c r="Y768" s="126"/>
      <c r="Z768" s="126"/>
      <c r="AA768" s="126">
        <v>0.12</v>
      </c>
      <c r="AB768" s="126">
        <f>IF(AND($X768&gt;0,ISNUMBER($AA768)),$X768*$AA768,0)</f>
        <v>0</v>
      </c>
      <c r="AK768" s="39">
        <f>SUM(AL768:AR768)</f>
        <v>0</v>
      </c>
      <c r="AL768" s="128"/>
      <c r="AM768" s="38"/>
      <c r="AN768" s="38"/>
      <c r="AO768" s="38"/>
      <c r="AP768" s="38"/>
      <c r="AQ768" s="38"/>
      <c r="AR768" s="128"/>
      <c r="AS768" s="42">
        <f>SUM(AT768:AZ768)</f>
        <v>0</v>
      </c>
      <c r="AT768" s="48"/>
      <c r="AU768" s="48"/>
      <c r="AV768" s="48"/>
      <c r="AW768" s="48"/>
      <c r="AX768" s="48"/>
      <c r="AY768" s="48"/>
      <c r="AZ768" s="48"/>
      <c r="BA768" s="43">
        <f>IF((W768-SUM(AT768:AZ768))&lt;0,0,W768-SUM(AT768:AZ768))</f>
        <v>2</v>
      </c>
      <c r="BB768" s="126"/>
      <c r="BC768" s="47"/>
      <c r="BD768" s="47"/>
    </row>
    <row r="769" spans="1:56" ht="15" customHeight="1">
      <c r="A769" s="125" t="s">
        <v>3393</v>
      </c>
      <c r="B769" s="127" t="s">
        <v>127</v>
      </c>
      <c r="C769" s="46" t="s">
        <v>65</v>
      </c>
      <c r="D769" s="125" t="s">
        <v>105</v>
      </c>
      <c r="E769" s="125" t="s">
        <v>151</v>
      </c>
      <c r="F769" s="127">
        <v>4</v>
      </c>
      <c r="G769" s="75" t="s">
        <v>3394</v>
      </c>
      <c r="H769" s="131" t="s">
        <v>153</v>
      </c>
      <c r="I769" s="131" t="s">
        <v>3395</v>
      </c>
      <c r="J769" s="131" t="s">
        <v>3396</v>
      </c>
      <c r="K769" s="131" t="s">
        <v>597</v>
      </c>
      <c r="L769" s="47"/>
      <c r="M769" s="47"/>
      <c r="N769" s="47"/>
      <c r="O769" s="68"/>
      <c r="P769" s="68"/>
      <c r="Q769" s="47"/>
      <c r="R769" s="47"/>
      <c r="S769" s="47"/>
      <c r="T769" s="68"/>
      <c r="U769" s="68"/>
      <c r="V769" s="131" t="s">
        <v>167</v>
      </c>
      <c r="W769" s="74">
        <v>3</v>
      </c>
      <c r="X769" s="127">
        <f>MAX(0,$AK769-$W769-$Z769)</f>
        <v>0</v>
      </c>
      <c r="Y769" s="127"/>
      <c r="Z769" s="127"/>
      <c r="AA769" s="132">
        <v>0.1</v>
      </c>
      <c r="AB769" s="132">
        <f>IF(AND($X769&gt;0,ISNUMBER($AA769)),$X769*$AA769,0)</f>
        <v>0</v>
      </c>
      <c r="AK769" s="39">
        <f>SUM(AL769:AR769)</f>
        <v>0</v>
      </c>
      <c r="AL769" s="128"/>
      <c r="AM769" s="38"/>
      <c r="AN769" s="38"/>
      <c r="AO769" s="38"/>
      <c r="AP769" s="38"/>
      <c r="AQ769" s="38"/>
      <c r="AR769" s="128"/>
      <c r="AS769" s="42">
        <f>SUM(AT769:AZ769)</f>
        <v>0</v>
      </c>
      <c r="AT769" s="48"/>
      <c r="AU769" s="48"/>
      <c r="AV769" s="48"/>
      <c r="AW769" s="48"/>
      <c r="AX769" s="48"/>
      <c r="AY769" s="48"/>
      <c r="AZ769" s="48"/>
      <c r="BA769" s="43">
        <f>IF((W769-SUM(AT769:AZ769))&lt;0,0,W769-SUM(AT769:AZ769))</f>
        <v>3</v>
      </c>
      <c r="BB769" s="125"/>
      <c r="BC769" s="47"/>
      <c r="BD769" s="47"/>
    </row>
    <row r="770" spans="1:56" ht="15" customHeight="1">
      <c r="A770" s="130" t="s">
        <v>3397</v>
      </c>
      <c r="B770" s="128" t="s">
        <v>127</v>
      </c>
      <c r="C770" s="38" t="s">
        <v>65</v>
      </c>
      <c r="D770" s="130" t="s">
        <v>84</v>
      </c>
      <c r="E770" s="130" t="s">
        <v>3398</v>
      </c>
      <c r="F770" s="130">
        <v>4</v>
      </c>
      <c r="G770" s="75" t="s">
        <v>3399</v>
      </c>
      <c r="H770" s="130" t="s">
        <v>153</v>
      </c>
      <c r="I770" s="130" t="s">
        <v>3400</v>
      </c>
      <c r="J770" s="130" t="s">
        <v>927</v>
      </c>
      <c r="K770" s="130"/>
      <c r="L770" s="37"/>
      <c r="M770" s="37"/>
      <c r="N770" s="37"/>
      <c r="O770" s="68"/>
      <c r="P770" s="68"/>
      <c r="Q770" s="37"/>
      <c r="R770" s="37"/>
      <c r="S770" s="37"/>
      <c r="T770" s="68"/>
      <c r="U770" s="68"/>
      <c r="V770" s="130" t="s">
        <v>223</v>
      </c>
      <c r="W770" s="74">
        <v>2</v>
      </c>
      <c r="X770" s="127">
        <f>MAX(0,$AK770-$W770-$Z770)</f>
        <v>0</v>
      </c>
      <c r="Y770" s="130"/>
      <c r="Z770" s="130"/>
      <c r="AA770" s="130">
        <v>0.09</v>
      </c>
      <c r="AB770" s="132">
        <f>IF(AND($X770&gt;0,ISNUMBER($AA770)),$X770*$AA770,0)</f>
        <v>0</v>
      </c>
      <c r="AK770" s="39">
        <f>SUM(AL770:AR770)</f>
        <v>0</v>
      </c>
      <c r="AL770" s="128"/>
      <c r="AM770" s="38"/>
      <c r="AN770" s="38"/>
      <c r="AO770" s="38"/>
      <c r="AP770" s="38"/>
      <c r="AQ770" s="38"/>
      <c r="AR770" s="128"/>
      <c r="AS770" s="42">
        <f>SUM(AT770:AZ770)</f>
        <v>0</v>
      </c>
      <c r="AT770" s="48"/>
      <c r="AU770" s="48"/>
      <c r="AV770" s="48"/>
      <c r="AW770" s="48"/>
      <c r="AX770" s="48"/>
      <c r="AY770" s="48"/>
      <c r="AZ770" s="48"/>
      <c r="BA770" s="43">
        <f>IF((W770-SUM(AT770:AZ770))&lt;0,0,W770-SUM(AT770:AZ770))</f>
        <v>2</v>
      </c>
      <c r="BB770" s="130"/>
      <c r="BC770" s="37"/>
      <c r="BD770" s="37"/>
    </row>
    <row r="771" spans="1:56" ht="15" customHeight="1">
      <c r="A771" s="126" t="s">
        <v>3401</v>
      </c>
      <c r="B771" s="129" t="s">
        <v>127</v>
      </c>
      <c r="C771" s="46" t="s">
        <v>65</v>
      </c>
      <c r="D771" s="126" t="s">
        <v>84</v>
      </c>
      <c r="E771" s="126" t="s">
        <v>3402</v>
      </c>
      <c r="F771" s="129">
        <v>5</v>
      </c>
      <c r="G771" s="75" t="s">
        <v>3403</v>
      </c>
      <c r="H771" s="126" t="s">
        <v>238</v>
      </c>
      <c r="I771" s="126" t="s">
        <v>3404</v>
      </c>
      <c r="J771" s="126" t="s">
        <v>164</v>
      </c>
      <c r="K771" s="126"/>
      <c r="L771" s="47"/>
      <c r="M771" s="47"/>
      <c r="N771" s="47"/>
      <c r="O771" s="68"/>
      <c r="P771" s="68"/>
      <c r="Q771" s="47"/>
      <c r="R771" s="47"/>
      <c r="S771" s="47"/>
      <c r="T771" s="68"/>
      <c r="U771" s="68"/>
      <c r="V771" s="126" t="s">
        <v>167</v>
      </c>
      <c r="W771" s="74">
        <v>1</v>
      </c>
      <c r="X771" s="127">
        <f>MAX(0,$AK771-$W771-$Z771)</f>
        <v>0</v>
      </c>
      <c r="Y771" s="126"/>
      <c r="Z771" s="126"/>
      <c r="AA771" s="126">
        <v>0.14000000000000001</v>
      </c>
      <c r="AB771" s="126">
        <f>IF(AND($X771&gt;0,ISNUMBER($AA771)),$X771*$AA771,0)</f>
        <v>0</v>
      </c>
      <c r="AK771" s="39">
        <f>SUM(AL771:AR771)</f>
        <v>0</v>
      </c>
      <c r="AL771" s="128"/>
      <c r="AM771" s="38"/>
      <c r="AN771" s="38"/>
      <c r="AO771" s="38"/>
      <c r="AP771" s="38"/>
      <c r="AQ771" s="38"/>
      <c r="AR771" s="128"/>
      <c r="AS771" s="42">
        <f>SUM(AT771:AZ771)</f>
        <v>0</v>
      </c>
      <c r="AT771" s="48"/>
      <c r="AU771" s="48"/>
      <c r="AV771" s="48"/>
      <c r="AW771" s="48"/>
      <c r="AX771" s="48"/>
      <c r="AY771" s="48"/>
      <c r="AZ771" s="48"/>
      <c r="BA771" s="43">
        <f>IF((W771-SUM(AT771:AZ771))&lt;0,0,W771-SUM(AT771:AZ771))</f>
        <v>1</v>
      </c>
      <c r="BB771" s="126"/>
      <c r="BC771" s="47"/>
      <c r="BD771" s="47"/>
    </row>
    <row r="772" spans="1:56" ht="15" customHeight="1">
      <c r="A772" s="125" t="s">
        <v>3405</v>
      </c>
      <c r="B772" s="127" t="s">
        <v>127</v>
      </c>
      <c r="C772" s="46" t="s">
        <v>65</v>
      </c>
      <c r="D772" s="125" t="s">
        <v>84</v>
      </c>
      <c r="E772" s="125" t="s">
        <v>3406</v>
      </c>
      <c r="F772" s="127">
        <v>3</v>
      </c>
      <c r="G772" s="75" t="s">
        <v>3407</v>
      </c>
      <c r="H772" s="131" t="s">
        <v>78</v>
      </c>
      <c r="I772" s="131" t="s">
        <v>3408</v>
      </c>
      <c r="J772" s="131" t="s">
        <v>3409</v>
      </c>
      <c r="K772" s="131"/>
      <c r="L772" s="47"/>
      <c r="M772" s="47"/>
      <c r="N772" s="47"/>
      <c r="O772" s="47"/>
      <c r="P772" s="47"/>
      <c r="Q772" s="47"/>
      <c r="R772" s="47"/>
      <c r="S772" s="47"/>
      <c r="T772" s="47"/>
      <c r="U772" s="47"/>
      <c r="V772" s="131" t="s">
        <v>568</v>
      </c>
      <c r="W772" s="74">
        <v>1</v>
      </c>
      <c r="X772" s="127">
        <f>MAX(0,$AK772-$W772-$Z772)</f>
        <v>0</v>
      </c>
      <c r="Y772" s="127"/>
      <c r="Z772" s="127"/>
      <c r="AA772" s="132">
        <v>0.18</v>
      </c>
      <c r="AB772" s="132">
        <f>IF(AND($X772&gt;0,ISNUMBER($AA772)),$X772*$AA772,0)</f>
        <v>0</v>
      </c>
      <c r="AK772" s="39">
        <f>SUM(AL772:AR772)</f>
        <v>1</v>
      </c>
      <c r="AL772" s="128"/>
      <c r="AM772" s="97">
        <v>1</v>
      </c>
      <c r="AN772" s="38"/>
      <c r="AO772" s="38"/>
      <c r="AP772" s="38"/>
      <c r="AQ772" s="38"/>
      <c r="AR772" s="128"/>
      <c r="AS772" s="42">
        <f>SUM(AT772:AZ772)</f>
        <v>1</v>
      </c>
      <c r="AT772" s="48"/>
      <c r="AU772" s="48">
        <v>1</v>
      </c>
      <c r="AV772" s="48"/>
      <c r="AW772" s="48"/>
      <c r="AX772" s="48"/>
      <c r="AY772" s="48"/>
      <c r="AZ772" s="48"/>
      <c r="BA772" s="43">
        <f>IF((W772-SUM(AT772:AZ772))&lt;0,0,W772-SUM(AT772:AZ772))</f>
        <v>0</v>
      </c>
      <c r="BB772" s="125"/>
      <c r="BC772" s="47"/>
      <c r="BD772" s="47"/>
    </row>
    <row r="773" spans="1:56" ht="15" customHeight="1">
      <c r="A773" s="125" t="s">
        <v>433</v>
      </c>
      <c r="B773" s="127" t="s">
        <v>127</v>
      </c>
      <c r="C773" s="46" t="s">
        <v>83</v>
      </c>
      <c r="D773" s="125" t="s">
        <v>434</v>
      </c>
      <c r="E773" s="125" t="s">
        <v>435</v>
      </c>
      <c r="F773" s="127">
        <v>4</v>
      </c>
      <c r="G773" s="75" t="s">
        <v>436</v>
      </c>
      <c r="H773" s="131" t="s">
        <v>153</v>
      </c>
      <c r="I773" s="131" t="s">
        <v>437</v>
      </c>
      <c r="J773" s="131" t="s">
        <v>438</v>
      </c>
      <c r="K773" s="131" t="s">
        <v>439</v>
      </c>
      <c r="L773" s="47"/>
      <c r="M773" s="47"/>
      <c r="N773" s="47"/>
      <c r="O773" s="47"/>
      <c r="P773" s="47"/>
      <c r="Q773" s="47"/>
      <c r="R773" s="47"/>
      <c r="S773" s="47"/>
      <c r="T773" s="47"/>
      <c r="U773" s="47"/>
      <c r="V773" s="131" t="s">
        <v>440</v>
      </c>
      <c r="W773" s="74">
        <v>1</v>
      </c>
      <c r="X773" s="127">
        <f>MAX(0,$AK773-$W773-$Z773)</f>
        <v>0</v>
      </c>
      <c r="Y773" s="127"/>
      <c r="Z773" s="127"/>
      <c r="AA773" s="132">
        <v>1</v>
      </c>
      <c r="AB773" s="132">
        <f>IF(AND($X773&gt;0,ISNUMBER($AA773)),$X773*$AA773,0)</f>
        <v>0</v>
      </c>
      <c r="AK773" s="39">
        <f>SUM(AL773:AR773)</f>
        <v>1</v>
      </c>
      <c r="AL773" s="128"/>
      <c r="AM773" s="38"/>
      <c r="AN773" s="38"/>
      <c r="AO773" s="38"/>
      <c r="AP773" s="97">
        <v>1</v>
      </c>
      <c r="AQ773" s="38"/>
      <c r="AR773" s="128"/>
      <c r="AS773" s="42">
        <f>SUM(AT773:AZ773)</f>
        <v>1</v>
      </c>
      <c r="AT773" s="48"/>
      <c r="AU773" s="48"/>
      <c r="AV773" s="48"/>
      <c r="AW773" s="48"/>
      <c r="AX773" s="48">
        <v>1</v>
      </c>
      <c r="AY773" s="48"/>
      <c r="AZ773" s="48"/>
      <c r="BA773" s="43">
        <f>IF((W773-SUM(AT773:AZ773))&lt;0,0,W773-SUM(AT773:AZ773))</f>
        <v>0</v>
      </c>
      <c r="BB773" s="125"/>
      <c r="BC773" s="47"/>
      <c r="BD773" s="47"/>
    </row>
    <row r="774" spans="1:56" ht="15" customHeight="1">
      <c r="A774" s="125" t="s">
        <v>3410</v>
      </c>
      <c r="B774" s="127" t="s">
        <v>127</v>
      </c>
      <c r="C774" s="46" t="s">
        <v>65</v>
      </c>
      <c r="D774" s="125" t="s">
        <v>76</v>
      </c>
      <c r="E774" s="125"/>
      <c r="F774" s="127">
        <v>1</v>
      </c>
      <c r="G774" s="75" t="s">
        <v>3411</v>
      </c>
      <c r="H774" s="131" t="s">
        <v>1182</v>
      </c>
      <c r="I774" s="131" t="s">
        <v>2227</v>
      </c>
      <c r="J774" s="131" t="s">
        <v>3412</v>
      </c>
      <c r="K774" s="131"/>
      <c r="L774" s="46"/>
      <c r="M774" s="46"/>
      <c r="N774" s="46"/>
      <c r="O774" s="46"/>
      <c r="P774" s="46"/>
      <c r="Q774" s="46"/>
      <c r="R774" s="46"/>
      <c r="S774" s="46"/>
      <c r="T774" s="46"/>
      <c r="U774" s="46"/>
      <c r="V774" s="131" t="s">
        <v>1600</v>
      </c>
      <c r="W774" s="74">
        <v>1</v>
      </c>
      <c r="X774" s="127">
        <f>MAX(0,$AK774-$W774-$Z774)</f>
        <v>0</v>
      </c>
      <c r="Y774" s="127"/>
      <c r="Z774" s="127"/>
      <c r="AA774" s="132">
        <v>5.2</v>
      </c>
      <c r="AB774" s="132">
        <f>IF(AND($X774&gt;0,ISNUMBER($AA774)),$X774*$AA774,0)</f>
        <v>0</v>
      </c>
      <c r="AK774" s="39">
        <f>SUM(AL774:AR774)</f>
        <v>1</v>
      </c>
      <c r="AL774" s="128"/>
      <c r="AM774" s="97">
        <v>1</v>
      </c>
      <c r="AN774" s="38"/>
      <c r="AO774" s="38"/>
      <c r="AP774" s="38"/>
      <c r="AQ774" s="38"/>
      <c r="AR774" s="128"/>
      <c r="AS774" s="42">
        <f>SUM(AT774:AZ774)</f>
        <v>1</v>
      </c>
      <c r="AT774" s="48"/>
      <c r="AU774" s="48">
        <v>1</v>
      </c>
      <c r="AV774" s="48"/>
      <c r="AW774" s="48"/>
      <c r="AX774" s="48"/>
      <c r="AY774" s="48"/>
      <c r="AZ774" s="48"/>
      <c r="BA774" s="43">
        <f>IF((W774-SUM(AT774:AZ774))&lt;0,0,W774-SUM(AT774:AZ774))</f>
        <v>0</v>
      </c>
      <c r="BB774" s="125"/>
      <c r="BC774" s="47"/>
      <c r="BD774" s="47"/>
    </row>
    <row r="775" spans="1:56" ht="15" customHeight="1">
      <c r="A775" s="126" t="s">
        <v>3413</v>
      </c>
      <c r="B775" s="129" t="s">
        <v>127</v>
      </c>
      <c r="C775" s="46" t="s">
        <v>65</v>
      </c>
      <c r="D775" s="126" t="s">
        <v>84</v>
      </c>
      <c r="E775" s="126" t="s">
        <v>128</v>
      </c>
      <c r="F775" s="129">
        <v>5</v>
      </c>
      <c r="G775" s="75" t="s">
        <v>3414</v>
      </c>
      <c r="H775" s="126" t="s">
        <v>238</v>
      </c>
      <c r="I775" s="126" t="s">
        <v>3415</v>
      </c>
      <c r="J775" s="126" t="s">
        <v>2239</v>
      </c>
      <c r="K775" s="126"/>
      <c r="L775" s="47"/>
      <c r="M775" s="47"/>
      <c r="N775" s="47"/>
      <c r="O775" s="68"/>
      <c r="P775" s="68"/>
      <c r="Q775" s="47"/>
      <c r="R775" s="47"/>
      <c r="S775" s="47"/>
      <c r="T775" s="68"/>
      <c r="U775" s="68"/>
      <c r="V775" s="126" t="s">
        <v>167</v>
      </c>
      <c r="W775" s="74">
        <v>2</v>
      </c>
      <c r="X775" s="127">
        <f>MAX(0,$AK775-$W775-$Z775)</f>
        <v>0</v>
      </c>
      <c r="Y775" s="126"/>
      <c r="Z775" s="126"/>
      <c r="AA775" s="126">
        <v>0.15</v>
      </c>
      <c r="AB775" s="126">
        <f>IF(AND($X775&gt;0,ISNUMBER($AA775)),$X775*$AA775,0)</f>
        <v>0</v>
      </c>
      <c r="AK775" s="39">
        <f>SUM(AL775:AR775)</f>
        <v>0</v>
      </c>
      <c r="AL775" s="128"/>
      <c r="AM775" s="38"/>
      <c r="AN775" s="38"/>
      <c r="AO775" s="38"/>
      <c r="AP775" s="38"/>
      <c r="AQ775" s="38"/>
      <c r="AR775" s="128"/>
      <c r="AS775" s="42">
        <f>SUM(AT775:AZ775)</f>
        <v>0</v>
      </c>
      <c r="AT775" s="48"/>
      <c r="AU775" s="48"/>
      <c r="AV775" s="48"/>
      <c r="AW775" s="48"/>
      <c r="AX775" s="48"/>
      <c r="AY775" s="48"/>
      <c r="AZ775" s="48"/>
      <c r="BA775" s="43">
        <f>IF((W775-SUM(AT775:AZ775))&lt;0,0,W775-SUM(AT775:AZ775))</f>
        <v>2</v>
      </c>
      <c r="BB775" s="126"/>
      <c r="BC775" s="47"/>
      <c r="BD775" s="47"/>
    </row>
    <row r="776" spans="1:56" ht="15" customHeight="1">
      <c r="A776" s="125" t="s">
        <v>3416</v>
      </c>
      <c r="B776" s="127" t="s">
        <v>127</v>
      </c>
      <c r="C776" s="46" t="s">
        <v>83</v>
      </c>
      <c r="D776" s="125" t="s">
        <v>134</v>
      </c>
      <c r="E776" s="125"/>
      <c r="F776" s="127">
        <v>5</v>
      </c>
      <c r="G776" s="75" t="s">
        <v>3417</v>
      </c>
      <c r="H776" s="131" t="s">
        <v>474</v>
      </c>
      <c r="I776" s="131" t="s">
        <v>3417</v>
      </c>
      <c r="J776" s="131"/>
      <c r="K776" s="131"/>
      <c r="L776" s="46"/>
      <c r="M776" s="46"/>
      <c r="N776" s="46"/>
      <c r="O776" s="46"/>
      <c r="P776" s="46"/>
      <c r="Q776" s="46"/>
      <c r="R776" s="46"/>
      <c r="S776" s="46"/>
      <c r="T776" s="46"/>
      <c r="U776" s="46"/>
      <c r="V776" s="131" t="s">
        <v>235</v>
      </c>
      <c r="W776" s="74">
        <v>0</v>
      </c>
      <c r="X776" s="127">
        <f>MAX(0,$AK776-$W776-$Z776)</f>
        <v>0</v>
      </c>
      <c r="Y776" s="127"/>
      <c r="Z776" s="127"/>
      <c r="AA776" s="132">
        <v>0.25</v>
      </c>
      <c r="AB776" s="132">
        <f>IF(AND($X776&gt;0,ISNUMBER($AA776)),$X776*$AA776,0)</f>
        <v>0</v>
      </c>
      <c r="AC776" s="59"/>
      <c r="AD776" s="59"/>
      <c r="AE776" s="59"/>
      <c r="AF776" s="59"/>
      <c r="AG776" s="59"/>
      <c r="AH776" s="59"/>
      <c r="AI776" s="59"/>
      <c r="AJ776" s="59"/>
      <c r="AK776" s="39">
        <f>SUM(AL776:AR776)</f>
        <v>0</v>
      </c>
      <c r="AL776" s="127"/>
      <c r="AM776" s="43"/>
      <c r="AN776" s="43"/>
      <c r="AO776" s="43"/>
      <c r="AP776" s="43"/>
      <c r="AQ776" s="43"/>
      <c r="AR776" s="127"/>
      <c r="AS776" s="42">
        <f>SUM(AT776:AZ776)</f>
        <v>0</v>
      </c>
      <c r="AT776" s="48"/>
      <c r="AU776" s="48"/>
      <c r="AV776" s="48"/>
      <c r="AW776" s="48"/>
      <c r="AX776" s="48"/>
      <c r="AY776" s="48"/>
      <c r="AZ776" s="48"/>
      <c r="BA776" s="43">
        <f>IF((W776-SUM(AT776:AZ776))&lt;0,0,W776-SUM(AT776:AZ776))</f>
        <v>0</v>
      </c>
      <c r="BB776" s="125"/>
      <c r="BC776" s="47"/>
      <c r="BD776" s="53"/>
    </row>
    <row r="777" spans="1:56" ht="15" customHeight="1">
      <c r="A777" s="125" t="s">
        <v>3418</v>
      </c>
      <c r="B777" s="127" t="s">
        <v>127</v>
      </c>
      <c r="C777" s="46" t="s">
        <v>65</v>
      </c>
      <c r="D777" s="125" t="s">
        <v>256</v>
      </c>
      <c r="E777" s="125" t="s">
        <v>2534</v>
      </c>
      <c r="F777" s="127">
        <v>3</v>
      </c>
      <c r="G777" s="75" t="s">
        <v>3419</v>
      </c>
      <c r="H777" s="131" t="s">
        <v>474</v>
      </c>
      <c r="I777" s="131" t="s">
        <v>3420</v>
      </c>
      <c r="J777" s="131" t="s">
        <v>3421</v>
      </c>
      <c r="K777" s="131" t="s">
        <v>3422</v>
      </c>
      <c r="L777" s="47"/>
      <c r="M777" s="47"/>
      <c r="N777" s="47"/>
      <c r="O777" s="47"/>
      <c r="P777" s="47"/>
      <c r="Q777" s="47"/>
      <c r="R777" s="47"/>
      <c r="S777" s="47"/>
      <c r="T777" s="47"/>
      <c r="U777" s="47"/>
      <c r="V777" s="131" t="s">
        <v>588</v>
      </c>
      <c r="W777" s="74">
        <v>1</v>
      </c>
      <c r="X777" s="127">
        <f>MAX(0,$AK777-$W777-$Z777)</f>
        <v>0</v>
      </c>
      <c r="Y777" s="127"/>
      <c r="Z777" s="127"/>
      <c r="AA777" s="132">
        <v>0.27</v>
      </c>
      <c r="AB777" s="132">
        <f>IF(AND($X777&gt;0,ISNUMBER($AA777)),$X777*$AA777,0)</f>
        <v>0</v>
      </c>
      <c r="AK777" s="39">
        <f>SUM(AL777:AR777)</f>
        <v>0</v>
      </c>
      <c r="AL777" s="128"/>
      <c r="AM777" s="38"/>
      <c r="AN777" s="38"/>
      <c r="AO777" s="38"/>
      <c r="AP777" s="38"/>
      <c r="AQ777" s="38"/>
      <c r="AR777" s="128"/>
      <c r="AS777" s="42">
        <f>SUM(AT777:AZ777)</f>
        <v>0</v>
      </c>
      <c r="AT777" s="48"/>
      <c r="AU777" s="48"/>
      <c r="AV777" s="48"/>
      <c r="AW777" s="48"/>
      <c r="AX777" s="48"/>
      <c r="AY777" s="48"/>
      <c r="AZ777" s="48"/>
      <c r="BA777" s="43">
        <f>IF((W777-SUM(AT777:AZ777))&lt;0,0,W777-SUM(AT777:AZ777))</f>
        <v>1</v>
      </c>
      <c r="BB777" s="125"/>
      <c r="BC777" s="47"/>
      <c r="BD777" s="47"/>
    </row>
    <row r="778" spans="1:56" ht="15" customHeight="1">
      <c r="A778" s="126" t="s">
        <v>3423</v>
      </c>
      <c r="B778" s="129" t="s">
        <v>127</v>
      </c>
      <c r="C778" s="46" t="s">
        <v>65</v>
      </c>
      <c r="D778" s="126" t="s">
        <v>76</v>
      </c>
      <c r="E778" s="126" t="s">
        <v>600</v>
      </c>
      <c r="F778" s="129">
        <v>3</v>
      </c>
      <c r="G778" s="75" t="s">
        <v>3424</v>
      </c>
      <c r="H778" s="126" t="s">
        <v>499</v>
      </c>
      <c r="I778" s="126" t="s">
        <v>3425</v>
      </c>
      <c r="J778" s="126"/>
      <c r="K778" s="126"/>
      <c r="L778" s="47"/>
      <c r="M778" s="47"/>
      <c r="N778" s="47"/>
      <c r="O778" s="68"/>
      <c r="P778" s="68"/>
      <c r="Q778" s="47"/>
      <c r="R778" s="47"/>
      <c r="S778" s="47"/>
      <c r="T778" s="68"/>
      <c r="U778" s="68"/>
      <c r="V778" s="126" t="s">
        <v>568</v>
      </c>
      <c r="W778" s="74">
        <v>1</v>
      </c>
      <c r="X778" s="127">
        <f>MAX(0,$AK778-$W778-$Z778)</f>
        <v>0</v>
      </c>
      <c r="Y778" s="126"/>
      <c r="Z778" s="126"/>
      <c r="AA778" s="126">
        <v>0.2</v>
      </c>
      <c r="AB778" s="126">
        <f>IF(AND($X778&gt;0,ISNUMBER($AA778)),$X778*$AA778,0)</f>
        <v>0</v>
      </c>
      <c r="AK778" s="39">
        <f>SUM(AL778:AR778)</f>
        <v>0</v>
      </c>
      <c r="AL778" s="128"/>
      <c r="AM778" s="38"/>
      <c r="AN778" s="38"/>
      <c r="AO778" s="38"/>
      <c r="AP778" s="38"/>
      <c r="AQ778" s="38"/>
      <c r="AR778" s="128"/>
      <c r="AS778" s="42">
        <f>SUM(AT778:AZ778)</f>
        <v>0</v>
      </c>
      <c r="AT778" s="48"/>
      <c r="AU778" s="48"/>
      <c r="AV778" s="48"/>
      <c r="AW778" s="48"/>
      <c r="AX778" s="48"/>
      <c r="AY778" s="48"/>
      <c r="AZ778" s="48"/>
      <c r="BA778" s="43">
        <f>IF((W778-SUM(AT778:AZ778))&lt;0,0,W778-SUM(AT778:AZ778))</f>
        <v>1</v>
      </c>
      <c r="BB778" s="126"/>
      <c r="BC778" s="47"/>
      <c r="BD778" s="47"/>
    </row>
    <row r="779" spans="1:56" ht="15" customHeight="1">
      <c r="A779" s="125" t="s">
        <v>3426</v>
      </c>
      <c r="B779" s="127" t="s">
        <v>127</v>
      </c>
      <c r="C779" s="46" t="s">
        <v>83</v>
      </c>
      <c r="D779" s="125" t="s">
        <v>134</v>
      </c>
      <c r="E779" s="125"/>
      <c r="F779" s="127">
        <v>6</v>
      </c>
      <c r="G779" s="75" t="s">
        <v>3427</v>
      </c>
      <c r="H779" s="131" t="s">
        <v>87</v>
      </c>
      <c r="I779" s="131" t="s">
        <v>3427</v>
      </c>
      <c r="J779" s="131"/>
      <c r="K779" s="131"/>
      <c r="L779" s="47"/>
      <c r="M779" s="47"/>
      <c r="N779" s="47"/>
      <c r="O779" s="47"/>
      <c r="P779" s="47"/>
      <c r="Q779" s="47"/>
      <c r="R779" s="47"/>
      <c r="S779" s="47"/>
      <c r="T779" s="47"/>
      <c r="U779" s="47"/>
      <c r="V779" s="131" t="s">
        <v>956</v>
      </c>
      <c r="W779" s="74">
        <v>0</v>
      </c>
      <c r="X779" s="127">
        <f>MAX(0,$AK779-$W779-$Z779)</f>
        <v>0</v>
      </c>
      <c r="Y779" s="127"/>
      <c r="Z779" s="127"/>
      <c r="AA779" s="132">
        <v>6</v>
      </c>
      <c r="AB779" s="132">
        <f>IF(AND($X779&gt;0,ISNUMBER($AA779)),$X779*$AA779,0)</f>
        <v>0</v>
      </c>
      <c r="AC779" s="59"/>
      <c r="AD779" s="59"/>
      <c r="AE779" s="59"/>
      <c r="AF779" s="59"/>
      <c r="AG779" s="59"/>
      <c r="AH779" s="59"/>
      <c r="AI779" s="59"/>
      <c r="AJ779" s="59"/>
      <c r="AK779" s="39">
        <f>SUM(AL779:AR779)</f>
        <v>0</v>
      </c>
      <c r="AL779" s="127"/>
      <c r="AM779" s="43"/>
      <c r="AN779" s="43"/>
      <c r="AO779" s="43"/>
      <c r="AP779" s="43"/>
      <c r="AQ779" s="43"/>
      <c r="AR779" s="127"/>
      <c r="AS779" s="42">
        <f>SUM(AT779:AZ779)</f>
        <v>0</v>
      </c>
      <c r="AT779" s="48"/>
      <c r="AU779" s="48"/>
      <c r="AV779" s="48"/>
      <c r="AW779" s="48"/>
      <c r="AX779" s="48"/>
      <c r="AY779" s="48"/>
      <c r="AZ779" s="48"/>
      <c r="BA779" s="43">
        <f>IF((W779-SUM(AT779:AZ779))&lt;0,0,W779-SUM(AT779:AZ779))</f>
        <v>0</v>
      </c>
      <c r="BB779" s="125"/>
      <c r="BC779" s="47"/>
      <c r="BD779" s="47"/>
    </row>
    <row r="780" spans="1:56" ht="15" customHeight="1">
      <c r="A780" s="125" t="s">
        <v>3428</v>
      </c>
      <c r="B780" s="127" t="s">
        <v>127</v>
      </c>
      <c r="C780" s="46" t="s">
        <v>65</v>
      </c>
      <c r="D780" s="125" t="s">
        <v>76</v>
      </c>
      <c r="E780" s="125"/>
      <c r="F780" s="127">
        <v>2</v>
      </c>
      <c r="G780" s="75" t="s">
        <v>3429</v>
      </c>
      <c r="H780" s="131" t="s">
        <v>78</v>
      </c>
      <c r="I780" s="131" t="s">
        <v>79</v>
      </c>
      <c r="J780" s="131" t="s">
        <v>3430</v>
      </c>
      <c r="K780" s="131"/>
      <c r="L780" s="47"/>
      <c r="M780" s="47"/>
      <c r="N780" s="47"/>
      <c r="O780" s="47"/>
      <c r="P780" s="47"/>
      <c r="Q780" s="47"/>
      <c r="R780" s="47"/>
      <c r="S780" s="47"/>
      <c r="T780" s="47"/>
      <c r="U780" s="47"/>
      <c r="V780" s="131" t="s">
        <v>692</v>
      </c>
      <c r="W780" s="74">
        <v>1</v>
      </c>
      <c r="X780" s="127">
        <f>MAX(0,$AK780-$W780-$Z780)</f>
        <v>0</v>
      </c>
      <c r="Y780" s="127"/>
      <c r="Z780" s="127"/>
      <c r="AA780" s="132">
        <v>0.41</v>
      </c>
      <c r="AB780" s="132">
        <f>IF(AND($X780&gt;0,ISNUMBER($AA780)),$X780*$AA780,0)</f>
        <v>0</v>
      </c>
      <c r="AK780" s="39">
        <f>SUM(AL780:AR780)</f>
        <v>1</v>
      </c>
      <c r="AL780" s="128"/>
      <c r="AM780" s="38"/>
      <c r="AN780" s="38"/>
      <c r="AO780" s="97">
        <v>1</v>
      </c>
      <c r="AP780" s="38"/>
      <c r="AQ780" s="38"/>
      <c r="AR780" s="128"/>
      <c r="AS780" s="42">
        <f>SUM(AT780:AZ780)</f>
        <v>1</v>
      </c>
      <c r="AT780" s="48"/>
      <c r="AU780" s="48"/>
      <c r="AV780" s="48"/>
      <c r="AW780" s="48">
        <v>1</v>
      </c>
      <c r="AX780" s="48"/>
      <c r="AY780" s="48"/>
      <c r="AZ780" s="48"/>
      <c r="BA780" s="43">
        <f>IF((W780-SUM(AT780:AZ780))&lt;0,0,W780-SUM(AT780:AZ780))</f>
        <v>0</v>
      </c>
      <c r="BB780" s="125"/>
      <c r="BC780" s="47"/>
      <c r="BD780" s="47"/>
    </row>
    <row r="781" spans="1:56" ht="15" customHeight="1">
      <c r="A781" s="125" t="s">
        <v>3431</v>
      </c>
      <c r="B781" s="127" t="s">
        <v>127</v>
      </c>
      <c r="C781" s="46" t="s">
        <v>65</v>
      </c>
      <c r="D781" s="125" t="s">
        <v>134</v>
      </c>
      <c r="E781" s="125"/>
      <c r="F781" s="127">
        <v>5</v>
      </c>
      <c r="G781" s="75" t="s">
        <v>3432</v>
      </c>
      <c r="H781" s="131" t="s">
        <v>474</v>
      </c>
      <c r="I781" s="131" t="s">
        <v>3433</v>
      </c>
      <c r="J781" s="131"/>
      <c r="K781" s="131"/>
      <c r="L781" s="47"/>
      <c r="M781" s="47"/>
      <c r="N781" s="47"/>
      <c r="O781" s="47"/>
      <c r="P781" s="47"/>
      <c r="Q781" s="47"/>
      <c r="R781" s="47"/>
      <c r="S781" s="47"/>
      <c r="T781" s="47"/>
      <c r="U781" s="47"/>
      <c r="V781" s="131" t="s">
        <v>1345</v>
      </c>
      <c r="W781" s="74">
        <v>2</v>
      </c>
      <c r="X781" s="127">
        <f>MAX(0,$AK781-$W781-$Z781)</f>
        <v>0</v>
      </c>
      <c r="Y781" s="127"/>
      <c r="Z781" s="127"/>
      <c r="AA781" s="132">
        <v>0.28000000000000003</v>
      </c>
      <c r="AB781" s="132">
        <f>IF(AND($X781&gt;0,ISNUMBER($AA781)),$X781*$AA781,0)</f>
        <v>0</v>
      </c>
      <c r="AK781" s="39">
        <f>SUM(AL781:AR781)</f>
        <v>2</v>
      </c>
      <c r="AL781" s="128"/>
      <c r="AM781" s="119">
        <v>1</v>
      </c>
      <c r="AN781" s="38"/>
      <c r="AO781" s="97">
        <v>1</v>
      </c>
      <c r="AP781" s="38"/>
      <c r="AQ781" s="38"/>
      <c r="AR781" s="128"/>
      <c r="AS781" s="42">
        <f>SUM(AT781:AZ781)</f>
        <v>2</v>
      </c>
      <c r="AT781" s="48"/>
      <c r="AU781" s="48">
        <v>1</v>
      </c>
      <c r="AV781" s="48"/>
      <c r="AW781" s="48">
        <v>1</v>
      </c>
      <c r="AX781" s="48"/>
      <c r="AY781" s="48"/>
      <c r="AZ781" s="48"/>
      <c r="BA781" s="43">
        <f>IF((W781-SUM(AT781:AZ781))&lt;0,0,W781-SUM(AT781:AZ781))</f>
        <v>0</v>
      </c>
      <c r="BB781" s="125"/>
      <c r="BC781" s="47"/>
      <c r="BD781" s="47"/>
    </row>
    <row r="782" spans="1:56" ht="15" customHeight="1">
      <c r="A782" s="125" t="s">
        <v>224</v>
      </c>
      <c r="B782" s="127" t="s">
        <v>127</v>
      </c>
      <c r="C782" s="46" t="s">
        <v>65</v>
      </c>
      <c r="D782" s="125" t="s">
        <v>84</v>
      </c>
      <c r="E782" s="125" t="s">
        <v>225</v>
      </c>
      <c r="F782" s="127">
        <v>3</v>
      </c>
      <c r="G782" s="75" t="s">
        <v>226</v>
      </c>
      <c r="H782" s="131" t="s">
        <v>227</v>
      </c>
      <c r="I782" s="131" t="s">
        <v>228</v>
      </c>
      <c r="J782" s="131" t="s">
        <v>229</v>
      </c>
      <c r="K782" s="131"/>
      <c r="L782" s="47"/>
      <c r="M782" s="47"/>
      <c r="N782" s="47"/>
      <c r="O782" s="68"/>
      <c r="P782" s="68"/>
      <c r="Q782" s="47"/>
      <c r="R782" s="47"/>
      <c r="S782" s="47"/>
      <c r="T782" s="68"/>
      <c r="U782" s="68"/>
      <c r="V782" s="131" t="s">
        <v>217</v>
      </c>
      <c r="W782" s="74">
        <v>1</v>
      </c>
      <c r="X782" s="127">
        <f>MAX(0,$AK782-$W782-$Z782)</f>
        <v>0</v>
      </c>
      <c r="Y782" s="127"/>
      <c r="Z782" s="127"/>
      <c r="AA782" s="132">
        <v>0.2</v>
      </c>
      <c r="AB782" s="132">
        <f>IF(AND($X782&gt;0,ISNUMBER($AA782)),$X782*$AA782,0)</f>
        <v>0</v>
      </c>
      <c r="AK782" s="39">
        <f>SUM(AL782:AR782)</f>
        <v>1</v>
      </c>
      <c r="AL782" s="128"/>
      <c r="AM782" s="38"/>
      <c r="AN782" s="38"/>
      <c r="AO782" s="38"/>
      <c r="AP782" s="98">
        <v>1</v>
      </c>
      <c r="AQ782" s="38"/>
      <c r="AR782" s="128"/>
      <c r="AS782" s="42">
        <f>SUM(AT782:AZ782)</f>
        <v>1</v>
      </c>
      <c r="AT782" s="48"/>
      <c r="AU782" s="48"/>
      <c r="AV782" s="48"/>
      <c r="AW782" s="48"/>
      <c r="AX782" s="48">
        <v>1</v>
      </c>
      <c r="AY782" s="48"/>
      <c r="AZ782" s="48"/>
      <c r="BA782" s="43">
        <f>IF((W782-SUM(AT782:AZ782))&lt;0,0,W782-SUM(AT782:AZ782))</f>
        <v>0</v>
      </c>
      <c r="BB782" s="125"/>
      <c r="BC782" s="47"/>
      <c r="BD782" s="47"/>
    </row>
    <row r="783" spans="1:56" ht="15" customHeight="1">
      <c r="A783" s="125" t="s">
        <v>3434</v>
      </c>
      <c r="B783" s="127" t="s">
        <v>127</v>
      </c>
      <c r="C783" s="46" t="s">
        <v>65</v>
      </c>
      <c r="D783" s="125" t="s">
        <v>134</v>
      </c>
      <c r="E783" s="125"/>
      <c r="F783" s="127">
        <v>2</v>
      </c>
      <c r="G783" s="75" t="s">
        <v>3435</v>
      </c>
      <c r="H783" s="131" t="s">
        <v>153</v>
      </c>
      <c r="I783" s="131" t="s">
        <v>3436</v>
      </c>
      <c r="J783" s="131"/>
      <c r="K783" s="131"/>
      <c r="L783" s="47"/>
      <c r="M783" s="47"/>
      <c r="N783" s="47"/>
      <c r="O783" s="47"/>
      <c r="P783" s="47"/>
      <c r="Q783" s="47"/>
      <c r="R783" s="47"/>
      <c r="S783" s="47"/>
      <c r="T783" s="47"/>
      <c r="U783" s="47"/>
      <c r="V783" s="131" t="s">
        <v>363</v>
      </c>
      <c r="W783" s="74">
        <v>0</v>
      </c>
      <c r="X783" s="127">
        <f>MAX(0,$AK783-$W783-$Z783)</f>
        <v>0</v>
      </c>
      <c r="Y783" s="127"/>
      <c r="Z783" s="127"/>
      <c r="AA783" s="132">
        <v>0.13</v>
      </c>
      <c r="AB783" s="132">
        <f>IF(AND($X783&gt;0,ISNUMBER($AA783)),$X783*$AA783,0)</f>
        <v>0</v>
      </c>
      <c r="AC783" s="59"/>
      <c r="AD783" s="59"/>
      <c r="AE783" s="59"/>
      <c r="AF783" s="59"/>
      <c r="AG783" s="59"/>
      <c r="AH783" s="59"/>
      <c r="AI783" s="59"/>
      <c r="AJ783" s="59"/>
      <c r="AK783" s="39">
        <f>SUM(AL783:AR783)</f>
        <v>0</v>
      </c>
      <c r="AL783" s="127"/>
      <c r="AM783" s="43"/>
      <c r="AN783" s="43"/>
      <c r="AO783" s="43"/>
      <c r="AP783" s="43"/>
      <c r="AQ783" s="43"/>
      <c r="AR783" s="127"/>
      <c r="AS783" s="42">
        <f>SUM(AT783:AZ783)</f>
        <v>0</v>
      </c>
      <c r="AT783" s="48"/>
      <c r="AU783" s="48"/>
      <c r="AV783" s="48"/>
      <c r="AW783" s="48"/>
      <c r="AX783" s="48"/>
      <c r="AY783" s="48"/>
      <c r="AZ783" s="48"/>
      <c r="BA783" s="43">
        <f>IF((W783-SUM(AT783:AZ783))&lt;0,0,W783-SUM(AT783:AZ783))</f>
        <v>0</v>
      </c>
      <c r="BB783" s="125"/>
      <c r="BC783" s="47"/>
      <c r="BD783" s="47"/>
    </row>
    <row r="784" spans="1:56" ht="15" customHeight="1">
      <c r="A784" s="125" t="s">
        <v>3437</v>
      </c>
      <c r="B784" s="127" t="s">
        <v>127</v>
      </c>
      <c r="C784" s="46" t="s">
        <v>65</v>
      </c>
      <c r="D784" s="125" t="s">
        <v>76</v>
      </c>
      <c r="E784" s="125"/>
      <c r="F784" s="127">
        <v>3</v>
      </c>
      <c r="G784" s="75" t="s">
        <v>3438</v>
      </c>
      <c r="H784" s="131" t="s">
        <v>78</v>
      </c>
      <c r="I784" s="131" t="s">
        <v>3439</v>
      </c>
      <c r="J784" s="131" t="s">
        <v>3440</v>
      </c>
      <c r="K784" s="131"/>
      <c r="L784" s="47"/>
      <c r="M784" s="47"/>
      <c r="N784" s="47"/>
      <c r="O784" s="47"/>
      <c r="P784" s="47"/>
      <c r="Q784" s="47"/>
      <c r="R784" s="47"/>
      <c r="S784" s="47"/>
      <c r="T784" s="47"/>
      <c r="U784" s="47"/>
      <c r="V784" s="131" t="s">
        <v>1600</v>
      </c>
      <c r="W784" s="74">
        <v>1</v>
      </c>
      <c r="X784" s="127">
        <f>MAX(0,$AK784-$W784-$Z784)</f>
        <v>0</v>
      </c>
      <c r="Y784" s="127"/>
      <c r="Z784" s="127"/>
      <c r="AA784" s="132">
        <v>0.85</v>
      </c>
      <c r="AB784" s="132">
        <f>IF(AND($X784&gt;0,ISNUMBER($AA784)),$X784*$AA784,0)</f>
        <v>0</v>
      </c>
      <c r="AK784" s="39">
        <f>SUM(AL784:AR784)</f>
        <v>1</v>
      </c>
      <c r="AL784" s="139">
        <v>1</v>
      </c>
      <c r="AM784" s="38"/>
      <c r="AN784" s="38"/>
      <c r="AO784" s="38"/>
      <c r="AP784" s="38"/>
      <c r="AQ784" s="38"/>
      <c r="AR784" s="128"/>
      <c r="AS784" s="42">
        <f>SUM(AT784:AZ784)</f>
        <v>1</v>
      </c>
      <c r="AT784" s="48">
        <v>1</v>
      </c>
      <c r="AU784" s="48"/>
      <c r="AV784" s="48"/>
      <c r="AW784" s="48"/>
      <c r="AX784" s="48"/>
      <c r="AY784" s="48"/>
      <c r="AZ784" s="48"/>
      <c r="BA784" s="43">
        <f>IF((W784-SUM(AT784:AZ784))&lt;0,0,W784-SUM(AT784:AZ784))</f>
        <v>0</v>
      </c>
      <c r="BB784" s="125"/>
      <c r="BC784" s="47"/>
      <c r="BD784" s="47"/>
    </row>
    <row r="785" spans="1:56" ht="15" customHeight="1">
      <c r="A785" s="126" t="s">
        <v>3441</v>
      </c>
      <c r="B785" s="129" t="s">
        <v>127</v>
      </c>
      <c r="C785" s="46" t="s">
        <v>65</v>
      </c>
      <c r="D785" s="126" t="s">
        <v>84</v>
      </c>
      <c r="E785" s="126" t="s">
        <v>3442</v>
      </c>
      <c r="F785" s="129">
        <v>3</v>
      </c>
      <c r="G785" s="75" t="s">
        <v>3443</v>
      </c>
      <c r="H785" s="126" t="s">
        <v>238</v>
      </c>
      <c r="I785" s="126" t="s">
        <v>164</v>
      </c>
      <c r="J785" s="126" t="s">
        <v>3444</v>
      </c>
      <c r="K785" s="126"/>
      <c r="L785" s="108" t="s">
        <v>3445</v>
      </c>
      <c r="M785" s="46">
        <v>1</v>
      </c>
      <c r="N785" s="46">
        <v>1</v>
      </c>
      <c r="O785" s="68" t="s">
        <v>3446</v>
      </c>
      <c r="P785" s="110">
        <v>0.14000000000000001</v>
      </c>
      <c r="Q785" s="47"/>
      <c r="R785" s="47"/>
      <c r="S785" s="47"/>
      <c r="T785" s="68"/>
      <c r="U785" s="68"/>
      <c r="V785" s="126" t="s">
        <v>568</v>
      </c>
      <c r="W785" s="74">
        <v>1</v>
      </c>
      <c r="X785" s="127">
        <f>MAX(0,$AK785-$W785-$Z785)</f>
        <v>0</v>
      </c>
      <c r="Y785" s="126"/>
      <c r="Z785" s="126"/>
      <c r="AA785" s="126">
        <v>0.14000000000000001</v>
      </c>
      <c r="AB785" s="126">
        <f>IF(AND($X785&gt;0,ISNUMBER($AA785)),$X785*$AA785,0)</f>
        <v>0</v>
      </c>
      <c r="AK785" s="39">
        <f>SUM(AL785:AR785)</f>
        <v>0</v>
      </c>
      <c r="AL785" s="128"/>
      <c r="AM785" s="38"/>
      <c r="AN785" s="38"/>
      <c r="AO785" s="38"/>
      <c r="AP785" s="38"/>
      <c r="AQ785" s="38"/>
      <c r="AR785" s="128"/>
      <c r="AS785" s="42">
        <f>SUM(AT785:AZ785)</f>
        <v>0</v>
      </c>
      <c r="AT785" s="48"/>
      <c r="AU785" s="48"/>
      <c r="AV785" s="48"/>
      <c r="AW785" s="48"/>
      <c r="AX785" s="48"/>
      <c r="AY785" s="48"/>
      <c r="AZ785" s="48"/>
      <c r="BA785" s="43">
        <f>IF((W785-SUM(AT785:AZ785))&lt;0,0,W785-SUM(AT785:AZ785))</f>
        <v>1</v>
      </c>
      <c r="BB785" s="126"/>
      <c r="BC785" s="47"/>
      <c r="BD785" s="47"/>
    </row>
    <row r="786" spans="1:56" ht="15" customHeight="1">
      <c r="A786" s="130" t="s">
        <v>3447</v>
      </c>
      <c r="B786" s="128" t="s">
        <v>127</v>
      </c>
      <c r="C786" s="38" t="s">
        <v>65</v>
      </c>
      <c r="D786" s="130" t="s">
        <v>84</v>
      </c>
      <c r="E786" s="130" t="s">
        <v>3448</v>
      </c>
      <c r="F786" s="128">
        <v>1</v>
      </c>
      <c r="G786" s="75" t="s">
        <v>3449</v>
      </c>
      <c r="H786" s="130" t="s">
        <v>153</v>
      </c>
      <c r="I786" s="130" t="s">
        <v>3450</v>
      </c>
      <c r="J786" s="130"/>
      <c r="K786" s="130"/>
      <c r="L786" s="37"/>
      <c r="M786" s="37"/>
      <c r="N786" s="37"/>
      <c r="O786" s="68"/>
      <c r="P786" s="68"/>
      <c r="Q786" s="37"/>
      <c r="R786" s="37"/>
      <c r="S786" s="37"/>
      <c r="T786" s="68"/>
      <c r="U786" s="68"/>
      <c r="V786" s="130" t="s">
        <v>119</v>
      </c>
      <c r="W786" s="74">
        <v>1</v>
      </c>
      <c r="X786" s="127">
        <f>MAX(0,$AK786-$W786-$Z786)</f>
        <v>0</v>
      </c>
      <c r="Y786" s="130"/>
      <c r="Z786" s="130"/>
      <c r="AA786" s="137">
        <v>0.2</v>
      </c>
      <c r="AB786" s="132">
        <f>IF(AND($X786&gt;0,ISNUMBER($AA786)),$X786*$AA786,0)</f>
        <v>0</v>
      </c>
      <c r="AK786" s="39">
        <f>SUM(AL786:AR786)</f>
        <v>0</v>
      </c>
      <c r="AL786" s="128"/>
      <c r="AM786" s="38"/>
      <c r="AN786" s="38"/>
      <c r="AO786" s="38"/>
      <c r="AP786" s="38"/>
      <c r="AQ786" s="38"/>
      <c r="AR786" s="128"/>
      <c r="AS786" s="42">
        <f>SUM(AT786:AZ786)</f>
        <v>0</v>
      </c>
      <c r="AT786" s="48"/>
      <c r="AU786" s="48"/>
      <c r="AV786" s="48"/>
      <c r="AW786" s="48"/>
      <c r="AX786" s="48"/>
      <c r="AY786" s="48"/>
      <c r="AZ786" s="48"/>
      <c r="BA786" s="43">
        <f>IF((W786-SUM(AT786:AZ786))&lt;0,0,W786-SUM(AT786:AZ786))</f>
        <v>1</v>
      </c>
      <c r="BB786" s="130"/>
      <c r="BC786" s="37"/>
      <c r="BD786" s="37"/>
    </row>
    <row r="787" spans="1:56" ht="15" customHeight="1">
      <c r="A787" s="125" t="s">
        <v>3451</v>
      </c>
      <c r="B787" s="127" t="s">
        <v>127</v>
      </c>
      <c r="C787" s="46" t="s">
        <v>65</v>
      </c>
      <c r="D787" s="125" t="s">
        <v>84</v>
      </c>
      <c r="E787" s="125" t="s">
        <v>1279</v>
      </c>
      <c r="F787" s="127">
        <v>2</v>
      </c>
      <c r="G787" s="75" t="s">
        <v>3452</v>
      </c>
      <c r="H787" s="131" t="s">
        <v>845</v>
      </c>
      <c r="I787" s="131" t="s">
        <v>3453</v>
      </c>
      <c r="J787" s="131" t="s">
        <v>181</v>
      </c>
      <c r="K787" s="131"/>
      <c r="L787" s="47"/>
      <c r="M787" s="47"/>
      <c r="N787" s="47"/>
      <c r="O787" s="47"/>
      <c r="P787" s="47"/>
      <c r="Q787" s="47"/>
      <c r="R787" s="47"/>
      <c r="S787" s="47"/>
      <c r="T787" s="47"/>
      <c r="U787" s="47"/>
      <c r="V787" s="131" t="s">
        <v>281</v>
      </c>
      <c r="W787" s="74">
        <v>1</v>
      </c>
      <c r="X787" s="127">
        <f>MAX(0,$AK787-$W787-$Z787)</f>
        <v>0</v>
      </c>
      <c r="Y787" s="127"/>
      <c r="Z787" s="127"/>
      <c r="AA787" s="132">
        <v>0.19</v>
      </c>
      <c r="AB787" s="132">
        <f>IF(AND($X787&gt;0,ISNUMBER($AA787)),$X787*$AA787,0)</f>
        <v>0</v>
      </c>
      <c r="AK787" s="39">
        <f>SUM(AL787:AR787)</f>
        <v>1</v>
      </c>
      <c r="AL787" s="128"/>
      <c r="AM787" s="38"/>
      <c r="AN787" s="97">
        <v>1</v>
      </c>
      <c r="AO787" s="38"/>
      <c r="AP787" s="38"/>
      <c r="AQ787" s="38"/>
      <c r="AR787" s="128"/>
      <c r="AS787" s="42">
        <f>SUM(AT787:AZ787)</f>
        <v>1</v>
      </c>
      <c r="AT787" s="48"/>
      <c r="AU787" s="48"/>
      <c r="AV787" s="48">
        <v>1</v>
      </c>
      <c r="AW787" s="48"/>
      <c r="AX787" s="48"/>
      <c r="AY787" s="48"/>
      <c r="AZ787" s="48"/>
      <c r="BA787" s="43">
        <f>IF((W787-SUM(AT787:AZ787))&lt;0,0,W787-SUM(AT787:AZ787))</f>
        <v>0</v>
      </c>
      <c r="BB787" s="125"/>
      <c r="BC787" s="47"/>
      <c r="BD787" s="47"/>
    </row>
    <row r="788" spans="1:56" ht="15" customHeight="1">
      <c r="A788" s="125" t="s">
        <v>3454</v>
      </c>
      <c r="B788" s="127" t="s">
        <v>127</v>
      </c>
      <c r="C788" s="46" t="s">
        <v>65</v>
      </c>
      <c r="D788" s="125" t="s">
        <v>84</v>
      </c>
      <c r="E788" s="125" t="s">
        <v>231</v>
      </c>
      <c r="F788" s="127">
        <v>3</v>
      </c>
      <c r="G788" s="75" t="s">
        <v>3455</v>
      </c>
      <c r="H788" s="131" t="s">
        <v>227</v>
      </c>
      <c r="I788" s="131" t="s">
        <v>1294</v>
      </c>
      <c r="J788" s="131" t="s">
        <v>3456</v>
      </c>
      <c r="K788" s="131"/>
      <c r="L788" s="47"/>
      <c r="M788" s="47"/>
      <c r="N788" s="47"/>
      <c r="O788" s="47"/>
      <c r="P788" s="47"/>
      <c r="Q788" s="47"/>
      <c r="R788" s="47"/>
      <c r="S788" s="47"/>
      <c r="T788" s="47"/>
      <c r="U788" s="47"/>
      <c r="V788" s="131" t="s">
        <v>276</v>
      </c>
      <c r="W788" s="74">
        <v>1</v>
      </c>
      <c r="X788" s="127">
        <f>MAX(0,$AK788-$W788-$Z788)</f>
        <v>0</v>
      </c>
      <c r="Y788" s="127"/>
      <c r="Z788" s="127"/>
      <c r="AA788" s="132">
        <v>0.61</v>
      </c>
      <c r="AB788" s="132">
        <f>IF(AND($X788&gt;0,ISNUMBER($AA788)),$X788*$AA788,0)</f>
        <v>0</v>
      </c>
      <c r="AK788" s="39">
        <f>SUM(AL788:AR788)</f>
        <v>1</v>
      </c>
      <c r="AL788" s="128"/>
      <c r="AM788" s="38"/>
      <c r="AN788" s="38"/>
      <c r="AO788" s="97">
        <v>1</v>
      </c>
      <c r="AP788" s="38"/>
      <c r="AQ788" s="38"/>
      <c r="AR788" s="128"/>
      <c r="AS788" s="42">
        <f>SUM(AT788:AZ788)</f>
        <v>1</v>
      </c>
      <c r="AT788" s="48"/>
      <c r="AU788" s="48"/>
      <c r="AV788" s="48"/>
      <c r="AW788" s="48">
        <v>1</v>
      </c>
      <c r="AX788" s="48"/>
      <c r="AY788" s="48"/>
      <c r="AZ788" s="48"/>
      <c r="BA788" s="43">
        <f>IF((W788-SUM(AT788:AZ788))&lt;0,0,W788-SUM(AT788:AZ788))</f>
        <v>0</v>
      </c>
      <c r="BB788" s="125"/>
      <c r="BC788" s="47"/>
      <c r="BD788" s="47"/>
    </row>
    <row r="789" spans="1:56" ht="15" customHeight="1">
      <c r="A789" s="125" t="s">
        <v>3457</v>
      </c>
      <c r="B789" s="127" t="s">
        <v>127</v>
      </c>
      <c r="C789" s="46" t="s">
        <v>65</v>
      </c>
      <c r="D789" s="125" t="s">
        <v>84</v>
      </c>
      <c r="E789" s="125" t="s">
        <v>1273</v>
      </c>
      <c r="F789" s="127">
        <v>5</v>
      </c>
      <c r="G789" s="75" t="s">
        <v>3458</v>
      </c>
      <c r="H789" s="131" t="s">
        <v>115</v>
      </c>
      <c r="I789" s="131" t="s">
        <v>3459</v>
      </c>
      <c r="J789" s="131" t="s">
        <v>3460</v>
      </c>
      <c r="K789" s="131"/>
      <c r="L789" s="47"/>
      <c r="M789" s="47"/>
      <c r="N789" s="47"/>
      <c r="O789" s="47"/>
      <c r="P789" s="47"/>
      <c r="Q789" s="47"/>
      <c r="R789" s="47"/>
      <c r="S789" s="47"/>
      <c r="T789" s="47"/>
      <c r="U789" s="47"/>
      <c r="V789" s="131" t="s">
        <v>923</v>
      </c>
      <c r="W789" s="74">
        <v>1</v>
      </c>
      <c r="X789" s="127">
        <f>MAX(0,$AK789-$W789-$Z789)</f>
        <v>0</v>
      </c>
      <c r="Y789" s="127"/>
      <c r="Z789" s="127"/>
      <c r="AA789" s="132">
        <v>0.3</v>
      </c>
      <c r="AB789" s="132">
        <f>IF(AND($X789&gt;0,ISNUMBER($AA789)),$X789*$AA789,0)</f>
        <v>0</v>
      </c>
      <c r="AK789" s="39">
        <f>SUM(AL789:AR789)</f>
        <v>1</v>
      </c>
      <c r="AL789" s="128"/>
      <c r="AM789" s="38"/>
      <c r="AN789" s="97">
        <v>1</v>
      </c>
      <c r="AO789" s="38"/>
      <c r="AP789" s="38"/>
      <c r="AQ789" s="38"/>
      <c r="AR789" s="128"/>
      <c r="AS789" s="42">
        <f>SUM(AT789:AZ789)</f>
        <v>1</v>
      </c>
      <c r="AT789" s="48"/>
      <c r="AU789" s="48"/>
      <c r="AV789" s="48">
        <v>1</v>
      </c>
      <c r="AW789" s="48"/>
      <c r="AX789" s="48"/>
      <c r="AY789" s="48"/>
      <c r="AZ789" s="48"/>
      <c r="BA789" s="43">
        <f>IF((W789-SUM(AT789:AZ789))&lt;0,0,W789-SUM(AT789:AZ789))</f>
        <v>0</v>
      </c>
      <c r="BB789" s="125"/>
      <c r="BC789" s="47"/>
      <c r="BD789" s="47"/>
    </row>
    <row r="790" spans="1:56" ht="15" customHeight="1">
      <c r="A790" s="125" t="s">
        <v>3461</v>
      </c>
      <c r="B790" s="127" t="s">
        <v>127</v>
      </c>
      <c r="C790" s="46" t="s">
        <v>65</v>
      </c>
      <c r="D790" s="125" t="s">
        <v>105</v>
      </c>
      <c r="E790" s="125"/>
      <c r="F790" s="127">
        <v>2</v>
      </c>
      <c r="G790" s="75" t="s">
        <v>3462</v>
      </c>
      <c r="H790" s="131" t="s">
        <v>227</v>
      </c>
      <c r="I790" s="131" t="s">
        <v>3463</v>
      </c>
      <c r="J790" s="131"/>
      <c r="K790" s="131"/>
      <c r="L790" s="47"/>
      <c r="M790" s="47"/>
      <c r="N790" s="47"/>
      <c r="O790" s="68"/>
      <c r="P790" s="68"/>
      <c r="Q790" s="47"/>
      <c r="R790" s="47"/>
      <c r="S790" s="47"/>
      <c r="T790" s="68"/>
      <c r="U790" s="68"/>
      <c r="V790" s="131" t="s">
        <v>588</v>
      </c>
      <c r="W790" s="74">
        <v>1</v>
      </c>
      <c r="X790" s="127">
        <f>MAX(0,$AK790-$W790-$Z790)</f>
        <v>0</v>
      </c>
      <c r="Y790" s="127"/>
      <c r="Z790" s="127"/>
      <c r="AA790" s="132">
        <v>0.33</v>
      </c>
      <c r="AB790" s="132">
        <f>IF(AND($X790&gt;0,ISNUMBER($AA790)),$X790*$AA790,0)</f>
        <v>0</v>
      </c>
      <c r="AK790" s="39">
        <f>SUM(AL790:AR790)</f>
        <v>0</v>
      </c>
      <c r="AL790" s="128"/>
      <c r="AM790" s="38"/>
      <c r="AN790" s="38"/>
      <c r="AO790" s="38"/>
      <c r="AP790" s="38"/>
      <c r="AQ790" s="38"/>
      <c r="AR790" s="128"/>
      <c r="AS790" s="42">
        <f>SUM(AT790:AZ790)</f>
        <v>0</v>
      </c>
      <c r="AT790" s="48"/>
      <c r="AU790" s="48"/>
      <c r="AV790" s="48"/>
      <c r="AW790" s="48"/>
      <c r="AX790" s="48"/>
      <c r="AY790" s="48"/>
      <c r="AZ790" s="48"/>
      <c r="BA790" s="43">
        <f>IF((W790-SUM(AT790:AZ790))&lt;0,0,W790-SUM(AT790:AZ790))</f>
        <v>1</v>
      </c>
      <c r="BB790" s="125"/>
      <c r="BC790" s="47"/>
      <c r="BD790" s="47"/>
    </row>
    <row r="791" spans="1:56" ht="15" customHeight="1">
      <c r="A791" s="130" t="s">
        <v>3464</v>
      </c>
      <c r="B791" s="128" t="s">
        <v>127</v>
      </c>
      <c r="C791" s="38" t="s">
        <v>65</v>
      </c>
      <c r="D791" s="130" t="s">
        <v>134</v>
      </c>
      <c r="E791" s="130"/>
      <c r="F791" s="130">
        <v>3</v>
      </c>
      <c r="G791" s="75" t="s">
        <v>3465</v>
      </c>
      <c r="H791" s="130" t="s">
        <v>153</v>
      </c>
      <c r="I791" s="130" t="s">
        <v>3466</v>
      </c>
      <c r="J791" s="130"/>
      <c r="K791" s="130"/>
      <c r="L791" s="109" t="s">
        <v>3467</v>
      </c>
      <c r="M791" s="38">
        <v>1</v>
      </c>
      <c r="N791" s="38">
        <v>0</v>
      </c>
      <c r="O791" s="68" t="s">
        <v>1365</v>
      </c>
      <c r="P791" s="110">
        <v>0.28000000000000003</v>
      </c>
      <c r="Q791" s="37"/>
      <c r="R791" s="37"/>
      <c r="S791" s="37"/>
      <c r="T791" s="68"/>
      <c r="U791" s="68"/>
      <c r="V791" s="130" t="s">
        <v>1060</v>
      </c>
      <c r="W791" s="74">
        <v>1</v>
      </c>
      <c r="X791" s="127">
        <f>MAX(0,$AK791-$W791-$Z791)</f>
        <v>0</v>
      </c>
      <c r="Y791" s="130"/>
      <c r="Z791" s="130"/>
      <c r="AA791" s="130">
        <v>0.28000000000000003</v>
      </c>
      <c r="AB791" s="132">
        <f>IF(AND($X791&gt;0,ISNUMBER($AA791)),$X791*$AA791,0)</f>
        <v>0</v>
      </c>
      <c r="AK791" s="39">
        <f>SUM(AL791:AR791)</f>
        <v>0</v>
      </c>
      <c r="AL791" s="128"/>
      <c r="AM791" s="38"/>
      <c r="AN791" s="38"/>
      <c r="AO791" s="38"/>
      <c r="AP791" s="97"/>
      <c r="AQ791" s="38"/>
      <c r="AR791" s="128"/>
      <c r="AS791" s="42">
        <f>SUM(AT791:AZ791)</f>
        <v>0</v>
      </c>
      <c r="AT791" s="48"/>
      <c r="AU791" s="48"/>
      <c r="AV791" s="48"/>
      <c r="AW791" s="48"/>
      <c r="AX791" s="48"/>
      <c r="AY791" s="48"/>
      <c r="AZ791" s="48"/>
      <c r="BA791" s="43">
        <f>IF((W791-SUM(AT791:AZ791))&lt;0,0,W791-SUM(AT791:AZ791))</f>
        <v>1</v>
      </c>
      <c r="BB791" s="130"/>
      <c r="BC791" s="37"/>
      <c r="BD791" s="37"/>
    </row>
    <row r="792" spans="1:56" ht="15" customHeight="1">
      <c r="A792" s="125" t="s">
        <v>3468</v>
      </c>
      <c r="B792" s="127" t="s">
        <v>127</v>
      </c>
      <c r="C792" s="46" t="s">
        <v>65</v>
      </c>
      <c r="D792" s="125" t="s">
        <v>84</v>
      </c>
      <c r="E792" s="125" t="s">
        <v>1496</v>
      </c>
      <c r="F792" s="127">
        <v>1</v>
      </c>
      <c r="G792" s="75" t="s">
        <v>3469</v>
      </c>
      <c r="H792" s="131" t="s">
        <v>153</v>
      </c>
      <c r="I792" s="131" t="s">
        <v>3470</v>
      </c>
      <c r="J792" s="131"/>
      <c r="K792" s="131"/>
      <c r="L792" s="47"/>
      <c r="M792" s="47"/>
      <c r="N792" s="47"/>
      <c r="O792" s="47"/>
      <c r="P792" s="47"/>
      <c r="Q792" s="47"/>
      <c r="R792" s="47"/>
      <c r="S792" s="47"/>
      <c r="T792" s="47"/>
      <c r="U792" s="47"/>
      <c r="V792" s="131" t="s">
        <v>779</v>
      </c>
      <c r="W792" s="74">
        <v>0</v>
      </c>
      <c r="X792" s="127">
        <f>MAX(0,$AK792-$W792-$Z792)</f>
        <v>0</v>
      </c>
      <c r="Y792" s="127"/>
      <c r="Z792" s="127"/>
      <c r="AA792" s="132">
        <v>0.28999999999999998</v>
      </c>
      <c r="AB792" s="132">
        <f>IF(AND($X792&gt;0,ISNUMBER($AA792)),$X792*$AA792,0)</f>
        <v>0</v>
      </c>
      <c r="AC792" s="59"/>
      <c r="AD792" s="59"/>
      <c r="AE792" s="59"/>
      <c r="AF792" s="59"/>
      <c r="AG792" s="59"/>
      <c r="AH792" s="59"/>
      <c r="AI792" s="59"/>
      <c r="AJ792" s="59"/>
      <c r="AK792" s="39">
        <f>SUM(AL792:AR792)</f>
        <v>0</v>
      </c>
      <c r="AL792" s="127"/>
      <c r="AM792" s="43"/>
      <c r="AN792" s="43"/>
      <c r="AO792" s="43"/>
      <c r="AP792" s="43"/>
      <c r="AQ792" s="43"/>
      <c r="AR792" s="127"/>
      <c r="AS792" s="42">
        <f>SUM(AT792:AZ792)</f>
        <v>0</v>
      </c>
      <c r="AT792" s="48"/>
      <c r="AU792" s="48"/>
      <c r="AV792" s="48"/>
      <c r="AW792" s="48"/>
      <c r="AX792" s="48"/>
      <c r="AY792" s="48"/>
      <c r="AZ792" s="48"/>
      <c r="BA792" s="43">
        <f>IF((W792-SUM(AT792:AZ792))&lt;0,0,W792-SUM(AT792:AZ792))</f>
        <v>0</v>
      </c>
      <c r="BB792" s="125"/>
      <c r="BC792" s="47"/>
      <c r="BD792" s="47"/>
    </row>
    <row r="793" spans="1:56" ht="15" customHeight="1">
      <c r="A793" s="125" t="s">
        <v>441</v>
      </c>
      <c r="B793" s="127" t="s">
        <v>127</v>
      </c>
      <c r="C793" s="46" t="s">
        <v>65</v>
      </c>
      <c r="D793" s="125" t="s">
        <v>84</v>
      </c>
      <c r="E793" s="125" t="s">
        <v>225</v>
      </c>
      <c r="F793" s="127">
        <v>2</v>
      </c>
      <c r="G793" s="75" t="s">
        <v>442</v>
      </c>
      <c r="H793" s="131" t="s">
        <v>123</v>
      </c>
      <c r="I793" s="131" t="s">
        <v>443</v>
      </c>
      <c r="J793" s="131"/>
      <c r="K793" s="131"/>
      <c r="L793" s="47"/>
      <c r="M793" s="47"/>
      <c r="N793" s="47"/>
      <c r="O793" s="47"/>
      <c r="P793" s="47"/>
      <c r="Q793" s="47"/>
      <c r="R793" s="47"/>
      <c r="S793" s="47"/>
      <c r="T793" s="47"/>
      <c r="U793" s="47"/>
      <c r="V793" s="131" t="s">
        <v>145</v>
      </c>
      <c r="W793" s="74">
        <v>1</v>
      </c>
      <c r="X793" s="127">
        <f>MAX(0,$AK793-$W793-$Z793)</f>
        <v>0</v>
      </c>
      <c r="Y793" s="127"/>
      <c r="Z793" s="127"/>
      <c r="AA793" s="132">
        <v>0.32</v>
      </c>
      <c r="AB793" s="132">
        <f>IF(AND($X793&gt;0,ISNUMBER($AA793)),$X793*$AA793,0)</f>
        <v>0</v>
      </c>
      <c r="AG793" s="63"/>
      <c r="AK793" s="39">
        <f>SUM(AL793:AR793)</f>
        <v>1</v>
      </c>
      <c r="AL793" s="128"/>
      <c r="AM793" s="38"/>
      <c r="AN793" s="38"/>
      <c r="AO793" s="38"/>
      <c r="AP793" s="98">
        <v>1</v>
      </c>
      <c r="AQ793" s="38"/>
      <c r="AR793" s="128"/>
      <c r="AS793" s="42">
        <f>SUM(AT793:AZ793)</f>
        <v>1</v>
      </c>
      <c r="AT793" s="48"/>
      <c r="AU793" s="48"/>
      <c r="AV793" s="48"/>
      <c r="AW793" s="48"/>
      <c r="AX793" s="48">
        <v>1</v>
      </c>
      <c r="AY793" s="48"/>
      <c r="AZ793" s="48"/>
      <c r="BA793" s="43">
        <f>IF((W793-SUM(AT793:AZ793))&lt;0,0,W793-SUM(AT793:AZ793))</f>
        <v>0</v>
      </c>
      <c r="BB793" s="125"/>
      <c r="BC793" s="47"/>
      <c r="BD793" s="47"/>
    </row>
    <row r="794" spans="1:56" ht="15" customHeight="1">
      <c r="A794" s="125" t="s">
        <v>3471</v>
      </c>
      <c r="B794" s="127" t="s">
        <v>127</v>
      </c>
      <c r="C794" s="46" t="s">
        <v>65</v>
      </c>
      <c r="D794" s="125" t="s">
        <v>84</v>
      </c>
      <c r="E794" s="125" t="s">
        <v>3472</v>
      </c>
      <c r="F794" s="127">
        <v>4</v>
      </c>
      <c r="G794" s="75" t="s">
        <v>3473</v>
      </c>
      <c r="H794" s="131" t="s">
        <v>238</v>
      </c>
      <c r="I794" s="131" t="s">
        <v>1487</v>
      </c>
      <c r="J794" s="131"/>
      <c r="K794" s="131"/>
      <c r="L794" s="47"/>
      <c r="M794" s="47"/>
      <c r="N794" s="47"/>
      <c r="O794" s="47"/>
      <c r="P794" s="47"/>
      <c r="Q794" s="47"/>
      <c r="R794" s="47"/>
      <c r="S794" s="47"/>
      <c r="T794" s="47"/>
      <c r="U794" s="47"/>
      <c r="V794" s="131" t="s">
        <v>1140</v>
      </c>
      <c r="W794" s="74">
        <v>1</v>
      </c>
      <c r="X794" s="127">
        <f>MAX(0,$AK794-$W794-$Z794)</f>
        <v>0</v>
      </c>
      <c r="Y794" s="127" t="s">
        <v>265</v>
      </c>
      <c r="Z794" s="127">
        <v>1</v>
      </c>
      <c r="AA794" s="132">
        <v>0.38</v>
      </c>
      <c r="AB794" s="132">
        <f>IF(AND($X794&gt;0,ISNUMBER($AA794)),$X794*$AA794,0)</f>
        <v>0</v>
      </c>
      <c r="AF794" s="63"/>
      <c r="AJ794" s="106">
        <v>1</v>
      </c>
      <c r="AK794" s="39">
        <f>SUM(AL794:AR794)</f>
        <v>1</v>
      </c>
      <c r="AL794" s="128"/>
      <c r="AM794" s="38"/>
      <c r="AN794" s="38"/>
      <c r="AO794" s="97">
        <v>1</v>
      </c>
      <c r="AP794" s="38"/>
      <c r="AQ794" s="38"/>
      <c r="AR794" s="128"/>
      <c r="AS794" s="42">
        <f>SUM(AT794:AZ794)</f>
        <v>1</v>
      </c>
      <c r="AT794" s="48"/>
      <c r="AU794" s="48"/>
      <c r="AV794" s="48"/>
      <c r="AW794" s="48">
        <v>1</v>
      </c>
      <c r="AX794" s="48"/>
      <c r="AY794" s="48"/>
      <c r="AZ794" s="48"/>
      <c r="BA794" s="43">
        <f>IF((W794-SUM(AT794:AZ794))&lt;0,0,W794-SUM(AT794:AZ794))</f>
        <v>0</v>
      </c>
      <c r="BB794" s="125"/>
      <c r="BC794" s="47"/>
      <c r="BD794" s="47"/>
    </row>
    <row r="795" spans="1:56" ht="15" customHeight="1">
      <c r="A795" s="125" t="s">
        <v>3474</v>
      </c>
      <c r="B795" s="127" t="s">
        <v>127</v>
      </c>
      <c r="C795" s="46" t="s">
        <v>65</v>
      </c>
      <c r="D795" s="125" t="s">
        <v>84</v>
      </c>
      <c r="E795" s="125" t="s">
        <v>3475</v>
      </c>
      <c r="F795" s="127">
        <v>3</v>
      </c>
      <c r="G795" s="75" t="s">
        <v>3476</v>
      </c>
      <c r="H795" s="131" t="s">
        <v>293</v>
      </c>
      <c r="I795" s="131" t="s">
        <v>3477</v>
      </c>
      <c r="J795" s="131" t="s">
        <v>181</v>
      </c>
      <c r="K795" s="131"/>
      <c r="L795" s="47"/>
      <c r="M795" s="47"/>
      <c r="N795" s="47"/>
      <c r="O795" s="47"/>
      <c r="P795" s="47"/>
      <c r="Q795" s="47"/>
      <c r="R795" s="47"/>
      <c r="S795" s="47"/>
      <c r="T795" s="47"/>
      <c r="U795" s="47"/>
      <c r="V795" s="131" t="s">
        <v>1174</v>
      </c>
      <c r="W795" s="74">
        <v>0</v>
      </c>
      <c r="X795" s="127">
        <f>MAX(0,$AK795-$W795-$Z795)</f>
        <v>0</v>
      </c>
      <c r="Y795" s="127"/>
      <c r="Z795" s="127"/>
      <c r="AA795" s="132">
        <v>0.28000000000000003</v>
      </c>
      <c r="AB795" s="132">
        <f>IF(AND($X795&gt;0,ISNUMBER($AA795)),$X795*$AA795,0)</f>
        <v>0</v>
      </c>
      <c r="AC795" s="59"/>
      <c r="AD795" s="59"/>
      <c r="AE795" s="59"/>
      <c r="AF795" s="59"/>
      <c r="AG795" s="59"/>
      <c r="AH795" s="59"/>
      <c r="AI795" s="59"/>
      <c r="AJ795" s="59"/>
      <c r="AK795" s="39">
        <f>SUM(AL795:AR795)</f>
        <v>0</v>
      </c>
      <c r="AL795" s="127"/>
      <c r="AM795" s="43"/>
      <c r="AN795" s="43"/>
      <c r="AO795" s="43"/>
      <c r="AP795" s="43"/>
      <c r="AQ795" s="43"/>
      <c r="AR795" s="127"/>
      <c r="AS795" s="42">
        <f>SUM(AT795:AZ795)</f>
        <v>0</v>
      </c>
      <c r="AT795" s="48"/>
      <c r="AU795" s="48"/>
      <c r="AV795" s="48"/>
      <c r="AW795" s="48"/>
      <c r="AX795" s="48"/>
      <c r="AY795" s="48"/>
      <c r="AZ795" s="48"/>
      <c r="BA795" s="43">
        <f>IF((W795-SUM(AT795:AZ795))&lt;0,0,W795-SUM(AT795:AZ795))</f>
        <v>0</v>
      </c>
      <c r="BB795" s="125"/>
      <c r="BC795" s="47"/>
      <c r="BD795" s="47"/>
    </row>
    <row r="796" spans="1:56" ht="15" customHeight="1">
      <c r="A796" s="125" t="s">
        <v>444</v>
      </c>
      <c r="B796" s="127" t="s">
        <v>127</v>
      </c>
      <c r="C796" s="46" t="s">
        <v>65</v>
      </c>
      <c r="D796" s="125" t="s">
        <v>256</v>
      </c>
      <c r="E796" s="125"/>
      <c r="F796" s="127">
        <v>2</v>
      </c>
      <c r="G796" s="75" t="s">
        <v>445</v>
      </c>
      <c r="H796" s="131" t="s">
        <v>446</v>
      </c>
      <c r="I796" s="131" t="s">
        <v>447</v>
      </c>
      <c r="J796" s="131" t="s">
        <v>448</v>
      </c>
      <c r="K796" s="131"/>
      <c r="L796" s="47"/>
      <c r="M796" s="47"/>
      <c r="N796" s="47"/>
      <c r="O796" s="47"/>
      <c r="P796" s="47"/>
      <c r="Q796" s="47"/>
      <c r="R796" s="47"/>
      <c r="S796" s="47"/>
      <c r="T796" s="47"/>
      <c r="U796" s="47"/>
      <c r="V796" s="131" t="s">
        <v>351</v>
      </c>
      <c r="W796" s="74">
        <v>1</v>
      </c>
      <c r="X796" s="127">
        <f>MAX(0,$AK796-$W796-$Z796)</f>
        <v>0</v>
      </c>
      <c r="Y796" s="127"/>
      <c r="Z796" s="127"/>
      <c r="AA796" s="132">
        <v>0.28999999999999998</v>
      </c>
      <c r="AB796" s="132">
        <f>IF(AND($X796&gt;0,ISNUMBER($AA796)),$X796*$AA796,0)</f>
        <v>0</v>
      </c>
      <c r="AG796" s="63"/>
      <c r="AK796" s="39">
        <f>SUM(AL796:AR796)</f>
        <v>1</v>
      </c>
      <c r="AL796" s="128"/>
      <c r="AM796" s="38"/>
      <c r="AN796" s="38"/>
      <c r="AO796" s="38"/>
      <c r="AP796" s="97">
        <v>1</v>
      </c>
      <c r="AQ796" s="38"/>
      <c r="AR796" s="128"/>
      <c r="AS796" s="42">
        <f>SUM(AT796:AZ796)</f>
        <v>1</v>
      </c>
      <c r="AT796" s="48"/>
      <c r="AU796" s="48"/>
      <c r="AV796" s="48"/>
      <c r="AW796" s="48"/>
      <c r="AX796" s="48">
        <v>1</v>
      </c>
      <c r="AY796" s="48"/>
      <c r="AZ796" s="48"/>
      <c r="BA796" s="43">
        <f>IF((W796-SUM(AT796:AZ796))&lt;0,0,W796-SUM(AT796:AZ796))</f>
        <v>0</v>
      </c>
      <c r="BB796" s="125"/>
      <c r="BC796" s="47"/>
      <c r="BD796" s="47"/>
    </row>
    <row r="797" spans="1:56" ht="15" customHeight="1">
      <c r="A797" s="125" t="s">
        <v>3478</v>
      </c>
      <c r="B797" s="127" t="s">
        <v>127</v>
      </c>
      <c r="C797" s="46" t="s">
        <v>65</v>
      </c>
      <c r="D797" s="125" t="s">
        <v>97</v>
      </c>
      <c r="E797" s="125" t="s">
        <v>3479</v>
      </c>
      <c r="F797" s="127">
        <v>5</v>
      </c>
      <c r="G797" s="75" t="s">
        <v>3480</v>
      </c>
      <c r="H797" s="131" t="s">
        <v>115</v>
      </c>
      <c r="I797" s="131" t="s">
        <v>3481</v>
      </c>
      <c r="J797" s="131"/>
      <c r="K797" s="131"/>
      <c r="L797" s="47"/>
      <c r="M797" s="47"/>
      <c r="N797" s="47"/>
      <c r="O797" s="68"/>
      <c r="P797" s="68"/>
      <c r="Q797" s="47"/>
      <c r="R797" s="47"/>
      <c r="S797" s="47"/>
      <c r="T797" s="68"/>
      <c r="U797" s="68"/>
      <c r="V797" s="131" t="s">
        <v>3380</v>
      </c>
      <c r="W797" s="74">
        <v>1</v>
      </c>
      <c r="X797" s="127">
        <f>MAX(0,$AK797-$W797-$Z797)</f>
        <v>0</v>
      </c>
      <c r="Y797" s="127"/>
      <c r="Z797" s="127"/>
      <c r="AA797" s="132">
        <v>0.89</v>
      </c>
      <c r="AB797" s="132">
        <f>IF(AND($X797&gt;0,ISNUMBER($AA797)),$X797*$AA797,0)</f>
        <v>0</v>
      </c>
      <c r="AK797" s="39">
        <f>SUM(AL797:AR797)</f>
        <v>0</v>
      </c>
      <c r="AL797" s="128"/>
      <c r="AM797" s="38"/>
      <c r="AN797" s="38"/>
      <c r="AO797" s="38"/>
      <c r="AP797" s="38"/>
      <c r="AQ797" s="38"/>
      <c r="AR797" s="128"/>
      <c r="AS797" s="42">
        <f>SUM(AT797:AZ797)</f>
        <v>0</v>
      </c>
      <c r="AT797" s="48"/>
      <c r="AU797" s="48"/>
      <c r="AV797" s="48"/>
      <c r="AW797" s="48"/>
      <c r="AX797" s="48"/>
      <c r="AY797" s="48"/>
      <c r="AZ797" s="48"/>
      <c r="BA797" s="43">
        <f>IF((W797-SUM(AT797:AZ797))&lt;0,0,W797-SUM(AT797:AZ797))</f>
        <v>1</v>
      </c>
      <c r="BB797" s="125"/>
      <c r="BC797" s="47"/>
      <c r="BD797" s="47"/>
    </row>
    <row r="798" spans="1:56" ht="15" customHeight="1">
      <c r="A798" s="130" t="s">
        <v>3482</v>
      </c>
      <c r="B798" s="128" t="s">
        <v>127</v>
      </c>
      <c r="C798" s="38" t="s">
        <v>65</v>
      </c>
      <c r="D798" s="130" t="s">
        <v>84</v>
      </c>
      <c r="E798" s="130" t="s">
        <v>3483</v>
      </c>
      <c r="F798" s="128">
        <v>2</v>
      </c>
      <c r="G798" s="75" t="s">
        <v>3484</v>
      </c>
      <c r="H798" s="130" t="s">
        <v>293</v>
      </c>
      <c r="I798" s="130" t="s">
        <v>3485</v>
      </c>
      <c r="J798" s="130" t="s">
        <v>3486</v>
      </c>
      <c r="K798" s="130" t="s">
        <v>840</v>
      </c>
      <c r="L798" s="37"/>
      <c r="M798" s="37"/>
      <c r="N798" s="37"/>
      <c r="O798" s="68"/>
      <c r="P798" s="68"/>
      <c r="Q798" s="37"/>
      <c r="R798" s="37"/>
      <c r="S798" s="37"/>
      <c r="T798" s="68"/>
      <c r="U798" s="68"/>
      <c r="V798" s="130" t="s">
        <v>223</v>
      </c>
      <c r="W798" s="74">
        <v>1</v>
      </c>
      <c r="X798" s="127">
        <f>MAX(0,$AK798-$W798-$Z798)</f>
        <v>0</v>
      </c>
      <c r="Y798" s="130"/>
      <c r="Z798" s="130"/>
      <c r="AA798" s="137">
        <v>0.37</v>
      </c>
      <c r="AB798" s="132">
        <f>IF(AND($X798&gt;0,ISNUMBER($AA798)),$X798*$AA798,0)</f>
        <v>0</v>
      </c>
      <c r="AF798" s="63"/>
      <c r="AG798" s="63"/>
      <c r="AK798" s="39">
        <f>SUM(AL798:AR798)</f>
        <v>0</v>
      </c>
      <c r="AL798" s="128"/>
      <c r="AM798" s="38"/>
      <c r="AN798" s="38"/>
      <c r="AO798" s="38"/>
      <c r="AP798" s="38"/>
      <c r="AQ798" s="38"/>
      <c r="AR798" s="128"/>
      <c r="AS798" s="42">
        <f>SUM(AT798:AZ798)</f>
        <v>0</v>
      </c>
      <c r="AT798" s="48"/>
      <c r="AU798" s="48"/>
      <c r="AV798" s="48"/>
      <c r="AW798" s="48"/>
      <c r="AX798" s="48"/>
      <c r="AY798" s="48"/>
      <c r="AZ798" s="48"/>
      <c r="BA798" s="43">
        <f>IF((W798-SUM(AT798:AZ798))&lt;0,0,W798-SUM(AT798:AZ798))</f>
        <v>1</v>
      </c>
      <c r="BB798" s="130"/>
      <c r="BC798" s="37"/>
      <c r="BD798" s="37"/>
    </row>
    <row r="799" spans="1:56" ht="15" customHeight="1">
      <c r="A799" s="125" t="s">
        <v>3487</v>
      </c>
      <c r="B799" s="127" t="s">
        <v>127</v>
      </c>
      <c r="C799" s="46" t="s">
        <v>65</v>
      </c>
      <c r="D799" s="125" t="s">
        <v>84</v>
      </c>
      <c r="E799" s="125" t="s">
        <v>1279</v>
      </c>
      <c r="F799" s="127">
        <v>2</v>
      </c>
      <c r="G799" s="75" t="s">
        <v>3488</v>
      </c>
      <c r="H799" s="131" t="s">
        <v>1268</v>
      </c>
      <c r="I799" s="131" t="s">
        <v>3489</v>
      </c>
      <c r="J799" s="131"/>
      <c r="K799" s="131"/>
      <c r="L799" s="46"/>
      <c r="M799" s="46"/>
      <c r="N799" s="46"/>
      <c r="O799" s="46"/>
      <c r="P799" s="46"/>
      <c r="Q799" s="46"/>
      <c r="R799" s="46"/>
      <c r="S799" s="46"/>
      <c r="T799" s="46"/>
      <c r="U799" s="46"/>
      <c r="V799" s="131" t="s">
        <v>1415</v>
      </c>
      <c r="W799" s="74">
        <v>1</v>
      </c>
      <c r="X799" s="127">
        <f>MAX(0,$AK799-$W799-$Z799)</f>
        <v>0</v>
      </c>
      <c r="Y799" s="127"/>
      <c r="Z799" s="127"/>
      <c r="AA799" s="132">
        <v>0.2</v>
      </c>
      <c r="AB799" s="132">
        <f>IF(AND($X799&gt;0,ISNUMBER($AA799)),$X799*$AA799,0)</f>
        <v>0</v>
      </c>
      <c r="AK799" s="39">
        <f>SUM(AL799:AR799)</f>
        <v>1</v>
      </c>
      <c r="AL799" s="128"/>
      <c r="AM799" s="97">
        <v>1</v>
      </c>
      <c r="AN799" s="38"/>
      <c r="AO799" s="38"/>
      <c r="AP799" s="38"/>
      <c r="AQ799" s="38"/>
      <c r="AR799" s="128"/>
      <c r="AS799" s="42">
        <f>SUM(AT799:AZ799)</f>
        <v>1</v>
      </c>
      <c r="AT799" s="48"/>
      <c r="AU799" s="48">
        <v>1</v>
      </c>
      <c r="AV799" s="48"/>
      <c r="AW799" s="48"/>
      <c r="AX799" s="48"/>
      <c r="AY799" s="48"/>
      <c r="AZ799" s="48"/>
      <c r="BA799" s="43">
        <f>IF((W799-SUM(AT799:AZ799))&lt;0,0,W799-SUM(AT799:AZ799))</f>
        <v>0</v>
      </c>
      <c r="BB799" s="125"/>
      <c r="BC799" s="47"/>
      <c r="BD799" s="47"/>
    </row>
    <row r="800" spans="1:56" ht="15" customHeight="1">
      <c r="A800" s="125" t="s">
        <v>3490</v>
      </c>
      <c r="B800" s="127" t="s">
        <v>127</v>
      </c>
      <c r="C800" s="46" t="s">
        <v>65</v>
      </c>
      <c r="D800" s="125" t="s">
        <v>84</v>
      </c>
      <c r="E800" s="125" t="s">
        <v>1279</v>
      </c>
      <c r="F800" s="127">
        <v>4</v>
      </c>
      <c r="G800" s="75" t="s">
        <v>3491</v>
      </c>
      <c r="H800" s="131" t="s">
        <v>238</v>
      </c>
      <c r="I800" s="131" t="s">
        <v>1487</v>
      </c>
      <c r="J800" s="131"/>
      <c r="K800" s="131"/>
      <c r="L800" s="47"/>
      <c r="M800" s="47"/>
      <c r="N800" s="47"/>
      <c r="O800" s="47"/>
      <c r="P800" s="47"/>
      <c r="Q800" s="47"/>
      <c r="R800" s="47"/>
      <c r="S800" s="47"/>
      <c r="T800" s="47"/>
      <c r="U800" s="47"/>
      <c r="V800" s="131" t="s">
        <v>1415</v>
      </c>
      <c r="W800" s="74">
        <v>0</v>
      </c>
      <c r="X800" s="127">
        <f>MAX(0,$AK800-$W800-$Z800)</f>
        <v>0</v>
      </c>
      <c r="Y800" s="127"/>
      <c r="Z800" s="127"/>
      <c r="AA800" s="132">
        <v>0.1</v>
      </c>
      <c r="AB800" s="132">
        <f>IF(AND($X800&gt;0,ISNUMBER($AA800)),$X800*$AA800,0)</f>
        <v>0</v>
      </c>
      <c r="AC800" s="59"/>
      <c r="AD800" s="59"/>
      <c r="AE800" s="59"/>
      <c r="AF800" s="59"/>
      <c r="AG800" s="59"/>
      <c r="AH800" s="59"/>
      <c r="AI800" s="59"/>
      <c r="AJ800" s="59"/>
      <c r="AK800" s="39">
        <f>SUM(AL800:AR800)</f>
        <v>0</v>
      </c>
      <c r="AL800" s="127"/>
      <c r="AM800" s="43"/>
      <c r="AN800" s="43"/>
      <c r="AO800" s="43"/>
      <c r="AP800" s="43"/>
      <c r="AQ800" s="43"/>
      <c r="AR800" s="127"/>
      <c r="AS800" s="42">
        <f>SUM(AT800:AZ800)</f>
        <v>0</v>
      </c>
      <c r="AT800" s="48"/>
      <c r="AU800" s="48"/>
      <c r="AV800" s="48"/>
      <c r="AW800" s="48"/>
      <c r="AX800" s="48"/>
      <c r="AY800" s="48"/>
      <c r="AZ800" s="48"/>
      <c r="BA800" s="43">
        <f>IF((W800-SUM(AT800:AZ800))&lt;0,0,W800-SUM(AT800:AZ800))</f>
        <v>0</v>
      </c>
      <c r="BB800" s="125"/>
      <c r="BC800" s="47"/>
      <c r="BD800" s="47"/>
    </row>
    <row r="801" spans="1:56" ht="15" customHeight="1">
      <c r="A801" s="125" t="s">
        <v>3492</v>
      </c>
      <c r="B801" s="127" t="s">
        <v>127</v>
      </c>
      <c r="C801" s="46" t="s">
        <v>65</v>
      </c>
      <c r="D801" s="125" t="s">
        <v>84</v>
      </c>
      <c r="E801" s="125" t="s">
        <v>3493</v>
      </c>
      <c r="F801" s="127">
        <v>5</v>
      </c>
      <c r="G801" s="75" t="s">
        <v>3494</v>
      </c>
      <c r="H801" s="131" t="s">
        <v>115</v>
      </c>
      <c r="I801" s="131" t="s">
        <v>3495</v>
      </c>
      <c r="J801" s="131" t="s">
        <v>3496</v>
      </c>
      <c r="K801" s="131" t="s">
        <v>3497</v>
      </c>
      <c r="L801" s="46"/>
      <c r="M801" s="46"/>
      <c r="N801" s="46"/>
      <c r="O801" s="46"/>
      <c r="P801" s="46"/>
      <c r="Q801" s="46"/>
      <c r="R801" s="46"/>
      <c r="S801" s="46"/>
      <c r="T801" s="46"/>
      <c r="U801" s="46"/>
      <c r="V801" s="131" t="s">
        <v>3069</v>
      </c>
      <c r="W801" s="74">
        <v>1</v>
      </c>
      <c r="X801" s="127">
        <f>MAX(0,$AK801-$W801-$Z801)</f>
        <v>0</v>
      </c>
      <c r="Y801" s="127"/>
      <c r="Z801" s="127"/>
      <c r="AA801" s="132">
        <v>0.33</v>
      </c>
      <c r="AB801" s="132">
        <f>IF(AND($X801&gt;0,ISNUMBER($AA801)),$X801*$AA801,0)</f>
        <v>0</v>
      </c>
      <c r="AK801" s="39">
        <f>SUM(AL801:AR801)</f>
        <v>1</v>
      </c>
      <c r="AL801" s="139">
        <v>1</v>
      </c>
      <c r="AM801" s="38"/>
      <c r="AN801" s="38"/>
      <c r="AO801" s="38"/>
      <c r="AP801" s="38"/>
      <c r="AQ801" s="38"/>
      <c r="AR801" s="128"/>
      <c r="AS801" s="42">
        <f>SUM(AT801:AZ801)</f>
        <v>1</v>
      </c>
      <c r="AT801" s="48">
        <v>1</v>
      </c>
      <c r="AU801" s="48"/>
      <c r="AV801" s="48"/>
      <c r="AW801" s="48"/>
      <c r="AX801" s="48"/>
      <c r="AY801" s="48"/>
      <c r="AZ801" s="48"/>
      <c r="BA801" s="43">
        <f>IF((W801-SUM(AT801:AZ801))&lt;0,0,W801-SUM(AT801:AZ801))</f>
        <v>0</v>
      </c>
      <c r="BB801" s="125"/>
      <c r="BC801" s="47"/>
      <c r="BD801" s="47"/>
    </row>
    <row r="802" spans="1:56" ht="15" customHeight="1">
      <c r="A802" s="125" t="s">
        <v>126</v>
      </c>
      <c r="B802" s="127" t="s">
        <v>127</v>
      </c>
      <c r="C802" s="46" t="s">
        <v>65</v>
      </c>
      <c r="D802" s="125" t="s">
        <v>84</v>
      </c>
      <c r="E802" s="125" t="s">
        <v>128</v>
      </c>
      <c r="F802" s="127">
        <v>4</v>
      </c>
      <c r="G802" s="75" t="s">
        <v>129</v>
      </c>
      <c r="H802" s="131" t="s">
        <v>100</v>
      </c>
      <c r="I802" s="131" t="s">
        <v>130</v>
      </c>
      <c r="J802" s="131" t="s">
        <v>131</v>
      </c>
      <c r="K802" s="131"/>
      <c r="L802" s="47"/>
      <c r="M802" s="47"/>
      <c r="N802" s="47"/>
      <c r="O802" s="47"/>
      <c r="P802" s="47"/>
      <c r="Q802" s="47"/>
      <c r="R802" s="47"/>
      <c r="S802" s="47"/>
      <c r="T802" s="47"/>
      <c r="U802" s="47"/>
      <c r="V802" s="131" t="s">
        <v>132</v>
      </c>
      <c r="W802" s="74">
        <v>1</v>
      </c>
      <c r="X802" s="127">
        <f>MAX(0,$AK802-$W802-$Z802)</f>
        <v>0</v>
      </c>
      <c r="Y802" s="127"/>
      <c r="Z802" s="127"/>
      <c r="AA802" s="132">
        <v>0.56999999999999995</v>
      </c>
      <c r="AB802" s="132">
        <f>IF(AND($X802&gt;0,ISNUMBER($AA802)),$X802*$AA802,0)</f>
        <v>0</v>
      </c>
      <c r="AK802" s="39">
        <f>SUM(AL802:AR802)</f>
        <v>0</v>
      </c>
      <c r="AL802" s="128"/>
      <c r="AM802" s="38"/>
      <c r="AN802" s="38"/>
      <c r="AO802" s="38"/>
      <c r="AP802" s="38"/>
      <c r="AQ802" s="38"/>
      <c r="AR802" s="128"/>
      <c r="AS802" s="42">
        <f>SUM(AT802:AZ802)</f>
        <v>0</v>
      </c>
      <c r="AT802" s="48"/>
      <c r="AU802" s="48"/>
      <c r="AV802" s="48"/>
      <c r="AW802" s="48"/>
      <c r="AX802" s="48"/>
      <c r="AY802" s="48"/>
      <c r="AZ802" s="48"/>
      <c r="BA802" s="43">
        <f>IF((W802-SUM(AT802:AZ802))&lt;0,0,W802-SUM(AT802:AZ802))</f>
        <v>1</v>
      </c>
      <c r="BB802" s="125"/>
      <c r="BC802" s="47"/>
      <c r="BD802" s="126"/>
    </row>
    <row r="803" spans="1:56" ht="15" customHeight="1">
      <c r="A803" s="130" t="s">
        <v>3498</v>
      </c>
      <c r="B803" s="128" t="s">
        <v>127</v>
      </c>
      <c r="C803" s="38" t="s">
        <v>65</v>
      </c>
      <c r="D803" s="130" t="s">
        <v>256</v>
      </c>
      <c r="E803" s="130"/>
      <c r="F803" s="128">
        <v>5</v>
      </c>
      <c r="G803" s="75" t="s">
        <v>3499</v>
      </c>
      <c r="H803" s="130" t="s">
        <v>446</v>
      </c>
      <c r="I803" s="130" t="s">
        <v>3500</v>
      </c>
      <c r="J803" s="130" t="s">
        <v>3501</v>
      </c>
      <c r="K803" s="130"/>
      <c r="L803" s="37"/>
      <c r="M803" s="37"/>
      <c r="N803" s="37"/>
      <c r="O803" s="68"/>
      <c r="P803" s="68"/>
      <c r="Q803" s="37"/>
      <c r="R803" s="37"/>
      <c r="S803" s="37"/>
      <c r="T803" s="68"/>
      <c r="U803" s="68"/>
      <c r="V803" s="130" t="s">
        <v>119</v>
      </c>
      <c r="W803" s="74">
        <v>1</v>
      </c>
      <c r="X803" s="127">
        <f>MAX(0,$AK803-$W803-$Z803)</f>
        <v>0</v>
      </c>
      <c r="Y803" s="130"/>
      <c r="Z803" s="130"/>
      <c r="AA803" s="137">
        <v>0.36</v>
      </c>
      <c r="AB803" s="132">
        <f>IF(AND($X803&gt;0,ISNUMBER($AA803)),$X803*$AA803,0)</f>
        <v>0</v>
      </c>
      <c r="AK803" s="39">
        <f>SUM(AL803:AR803)</f>
        <v>0</v>
      </c>
      <c r="AL803" s="128"/>
      <c r="AM803" s="38"/>
      <c r="AN803" s="38"/>
      <c r="AO803" s="38"/>
      <c r="AP803" s="38"/>
      <c r="AQ803" s="38"/>
      <c r="AR803" s="128"/>
      <c r="AS803" s="42">
        <f>SUM(AT803:AZ803)</f>
        <v>0</v>
      </c>
      <c r="AT803" s="48"/>
      <c r="AU803" s="48"/>
      <c r="AV803" s="48"/>
      <c r="AW803" s="48"/>
      <c r="AX803" s="48"/>
      <c r="AY803" s="48"/>
      <c r="AZ803" s="48"/>
      <c r="BA803" s="43">
        <f>IF((W803-SUM(AT803:AZ803))&lt;0,0,W803-SUM(AT803:AZ803))</f>
        <v>1</v>
      </c>
      <c r="BB803" s="130"/>
      <c r="BC803" s="37"/>
      <c r="BD803" s="37"/>
    </row>
    <row r="804" spans="1:56" ht="15" customHeight="1">
      <c r="A804" s="125" t="s">
        <v>449</v>
      </c>
      <c r="B804" s="127" t="s">
        <v>127</v>
      </c>
      <c r="C804" s="46" t="s">
        <v>65</v>
      </c>
      <c r="D804" s="125" t="s">
        <v>84</v>
      </c>
      <c r="E804" s="125" t="s">
        <v>450</v>
      </c>
      <c r="F804" s="127">
        <v>7</v>
      </c>
      <c r="G804" s="75" t="s">
        <v>451</v>
      </c>
      <c r="H804" s="131" t="s">
        <v>153</v>
      </c>
      <c r="I804" s="131" t="s">
        <v>452</v>
      </c>
      <c r="J804" s="131" t="s">
        <v>453</v>
      </c>
      <c r="K804" s="131"/>
      <c r="L804" s="108" t="s">
        <v>454</v>
      </c>
      <c r="M804" s="46">
        <v>1</v>
      </c>
      <c r="N804" s="46">
        <v>1</v>
      </c>
      <c r="O804" s="68" t="s">
        <v>455</v>
      </c>
      <c r="P804" s="110">
        <v>0.22</v>
      </c>
      <c r="Q804" s="47"/>
      <c r="R804" s="47"/>
      <c r="S804" s="47"/>
      <c r="T804" s="68"/>
      <c r="U804" s="68"/>
      <c r="V804" s="131" t="s">
        <v>119</v>
      </c>
      <c r="W804" s="74">
        <v>2</v>
      </c>
      <c r="X804" s="127">
        <f>MAX(0,$AK804-$W804-$Z804)</f>
        <v>0</v>
      </c>
      <c r="Y804" s="127"/>
      <c r="Z804" s="127"/>
      <c r="AA804" s="132">
        <v>0.22</v>
      </c>
      <c r="AB804" s="132">
        <f>IF(AND($X804&gt;0,ISNUMBER($AA804)),$X804*$AA804,0)</f>
        <v>0</v>
      </c>
      <c r="AG804" s="63" t="s">
        <v>456</v>
      </c>
      <c r="AK804" s="39">
        <f>SUM(AL804:AR804)</f>
        <v>1</v>
      </c>
      <c r="AL804" s="128"/>
      <c r="AM804" s="38"/>
      <c r="AN804" s="38"/>
      <c r="AO804" s="38"/>
      <c r="AP804" s="98">
        <v>1</v>
      </c>
      <c r="AQ804" s="38"/>
      <c r="AR804" s="128"/>
      <c r="AS804" s="42">
        <f>SUM(AT804:AZ804)</f>
        <v>1</v>
      </c>
      <c r="AT804" s="48"/>
      <c r="AU804" s="48"/>
      <c r="AV804" s="48"/>
      <c r="AW804" s="48"/>
      <c r="AX804" s="48">
        <v>1</v>
      </c>
      <c r="AY804" s="48"/>
      <c r="AZ804" s="48"/>
      <c r="BA804" s="43">
        <f>IF((W804-SUM(AT804:AZ804))&lt;0,0,W804-SUM(AT804:AZ804))</f>
        <v>1</v>
      </c>
      <c r="BB804" s="125"/>
      <c r="BC804" s="47"/>
      <c r="BD804" s="47"/>
    </row>
    <row r="805" spans="1:56" ht="15" customHeight="1">
      <c r="A805" s="125" t="s">
        <v>3502</v>
      </c>
      <c r="B805" s="127" t="s">
        <v>127</v>
      </c>
      <c r="C805" s="46" t="s">
        <v>65</v>
      </c>
      <c r="D805" s="125" t="s">
        <v>84</v>
      </c>
      <c r="E805" s="125" t="s">
        <v>2352</v>
      </c>
      <c r="F805" s="127">
        <v>5</v>
      </c>
      <c r="G805" s="75" t="s">
        <v>3503</v>
      </c>
      <c r="H805" s="131" t="s">
        <v>499</v>
      </c>
      <c r="I805" s="131" t="s">
        <v>3504</v>
      </c>
      <c r="J805" s="131" t="s">
        <v>3505</v>
      </c>
      <c r="K805" s="131"/>
      <c r="L805" s="47"/>
      <c r="M805" s="47"/>
      <c r="N805" s="47"/>
      <c r="O805" s="68"/>
      <c r="P805" s="68"/>
      <c r="Q805" s="47"/>
      <c r="R805" s="47"/>
      <c r="S805" s="47"/>
      <c r="T805" s="68"/>
      <c r="U805" s="68"/>
      <c r="V805" s="131" t="s">
        <v>1600</v>
      </c>
      <c r="W805" s="74">
        <v>1</v>
      </c>
      <c r="X805" s="127">
        <f>MAX(0,$AK805-$W805-$Z805)</f>
        <v>0</v>
      </c>
      <c r="Y805" s="127"/>
      <c r="Z805" s="127"/>
      <c r="AA805" s="132">
        <v>0.05</v>
      </c>
      <c r="AB805" s="132">
        <f>IF(AND($X805&gt;0,ISNUMBER($AA805)),$X805*$AA805,0)</f>
        <v>0</v>
      </c>
      <c r="AK805" s="39">
        <f>SUM(AL805:AR805)</f>
        <v>0</v>
      </c>
      <c r="AL805" s="128"/>
      <c r="AM805" s="38"/>
      <c r="AN805" s="38"/>
      <c r="AO805" s="38"/>
      <c r="AP805" s="38"/>
      <c r="AQ805" s="38"/>
      <c r="AR805" s="128"/>
      <c r="AS805" s="42">
        <f>SUM(AT805:AZ805)</f>
        <v>0</v>
      </c>
      <c r="AT805" s="48"/>
      <c r="AU805" s="48"/>
      <c r="AV805" s="48"/>
      <c r="AW805" s="48"/>
      <c r="AX805" s="48"/>
      <c r="AY805" s="48"/>
      <c r="AZ805" s="48"/>
      <c r="BA805" s="43">
        <f>IF((W805-SUM(AT805:AZ805))&lt;0,0,W805-SUM(AT805:AZ805))</f>
        <v>1</v>
      </c>
      <c r="BB805" s="125"/>
      <c r="BC805" s="47"/>
      <c r="BD805" s="47"/>
    </row>
    <row r="806" spans="1:56" ht="15" customHeight="1">
      <c r="A806" s="125" t="s">
        <v>3506</v>
      </c>
      <c r="B806" s="127" t="s">
        <v>127</v>
      </c>
      <c r="C806" s="46" t="s">
        <v>65</v>
      </c>
      <c r="D806" s="125" t="s">
        <v>84</v>
      </c>
      <c r="E806" s="125" t="s">
        <v>2352</v>
      </c>
      <c r="F806" s="127">
        <v>2</v>
      </c>
      <c r="G806" s="75" t="s">
        <v>3507</v>
      </c>
      <c r="H806" s="131" t="s">
        <v>172</v>
      </c>
      <c r="I806" s="131" t="s">
        <v>2185</v>
      </c>
      <c r="J806" s="131" t="s">
        <v>3508</v>
      </c>
      <c r="K806" s="131"/>
      <c r="L806" s="46"/>
      <c r="M806" s="46"/>
      <c r="N806" s="46"/>
      <c r="O806" s="46"/>
      <c r="P806" s="46"/>
      <c r="Q806" s="46"/>
      <c r="R806" s="46"/>
      <c r="S806" s="46"/>
      <c r="T806" s="46"/>
      <c r="U806" s="46"/>
      <c r="V806" s="131" t="s">
        <v>1304</v>
      </c>
      <c r="W806" s="74">
        <v>1</v>
      </c>
      <c r="X806" s="127">
        <f>MAX(0,$AK806-$W806-$Z806)</f>
        <v>0</v>
      </c>
      <c r="Y806" s="127"/>
      <c r="Z806" s="127"/>
      <c r="AA806" s="132">
        <v>4.3</v>
      </c>
      <c r="AB806" s="132">
        <f>IF(AND($X806&gt;0,ISNUMBER($AA806)),$X806*$AA806,0)</f>
        <v>0</v>
      </c>
      <c r="AK806" s="39">
        <f>SUM(AL806:AR806)</f>
        <v>1</v>
      </c>
      <c r="AL806" s="139">
        <v>1</v>
      </c>
      <c r="AM806" s="38"/>
      <c r="AN806" s="38"/>
      <c r="AO806" s="38"/>
      <c r="AP806" s="38"/>
      <c r="AQ806" s="38"/>
      <c r="AR806" s="128"/>
      <c r="AS806" s="42">
        <f>SUM(AT806:AZ806)</f>
        <v>1</v>
      </c>
      <c r="AT806" s="48">
        <v>1</v>
      </c>
      <c r="AU806" s="48"/>
      <c r="AV806" s="48"/>
      <c r="AW806" s="48"/>
      <c r="AX806" s="48"/>
      <c r="AY806" s="48"/>
      <c r="AZ806" s="48"/>
      <c r="BA806" s="43">
        <f>IF((W806-SUM(AT806:AZ806))&lt;0,0,W806-SUM(AT806:AZ806))</f>
        <v>0</v>
      </c>
      <c r="BB806" s="125"/>
      <c r="BC806" s="47"/>
      <c r="BD806" s="47"/>
    </row>
    <row r="807" spans="1:56" ht="15" customHeight="1">
      <c r="A807" s="125" t="s">
        <v>3509</v>
      </c>
      <c r="B807" s="127" t="s">
        <v>127</v>
      </c>
      <c r="C807" s="46" t="s">
        <v>65</v>
      </c>
      <c r="D807" s="125" t="s">
        <v>84</v>
      </c>
      <c r="E807" s="125" t="s">
        <v>3510</v>
      </c>
      <c r="F807" s="127">
        <v>4</v>
      </c>
      <c r="G807" s="75" t="s">
        <v>3511</v>
      </c>
      <c r="H807" s="131" t="s">
        <v>172</v>
      </c>
      <c r="I807" s="131" t="s">
        <v>3512</v>
      </c>
      <c r="J807" s="131"/>
      <c r="K807" s="131"/>
      <c r="L807" s="47"/>
      <c r="M807" s="47"/>
      <c r="N807" s="47"/>
      <c r="O807" s="68"/>
      <c r="P807" s="68"/>
      <c r="Q807" s="47"/>
      <c r="R807" s="47"/>
      <c r="S807" s="47"/>
      <c r="T807" s="68"/>
      <c r="U807" s="68"/>
      <c r="V807" s="131" t="s">
        <v>841</v>
      </c>
      <c r="W807" s="74">
        <v>1</v>
      </c>
      <c r="X807" s="127">
        <f>MAX(0,$AK807-$W807-$Z807)</f>
        <v>0</v>
      </c>
      <c r="Y807" s="127"/>
      <c r="Z807" s="127"/>
      <c r="AA807" s="132">
        <v>0.22</v>
      </c>
      <c r="AB807" s="132">
        <f>IF(AND($X807&gt;0,ISNUMBER($AA807)),$X807*$AA807,0)</f>
        <v>0</v>
      </c>
      <c r="AD807" s="63"/>
      <c r="AK807" s="39">
        <f>SUM(AL807:AR807)</f>
        <v>1</v>
      </c>
      <c r="AL807" s="128"/>
      <c r="AM807" s="98">
        <v>1</v>
      </c>
      <c r="AN807" s="38"/>
      <c r="AO807" s="38"/>
      <c r="AP807" s="38"/>
      <c r="AQ807" s="38"/>
      <c r="AR807" s="128"/>
      <c r="AS807" s="42">
        <f>SUM(AT807:AZ807)</f>
        <v>1</v>
      </c>
      <c r="AT807" s="48"/>
      <c r="AU807" s="48">
        <v>1</v>
      </c>
      <c r="AV807" s="48"/>
      <c r="AW807" s="48"/>
      <c r="AX807" s="48"/>
      <c r="AY807" s="48"/>
      <c r="AZ807" s="48"/>
      <c r="BA807" s="43">
        <f>IF((W807-SUM(AT807:AZ807))&lt;0,0,W807-SUM(AT807:AZ807))</f>
        <v>0</v>
      </c>
      <c r="BB807" s="125"/>
      <c r="BC807" s="47"/>
      <c r="BD807" s="47"/>
    </row>
    <row r="808" spans="1:56" ht="15" customHeight="1">
      <c r="A808" s="125" t="s">
        <v>3513</v>
      </c>
      <c r="B808" s="127" t="s">
        <v>127</v>
      </c>
      <c r="C808" s="46" t="s">
        <v>65</v>
      </c>
      <c r="D808" s="125" t="s">
        <v>84</v>
      </c>
      <c r="E808" s="125" t="s">
        <v>2041</v>
      </c>
      <c r="F808" s="127">
        <v>1</v>
      </c>
      <c r="G808" s="75" t="s">
        <v>3514</v>
      </c>
      <c r="H808" s="131" t="s">
        <v>153</v>
      </c>
      <c r="I808" s="131" t="s">
        <v>3515</v>
      </c>
      <c r="J808" s="131" t="s">
        <v>3516</v>
      </c>
      <c r="K808" s="131"/>
      <c r="L808" s="47"/>
      <c r="M808" s="47"/>
      <c r="N808" s="47"/>
      <c r="O808" s="68"/>
      <c r="P808" s="68"/>
      <c r="Q808" s="47"/>
      <c r="R808" s="47"/>
      <c r="S808" s="47"/>
      <c r="T808" s="68"/>
      <c r="U808" s="68"/>
      <c r="V808" s="131" t="s">
        <v>167</v>
      </c>
      <c r="W808" s="74">
        <v>1</v>
      </c>
      <c r="X808" s="127">
        <f>MAX(0,$AK808-$W808-$Z808)</f>
        <v>0</v>
      </c>
      <c r="Y808" s="127"/>
      <c r="Z808" s="127"/>
      <c r="AA808" s="132">
        <v>0.11</v>
      </c>
      <c r="AB808" s="132">
        <f>IF(AND($X808&gt;0,ISNUMBER($AA808)),$X808*$AA808,0)</f>
        <v>0</v>
      </c>
      <c r="AK808" s="39">
        <f>SUM(AL808:AR808)</f>
        <v>0</v>
      </c>
      <c r="AL808" s="128"/>
      <c r="AM808" s="38"/>
      <c r="AN808" s="38"/>
      <c r="AO808" s="38"/>
      <c r="AP808" s="38"/>
      <c r="AQ808" s="38"/>
      <c r="AR808" s="128"/>
      <c r="AS808" s="42">
        <f>SUM(AT808:AZ808)</f>
        <v>0</v>
      </c>
      <c r="AT808" s="48"/>
      <c r="AU808" s="48"/>
      <c r="AV808" s="48"/>
      <c r="AW808" s="48"/>
      <c r="AX808" s="48"/>
      <c r="AY808" s="48"/>
      <c r="AZ808" s="48"/>
      <c r="BA808" s="43">
        <f>IF((W808-SUM(AT808:AZ808))&lt;0,0,W808-SUM(AT808:AZ808))</f>
        <v>1</v>
      </c>
      <c r="BB808" s="125"/>
      <c r="BC808" s="47"/>
      <c r="BD808" s="47"/>
    </row>
    <row r="809" spans="1:56" ht="15" customHeight="1">
      <c r="A809" s="126" t="s">
        <v>3517</v>
      </c>
      <c r="B809" s="129" t="s">
        <v>127</v>
      </c>
      <c r="C809" s="46" t="s">
        <v>65</v>
      </c>
      <c r="D809" s="126" t="s">
        <v>84</v>
      </c>
      <c r="E809" s="126" t="s">
        <v>2805</v>
      </c>
      <c r="F809" s="129">
        <v>4</v>
      </c>
      <c r="G809" s="75" t="s">
        <v>3518</v>
      </c>
      <c r="H809" s="126" t="s">
        <v>499</v>
      </c>
      <c r="I809" s="126" t="s">
        <v>3519</v>
      </c>
      <c r="J809" s="126"/>
      <c r="K809" s="126"/>
      <c r="L809" s="47"/>
      <c r="M809" s="47"/>
      <c r="N809" s="47"/>
      <c r="O809" s="68"/>
      <c r="P809" s="68"/>
      <c r="Q809" s="47"/>
      <c r="R809" s="47"/>
      <c r="S809" s="47"/>
      <c r="T809" s="68"/>
      <c r="U809" s="68"/>
      <c r="V809" s="126" t="s">
        <v>167</v>
      </c>
      <c r="W809" s="74">
        <v>1</v>
      </c>
      <c r="X809" s="127">
        <f>MAX(0,$AK809-$W809-$Z809)</f>
        <v>0</v>
      </c>
      <c r="Y809" s="126"/>
      <c r="Z809" s="126"/>
      <c r="AA809" s="126">
        <v>7.0000000000000007E-2</v>
      </c>
      <c r="AB809" s="126">
        <f>IF(AND($X809&gt;0,ISNUMBER($AA809)),$X809*$AA809,0)</f>
        <v>0</v>
      </c>
      <c r="AK809" s="39">
        <f>SUM(AL809:AR809)</f>
        <v>0</v>
      </c>
      <c r="AL809" s="128"/>
      <c r="AM809" s="38"/>
      <c r="AN809" s="38"/>
      <c r="AO809" s="38"/>
      <c r="AP809" s="38"/>
      <c r="AQ809" s="38"/>
      <c r="AR809" s="128"/>
      <c r="AS809" s="42">
        <f>SUM(AT809:AZ809)</f>
        <v>0</v>
      </c>
      <c r="AT809" s="48"/>
      <c r="AU809" s="48"/>
      <c r="AV809" s="48"/>
      <c r="AW809" s="48"/>
      <c r="AX809" s="48"/>
      <c r="AY809" s="48"/>
      <c r="AZ809" s="48"/>
      <c r="BA809" s="43">
        <f>IF((W809-SUM(AT809:AZ809))&lt;0,0,W809-SUM(AT809:AZ809))</f>
        <v>1</v>
      </c>
      <c r="BB809" s="126"/>
      <c r="BC809" s="47"/>
      <c r="BD809" s="47"/>
    </row>
    <row r="810" spans="1:56" ht="15" customHeight="1">
      <c r="A810" s="125" t="s">
        <v>457</v>
      </c>
      <c r="B810" s="127" t="s">
        <v>127</v>
      </c>
      <c r="C810" s="46" t="s">
        <v>65</v>
      </c>
      <c r="D810" s="125" t="s">
        <v>134</v>
      </c>
      <c r="E810" s="125"/>
      <c r="F810" s="127">
        <v>3</v>
      </c>
      <c r="G810" s="75" t="s">
        <v>458</v>
      </c>
      <c r="H810" s="131" t="s">
        <v>153</v>
      </c>
      <c r="I810" s="131" t="s">
        <v>459</v>
      </c>
      <c r="J810" s="131" t="s">
        <v>460</v>
      </c>
      <c r="K810" s="131"/>
      <c r="L810" s="47"/>
      <c r="M810" s="47"/>
      <c r="N810" s="47"/>
      <c r="O810" s="47"/>
      <c r="P810" s="47"/>
      <c r="Q810" s="47"/>
      <c r="R810" s="47"/>
      <c r="S810" s="47"/>
      <c r="T810" s="47"/>
      <c r="U810" s="47"/>
      <c r="V810" s="131" t="s">
        <v>363</v>
      </c>
      <c r="W810" s="74">
        <v>1</v>
      </c>
      <c r="X810" s="127">
        <f>MAX(0,$AK810-$W810-$Z810)</f>
        <v>0</v>
      </c>
      <c r="Y810" s="127"/>
      <c r="Z810" s="127"/>
      <c r="AA810" s="132">
        <v>0.32</v>
      </c>
      <c r="AB810" s="132">
        <f>IF(AND($X810&gt;0,ISNUMBER($AA810)),$X810*$AA810,0)</f>
        <v>0</v>
      </c>
      <c r="AK810" s="39">
        <f>SUM(AL810:AR810)</f>
        <v>1</v>
      </c>
      <c r="AL810" s="128"/>
      <c r="AM810" s="38"/>
      <c r="AN810" s="38"/>
      <c r="AO810" s="38"/>
      <c r="AP810" s="97">
        <v>1</v>
      </c>
      <c r="AQ810" s="38"/>
      <c r="AR810" s="128"/>
      <c r="AS810" s="42">
        <f>SUM(AT810:AZ810)</f>
        <v>1</v>
      </c>
      <c r="AT810" s="48"/>
      <c r="AU810" s="48"/>
      <c r="AV810" s="48"/>
      <c r="AW810" s="48"/>
      <c r="AX810" s="48">
        <v>1</v>
      </c>
      <c r="AY810" s="48"/>
      <c r="AZ810" s="48"/>
      <c r="BA810" s="43">
        <f>IF((W810-SUM(AT810:AZ810))&lt;0,0,W810-SUM(AT810:AZ810))</f>
        <v>0</v>
      </c>
      <c r="BB810" s="125"/>
      <c r="BC810" s="47"/>
      <c r="BD810" s="47"/>
    </row>
    <row r="811" spans="1:56" ht="15" customHeight="1">
      <c r="A811" s="126" t="s">
        <v>3520</v>
      </c>
      <c r="B811" s="129" t="s">
        <v>127</v>
      </c>
      <c r="C811" s="46" t="s">
        <v>65</v>
      </c>
      <c r="D811" s="126" t="s">
        <v>76</v>
      </c>
      <c r="E811" s="126"/>
      <c r="F811" s="129">
        <v>5</v>
      </c>
      <c r="G811" s="75" t="s">
        <v>3521</v>
      </c>
      <c r="H811" s="126" t="s">
        <v>78</v>
      </c>
      <c r="I811" s="126" t="s">
        <v>3522</v>
      </c>
      <c r="J811" s="126" t="s">
        <v>3523</v>
      </c>
      <c r="K811" s="126"/>
      <c r="L811" s="47"/>
      <c r="M811" s="47"/>
      <c r="N811" s="47"/>
      <c r="O811" s="68"/>
      <c r="P811" s="68"/>
      <c r="Q811" s="47"/>
      <c r="R811" s="47"/>
      <c r="S811" s="47"/>
      <c r="T811" s="68"/>
      <c r="U811" s="68"/>
      <c r="V811" s="126" t="s">
        <v>167</v>
      </c>
      <c r="W811" s="74">
        <v>2</v>
      </c>
      <c r="X811" s="127">
        <f>MAX(0,$AK811-$W811-$Z811)</f>
        <v>0</v>
      </c>
      <c r="Y811" s="126"/>
      <c r="Z811" s="126"/>
      <c r="AA811" s="126">
        <v>0.14000000000000001</v>
      </c>
      <c r="AB811" s="126">
        <f>IF(AND($X811&gt;0,ISNUMBER($AA811)),$X811*$AA811,0)</f>
        <v>0</v>
      </c>
      <c r="AK811" s="39">
        <f>SUM(AL811:AR811)</f>
        <v>0</v>
      </c>
      <c r="AL811" s="128"/>
      <c r="AM811" s="38"/>
      <c r="AN811" s="38"/>
      <c r="AO811" s="38"/>
      <c r="AP811" s="38"/>
      <c r="AQ811" s="38"/>
      <c r="AR811" s="128"/>
      <c r="AS811" s="42">
        <f>SUM(AT811:AZ811)</f>
        <v>0</v>
      </c>
      <c r="AT811" s="48"/>
      <c r="AU811" s="48"/>
      <c r="AV811" s="48"/>
      <c r="AW811" s="48"/>
      <c r="AX811" s="48"/>
      <c r="AY811" s="48"/>
      <c r="AZ811" s="48"/>
      <c r="BA811" s="43">
        <f>IF((W811-SUM(AT811:AZ811))&lt;0,0,W811-SUM(AT811:AZ811))</f>
        <v>2</v>
      </c>
      <c r="BB811" s="126"/>
      <c r="BC811" s="47"/>
      <c r="BD811" s="47"/>
    </row>
    <row r="812" spans="1:56" ht="15" customHeight="1">
      <c r="A812" s="125" t="s">
        <v>3524</v>
      </c>
      <c r="B812" s="127" t="s">
        <v>127</v>
      </c>
      <c r="C812" s="46" t="s">
        <v>65</v>
      </c>
      <c r="D812" s="125" t="s">
        <v>76</v>
      </c>
      <c r="E812" s="125"/>
      <c r="F812" s="127">
        <v>3</v>
      </c>
      <c r="G812" s="75" t="s">
        <v>3525</v>
      </c>
      <c r="H812" s="131" t="s">
        <v>78</v>
      </c>
      <c r="I812" s="131" t="s">
        <v>3526</v>
      </c>
      <c r="J812" s="131"/>
      <c r="K812" s="131"/>
      <c r="L812" s="47"/>
      <c r="M812" s="47"/>
      <c r="N812" s="47"/>
      <c r="O812" s="68"/>
      <c r="P812" s="68"/>
      <c r="Q812" s="47"/>
      <c r="R812" s="47"/>
      <c r="S812" s="47"/>
      <c r="T812" s="68"/>
      <c r="U812" s="68"/>
      <c r="V812" s="131" t="s">
        <v>697</v>
      </c>
      <c r="W812" s="74">
        <v>1</v>
      </c>
      <c r="X812" s="127">
        <f>MAX(0,$AK812-$W812-$Z812)</f>
        <v>0</v>
      </c>
      <c r="Y812" s="127"/>
      <c r="Z812" s="127"/>
      <c r="AA812" s="132">
        <v>0.22</v>
      </c>
      <c r="AB812" s="132">
        <f>IF(AND($X812&gt;0,ISNUMBER($AA812)),$X812*$AA812,0)</f>
        <v>0</v>
      </c>
      <c r="AK812" s="39">
        <f>SUM(AL812:AR812)</f>
        <v>0</v>
      </c>
      <c r="AL812" s="128"/>
      <c r="AM812" s="38"/>
      <c r="AN812" s="38"/>
      <c r="AO812" s="38"/>
      <c r="AP812" s="38"/>
      <c r="AQ812" s="38"/>
      <c r="AR812" s="128"/>
      <c r="AS812" s="42">
        <f>SUM(AT812:AZ812)</f>
        <v>0</v>
      </c>
      <c r="AT812" s="48"/>
      <c r="AU812" s="48"/>
      <c r="AV812" s="48"/>
      <c r="AW812" s="48"/>
      <c r="AX812" s="48"/>
      <c r="AY812" s="48"/>
      <c r="AZ812" s="48"/>
      <c r="BA812" s="43">
        <f>IF((W812-SUM(AT812:AZ812))&lt;0,0,W812-SUM(AT812:AZ812))</f>
        <v>1</v>
      </c>
      <c r="BB812" s="125"/>
      <c r="BC812" s="47"/>
      <c r="BD812" s="47"/>
    </row>
    <row r="813" spans="1:56" ht="15" customHeight="1">
      <c r="A813" s="125" t="s">
        <v>3527</v>
      </c>
      <c r="B813" s="127" t="s">
        <v>127</v>
      </c>
      <c r="C813" s="46" t="s">
        <v>65</v>
      </c>
      <c r="D813" s="125" t="s">
        <v>84</v>
      </c>
      <c r="E813" s="125" t="s">
        <v>3528</v>
      </c>
      <c r="F813" s="43">
        <v>3</v>
      </c>
      <c r="G813" s="75" t="s">
        <v>3529</v>
      </c>
      <c r="H813" s="58" t="s">
        <v>115</v>
      </c>
      <c r="I813" s="58" t="s">
        <v>3530</v>
      </c>
      <c r="J813" s="58" t="s">
        <v>3531</v>
      </c>
      <c r="K813" s="58"/>
      <c r="L813" s="47"/>
      <c r="M813" s="47"/>
      <c r="N813" s="47"/>
      <c r="O813" s="68"/>
      <c r="P813" s="68"/>
      <c r="Q813" s="47"/>
      <c r="R813" s="47"/>
      <c r="S813" s="47"/>
      <c r="T813" s="68"/>
      <c r="U813" s="68"/>
      <c r="V813" s="58" t="s">
        <v>119</v>
      </c>
      <c r="W813" s="74">
        <v>2</v>
      </c>
      <c r="X813" s="127">
        <f>MAX(0,$AK813-$W813-$Z813)</f>
        <v>0</v>
      </c>
      <c r="Y813" s="43"/>
      <c r="Z813" s="43"/>
      <c r="AA813" s="59">
        <v>0.19</v>
      </c>
      <c r="AB813" s="132">
        <f>IF(AND($X813&gt;0,ISNUMBER($AA813)),$X813*$AA813,0)</f>
        <v>0</v>
      </c>
      <c r="AK813" s="39">
        <f>SUM(AL813:AR813)</f>
        <v>0</v>
      </c>
      <c r="AL813" s="128"/>
      <c r="AM813" s="38"/>
      <c r="AN813" s="38"/>
      <c r="AO813" s="38"/>
      <c r="AP813" s="38"/>
      <c r="AQ813" s="38"/>
      <c r="AR813" s="128"/>
      <c r="AS813" s="42">
        <f>SUM(AT813:AZ813)</f>
        <v>0</v>
      </c>
      <c r="AT813" s="48"/>
      <c r="AU813" s="48"/>
      <c r="AV813" s="48"/>
      <c r="AW813" s="48"/>
      <c r="AX813" s="48"/>
      <c r="AY813" s="48"/>
      <c r="AZ813" s="48"/>
      <c r="BA813" s="43">
        <f>IF((W813-SUM(AT813:AZ813))&lt;0,0,W813-SUM(AT813:AZ813))</f>
        <v>2</v>
      </c>
      <c r="BB813" s="52"/>
      <c r="BC813" s="47"/>
      <c r="BD813" s="47"/>
    </row>
    <row r="814" spans="1:56" ht="15" customHeight="1">
      <c r="A814" s="125" t="s">
        <v>3532</v>
      </c>
      <c r="B814" s="127" t="s">
        <v>127</v>
      </c>
      <c r="C814" s="46" t="s">
        <v>83</v>
      </c>
      <c r="D814" s="125" t="s">
        <v>84</v>
      </c>
      <c r="E814" s="125" t="s">
        <v>128</v>
      </c>
      <c r="F814" s="43">
        <v>3</v>
      </c>
      <c r="G814" s="75" t="s">
        <v>3533</v>
      </c>
      <c r="H814" s="58" t="s">
        <v>408</v>
      </c>
      <c r="I814" s="58" t="s">
        <v>3534</v>
      </c>
      <c r="J814" s="58"/>
      <c r="K814" s="58"/>
      <c r="L814" s="46"/>
      <c r="M814" s="46"/>
      <c r="N814" s="46"/>
      <c r="O814" s="46"/>
      <c r="P814" s="46"/>
      <c r="Q814" s="46"/>
      <c r="R814" s="46"/>
      <c r="S814" s="46"/>
      <c r="T814" s="46"/>
      <c r="U814" s="46"/>
      <c r="V814" s="58" t="s">
        <v>351</v>
      </c>
      <c r="W814" s="74">
        <v>1</v>
      </c>
      <c r="X814" s="127">
        <f>MAX(0,$AK814-$W814-$Z814)</f>
        <v>0</v>
      </c>
      <c r="Y814" s="43"/>
      <c r="Z814" s="43"/>
      <c r="AA814" s="59">
        <v>0.14000000000000001</v>
      </c>
      <c r="AB814" s="132">
        <f>IF(AND($X814&gt;0,ISNUMBER($AA814)),$X814*$AA814,0)</f>
        <v>0</v>
      </c>
      <c r="AK814" s="39">
        <f>SUM(AL814:AR814)</f>
        <v>1</v>
      </c>
      <c r="AL814" s="128"/>
      <c r="AM814" s="38"/>
      <c r="AN814" s="38"/>
      <c r="AO814" s="97">
        <v>1</v>
      </c>
      <c r="AP814" s="38"/>
      <c r="AQ814" s="38"/>
      <c r="AR814" s="128"/>
      <c r="AS814" s="42">
        <f>SUM(AT814:AZ814)</f>
        <v>1</v>
      </c>
      <c r="AT814" s="48"/>
      <c r="AU814" s="48"/>
      <c r="AV814" s="48"/>
      <c r="AW814" s="48">
        <v>1</v>
      </c>
      <c r="AX814" s="48"/>
      <c r="AY814" s="48"/>
      <c r="AZ814" s="48"/>
      <c r="BA814" s="43">
        <f>IF((W814-SUM(AT814:AZ814))&lt;0,0,W814-SUM(AT814:AZ814))</f>
        <v>0</v>
      </c>
      <c r="BB814" s="52"/>
      <c r="BC814" s="47"/>
      <c r="BD814" s="47"/>
    </row>
    <row r="815" spans="1:56" ht="15" customHeight="1">
      <c r="A815" s="125" t="s">
        <v>461</v>
      </c>
      <c r="B815" s="127" t="s">
        <v>127</v>
      </c>
      <c r="C815" s="46" t="s">
        <v>65</v>
      </c>
      <c r="D815" s="125" t="s">
        <v>84</v>
      </c>
      <c r="E815" s="125" t="s">
        <v>225</v>
      </c>
      <c r="F815" s="127">
        <v>3</v>
      </c>
      <c r="G815" s="75" t="s">
        <v>462</v>
      </c>
      <c r="H815" s="131" t="s">
        <v>153</v>
      </c>
      <c r="I815" s="131" t="s">
        <v>463</v>
      </c>
      <c r="J815" s="131"/>
      <c r="K815" s="131"/>
      <c r="L815" s="47"/>
      <c r="M815" s="47"/>
      <c r="N815" s="47"/>
      <c r="O815" s="47"/>
      <c r="P815" s="47"/>
      <c r="Q815" s="47"/>
      <c r="R815" s="47"/>
      <c r="S815" s="47"/>
      <c r="T815" s="47"/>
      <c r="U815" s="47"/>
      <c r="V815" s="131" t="s">
        <v>145</v>
      </c>
      <c r="W815" s="74">
        <v>1</v>
      </c>
      <c r="X815" s="127">
        <f>MAX(0,$AK815-$W815-$Z815)</f>
        <v>0</v>
      </c>
      <c r="Y815" s="127"/>
      <c r="Z815" s="127"/>
      <c r="AA815" s="132">
        <v>0.33</v>
      </c>
      <c r="AB815" s="132">
        <f>IF(AND($X815&gt;0,ISNUMBER($AA815)),$X815*$AA815,0)</f>
        <v>0</v>
      </c>
      <c r="AK815" s="39">
        <f>SUM(AL815:AR815)</f>
        <v>1</v>
      </c>
      <c r="AL815" s="128"/>
      <c r="AM815" s="38"/>
      <c r="AN815" s="38"/>
      <c r="AO815" s="38"/>
      <c r="AP815" s="97">
        <v>1</v>
      </c>
      <c r="AQ815" s="38"/>
      <c r="AR815" s="128"/>
      <c r="AS815" s="42">
        <f>SUM(AT815:AZ815)</f>
        <v>1</v>
      </c>
      <c r="AT815" s="48"/>
      <c r="AU815" s="48"/>
      <c r="AV815" s="48"/>
      <c r="AW815" s="48"/>
      <c r="AX815" s="48">
        <v>1</v>
      </c>
      <c r="AY815" s="48"/>
      <c r="AZ815" s="48"/>
      <c r="BA815" s="43">
        <f>IF((W815-SUM(AT815:AZ815))&lt;0,0,W815-SUM(AT815:AZ815))</f>
        <v>0</v>
      </c>
      <c r="BB815" s="125"/>
      <c r="BC815" s="47"/>
      <c r="BD815" s="47"/>
    </row>
    <row r="816" spans="1:56" ht="15" customHeight="1">
      <c r="A816" s="126" t="s">
        <v>3535</v>
      </c>
      <c r="B816" s="129" t="s">
        <v>127</v>
      </c>
      <c r="C816" s="46" t="s">
        <v>65</v>
      </c>
      <c r="D816" s="126" t="s">
        <v>134</v>
      </c>
      <c r="E816" s="126"/>
      <c r="F816" s="46">
        <v>1</v>
      </c>
      <c r="G816" s="75" t="s">
        <v>3536</v>
      </c>
      <c r="H816" s="47" t="s">
        <v>679</v>
      </c>
      <c r="I816" s="47" t="s">
        <v>3537</v>
      </c>
      <c r="J816" s="47" t="s">
        <v>3538</v>
      </c>
      <c r="K816" s="47"/>
      <c r="L816" s="47"/>
      <c r="M816" s="47"/>
      <c r="N816" s="47"/>
      <c r="O816" s="68"/>
      <c r="P816" s="68"/>
      <c r="Q816" s="47"/>
      <c r="R816" s="47"/>
      <c r="S816" s="47"/>
      <c r="T816" s="68"/>
      <c r="U816" s="68"/>
      <c r="V816" s="47" t="s">
        <v>167</v>
      </c>
      <c r="W816" s="74">
        <v>2</v>
      </c>
      <c r="X816" s="127">
        <f>MAX(0,$AK816-$W816-$Z816)</f>
        <v>0</v>
      </c>
      <c r="Y816" s="47"/>
      <c r="Z816" s="47"/>
      <c r="AA816" s="47">
        <v>0.11</v>
      </c>
      <c r="AB816" s="126">
        <f>IF(AND($X816&gt;0,ISNUMBER($AA816)),$X816*$AA816,0)</f>
        <v>0</v>
      </c>
      <c r="AK816" s="39">
        <f>SUM(AL816:AR816)</f>
        <v>0</v>
      </c>
      <c r="AL816" s="128"/>
      <c r="AM816" s="38"/>
      <c r="AN816" s="38"/>
      <c r="AO816" s="38"/>
      <c r="AP816" s="38"/>
      <c r="AQ816" s="38"/>
      <c r="AR816" s="128"/>
      <c r="AS816" s="42">
        <f>SUM(AT816:AZ816)</f>
        <v>0</v>
      </c>
      <c r="AT816" s="48"/>
      <c r="AU816" s="48"/>
      <c r="AV816" s="48"/>
      <c r="AW816" s="48"/>
      <c r="AX816" s="48"/>
      <c r="AY816" s="48"/>
      <c r="AZ816" s="48"/>
      <c r="BA816" s="43">
        <f>IF((W816-SUM(AT816:AZ816))&lt;0,0,W816-SUM(AT816:AZ816))</f>
        <v>2</v>
      </c>
      <c r="BB816" s="47"/>
      <c r="BC816" s="47"/>
      <c r="BD816" s="47"/>
    </row>
    <row r="817" spans="1:56" ht="15" customHeight="1">
      <c r="A817" s="125" t="s">
        <v>464</v>
      </c>
      <c r="B817" s="127" t="s">
        <v>127</v>
      </c>
      <c r="C817" s="46" t="s">
        <v>65</v>
      </c>
      <c r="D817" s="125" t="s">
        <v>256</v>
      </c>
      <c r="E817" s="125"/>
      <c r="F817" s="127">
        <v>3</v>
      </c>
      <c r="G817" s="75" t="s">
        <v>465</v>
      </c>
      <c r="H817" s="131" t="s">
        <v>142</v>
      </c>
      <c r="I817" s="131" t="s">
        <v>466</v>
      </c>
      <c r="J817" s="131"/>
      <c r="K817" s="131"/>
      <c r="L817" s="47"/>
      <c r="M817" s="47"/>
      <c r="N817" s="47"/>
      <c r="O817" s="47"/>
      <c r="P817" s="47"/>
      <c r="Q817" s="47"/>
      <c r="R817" s="47"/>
      <c r="S817" s="47"/>
      <c r="T817" s="47"/>
      <c r="U817" s="47"/>
      <c r="V817" s="131" t="s">
        <v>432</v>
      </c>
      <c r="W817" s="74">
        <v>1</v>
      </c>
      <c r="X817" s="127">
        <f>MAX(0,$AK817-$W817-$Z817)</f>
        <v>0</v>
      </c>
      <c r="Y817" s="127"/>
      <c r="Z817" s="127"/>
      <c r="AA817" s="132">
        <v>0.96</v>
      </c>
      <c r="AB817" s="132">
        <f>IF(AND($X817&gt;0,ISNUMBER($AA817)),$X817*$AA817,0)</f>
        <v>0</v>
      </c>
      <c r="AK817" s="39">
        <f>SUM(AL817:AR817)</f>
        <v>1</v>
      </c>
      <c r="AL817" s="128"/>
      <c r="AM817" s="38"/>
      <c r="AN817" s="38"/>
      <c r="AO817" s="38"/>
      <c r="AP817" s="97">
        <v>1</v>
      </c>
      <c r="AQ817" s="38"/>
      <c r="AR817" s="128"/>
      <c r="AS817" s="42">
        <f>SUM(AT817:AZ817)</f>
        <v>1</v>
      </c>
      <c r="AT817" s="48"/>
      <c r="AU817" s="48"/>
      <c r="AV817" s="48"/>
      <c r="AW817" s="48"/>
      <c r="AX817" s="48">
        <v>1</v>
      </c>
      <c r="AY817" s="48"/>
      <c r="AZ817" s="48"/>
      <c r="BA817" s="43">
        <f>IF((W817-SUM(AT817:AZ817))&lt;0,0,W817-SUM(AT817:AZ817))</f>
        <v>0</v>
      </c>
      <c r="BB817" s="125"/>
      <c r="BC817" s="47"/>
      <c r="BD817" s="47"/>
    </row>
    <row r="818" spans="1:56" ht="15" customHeight="1">
      <c r="A818" s="125" t="s">
        <v>3539</v>
      </c>
      <c r="B818" s="127" t="s">
        <v>127</v>
      </c>
      <c r="C818" s="46" t="s">
        <v>65</v>
      </c>
      <c r="D818" s="125" t="s">
        <v>84</v>
      </c>
      <c r="E818" s="125" t="s">
        <v>2294</v>
      </c>
      <c r="F818" s="43">
        <v>3</v>
      </c>
      <c r="G818" s="75" t="s">
        <v>3540</v>
      </c>
      <c r="H818" s="58" t="s">
        <v>293</v>
      </c>
      <c r="I818" s="58" t="s">
        <v>3541</v>
      </c>
      <c r="J818" s="58" t="s">
        <v>3542</v>
      </c>
      <c r="K818" s="58"/>
      <c r="L818" s="47"/>
      <c r="M818" s="47"/>
      <c r="N818" s="47"/>
      <c r="O818" s="68"/>
      <c r="P818" s="68"/>
      <c r="Q818" s="47"/>
      <c r="R818" s="47"/>
      <c r="S818" s="47"/>
      <c r="T818" s="68"/>
      <c r="U818" s="68"/>
      <c r="V818" s="58" t="s">
        <v>119</v>
      </c>
      <c r="W818" s="74">
        <v>1</v>
      </c>
      <c r="X818" s="127">
        <f>MAX(0,$AK818-$W818-$Z818)</f>
        <v>0</v>
      </c>
      <c r="Y818" s="43"/>
      <c r="Z818" s="43"/>
      <c r="AA818" s="59">
        <v>0.19</v>
      </c>
      <c r="AB818" s="132">
        <f>IF(AND($X818&gt;0,ISNUMBER($AA818)),$X818*$AA818,0)</f>
        <v>0</v>
      </c>
      <c r="AF818" s="63"/>
      <c r="AK818" s="39">
        <f>SUM(AL818:AR818)</f>
        <v>1</v>
      </c>
      <c r="AL818" s="128"/>
      <c r="AM818" s="38"/>
      <c r="AN818" s="38"/>
      <c r="AO818" s="97">
        <v>1</v>
      </c>
      <c r="AP818" s="38"/>
      <c r="AQ818" s="38"/>
      <c r="AR818" s="128"/>
      <c r="AS818" s="42">
        <f>SUM(AT818:AZ818)</f>
        <v>1</v>
      </c>
      <c r="AT818" s="48"/>
      <c r="AU818" s="48"/>
      <c r="AV818" s="48"/>
      <c r="AW818" s="48">
        <v>1</v>
      </c>
      <c r="AX818" s="48"/>
      <c r="AY818" s="48"/>
      <c r="AZ818" s="48"/>
      <c r="BA818" s="43">
        <f>IF((W818-SUM(AT818:AZ818))&lt;0,0,W818-SUM(AT818:AZ818))</f>
        <v>0</v>
      </c>
      <c r="BB818" s="52"/>
      <c r="BC818" s="47"/>
      <c r="BD818" s="47"/>
    </row>
    <row r="819" spans="1:56" ht="15" customHeight="1">
      <c r="A819" s="125" t="s">
        <v>230</v>
      </c>
      <c r="B819" s="127" t="s">
        <v>127</v>
      </c>
      <c r="C819" s="46" t="s">
        <v>65</v>
      </c>
      <c r="D819" s="125" t="s">
        <v>84</v>
      </c>
      <c r="E819" s="125" t="s">
        <v>231</v>
      </c>
      <c r="F819" s="127">
        <v>8</v>
      </c>
      <c r="G819" s="75" t="s">
        <v>232</v>
      </c>
      <c r="H819" s="131" t="s">
        <v>233</v>
      </c>
      <c r="I819" s="131" t="s">
        <v>181</v>
      </c>
      <c r="J819" s="131" t="s">
        <v>234</v>
      </c>
      <c r="K819" s="131"/>
      <c r="L819" s="46"/>
      <c r="M819" s="46"/>
      <c r="N819" s="46"/>
      <c r="O819" s="46"/>
      <c r="P819" s="46"/>
      <c r="Q819" s="46"/>
      <c r="R819" s="46"/>
      <c r="S819" s="46"/>
      <c r="T819" s="46"/>
      <c r="U819" s="46"/>
      <c r="V819" s="131" t="s">
        <v>235</v>
      </c>
      <c r="W819" s="74">
        <v>1</v>
      </c>
      <c r="X819" s="127">
        <f>MAX(0,$AK819-$W819-$Z819)</f>
        <v>0</v>
      </c>
      <c r="Y819" s="127"/>
      <c r="Z819" s="127"/>
      <c r="AA819" s="132">
        <v>9.57</v>
      </c>
      <c r="AB819" s="132">
        <f>IF(AND($X819&gt;0,ISNUMBER($AA819)),$X819*$AA819,0)</f>
        <v>0</v>
      </c>
      <c r="AK819" s="39">
        <f>SUM(AL819:AR819)</f>
        <v>1</v>
      </c>
      <c r="AL819" s="128"/>
      <c r="AM819" s="38"/>
      <c r="AN819" s="38"/>
      <c r="AO819" s="38"/>
      <c r="AP819" s="97">
        <v>1</v>
      </c>
      <c r="AQ819" s="38"/>
      <c r="AR819" s="128"/>
      <c r="AS819" s="42">
        <f>SUM(AT819:AZ819)</f>
        <v>1</v>
      </c>
      <c r="AT819" s="48"/>
      <c r="AU819" s="48"/>
      <c r="AV819" s="48"/>
      <c r="AW819" s="48"/>
      <c r="AX819" s="48">
        <v>1</v>
      </c>
      <c r="AY819" s="48"/>
      <c r="AZ819" s="48"/>
      <c r="BA819" s="43">
        <f>IF((W819-SUM(AT819:AZ819))&lt;0,0,W819-SUM(AT819:AZ819))</f>
        <v>0</v>
      </c>
      <c r="BB819" s="125"/>
      <c r="BC819" s="47"/>
      <c r="BD819" s="47"/>
    </row>
    <row r="820" spans="1:56" ht="15" customHeight="1">
      <c r="A820" s="125" t="s">
        <v>3543</v>
      </c>
      <c r="B820" s="127" t="s">
        <v>127</v>
      </c>
      <c r="C820" s="46" t="s">
        <v>65</v>
      </c>
      <c r="D820" s="125" t="s">
        <v>3544</v>
      </c>
      <c r="E820" s="125" t="s">
        <v>3545</v>
      </c>
      <c r="F820" s="43">
        <v>2</v>
      </c>
      <c r="G820" s="75" t="s">
        <v>3546</v>
      </c>
      <c r="H820" s="58" t="s">
        <v>123</v>
      </c>
      <c r="I820" s="58" t="s">
        <v>3547</v>
      </c>
      <c r="J820" s="58"/>
      <c r="K820" s="58"/>
      <c r="L820" s="47"/>
      <c r="M820" s="47"/>
      <c r="N820" s="47"/>
      <c r="O820" s="47"/>
      <c r="P820" s="47"/>
      <c r="Q820" s="47"/>
      <c r="R820" s="47"/>
      <c r="S820" s="47"/>
      <c r="T820" s="47"/>
      <c r="U820" s="47"/>
      <c r="V820" s="58" t="s">
        <v>618</v>
      </c>
      <c r="W820" s="74">
        <v>1</v>
      </c>
      <c r="X820" s="127">
        <f>MAX(0,$AK820-$W820-$Z820)</f>
        <v>0</v>
      </c>
      <c r="Y820" s="43"/>
      <c r="Z820" s="43"/>
      <c r="AA820" s="59">
        <v>0.27</v>
      </c>
      <c r="AB820" s="132">
        <f>IF(AND($X820&gt;0,ISNUMBER($AA820)),$X820*$AA820,0)</f>
        <v>0</v>
      </c>
      <c r="AK820" s="39">
        <f>SUM(AL820:AR820)</f>
        <v>1</v>
      </c>
      <c r="AL820" s="128"/>
      <c r="AM820" s="38"/>
      <c r="AN820" s="38"/>
      <c r="AO820" s="97">
        <v>1</v>
      </c>
      <c r="AP820" s="38"/>
      <c r="AQ820" s="38"/>
      <c r="AR820" s="128"/>
      <c r="AS820" s="42">
        <f>SUM(AT820:AZ820)</f>
        <v>1</v>
      </c>
      <c r="AT820" s="48"/>
      <c r="AU820" s="48"/>
      <c r="AV820" s="48"/>
      <c r="AW820" s="48">
        <v>1</v>
      </c>
      <c r="AX820" s="48"/>
      <c r="AY820" s="48"/>
      <c r="AZ820" s="48"/>
      <c r="BA820" s="43">
        <f>IF((W820-SUM(AT820:AZ820))&lt;0,0,W820-SUM(AT820:AZ820))</f>
        <v>0</v>
      </c>
      <c r="BB820" s="52"/>
      <c r="BC820" s="47"/>
      <c r="BD820" s="47"/>
    </row>
    <row r="821" spans="1:56" ht="15" customHeight="1">
      <c r="A821" s="125" t="s">
        <v>236</v>
      </c>
      <c r="B821" s="127" t="s">
        <v>127</v>
      </c>
      <c r="C821" s="46" t="s">
        <v>65</v>
      </c>
      <c r="D821" s="125" t="s">
        <v>178</v>
      </c>
      <c r="E821" s="125" t="s">
        <v>128</v>
      </c>
      <c r="F821" s="127">
        <v>4</v>
      </c>
      <c r="G821" s="75" t="s">
        <v>237</v>
      </c>
      <c r="H821" s="131" t="s">
        <v>238</v>
      </c>
      <c r="I821" s="131" t="s">
        <v>239</v>
      </c>
      <c r="J821" s="131"/>
      <c r="K821" s="131"/>
      <c r="L821" s="47"/>
      <c r="M821" s="47"/>
      <c r="N821" s="47"/>
      <c r="O821" s="68"/>
      <c r="P821" s="68"/>
      <c r="Q821" s="47"/>
      <c r="R821" s="47"/>
      <c r="S821" s="47"/>
      <c r="T821" s="68"/>
      <c r="U821" s="68"/>
      <c r="V821" s="131" t="s">
        <v>240</v>
      </c>
      <c r="W821" s="74">
        <v>1</v>
      </c>
      <c r="X821" s="127">
        <f>MAX(0,$AK821-$W821-$Z821)</f>
        <v>0</v>
      </c>
      <c r="Y821" s="127"/>
      <c r="Z821" s="127"/>
      <c r="AA821" s="132">
        <v>1.03</v>
      </c>
      <c r="AB821" s="132">
        <f>IF(AND($X821&gt;0,ISNUMBER($AA821)),$X821*$AA821,0)</f>
        <v>0</v>
      </c>
      <c r="AK821" s="39">
        <f>SUM(AL821:AR821)</f>
        <v>1</v>
      </c>
      <c r="AL821" s="128"/>
      <c r="AM821" s="38"/>
      <c r="AN821" s="38"/>
      <c r="AO821" s="38"/>
      <c r="AP821" s="97">
        <v>1</v>
      </c>
      <c r="AQ821" s="38"/>
      <c r="AR821" s="128"/>
      <c r="AS821" s="42">
        <f>SUM(AT821:AZ821)</f>
        <v>1</v>
      </c>
      <c r="AT821" s="48"/>
      <c r="AU821" s="48"/>
      <c r="AV821" s="48"/>
      <c r="AW821" s="48"/>
      <c r="AX821" s="48">
        <v>1</v>
      </c>
      <c r="AY821" s="48"/>
      <c r="AZ821" s="48"/>
      <c r="BA821" s="43">
        <f>IF((W821-SUM(AT821:AZ821))&lt;0,0,W821-SUM(AT821:AZ821))</f>
        <v>0</v>
      </c>
      <c r="BB821" s="125"/>
      <c r="BC821" s="47"/>
      <c r="BD821" s="47"/>
    </row>
    <row r="822" spans="1:56" ht="15" customHeight="1">
      <c r="A822" s="126" t="s">
        <v>3548</v>
      </c>
      <c r="B822" s="46" t="s">
        <v>127</v>
      </c>
      <c r="C822" s="46" t="s">
        <v>65</v>
      </c>
      <c r="D822" s="47" t="s">
        <v>178</v>
      </c>
      <c r="E822" s="47" t="s">
        <v>2233</v>
      </c>
      <c r="F822" s="46">
        <v>3</v>
      </c>
      <c r="G822" s="75" t="s">
        <v>3549</v>
      </c>
      <c r="H822" s="47" t="s">
        <v>238</v>
      </c>
      <c r="I822" s="47" t="s">
        <v>3550</v>
      </c>
      <c r="J822" s="47" t="s">
        <v>2526</v>
      </c>
      <c r="K822" s="47"/>
      <c r="L822" s="108" t="s">
        <v>3551</v>
      </c>
      <c r="M822" s="46">
        <v>1</v>
      </c>
      <c r="N822" s="46">
        <v>1</v>
      </c>
      <c r="O822" s="68" t="s">
        <v>3552</v>
      </c>
      <c r="P822" s="110">
        <v>0.22</v>
      </c>
      <c r="Q822" s="47"/>
      <c r="R822" s="47"/>
      <c r="S822" s="47"/>
      <c r="T822" s="68"/>
      <c r="U822" s="68"/>
      <c r="V822" s="47" t="s">
        <v>167</v>
      </c>
      <c r="W822" s="74">
        <v>2</v>
      </c>
      <c r="X822" s="43">
        <f>MAX(0,$AK822-$W822-$Z822)</f>
        <v>0</v>
      </c>
      <c r="Y822" s="47"/>
      <c r="Z822" s="47"/>
      <c r="AA822" s="47">
        <v>0.22</v>
      </c>
      <c r="AB822" s="47">
        <f>IF(AND($X822&gt;0,ISNUMBER($AA822)),$X822*$AA822,0)</f>
        <v>0</v>
      </c>
      <c r="AK822" s="39">
        <f>SUM(AL822:AR822)</f>
        <v>0</v>
      </c>
      <c r="AL822" s="128"/>
      <c r="AM822" s="38"/>
      <c r="AN822" s="38"/>
      <c r="AO822" s="38"/>
      <c r="AP822" s="38"/>
      <c r="AQ822" s="38"/>
      <c r="AR822" s="128"/>
      <c r="AS822" s="42">
        <f>SUM(AT822:AZ822)</f>
        <v>0</v>
      </c>
      <c r="AT822" s="48"/>
      <c r="AU822" s="48"/>
      <c r="AV822" s="48"/>
      <c r="AW822" s="48"/>
      <c r="AX822" s="48"/>
      <c r="AY822" s="48"/>
      <c r="AZ822" s="48"/>
      <c r="BA822" s="43">
        <f>IF((W822-SUM(AT822:AZ822))&lt;0,0,W822-SUM(AT822:AZ822))</f>
        <v>2</v>
      </c>
      <c r="BB822" s="47"/>
      <c r="BC822" s="47"/>
      <c r="BD822" s="47"/>
    </row>
    <row r="823" spans="1:56" ht="15" customHeight="1">
      <c r="A823" s="125" t="s">
        <v>467</v>
      </c>
      <c r="B823" s="127" t="s">
        <v>127</v>
      </c>
      <c r="C823" s="46" t="s">
        <v>83</v>
      </c>
      <c r="D823" s="125" t="s">
        <v>256</v>
      </c>
      <c r="E823" s="125" t="s">
        <v>468</v>
      </c>
      <c r="F823" s="127">
        <v>2</v>
      </c>
      <c r="G823" s="75" t="s">
        <v>469</v>
      </c>
      <c r="H823" s="131" t="s">
        <v>78</v>
      </c>
      <c r="I823" s="131" t="s">
        <v>470</v>
      </c>
      <c r="J823" s="131"/>
      <c r="K823" s="131"/>
      <c r="L823" s="47"/>
      <c r="M823" s="47"/>
      <c r="N823" s="47"/>
      <c r="O823" s="47"/>
      <c r="P823" s="47"/>
      <c r="Q823" s="47"/>
      <c r="R823" s="47"/>
      <c r="S823" s="47"/>
      <c r="T823" s="47"/>
      <c r="U823" s="47"/>
      <c r="V823" s="131" t="s">
        <v>471</v>
      </c>
      <c r="W823" s="74">
        <v>1</v>
      </c>
      <c r="X823" s="127">
        <f>MAX(0,$AK823-$W823-$Z823)</f>
        <v>0</v>
      </c>
      <c r="Y823" s="127"/>
      <c r="Z823" s="127"/>
      <c r="AA823" s="132">
        <v>0.34</v>
      </c>
      <c r="AB823" s="132">
        <f>IF(AND($X823&gt;0,ISNUMBER($AA823)),$X823*$AA823,0)</f>
        <v>0</v>
      </c>
      <c r="AK823" s="39">
        <f>SUM(AL823:AR823)</f>
        <v>1</v>
      </c>
      <c r="AL823" s="128"/>
      <c r="AM823" s="38"/>
      <c r="AN823" s="38"/>
      <c r="AO823" s="38"/>
      <c r="AP823" s="97">
        <v>1</v>
      </c>
      <c r="AQ823" s="38"/>
      <c r="AR823" s="128"/>
      <c r="AS823" s="42">
        <f>SUM(AT823:AZ823)</f>
        <v>1</v>
      </c>
      <c r="AT823" s="48"/>
      <c r="AU823" s="48"/>
      <c r="AV823" s="48"/>
      <c r="AW823" s="48"/>
      <c r="AX823" s="48">
        <v>1</v>
      </c>
      <c r="AY823" s="48"/>
      <c r="AZ823" s="48"/>
      <c r="BA823" s="43">
        <f>IF((W823-SUM(AT823:AZ823))&lt;0,0,W823-SUM(AT823:AZ823))</f>
        <v>0</v>
      </c>
      <c r="BB823" s="125"/>
      <c r="BC823" s="47"/>
      <c r="BD823" s="47"/>
    </row>
    <row r="824" spans="1:56" ht="15" customHeight="1">
      <c r="A824" s="125" t="s">
        <v>3553</v>
      </c>
      <c r="B824" s="127" t="s">
        <v>127</v>
      </c>
      <c r="C824" s="46" t="s">
        <v>65</v>
      </c>
      <c r="D824" s="125" t="s">
        <v>76</v>
      </c>
      <c r="E824" s="125"/>
      <c r="F824" s="127">
        <v>1</v>
      </c>
      <c r="G824" s="75" t="s">
        <v>3554</v>
      </c>
      <c r="H824" s="131" t="s">
        <v>78</v>
      </c>
      <c r="I824" s="131" t="s">
        <v>518</v>
      </c>
      <c r="J824" s="131" t="s">
        <v>3555</v>
      </c>
      <c r="K824" s="131"/>
      <c r="L824" s="46"/>
      <c r="M824" s="46"/>
      <c r="N824" s="46"/>
      <c r="O824" s="46"/>
      <c r="P824" s="46"/>
      <c r="Q824" s="46"/>
      <c r="R824" s="46"/>
      <c r="S824" s="46"/>
      <c r="T824" s="46"/>
      <c r="U824" s="46"/>
      <c r="V824" s="131" t="s">
        <v>200</v>
      </c>
      <c r="W824" s="74">
        <v>1</v>
      </c>
      <c r="X824" s="127">
        <f>MAX(0,$AK824-$W824-$Z824)</f>
        <v>0</v>
      </c>
      <c r="Y824" s="127"/>
      <c r="Z824" s="127"/>
      <c r="AA824" s="132">
        <v>1.38</v>
      </c>
      <c r="AB824" s="132">
        <f>IF(AND($X824&gt;0,ISNUMBER($AA824)),$X824*$AA824,0)</f>
        <v>0</v>
      </c>
      <c r="AK824" s="39">
        <f>SUM(AL824:AR824)</f>
        <v>1</v>
      </c>
      <c r="AL824" s="139">
        <v>1</v>
      </c>
      <c r="AM824" s="38"/>
      <c r="AN824" s="38"/>
      <c r="AO824" s="38"/>
      <c r="AP824" s="38"/>
      <c r="AQ824" s="38"/>
      <c r="AR824" s="128"/>
      <c r="AS824" s="42">
        <f>SUM(AT824:AZ824)</f>
        <v>1</v>
      </c>
      <c r="AT824" s="48">
        <v>1</v>
      </c>
      <c r="AU824" s="48"/>
      <c r="AV824" s="48"/>
      <c r="AW824" s="48"/>
      <c r="AX824" s="48"/>
      <c r="AY824" s="48"/>
      <c r="AZ824" s="48"/>
      <c r="BA824" s="43">
        <f>IF((W824-SUM(AT824:AZ824))&lt;0,0,W824-SUM(AT824:AZ824))</f>
        <v>0</v>
      </c>
      <c r="BB824" s="125"/>
      <c r="BC824" s="47"/>
      <c r="BD824" s="47"/>
    </row>
    <row r="825" spans="1:56" ht="15" customHeight="1">
      <c r="A825" s="125" t="s">
        <v>3556</v>
      </c>
      <c r="B825" s="127" t="s">
        <v>127</v>
      </c>
      <c r="C825" s="46" t="s">
        <v>65</v>
      </c>
      <c r="D825" s="125" t="s">
        <v>84</v>
      </c>
      <c r="E825" s="125" t="s">
        <v>128</v>
      </c>
      <c r="F825" s="127">
        <v>1</v>
      </c>
      <c r="G825" s="75" t="s">
        <v>3557</v>
      </c>
      <c r="H825" s="131" t="s">
        <v>238</v>
      </c>
      <c r="I825" s="131" t="s">
        <v>853</v>
      </c>
      <c r="J825" s="131" t="s">
        <v>3558</v>
      </c>
      <c r="K825" s="131"/>
      <c r="L825" s="47"/>
      <c r="M825" s="47"/>
      <c r="N825" s="47"/>
      <c r="O825" s="47"/>
      <c r="P825" s="47"/>
      <c r="Q825" s="47"/>
      <c r="R825" s="47"/>
      <c r="S825" s="47"/>
      <c r="T825" s="47"/>
      <c r="U825" s="47"/>
      <c r="V825" s="131" t="s">
        <v>175</v>
      </c>
      <c r="W825" s="74">
        <v>0</v>
      </c>
      <c r="X825" s="127">
        <f>MAX(0,$AK825-$W825-$Z825)</f>
        <v>0</v>
      </c>
      <c r="Y825" s="127"/>
      <c r="Z825" s="127"/>
      <c r="AA825" s="132">
        <v>0.67</v>
      </c>
      <c r="AB825" s="132">
        <f>IF(AND($X825&gt;0,ISNUMBER($AA825)),$X825*$AA825,0)</f>
        <v>0</v>
      </c>
      <c r="AC825" s="59"/>
      <c r="AD825" s="59"/>
      <c r="AE825" s="59"/>
      <c r="AF825" s="59"/>
      <c r="AG825" s="59"/>
      <c r="AH825" s="59"/>
      <c r="AI825" s="59"/>
      <c r="AJ825" s="59"/>
      <c r="AK825" s="39">
        <f>SUM(AL825:AR825)</f>
        <v>0</v>
      </c>
      <c r="AL825" s="127"/>
      <c r="AM825" s="43"/>
      <c r="AN825" s="43"/>
      <c r="AO825" s="43"/>
      <c r="AP825" s="43"/>
      <c r="AQ825" s="43"/>
      <c r="AR825" s="127"/>
      <c r="AS825" s="42">
        <f>SUM(AT825:AZ825)</f>
        <v>0</v>
      </c>
      <c r="AT825" s="48"/>
      <c r="AU825" s="48"/>
      <c r="AV825" s="48"/>
      <c r="AW825" s="48"/>
      <c r="AX825" s="48"/>
      <c r="AY825" s="48"/>
      <c r="AZ825" s="48"/>
      <c r="BA825" s="43">
        <f>IF((W825-SUM(AT825:AZ825))&lt;0,0,W825-SUM(AT825:AZ825))</f>
        <v>0</v>
      </c>
      <c r="BB825" s="125"/>
      <c r="BC825" s="47"/>
      <c r="BD825" s="47"/>
    </row>
    <row r="826" spans="1:56" ht="15" customHeight="1">
      <c r="A826" s="125" t="s">
        <v>3559</v>
      </c>
      <c r="B826" s="127" t="s">
        <v>127</v>
      </c>
      <c r="C826" s="46" t="s">
        <v>65</v>
      </c>
      <c r="D826" s="125" t="s">
        <v>256</v>
      </c>
      <c r="E826" s="125"/>
      <c r="F826" s="127">
        <v>5</v>
      </c>
      <c r="G826" s="75" t="s">
        <v>3560</v>
      </c>
      <c r="H826" s="131" t="s">
        <v>115</v>
      </c>
      <c r="I826" s="131" t="s">
        <v>3561</v>
      </c>
      <c r="J826" s="131" t="s">
        <v>3562</v>
      </c>
      <c r="K826" s="131"/>
      <c r="L826" s="46"/>
      <c r="M826" s="46"/>
      <c r="N826" s="46"/>
      <c r="O826" s="46"/>
      <c r="P826" s="46"/>
      <c r="Q826" s="46"/>
      <c r="R826" s="46"/>
      <c r="S826" s="46"/>
      <c r="T826" s="46"/>
      <c r="U826" s="46"/>
      <c r="V826" s="131" t="s">
        <v>223</v>
      </c>
      <c r="W826" s="74">
        <v>1</v>
      </c>
      <c r="X826" s="127">
        <f>MAX(0,$AK826-$W826-$Z826)</f>
        <v>0</v>
      </c>
      <c r="Y826" s="127"/>
      <c r="Z826" s="127"/>
      <c r="AA826" s="132">
        <v>0.22</v>
      </c>
      <c r="AB826" s="132">
        <f>IF(AND($X826&gt;0,ISNUMBER($AA826)),$X826*$AA826,0)</f>
        <v>0</v>
      </c>
      <c r="AC826" s="63"/>
      <c r="AK826" s="39">
        <f>SUM(AL826:AR826)</f>
        <v>1</v>
      </c>
      <c r="AL826" s="139">
        <v>1</v>
      </c>
      <c r="AM826" s="38"/>
      <c r="AN826" s="38"/>
      <c r="AO826" s="38"/>
      <c r="AP826" s="38"/>
      <c r="AQ826" s="38"/>
      <c r="AR826" s="128"/>
      <c r="AS826" s="42">
        <f>SUM(AT826:AZ826)</f>
        <v>1</v>
      </c>
      <c r="AT826" s="48">
        <v>1</v>
      </c>
      <c r="AU826" s="48"/>
      <c r="AV826" s="48"/>
      <c r="AW826" s="48"/>
      <c r="AX826" s="48"/>
      <c r="AY826" s="48"/>
      <c r="AZ826" s="48"/>
      <c r="BA826" s="43">
        <f>IF((W826-SUM(AT826:AZ826))&lt;0,0,W826-SUM(AT826:AZ826))</f>
        <v>0</v>
      </c>
      <c r="BB826" s="125"/>
      <c r="BC826" s="47"/>
      <c r="BD826" s="47"/>
    </row>
    <row r="827" spans="1:56" ht="15" customHeight="1">
      <c r="A827" s="125" t="s">
        <v>472</v>
      </c>
      <c r="B827" s="127" t="s">
        <v>127</v>
      </c>
      <c r="C827" s="46" t="s">
        <v>65</v>
      </c>
      <c r="D827" s="125" t="s">
        <v>134</v>
      </c>
      <c r="E827" s="125"/>
      <c r="F827" s="127">
        <v>5</v>
      </c>
      <c r="G827" s="75" t="s">
        <v>473</v>
      </c>
      <c r="H827" s="131" t="s">
        <v>474</v>
      </c>
      <c r="I827" s="131" t="s">
        <v>475</v>
      </c>
      <c r="J827" s="131" t="s">
        <v>476</v>
      </c>
      <c r="K827" s="131"/>
      <c r="L827" s="47"/>
      <c r="M827" s="47"/>
      <c r="N827" s="47"/>
      <c r="O827" s="47"/>
      <c r="P827" s="47"/>
      <c r="Q827" s="47"/>
      <c r="R827" s="47"/>
      <c r="S827" s="47"/>
      <c r="T827" s="47"/>
      <c r="U827" s="47"/>
      <c r="V827" s="131" t="s">
        <v>432</v>
      </c>
      <c r="W827" s="74">
        <v>1</v>
      </c>
      <c r="X827" s="127">
        <f>MAX(0,$AK827-$W827-$Z827)</f>
        <v>0</v>
      </c>
      <c r="Y827" s="127"/>
      <c r="Z827" s="127"/>
      <c r="AA827" s="132">
        <v>0.22</v>
      </c>
      <c r="AB827" s="132">
        <f>IF(AND($X827&gt;0,ISNUMBER($AA827)),$X827*$AA827,0)</f>
        <v>0</v>
      </c>
      <c r="AG827" s="63" t="s">
        <v>477</v>
      </c>
      <c r="AK827" s="39">
        <f>SUM(AL827:AR827)</f>
        <v>1</v>
      </c>
      <c r="AL827" s="128"/>
      <c r="AM827" s="38"/>
      <c r="AN827" s="38"/>
      <c r="AO827" s="38"/>
      <c r="AP827" s="99">
        <v>1</v>
      </c>
      <c r="AQ827" s="38"/>
      <c r="AR827" s="128"/>
      <c r="AS827" s="42">
        <f>SUM(AT827:AZ827)</f>
        <v>1</v>
      </c>
      <c r="AT827" s="48"/>
      <c r="AU827" s="48"/>
      <c r="AV827" s="48"/>
      <c r="AW827" s="48"/>
      <c r="AX827" s="48">
        <v>1</v>
      </c>
      <c r="AY827" s="48"/>
      <c r="AZ827" s="48"/>
      <c r="BA827" s="43">
        <f>IF((W827-SUM(AT827:AZ827))&lt;0,0,W827-SUM(AT827:AZ827))</f>
        <v>0</v>
      </c>
      <c r="BB827" s="125"/>
      <c r="BC827" s="47"/>
      <c r="BD827" s="47"/>
    </row>
    <row r="828" spans="1:56" ht="15" customHeight="1">
      <c r="A828" s="125" t="s">
        <v>3563</v>
      </c>
      <c r="B828" s="127" t="s">
        <v>127</v>
      </c>
      <c r="C828" s="46" t="s">
        <v>65</v>
      </c>
      <c r="D828" s="125" t="s">
        <v>84</v>
      </c>
      <c r="E828" s="125" t="s">
        <v>1273</v>
      </c>
      <c r="F828" s="127">
        <v>6</v>
      </c>
      <c r="G828" s="75" t="s">
        <v>3564</v>
      </c>
      <c r="H828" s="131" t="s">
        <v>78</v>
      </c>
      <c r="I828" s="131" t="s">
        <v>3565</v>
      </c>
      <c r="J828" s="131" t="s">
        <v>181</v>
      </c>
      <c r="K828" s="131" t="s">
        <v>3566</v>
      </c>
      <c r="L828" s="47"/>
      <c r="M828" s="47"/>
      <c r="N828" s="47"/>
      <c r="O828" s="68"/>
      <c r="P828" s="68"/>
      <c r="Q828" s="47"/>
      <c r="R828" s="47"/>
      <c r="S828" s="47"/>
      <c r="T828" s="68"/>
      <c r="U828" s="68"/>
      <c r="V828" s="131" t="s">
        <v>1216</v>
      </c>
      <c r="W828" s="74">
        <v>1</v>
      </c>
      <c r="X828" s="127">
        <f>MAX(0,$AK828-$W828-$Z828)</f>
        <v>0</v>
      </c>
      <c r="Y828" s="127"/>
      <c r="Z828" s="127"/>
      <c r="AA828" s="132">
        <v>0.26</v>
      </c>
      <c r="AB828" s="132">
        <f>IF(AND($X828&gt;0,ISNUMBER($AA828)),$X828*$AA828,0)</f>
        <v>0</v>
      </c>
      <c r="AK828" s="39">
        <f>SUM(AL828:AR828)</f>
        <v>1</v>
      </c>
      <c r="AL828" s="128"/>
      <c r="AM828" s="38"/>
      <c r="AN828" s="97">
        <v>1</v>
      </c>
      <c r="AO828" s="38"/>
      <c r="AP828" s="38"/>
      <c r="AQ828" s="38"/>
      <c r="AR828" s="128"/>
      <c r="AS828" s="42">
        <f>SUM(AT828:AZ828)</f>
        <v>1</v>
      </c>
      <c r="AT828" s="48"/>
      <c r="AU828" s="48"/>
      <c r="AV828" s="48">
        <v>1</v>
      </c>
      <c r="AW828" s="48"/>
      <c r="AX828" s="48"/>
      <c r="AY828" s="48"/>
      <c r="AZ828" s="48"/>
      <c r="BA828" s="43">
        <f>IF((W828-SUM(AT828:AZ828))&lt;0,0,W828-SUM(AT828:AZ828))</f>
        <v>0</v>
      </c>
      <c r="BB828" s="125"/>
      <c r="BC828" s="47"/>
      <c r="BD828" s="47"/>
    </row>
    <row r="829" spans="1:56" ht="15" customHeight="1">
      <c r="A829" s="125" t="s">
        <v>478</v>
      </c>
      <c r="B829" s="127" t="s">
        <v>127</v>
      </c>
      <c r="C829" s="46" t="s">
        <v>65</v>
      </c>
      <c r="D829" s="125" t="s">
        <v>76</v>
      </c>
      <c r="E829" s="125"/>
      <c r="F829" s="127">
        <v>2</v>
      </c>
      <c r="G829" s="75" t="s">
        <v>479</v>
      </c>
      <c r="H829" s="131" t="s">
        <v>153</v>
      </c>
      <c r="I829" s="131" t="s">
        <v>480</v>
      </c>
      <c r="J829" s="131"/>
      <c r="K829" s="131"/>
      <c r="L829" s="47"/>
      <c r="M829" s="47"/>
      <c r="N829" s="47"/>
      <c r="O829" s="47"/>
      <c r="P829" s="47"/>
      <c r="Q829" s="47"/>
      <c r="R829" s="47"/>
      <c r="S829" s="47"/>
      <c r="T829" s="47"/>
      <c r="U829" s="47"/>
      <c r="V829" s="131" t="s">
        <v>481</v>
      </c>
      <c r="W829" s="74">
        <v>1</v>
      </c>
      <c r="X829" s="127">
        <f>MAX(0,$AK829-$W829-$Z829)</f>
        <v>0</v>
      </c>
      <c r="Y829" s="127"/>
      <c r="Z829" s="127"/>
      <c r="AA829" s="132">
        <v>0.28000000000000003</v>
      </c>
      <c r="AB829" s="132">
        <f>IF(AND($X829&gt;0,ISNUMBER($AA829)),$X829*$AA829,0)</f>
        <v>0</v>
      </c>
      <c r="AG829" s="63"/>
      <c r="AK829" s="39">
        <f>SUM(AL829:AR829)</f>
        <v>1</v>
      </c>
      <c r="AL829" s="128"/>
      <c r="AM829" s="38"/>
      <c r="AN829" s="38"/>
      <c r="AO829" s="38"/>
      <c r="AP829" s="97">
        <v>1</v>
      </c>
      <c r="AQ829" s="38"/>
      <c r="AR829" s="128"/>
      <c r="AS829" s="42">
        <f>SUM(AT829:AZ829)</f>
        <v>1</v>
      </c>
      <c r="AT829" s="48"/>
      <c r="AU829" s="48"/>
      <c r="AV829" s="48"/>
      <c r="AW829" s="48"/>
      <c r="AX829" s="48">
        <v>1</v>
      </c>
      <c r="AY829" s="48"/>
      <c r="AZ829" s="48"/>
      <c r="BA829" s="43">
        <f>IF((W829-SUM(AT829:AZ829))&lt;0,0,W829-SUM(AT829:AZ829))</f>
        <v>0</v>
      </c>
      <c r="BB829" s="125"/>
      <c r="BC829" s="47"/>
      <c r="BD829" s="47"/>
    </row>
    <row r="830" spans="1:56" ht="15" customHeight="1">
      <c r="A830" s="125" t="s">
        <v>3567</v>
      </c>
      <c r="B830" s="127" t="s">
        <v>127</v>
      </c>
      <c r="C830" s="46" t="s">
        <v>65</v>
      </c>
      <c r="D830" s="125" t="s">
        <v>76</v>
      </c>
      <c r="E830" s="125"/>
      <c r="F830" s="127">
        <v>2</v>
      </c>
      <c r="G830" s="75" t="s">
        <v>3568</v>
      </c>
      <c r="H830" s="131" t="s">
        <v>115</v>
      </c>
      <c r="I830" s="131" t="s">
        <v>3569</v>
      </c>
      <c r="J830" s="131"/>
      <c r="K830" s="131"/>
      <c r="L830" s="47"/>
      <c r="M830" s="47"/>
      <c r="N830" s="47"/>
      <c r="O830" s="47"/>
      <c r="P830" s="47"/>
      <c r="Q830" s="47"/>
      <c r="R830" s="47"/>
      <c r="S830" s="47"/>
      <c r="T830" s="47"/>
      <c r="U830" s="47"/>
      <c r="V830" s="131" t="s">
        <v>1585</v>
      </c>
      <c r="W830" s="74">
        <v>1</v>
      </c>
      <c r="X830" s="127">
        <f>MAX(0,$AK830-$W830-$Z830)</f>
        <v>0</v>
      </c>
      <c r="Y830" s="127"/>
      <c r="Z830" s="127"/>
      <c r="AA830" s="132">
        <v>0.33</v>
      </c>
      <c r="AB830" s="132">
        <f>IF(AND($X830&gt;0,ISNUMBER($AA830)),$X830*$AA830,0)</f>
        <v>0</v>
      </c>
      <c r="AK830" s="39">
        <f>SUM(AL830:AR830)</f>
        <v>0</v>
      </c>
      <c r="AL830" s="128"/>
      <c r="AM830" s="38"/>
      <c r="AN830" s="38"/>
      <c r="AO830" s="38"/>
      <c r="AP830" s="38"/>
      <c r="AQ830" s="38"/>
      <c r="AR830" s="128"/>
      <c r="AS830" s="42">
        <f>SUM(AT830:AZ830)</f>
        <v>0</v>
      </c>
      <c r="AT830" s="48"/>
      <c r="AU830" s="48"/>
      <c r="AV830" s="48"/>
      <c r="AW830" s="48"/>
      <c r="AX830" s="48"/>
      <c r="AY830" s="48"/>
      <c r="AZ830" s="48"/>
      <c r="BA830" s="43">
        <f>IF((W830-SUM(AT830:AZ830))&lt;0,0,W830-SUM(AT830:AZ830))</f>
        <v>1</v>
      </c>
      <c r="BB830" s="125"/>
      <c r="BC830" s="47"/>
      <c r="BD830" s="47"/>
    </row>
    <row r="831" spans="1:56" ht="15" customHeight="1">
      <c r="A831" s="130" t="s">
        <v>3570</v>
      </c>
      <c r="B831" s="128" t="s">
        <v>127</v>
      </c>
      <c r="C831" s="38" t="s">
        <v>65</v>
      </c>
      <c r="D831" s="130" t="s">
        <v>84</v>
      </c>
      <c r="E831" s="130" t="s">
        <v>3571</v>
      </c>
      <c r="F831" s="130">
        <v>3</v>
      </c>
      <c r="G831" s="75" t="s">
        <v>3572</v>
      </c>
      <c r="H831" s="130" t="s">
        <v>238</v>
      </c>
      <c r="I831" s="130" t="s">
        <v>3573</v>
      </c>
      <c r="J831" s="130" t="s">
        <v>3574</v>
      </c>
      <c r="K831" s="130"/>
      <c r="L831" s="37"/>
      <c r="M831" s="37"/>
      <c r="N831" s="37"/>
      <c r="O831" s="68"/>
      <c r="P831" s="68"/>
      <c r="Q831" s="37"/>
      <c r="R831" s="37"/>
      <c r="S831" s="37"/>
      <c r="T831" s="68"/>
      <c r="U831" s="68"/>
      <c r="V831" s="130" t="s">
        <v>223</v>
      </c>
      <c r="W831" s="74">
        <v>1</v>
      </c>
      <c r="X831" s="127">
        <f>MAX(0,$AK831-$W831-$Z831)</f>
        <v>0</v>
      </c>
      <c r="Y831" s="130"/>
      <c r="Z831" s="130"/>
      <c r="AA831" s="130">
        <v>0.03</v>
      </c>
      <c r="AB831" s="132">
        <f>IF(AND($X831&gt;0,ISNUMBER($AA831)),$X831*$AA831,0)</f>
        <v>0</v>
      </c>
      <c r="AK831" s="39">
        <f>SUM(AL831:AR831)</f>
        <v>0</v>
      </c>
      <c r="AL831" s="128"/>
      <c r="AM831" s="38"/>
      <c r="AN831" s="38"/>
      <c r="AO831" s="38"/>
      <c r="AP831" s="38"/>
      <c r="AQ831" s="38"/>
      <c r="AR831" s="128"/>
      <c r="AS831" s="42">
        <f>SUM(AT831:AZ831)</f>
        <v>0</v>
      </c>
      <c r="AT831" s="48"/>
      <c r="AU831" s="48"/>
      <c r="AV831" s="48"/>
      <c r="AW831" s="48"/>
      <c r="AX831" s="48"/>
      <c r="AY831" s="48"/>
      <c r="AZ831" s="48"/>
      <c r="BA831" s="43">
        <f>IF((W831-SUM(AT831:AZ831))&lt;0,0,W831-SUM(AT831:AZ831))</f>
        <v>1</v>
      </c>
      <c r="BB831" s="130"/>
      <c r="BC831" s="37"/>
      <c r="BD831" s="37"/>
    </row>
    <row r="832" spans="1:56" ht="15" customHeight="1">
      <c r="A832" s="125" t="s">
        <v>3575</v>
      </c>
      <c r="B832" s="127" t="s">
        <v>127</v>
      </c>
      <c r="C832" s="46" t="s">
        <v>83</v>
      </c>
      <c r="D832" s="125" t="s">
        <v>76</v>
      </c>
      <c r="E832" s="125"/>
      <c r="F832" s="127">
        <v>4</v>
      </c>
      <c r="G832" s="75" t="s">
        <v>3576</v>
      </c>
      <c r="H832" s="131" t="s">
        <v>564</v>
      </c>
      <c r="I832" s="131" t="s">
        <v>3576</v>
      </c>
      <c r="J832" s="131"/>
      <c r="K832" s="131"/>
      <c r="L832" s="46"/>
      <c r="M832" s="46"/>
      <c r="N832" s="46"/>
      <c r="O832" s="46"/>
      <c r="P832" s="46"/>
      <c r="Q832" s="46"/>
      <c r="R832" s="46"/>
      <c r="S832" s="46"/>
      <c r="T832" s="46"/>
      <c r="U832" s="46"/>
      <c r="V832" s="131" t="s">
        <v>3380</v>
      </c>
      <c r="W832" s="74">
        <v>0</v>
      </c>
      <c r="X832" s="127">
        <f>MAX(0,$AK832-$W832-$Z832)</f>
        <v>0</v>
      </c>
      <c r="Y832" s="127"/>
      <c r="Z832" s="127"/>
      <c r="AA832" s="132">
        <v>0.55000000000000004</v>
      </c>
      <c r="AB832" s="132">
        <f>IF(AND($X832&gt;0,ISNUMBER($AA832)),$X832*$AA832,0)</f>
        <v>0</v>
      </c>
      <c r="AC832" s="59"/>
      <c r="AD832" s="59"/>
      <c r="AE832" s="59"/>
      <c r="AF832" s="59"/>
      <c r="AG832" s="59"/>
      <c r="AH832" s="59"/>
      <c r="AI832" s="59"/>
      <c r="AJ832" s="59"/>
      <c r="AK832" s="39">
        <f>SUM(AL832:AR832)</f>
        <v>0</v>
      </c>
      <c r="AL832" s="127"/>
      <c r="AM832" s="43"/>
      <c r="AN832" s="43"/>
      <c r="AO832" s="43"/>
      <c r="AP832" s="43"/>
      <c r="AQ832" s="43"/>
      <c r="AR832" s="127"/>
      <c r="AS832" s="42">
        <f>SUM(AT832:AZ832)</f>
        <v>0</v>
      </c>
      <c r="AT832" s="48"/>
      <c r="AU832" s="48"/>
      <c r="AV832" s="48"/>
      <c r="AW832" s="48"/>
      <c r="AX832" s="48"/>
      <c r="AY832" s="48"/>
      <c r="AZ832" s="48"/>
      <c r="BA832" s="43">
        <f>IF((W832-SUM(AT832:AZ832))&lt;0,0,W832-SUM(AT832:AZ832))</f>
        <v>0</v>
      </c>
      <c r="BB832" s="125"/>
      <c r="BC832" s="47"/>
      <c r="BD832" s="53"/>
    </row>
    <row r="833" spans="1:56" ht="15" customHeight="1">
      <c r="A833" s="125" t="s">
        <v>3577</v>
      </c>
      <c r="B833" s="127" t="s">
        <v>127</v>
      </c>
      <c r="C833" s="46" t="s">
        <v>65</v>
      </c>
      <c r="D833" s="125" t="s">
        <v>84</v>
      </c>
      <c r="E833" s="125" t="s">
        <v>1261</v>
      </c>
      <c r="F833" s="127">
        <v>3</v>
      </c>
      <c r="G833" s="75" t="s">
        <v>3578</v>
      </c>
      <c r="H833" s="131" t="s">
        <v>679</v>
      </c>
      <c r="I833" s="131" t="s">
        <v>2296</v>
      </c>
      <c r="J833" s="131" t="s">
        <v>3579</v>
      </c>
      <c r="K833" s="131"/>
      <c r="L833" s="47"/>
      <c r="M833" s="47"/>
      <c r="N833" s="47"/>
      <c r="O833" s="68"/>
      <c r="P833" s="68"/>
      <c r="Q833" s="47"/>
      <c r="R833" s="47"/>
      <c r="S833" s="47"/>
      <c r="T833" s="68"/>
      <c r="U833" s="68"/>
      <c r="V833" s="131" t="s">
        <v>119</v>
      </c>
      <c r="W833" s="74">
        <v>1</v>
      </c>
      <c r="X833" s="127">
        <f>MAX(0,$AK833-$W833-$Z833)</f>
        <v>0</v>
      </c>
      <c r="Y833" s="127"/>
      <c r="Z833" s="127"/>
      <c r="AA833" s="132">
        <v>0.08</v>
      </c>
      <c r="AB833" s="132">
        <f>IF(AND($X833&gt;0,ISNUMBER($AA833)),$X833*$AA833,0)</f>
        <v>0</v>
      </c>
      <c r="AK833" s="39">
        <f>SUM(AL833:AR833)</f>
        <v>0</v>
      </c>
      <c r="AL833" s="128"/>
      <c r="AM833" s="38"/>
      <c r="AN833" s="38"/>
      <c r="AO833" s="38"/>
      <c r="AP833" s="38"/>
      <c r="AQ833" s="38"/>
      <c r="AR833" s="128"/>
      <c r="AS833" s="42">
        <f>SUM(AT833:AZ833)</f>
        <v>0</v>
      </c>
      <c r="AT833" s="48"/>
      <c r="AU833" s="48"/>
      <c r="AV833" s="48"/>
      <c r="AW833" s="48"/>
      <c r="AX833" s="48"/>
      <c r="AY833" s="48"/>
      <c r="AZ833" s="48"/>
      <c r="BA833" s="43">
        <f>IF((W833-SUM(AT833:AZ833))&lt;0,0,W833-SUM(AT833:AZ833))</f>
        <v>1</v>
      </c>
      <c r="BB833" s="125"/>
      <c r="BC833" s="47"/>
      <c r="BD833" s="47"/>
    </row>
    <row r="834" spans="1:56" ht="15" customHeight="1">
      <c r="A834" s="125" t="s">
        <v>3580</v>
      </c>
      <c r="B834" s="127" t="s">
        <v>127</v>
      </c>
      <c r="C834" s="46" t="s">
        <v>65</v>
      </c>
      <c r="D834" s="125" t="s">
        <v>84</v>
      </c>
      <c r="E834" s="125" t="s">
        <v>2409</v>
      </c>
      <c r="F834" s="127">
        <v>2</v>
      </c>
      <c r="G834" s="75" t="s">
        <v>3581</v>
      </c>
      <c r="H834" s="131" t="s">
        <v>564</v>
      </c>
      <c r="I834" s="131" t="s">
        <v>181</v>
      </c>
      <c r="J834" s="131" t="s">
        <v>3582</v>
      </c>
      <c r="K834" s="131"/>
      <c r="L834" s="46"/>
      <c r="M834" s="46"/>
      <c r="N834" s="46"/>
      <c r="O834" s="68"/>
      <c r="P834" s="68"/>
      <c r="Q834" s="46"/>
      <c r="R834" s="46"/>
      <c r="S834" s="46"/>
      <c r="T834" s="68"/>
      <c r="U834" s="68"/>
      <c r="V834" s="131" t="s">
        <v>1955</v>
      </c>
      <c r="W834" s="74">
        <v>1</v>
      </c>
      <c r="X834" s="127">
        <f>MAX(0,$AK834-$W834-$Z834)</f>
        <v>0</v>
      </c>
      <c r="Y834" s="127"/>
      <c r="Z834" s="127"/>
      <c r="AA834" s="132">
        <v>0.28999999999999998</v>
      </c>
      <c r="AB834" s="132">
        <f>IF(AND($X834&gt;0,ISNUMBER($AA834)),$X834*$AA834,0)</f>
        <v>0</v>
      </c>
      <c r="AK834" s="39">
        <f>SUM(AL834:AR834)</f>
        <v>1</v>
      </c>
      <c r="AL834" s="139">
        <v>1</v>
      </c>
      <c r="AM834" s="38"/>
      <c r="AN834" s="38"/>
      <c r="AO834" s="38"/>
      <c r="AP834" s="38"/>
      <c r="AQ834" s="38"/>
      <c r="AR834" s="128"/>
      <c r="AS834" s="42">
        <f>SUM(AT834:AZ834)</f>
        <v>1</v>
      </c>
      <c r="AT834" s="48">
        <v>1</v>
      </c>
      <c r="AU834" s="48"/>
      <c r="AV834" s="48"/>
      <c r="AW834" s="48"/>
      <c r="AX834" s="48"/>
      <c r="AY834" s="48"/>
      <c r="AZ834" s="48"/>
      <c r="BA834" s="43">
        <f>IF((W834-SUM(AT834:AZ834))&lt;0,0,W834-SUM(AT834:AZ834))</f>
        <v>0</v>
      </c>
      <c r="BB834" s="125"/>
      <c r="BC834" s="47"/>
      <c r="BD834" s="47"/>
    </row>
    <row r="835" spans="1:56" ht="15" customHeight="1">
      <c r="A835" s="125" t="s">
        <v>3583</v>
      </c>
      <c r="B835" s="127" t="s">
        <v>127</v>
      </c>
      <c r="C835" s="46" t="s">
        <v>65</v>
      </c>
      <c r="D835" s="125" t="s">
        <v>76</v>
      </c>
      <c r="E835" s="125"/>
      <c r="F835" s="127">
        <v>2</v>
      </c>
      <c r="G835" s="75" t="s">
        <v>3584</v>
      </c>
      <c r="H835" s="131" t="s">
        <v>78</v>
      </c>
      <c r="I835" s="131" t="s">
        <v>3585</v>
      </c>
      <c r="J835" s="131"/>
      <c r="K835" s="131"/>
      <c r="L835" s="47"/>
      <c r="M835" s="47"/>
      <c r="N835" s="47"/>
      <c r="O835" s="47"/>
      <c r="P835" s="47"/>
      <c r="Q835" s="47"/>
      <c r="R835" s="47"/>
      <c r="S835" s="47"/>
      <c r="T835" s="47"/>
      <c r="U835" s="47"/>
      <c r="V835" s="131" t="s">
        <v>1060</v>
      </c>
      <c r="W835" s="74">
        <v>1</v>
      </c>
      <c r="X835" s="127">
        <f>MAX(0,$AK835-$W835-$Z835)</f>
        <v>0</v>
      </c>
      <c r="Y835" s="127"/>
      <c r="Z835" s="127"/>
      <c r="AA835" s="132">
        <v>0.15</v>
      </c>
      <c r="AB835" s="132">
        <f>IF(AND($X835&gt;0,ISNUMBER($AA835)),$X835*$AA835,0)</f>
        <v>0</v>
      </c>
      <c r="AK835" s="39">
        <f>SUM(AL835:AR835)</f>
        <v>1</v>
      </c>
      <c r="AL835" s="128"/>
      <c r="AM835" s="38"/>
      <c r="AN835" s="97">
        <v>1</v>
      </c>
      <c r="AO835" s="38"/>
      <c r="AP835" s="38"/>
      <c r="AQ835" s="38"/>
      <c r="AR835" s="128"/>
      <c r="AS835" s="42">
        <f>SUM(AT835:AZ835)</f>
        <v>1</v>
      </c>
      <c r="AT835" s="48"/>
      <c r="AU835" s="48"/>
      <c r="AV835" s="48">
        <v>1</v>
      </c>
      <c r="AW835" s="48"/>
      <c r="AX835" s="48"/>
      <c r="AY835" s="48"/>
      <c r="AZ835" s="48"/>
      <c r="BA835" s="43">
        <f>IF((W835-SUM(AT835:AZ835))&lt;0,0,W835-SUM(AT835:AZ835))</f>
        <v>0</v>
      </c>
      <c r="BB835" s="125"/>
      <c r="BC835" s="47"/>
      <c r="BD835" s="47"/>
    </row>
    <row r="836" spans="1:56" ht="15" customHeight="1">
      <c r="A836" s="125" t="s">
        <v>482</v>
      </c>
      <c r="B836" s="127" t="s">
        <v>127</v>
      </c>
      <c r="C836" s="46" t="s">
        <v>83</v>
      </c>
      <c r="D836" s="125" t="s">
        <v>84</v>
      </c>
      <c r="E836" s="125" t="s">
        <v>483</v>
      </c>
      <c r="F836" s="127">
        <v>6</v>
      </c>
      <c r="G836" s="75" t="s">
        <v>484</v>
      </c>
      <c r="H836" s="131" t="s">
        <v>153</v>
      </c>
      <c r="I836" s="131" t="s">
        <v>485</v>
      </c>
      <c r="J836" s="131" t="s">
        <v>486</v>
      </c>
      <c r="K836" s="131"/>
      <c r="L836" s="47"/>
      <c r="M836" s="47"/>
      <c r="N836" s="47"/>
      <c r="O836" s="47"/>
      <c r="P836" s="47"/>
      <c r="Q836" s="47"/>
      <c r="R836" s="47"/>
      <c r="S836" s="47"/>
      <c r="T836" s="47"/>
      <c r="U836" s="47"/>
      <c r="V836" s="131" t="s">
        <v>363</v>
      </c>
      <c r="W836" s="74">
        <v>1</v>
      </c>
      <c r="X836" s="127">
        <f>MAX(0,$AK836-$W836-$Z836)</f>
        <v>0</v>
      </c>
      <c r="Y836" s="127"/>
      <c r="Z836" s="127"/>
      <c r="AA836" s="132">
        <v>0.84</v>
      </c>
      <c r="AB836" s="132">
        <f>IF(AND($X836&gt;0,ISNUMBER($AA836)),$X836*$AA836,0)</f>
        <v>0</v>
      </c>
      <c r="AK836" s="39">
        <f>SUM(AL836:AR836)</f>
        <v>1</v>
      </c>
      <c r="AL836" s="128"/>
      <c r="AM836" s="38"/>
      <c r="AN836" s="38"/>
      <c r="AO836" s="38"/>
      <c r="AP836" s="97">
        <v>1</v>
      </c>
      <c r="AQ836" s="38"/>
      <c r="AR836" s="128"/>
      <c r="AS836" s="42">
        <f>SUM(AT836:AZ836)</f>
        <v>1</v>
      </c>
      <c r="AT836" s="48"/>
      <c r="AU836" s="48"/>
      <c r="AV836" s="48"/>
      <c r="AW836" s="48"/>
      <c r="AX836" s="48">
        <v>1</v>
      </c>
      <c r="AY836" s="48"/>
      <c r="AZ836" s="48"/>
      <c r="BA836" s="43">
        <f>IF((W836-SUM(AT836:AZ836))&lt;0,0,W836-SUM(AT836:AZ836))</f>
        <v>0</v>
      </c>
      <c r="BB836" s="125"/>
      <c r="BC836" s="47"/>
      <c r="BD836" s="47"/>
    </row>
    <row r="837" spans="1:56" ht="15" customHeight="1">
      <c r="A837" s="125" t="s">
        <v>3586</v>
      </c>
      <c r="B837" s="127" t="s">
        <v>127</v>
      </c>
      <c r="C837" s="46" t="s">
        <v>65</v>
      </c>
      <c r="D837" s="125" t="s">
        <v>84</v>
      </c>
      <c r="E837" s="125" t="s">
        <v>483</v>
      </c>
      <c r="F837" s="127">
        <v>4</v>
      </c>
      <c r="G837" s="75" t="s">
        <v>3587</v>
      </c>
      <c r="H837" s="131" t="s">
        <v>1182</v>
      </c>
      <c r="I837" s="131" t="s">
        <v>1132</v>
      </c>
      <c r="J837" s="131" t="s">
        <v>164</v>
      </c>
      <c r="K837" s="131" t="s">
        <v>3588</v>
      </c>
      <c r="L837" s="47"/>
      <c r="M837" s="47"/>
      <c r="N837" s="47"/>
      <c r="O837" s="47"/>
      <c r="P837" s="47"/>
      <c r="Q837" s="47"/>
      <c r="R837" s="47"/>
      <c r="S837" s="47"/>
      <c r="T837" s="47"/>
      <c r="U837" s="47"/>
      <c r="V837" s="131" t="s">
        <v>558</v>
      </c>
      <c r="W837" s="74">
        <v>0</v>
      </c>
      <c r="X837" s="127">
        <f>MAX(0,$AK837-$W837-$Z837)</f>
        <v>0</v>
      </c>
      <c r="Y837" s="127"/>
      <c r="Z837" s="127"/>
      <c r="AA837" s="132">
        <v>0.33</v>
      </c>
      <c r="AB837" s="132">
        <f>IF(AND($X837&gt;0,ISNUMBER($AA837)),$X837*$AA837,0)</f>
        <v>0</v>
      </c>
      <c r="AC837" s="59"/>
      <c r="AD837" s="59"/>
      <c r="AE837" s="59"/>
      <c r="AF837" s="59"/>
      <c r="AG837" s="59"/>
      <c r="AH837" s="59"/>
      <c r="AI837" s="59"/>
      <c r="AJ837" s="59"/>
      <c r="AK837" s="39">
        <f>SUM(AL837:AR837)</f>
        <v>0</v>
      </c>
      <c r="AL837" s="127"/>
      <c r="AM837" s="43"/>
      <c r="AN837" s="43"/>
      <c r="AO837" s="43"/>
      <c r="AP837" s="43"/>
      <c r="AQ837" s="43"/>
      <c r="AR837" s="127"/>
      <c r="AS837" s="42">
        <f>SUM(AT837:AZ837)</f>
        <v>0</v>
      </c>
      <c r="AT837" s="48"/>
      <c r="AU837" s="48"/>
      <c r="AV837" s="48"/>
      <c r="AW837" s="48"/>
      <c r="AX837" s="48"/>
      <c r="AY837" s="48"/>
      <c r="AZ837" s="48"/>
      <c r="BA837" s="43">
        <f>IF((W837-SUM(AT837:AZ837))&lt;0,0,W837-SUM(AT837:AZ837))</f>
        <v>0</v>
      </c>
      <c r="BB837" s="125"/>
      <c r="BC837" s="47"/>
      <c r="BD837" s="53"/>
    </row>
    <row r="838" spans="1:56" ht="15" customHeight="1">
      <c r="A838" s="125" t="s">
        <v>3589</v>
      </c>
      <c r="B838" s="127" t="s">
        <v>127</v>
      </c>
      <c r="C838" s="46" t="s">
        <v>65</v>
      </c>
      <c r="D838" s="125" t="s">
        <v>76</v>
      </c>
      <c r="E838" s="125"/>
      <c r="F838" s="127">
        <v>4</v>
      </c>
      <c r="G838" s="75" t="s">
        <v>3590</v>
      </c>
      <c r="H838" s="131" t="s">
        <v>1268</v>
      </c>
      <c r="I838" s="131" t="s">
        <v>3591</v>
      </c>
      <c r="J838" s="131" t="s">
        <v>3592</v>
      </c>
      <c r="K838" s="131"/>
      <c r="L838" s="46"/>
      <c r="M838" s="46"/>
      <c r="N838" s="46"/>
      <c r="O838" s="46"/>
      <c r="P838" s="46"/>
      <c r="Q838" s="46"/>
      <c r="R838" s="46"/>
      <c r="S838" s="46"/>
      <c r="T838" s="46"/>
      <c r="U838" s="46"/>
      <c r="V838" s="131" t="s">
        <v>1069</v>
      </c>
      <c r="W838" s="74">
        <v>1</v>
      </c>
      <c r="X838" s="127">
        <f>MAX(0,$AK838-$W838-$Z838)</f>
        <v>0</v>
      </c>
      <c r="Y838" s="127"/>
      <c r="Z838" s="127"/>
      <c r="AA838" s="132">
        <v>0.3</v>
      </c>
      <c r="AB838" s="132">
        <f>IF(AND($X838&gt;0,ISNUMBER($AA838)),$X838*$AA838,0)</f>
        <v>0</v>
      </c>
      <c r="AK838" s="39">
        <f>SUM(AL838:AR838)</f>
        <v>1</v>
      </c>
      <c r="AL838" s="139">
        <v>1</v>
      </c>
      <c r="AM838" s="38"/>
      <c r="AN838" s="38"/>
      <c r="AO838" s="38"/>
      <c r="AP838" s="38"/>
      <c r="AQ838" s="38"/>
      <c r="AR838" s="128"/>
      <c r="AS838" s="42">
        <f>SUM(AT838:AZ838)</f>
        <v>1</v>
      </c>
      <c r="AT838" s="48">
        <v>1</v>
      </c>
      <c r="AU838" s="48"/>
      <c r="AV838" s="48"/>
      <c r="AW838" s="48"/>
      <c r="AX838" s="48"/>
      <c r="AY838" s="48"/>
      <c r="AZ838" s="48"/>
      <c r="BA838" s="43">
        <f>IF((W838-SUM(AT838:AZ838))&lt;0,0,W838-SUM(AT838:AZ838))</f>
        <v>0</v>
      </c>
      <c r="BB838" s="125"/>
      <c r="BC838" s="47"/>
      <c r="BD838" s="47"/>
    </row>
    <row r="839" spans="1:56" ht="15" customHeight="1">
      <c r="A839" s="125" t="s">
        <v>3593</v>
      </c>
      <c r="B839" s="127" t="s">
        <v>127</v>
      </c>
      <c r="C839" s="46" t="s">
        <v>65</v>
      </c>
      <c r="D839" s="125" t="s">
        <v>84</v>
      </c>
      <c r="E839" s="125" t="s">
        <v>3594</v>
      </c>
      <c r="F839" s="127">
        <v>4</v>
      </c>
      <c r="G839" s="75" t="s">
        <v>3595</v>
      </c>
      <c r="H839" s="131" t="s">
        <v>123</v>
      </c>
      <c r="I839" s="131" t="s">
        <v>3596</v>
      </c>
      <c r="J839" s="131" t="s">
        <v>3597</v>
      </c>
      <c r="K839" s="131"/>
      <c r="L839" s="47"/>
      <c r="M839" s="47"/>
      <c r="N839" s="47"/>
      <c r="O839" s="68"/>
      <c r="P839" s="68"/>
      <c r="Q839" s="47"/>
      <c r="R839" s="47"/>
      <c r="S839" s="47"/>
      <c r="T839" s="68"/>
      <c r="U839" s="68"/>
      <c r="V839" s="131" t="s">
        <v>2779</v>
      </c>
      <c r="W839" s="74">
        <v>1</v>
      </c>
      <c r="X839" s="127">
        <f>MAX(0,$AK839-$W839-$Z839)</f>
        <v>0</v>
      </c>
      <c r="Y839" s="127"/>
      <c r="Z839" s="127"/>
      <c r="AA839" s="132">
        <v>2.09</v>
      </c>
      <c r="AB839" s="132">
        <f>IF(AND($X839&gt;0,ISNUMBER($AA839)),$X839*$AA839,0)</f>
        <v>0</v>
      </c>
      <c r="AK839" s="39">
        <f>SUM(AL839:AR839)</f>
        <v>0</v>
      </c>
      <c r="AL839" s="128"/>
      <c r="AM839" s="38"/>
      <c r="AN839" s="38"/>
      <c r="AO839" s="38"/>
      <c r="AP839" s="38"/>
      <c r="AQ839" s="38"/>
      <c r="AR839" s="128"/>
      <c r="AS839" s="42">
        <f>SUM(AT839:AZ839)</f>
        <v>0</v>
      </c>
      <c r="AT839" s="48"/>
      <c r="AU839" s="48"/>
      <c r="AV839" s="48"/>
      <c r="AW839" s="48"/>
      <c r="AX839" s="48"/>
      <c r="AY839" s="48"/>
      <c r="AZ839" s="48"/>
      <c r="BA839" s="43">
        <f>IF((W839-SUM(AT839:AZ839))&lt;0,0,W839-SUM(AT839:AZ839))</f>
        <v>1</v>
      </c>
      <c r="BB839" s="125"/>
      <c r="BC839" s="47"/>
      <c r="BD839" s="47"/>
    </row>
    <row r="840" spans="1:56" ht="15" customHeight="1">
      <c r="A840" s="125" t="s">
        <v>3598</v>
      </c>
      <c r="B840" s="127" t="s">
        <v>127</v>
      </c>
      <c r="C840" s="46" t="s">
        <v>65</v>
      </c>
      <c r="D840" s="125" t="s">
        <v>76</v>
      </c>
      <c r="E840" s="125"/>
      <c r="F840" s="127">
        <v>2</v>
      </c>
      <c r="G840" s="75" t="s">
        <v>3599</v>
      </c>
      <c r="H840" s="131" t="s">
        <v>499</v>
      </c>
      <c r="I840" s="131" t="s">
        <v>3600</v>
      </c>
      <c r="J840" s="131" t="s">
        <v>3601</v>
      </c>
      <c r="K840" s="131"/>
      <c r="L840" s="47"/>
      <c r="M840" s="47"/>
      <c r="N840" s="47"/>
      <c r="O840" s="68"/>
      <c r="P840" s="68"/>
      <c r="Q840" s="47"/>
      <c r="R840" s="47"/>
      <c r="S840" s="47"/>
      <c r="T840" s="68"/>
      <c r="U840" s="68"/>
      <c r="V840" s="131" t="s">
        <v>119</v>
      </c>
      <c r="W840" s="74">
        <v>2</v>
      </c>
      <c r="X840" s="127">
        <f>MAX(0,$AK840-$W840-$Z840)</f>
        <v>0</v>
      </c>
      <c r="Y840" s="127"/>
      <c r="Z840" s="127"/>
      <c r="AA840" s="132">
        <v>0.22</v>
      </c>
      <c r="AB840" s="132">
        <f>IF(AND($X840&gt;0,ISNUMBER($AA840)),$X840*$AA840,0)</f>
        <v>0</v>
      </c>
      <c r="AK840" s="39">
        <f>SUM(AL840:AR840)</f>
        <v>0</v>
      </c>
      <c r="AL840" s="128"/>
      <c r="AM840" s="38"/>
      <c r="AN840" s="38"/>
      <c r="AO840" s="38"/>
      <c r="AP840" s="38"/>
      <c r="AQ840" s="38"/>
      <c r="AR840" s="128"/>
      <c r="AS840" s="42">
        <f>SUM(AT840:AZ840)</f>
        <v>0</v>
      </c>
      <c r="AT840" s="48"/>
      <c r="AU840" s="48"/>
      <c r="AV840" s="48"/>
      <c r="AW840" s="48"/>
      <c r="AX840" s="48"/>
      <c r="AY840" s="48"/>
      <c r="AZ840" s="48"/>
      <c r="BA840" s="43">
        <f>IF((W840-SUM(AT840:AZ840))&lt;0,0,W840-SUM(AT840:AZ840))</f>
        <v>2</v>
      </c>
      <c r="BB840" s="125"/>
      <c r="BC840" s="47"/>
      <c r="BD840" s="47"/>
    </row>
    <row r="841" spans="1:56" ht="15" customHeight="1">
      <c r="A841" s="125" t="s">
        <v>3602</v>
      </c>
      <c r="B841" s="127" t="s">
        <v>127</v>
      </c>
      <c r="C841" s="46" t="s">
        <v>83</v>
      </c>
      <c r="D841" s="125" t="s">
        <v>256</v>
      </c>
      <c r="E841" s="125"/>
      <c r="F841" s="127">
        <v>2</v>
      </c>
      <c r="G841" s="75" t="s">
        <v>3603</v>
      </c>
      <c r="H841" s="131" t="s">
        <v>794</v>
      </c>
      <c r="I841" s="131" t="s">
        <v>3603</v>
      </c>
      <c r="J841" s="131"/>
      <c r="K841" s="131"/>
      <c r="L841" s="46"/>
      <c r="M841" s="46"/>
      <c r="N841" s="46"/>
      <c r="O841" s="46"/>
      <c r="P841" s="46"/>
      <c r="Q841" s="46"/>
      <c r="R841" s="46"/>
      <c r="S841" s="46"/>
      <c r="T841" s="46"/>
      <c r="U841" s="46"/>
      <c r="V841" s="131" t="s">
        <v>1468</v>
      </c>
      <c r="W841" s="74">
        <v>0</v>
      </c>
      <c r="X841" s="127">
        <f>MAX(0,$AK841-$W841-$Z841)</f>
        <v>0</v>
      </c>
      <c r="Y841" s="127"/>
      <c r="Z841" s="127"/>
      <c r="AA841" s="132">
        <v>1.05</v>
      </c>
      <c r="AB841" s="132">
        <f>IF(AND($X841&gt;0,ISNUMBER($AA841)),$X841*$AA841,0)</f>
        <v>0</v>
      </c>
      <c r="AC841" s="59"/>
      <c r="AD841" s="59"/>
      <c r="AE841" s="59"/>
      <c r="AF841" s="59"/>
      <c r="AG841" s="59"/>
      <c r="AH841" s="59"/>
      <c r="AI841" s="59"/>
      <c r="AJ841" s="59"/>
      <c r="AK841" s="39">
        <f>SUM(AL841:AR841)</f>
        <v>0</v>
      </c>
      <c r="AL841" s="127"/>
      <c r="AM841" s="43"/>
      <c r="AN841" s="43"/>
      <c r="AO841" s="43"/>
      <c r="AP841" s="43"/>
      <c r="AQ841" s="43"/>
      <c r="AR841" s="127"/>
      <c r="AS841" s="42">
        <f>SUM(AT841:AZ841)</f>
        <v>0</v>
      </c>
      <c r="AT841" s="48"/>
      <c r="AU841" s="48"/>
      <c r="AV841" s="48"/>
      <c r="AW841" s="48"/>
      <c r="AX841" s="48"/>
      <c r="AY841" s="48"/>
      <c r="AZ841" s="48"/>
      <c r="BA841" s="43">
        <f>IF((W841-SUM(AT841:AZ841))&lt;0,0,W841-SUM(AT841:AZ841))</f>
        <v>0</v>
      </c>
      <c r="BB841" s="125"/>
      <c r="BC841" s="47"/>
      <c r="BD841" s="47"/>
    </row>
    <row r="842" spans="1:56" ht="15" customHeight="1">
      <c r="A842" s="125" t="s">
        <v>487</v>
      </c>
      <c r="B842" s="127" t="s">
        <v>127</v>
      </c>
      <c r="C842" s="46" t="s">
        <v>65</v>
      </c>
      <c r="D842" s="125" t="s">
        <v>76</v>
      </c>
      <c r="E842" s="125"/>
      <c r="F842" s="127">
        <v>3</v>
      </c>
      <c r="G842" s="75" t="s">
        <v>488</v>
      </c>
      <c r="H842" s="131" t="s">
        <v>227</v>
      </c>
      <c r="I842" s="131" t="s">
        <v>489</v>
      </c>
      <c r="J842" s="131" t="s">
        <v>490</v>
      </c>
      <c r="K842" s="131"/>
      <c r="L842" s="47"/>
      <c r="M842" s="47"/>
      <c r="N842" s="47"/>
      <c r="O842" s="47"/>
      <c r="P842" s="47"/>
      <c r="Q842" s="47"/>
      <c r="R842" s="47"/>
      <c r="S842" s="47"/>
      <c r="T842" s="47"/>
      <c r="U842" s="47"/>
      <c r="V842" s="131" t="s">
        <v>491</v>
      </c>
      <c r="W842" s="74">
        <v>2</v>
      </c>
      <c r="X842" s="127">
        <f>MAX(0,$AK842-$W842-$Z842)</f>
        <v>0</v>
      </c>
      <c r="Y842" s="127"/>
      <c r="Z842" s="127"/>
      <c r="AA842" s="132">
        <v>0.18</v>
      </c>
      <c r="AB842" s="132">
        <f>IF(AND($X842&gt;0,ISNUMBER($AA842)),$X842*$AA842,0)</f>
        <v>0</v>
      </c>
      <c r="AG842" t="s">
        <v>492</v>
      </c>
      <c r="AK842" s="39">
        <f>SUM(AL842:AR842)</f>
        <v>1</v>
      </c>
      <c r="AL842" s="128"/>
      <c r="AM842" s="38"/>
      <c r="AN842" s="38"/>
      <c r="AO842" s="38"/>
      <c r="AP842" s="99">
        <v>1</v>
      </c>
      <c r="AQ842" s="38"/>
      <c r="AR842" s="128"/>
      <c r="AS842" s="42">
        <f>SUM(AT842:AZ842)</f>
        <v>1</v>
      </c>
      <c r="AT842" s="48"/>
      <c r="AU842" s="48"/>
      <c r="AV842" s="48"/>
      <c r="AW842" s="48"/>
      <c r="AX842" s="48">
        <v>1</v>
      </c>
      <c r="AY842" s="48"/>
      <c r="AZ842" s="48"/>
      <c r="BA842" s="43">
        <f>IF((W842-SUM(AT842:AZ842))&lt;0,0,W842-SUM(AT842:AZ842))</f>
        <v>1</v>
      </c>
      <c r="BB842" s="125"/>
      <c r="BC842" s="47"/>
      <c r="BD842" s="47"/>
    </row>
    <row r="843" spans="1:56" ht="15" customHeight="1">
      <c r="A843" s="52" t="s">
        <v>3604</v>
      </c>
      <c r="B843" s="43" t="s">
        <v>127</v>
      </c>
      <c r="C843" s="46" t="s">
        <v>65</v>
      </c>
      <c r="D843" s="52" t="s">
        <v>97</v>
      </c>
      <c r="E843" s="52" t="s">
        <v>915</v>
      </c>
      <c r="F843" s="43">
        <v>8</v>
      </c>
      <c r="G843" s="75" t="s">
        <v>3605</v>
      </c>
      <c r="H843" s="58" t="s">
        <v>233</v>
      </c>
      <c r="I843" s="58" t="s">
        <v>3606</v>
      </c>
      <c r="J843" s="58" t="s">
        <v>3607</v>
      </c>
      <c r="K843" s="58"/>
      <c r="L843" s="47"/>
      <c r="M843" s="47"/>
      <c r="N843" s="47"/>
      <c r="O843" s="68"/>
      <c r="P843" s="68"/>
      <c r="Q843" s="47"/>
      <c r="R843" s="47"/>
      <c r="S843" s="47"/>
      <c r="T843" s="68"/>
      <c r="U843" s="68"/>
      <c r="V843" s="58" t="s">
        <v>3608</v>
      </c>
      <c r="W843" s="74">
        <v>1</v>
      </c>
      <c r="X843" s="127">
        <f>MAX(0,$AK843-$W843-$Z843)</f>
        <v>0</v>
      </c>
      <c r="Y843" s="43"/>
      <c r="Z843" s="43"/>
      <c r="AA843" s="59">
        <v>0.73</v>
      </c>
      <c r="AB843" s="59">
        <f>IF(AND($X843&gt;0,ISNUMBER($AA843)),$X843*$AA843,0)</f>
        <v>0</v>
      </c>
      <c r="AK843" s="39">
        <f>SUM(AL843:AR843)</f>
        <v>1</v>
      </c>
      <c r="AL843" s="139">
        <v>1</v>
      </c>
      <c r="AM843" s="38"/>
      <c r="AN843" s="38"/>
      <c r="AO843" s="38"/>
      <c r="AP843" s="38"/>
      <c r="AQ843" s="38"/>
      <c r="AR843" s="128"/>
      <c r="AS843" s="42">
        <f>SUM(AT843:AZ843)</f>
        <v>1</v>
      </c>
      <c r="AT843" s="48">
        <v>1</v>
      </c>
      <c r="AU843" s="48"/>
      <c r="AV843" s="48"/>
      <c r="AW843" s="48"/>
      <c r="AX843" s="48"/>
      <c r="AY843" s="48"/>
      <c r="AZ843" s="48"/>
      <c r="BA843" s="43">
        <f>IF((W843-SUM(AT843:AZ843))&lt;0,0,W843-SUM(AT843:AZ843))</f>
        <v>0</v>
      </c>
      <c r="BB843" s="52"/>
      <c r="BC843" s="47"/>
      <c r="BD843" s="47"/>
    </row>
    <row r="844" spans="1:56" ht="15" customHeight="1">
      <c r="A844" s="125" t="s">
        <v>493</v>
      </c>
      <c r="B844" s="127" t="s">
        <v>127</v>
      </c>
      <c r="C844" s="46" t="s">
        <v>65</v>
      </c>
      <c r="D844" s="125" t="s">
        <v>134</v>
      </c>
      <c r="E844" s="125"/>
      <c r="F844" s="127">
        <v>3</v>
      </c>
      <c r="G844" s="75" t="s">
        <v>494</v>
      </c>
      <c r="H844" s="131" t="s">
        <v>293</v>
      </c>
      <c r="I844" s="131" t="s">
        <v>495</v>
      </c>
      <c r="J844" s="131"/>
      <c r="K844" s="131"/>
      <c r="L844" s="47"/>
      <c r="M844" s="47"/>
      <c r="N844" s="47"/>
      <c r="O844" s="47"/>
      <c r="P844" s="47"/>
      <c r="Q844" s="47"/>
      <c r="R844" s="47"/>
      <c r="S844" s="47"/>
      <c r="T844" s="47"/>
      <c r="U844" s="47"/>
      <c r="V844" s="131" t="s">
        <v>383</v>
      </c>
      <c r="W844" s="74">
        <v>1</v>
      </c>
      <c r="X844" s="127">
        <f>MAX(0,$AK844-$W844-$Z844)</f>
        <v>0</v>
      </c>
      <c r="Y844" s="127"/>
      <c r="Z844" s="127"/>
      <c r="AA844" s="132">
        <v>0.26</v>
      </c>
      <c r="AB844" s="132">
        <f>IF(AND($X844&gt;0,ISNUMBER($AA844)),$X844*$AA844,0)</f>
        <v>0</v>
      </c>
      <c r="AG844" s="63" t="s">
        <v>496</v>
      </c>
      <c r="AK844" s="39">
        <f>SUM(AL844:AR844)</f>
        <v>1</v>
      </c>
      <c r="AL844" s="128"/>
      <c r="AM844" s="38"/>
      <c r="AN844" s="38"/>
      <c r="AO844" s="38"/>
      <c r="AP844" s="98">
        <v>1</v>
      </c>
      <c r="AQ844" s="38"/>
      <c r="AR844" s="128"/>
      <c r="AS844" s="42">
        <f>SUM(AT844:AZ844)</f>
        <v>1</v>
      </c>
      <c r="AT844" s="48"/>
      <c r="AU844" s="48"/>
      <c r="AV844" s="48"/>
      <c r="AW844" s="48"/>
      <c r="AX844" s="48">
        <v>1</v>
      </c>
      <c r="AY844" s="48"/>
      <c r="AZ844" s="48"/>
      <c r="BA844" s="43">
        <f>IF((W844-SUM(AT844:AZ844))&lt;0,0,W844-SUM(AT844:AZ844))</f>
        <v>0</v>
      </c>
      <c r="BB844" s="125"/>
      <c r="BC844" s="47"/>
      <c r="BD844" s="47"/>
    </row>
    <row r="845" spans="1:56" ht="15" customHeight="1">
      <c r="A845" s="125" t="s">
        <v>3609</v>
      </c>
      <c r="B845" s="43" t="s">
        <v>127</v>
      </c>
      <c r="C845" s="46" t="s">
        <v>65</v>
      </c>
      <c r="D845" s="52" t="s">
        <v>84</v>
      </c>
      <c r="E845" s="52" t="s">
        <v>2409</v>
      </c>
      <c r="F845" s="43">
        <v>2</v>
      </c>
      <c r="G845" s="75" t="s">
        <v>3610</v>
      </c>
      <c r="H845" s="58" t="s">
        <v>227</v>
      </c>
      <c r="I845" s="58" t="s">
        <v>181</v>
      </c>
      <c r="J845" s="58" t="s">
        <v>3611</v>
      </c>
      <c r="K845" s="58"/>
      <c r="L845" s="46"/>
      <c r="M845" s="46"/>
      <c r="N845" s="46"/>
      <c r="O845" s="46"/>
      <c r="P845" s="46"/>
      <c r="Q845" s="46"/>
      <c r="R845" s="46"/>
      <c r="S845" s="46"/>
      <c r="T845" s="46"/>
      <c r="U845" s="46"/>
      <c r="V845" s="58" t="s">
        <v>822</v>
      </c>
      <c r="W845" s="74">
        <v>1</v>
      </c>
      <c r="X845" s="127">
        <f>MAX(0,$AK845-$W845-$Z845)</f>
        <v>0</v>
      </c>
      <c r="Y845" s="43"/>
      <c r="Z845" s="43"/>
      <c r="AA845" s="59">
        <v>0.4</v>
      </c>
      <c r="AB845" s="59">
        <f>IF(AND($X845&gt;0,ISNUMBER($AA845)),$X845*$AA845,0)</f>
        <v>0</v>
      </c>
      <c r="AK845" s="39">
        <f>SUM(AL845:AR845)</f>
        <v>1</v>
      </c>
      <c r="AL845" s="139">
        <v>1</v>
      </c>
      <c r="AM845" s="38"/>
      <c r="AN845" s="38"/>
      <c r="AO845" s="38"/>
      <c r="AP845" s="38"/>
      <c r="AQ845" s="38"/>
      <c r="AR845" s="128"/>
      <c r="AS845" s="42">
        <f>SUM(AT845:AZ845)</f>
        <v>1</v>
      </c>
      <c r="AT845" s="48">
        <v>1</v>
      </c>
      <c r="AU845" s="48"/>
      <c r="AV845" s="48"/>
      <c r="AW845" s="48"/>
      <c r="AX845" s="48"/>
      <c r="AY845" s="48"/>
      <c r="AZ845" s="48"/>
      <c r="BA845" s="43">
        <f>IF((W845-SUM(AT845:AZ845))&lt;0,0,W845-SUM(AT845:AZ845))</f>
        <v>0</v>
      </c>
      <c r="BB845" s="52"/>
      <c r="BC845" s="47"/>
      <c r="BD845" s="47"/>
    </row>
    <row r="846" spans="1:56" ht="15" customHeight="1">
      <c r="A846" s="125" t="s">
        <v>3612</v>
      </c>
      <c r="B846" s="43" t="s">
        <v>127</v>
      </c>
      <c r="C846" s="46" t="s">
        <v>65</v>
      </c>
      <c r="D846" s="52" t="s">
        <v>84</v>
      </c>
      <c r="E846" s="52" t="s">
        <v>483</v>
      </c>
      <c r="F846" s="43">
        <v>4</v>
      </c>
      <c r="G846" s="75" t="s">
        <v>3613</v>
      </c>
      <c r="H846" s="58" t="s">
        <v>115</v>
      </c>
      <c r="I846" s="58" t="s">
        <v>181</v>
      </c>
      <c r="J846" s="58" t="s">
        <v>3614</v>
      </c>
      <c r="K846" s="58" t="s">
        <v>3615</v>
      </c>
      <c r="L846" s="46"/>
      <c r="M846" s="46"/>
      <c r="N846" s="46"/>
      <c r="O846" s="46"/>
      <c r="P846" s="46"/>
      <c r="Q846" s="46"/>
      <c r="R846" s="46"/>
      <c r="S846" s="46"/>
      <c r="T846" s="46"/>
      <c r="U846" s="46"/>
      <c r="V846" s="58" t="s">
        <v>379</v>
      </c>
      <c r="W846" s="74">
        <v>1</v>
      </c>
      <c r="X846" s="127">
        <f>MAX(0,$AK846-$W846-$Z846)</f>
        <v>0</v>
      </c>
      <c r="Y846" s="43"/>
      <c r="Z846" s="43"/>
      <c r="AA846" s="59">
        <v>0.56999999999999995</v>
      </c>
      <c r="AB846" s="59">
        <f>IF(AND($X846&gt;0,ISNUMBER($AA846)),$X846*$AA846,0)</f>
        <v>0</v>
      </c>
      <c r="AK846" s="39">
        <f>SUM(AL846:AR846)</f>
        <v>1</v>
      </c>
      <c r="AL846" s="139">
        <v>1</v>
      </c>
      <c r="AM846" s="38"/>
      <c r="AN846" s="38"/>
      <c r="AO846" s="38"/>
      <c r="AP846" s="38"/>
      <c r="AQ846" s="38"/>
      <c r="AR846" s="128"/>
      <c r="AS846" s="42">
        <f>SUM(AT846:AZ846)</f>
        <v>1</v>
      </c>
      <c r="AT846" s="48">
        <v>1</v>
      </c>
      <c r="AU846" s="48"/>
      <c r="AV846" s="48"/>
      <c r="AW846" s="48"/>
      <c r="AX846" s="48"/>
      <c r="AY846" s="48"/>
      <c r="AZ846" s="48"/>
      <c r="BA846" s="43">
        <f>IF((W846-SUM(AT846:AZ846))&lt;0,0,W846-SUM(AT846:AZ846))</f>
        <v>0</v>
      </c>
      <c r="BB846" s="52"/>
      <c r="BC846" s="47"/>
      <c r="BD846" s="47"/>
    </row>
    <row r="847" spans="1:56" ht="15" customHeight="1">
      <c r="A847" s="125" t="s">
        <v>3616</v>
      </c>
      <c r="B847" s="43" t="s">
        <v>127</v>
      </c>
      <c r="C847" s="46" t="s">
        <v>65</v>
      </c>
      <c r="D847" s="52" t="s">
        <v>76</v>
      </c>
      <c r="E847" s="47"/>
      <c r="F847" s="46">
        <v>4</v>
      </c>
      <c r="G847" s="75" t="s">
        <v>3617</v>
      </c>
      <c r="H847" s="47" t="s">
        <v>474</v>
      </c>
      <c r="I847" s="47" t="s">
        <v>3618</v>
      </c>
      <c r="J847" s="47" t="s">
        <v>3619</v>
      </c>
      <c r="K847" s="47"/>
      <c r="L847" s="47"/>
      <c r="M847" s="47"/>
      <c r="N847" s="47"/>
      <c r="O847" s="68"/>
      <c r="P847" s="68"/>
      <c r="Q847" s="47"/>
      <c r="R847" s="47"/>
      <c r="S847" s="47"/>
      <c r="T847" s="68"/>
      <c r="U847" s="68"/>
      <c r="V847" s="47" t="s">
        <v>592</v>
      </c>
      <c r="W847" s="74">
        <v>1</v>
      </c>
      <c r="X847" s="127">
        <f>MAX(0,$AK847-$W847-$Z847)</f>
        <v>0</v>
      </c>
      <c r="Y847" s="47"/>
      <c r="Z847" s="47"/>
      <c r="AA847" s="47">
        <v>0.56999999999999995</v>
      </c>
      <c r="AB847" s="47">
        <f>IF(AND($X847&gt;0,ISNUMBER($AA847)),$X847*$AA847,0)</f>
        <v>0</v>
      </c>
      <c r="AK847" s="39">
        <f>SUM(AL847:AR847)</f>
        <v>1</v>
      </c>
      <c r="AL847" s="139">
        <v>1</v>
      </c>
      <c r="AM847" s="38"/>
      <c r="AN847" s="38"/>
      <c r="AO847" s="38"/>
      <c r="AP847" s="38"/>
      <c r="AQ847" s="38"/>
      <c r="AR847" s="128"/>
      <c r="AS847" s="42">
        <f>SUM(AT847:AZ847)</f>
        <v>1</v>
      </c>
      <c r="AT847" s="48">
        <v>1</v>
      </c>
      <c r="AU847" s="48"/>
      <c r="AV847" s="48"/>
      <c r="AW847" s="48"/>
      <c r="AX847" s="48"/>
      <c r="AY847" s="48"/>
      <c r="AZ847" s="48"/>
      <c r="BA847" s="43">
        <f>IF((W847-SUM(AT847:AZ847))&lt;0,0,W847-SUM(AT847:AZ847))</f>
        <v>0</v>
      </c>
      <c r="BB847" s="47"/>
      <c r="BC847" s="47"/>
      <c r="BD847" s="47"/>
    </row>
    <row r="848" spans="1:56" ht="15" customHeight="1">
      <c r="A848" s="125" t="s">
        <v>133</v>
      </c>
      <c r="B848" s="127" t="s">
        <v>127</v>
      </c>
      <c r="C848" s="46" t="s">
        <v>65</v>
      </c>
      <c r="D848" s="125" t="s">
        <v>134</v>
      </c>
      <c r="E848" s="125"/>
      <c r="F848" s="127">
        <v>3</v>
      </c>
      <c r="G848" s="75" t="s">
        <v>135</v>
      </c>
      <c r="H848" s="131" t="s">
        <v>115</v>
      </c>
      <c r="I848" s="131" t="s">
        <v>136</v>
      </c>
      <c r="J848" s="131" t="s">
        <v>137</v>
      </c>
      <c r="K848" s="131" t="s">
        <v>138</v>
      </c>
      <c r="L848" s="46"/>
      <c r="M848" s="46"/>
      <c r="N848" s="46"/>
      <c r="O848" s="46"/>
      <c r="P848" s="46"/>
      <c r="Q848" s="46"/>
      <c r="R848" s="46"/>
      <c r="S848" s="46"/>
      <c r="T848" s="46"/>
      <c r="U848" s="46"/>
      <c r="V848" s="131" t="s">
        <v>139</v>
      </c>
      <c r="W848" s="74">
        <v>2</v>
      </c>
      <c r="X848" s="127">
        <f>MAX(0,$AK848-$W848-$Z848)</f>
        <v>0</v>
      </c>
      <c r="Y848" s="127"/>
      <c r="Z848" s="127"/>
      <c r="AA848" s="132">
        <v>0.39</v>
      </c>
      <c r="AB848" s="132">
        <f>IF(AND($X848&gt;0,ISNUMBER($AA848)),$X848*$AA848,0)</f>
        <v>0</v>
      </c>
      <c r="AK848" s="39">
        <f>SUM(AL848:AR848)</f>
        <v>1</v>
      </c>
      <c r="AL848" s="139">
        <v>1</v>
      </c>
      <c r="AM848" s="38"/>
      <c r="AN848" s="38"/>
      <c r="AO848" s="38"/>
      <c r="AP848" s="38"/>
      <c r="AQ848" s="38"/>
      <c r="AR848" s="128"/>
      <c r="AS848" s="42">
        <f>SUM(AT848:AZ848)</f>
        <v>1</v>
      </c>
      <c r="AT848" s="48">
        <v>1</v>
      </c>
      <c r="AU848" s="48"/>
      <c r="AV848" s="48"/>
      <c r="AW848" s="48"/>
      <c r="AX848" s="48"/>
      <c r="AY848" s="48"/>
      <c r="AZ848" s="48"/>
      <c r="BA848" s="43">
        <f>IF((W848-SUM(AT848:AZ848))&lt;0,0,W848-SUM(AT848:AZ848))</f>
        <v>1</v>
      </c>
      <c r="BB848" s="125"/>
      <c r="BC848" s="47"/>
      <c r="BD848" s="47"/>
    </row>
    <row r="849" spans="1:56" ht="15" customHeight="1">
      <c r="A849" s="130" t="s">
        <v>3620</v>
      </c>
      <c r="B849" s="128" t="s">
        <v>127</v>
      </c>
      <c r="C849" s="38" t="s">
        <v>65</v>
      </c>
      <c r="D849" s="130" t="s">
        <v>84</v>
      </c>
      <c r="E849" s="130" t="s">
        <v>3621</v>
      </c>
      <c r="F849" s="130">
        <v>2</v>
      </c>
      <c r="G849" s="75" t="s">
        <v>3622</v>
      </c>
      <c r="H849" s="130" t="s">
        <v>1268</v>
      </c>
      <c r="I849" s="130" t="s">
        <v>3623</v>
      </c>
      <c r="J849" s="130" t="s">
        <v>3597</v>
      </c>
      <c r="K849" s="130"/>
      <c r="L849" s="37"/>
      <c r="M849" s="37"/>
      <c r="N849" s="37"/>
      <c r="O849" s="68"/>
      <c r="P849" s="68"/>
      <c r="Q849" s="37"/>
      <c r="R849" s="37"/>
      <c r="S849" s="37"/>
      <c r="T849" s="68"/>
      <c r="U849" s="68"/>
      <c r="V849" s="130" t="s">
        <v>223</v>
      </c>
      <c r="W849" s="74">
        <v>1</v>
      </c>
      <c r="X849" s="127">
        <f>MAX(0,$AK849-$W849-$Z849)</f>
        <v>0</v>
      </c>
      <c r="Y849" s="130"/>
      <c r="Z849" s="130"/>
      <c r="AA849" s="130">
        <v>0.22</v>
      </c>
      <c r="AB849" s="132">
        <f>IF(AND($X849&gt;0,ISNUMBER($AA849)),$X849*$AA849,0)</f>
        <v>0</v>
      </c>
      <c r="AK849" s="39">
        <f>SUM(AL849:AR849)</f>
        <v>0</v>
      </c>
      <c r="AL849" s="128"/>
      <c r="AM849" s="38"/>
      <c r="AN849" s="38"/>
      <c r="AO849" s="38"/>
      <c r="AP849" s="38"/>
      <c r="AQ849" s="38"/>
      <c r="AR849" s="128"/>
      <c r="AS849" s="42">
        <f>SUM(AT849:AZ849)</f>
        <v>0</v>
      </c>
      <c r="AT849" s="48"/>
      <c r="AU849" s="48"/>
      <c r="AV849" s="48"/>
      <c r="AW849" s="48"/>
      <c r="AX849" s="48"/>
      <c r="AY849" s="48"/>
      <c r="AZ849" s="48"/>
      <c r="BA849" s="43">
        <f>IF((W849-SUM(AT849:AZ849))&lt;0,0,W849-SUM(AT849:AZ849))</f>
        <v>1</v>
      </c>
      <c r="BB849" s="130"/>
      <c r="BC849" s="37"/>
      <c r="BD849" s="130"/>
    </row>
    <row r="850" spans="1:56" ht="15" customHeight="1">
      <c r="A850" s="125" t="s">
        <v>3624</v>
      </c>
      <c r="B850" s="127" t="s">
        <v>127</v>
      </c>
      <c r="C850" s="46" t="s">
        <v>65</v>
      </c>
      <c r="D850" s="125" t="s">
        <v>84</v>
      </c>
      <c r="E850" s="125" t="s">
        <v>3528</v>
      </c>
      <c r="F850" s="127">
        <v>4</v>
      </c>
      <c r="G850" s="75" t="s">
        <v>3625</v>
      </c>
      <c r="H850" s="131" t="s">
        <v>162</v>
      </c>
      <c r="I850" s="131" t="s">
        <v>3626</v>
      </c>
      <c r="J850" s="131" t="s">
        <v>181</v>
      </c>
      <c r="K850" s="131"/>
      <c r="L850" s="47"/>
      <c r="M850" s="47"/>
      <c r="N850" s="47"/>
      <c r="O850" s="68"/>
      <c r="P850" s="68"/>
      <c r="Q850" s="47"/>
      <c r="R850" s="47"/>
      <c r="S850" s="47"/>
      <c r="T850" s="68"/>
      <c r="U850" s="68"/>
      <c r="V850" s="131" t="s">
        <v>119</v>
      </c>
      <c r="W850" s="74">
        <v>1</v>
      </c>
      <c r="X850" s="127">
        <f>MAX(0,$AK850-$W850-$Z850)</f>
        <v>0</v>
      </c>
      <c r="Y850" s="127"/>
      <c r="Z850" s="127"/>
      <c r="AA850" s="132">
        <v>0.11</v>
      </c>
      <c r="AB850" s="132">
        <f>IF(AND($X850&gt;0,ISNUMBER($AA850)),$X850*$AA850,0)</f>
        <v>0</v>
      </c>
      <c r="AG850" s="63"/>
      <c r="AK850" s="39">
        <f>SUM(AL850:AR850)</f>
        <v>0</v>
      </c>
      <c r="AL850" s="128"/>
      <c r="AM850" s="38"/>
      <c r="AN850" s="38"/>
      <c r="AO850" s="38"/>
      <c r="AP850" s="38"/>
      <c r="AQ850" s="38"/>
      <c r="AR850" s="128"/>
      <c r="AS850" s="42">
        <f>SUM(AT850:AZ850)</f>
        <v>0</v>
      </c>
      <c r="AT850" s="48"/>
      <c r="AU850" s="48"/>
      <c r="AV850" s="48"/>
      <c r="AW850" s="48"/>
      <c r="AX850" s="48"/>
      <c r="AY850" s="48"/>
      <c r="AZ850" s="48"/>
      <c r="BA850" s="43">
        <f>IF((W850-SUM(AT850:AZ850))&lt;0,0,W850-SUM(AT850:AZ850))</f>
        <v>1</v>
      </c>
      <c r="BB850" s="125"/>
      <c r="BC850" s="47"/>
      <c r="BD850" s="47"/>
    </row>
    <row r="851" spans="1:56" ht="15" customHeight="1">
      <c r="A851" s="125" t="s">
        <v>3627</v>
      </c>
      <c r="B851" s="127" t="s">
        <v>127</v>
      </c>
      <c r="C851" s="46" t="s">
        <v>83</v>
      </c>
      <c r="D851" s="125" t="s">
        <v>3628</v>
      </c>
      <c r="E851" s="125" t="s">
        <v>3629</v>
      </c>
      <c r="F851" s="127">
        <v>1</v>
      </c>
      <c r="G851" s="75" t="s">
        <v>3630</v>
      </c>
      <c r="H851" s="131" t="s">
        <v>227</v>
      </c>
      <c r="I851" s="131" t="s">
        <v>3631</v>
      </c>
      <c r="J851" s="131" t="s">
        <v>3632</v>
      </c>
      <c r="K851" s="131" t="s">
        <v>3633</v>
      </c>
      <c r="L851" s="47"/>
      <c r="M851" s="47"/>
      <c r="N851" s="47"/>
      <c r="O851" s="47"/>
      <c r="P851" s="47"/>
      <c r="Q851" s="47"/>
      <c r="R851" s="47"/>
      <c r="S851" s="47"/>
      <c r="T851" s="47"/>
      <c r="U851" s="47"/>
      <c r="V851" s="131" t="s">
        <v>471</v>
      </c>
      <c r="W851" s="74">
        <v>0</v>
      </c>
      <c r="X851" s="127">
        <f>MAX(0,$AK851-$W851-$Z851)</f>
        <v>0</v>
      </c>
      <c r="Y851" s="127"/>
      <c r="Z851" s="127"/>
      <c r="AA851" s="132">
        <v>2.91</v>
      </c>
      <c r="AB851" s="132">
        <f>IF(AND($X851&gt;0,ISNUMBER($AA851)),$X851*$AA851,0)</f>
        <v>0</v>
      </c>
      <c r="AC851" s="59"/>
      <c r="AD851" s="59"/>
      <c r="AE851" s="59"/>
      <c r="AF851" s="59"/>
      <c r="AG851" s="59"/>
      <c r="AH851" s="59"/>
      <c r="AI851" s="59"/>
      <c r="AJ851" s="59"/>
      <c r="AK851" s="39">
        <f>SUM(AL851:AR851)</f>
        <v>0</v>
      </c>
      <c r="AL851" s="127"/>
      <c r="AM851" s="43"/>
      <c r="AN851" s="43"/>
      <c r="AO851" s="43"/>
      <c r="AP851" s="43"/>
      <c r="AQ851" s="43"/>
      <c r="AR851" s="127"/>
      <c r="AS851" s="42">
        <f>SUM(AT851:AZ851)</f>
        <v>0</v>
      </c>
      <c r="AT851" s="48"/>
      <c r="AU851" s="48"/>
      <c r="AV851" s="48"/>
      <c r="AW851" s="48"/>
      <c r="AX851" s="48"/>
      <c r="AY851" s="48"/>
      <c r="AZ851" s="48"/>
      <c r="BA851" s="43">
        <f>IF((W851-SUM(AT851:AZ851))&lt;0,0,W851-SUM(AT851:AZ851))</f>
        <v>0</v>
      </c>
      <c r="BB851" s="125"/>
      <c r="BC851" s="47"/>
      <c r="BD851" s="47"/>
    </row>
    <row r="852" spans="1:56" ht="15" customHeight="1">
      <c r="A852" s="52" t="s">
        <v>3634</v>
      </c>
      <c r="B852" s="43" t="s">
        <v>127</v>
      </c>
      <c r="C852" s="46" t="s">
        <v>65</v>
      </c>
      <c r="D852" s="52" t="s">
        <v>84</v>
      </c>
      <c r="E852" s="52" t="s">
        <v>3635</v>
      </c>
      <c r="F852" s="43">
        <v>3</v>
      </c>
      <c r="G852" s="75" t="s">
        <v>3636</v>
      </c>
      <c r="H852" s="58" t="s">
        <v>78</v>
      </c>
      <c r="I852" s="58" t="s">
        <v>3637</v>
      </c>
      <c r="J852" s="58" t="s">
        <v>3638</v>
      </c>
      <c r="K852" s="58"/>
      <c r="L852" s="46"/>
      <c r="M852" s="46"/>
      <c r="N852" s="46"/>
      <c r="O852" s="46"/>
      <c r="P852" s="46"/>
      <c r="Q852" s="46"/>
      <c r="R852" s="46"/>
      <c r="S852" s="46"/>
      <c r="T852" s="46"/>
      <c r="U852" s="46"/>
      <c r="V852" s="58" t="s">
        <v>635</v>
      </c>
      <c r="W852" s="74">
        <v>1</v>
      </c>
      <c r="X852" s="43">
        <f>MAX(0,$AK852-$W852-$Z852)</f>
        <v>0</v>
      </c>
      <c r="Y852" s="43"/>
      <c r="Z852" s="43"/>
      <c r="AA852" s="59">
        <v>0.33</v>
      </c>
      <c r="AB852" s="59">
        <f>IF(AND($X852&gt;0,ISNUMBER($AA852)),$X852*$AA852,0)</f>
        <v>0</v>
      </c>
      <c r="AK852" s="39">
        <f>SUM(AL852:AR852)</f>
        <v>1</v>
      </c>
      <c r="AL852" s="139">
        <v>1</v>
      </c>
      <c r="AM852" s="38"/>
      <c r="AN852" s="38"/>
      <c r="AO852" s="38"/>
      <c r="AP852" s="38"/>
      <c r="AQ852" s="38"/>
      <c r="AR852" s="128"/>
      <c r="AS852" s="42">
        <f>SUM(AT852:AZ852)</f>
        <v>1</v>
      </c>
      <c r="AT852" s="48">
        <v>1</v>
      </c>
      <c r="AU852" s="48"/>
      <c r="AV852" s="48"/>
      <c r="AW852" s="48"/>
      <c r="AX852" s="48"/>
      <c r="AY852" s="48"/>
      <c r="AZ852" s="48"/>
      <c r="BA852" s="43">
        <f>IF((W852-SUM(AT852:AZ852))&lt;0,0,W852-SUM(AT852:AZ852))</f>
        <v>0</v>
      </c>
      <c r="BB852" s="52"/>
      <c r="BC852" s="47"/>
      <c r="BD852" s="47"/>
    </row>
    <row r="853" spans="1:56" ht="15" customHeight="1">
      <c r="A853" s="52" t="s">
        <v>3639</v>
      </c>
      <c r="B853" s="43" t="s">
        <v>127</v>
      </c>
      <c r="C853" s="46" t="s">
        <v>65</v>
      </c>
      <c r="D853" s="52" t="s">
        <v>134</v>
      </c>
      <c r="E853" s="52"/>
      <c r="F853" s="43">
        <v>3</v>
      </c>
      <c r="G853" s="75" t="s">
        <v>3640</v>
      </c>
      <c r="H853" s="58" t="s">
        <v>474</v>
      </c>
      <c r="I853" s="58" t="s">
        <v>3641</v>
      </c>
      <c r="J853" s="58"/>
      <c r="K853" s="58"/>
      <c r="L853" s="47"/>
      <c r="M853" s="47"/>
      <c r="N853" s="47"/>
      <c r="O853" s="47"/>
      <c r="P853" s="47"/>
      <c r="Q853" s="47"/>
      <c r="R853" s="47"/>
      <c r="S853" s="47"/>
      <c r="T853" s="47"/>
      <c r="U853" s="47"/>
      <c r="V853" s="58" t="s">
        <v>89</v>
      </c>
      <c r="W853" s="74">
        <v>1</v>
      </c>
      <c r="X853" s="43">
        <f>MAX(0,$AK853-$W853-$Z853)</f>
        <v>0</v>
      </c>
      <c r="Y853" s="43"/>
      <c r="Z853" s="43"/>
      <c r="AA853" s="59">
        <v>0.13</v>
      </c>
      <c r="AB853" s="59">
        <f>IF(AND($X853&gt;0,ISNUMBER($AA853)),$X853*$AA853,0)</f>
        <v>0</v>
      </c>
      <c r="AK853" s="39">
        <f>SUM(AL853:AR853)</f>
        <v>1</v>
      </c>
      <c r="AL853" s="128"/>
      <c r="AM853" s="38"/>
      <c r="AN853" s="38"/>
      <c r="AO853" s="97">
        <v>1</v>
      </c>
      <c r="AP853" s="38"/>
      <c r="AQ853" s="38"/>
      <c r="AR853" s="128"/>
      <c r="AS853" s="42">
        <f>SUM(AT853:AZ853)</f>
        <v>1</v>
      </c>
      <c r="AT853" s="48"/>
      <c r="AU853" s="48"/>
      <c r="AV853" s="48"/>
      <c r="AW853" s="48">
        <v>1</v>
      </c>
      <c r="AX853" s="48"/>
      <c r="AY853" s="48"/>
      <c r="AZ853" s="48"/>
      <c r="BA853" s="43">
        <f>IF((W853-SUM(AT853:AZ853))&lt;0,0,W853-SUM(AT853:AZ853))</f>
        <v>0</v>
      </c>
      <c r="BB853" s="52"/>
      <c r="BC853" s="47"/>
      <c r="BD853" s="47"/>
    </row>
    <row r="854" spans="1:56" ht="15" customHeight="1">
      <c r="A854" s="52" t="s">
        <v>3642</v>
      </c>
      <c r="B854" s="43" t="s">
        <v>127</v>
      </c>
      <c r="C854" s="46" t="s">
        <v>83</v>
      </c>
      <c r="D854" s="52" t="s">
        <v>256</v>
      </c>
      <c r="E854" s="52"/>
      <c r="F854" s="43">
        <v>4</v>
      </c>
      <c r="G854" s="75" t="s">
        <v>3643</v>
      </c>
      <c r="H854" s="58" t="s">
        <v>87</v>
      </c>
      <c r="I854" s="58" t="s">
        <v>3644</v>
      </c>
      <c r="J854" s="58"/>
      <c r="K854" s="58"/>
      <c r="L854" s="47"/>
      <c r="M854" s="47"/>
      <c r="N854" s="47"/>
      <c r="O854" s="47"/>
      <c r="P854" s="47"/>
      <c r="Q854" s="47"/>
      <c r="R854" s="47"/>
      <c r="S854" s="47"/>
      <c r="T854" s="47"/>
      <c r="U854" s="47"/>
      <c r="V854" s="58" t="s">
        <v>145</v>
      </c>
      <c r="W854" s="74">
        <v>0</v>
      </c>
      <c r="X854" s="43">
        <f>MAX(0,$AK854-$W854-$Z854)</f>
        <v>0</v>
      </c>
      <c r="Y854" s="43"/>
      <c r="Z854" s="43"/>
      <c r="AA854" s="59">
        <v>61.67</v>
      </c>
      <c r="AB854" s="59">
        <f>IF(AND($X854&gt;0,ISNUMBER($AA854)),$X854*$AA854,0)</f>
        <v>0</v>
      </c>
      <c r="AC854" s="59"/>
      <c r="AD854" s="59"/>
      <c r="AE854" s="59"/>
      <c r="AF854" s="59"/>
      <c r="AG854" s="59"/>
      <c r="AH854" s="59"/>
      <c r="AI854" s="59"/>
      <c r="AJ854" s="59"/>
      <c r="AK854" s="39">
        <f>SUM(AL854:AR854)</f>
        <v>0</v>
      </c>
      <c r="AL854" s="127"/>
      <c r="AM854" s="43"/>
      <c r="AN854" s="43"/>
      <c r="AO854" s="43"/>
      <c r="AP854" s="43"/>
      <c r="AQ854" s="43"/>
      <c r="AR854" s="127"/>
      <c r="AS854" s="42">
        <f>SUM(AT854:AZ854)</f>
        <v>0</v>
      </c>
      <c r="AT854" s="48"/>
      <c r="AU854" s="48"/>
      <c r="AV854" s="48"/>
      <c r="AW854" s="48"/>
      <c r="AX854" s="48"/>
      <c r="AY854" s="48"/>
      <c r="AZ854" s="48"/>
      <c r="BA854" s="43">
        <f>IF((W854-SUM(AT854:AZ854))&lt;0,0,W854-SUM(AT854:AZ854))</f>
        <v>0</v>
      </c>
      <c r="BB854" s="52"/>
      <c r="BC854" s="47"/>
      <c r="BD854" s="47"/>
    </row>
    <row r="855" spans="1:56" ht="15" customHeight="1">
      <c r="A855" s="125" t="s">
        <v>497</v>
      </c>
      <c r="B855" s="127" t="s">
        <v>127</v>
      </c>
      <c r="C855" s="46" t="s">
        <v>65</v>
      </c>
      <c r="D855" s="125" t="s">
        <v>76</v>
      </c>
      <c r="E855" s="125"/>
      <c r="F855" s="127">
        <v>2</v>
      </c>
      <c r="G855" s="75" t="s">
        <v>498</v>
      </c>
      <c r="H855" s="131" t="s">
        <v>499</v>
      </c>
      <c r="I855" s="131" t="s">
        <v>500</v>
      </c>
      <c r="J855" s="131" t="s">
        <v>501</v>
      </c>
      <c r="K855" s="131"/>
      <c r="L855" s="108" t="s">
        <v>502</v>
      </c>
      <c r="M855" s="46">
        <v>2</v>
      </c>
      <c r="N855" s="46">
        <v>2</v>
      </c>
      <c r="O855" s="68" t="s">
        <v>503</v>
      </c>
      <c r="P855" s="110">
        <v>0.25</v>
      </c>
      <c r="Q855" s="47"/>
      <c r="R855" s="47"/>
      <c r="S855" s="47"/>
      <c r="T855" s="68"/>
      <c r="U855" s="68"/>
      <c r="V855" s="131" t="s">
        <v>504</v>
      </c>
      <c r="W855" s="74">
        <v>3</v>
      </c>
      <c r="X855" s="127">
        <f>MAX(0,$AK855-$W855-$Z855)</f>
        <v>0</v>
      </c>
      <c r="Y855" s="127"/>
      <c r="Z855" s="127"/>
      <c r="AA855" s="132">
        <v>0.25</v>
      </c>
      <c r="AB855" s="132">
        <f>IF(AND($X855&gt;0,ISNUMBER($AA855)),$X855*$AA855,0)</f>
        <v>0</v>
      </c>
      <c r="AG855" t="s">
        <v>505</v>
      </c>
      <c r="AK855" s="39">
        <f>SUM(AL855:AR855)</f>
        <v>1</v>
      </c>
      <c r="AL855" s="128"/>
      <c r="AM855" s="38"/>
      <c r="AN855" s="38"/>
      <c r="AO855" s="38"/>
      <c r="AP855" s="99">
        <v>1</v>
      </c>
      <c r="AQ855" s="38"/>
      <c r="AR855" s="128"/>
      <c r="AS855" s="42">
        <f>SUM(AT855:AZ855)</f>
        <v>1</v>
      </c>
      <c r="AT855" s="48"/>
      <c r="AU855" s="48"/>
      <c r="AV855" s="48"/>
      <c r="AW855" s="48"/>
      <c r="AX855" s="48">
        <v>1</v>
      </c>
      <c r="AY855" s="48"/>
      <c r="AZ855" s="48"/>
      <c r="BA855" s="43">
        <f>IF((W855-SUM(AT855:AZ855))&lt;0,0,W855-SUM(AT855:AZ855))</f>
        <v>2</v>
      </c>
      <c r="BB855" s="125"/>
      <c r="BC855" s="47"/>
      <c r="BD855" s="47"/>
    </row>
    <row r="856" spans="1:56" ht="15" customHeight="1">
      <c r="A856" s="125" t="s">
        <v>506</v>
      </c>
      <c r="B856" s="127" t="s">
        <v>127</v>
      </c>
      <c r="C856" s="46" t="s">
        <v>65</v>
      </c>
      <c r="D856" s="125" t="s">
        <v>134</v>
      </c>
      <c r="E856" s="125"/>
      <c r="F856" s="127">
        <v>6</v>
      </c>
      <c r="G856" s="75" t="s">
        <v>507</v>
      </c>
      <c r="H856" s="131" t="s">
        <v>153</v>
      </c>
      <c r="I856" s="131" t="s">
        <v>508</v>
      </c>
      <c r="J856" s="131"/>
      <c r="K856" s="131"/>
      <c r="L856" s="47"/>
      <c r="M856" s="47"/>
      <c r="N856" s="47"/>
      <c r="O856" s="47"/>
      <c r="P856" s="47"/>
      <c r="Q856" s="47"/>
      <c r="R856" s="47"/>
      <c r="S856" s="47"/>
      <c r="T856" s="47"/>
      <c r="U856" s="47"/>
      <c r="V856" s="131" t="s">
        <v>509</v>
      </c>
      <c r="W856" s="74">
        <v>1</v>
      </c>
      <c r="X856" s="127">
        <f>MAX(0,$AK856-$W856-$Z856)</f>
        <v>0</v>
      </c>
      <c r="Y856" s="127"/>
      <c r="Z856" s="127"/>
      <c r="AA856" s="132">
        <v>0.33</v>
      </c>
      <c r="AB856" s="132">
        <f>IF(AND($X856&gt;0,ISNUMBER($AA856)),$X856*$AA856,0)</f>
        <v>0</v>
      </c>
      <c r="AG856" s="63"/>
      <c r="AK856" s="39">
        <f>SUM(AL856:AR856)</f>
        <v>1</v>
      </c>
      <c r="AL856" s="128"/>
      <c r="AM856" s="38"/>
      <c r="AN856" s="38"/>
      <c r="AO856" s="38"/>
      <c r="AP856" s="98">
        <v>1</v>
      </c>
      <c r="AQ856" s="38"/>
      <c r="AR856" s="128"/>
      <c r="AS856" s="42">
        <f>SUM(AT856:AZ856)</f>
        <v>1</v>
      </c>
      <c r="AT856" s="48"/>
      <c r="AU856" s="48"/>
      <c r="AV856" s="48"/>
      <c r="AW856" s="48"/>
      <c r="AX856" s="48">
        <v>1</v>
      </c>
      <c r="AY856" s="48"/>
      <c r="AZ856" s="48"/>
      <c r="BA856" s="43">
        <f>IF((W856-SUM(AT856:AZ856))&lt;0,0,W856-SUM(AT856:AZ856))</f>
        <v>0</v>
      </c>
      <c r="BB856" s="125"/>
      <c r="BC856" s="47"/>
      <c r="BD856" s="47"/>
    </row>
    <row r="857" spans="1:56" ht="15" customHeight="1">
      <c r="A857" s="52" t="s">
        <v>3645</v>
      </c>
      <c r="B857" s="43" t="s">
        <v>127</v>
      </c>
      <c r="C857" s="46" t="s">
        <v>65</v>
      </c>
      <c r="D857" s="52" t="s">
        <v>256</v>
      </c>
      <c r="E857" s="52" t="s">
        <v>468</v>
      </c>
      <c r="F857" s="43">
        <v>2</v>
      </c>
      <c r="G857" s="75" t="s">
        <v>3646</v>
      </c>
      <c r="H857" s="58" t="s">
        <v>78</v>
      </c>
      <c r="I857" s="58" t="s">
        <v>3647</v>
      </c>
      <c r="J857" s="58" t="s">
        <v>3648</v>
      </c>
      <c r="K857" s="58"/>
      <c r="L857" s="47"/>
      <c r="M857" s="47"/>
      <c r="N857" s="47"/>
      <c r="O857" s="68"/>
      <c r="P857" s="68"/>
      <c r="Q857" s="47"/>
      <c r="R857" s="47"/>
      <c r="S857" s="47"/>
      <c r="T857" s="68"/>
      <c r="U857" s="68"/>
      <c r="V857" s="58" t="s">
        <v>119</v>
      </c>
      <c r="W857" s="74">
        <v>1</v>
      </c>
      <c r="X857" s="43">
        <f>MAX(0,$AK857-$W857-$Z857)</f>
        <v>0</v>
      </c>
      <c r="Y857" s="43"/>
      <c r="Z857" s="43"/>
      <c r="AA857" s="59">
        <v>0.16</v>
      </c>
      <c r="AB857" s="59">
        <f>IF(AND($X857&gt;0,ISNUMBER($AA857)),$X857*$AA857,0)</f>
        <v>0</v>
      </c>
      <c r="AK857" s="39">
        <f>SUM(AL857:AR857)</f>
        <v>0</v>
      </c>
      <c r="AL857" s="128"/>
      <c r="AM857" s="38"/>
      <c r="AN857" s="38"/>
      <c r="AO857" s="38"/>
      <c r="AP857" s="38"/>
      <c r="AQ857" s="38"/>
      <c r="AR857" s="128"/>
      <c r="AS857" s="42">
        <f>SUM(AT857:AZ857)</f>
        <v>0</v>
      </c>
      <c r="AT857" s="48"/>
      <c r="AU857" s="48"/>
      <c r="AV857" s="48"/>
      <c r="AW857" s="48"/>
      <c r="AX857" s="48"/>
      <c r="AY857" s="48"/>
      <c r="AZ857" s="48"/>
      <c r="BA857" s="43">
        <f>IF((W857-SUM(AT857:AZ857))&lt;0,0,W857-SUM(AT857:AZ857))</f>
        <v>1</v>
      </c>
      <c r="BB857" s="52"/>
      <c r="BC857" s="47"/>
      <c r="BD857" s="47"/>
    </row>
    <row r="858" spans="1:56" ht="15" customHeight="1">
      <c r="A858" s="125" t="s">
        <v>510</v>
      </c>
      <c r="B858" s="127" t="s">
        <v>127</v>
      </c>
      <c r="C858" s="46" t="s">
        <v>65</v>
      </c>
      <c r="D858" s="125" t="s">
        <v>105</v>
      </c>
      <c r="E858" s="125"/>
      <c r="F858" s="127">
        <v>2</v>
      </c>
      <c r="G858" s="75" t="s">
        <v>511</v>
      </c>
      <c r="H858" s="131" t="s">
        <v>153</v>
      </c>
      <c r="I858" s="131" t="s">
        <v>512</v>
      </c>
      <c r="J858" s="131" t="s">
        <v>513</v>
      </c>
      <c r="K858" s="131" t="s">
        <v>514</v>
      </c>
      <c r="L858" s="47"/>
      <c r="M858" s="47"/>
      <c r="N858" s="47"/>
      <c r="O858" s="47"/>
      <c r="P858" s="47"/>
      <c r="Q858" s="47"/>
      <c r="R858" s="47"/>
      <c r="S858" s="47"/>
      <c r="T858" s="47"/>
      <c r="U858" s="47"/>
      <c r="V858" s="131" t="s">
        <v>515</v>
      </c>
      <c r="W858" s="74">
        <v>1</v>
      </c>
      <c r="X858" s="127">
        <f>MAX(0,$AK858-$W858-$Z858)</f>
        <v>0</v>
      </c>
      <c r="Y858" s="127"/>
      <c r="Z858" s="127"/>
      <c r="AA858" s="132">
        <v>0.44</v>
      </c>
      <c r="AB858" s="132">
        <f>IF(AND($X858&gt;0,ISNUMBER($AA858)),$X858*$AA858,0)</f>
        <v>0</v>
      </c>
      <c r="AK858" s="39">
        <f>SUM(AL858:AR858)</f>
        <v>1</v>
      </c>
      <c r="AL858" s="128"/>
      <c r="AM858" s="38"/>
      <c r="AN858" s="38"/>
      <c r="AO858" s="38"/>
      <c r="AP858" s="97">
        <v>1</v>
      </c>
      <c r="AQ858" s="38"/>
      <c r="AR858" s="128"/>
      <c r="AS858" s="42">
        <f>SUM(AT858:AZ858)</f>
        <v>1</v>
      </c>
      <c r="AT858" s="48"/>
      <c r="AU858" s="48"/>
      <c r="AV858" s="48"/>
      <c r="AW858" s="48"/>
      <c r="AX858" s="48">
        <v>1</v>
      </c>
      <c r="AY858" s="48"/>
      <c r="AZ858" s="48"/>
      <c r="BA858" s="43">
        <f>IF((W858-SUM(AT858:AZ858))&lt;0,0,W858-SUM(AT858:AZ858))</f>
        <v>0</v>
      </c>
      <c r="BB858" s="125"/>
      <c r="BC858" s="47"/>
      <c r="BD858" s="47"/>
    </row>
    <row r="859" spans="1:56" ht="15" customHeight="1">
      <c r="A859" s="52" t="s">
        <v>3649</v>
      </c>
      <c r="B859" s="43" t="s">
        <v>127</v>
      </c>
      <c r="C859" s="46" t="s">
        <v>65</v>
      </c>
      <c r="D859" s="52" t="s">
        <v>84</v>
      </c>
      <c r="E859" s="52" t="s">
        <v>128</v>
      </c>
      <c r="F859" s="43">
        <v>2</v>
      </c>
      <c r="G859" s="75" t="s">
        <v>3650</v>
      </c>
      <c r="H859" s="58" t="s">
        <v>238</v>
      </c>
      <c r="I859" s="58" t="s">
        <v>853</v>
      </c>
      <c r="J859" s="58" t="s">
        <v>3651</v>
      </c>
      <c r="K859" s="58"/>
      <c r="L859" s="47"/>
      <c r="M859" s="47"/>
      <c r="N859" s="47"/>
      <c r="O859" s="47"/>
      <c r="P859" s="47"/>
      <c r="Q859" s="47"/>
      <c r="R859" s="47"/>
      <c r="S859" s="47"/>
      <c r="T859" s="47"/>
      <c r="U859" s="47"/>
      <c r="V859" s="58" t="s">
        <v>196</v>
      </c>
      <c r="W859" s="74">
        <v>0</v>
      </c>
      <c r="X859" s="43">
        <f>MAX(0,$AK859-$W859-$Z859)</f>
        <v>0</v>
      </c>
      <c r="Y859" s="43"/>
      <c r="Z859" s="43"/>
      <c r="AA859" s="59">
        <v>1.88</v>
      </c>
      <c r="AB859" s="59">
        <f>IF(AND($X859&gt;0,ISNUMBER($AA859)),$X859*$AA859,0)</f>
        <v>0</v>
      </c>
      <c r="AC859" s="59"/>
      <c r="AD859" s="59"/>
      <c r="AE859" s="59"/>
      <c r="AF859" s="59"/>
      <c r="AG859" s="59"/>
      <c r="AH859" s="59"/>
      <c r="AI859" s="59"/>
      <c r="AJ859" s="59"/>
      <c r="AK859" s="39">
        <f>SUM(AL859:AR859)</f>
        <v>0</v>
      </c>
      <c r="AL859" s="127"/>
      <c r="AM859" s="43"/>
      <c r="AN859" s="43"/>
      <c r="AO859" s="43"/>
      <c r="AP859" s="43"/>
      <c r="AQ859" s="43"/>
      <c r="AR859" s="127"/>
      <c r="AS859" s="42">
        <f>SUM(AT859:AZ859)</f>
        <v>0</v>
      </c>
      <c r="AT859" s="48"/>
      <c r="AU859" s="48"/>
      <c r="AV859" s="48"/>
      <c r="AW859" s="48"/>
      <c r="AX859" s="48"/>
      <c r="AY859" s="48"/>
      <c r="AZ859" s="48"/>
      <c r="BA859" s="43">
        <f>IF((W859-SUM(AT859:AZ859))&lt;0,0,W859-SUM(AT859:AZ859))</f>
        <v>0</v>
      </c>
      <c r="BB859" s="52"/>
      <c r="BC859" s="47"/>
      <c r="BD859" s="47"/>
    </row>
    <row r="860" spans="1:56" ht="15" customHeight="1">
      <c r="A860" s="37" t="s">
        <v>3652</v>
      </c>
      <c r="B860" s="38" t="s">
        <v>127</v>
      </c>
      <c r="C860" s="38" t="s">
        <v>65</v>
      </c>
      <c r="D860" s="37" t="s">
        <v>76</v>
      </c>
      <c r="E860" s="37"/>
      <c r="F860" s="38">
        <v>3</v>
      </c>
      <c r="G860" s="75" t="s">
        <v>3653</v>
      </c>
      <c r="H860" s="37" t="s">
        <v>78</v>
      </c>
      <c r="I860" s="37" t="s">
        <v>3654</v>
      </c>
      <c r="J860" s="37"/>
      <c r="K860" s="37"/>
      <c r="L860" s="109" t="s">
        <v>3655</v>
      </c>
      <c r="M860" s="38">
        <v>2</v>
      </c>
      <c r="N860" s="38">
        <v>2</v>
      </c>
      <c r="O860" s="68" t="s">
        <v>3656</v>
      </c>
      <c r="P860" s="110">
        <v>0.17</v>
      </c>
      <c r="Q860" s="37"/>
      <c r="R860" s="37"/>
      <c r="S860" s="37"/>
      <c r="T860" s="68"/>
      <c r="U860" s="68"/>
      <c r="V860" s="37" t="s">
        <v>223</v>
      </c>
      <c r="W860" s="74">
        <v>2</v>
      </c>
      <c r="X860" s="43">
        <f>MAX(0,$AK860-$W860-$Z860)</f>
        <v>0</v>
      </c>
      <c r="Y860" s="37"/>
      <c r="Z860" s="37"/>
      <c r="AA860" s="66">
        <v>0.17</v>
      </c>
      <c r="AB860" s="59">
        <f>IF(AND($X860&gt;0,ISNUMBER($AA860)),$X860*$AA860,0)</f>
        <v>0</v>
      </c>
      <c r="AK860" s="39">
        <f>SUM(AL860:AR860)</f>
        <v>0</v>
      </c>
      <c r="AL860" s="128"/>
      <c r="AM860" s="38"/>
      <c r="AN860" s="38"/>
      <c r="AO860" s="38"/>
      <c r="AP860" s="38"/>
      <c r="AQ860" s="38"/>
      <c r="AR860" s="128"/>
      <c r="AS860" s="42">
        <f>SUM(AT860:AZ860)</f>
        <v>0</v>
      </c>
      <c r="AT860" s="48"/>
      <c r="AU860" s="48"/>
      <c r="AV860" s="48"/>
      <c r="AW860" s="48"/>
      <c r="AX860" s="48"/>
      <c r="AY860" s="48"/>
      <c r="AZ860" s="48"/>
      <c r="BA860" s="43">
        <f>IF((W860-SUM(AT860:AZ860))&lt;0,0,W860-SUM(AT860:AZ860))</f>
        <v>2</v>
      </c>
      <c r="BB860" s="37"/>
      <c r="BC860" s="37"/>
      <c r="BD860" s="37"/>
    </row>
    <row r="861" spans="1:56" ht="15" customHeight="1">
      <c r="A861" s="126" t="s">
        <v>241</v>
      </c>
      <c r="B861" s="129" t="s">
        <v>127</v>
      </c>
      <c r="C861" s="46" t="s">
        <v>65</v>
      </c>
      <c r="D861" s="126" t="s">
        <v>76</v>
      </c>
      <c r="E861" s="126"/>
      <c r="F861" s="129">
        <v>2</v>
      </c>
      <c r="G861" s="75" t="s">
        <v>242</v>
      </c>
      <c r="H861" s="126" t="s">
        <v>78</v>
      </c>
      <c r="I861" s="126" t="s">
        <v>243</v>
      </c>
      <c r="J861" s="126" t="s">
        <v>244</v>
      </c>
      <c r="K861" s="126"/>
      <c r="L861" s="47"/>
      <c r="M861" s="47"/>
      <c r="N861" s="47"/>
      <c r="O861" s="68"/>
      <c r="P861" s="68"/>
      <c r="Q861" s="47"/>
      <c r="R861" s="47"/>
      <c r="S861" s="47"/>
      <c r="T861" s="68"/>
      <c r="U861" s="68"/>
      <c r="V861" s="126" t="s">
        <v>167</v>
      </c>
      <c r="W861" s="74">
        <v>1</v>
      </c>
      <c r="X861" s="127">
        <f>MAX(0,$AK861-$W861-$Z861)</f>
        <v>0</v>
      </c>
      <c r="Y861" s="126"/>
      <c r="Z861" s="126"/>
      <c r="AA861" s="126">
        <v>0.18</v>
      </c>
      <c r="AB861" s="126">
        <f>IF(AND($X861&gt;0,ISNUMBER($AA861)),$X861*$AA861,0)</f>
        <v>0</v>
      </c>
      <c r="AK861" s="39">
        <f>SUM(AL861:AR861)</f>
        <v>1</v>
      </c>
      <c r="AL861" s="128"/>
      <c r="AM861" s="38"/>
      <c r="AN861" s="38"/>
      <c r="AO861" s="38"/>
      <c r="AP861" s="97">
        <v>1</v>
      </c>
      <c r="AQ861" s="38"/>
      <c r="AR861" s="128"/>
      <c r="AS861" s="42">
        <f>SUM(AT861:AZ861)</f>
        <v>1</v>
      </c>
      <c r="AT861" s="48"/>
      <c r="AU861" s="48"/>
      <c r="AV861" s="48"/>
      <c r="AW861" s="48"/>
      <c r="AX861" s="48">
        <v>1</v>
      </c>
      <c r="AY861" s="48"/>
      <c r="AZ861" s="48"/>
      <c r="BA861" s="43">
        <f>IF((W861-SUM(AT861:AZ861))&lt;0,0,W861-SUM(AT861:AZ861))</f>
        <v>0</v>
      </c>
      <c r="BB861" s="126"/>
      <c r="BC861" s="47"/>
      <c r="BD861" s="47"/>
    </row>
    <row r="862" spans="1:56" ht="15" customHeight="1">
      <c r="A862" s="37" t="s">
        <v>3657</v>
      </c>
      <c r="B862" s="38" t="s">
        <v>127</v>
      </c>
      <c r="C862" s="38" t="s">
        <v>65</v>
      </c>
      <c r="D862" s="37" t="s">
        <v>84</v>
      </c>
      <c r="E862" s="37" t="s">
        <v>3658</v>
      </c>
      <c r="F862" s="38">
        <v>2</v>
      </c>
      <c r="G862" s="75" t="s">
        <v>3659</v>
      </c>
      <c r="H862" s="37" t="s">
        <v>123</v>
      </c>
      <c r="I862" s="37" t="s">
        <v>3660</v>
      </c>
      <c r="J862" s="37" t="s">
        <v>3661</v>
      </c>
      <c r="K862" s="37"/>
      <c r="L862" s="37"/>
      <c r="M862" s="37"/>
      <c r="N862" s="37"/>
      <c r="O862" s="68"/>
      <c r="P862" s="68"/>
      <c r="Q862" s="37"/>
      <c r="R862" s="37"/>
      <c r="S862" s="37"/>
      <c r="T862" s="68"/>
      <c r="U862" s="68"/>
      <c r="V862" s="37" t="s">
        <v>223</v>
      </c>
      <c r="W862" s="74">
        <v>1</v>
      </c>
      <c r="X862" s="43">
        <f>MAX(0,$AK862-$W862-$Z862)</f>
        <v>0</v>
      </c>
      <c r="Y862" s="37"/>
      <c r="Z862" s="37"/>
      <c r="AA862" s="66">
        <v>7.0000000000000007E-2</v>
      </c>
      <c r="AB862" s="59">
        <f>IF(AND($X862&gt;0,ISNUMBER($AA862)),$X862*$AA862,0)</f>
        <v>0</v>
      </c>
      <c r="AK862" s="39">
        <f>SUM(AL862:AR862)</f>
        <v>0</v>
      </c>
      <c r="AL862" s="128"/>
      <c r="AM862" s="38"/>
      <c r="AN862" s="38"/>
      <c r="AO862" s="38"/>
      <c r="AP862" s="38"/>
      <c r="AQ862" s="38"/>
      <c r="AR862" s="128"/>
      <c r="AS862" s="42">
        <f>SUM(AT862:AZ862)</f>
        <v>0</v>
      </c>
      <c r="AT862" s="48"/>
      <c r="AU862" s="48"/>
      <c r="AV862" s="48"/>
      <c r="AW862" s="48"/>
      <c r="AX862" s="48"/>
      <c r="AY862" s="48"/>
      <c r="AZ862" s="48"/>
      <c r="BA862" s="43">
        <f>IF((W862-SUM(AT862:AZ862))&lt;0,0,W862-SUM(AT862:AZ862))</f>
        <v>1</v>
      </c>
      <c r="BB862" s="37"/>
      <c r="BC862" s="37"/>
      <c r="BD862" s="37"/>
    </row>
    <row r="863" spans="1:56" ht="15" customHeight="1">
      <c r="A863" s="52" t="s">
        <v>3662</v>
      </c>
      <c r="B863" s="43" t="s">
        <v>127</v>
      </c>
      <c r="C863" s="46" t="s">
        <v>65</v>
      </c>
      <c r="D863" s="52" t="s">
        <v>84</v>
      </c>
      <c r="E863" s="52" t="s">
        <v>3663</v>
      </c>
      <c r="F863" s="43">
        <v>3</v>
      </c>
      <c r="G863" s="75" t="s">
        <v>3664</v>
      </c>
      <c r="H863" s="58" t="s">
        <v>227</v>
      </c>
      <c r="I863" s="58" t="s">
        <v>1132</v>
      </c>
      <c r="J863" s="58" t="s">
        <v>164</v>
      </c>
      <c r="K863" s="58" t="s">
        <v>3191</v>
      </c>
      <c r="L863" s="47"/>
      <c r="M863" s="47"/>
      <c r="N863" s="47"/>
      <c r="O863" s="47"/>
      <c r="P863" s="47"/>
      <c r="Q863" s="47"/>
      <c r="R863" s="47"/>
      <c r="S863" s="47"/>
      <c r="T863" s="47"/>
      <c r="U863" s="47"/>
      <c r="V863" s="58" t="s">
        <v>3665</v>
      </c>
      <c r="W863" s="74">
        <v>1</v>
      </c>
      <c r="X863" s="43">
        <f>MAX(0,$AK863-$W863-$Z863)</f>
        <v>0</v>
      </c>
      <c r="Y863" s="43"/>
      <c r="Z863" s="43"/>
      <c r="AA863" s="59">
        <v>0.11</v>
      </c>
      <c r="AB863" s="59">
        <f>IF(AND($X863&gt;0,ISNUMBER($AA863)),$X863*$AA863,0)</f>
        <v>0</v>
      </c>
      <c r="AK863" s="39">
        <f>SUM(AL863:AR863)</f>
        <v>1</v>
      </c>
      <c r="AL863" s="128"/>
      <c r="AM863" s="97">
        <v>1</v>
      </c>
      <c r="AN863" s="38"/>
      <c r="AO863" s="38"/>
      <c r="AP863" s="38"/>
      <c r="AQ863" s="38"/>
      <c r="AR863" s="128"/>
      <c r="AS863" s="42">
        <f>SUM(AT863:AZ863)</f>
        <v>1</v>
      </c>
      <c r="AT863" s="48"/>
      <c r="AU863" s="48">
        <v>1</v>
      </c>
      <c r="AV863" s="48"/>
      <c r="AW863" s="48"/>
      <c r="AX863" s="48"/>
      <c r="AY863" s="48"/>
      <c r="AZ863" s="48"/>
      <c r="BA863" s="43">
        <f>IF((W863-SUM(AT863:AZ863))&lt;0,0,W863-SUM(AT863:AZ863))</f>
        <v>0</v>
      </c>
      <c r="BB863" s="52"/>
      <c r="BC863" s="47"/>
      <c r="BD863" s="47"/>
    </row>
    <row r="864" spans="1:56" ht="15" customHeight="1">
      <c r="A864" s="52" t="s">
        <v>3666</v>
      </c>
      <c r="B864" s="43" t="s">
        <v>127</v>
      </c>
      <c r="C864" s="46" t="s">
        <v>65</v>
      </c>
      <c r="D864" s="52" t="s">
        <v>84</v>
      </c>
      <c r="E864" s="52" t="s">
        <v>3667</v>
      </c>
      <c r="F864" s="43">
        <v>6</v>
      </c>
      <c r="G864" s="75" t="s">
        <v>3668</v>
      </c>
      <c r="H864" s="58" t="s">
        <v>115</v>
      </c>
      <c r="I864" s="58" t="s">
        <v>3669</v>
      </c>
      <c r="J864" s="58" t="s">
        <v>3670</v>
      </c>
      <c r="K864" s="58"/>
      <c r="L864" s="46"/>
      <c r="M864" s="46"/>
      <c r="N864" s="46"/>
      <c r="O864" s="46"/>
      <c r="P864" s="46"/>
      <c r="Q864" s="46"/>
      <c r="R864" s="46"/>
      <c r="S864" s="46"/>
      <c r="T864" s="46"/>
      <c r="U864" s="46"/>
      <c r="V864" s="58" t="s">
        <v>306</v>
      </c>
      <c r="W864" s="74">
        <v>2</v>
      </c>
      <c r="X864" s="43">
        <f>MAX(0,$AK864-$W864-$Z864)</f>
        <v>0</v>
      </c>
      <c r="Y864" s="43"/>
      <c r="Z864" s="43"/>
      <c r="AA864" s="59">
        <v>0.34</v>
      </c>
      <c r="AB864" s="59">
        <f>IF(AND($X864&gt;0,ISNUMBER($AA864)),$X864*$AA864,0)</f>
        <v>0</v>
      </c>
      <c r="AK864" s="39">
        <f>SUM(AL864:AR864)</f>
        <v>1</v>
      </c>
      <c r="AL864" s="97">
        <v>1</v>
      </c>
      <c r="AM864" s="38"/>
      <c r="AN864" s="38"/>
      <c r="AO864" s="38"/>
      <c r="AP864" s="38"/>
      <c r="AQ864" s="38"/>
      <c r="AR864" s="38"/>
      <c r="AS864" s="42">
        <f>SUM(AT864:AZ864)</f>
        <v>1</v>
      </c>
      <c r="AT864" s="48">
        <v>1</v>
      </c>
      <c r="AU864" s="48"/>
      <c r="AV864" s="48"/>
      <c r="AW864" s="48"/>
      <c r="AX864" s="48"/>
      <c r="AY864" s="48"/>
      <c r="AZ864" s="48"/>
      <c r="BA864" s="43">
        <f>IF((W864-SUM(AT864:AZ864))&lt;0,0,W864-SUM(AT864:AZ864))</f>
        <v>1</v>
      </c>
      <c r="BB864" s="52"/>
      <c r="BC864" s="47"/>
      <c r="BD864" s="47"/>
    </row>
    <row r="865" spans="1:56" ht="15" customHeight="1">
      <c r="A865" s="52" t="s">
        <v>3671</v>
      </c>
      <c r="B865" s="43" t="s">
        <v>127</v>
      </c>
      <c r="C865" s="46" t="s">
        <v>65</v>
      </c>
      <c r="D865" s="52" t="s">
        <v>84</v>
      </c>
      <c r="E865" s="52" t="s">
        <v>2294</v>
      </c>
      <c r="F865" s="43">
        <v>6</v>
      </c>
      <c r="G865" s="75" t="s">
        <v>3672</v>
      </c>
      <c r="H865" s="58" t="s">
        <v>238</v>
      </c>
      <c r="I865" s="58" t="s">
        <v>3673</v>
      </c>
      <c r="J865" s="58" t="s">
        <v>2035</v>
      </c>
      <c r="K865" s="58"/>
      <c r="L865" s="47"/>
      <c r="M865" s="47"/>
      <c r="N865" s="47"/>
      <c r="O865" s="68"/>
      <c r="P865" s="68"/>
      <c r="Q865" s="47"/>
      <c r="R865" s="47"/>
      <c r="S865" s="47"/>
      <c r="T865" s="68"/>
      <c r="U865" s="68"/>
      <c r="V865" s="58" t="s">
        <v>119</v>
      </c>
      <c r="W865" s="74">
        <v>2</v>
      </c>
      <c r="X865" s="43">
        <f>MAX(0,$AK865-$W865-$Z865)</f>
        <v>0</v>
      </c>
      <c r="Y865" s="43"/>
      <c r="Z865" s="43"/>
      <c r="AA865" s="59">
        <v>0.16</v>
      </c>
      <c r="AB865" s="59">
        <f>IF(AND($X865&gt;0,ISNUMBER($AA865)),$X865*$AA865,0)</f>
        <v>0</v>
      </c>
      <c r="AK865" s="39">
        <f>SUM(AL865:AR865)</f>
        <v>0</v>
      </c>
      <c r="AL865" s="38"/>
      <c r="AM865" s="38"/>
      <c r="AN865" s="38"/>
      <c r="AO865" s="38"/>
      <c r="AP865" s="38"/>
      <c r="AQ865" s="38"/>
      <c r="AR865" s="38"/>
      <c r="AS865" s="42">
        <f>SUM(AT865:AZ865)</f>
        <v>0</v>
      </c>
      <c r="AT865" s="48"/>
      <c r="AU865" s="48"/>
      <c r="AV865" s="48"/>
      <c r="AW865" s="48"/>
      <c r="AX865" s="48"/>
      <c r="AY865" s="48"/>
      <c r="AZ865" s="48"/>
      <c r="BA865" s="43">
        <f>IF((W865-SUM(AT865:AZ865))&lt;0,0,W865-SUM(AT865:AZ865))</f>
        <v>2</v>
      </c>
      <c r="BB865" s="52"/>
      <c r="BC865" s="47"/>
      <c r="BD865" s="47"/>
    </row>
    <row r="866" spans="1:56" ht="15" customHeight="1">
      <c r="A866" s="52" t="s">
        <v>3674</v>
      </c>
      <c r="B866" s="43" t="s">
        <v>127</v>
      </c>
      <c r="C866" s="46" t="s">
        <v>65</v>
      </c>
      <c r="D866" s="52" t="s">
        <v>84</v>
      </c>
      <c r="E866" s="52" t="s">
        <v>3675</v>
      </c>
      <c r="F866" s="43">
        <v>2</v>
      </c>
      <c r="G866" s="75" t="s">
        <v>3676</v>
      </c>
      <c r="H866" s="58" t="s">
        <v>258</v>
      </c>
      <c r="I866" s="58" t="s">
        <v>376</v>
      </c>
      <c r="J866" s="58" t="s">
        <v>3677</v>
      </c>
      <c r="K866" s="58"/>
      <c r="L866" s="47"/>
      <c r="M866" s="47"/>
      <c r="N866" s="47"/>
      <c r="O866" s="47"/>
      <c r="P866" s="47"/>
      <c r="Q866" s="47"/>
      <c r="R866" s="47"/>
      <c r="S866" s="47"/>
      <c r="T866" s="47"/>
      <c r="U866" s="47"/>
      <c r="V866" s="58" t="s">
        <v>1248</v>
      </c>
      <c r="W866" s="74">
        <v>0</v>
      </c>
      <c r="X866" s="43">
        <f>MAX(0,$AK866-$W866-$Z866)</f>
        <v>0</v>
      </c>
      <c r="Y866" s="43"/>
      <c r="Z866" s="43"/>
      <c r="AA866" s="59">
        <v>4.67</v>
      </c>
      <c r="AB866" s="59">
        <f>IF(AND($X866&gt;0,ISNUMBER($AA866)),$X866*$AA866,0)</f>
        <v>0</v>
      </c>
      <c r="AC866" s="59"/>
      <c r="AD866" s="59"/>
      <c r="AE866" s="59"/>
      <c r="AF866" s="59"/>
      <c r="AG866" s="59"/>
      <c r="AH866" s="59"/>
      <c r="AI866" s="59"/>
      <c r="AJ866" s="59"/>
      <c r="AK866" s="39">
        <f>SUM(AL866:AR866)</f>
        <v>0</v>
      </c>
      <c r="AL866" s="43"/>
      <c r="AM866" s="43"/>
      <c r="AN866" s="43"/>
      <c r="AO866" s="43"/>
      <c r="AP866" s="43"/>
      <c r="AQ866" s="43"/>
      <c r="AR866" s="43"/>
      <c r="AS866" s="42">
        <f>SUM(AT866:AZ866)</f>
        <v>0</v>
      </c>
      <c r="AT866" s="48"/>
      <c r="AU866" s="48"/>
      <c r="AV866" s="48"/>
      <c r="AW866" s="48"/>
      <c r="AX866" s="48"/>
      <c r="AY866" s="48"/>
      <c r="AZ866" s="48"/>
      <c r="BA866" s="43">
        <f>IF((W866-SUM(AT866:AZ866))&lt;0,0,W866-SUM(AT866:AZ866))</f>
        <v>0</v>
      </c>
      <c r="BB866" s="52"/>
      <c r="BC866" s="47"/>
      <c r="BD866" s="47"/>
    </row>
    <row r="867" spans="1:56" ht="15" customHeight="1">
      <c r="A867" s="125" t="s">
        <v>516</v>
      </c>
      <c r="B867" s="127" t="s">
        <v>127</v>
      </c>
      <c r="C867" s="46" t="s">
        <v>65</v>
      </c>
      <c r="D867" s="125" t="s">
        <v>76</v>
      </c>
      <c r="E867" s="125"/>
      <c r="F867" s="127">
        <v>1</v>
      </c>
      <c r="G867" s="75" t="s">
        <v>517</v>
      </c>
      <c r="H867" s="131" t="s">
        <v>78</v>
      </c>
      <c r="I867" s="131" t="s">
        <v>518</v>
      </c>
      <c r="J867" s="131" t="s">
        <v>519</v>
      </c>
      <c r="K867" s="131"/>
      <c r="L867" s="46"/>
      <c r="M867" s="46"/>
      <c r="N867" s="46"/>
      <c r="O867" s="46"/>
      <c r="P867" s="46"/>
      <c r="Q867" s="46"/>
      <c r="R867" s="46"/>
      <c r="S867" s="46"/>
      <c r="T867" s="46"/>
      <c r="U867" s="46"/>
      <c r="V867" s="131" t="s">
        <v>70</v>
      </c>
      <c r="W867" s="74">
        <v>2</v>
      </c>
      <c r="X867" s="127">
        <f>MAX(0,$AK867-$W867-$Z867)</f>
        <v>0</v>
      </c>
      <c r="Y867" s="127"/>
      <c r="Z867" s="127"/>
      <c r="AA867" s="132">
        <v>1.47</v>
      </c>
      <c r="AB867" s="132">
        <f>IF(AND($X867&gt;0,ISNUMBER($AA867)),$X867*$AA867,0)</f>
        <v>0</v>
      </c>
      <c r="AK867" s="39">
        <f>SUM(AL867:AR867)</f>
        <v>2</v>
      </c>
      <c r="AL867" s="139">
        <v>1</v>
      </c>
      <c r="AM867" s="38"/>
      <c r="AN867" s="38"/>
      <c r="AO867" s="38"/>
      <c r="AP867" s="97">
        <v>1</v>
      </c>
      <c r="AQ867" s="38"/>
      <c r="AR867" s="128"/>
      <c r="AS867" s="42">
        <f>SUM(AT867:AZ867)</f>
        <v>2</v>
      </c>
      <c r="AT867" s="48">
        <v>1</v>
      </c>
      <c r="AU867" s="48"/>
      <c r="AV867" s="48"/>
      <c r="AW867" s="48"/>
      <c r="AX867" s="48">
        <v>1</v>
      </c>
      <c r="AY867" s="48"/>
      <c r="AZ867" s="48"/>
      <c r="BA867" s="43">
        <f>IF((W867-SUM(AT867:AZ867))&lt;0,0,W867-SUM(AT867:AZ867))</f>
        <v>0</v>
      </c>
      <c r="BB867" s="125"/>
      <c r="BC867" s="47"/>
      <c r="BD867" s="47"/>
    </row>
    <row r="868" spans="1:56" ht="15" customHeight="1">
      <c r="A868" s="52" t="s">
        <v>3678</v>
      </c>
      <c r="B868" s="43" t="s">
        <v>127</v>
      </c>
      <c r="C868" s="46" t="s">
        <v>83</v>
      </c>
      <c r="D868" s="52" t="s">
        <v>256</v>
      </c>
      <c r="E868" s="52"/>
      <c r="F868" s="43">
        <v>4</v>
      </c>
      <c r="G868" s="75" t="s">
        <v>3679</v>
      </c>
      <c r="H868" s="58" t="s">
        <v>87</v>
      </c>
      <c r="I868" s="58" t="s">
        <v>3680</v>
      </c>
      <c r="J868" s="58"/>
      <c r="K868" s="58"/>
      <c r="L868" s="47"/>
      <c r="M868" s="47"/>
      <c r="N868" s="47"/>
      <c r="O868" s="47"/>
      <c r="P868" s="47"/>
      <c r="Q868" s="47"/>
      <c r="R868" s="47"/>
      <c r="S868" s="47"/>
      <c r="T868" s="47"/>
      <c r="U868" s="47"/>
      <c r="V868" s="58" t="s">
        <v>276</v>
      </c>
      <c r="W868" s="74">
        <v>0</v>
      </c>
      <c r="X868" s="43">
        <f>MAX(0,$AK868-$W868-$Z868)</f>
        <v>0</v>
      </c>
      <c r="Y868" s="43"/>
      <c r="Z868" s="43"/>
      <c r="AA868" s="59">
        <v>10.93</v>
      </c>
      <c r="AB868" s="59">
        <f>IF(AND($X868&gt;0,ISNUMBER($AA868)),$X868*$AA868,0)</f>
        <v>0</v>
      </c>
      <c r="AC868" s="59"/>
      <c r="AD868" s="59"/>
      <c r="AE868" s="59"/>
      <c r="AF868" s="59"/>
      <c r="AG868" s="59"/>
      <c r="AH868" s="59"/>
      <c r="AI868" s="59"/>
      <c r="AJ868" s="59"/>
      <c r="AK868" s="39">
        <f>SUM(AL868:AR868)</f>
        <v>0</v>
      </c>
      <c r="AL868" s="43"/>
      <c r="AM868" s="43"/>
      <c r="AN868" s="43"/>
      <c r="AO868" s="43"/>
      <c r="AP868" s="43"/>
      <c r="AQ868" s="43"/>
      <c r="AR868" s="43"/>
      <c r="AS868" s="42">
        <f>SUM(AT868:AZ868)</f>
        <v>0</v>
      </c>
      <c r="AT868" s="48"/>
      <c r="AU868" s="48"/>
      <c r="AV868" s="48"/>
      <c r="AW868" s="48"/>
      <c r="AX868" s="48"/>
      <c r="AY868" s="48"/>
      <c r="AZ868" s="48"/>
      <c r="BA868" s="43">
        <f>IF((W868-SUM(AT868:AZ868))&lt;0,0,W868-SUM(AT868:AZ868))</f>
        <v>0</v>
      </c>
      <c r="BB868" s="52"/>
      <c r="BC868" s="47"/>
      <c r="BD868" s="47"/>
    </row>
    <row r="869" spans="1:56" ht="15" customHeight="1">
      <c r="A869" s="52" t="s">
        <v>3681</v>
      </c>
      <c r="B869" s="43" t="s">
        <v>127</v>
      </c>
      <c r="C869" s="46" t="s">
        <v>65</v>
      </c>
      <c r="D869" s="52" t="s">
        <v>178</v>
      </c>
      <c r="E869" s="52" t="s">
        <v>428</v>
      </c>
      <c r="F869" s="43">
        <v>4</v>
      </c>
      <c r="G869" s="75" t="s">
        <v>3682</v>
      </c>
      <c r="H869" s="58" t="s">
        <v>115</v>
      </c>
      <c r="I869" s="58" t="s">
        <v>181</v>
      </c>
      <c r="J869" s="58" t="s">
        <v>3683</v>
      </c>
      <c r="K869" s="58"/>
      <c r="L869" s="46"/>
      <c r="M869" s="46"/>
      <c r="N869" s="46"/>
      <c r="O869" s="46"/>
      <c r="P869" s="46"/>
      <c r="Q869" s="46"/>
      <c r="R869" s="46"/>
      <c r="S869" s="46"/>
      <c r="T869" s="46"/>
      <c r="U869" s="46"/>
      <c r="V869" s="58" t="s">
        <v>2350</v>
      </c>
      <c r="W869" s="74">
        <v>1</v>
      </c>
      <c r="X869" s="43">
        <f>MAX(0,$AK869-$W869-$Z869)</f>
        <v>0</v>
      </c>
      <c r="Y869" s="43"/>
      <c r="Z869" s="43"/>
      <c r="AA869" s="59">
        <v>0.28999999999999998</v>
      </c>
      <c r="AB869" s="59">
        <f>IF(AND($X869&gt;0,ISNUMBER($AA869)),$X869*$AA869,0)</f>
        <v>0</v>
      </c>
      <c r="AC869" s="63"/>
      <c r="AK869" s="39">
        <f>SUM(AL869:AR869)</f>
        <v>1</v>
      </c>
      <c r="AL869" s="97">
        <v>1</v>
      </c>
      <c r="AM869" s="38"/>
      <c r="AN869" s="38"/>
      <c r="AO869" s="38"/>
      <c r="AP869" s="38"/>
      <c r="AQ869" s="38"/>
      <c r="AR869" s="38"/>
      <c r="AS869" s="42">
        <f>SUM(AT869:AZ869)</f>
        <v>1</v>
      </c>
      <c r="AT869" s="48">
        <v>1</v>
      </c>
      <c r="AU869" s="48"/>
      <c r="AV869" s="48"/>
      <c r="AW869" s="48"/>
      <c r="AX869" s="48"/>
      <c r="AY869" s="48"/>
      <c r="AZ869" s="48"/>
      <c r="BA869" s="43">
        <f>IF((W869-SUM(AT869:AZ869))&lt;0,0,W869-SUM(AT869:AZ869))</f>
        <v>0</v>
      </c>
      <c r="BB869" s="52"/>
      <c r="BC869" s="47"/>
      <c r="BD869" s="47"/>
    </row>
    <row r="870" spans="1:56" ht="15" customHeight="1">
      <c r="A870" s="52" t="s">
        <v>3684</v>
      </c>
      <c r="B870" s="43" t="s">
        <v>127</v>
      </c>
      <c r="C870" s="46" t="s">
        <v>65</v>
      </c>
      <c r="D870" s="52" t="s">
        <v>434</v>
      </c>
      <c r="E870" s="52"/>
      <c r="F870" s="43">
        <v>6</v>
      </c>
      <c r="G870" s="75" t="s">
        <v>3685</v>
      </c>
      <c r="H870" s="58" t="s">
        <v>1182</v>
      </c>
      <c r="I870" s="58" t="s">
        <v>3686</v>
      </c>
      <c r="J870" s="58" t="s">
        <v>3687</v>
      </c>
      <c r="K870" s="58" t="s">
        <v>3688</v>
      </c>
      <c r="L870" s="46"/>
      <c r="M870" s="46"/>
      <c r="N870" s="46"/>
      <c r="O870" s="46"/>
      <c r="P870" s="46"/>
      <c r="Q870" s="46"/>
      <c r="R870" s="46"/>
      <c r="S870" s="46"/>
      <c r="T870" s="46"/>
      <c r="U870" s="46"/>
      <c r="V870" s="58" t="s">
        <v>471</v>
      </c>
      <c r="W870" s="74">
        <v>1</v>
      </c>
      <c r="X870" s="43">
        <f>MAX(0,$AK870-$W870-$Z870)</f>
        <v>0</v>
      </c>
      <c r="Y870" s="43"/>
      <c r="Z870" s="43"/>
      <c r="AA870" s="59">
        <v>1.1299999999999999</v>
      </c>
      <c r="AB870" s="59">
        <f>IF(AND($X870&gt;0,ISNUMBER($AA870)),$X870*$AA870,0)</f>
        <v>0</v>
      </c>
      <c r="AK870" s="39">
        <f>SUM(AL870:AR870)</f>
        <v>1</v>
      </c>
      <c r="AL870" s="38"/>
      <c r="AM870" s="97">
        <v>1</v>
      </c>
      <c r="AN870" s="38"/>
      <c r="AO870" s="38"/>
      <c r="AP870" s="38"/>
      <c r="AQ870" s="38"/>
      <c r="AR870" s="38"/>
      <c r="AS870" s="42">
        <f>SUM(AT870:AZ870)</f>
        <v>1</v>
      </c>
      <c r="AT870" s="48"/>
      <c r="AU870" s="48">
        <v>1</v>
      </c>
      <c r="AV870" s="48"/>
      <c r="AW870" s="48"/>
      <c r="AX870" s="48"/>
      <c r="AY870" s="48"/>
      <c r="AZ870" s="48"/>
      <c r="BA870" s="43">
        <f>IF((W870-SUM(AT870:AZ870))&lt;0,0,W870-SUM(AT870:AZ870))</f>
        <v>0</v>
      </c>
      <c r="BB870" s="52"/>
      <c r="BC870" s="47"/>
      <c r="BD870" s="47"/>
    </row>
    <row r="871" spans="1:56" ht="15" customHeight="1">
      <c r="A871" s="52" t="s">
        <v>3689</v>
      </c>
      <c r="B871" s="43" t="s">
        <v>127</v>
      </c>
      <c r="C871" s="46" t="s">
        <v>65</v>
      </c>
      <c r="D871" s="52" t="s">
        <v>256</v>
      </c>
      <c r="E871" s="52" t="s">
        <v>2534</v>
      </c>
      <c r="F871" s="43">
        <v>3</v>
      </c>
      <c r="G871" s="75" t="s">
        <v>3690</v>
      </c>
      <c r="H871" s="58" t="s">
        <v>115</v>
      </c>
      <c r="I871" s="58" t="s">
        <v>3691</v>
      </c>
      <c r="J871" s="58" t="s">
        <v>3692</v>
      </c>
      <c r="K871" s="58" t="s">
        <v>3693</v>
      </c>
      <c r="L871" s="47"/>
      <c r="M871" s="47"/>
      <c r="N871" s="47"/>
      <c r="O871" s="47"/>
      <c r="P871" s="47"/>
      <c r="Q871" s="47"/>
      <c r="R871" s="47"/>
      <c r="S871" s="47"/>
      <c r="T871" s="47"/>
      <c r="U871" s="47"/>
      <c r="V871" s="58" t="s">
        <v>956</v>
      </c>
      <c r="W871" s="74">
        <v>1</v>
      </c>
      <c r="X871" s="43">
        <f>MAX(0,$AK871-$W871-$Z871)</f>
        <v>0</v>
      </c>
      <c r="Y871" s="43"/>
      <c r="Z871" s="43"/>
      <c r="AA871" s="59">
        <v>0.56999999999999995</v>
      </c>
      <c r="AB871" s="59">
        <f>IF(AND($X871&gt;0,ISNUMBER($AA871)),$X871*$AA871,0)</f>
        <v>0</v>
      </c>
      <c r="AK871" s="39">
        <f>SUM(AL871:AR871)</f>
        <v>0</v>
      </c>
      <c r="AL871" s="38"/>
      <c r="AM871" s="38"/>
      <c r="AN871" s="38"/>
      <c r="AO871" s="38"/>
      <c r="AP871" s="38"/>
      <c r="AQ871" s="38"/>
      <c r="AR871" s="38"/>
      <c r="AS871" s="42">
        <f>SUM(AT871:AZ871)</f>
        <v>0</v>
      </c>
      <c r="AT871" s="48"/>
      <c r="AU871" s="48"/>
      <c r="AV871" s="48"/>
      <c r="AW871" s="48"/>
      <c r="AX871" s="48"/>
      <c r="AY871" s="48"/>
      <c r="AZ871" s="48"/>
      <c r="BA871" s="43">
        <f>IF((W871-SUM(AT871:AZ871))&lt;0,0,W871-SUM(AT871:AZ871))</f>
        <v>1</v>
      </c>
      <c r="BB871" s="52"/>
      <c r="BC871" s="47"/>
      <c r="BD871" s="47"/>
    </row>
    <row r="872" spans="1:56" ht="15" customHeight="1">
      <c r="A872" s="47" t="s">
        <v>3694</v>
      </c>
      <c r="B872" s="46" t="s">
        <v>127</v>
      </c>
      <c r="C872" s="46" t="s">
        <v>65</v>
      </c>
      <c r="D872" s="47" t="s">
        <v>76</v>
      </c>
      <c r="E872" s="47"/>
      <c r="F872" s="46">
        <v>4</v>
      </c>
      <c r="G872" s="75" t="s">
        <v>3695</v>
      </c>
      <c r="H872" s="47" t="s">
        <v>499</v>
      </c>
      <c r="I872" s="47" t="s">
        <v>3696</v>
      </c>
      <c r="J872" s="47" t="s">
        <v>3697</v>
      </c>
      <c r="K872" s="47"/>
      <c r="L872" s="108" t="s">
        <v>3698</v>
      </c>
      <c r="M872" s="46">
        <v>1</v>
      </c>
      <c r="N872" s="46">
        <v>1</v>
      </c>
      <c r="O872" s="68" t="s">
        <v>3699</v>
      </c>
      <c r="P872" s="110">
        <v>0.18</v>
      </c>
      <c r="Q872" s="47"/>
      <c r="R872" s="47"/>
      <c r="S872" s="47"/>
      <c r="T872" s="68"/>
      <c r="U872" s="68"/>
      <c r="V872" s="47" t="s">
        <v>167</v>
      </c>
      <c r="W872" s="74">
        <v>1</v>
      </c>
      <c r="X872" s="43">
        <f>MAX(0,$AK872-$W872-$Z872)</f>
        <v>0</v>
      </c>
      <c r="Y872" s="47"/>
      <c r="Z872" s="47"/>
      <c r="AA872" s="47">
        <v>0.18</v>
      </c>
      <c r="AB872" s="47">
        <f>IF(AND($X872&gt;0,ISNUMBER($AA872)),$X872*$AA872,0)</f>
        <v>0</v>
      </c>
      <c r="AK872" s="39">
        <f>SUM(AL872:AR872)</f>
        <v>0</v>
      </c>
      <c r="AL872" s="38"/>
      <c r="AM872" s="38"/>
      <c r="AN872" s="38"/>
      <c r="AO872" s="38"/>
      <c r="AP872" s="38"/>
      <c r="AQ872" s="38"/>
      <c r="AR872" s="38"/>
      <c r="AS872" s="42">
        <f>SUM(AT872:AZ872)</f>
        <v>0</v>
      </c>
      <c r="AT872" s="48"/>
      <c r="AU872" s="48"/>
      <c r="AV872" s="48"/>
      <c r="AW872" s="48"/>
      <c r="AX872" s="48"/>
      <c r="AY872" s="48"/>
      <c r="AZ872" s="48"/>
      <c r="BA872" s="43">
        <f>IF((W872-SUM(AT872:AZ872))&lt;0,0,W872-SUM(AT872:AZ872))</f>
        <v>1</v>
      </c>
      <c r="BB872" s="47"/>
      <c r="BC872" s="47"/>
      <c r="BD872" s="47"/>
    </row>
    <row r="873" spans="1:56" ht="15" customHeight="1">
      <c r="A873" s="47" t="s">
        <v>3700</v>
      </c>
      <c r="B873" s="46" t="s">
        <v>127</v>
      </c>
      <c r="C873" s="46" t="s">
        <v>65</v>
      </c>
      <c r="D873" s="47" t="s">
        <v>84</v>
      </c>
      <c r="E873" s="47" t="s">
        <v>1461</v>
      </c>
      <c r="F873" s="46">
        <v>4</v>
      </c>
      <c r="G873" s="75" t="s">
        <v>3701</v>
      </c>
      <c r="H873" s="47" t="s">
        <v>446</v>
      </c>
      <c r="I873" s="47" t="s">
        <v>3702</v>
      </c>
      <c r="J873" s="47"/>
      <c r="K873" s="47"/>
      <c r="L873" s="47"/>
      <c r="M873" s="47"/>
      <c r="N873" s="47"/>
      <c r="O873" s="68"/>
      <c r="P873" s="68"/>
      <c r="Q873" s="47"/>
      <c r="R873" s="47"/>
      <c r="S873" s="47"/>
      <c r="T873" s="68"/>
      <c r="U873" s="68"/>
      <c r="V873" s="47" t="s">
        <v>119</v>
      </c>
      <c r="W873" s="74">
        <v>1</v>
      </c>
      <c r="X873" s="43">
        <f>MAX(0,$AK873-$W873-$Z873)</f>
        <v>0</v>
      </c>
      <c r="Y873" s="47"/>
      <c r="Z873" s="47"/>
      <c r="AA873" s="47">
        <v>0.16</v>
      </c>
      <c r="AB873" s="47">
        <f>IF(AND($X873&gt;0,ISNUMBER($AA873)),$X873*$AA873,0)</f>
        <v>0</v>
      </c>
      <c r="AK873" s="39">
        <f>SUM(AL873:AR873)</f>
        <v>0</v>
      </c>
      <c r="AL873" s="38"/>
      <c r="AM873" s="38"/>
      <c r="AN873" s="38"/>
      <c r="AO873" s="38"/>
      <c r="AP873" s="38"/>
      <c r="AQ873" s="38"/>
      <c r="AR873" s="38"/>
      <c r="AS873" s="42">
        <f>SUM(AT873:AZ873)</f>
        <v>0</v>
      </c>
      <c r="AT873" s="48"/>
      <c r="AU873" s="48"/>
      <c r="AV873" s="48"/>
      <c r="AW873" s="48"/>
      <c r="AX873" s="48"/>
      <c r="AY873" s="48"/>
      <c r="AZ873" s="48"/>
      <c r="BA873" s="43">
        <f>IF((W873-SUM(AT873:AZ873))&lt;0,0,W873-SUM(AT873:AZ873))</f>
        <v>1</v>
      </c>
      <c r="BB873" s="47"/>
      <c r="BC873" s="47"/>
      <c r="BD873" s="47"/>
    </row>
    <row r="874" spans="1:56" ht="15" customHeight="1">
      <c r="A874" s="52" t="s">
        <v>3703</v>
      </c>
      <c r="B874" s="43" t="s">
        <v>127</v>
      </c>
      <c r="C874" s="46" t="s">
        <v>65</v>
      </c>
      <c r="D874" s="52" t="s">
        <v>84</v>
      </c>
      <c r="E874" s="52" t="s">
        <v>1261</v>
      </c>
      <c r="F874" s="43">
        <v>2</v>
      </c>
      <c r="G874" s="75" t="s">
        <v>3704</v>
      </c>
      <c r="H874" s="58" t="s">
        <v>499</v>
      </c>
      <c r="I874" s="58" t="s">
        <v>3705</v>
      </c>
      <c r="J874" s="58"/>
      <c r="K874" s="58"/>
      <c r="L874" s="47"/>
      <c r="M874" s="47"/>
      <c r="N874" s="47"/>
      <c r="O874" s="68"/>
      <c r="P874" s="68"/>
      <c r="Q874" s="47"/>
      <c r="R874" s="47"/>
      <c r="S874" s="47"/>
      <c r="T874" s="68"/>
      <c r="U874" s="68"/>
      <c r="V874" s="58" t="s">
        <v>119</v>
      </c>
      <c r="W874" s="74">
        <v>1</v>
      </c>
      <c r="X874" s="43">
        <f>MAX(0,$AK874-$W874-$Z874)</f>
        <v>0</v>
      </c>
      <c r="Y874" s="43"/>
      <c r="Z874" s="43"/>
      <c r="AA874" s="59">
        <v>0.1</v>
      </c>
      <c r="AB874" s="59">
        <f>IF(AND($X874&gt;0,ISNUMBER($AA874)),$X874*$AA874,0)</f>
        <v>0</v>
      </c>
      <c r="AK874" s="39">
        <f>SUM(AL874:AR874)</f>
        <v>0</v>
      </c>
      <c r="AL874" s="38"/>
      <c r="AM874" s="38"/>
      <c r="AN874" s="38"/>
      <c r="AO874" s="38"/>
      <c r="AP874" s="38"/>
      <c r="AQ874" s="38"/>
      <c r="AR874" s="38"/>
      <c r="AS874" s="42">
        <f>SUM(AT874:AZ874)</f>
        <v>0</v>
      </c>
      <c r="AT874" s="48"/>
      <c r="AU874" s="48"/>
      <c r="AV874" s="48"/>
      <c r="AW874" s="48"/>
      <c r="AX874" s="48"/>
      <c r="AY874" s="48"/>
      <c r="AZ874" s="48"/>
      <c r="BA874" s="43">
        <f>IF((W874-SUM(AT874:AZ874))&lt;0,0,W874-SUM(AT874:AZ874))</f>
        <v>1</v>
      </c>
      <c r="BB874" s="52"/>
      <c r="BC874" s="47"/>
      <c r="BD874" s="47"/>
    </row>
    <row r="875" spans="1:56" ht="15" customHeight="1">
      <c r="A875" s="125" t="s">
        <v>140</v>
      </c>
      <c r="B875" s="127" t="s">
        <v>127</v>
      </c>
      <c r="C875" s="46" t="s">
        <v>65</v>
      </c>
      <c r="D875" s="125" t="s">
        <v>84</v>
      </c>
      <c r="E875" s="125" t="s">
        <v>128</v>
      </c>
      <c r="F875" s="127">
        <v>2</v>
      </c>
      <c r="G875" s="75" t="s">
        <v>141</v>
      </c>
      <c r="H875" s="131" t="s">
        <v>142</v>
      </c>
      <c r="I875" s="131" t="s">
        <v>143</v>
      </c>
      <c r="J875" s="131" t="s">
        <v>144</v>
      </c>
      <c r="K875" s="131"/>
      <c r="L875" s="47"/>
      <c r="M875" s="47"/>
      <c r="N875" s="47"/>
      <c r="O875" s="47"/>
      <c r="P875" s="47"/>
      <c r="Q875" s="47"/>
      <c r="R875" s="47"/>
      <c r="S875" s="47"/>
      <c r="T875" s="47"/>
      <c r="U875" s="47"/>
      <c r="V875" s="131" t="s">
        <v>145</v>
      </c>
      <c r="W875" s="74">
        <v>1</v>
      </c>
      <c r="X875" s="127">
        <f>MAX(0,$AK875-$W875-$Z875)</f>
        <v>0</v>
      </c>
      <c r="Y875" s="127"/>
      <c r="Z875" s="127"/>
      <c r="AA875" s="132">
        <v>0.35</v>
      </c>
      <c r="AB875" s="132">
        <f>IF(AND($X875&gt;0,ISNUMBER($AA875)),$X875*$AA875,0)</f>
        <v>0</v>
      </c>
      <c r="AK875" s="39">
        <f>SUM(AL875:AR875)</f>
        <v>0</v>
      </c>
      <c r="AL875" s="128"/>
      <c r="AM875" s="38"/>
      <c r="AN875" s="38"/>
      <c r="AO875" s="38"/>
      <c r="AP875" s="38"/>
      <c r="AQ875" s="38"/>
      <c r="AR875" s="128"/>
      <c r="AS875" s="42">
        <f>SUM(AT875:AZ875)</f>
        <v>0</v>
      </c>
      <c r="AT875" s="48"/>
      <c r="AU875" s="48"/>
      <c r="AV875" s="48"/>
      <c r="AW875" s="48"/>
      <c r="AX875" s="48"/>
      <c r="AY875" s="48"/>
      <c r="AZ875" s="48"/>
      <c r="BA875" s="43">
        <f>IF((W875-SUM(AT875:AZ875))&lt;0,0,W875-SUM(AT875:AZ875))</f>
        <v>1</v>
      </c>
      <c r="BB875" s="125"/>
      <c r="BC875" s="47"/>
      <c r="BD875" s="47"/>
    </row>
    <row r="876" spans="1:56" ht="15" customHeight="1">
      <c r="A876" s="52" t="s">
        <v>3706</v>
      </c>
      <c r="B876" s="43" t="s">
        <v>127</v>
      </c>
      <c r="C876" s="46" t="s">
        <v>65</v>
      </c>
      <c r="D876" s="52" t="s">
        <v>256</v>
      </c>
      <c r="E876" s="52"/>
      <c r="F876" s="43">
        <v>3</v>
      </c>
      <c r="G876" s="75" t="s">
        <v>3707</v>
      </c>
      <c r="H876" s="58" t="s">
        <v>293</v>
      </c>
      <c r="I876" s="58" t="s">
        <v>3708</v>
      </c>
      <c r="J876" s="58"/>
      <c r="K876" s="58"/>
      <c r="L876" s="46"/>
      <c r="M876" s="46"/>
      <c r="N876" s="46"/>
      <c r="O876" s="46"/>
      <c r="P876" s="46"/>
      <c r="Q876" s="46"/>
      <c r="R876" s="46"/>
      <c r="S876" s="46"/>
      <c r="T876" s="46"/>
      <c r="U876" s="46"/>
      <c r="V876" s="58" t="s">
        <v>3709</v>
      </c>
      <c r="W876" s="74">
        <v>1</v>
      </c>
      <c r="X876" s="43">
        <f>MAX(0,$AK876-$W876-$Z876)</f>
        <v>0</v>
      </c>
      <c r="Y876" s="43"/>
      <c r="Z876" s="43"/>
      <c r="AA876" s="59">
        <v>1.07</v>
      </c>
      <c r="AB876" s="59">
        <f>IF(AND($X876&gt;0,ISNUMBER($AA876)),$X876*$AA876,0)</f>
        <v>0</v>
      </c>
      <c r="AK876" s="39">
        <f>SUM(AL876:AR876)</f>
        <v>1</v>
      </c>
      <c r="AL876" s="97">
        <v>1</v>
      </c>
      <c r="AM876" s="38"/>
      <c r="AN876" s="38"/>
      <c r="AO876" s="38"/>
      <c r="AP876" s="38"/>
      <c r="AQ876" s="38"/>
      <c r="AR876" s="38"/>
      <c r="AS876" s="42">
        <f>SUM(AT876:AZ876)</f>
        <v>1</v>
      </c>
      <c r="AT876" s="48">
        <v>1</v>
      </c>
      <c r="AU876" s="48"/>
      <c r="AV876" s="48"/>
      <c r="AW876" s="48"/>
      <c r="AX876" s="48"/>
      <c r="AY876" s="48"/>
      <c r="AZ876" s="48"/>
      <c r="BA876" s="43">
        <f>IF((W876-SUM(AT876:AZ876))&lt;0,0,W876-SUM(AT876:AZ876))</f>
        <v>0</v>
      </c>
      <c r="BB876" s="52"/>
      <c r="BC876" s="47"/>
      <c r="BD876" s="47"/>
    </row>
    <row r="877" spans="1:56" ht="15" customHeight="1">
      <c r="A877" s="52" t="s">
        <v>3710</v>
      </c>
      <c r="B877" s="43" t="s">
        <v>127</v>
      </c>
      <c r="C877" s="46" t="s">
        <v>65</v>
      </c>
      <c r="D877" s="52" t="s">
        <v>134</v>
      </c>
      <c r="E877" s="52"/>
      <c r="F877" s="43">
        <v>5</v>
      </c>
      <c r="G877" s="75" t="s">
        <v>3711</v>
      </c>
      <c r="H877" s="58" t="s">
        <v>474</v>
      </c>
      <c r="I877" s="58" t="s">
        <v>3712</v>
      </c>
      <c r="J877" s="58" t="s">
        <v>3713</v>
      </c>
      <c r="K877" s="58"/>
      <c r="L877" s="47"/>
      <c r="M877" s="47"/>
      <c r="N877" s="47"/>
      <c r="O877" s="47"/>
      <c r="P877" s="47"/>
      <c r="Q877" s="47"/>
      <c r="R877" s="47"/>
      <c r="S877" s="47"/>
      <c r="T877" s="47"/>
      <c r="U877" s="47"/>
      <c r="V877" s="58" t="s">
        <v>344</v>
      </c>
      <c r="W877" s="74">
        <v>1</v>
      </c>
      <c r="X877" s="43">
        <f>MAX(0,$AK877-$W877-$Z877)</f>
        <v>0</v>
      </c>
      <c r="Y877" s="43"/>
      <c r="Z877" s="43"/>
      <c r="AA877" s="59">
        <v>0.25</v>
      </c>
      <c r="AB877" s="59">
        <f>IF(AND($X877&gt;0,ISNUMBER($AA877)),$X877*$AA877,0)</f>
        <v>0</v>
      </c>
      <c r="AK877" s="39">
        <f>SUM(AL877:AR877)</f>
        <v>1</v>
      </c>
      <c r="AL877" s="38"/>
      <c r="AM877" s="38"/>
      <c r="AN877" s="97">
        <v>1</v>
      </c>
      <c r="AO877" s="38"/>
      <c r="AP877" s="38"/>
      <c r="AQ877" s="38"/>
      <c r="AR877" s="38"/>
      <c r="AS877" s="42">
        <f>SUM(AT877:AZ877)</f>
        <v>1</v>
      </c>
      <c r="AT877" s="48"/>
      <c r="AU877" s="48"/>
      <c r="AV877" s="48">
        <v>1</v>
      </c>
      <c r="AW877" s="48"/>
      <c r="AX877" s="48"/>
      <c r="AY877" s="48"/>
      <c r="AZ877" s="48"/>
      <c r="BA877" s="43">
        <f>IF((W877-SUM(AT877:AZ877))&lt;0,0,W877-SUM(AT877:AZ877))</f>
        <v>0</v>
      </c>
      <c r="BB877" s="52"/>
      <c r="BC877" s="47"/>
      <c r="BD877" s="47"/>
    </row>
    <row r="878" spans="1:56" ht="15" customHeight="1">
      <c r="A878" s="52" t="s">
        <v>3714</v>
      </c>
      <c r="B878" s="43" t="s">
        <v>127</v>
      </c>
      <c r="C878" s="46" t="s">
        <v>83</v>
      </c>
      <c r="D878" s="52" t="s">
        <v>76</v>
      </c>
      <c r="E878" s="52"/>
      <c r="F878" s="43">
        <v>3</v>
      </c>
      <c r="G878" s="75" t="s">
        <v>3715</v>
      </c>
      <c r="H878" s="58" t="s">
        <v>100</v>
      </c>
      <c r="I878" s="58" t="s">
        <v>489</v>
      </c>
      <c r="J878" s="58" t="s">
        <v>3716</v>
      </c>
      <c r="K878" s="58"/>
      <c r="L878" s="47"/>
      <c r="M878" s="47"/>
      <c r="N878" s="47"/>
      <c r="O878" s="47"/>
      <c r="P878" s="47"/>
      <c r="Q878" s="47"/>
      <c r="R878" s="47"/>
      <c r="S878" s="47"/>
      <c r="T878" s="47"/>
      <c r="U878" s="47"/>
      <c r="V878" s="58" t="s">
        <v>145</v>
      </c>
      <c r="W878" s="74">
        <v>0</v>
      </c>
      <c r="X878" s="43">
        <f>MAX(0,$AK878-$W878-$Z878)</f>
        <v>0</v>
      </c>
      <c r="Y878" s="43"/>
      <c r="Z878" s="43"/>
      <c r="AA878" s="59">
        <v>0.74</v>
      </c>
      <c r="AB878" s="59">
        <f>IF(AND($X878&gt;0,ISNUMBER($AA878)),$X878*$AA878,0)</f>
        <v>0</v>
      </c>
      <c r="AC878" s="59"/>
      <c r="AD878" s="59"/>
      <c r="AE878" s="59"/>
      <c r="AF878" s="59"/>
      <c r="AG878" s="59"/>
      <c r="AH878" s="59"/>
      <c r="AI878" s="59"/>
      <c r="AJ878" s="59"/>
      <c r="AK878" s="39">
        <f>SUM(AL878:AR878)</f>
        <v>0</v>
      </c>
      <c r="AL878" s="43"/>
      <c r="AM878" s="43"/>
      <c r="AN878" s="43"/>
      <c r="AO878" s="43"/>
      <c r="AP878" s="43"/>
      <c r="AQ878" s="43"/>
      <c r="AR878" s="43"/>
      <c r="AS878" s="42">
        <f>SUM(AT878:AZ878)</f>
        <v>0</v>
      </c>
      <c r="AT878" s="48"/>
      <c r="AU878" s="48"/>
      <c r="AV878" s="48"/>
      <c r="AW878" s="48"/>
      <c r="AX878" s="48"/>
      <c r="AY878" s="48"/>
      <c r="AZ878" s="48"/>
      <c r="BA878" s="43">
        <f>IF((W878-SUM(AT878:AZ878))&lt;0,0,W878-SUM(AT878:AZ878))</f>
        <v>0</v>
      </c>
      <c r="BB878" s="52"/>
      <c r="BC878" s="47"/>
      <c r="BD878" s="53"/>
    </row>
    <row r="879" spans="1:56" ht="15" customHeight="1">
      <c r="A879" s="52" t="s">
        <v>3717</v>
      </c>
      <c r="B879" s="43" t="s">
        <v>127</v>
      </c>
      <c r="C879" s="46" t="s">
        <v>65</v>
      </c>
      <c r="D879" s="52" t="s">
        <v>76</v>
      </c>
      <c r="E879" s="52"/>
      <c r="F879" s="43">
        <v>2</v>
      </c>
      <c r="G879" s="75" t="s">
        <v>3718</v>
      </c>
      <c r="H879" s="58" t="s">
        <v>227</v>
      </c>
      <c r="I879" s="58" t="s">
        <v>3719</v>
      </c>
      <c r="J879" s="58" t="s">
        <v>3720</v>
      </c>
      <c r="K879" s="58"/>
      <c r="L879" s="47"/>
      <c r="M879" s="47"/>
      <c r="N879" s="47"/>
      <c r="O879" s="47"/>
      <c r="P879" s="47"/>
      <c r="Q879" s="47"/>
      <c r="R879" s="47"/>
      <c r="S879" s="47"/>
      <c r="T879" s="47"/>
      <c r="U879" s="47"/>
      <c r="V879" s="58" t="s">
        <v>1585</v>
      </c>
      <c r="W879" s="74">
        <v>3</v>
      </c>
      <c r="X879" s="43">
        <f>MAX(0,$AK879-$W879-$Z879)</f>
        <v>0</v>
      </c>
      <c r="Y879" s="43"/>
      <c r="Z879" s="43"/>
      <c r="AA879" s="59">
        <v>0.18</v>
      </c>
      <c r="AB879" s="59">
        <f>IF(AND($X879&gt;0,ISNUMBER($AA879)),$X879*$AA879,0)</f>
        <v>0</v>
      </c>
      <c r="AF879" s="63"/>
      <c r="AK879" s="39">
        <f>SUM(AL879:AR879)</f>
        <v>2</v>
      </c>
      <c r="AL879" s="38"/>
      <c r="AM879" s="119">
        <v>1</v>
      </c>
      <c r="AN879" s="38"/>
      <c r="AO879" s="97">
        <v>1</v>
      </c>
      <c r="AP879" s="38"/>
      <c r="AQ879" s="38"/>
      <c r="AR879" s="38"/>
      <c r="AS879" s="42">
        <f>SUM(AT879:AZ879)</f>
        <v>2</v>
      </c>
      <c r="AT879" s="48"/>
      <c r="AU879" s="48">
        <v>1</v>
      </c>
      <c r="AV879" s="48"/>
      <c r="AW879" s="48">
        <v>1</v>
      </c>
      <c r="AX879" s="48"/>
      <c r="AY879" s="48"/>
      <c r="AZ879" s="48"/>
      <c r="BA879" s="43">
        <f>IF((W879-SUM(AT879:AZ879))&lt;0,0,W879-SUM(AT879:AZ879))</f>
        <v>1</v>
      </c>
      <c r="BB879" s="52"/>
      <c r="BC879" s="47"/>
      <c r="BD879" s="47"/>
    </row>
    <row r="880" spans="1:56" ht="15" customHeight="1">
      <c r="A880" s="52" t="s">
        <v>3721</v>
      </c>
      <c r="B880" s="43" t="s">
        <v>127</v>
      </c>
      <c r="C880" s="46" t="s">
        <v>65</v>
      </c>
      <c r="D880" s="52" t="s">
        <v>84</v>
      </c>
      <c r="E880" s="52" t="s">
        <v>231</v>
      </c>
      <c r="F880" s="43">
        <v>3</v>
      </c>
      <c r="G880" s="75" t="s">
        <v>3722</v>
      </c>
      <c r="H880" s="58" t="s">
        <v>446</v>
      </c>
      <c r="I880" s="58" t="s">
        <v>181</v>
      </c>
      <c r="J880" s="58" t="s">
        <v>3723</v>
      </c>
      <c r="K880" s="58" t="s">
        <v>3724</v>
      </c>
      <c r="L880" s="47"/>
      <c r="M880" s="47"/>
      <c r="N880" s="47"/>
      <c r="O880" s="68"/>
      <c r="P880" s="68"/>
      <c r="Q880" s="47"/>
      <c r="R880" s="47"/>
      <c r="S880" s="47"/>
      <c r="T880" s="68"/>
      <c r="U880" s="68"/>
      <c r="V880" s="58" t="s">
        <v>1916</v>
      </c>
      <c r="W880" s="74">
        <v>1</v>
      </c>
      <c r="X880" s="43">
        <f>MAX(0,$AK880-$W880-$Z880)</f>
        <v>0</v>
      </c>
      <c r="Y880" s="43"/>
      <c r="Z880" s="43"/>
      <c r="AA880" s="59">
        <v>0.28000000000000003</v>
      </c>
      <c r="AB880" s="59">
        <f>IF(AND($X880&gt;0,ISNUMBER($AA880)),$X880*$AA880,0)</f>
        <v>0</v>
      </c>
      <c r="AK880" s="39">
        <f>SUM(AL880:AR880)</f>
        <v>0</v>
      </c>
      <c r="AL880" s="38"/>
      <c r="AM880" s="38"/>
      <c r="AN880" s="38"/>
      <c r="AO880" s="38"/>
      <c r="AP880" s="38"/>
      <c r="AQ880" s="38"/>
      <c r="AR880" s="38"/>
      <c r="AS880" s="42">
        <f>SUM(AT880:AZ880)</f>
        <v>0</v>
      </c>
      <c r="AT880" s="48"/>
      <c r="AU880" s="48"/>
      <c r="AV880" s="48"/>
      <c r="AW880" s="48"/>
      <c r="AX880" s="48"/>
      <c r="AY880" s="48"/>
      <c r="AZ880" s="48"/>
      <c r="BA880" s="43">
        <f>IF((W880-SUM(AT880:AZ880))&lt;0,0,W880-SUM(AT880:AZ880))</f>
        <v>1</v>
      </c>
      <c r="BB880" s="52"/>
      <c r="BC880" s="47"/>
      <c r="BD880" s="47"/>
    </row>
    <row r="881" spans="1:56" ht="15" customHeight="1">
      <c r="A881" s="130" t="s">
        <v>3725</v>
      </c>
      <c r="B881" s="128" t="s">
        <v>127</v>
      </c>
      <c r="C881" s="38" t="s">
        <v>65</v>
      </c>
      <c r="D881" s="130" t="s">
        <v>84</v>
      </c>
      <c r="E881" s="130" t="s">
        <v>672</v>
      </c>
      <c r="F881" s="130">
        <v>3</v>
      </c>
      <c r="G881" s="75" t="s">
        <v>3726</v>
      </c>
      <c r="H881" s="130" t="s">
        <v>238</v>
      </c>
      <c r="I881" s="130" t="s">
        <v>3727</v>
      </c>
      <c r="J881" s="130" t="s">
        <v>3728</v>
      </c>
      <c r="K881" s="130"/>
      <c r="L881" s="37"/>
      <c r="M881" s="37"/>
      <c r="N881" s="37"/>
      <c r="O881" s="68"/>
      <c r="P881" s="68"/>
      <c r="Q881" s="37"/>
      <c r="R881" s="37"/>
      <c r="S881" s="37"/>
      <c r="T881" s="68"/>
      <c r="U881" s="68"/>
      <c r="V881" s="130" t="s">
        <v>167</v>
      </c>
      <c r="W881" s="74">
        <v>1</v>
      </c>
      <c r="X881" s="127">
        <f>MAX(0,$AK881-$W881-$Z881)</f>
        <v>0</v>
      </c>
      <c r="Y881" s="130"/>
      <c r="Z881" s="130"/>
      <c r="AA881" s="130">
        <v>0.11</v>
      </c>
      <c r="AB881" s="132">
        <f>IF(AND($X881&gt;0,ISNUMBER($AA881)),$X881*$AA881,0)</f>
        <v>0</v>
      </c>
      <c r="AK881" s="39">
        <f>SUM(AL881:AR881)</f>
        <v>0</v>
      </c>
      <c r="AL881" s="128"/>
      <c r="AM881" s="38"/>
      <c r="AN881" s="38"/>
      <c r="AO881" s="38"/>
      <c r="AP881" s="38"/>
      <c r="AQ881" s="38"/>
      <c r="AR881" s="128"/>
      <c r="AS881" s="42">
        <f>SUM(AT881:AZ881)</f>
        <v>0</v>
      </c>
      <c r="AT881" s="48"/>
      <c r="AU881" s="48"/>
      <c r="AV881" s="48"/>
      <c r="AW881" s="48"/>
      <c r="AX881" s="48"/>
      <c r="AY881" s="48"/>
      <c r="AZ881" s="48"/>
      <c r="BA881" s="43">
        <f>IF((W881-SUM(AT881:AZ881))&lt;0,0,W881-SUM(AT881:AZ881))</f>
        <v>1</v>
      </c>
      <c r="BB881" s="130"/>
      <c r="BC881" s="37"/>
      <c r="BD881" s="37"/>
    </row>
    <row r="882" spans="1:56" ht="15" customHeight="1">
      <c r="A882" s="125" t="s">
        <v>3729</v>
      </c>
      <c r="B882" s="127" t="s">
        <v>127</v>
      </c>
      <c r="C882" s="46" t="s">
        <v>65</v>
      </c>
      <c r="D882" s="125" t="s">
        <v>178</v>
      </c>
      <c r="E882" s="125" t="s">
        <v>3730</v>
      </c>
      <c r="F882" s="127">
        <v>3</v>
      </c>
      <c r="G882" s="75" t="s">
        <v>3731</v>
      </c>
      <c r="H882" s="131" t="s">
        <v>1252</v>
      </c>
      <c r="I882" s="131" t="s">
        <v>3732</v>
      </c>
      <c r="J882" s="131" t="s">
        <v>3733</v>
      </c>
      <c r="K882" s="131" t="s">
        <v>3734</v>
      </c>
      <c r="L882" s="47"/>
      <c r="M882" s="47"/>
      <c r="N882" s="47"/>
      <c r="O882" s="68"/>
      <c r="P882" s="68"/>
      <c r="Q882" s="47"/>
      <c r="R882" s="47"/>
      <c r="S882" s="47"/>
      <c r="T882" s="68"/>
      <c r="U882" s="68"/>
      <c r="V882" s="131" t="s">
        <v>186</v>
      </c>
      <c r="W882" s="74">
        <v>2</v>
      </c>
      <c r="X882" s="127">
        <f>MAX(0,$AK882-$W882-$Z882)</f>
        <v>0</v>
      </c>
      <c r="Y882" s="127"/>
      <c r="Z882" s="127"/>
      <c r="AA882" s="132">
        <v>1.7</v>
      </c>
      <c r="AB882" s="132">
        <f>IF(AND($X882&gt;0,ISNUMBER($AA882)),$X882*$AA882,0)</f>
        <v>0</v>
      </c>
      <c r="AK882" s="39">
        <f>SUM(AL882:AR882)</f>
        <v>2</v>
      </c>
      <c r="AL882" s="128"/>
      <c r="AM882" s="38"/>
      <c r="AN882" s="97">
        <v>1</v>
      </c>
      <c r="AO882" s="97">
        <v>1</v>
      </c>
      <c r="AP882" s="38"/>
      <c r="AQ882" s="38"/>
      <c r="AR882" s="128"/>
      <c r="AS882" s="42">
        <f>SUM(AT882:AZ882)</f>
        <v>2</v>
      </c>
      <c r="AT882" s="48"/>
      <c r="AU882" s="48"/>
      <c r="AV882" s="48">
        <v>1</v>
      </c>
      <c r="AW882" s="48">
        <v>1</v>
      </c>
      <c r="AX882" s="48"/>
      <c r="AY882" s="48"/>
      <c r="AZ882" s="48"/>
      <c r="BA882" s="43">
        <f>IF((W882-SUM(AT882:AZ882))&lt;0,0,W882-SUM(AT882:AZ882))</f>
        <v>0</v>
      </c>
      <c r="BB882" s="125"/>
      <c r="BC882" s="47"/>
      <c r="BD882" s="47"/>
    </row>
    <row r="883" spans="1:56" ht="15" customHeight="1">
      <c r="A883" s="130" t="s">
        <v>3735</v>
      </c>
      <c r="B883" s="128" t="s">
        <v>127</v>
      </c>
      <c r="C883" s="38" t="s">
        <v>65</v>
      </c>
      <c r="D883" s="130" t="s">
        <v>76</v>
      </c>
      <c r="E883" s="130"/>
      <c r="F883" s="128">
        <v>2</v>
      </c>
      <c r="G883" s="75" t="s">
        <v>3736</v>
      </c>
      <c r="H883" s="130" t="s">
        <v>499</v>
      </c>
      <c r="I883" s="130" t="s">
        <v>3737</v>
      </c>
      <c r="J883" s="130" t="s">
        <v>3738</v>
      </c>
      <c r="K883" s="130"/>
      <c r="L883" s="37"/>
      <c r="M883" s="37"/>
      <c r="N883" s="37"/>
      <c r="O883" s="68"/>
      <c r="P883" s="68"/>
      <c r="Q883" s="37"/>
      <c r="R883" s="37"/>
      <c r="S883" s="37"/>
      <c r="T883" s="68"/>
      <c r="U883" s="68"/>
      <c r="V883" s="130" t="s">
        <v>167</v>
      </c>
      <c r="W883" s="74">
        <v>1</v>
      </c>
      <c r="X883" s="127">
        <f>MAX(0,$AK883-$W883-$Z883)</f>
        <v>0</v>
      </c>
      <c r="Y883" s="130"/>
      <c r="Z883" s="130"/>
      <c r="AA883" s="137">
        <v>0.15</v>
      </c>
      <c r="AB883" s="132">
        <f>IF(AND($X883&gt;0,ISNUMBER($AA883)),$X883*$AA883,0)</f>
        <v>0</v>
      </c>
      <c r="AK883" s="39">
        <f>SUM(AL883:AR883)</f>
        <v>0</v>
      </c>
      <c r="AL883" s="128"/>
      <c r="AM883" s="38"/>
      <c r="AN883" s="38"/>
      <c r="AO883" s="38"/>
      <c r="AP883" s="38"/>
      <c r="AQ883" s="38"/>
      <c r="AR883" s="128"/>
      <c r="AS883" s="42">
        <f>SUM(AT883:AZ883)</f>
        <v>0</v>
      </c>
      <c r="AT883" s="48"/>
      <c r="AU883" s="48"/>
      <c r="AV883" s="48"/>
      <c r="AW883" s="48"/>
      <c r="AX883" s="48"/>
      <c r="AY883" s="48"/>
      <c r="AZ883" s="48"/>
      <c r="BA883" s="43">
        <f>IF((W883-SUM(AT883:AZ883))&lt;0,0,W883-SUM(AT883:AZ883))</f>
        <v>1</v>
      </c>
      <c r="BB883" s="130"/>
      <c r="BC883" s="37"/>
      <c r="BD883" s="37"/>
    </row>
    <row r="884" spans="1:56" ht="15" customHeight="1">
      <c r="A884" s="49" t="s">
        <v>3739</v>
      </c>
      <c r="B884" s="39" t="s">
        <v>127</v>
      </c>
      <c r="C884" s="46" t="s">
        <v>65</v>
      </c>
      <c r="D884" s="49" t="s">
        <v>84</v>
      </c>
      <c r="E884" s="49" t="s">
        <v>3663</v>
      </c>
      <c r="F884" s="39">
        <v>4</v>
      </c>
      <c r="G884" s="75" t="s">
        <v>3740</v>
      </c>
      <c r="H884" s="50" t="s">
        <v>1239</v>
      </c>
      <c r="I884" s="50" t="s">
        <v>3741</v>
      </c>
      <c r="J884" s="50" t="s">
        <v>3742</v>
      </c>
      <c r="K884" s="50"/>
      <c r="L884" s="47"/>
      <c r="M884" s="47"/>
      <c r="N884" s="47"/>
      <c r="O884" s="47"/>
      <c r="P884" s="47"/>
      <c r="Q884" s="47"/>
      <c r="R884" s="47"/>
      <c r="S884" s="47"/>
      <c r="T884" s="47"/>
      <c r="U884" s="47"/>
      <c r="V884" s="50" t="s">
        <v>904</v>
      </c>
      <c r="W884" s="74">
        <v>1</v>
      </c>
      <c r="X884" s="39">
        <f>MAX(0,$AK884-$W884-$Z884)</f>
        <v>0</v>
      </c>
      <c r="Y884" s="39"/>
      <c r="Z884" s="39"/>
      <c r="AA884" s="41">
        <v>0.28999999999999998</v>
      </c>
      <c r="AB884" s="41">
        <f>IF(AND($X884&gt;0,ISNUMBER($AA884)),$X884*$AA884,0)</f>
        <v>0</v>
      </c>
      <c r="AK884" s="39">
        <f>SUM(AL884:AR884)</f>
        <v>1</v>
      </c>
      <c r="AL884" s="90"/>
      <c r="AM884" s="38"/>
      <c r="AN884" s="38"/>
      <c r="AO884" s="97">
        <v>1</v>
      </c>
      <c r="AP884" s="38"/>
      <c r="AQ884" s="38"/>
      <c r="AR884" s="91"/>
      <c r="AS884" s="42">
        <f>SUM(AT884:AZ884)</f>
        <v>1</v>
      </c>
      <c r="AT884" s="48"/>
      <c r="AU884" s="48"/>
      <c r="AV884" s="48"/>
      <c r="AW884" s="48">
        <v>1</v>
      </c>
      <c r="AX884" s="48"/>
      <c r="AY884" s="48"/>
      <c r="AZ884" s="48"/>
      <c r="BA884" s="43">
        <f>IF((W884-SUM(AT884:AZ884))&lt;0,0,W884-SUM(AT884:AZ884))</f>
        <v>0</v>
      </c>
      <c r="BB884" s="49"/>
      <c r="BC884" s="47"/>
      <c r="BD884" s="47"/>
    </row>
    <row r="885" spans="1:56" ht="15" customHeight="1">
      <c r="A885" s="49" t="s">
        <v>3743</v>
      </c>
      <c r="B885" s="39" t="s">
        <v>127</v>
      </c>
      <c r="C885" s="46" t="s">
        <v>65</v>
      </c>
      <c r="D885" s="49" t="s">
        <v>84</v>
      </c>
      <c r="E885" s="49" t="s">
        <v>851</v>
      </c>
      <c r="F885" s="39">
        <v>2</v>
      </c>
      <c r="G885" s="75" t="s">
        <v>1618</v>
      </c>
      <c r="H885" s="50" t="s">
        <v>293</v>
      </c>
      <c r="I885" s="50" t="s">
        <v>1072</v>
      </c>
      <c r="J885" s="50" t="s">
        <v>821</v>
      </c>
      <c r="K885" s="50"/>
      <c r="L885" s="47"/>
      <c r="M885" s="47"/>
      <c r="N885" s="47"/>
      <c r="O885" s="47"/>
      <c r="P885" s="47"/>
      <c r="Q885" s="47"/>
      <c r="R885" s="47"/>
      <c r="S885" s="47"/>
      <c r="T885" s="47"/>
      <c r="U885" s="47"/>
      <c r="V885" s="50" t="s">
        <v>196</v>
      </c>
      <c r="W885" s="74">
        <v>0</v>
      </c>
      <c r="X885" s="39">
        <f>MAX(0,$AK885-$W885-$Z885)</f>
        <v>0</v>
      </c>
      <c r="Y885" s="39" t="s">
        <v>1311</v>
      </c>
      <c r="Z885" s="39">
        <v>1</v>
      </c>
      <c r="AA885" s="41">
        <v>0.28000000000000003</v>
      </c>
      <c r="AB885" s="41">
        <f>IF(AND($X885&gt;0,ISNUMBER($AA885)),$X885*$AA885,0)</f>
        <v>0</v>
      </c>
      <c r="AC885" s="59"/>
      <c r="AD885" s="59"/>
      <c r="AE885" s="59"/>
      <c r="AF885" s="59"/>
      <c r="AG885" s="59"/>
      <c r="AH885" s="59"/>
      <c r="AI885" s="59"/>
      <c r="AJ885" s="59"/>
      <c r="AK885" s="39">
        <f>SUM(AL885:AR885)</f>
        <v>0</v>
      </c>
      <c r="AL885" s="114"/>
      <c r="AM885" s="43"/>
      <c r="AN885" s="43"/>
      <c r="AO885" s="43"/>
      <c r="AP885" s="43"/>
      <c r="AQ885" s="43"/>
      <c r="AR885" s="116"/>
      <c r="AS885" s="42">
        <f>SUM(AT885:AZ885)</f>
        <v>0</v>
      </c>
      <c r="AT885" s="48"/>
      <c r="AU885" s="48"/>
      <c r="AV885" s="48"/>
      <c r="AW885" s="48"/>
      <c r="AX885" s="48"/>
      <c r="AY885" s="48"/>
      <c r="AZ885" s="48"/>
      <c r="BA885" s="43">
        <f>IF((W885-SUM(AT885:AZ885))&lt;0,0,W885-SUM(AT885:AZ885))</f>
        <v>0</v>
      </c>
      <c r="BB885" s="49"/>
      <c r="BC885" s="47"/>
      <c r="BD885" s="53"/>
    </row>
    <row r="886" spans="1:56" ht="15" customHeight="1">
      <c r="A886" s="49" t="s">
        <v>3744</v>
      </c>
      <c r="B886" s="39" t="s">
        <v>127</v>
      </c>
      <c r="C886" s="46" t="s">
        <v>65</v>
      </c>
      <c r="D886" s="49" t="s">
        <v>84</v>
      </c>
      <c r="E886" s="49" t="s">
        <v>851</v>
      </c>
      <c r="F886" s="39">
        <v>3</v>
      </c>
      <c r="G886" s="75" t="s">
        <v>3745</v>
      </c>
      <c r="H886" s="50" t="s">
        <v>679</v>
      </c>
      <c r="I886" s="50" t="s">
        <v>3746</v>
      </c>
      <c r="J886" s="50" t="s">
        <v>3747</v>
      </c>
      <c r="K886" s="50"/>
      <c r="L886" s="47"/>
      <c r="M886" s="47"/>
      <c r="N886" s="47"/>
      <c r="O886" s="47"/>
      <c r="P886" s="47"/>
      <c r="Q886" s="47"/>
      <c r="R886" s="47"/>
      <c r="S886" s="47"/>
      <c r="T886" s="47"/>
      <c r="U886" s="47"/>
      <c r="V886" s="50" t="s">
        <v>991</v>
      </c>
      <c r="W886" s="74">
        <v>1</v>
      </c>
      <c r="X886" s="39">
        <f>MAX(0,$AK886-$W886-$Z886)</f>
        <v>0</v>
      </c>
      <c r="Y886" s="39"/>
      <c r="Z886" s="39"/>
      <c r="AA886" s="41">
        <v>0.1</v>
      </c>
      <c r="AB886" s="41">
        <f>IF(AND($X886&gt;0,ISNUMBER($AA886)),$X886*$AA886,0)</f>
        <v>0</v>
      </c>
      <c r="AE886" s="63"/>
      <c r="AK886" s="39">
        <f>SUM(AL886:AR886)</f>
        <v>1</v>
      </c>
      <c r="AL886" s="90"/>
      <c r="AM886" s="38"/>
      <c r="AN886" s="97">
        <v>1</v>
      </c>
      <c r="AO886" s="38"/>
      <c r="AP886" s="38"/>
      <c r="AQ886" s="38"/>
      <c r="AR886" s="91"/>
      <c r="AS886" s="42">
        <f>SUM(AT886:AZ886)</f>
        <v>1</v>
      </c>
      <c r="AT886" s="48"/>
      <c r="AU886" s="48"/>
      <c r="AV886" s="48">
        <v>1</v>
      </c>
      <c r="AW886" s="48"/>
      <c r="AX886" s="48"/>
      <c r="AY886" s="48"/>
      <c r="AZ886" s="48"/>
      <c r="BA886" s="43">
        <f>IF((W886-SUM(AT886:AZ886))&lt;0,0,W886-SUM(AT886:AZ886))</f>
        <v>0</v>
      </c>
      <c r="BB886" s="49"/>
      <c r="BC886" s="47"/>
      <c r="BD886" s="47"/>
    </row>
    <row r="887" spans="1:56" ht="15" customHeight="1">
      <c r="A887" s="49" t="s">
        <v>3748</v>
      </c>
      <c r="B887" s="39" t="s">
        <v>127</v>
      </c>
      <c r="C887" s="46" t="s">
        <v>65</v>
      </c>
      <c r="D887" s="49" t="s">
        <v>84</v>
      </c>
      <c r="E887" s="49" t="s">
        <v>3749</v>
      </c>
      <c r="F887" s="39">
        <v>4</v>
      </c>
      <c r="G887" s="75" t="s">
        <v>3750</v>
      </c>
      <c r="H887" s="50" t="s">
        <v>123</v>
      </c>
      <c r="I887" s="50" t="s">
        <v>3751</v>
      </c>
      <c r="J887" s="50" t="s">
        <v>3742</v>
      </c>
      <c r="K887" s="50"/>
      <c r="L887" s="47"/>
      <c r="M887" s="47"/>
      <c r="N887" s="47"/>
      <c r="O887" s="47"/>
      <c r="P887" s="47"/>
      <c r="Q887" s="47"/>
      <c r="R887" s="47"/>
      <c r="S887" s="47"/>
      <c r="T887" s="47"/>
      <c r="U887" s="47"/>
      <c r="V887" s="50" t="s">
        <v>200</v>
      </c>
      <c r="W887" s="74">
        <v>0</v>
      </c>
      <c r="X887" s="39">
        <f>MAX(0,$AK887-$W887-$Z887)</f>
        <v>0</v>
      </c>
      <c r="Y887" s="39" t="s">
        <v>1311</v>
      </c>
      <c r="Z887" s="39">
        <v>1</v>
      </c>
      <c r="AA887" s="41">
        <v>0.36</v>
      </c>
      <c r="AB887" s="41">
        <f>IF(AND($X887&gt;0,ISNUMBER($AA887)),$X887*$AA887,0)</f>
        <v>0</v>
      </c>
      <c r="AC887" s="59"/>
      <c r="AD887" s="59"/>
      <c r="AE887" s="59"/>
      <c r="AF887" s="59"/>
      <c r="AG887" s="59"/>
      <c r="AH887" s="59"/>
      <c r="AI887" s="59"/>
      <c r="AJ887" s="59"/>
      <c r="AK887" s="39">
        <f>SUM(AL887:AR887)</f>
        <v>0</v>
      </c>
      <c r="AL887" s="114"/>
      <c r="AM887" s="43"/>
      <c r="AN887" s="43"/>
      <c r="AO887" s="43"/>
      <c r="AP887" s="43"/>
      <c r="AQ887" s="43"/>
      <c r="AR887" s="116"/>
      <c r="AS887" s="42">
        <f>SUM(AT887:AZ887)</f>
        <v>0</v>
      </c>
      <c r="AT887" s="48"/>
      <c r="AU887" s="48"/>
      <c r="AV887" s="48"/>
      <c r="AW887" s="48"/>
      <c r="AX887" s="48"/>
      <c r="AY887" s="48"/>
      <c r="AZ887" s="48"/>
      <c r="BA887" s="43">
        <f>IF((W887-SUM(AT887:AZ887))&lt;0,0,W887-SUM(AT887:AZ887))</f>
        <v>0</v>
      </c>
      <c r="BB887" s="49"/>
      <c r="BC887" s="47"/>
      <c r="BD887" s="47"/>
    </row>
    <row r="888" spans="1:56" ht="15" customHeight="1">
      <c r="A888" s="49" t="s">
        <v>3752</v>
      </c>
      <c r="B888" s="39" t="s">
        <v>127</v>
      </c>
      <c r="C888" s="46" t="s">
        <v>65</v>
      </c>
      <c r="D888" s="49" t="s">
        <v>134</v>
      </c>
      <c r="E888" s="49"/>
      <c r="F888" s="39">
        <v>5</v>
      </c>
      <c r="G888" s="75" t="s">
        <v>3753</v>
      </c>
      <c r="H888" s="50" t="s">
        <v>474</v>
      </c>
      <c r="I888" s="50" t="s">
        <v>3754</v>
      </c>
      <c r="J888" s="50"/>
      <c r="K888" s="50"/>
      <c r="L888" s="47"/>
      <c r="M888" s="47"/>
      <c r="N888" s="47"/>
      <c r="O888" s="68"/>
      <c r="P888" s="68"/>
      <c r="Q888" s="47"/>
      <c r="R888" s="47"/>
      <c r="S888" s="47"/>
      <c r="T888" s="68"/>
      <c r="U888" s="68"/>
      <c r="V888" s="50" t="s">
        <v>1046</v>
      </c>
      <c r="W888" s="74">
        <v>2</v>
      </c>
      <c r="X888" s="39">
        <f>MAX(0,$AK888-$W888-$Z888)</f>
        <v>0</v>
      </c>
      <c r="Y888" s="39"/>
      <c r="Z888" s="39"/>
      <c r="AA888" s="41">
        <v>0.4</v>
      </c>
      <c r="AB888" s="41">
        <f>IF(AND($X888&gt;0,ISNUMBER($AA888)),$X888*$AA888,0)</f>
        <v>0</v>
      </c>
      <c r="AK888" s="39">
        <f>SUM(AL888:AR888)</f>
        <v>1</v>
      </c>
      <c r="AL888" s="90"/>
      <c r="AM888" s="38"/>
      <c r="AN888" s="38"/>
      <c r="AO888" s="97">
        <v>1</v>
      </c>
      <c r="AP888" s="38"/>
      <c r="AQ888" s="38"/>
      <c r="AR888" s="91"/>
      <c r="AS888" s="42">
        <f>SUM(AT888:AZ888)</f>
        <v>1</v>
      </c>
      <c r="AT888" s="48"/>
      <c r="AU888" s="48"/>
      <c r="AV888" s="48"/>
      <c r="AW888" s="48">
        <v>1</v>
      </c>
      <c r="AX888" s="48"/>
      <c r="AY888" s="48"/>
      <c r="AZ888" s="48"/>
      <c r="BA888" s="43">
        <f>IF((W888-SUM(AT888:AZ888))&lt;0,0,W888-SUM(AT888:AZ888))</f>
        <v>1</v>
      </c>
      <c r="BB888" s="49"/>
      <c r="BC888" s="47"/>
      <c r="BD888" s="47"/>
    </row>
    <row r="889" spans="1:56" ht="15" customHeight="1">
      <c r="A889" s="49" t="s">
        <v>245</v>
      </c>
      <c r="B889" s="39" t="s">
        <v>127</v>
      </c>
      <c r="C889" s="46" t="s">
        <v>65</v>
      </c>
      <c r="D889" s="49" t="s">
        <v>84</v>
      </c>
      <c r="E889" s="49" t="s">
        <v>246</v>
      </c>
      <c r="F889" s="39">
        <v>1</v>
      </c>
      <c r="G889" s="75" t="s">
        <v>247</v>
      </c>
      <c r="H889" s="50" t="s">
        <v>172</v>
      </c>
      <c r="I889" s="50" t="s">
        <v>248</v>
      </c>
      <c r="J889" s="50" t="s">
        <v>249</v>
      </c>
      <c r="K889" s="50"/>
      <c r="L889" s="108" t="s">
        <v>250</v>
      </c>
      <c r="M889" s="46">
        <v>1</v>
      </c>
      <c r="N889" s="46">
        <v>0</v>
      </c>
      <c r="O889" s="68" t="s">
        <v>251</v>
      </c>
      <c r="P889" s="110">
        <v>17.39</v>
      </c>
      <c r="Q889" s="108" t="s">
        <v>252</v>
      </c>
      <c r="R889" s="46">
        <v>1</v>
      </c>
      <c r="S889" s="46">
        <v>0</v>
      </c>
      <c r="T889" s="68" t="s">
        <v>253</v>
      </c>
      <c r="U889" s="111">
        <v>1.41</v>
      </c>
      <c r="V889" s="50" t="s">
        <v>254</v>
      </c>
      <c r="W889" s="74">
        <v>2</v>
      </c>
      <c r="X889" s="39">
        <f>MAX(0,$AK889-$W889-$Z889)</f>
        <v>0</v>
      </c>
      <c r="Y889" s="39"/>
      <c r="Z889" s="39"/>
      <c r="AA889" s="41">
        <v>17.39</v>
      </c>
      <c r="AB889" s="41">
        <f>IF(AND($X889&gt;0,ISNUMBER($AA889)),$X889*$AA889,0)</f>
        <v>0</v>
      </c>
      <c r="AK889" s="39">
        <f>SUM(AL889:AR889)</f>
        <v>1</v>
      </c>
      <c r="AL889" s="90"/>
      <c r="AM889" s="38"/>
      <c r="AN889" s="38"/>
      <c r="AO889" s="38"/>
      <c r="AP889" s="97">
        <v>1</v>
      </c>
      <c r="AQ889" s="38"/>
      <c r="AR889" s="91"/>
      <c r="AS889" s="42">
        <f>SUM(AT889:AZ889)</f>
        <v>1</v>
      </c>
      <c r="AT889" s="48"/>
      <c r="AU889" s="48"/>
      <c r="AV889" s="48"/>
      <c r="AW889" s="48"/>
      <c r="AX889" s="48">
        <v>1</v>
      </c>
      <c r="AY889" s="48"/>
      <c r="AZ889" s="48"/>
      <c r="BA889" s="43">
        <f>IF((W889-SUM(AT889:AZ889))&lt;0,0,W889-SUM(AT889:AZ889))</f>
        <v>1</v>
      </c>
      <c r="BB889" s="49"/>
      <c r="BC889" s="47"/>
      <c r="BD889" s="47"/>
    </row>
    <row r="890" spans="1:56" ht="15" customHeight="1">
      <c r="A890" s="49" t="s">
        <v>520</v>
      </c>
      <c r="B890" s="39" t="s">
        <v>127</v>
      </c>
      <c r="C890" s="46" t="s">
        <v>65</v>
      </c>
      <c r="D890" s="49" t="s">
        <v>84</v>
      </c>
      <c r="E890" s="49" t="s">
        <v>370</v>
      </c>
      <c r="F890" s="39">
        <v>3</v>
      </c>
      <c r="G890" s="75" t="s">
        <v>521</v>
      </c>
      <c r="H890" s="50" t="s">
        <v>293</v>
      </c>
      <c r="I890" s="50" t="s">
        <v>522</v>
      </c>
      <c r="J890" s="50" t="s">
        <v>181</v>
      </c>
      <c r="K890" s="50"/>
      <c r="L890" s="47"/>
      <c r="M890" s="47"/>
      <c r="N890" s="47"/>
      <c r="O890" s="47"/>
      <c r="P890" s="47"/>
      <c r="Q890" s="47"/>
      <c r="R890" s="47"/>
      <c r="S890" s="47"/>
      <c r="T890" s="47"/>
      <c r="U890" s="47"/>
      <c r="V890" s="50" t="s">
        <v>523</v>
      </c>
      <c r="W890" s="74">
        <v>2</v>
      </c>
      <c r="X890" s="39">
        <f>MAX(0,$AK890-$W890-$Z890)</f>
        <v>0</v>
      </c>
      <c r="Y890" s="39"/>
      <c r="Z890" s="39"/>
      <c r="AA890" s="41">
        <v>3.81</v>
      </c>
      <c r="AB890" s="41">
        <f>IF(AND($X890&gt;0,ISNUMBER($AA890)),$X890*$AA890,0)</f>
        <v>0</v>
      </c>
      <c r="AK890" s="39">
        <f>SUM(AL890:AR890)</f>
        <v>2</v>
      </c>
      <c r="AL890" s="90"/>
      <c r="AM890" s="38"/>
      <c r="AN890" s="38"/>
      <c r="AO890" s="97">
        <v>1</v>
      </c>
      <c r="AP890" s="97">
        <v>1</v>
      </c>
      <c r="AQ890" s="38"/>
      <c r="AR890" s="91"/>
      <c r="AS890" s="42">
        <f>SUM(AT890:AZ890)</f>
        <v>2</v>
      </c>
      <c r="AT890" s="48"/>
      <c r="AU890" s="48"/>
      <c r="AV890" s="48"/>
      <c r="AW890" s="48">
        <v>1</v>
      </c>
      <c r="AX890" s="48">
        <v>1</v>
      </c>
      <c r="AY890" s="48"/>
      <c r="AZ890" s="48"/>
      <c r="BA890" s="43">
        <f>IF((W890-SUM(AT890:AZ890))&lt;0,0,W890-SUM(AT890:AZ890))</f>
        <v>0</v>
      </c>
      <c r="BB890" s="49"/>
      <c r="BC890" s="47"/>
      <c r="BD890" s="55" t="s">
        <v>524</v>
      </c>
    </row>
    <row r="891" spans="1:56" ht="15" customHeight="1">
      <c r="A891" s="49" t="s">
        <v>3755</v>
      </c>
      <c r="B891" s="39" t="s">
        <v>127</v>
      </c>
      <c r="C891" s="46" t="s">
        <v>65</v>
      </c>
      <c r="D891" s="49" t="s">
        <v>84</v>
      </c>
      <c r="E891" s="49" t="s">
        <v>231</v>
      </c>
      <c r="F891" s="39">
        <v>2</v>
      </c>
      <c r="G891" s="75" t="s">
        <v>3756</v>
      </c>
      <c r="H891" s="50" t="s">
        <v>78</v>
      </c>
      <c r="I891" s="50" t="s">
        <v>3757</v>
      </c>
      <c r="J891" s="50" t="s">
        <v>3758</v>
      </c>
      <c r="K891" s="50" t="s">
        <v>3759</v>
      </c>
      <c r="L891" s="46"/>
      <c r="M891" s="46"/>
      <c r="N891" s="46"/>
      <c r="O891" s="68"/>
      <c r="P891" s="68"/>
      <c r="Q891" s="46"/>
      <c r="R891" s="46"/>
      <c r="S891" s="46"/>
      <c r="T891" s="68"/>
      <c r="U891" s="68"/>
      <c r="V891" s="50" t="s">
        <v>641</v>
      </c>
      <c r="W891" s="74">
        <v>1</v>
      </c>
      <c r="X891" s="39">
        <f>MAX(0,$AK891-$W891-$Z891)</f>
        <v>0</v>
      </c>
      <c r="Y891" s="39"/>
      <c r="Z891" s="39"/>
      <c r="AA891" s="41">
        <v>0.23</v>
      </c>
      <c r="AB891" s="41">
        <f>IF(AND($X891&gt;0,ISNUMBER($AA891)),$X891*$AA891,0)</f>
        <v>0</v>
      </c>
      <c r="AK891" s="39">
        <f>SUM(AL891:AR891)</f>
        <v>1</v>
      </c>
      <c r="AL891" s="90"/>
      <c r="AM891" s="97">
        <v>1</v>
      </c>
      <c r="AN891" s="38"/>
      <c r="AO891" s="38"/>
      <c r="AP891" s="38"/>
      <c r="AQ891" s="38"/>
      <c r="AR891" s="91"/>
      <c r="AS891" s="42">
        <f>SUM(AT891:AZ891)</f>
        <v>1</v>
      </c>
      <c r="AT891" s="48"/>
      <c r="AU891" s="48">
        <v>1</v>
      </c>
      <c r="AV891" s="48"/>
      <c r="AW891" s="48"/>
      <c r="AX891" s="48"/>
      <c r="AY891" s="48"/>
      <c r="AZ891" s="48"/>
      <c r="BA891" s="43">
        <f>IF((W891-SUM(AT891:AZ891))&lt;0,0,W891-SUM(AT891:AZ891))</f>
        <v>0</v>
      </c>
      <c r="BB891" s="49"/>
      <c r="BC891" s="47"/>
      <c r="BD891" s="47"/>
    </row>
    <row r="892" spans="1:56" ht="15" customHeight="1">
      <c r="A892" s="49" t="s">
        <v>3760</v>
      </c>
      <c r="B892" s="39" t="s">
        <v>127</v>
      </c>
      <c r="C892" s="46" t="s">
        <v>65</v>
      </c>
      <c r="D892" s="49" t="s">
        <v>84</v>
      </c>
      <c r="E892" s="49" t="s">
        <v>1582</v>
      </c>
      <c r="F892" s="39">
        <v>2</v>
      </c>
      <c r="G892" s="75" t="s">
        <v>3761</v>
      </c>
      <c r="H892" s="50" t="s">
        <v>1182</v>
      </c>
      <c r="I892" s="50" t="s">
        <v>1132</v>
      </c>
      <c r="J892" s="50" t="s">
        <v>3191</v>
      </c>
      <c r="K892" s="50"/>
      <c r="L892" s="47"/>
      <c r="M892" s="47"/>
      <c r="N892" s="47"/>
      <c r="O892" s="47"/>
      <c r="P892" s="47"/>
      <c r="Q892" s="47"/>
      <c r="R892" s="47"/>
      <c r="S892" s="47"/>
      <c r="T892" s="47"/>
      <c r="U892" s="47"/>
      <c r="V892" s="50" t="s">
        <v>1085</v>
      </c>
      <c r="W892" s="74">
        <v>0</v>
      </c>
      <c r="X892" s="39">
        <f>MAX(0,$AK892-$W892-$Z892)</f>
        <v>0</v>
      </c>
      <c r="Y892" s="39"/>
      <c r="Z892" s="39"/>
      <c r="AA892" s="41">
        <v>0.09</v>
      </c>
      <c r="AB892" s="41">
        <f>IF(AND($X892&gt;0,ISNUMBER($AA892)),$X892*$AA892,0)</f>
        <v>0</v>
      </c>
      <c r="AC892" s="59"/>
      <c r="AD892" s="59"/>
      <c r="AE892" s="59"/>
      <c r="AF892" s="59"/>
      <c r="AG892" s="59"/>
      <c r="AH892" s="59"/>
      <c r="AI892" s="59"/>
      <c r="AJ892" s="59"/>
      <c r="AK892" s="39">
        <f>SUM(AL892:AR892)</f>
        <v>0</v>
      </c>
      <c r="AL892" s="114"/>
      <c r="AM892" s="43"/>
      <c r="AN892" s="43"/>
      <c r="AO892" s="43"/>
      <c r="AP892" s="43"/>
      <c r="AQ892" s="43"/>
      <c r="AR892" s="116"/>
      <c r="AS892" s="42">
        <f>SUM(AT892:AZ892)</f>
        <v>0</v>
      </c>
      <c r="AT892" s="48"/>
      <c r="AU892" s="48"/>
      <c r="AV892" s="48"/>
      <c r="AW892" s="48"/>
      <c r="AX892" s="48"/>
      <c r="AY892" s="48"/>
      <c r="AZ892" s="48"/>
      <c r="BA892" s="43">
        <f>IF((W892-SUM(AT892:AZ892))&lt;0,0,W892-SUM(AT892:AZ892))</f>
        <v>0</v>
      </c>
      <c r="BB892" s="49"/>
      <c r="BC892" s="47"/>
      <c r="BD892" s="53"/>
    </row>
    <row r="893" spans="1:56" ht="15" customHeight="1">
      <c r="A893" s="49" t="s">
        <v>3762</v>
      </c>
      <c r="B893" s="39" t="s">
        <v>127</v>
      </c>
      <c r="C893" s="46" t="s">
        <v>65</v>
      </c>
      <c r="D893" s="49" t="s">
        <v>84</v>
      </c>
      <c r="E893" s="49" t="s">
        <v>3763</v>
      </c>
      <c r="F893" s="39">
        <v>3</v>
      </c>
      <c r="G893" s="75" t="s">
        <v>3764</v>
      </c>
      <c r="H893" s="50" t="s">
        <v>499</v>
      </c>
      <c r="I893" s="50" t="s">
        <v>3765</v>
      </c>
      <c r="J893" s="50"/>
      <c r="K893" s="50"/>
      <c r="L893" s="47"/>
      <c r="M893" s="47"/>
      <c r="N893" s="47"/>
      <c r="O893" s="68"/>
      <c r="P893" s="68"/>
      <c r="Q893" s="47"/>
      <c r="R893" s="47"/>
      <c r="S893" s="47"/>
      <c r="T893" s="68"/>
      <c r="U893" s="68"/>
      <c r="V893" s="50" t="s">
        <v>504</v>
      </c>
      <c r="W893" s="74">
        <v>1</v>
      </c>
      <c r="X893" s="39">
        <f>MAX(0,$AK893-$W893-$Z893)</f>
        <v>0</v>
      </c>
      <c r="Y893" s="39"/>
      <c r="Z893" s="39"/>
      <c r="AA893" s="41">
        <v>0.09</v>
      </c>
      <c r="AB893" s="41">
        <f>IF(AND($X893&gt;0,ISNUMBER($AA893)),$X893*$AA893,0)</f>
        <v>0</v>
      </c>
      <c r="AK893" s="39">
        <f>SUM(AL893:AR893)</f>
        <v>0</v>
      </c>
      <c r="AL893" s="90"/>
      <c r="AM893" s="38"/>
      <c r="AN893" s="38"/>
      <c r="AO893" s="38"/>
      <c r="AP893" s="38"/>
      <c r="AQ893" s="38"/>
      <c r="AR893" s="91"/>
      <c r="AS893" s="42">
        <f>SUM(AT893:AZ893)</f>
        <v>0</v>
      </c>
      <c r="AT893" s="48"/>
      <c r="AU893" s="48"/>
      <c r="AV893" s="48"/>
      <c r="AW893" s="48"/>
      <c r="AX893" s="48"/>
      <c r="AY893" s="48"/>
      <c r="AZ893" s="48"/>
      <c r="BA893" s="43">
        <f>IF((W893-SUM(AT893:AZ893))&lt;0,0,W893-SUM(AT893:AZ893))</f>
        <v>1</v>
      </c>
      <c r="BB893" s="49"/>
      <c r="BC893" s="47"/>
      <c r="BD893" s="47"/>
    </row>
    <row r="894" spans="1:56" ht="15" customHeight="1">
      <c r="A894" s="49" t="s">
        <v>3766</v>
      </c>
      <c r="B894" s="39" t="s">
        <v>127</v>
      </c>
      <c r="C894" s="46" t="s">
        <v>65</v>
      </c>
      <c r="D894" s="49" t="s">
        <v>84</v>
      </c>
      <c r="E894" s="49" t="s">
        <v>1279</v>
      </c>
      <c r="F894" s="39">
        <v>4</v>
      </c>
      <c r="G894" s="75" t="s">
        <v>3767</v>
      </c>
      <c r="H894" s="50" t="s">
        <v>142</v>
      </c>
      <c r="I894" s="50" t="s">
        <v>164</v>
      </c>
      <c r="J894" s="50" t="s">
        <v>3768</v>
      </c>
      <c r="K894" s="50"/>
      <c r="L894" s="47"/>
      <c r="M894" s="47"/>
      <c r="N894" s="47"/>
      <c r="O894" s="47"/>
      <c r="P894" s="47"/>
      <c r="Q894" s="47"/>
      <c r="R894" s="47"/>
      <c r="S894" s="47"/>
      <c r="T894" s="47"/>
      <c r="U894" s="47"/>
      <c r="V894" s="50" t="s">
        <v>3769</v>
      </c>
      <c r="W894" s="74">
        <v>0</v>
      </c>
      <c r="X894" s="39">
        <f>MAX(0,$AK894-$W894-$Z894)</f>
        <v>0</v>
      </c>
      <c r="Y894" s="39"/>
      <c r="Z894" s="39"/>
      <c r="AA894" s="41">
        <v>0.54</v>
      </c>
      <c r="AB894" s="41">
        <f>IF(AND($X894&gt;0,ISNUMBER($AA894)),$X894*$AA894,0)</f>
        <v>0</v>
      </c>
      <c r="AC894" s="59"/>
      <c r="AD894" s="59"/>
      <c r="AE894" s="59"/>
      <c r="AF894" s="59"/>
      <c r="AG894" s="59"/>
      <c r="AH894" s="59"/>
      <c r="AI894" s="59"/>
      <c r="AJ894" s="59"/>
      <c r="AK894" s="39">
        <f>SUM(AL894:AR894)</f>
        <v>0</v>
      </c>
      <c r="AL894" s="114"/>
      <c r="AM894" s="43"/>
      <c r="AN894" s="43"/>
      <c r="AO894" s="43"/>
      <c r="AP894" s="43"/>
      <c r="AQ894" s="43"/>
      <c r="AR894" s="116"/>
      <c r="AS894" s="42">
        <f>SUM(AT894:AZ894)</f>
        <v>0</v>
      </c>
      <c r="AT894" s="48"/>
      <c r="AU894" s="48"/>
      <c r="AV894" s="48"/>
      <c r="AW894" s="48"/>
      <c r="AX894" s="48"/>
      <c r="AY894" s="48"/>
      <c r="AZ894" s="48"/>
      <c r="BA894" s="43">
        <f>IF((W894-SUM(AT894:AZ894))&lt;0,0,W894-SUM(AT894:AZ894))</f>
        <v>0</v>
      </c>
      <c r="BB894" s="49"/>
      <c r="BC894" s="47"/>
      <c r="BD894" s="53"/>
    </row>
    <row r="895" spans="1:56" ht="15" customHeight="1">
      <c r="A895" s="49" t="s">
        <v>3770</v>
      </c>
      <c r="B895" s="39" t="s">
        <v>127</v>
      </c>
      <c r="C895" s="46" t="s">
        <v>65</v>
      </c>
      <c r="D895" s="49" t="s">
        <v>134</v>
      </c>
      <c r="E895" s="49"/>
      <c r="F895" s="39">
        <v>2</v>
      </c>
      <c r="G895" s="75" t="s">
        <v>3771</v>
      </c>
      <c r="H895" s="50" t="s">
        <v>78</v>
      </c>
      <c r="I895" s="50" t="s">
        <v>3772</v>
      </c>
      <c r="J895" s="50" t="s">
        <v>3773</v>
      </c>
      <c r="K895" s="50" t="s">
        <v>3774</v>
      </c>
      <c r="L895" s="46"/>
      <c r="M895" s="46"/>
      <c r="N895" s="46"/>
      <c r="O895" s="46"/>
      <c r="P895" s="46"/>
      <c r="Q895" s="46"/>
      <c r="R895" s="46"/>
      <c r="S895" s="46"/>
      <c r="T895" s="46"/>
      <c r="U895" s="46"/>
      <c r="V895" s="50" t="s">
        <v>1600</v>
      </c>
      <c r="W895" s="74">
        <v>1</v>
      </c>
      <c r="X895" s="39">
        <f>MAX(0,$AK895-$W895-$Z895)</f>
        <v>0</v>
      </c>
      <c r="Y895" s="39"/>
      <c r="Z895" s="39"/>
      <c r="AA895" s="41">
        <v>4.5599999999999996</v>
      </c>
      <c r="AB895" s="41">
        <f>IF(AND($X895&gt;0,ISNUMBER($AA895)),$X895*$AA895,0)</f>
        <v>0</v>
      </c>
      <c r="AK895" s="39">
        <f>SUM(AL895:AR895)</f>
        <v>1</v>
      </c>
      <c r="AL895" s="102">
        <v>1</v>
      </c>
      <c r="AM895" s="38"/>
      <c r="AN895" s="38"/>
      <c r="AO895" s="38"/>
      <c r="AP895" s="38"/>
      <c r="AQ895" s="38"/>
      <c r="AR895" s="91"/>
      <c r="AS895" s="42">
        <f>SUM(AT895:AZ895)</f>
        <v>1</v>
      </c>
      <c r="AT895" s="48">
        <v>1</v>
      </c>
      <c r="AU895" s="48"/>
      <c r="AV895" s="48"/>
      <c r="AW895" s="48"/>
      <c r="AX895" s="48"/>
      <c r="AY895" s="48"/>
      <c r="AZ895" s="48"/>
      <c r="BA895" s="43">
        <f>IF((W895-SUM(AT895:AZ895))&lt;0,0,W895-SUM(AT895:AZ895))</f>
        <v>0</v>
      </c>
      <c r="BB895" s="49"/>
      <c r="BC895" s="47"/>
      <c r="BD895" s="47"/>
    </row>
    <row r="896" spans="1:56" ht="15" customHeight="1">
      <c r="A896" s="49" t="s">
        <v>3775</v>
      </c>
      <c r="B896" s="39" t="s">
        <v>127</v>
      </c>
      <c r="C896" s="46" t="s">
        <v>65</v>
      </c>
      <c r="D896" s="49" t="s">
        <v>84</v>
      </c>
      <c r="E896" s="49" t="s">
        <v>225</v>
      </c>
      <c r="F896" s="39">
        <v>4</v>
      </c>
      <c r="G896" s="75" t="s">
        <v>3776</v>
      </c>
      <c r="H896" s="50" t="s">
        <v>153</v>
      </c>
      <c r="I896" s="50" t="s">
        <v>3777</v>
      </c>
      <c r="J896" s="50" t="s">
        <v>3778</v>
      </c>
      <c r="K896" s="50"/>
      <c r="L896" s="47"/>
      <c r="M896" s="47"/>
      <c r="N896" s="47"/>
      <c r="O896" s="47"/>
      <c r="P896" s="47"/>
      <c r="Q896" s="47"/>
      <c r="R896" s="47"/>
      <c r="S896" s="47"/>
      <c r="T896" s="47"/>
      <c r="U896" s="47"/>
      <c r="V896" s="50" t="s">
        <v>379</v>
      </c>
      <c r="W896" s="74">
        <v>1</v>
      </c>
      <c r="X896" s="39">
        <f>MAX(0,$AK896-$W896-$Z896)</f>
        <v>0</v>
      </c>
      <c r="Y896" s="39"/>
      <c r="Z896" s="39"/>
      <c r="AA896" s="41">
        <v>0.3</v>
      </c>
      <c r="AB896" s="41">
        <f>IF(AND($X896&gt;0,ISNUMBER($AA896)),$X896*$AA896,0)</f>
        <v>0</v>
      </c>
      <c r="AF896" s="63"/>
      <c r="AK896" s="39">
        <f>SUM(AL896:AR896)</f>
        <v>1</v>
      </c>
      <c r="AL896" s="90"/>
      <c r="AM896" s="38"/>
      <c r="AN896" s="38"/>
      <c r="AO896" s="97">
        <v>1</v>
      </c>
      <c r="AP896" s="38"/>
      <c r="AQ896" s="38"/>
      <c r="AR896" s="91"/>
      <c r="AS896" s="42">
        <f>SUM(AT896:AZ896)</f>
        <v>1</v>
      </c>
      <c r="AT896" s="48"/>
      <c r="AU896" s="48"/>
      <c r="AV896" s="48"/>
      <c r="AW896" s="48">
        <v>1</v>
      </c>
      <c r="AX896" s="48"/>
      <c r="AY896" s="48"/>
      <c r="AZ896" s="48"/>
      <c r="BA896" s="43">
        <f>IF((W896-SUM(AT896:AZ896))&lt;0,0,W896-SUM(AT896:AZ896))</f>
        <v>0</v>
      </c>
      <c r="BB896" s="49"/>
      <c r="BC896" s="47"/>
      <c r="BD896" s="47"/>
    </row>
    <row r="897" spans="1:56" ht="15" customHeight="1">
      <c r="A897" s="49" t="s">
        <v>3779</v>
      </c>
      <c r="B897" s="39" t="s">
        <v>127</v>
      </c>
      <c r="C897" s="46" t="s">
        <v>65</v>
      </c>
      <c r="D897" s="49" t="s">
        <v>134</v>
      </c>
      <c r="E897" s="49"/>
      <c r="F897" s="39">
        <v>6</v>
      </c>
      <c r="G897" s="75" t="s">
        <v>3780</v>
      </c>
      <c r="H897" s="50" t="s">
        <v>474</v>
      </c>
      <c r="I897" s="50" t="s">
        <v>3781</v>
      </c>
      <c r="J897" s="50" t="s">
        <v>3673</v>
      </c>
      <c r="K897" s="50"/>
      <c r="L897" s="46"/>
      <c r="M897" s="46"/>
      <c r="N897" s="46"/>
      <c r="O897" s="46"/>
      <c r="P897" s="46"/>
      <c r="Q897" s="46"/>
      <c r="R897" s="46"/>
      <c r="S897" s="46"/>
      <c r="T897" s="46"/>
      <c r="U897" s="46"/>
      <c r="V897" s="50" t="s">
        <v>119</v>
      </c>
      <c r="W897" s="74">
        <v>1</v>
      </c>
      <c r="X897" s="39">
        <f>MAX(0,$AK897-$W897-$Z897)</f>
        <v>0</v>
      </c>
      <c r="Y897" s="39"/>
      <c r="Z897" s="39"/>
      <c r="AA897" s="41">
        <v>0.28999999999999998</v>
      </c>
      <c r="AB897" s="41">
        <f>IF(AND($X897&gt;0,ISNUMBER($AA897)),$X897*$AA897,0)</f>
        <v>0</v>
      </c>
      <c r="AK897" s="39">
        <f>SUM(AL897:AR897)</f>
        <v>0</v>
      </c>
      <c r="AL897" s="90"/>
      <c r="AM897" s="38"/>
      <c r="AN897" s="38"/>
      <c r="AO897" s="38"/>
      <c r="AP897" s="38"/>
      <c r="AQ897" s="38"/>
      <c r="AR897" s="91"/>
      <c r="AS897" s="42">
        <f>SUM(AT897:AZ897)</f>
        <v>0</v>
      </c>
      <c r="AT897" s="48"/>
      <c r="AU897" s="48"/>
      <c r="AV897" s="48"/>
      <c r="AW897" s="48"/>
      <c r="AX897" s="48"/>
      <c r="AY897" s="48"/>
      <c r="AZ897" s="48"/>
      <c r="BA897" s="43">
        <f>IF((W897-SUM(AT897:AZ897))&lt;0,0,W897-SUM(AT897:AZ897))</f>
        <v>1</v>
      </c>
      <c r="BB897" s="49"/>
      <c r="BC897" s="47"/>
      <c r="BD897" s="47"/>
    </row>
    <row r="898" spans="1:56" ht="15" customHeight="1">
      <c r="A898" s="44" t="s">
        <v>3782</v>
      </c>
      <c r="B898" s="45" t="s">
        <v>127</v>
      </c>
      <c r="C898" s="46" t="s">
        <v>65</v>
      </c>
      <c r="D898" s="44" t="s">
        <v>76</v>
      </c>
      <c r="E898" s="44" t="s">
        <v>600</v>
      </c>
      <c r="F898" s="45">
        <v>1</v>
      </c>
      <c r="G898" s="75" t="s">
        <v>3783</v>
      </c>
      <c r="H898" s="44" t="s">
        <v>499</v>
      </c>
      <c r="I898" s="44" t="s">
        <v>3784</v>
      </c>
      <c r="J898" s="44"/>
      <c r="K898" s="44"/>
      <c r="L898" s="47"/>
      <c r="M898" s="47"/>
      <c r="N898" s="47"/>
      <c r="O898" s="68"/>
      <c r="P898" s="68"/>
      <c r="Q898" s="47"/>
      <c r="R898" s="47"/>
      <c r="S898" s="47"/>
      <c r="T898" s="68"/>
      <c r="U898" s="68"/>
      <c r="V898" s="44" t="s">
        <v>568</v>
      </c>
      <c r="W898" s="74">
        <v>1</v>
      </c>
      <c r="X898" s="39">
        <f>MAX(0,$AK898-$W898-$Z898)</f>
        <v>0</v>
      </c>
      <c r="Y898" s="44"/>
      <c r="Z898" s="44"/>
      <c r="AA898" s="44">
        <v>0.21</v>
      </c>
      <c r="AB898" s="44">
        <f>IF(AND($X898&gt;0,ISNUMBER($AA898)),$X898*$AA898,0)</f>
        <v>0</v>
      </c>
      <c r="AK898" s="39">
        <f>SUM(AL898:AR898)</f>
        <v>0</v>
      </c>
      <c r="AL898" s="90"/>
      <c r="AM898" s="38"/>
      <c r="AN898" s="38"/>
      <c r="AO898" s="38"/>
      <c r="AP898" s="38"/>
      <c r="AQ898" s="38"/>
      <c r="AR898" s="91"/>
      <c r="AS898" s="42">
        <f>SUM(AT898:AZ898)</f>
        <v>0</v>
      </c>
      <c r="AT898" s="48"/>
      <c r="AU898" s="48"/>
      <c r="AV898" s="48"/>
      <c r="AW898" s="48"/>
      <c r="AX898" s="48"/>
      <c r="AY898" s="48"/>
      <c r="AZ898" s="48"/>
      <c r="BA898" s="43">
        <f>IF((W898-SUM(AT898:AZ898))&lt;0,0,W898-SUM(AT898:AZ898))</f>
        <v>1</v>
      </c>
      <c r="BB898" s="44"/>
      <c r="BC898" s="47"/>
      <c r="BD898" s="47"/>
    </row>
    <row r="899" spans="1:56" ht="15" customHeight="1">
      <c r="A899" s="49" t="s">
        <v>525</v>
      </c>
      <c r="B899" s="39" t="s">
        <v>127</v>
      </c>
      <c r="C899" s="46" t="s">
        <v>65</v>
      </c>
      <c r="D899" s="49" t="s">
        <v>178</v>
      </c>
      <c r="E899" s="49" t="s">
        <v>128</v>
      </c>
      <c r="F899" s="39">
        <v>1</v>
      </c>
      <c r="G899" s="75" t="s">
        <v>526</v>
      </c>
      <c r="H899" s="50" t="s">
        <v>92</v>
      </c>
      <c r="I899" s="50" t="s">
        <v>527</v>
      </c>
      <c r="J899" s="50" t="s">
        <v>528</v>
      </c>
      <c r="K899" s="50"/>
      <c r="L899" s="47"/>
      <c r="M899" s="47"/>
      <c r="N899" s="47"/>
      <c r="O899" s="47"/>
      <c r="P899" s="47"/>
      <c r="Q899" s="47"/>
      <c r="R899" s="47"/>
      <c r="S899" s="47"/>
      <c r="T899" s="47"/>
      <c r="U899" s="47"/>
      <c r="V899" s="50" t="s">
        <v>186</v>
      </c>
      <c r="W899" s="74">
        <v>1</v>
      </c>
      <c r="X899" s="39">
        <f>MAX(0,$AK899-$W899-$Z899)</f>
        <v>0</v>
      </c>
      <c r="Y899" s="39"/>
      <c r="Z899" s="39"/>
      <c r="AA899" s="41">
        <v>0.26</v>
      </c>
      <c r="AB899" s="41">
        <f>IF(AND($X899&gt;0,ISNUMBER($AA899)),$X899*$AA899,0)</f>
        <v>0</v>
      </c>
      <c r="AG899" s="63" t="s">
        <v>529</v>
      </c>
      <c r="AK899" s="39">
        <f>SUM(AL899:AR899)</f>
        <v>1</v>
      </c>
      <c r="AL899" s="90"/>
      <c r="AM899" s="38"/>
      <c r="AN899" s="38"/>
      <c r="AO899" s="38"/>
      <c r="AP899" s="99">
        <v>1</v>
      </c>
      <c r="AQ899" s="38"/>
      <c r="AR899" s="91"/>
      <c r="AS899" s="42">
        <f>SUM(AT899:AZ899)</f>
        <v>1</v>
      </c>
      <c r="AT899" s="48"/>
      <c r="AU899" s="48"/>
      <c r="AV899" s="48"/>
      <c r="AW899" s="48"/>
      <c r="AX899" s="48">
        <v>1</v>
      </c>
      <c r="AY899" s="48"/>
      <c r="AZ899" s="48"/>
      <c r="BA899" s="43">
        <f>IF((W899-SUM(AT899:AZ899))&lt;0,0,W899-SUM(AT899:AZ899))</f>
        <v>0</v>
      </c>
      <c r="BB899" s="49"/>
      <c r="BC899" s="47"/>
      <c r="BD899" s="47"/>
    </row>
    <row r="900" spans="1:56" ht="15" customHeight="1">
      <c r="A900" s="49" t="s">
        <v>3785</v>
      </c>
      <c r="B900" s="39" t="s">
        <v>127</v>
      </c>
      <c r="C900" s="46" t="s">
        <v>65</v>
      </c>
      <c r="D900" s="49" t="s">
        <v>178</v>
      </c>
      <c r="E900" s="49" t="s">
        <v>3786</v>
      </c>
      <c r="F900" s="39">
        <v>8</v>
      </c>
      <c r="G900" s="75" t="s">
        <v>3787</v>
      </c>
      <c r="H900" s="50" t="s">
        <v>233</v>
      </c>
      <c r="I900" s="50" t="s">
        <v>3788</v>
      </c>
      <c r="J900" s="50" t="s">
        <v>3789</v>
      </c>
      <c r="K900" s="50"/>
      <c r="L900" s="47"/>
      <c r="M900" s="47"/>
      <c r="N900" s="47"/>
      <c r="O900" s="68"/>
      <c r="P900" s="68"/>
      <c r="Q900" s="47"/>
      <c r="R900" s="47"/>
      <c r="S900" s="47"/>
      <c r="T900" s="68"/>
      <c r="U900" s="68"/>
      <c r="V900" s="50" t="s">
        <v>89</v>
      </c>
      <c r="W900" s="74">
        <v>2</v>
      </c>
      <c r="X900" s="39">
        <f>MAX(0,$AK900-$W900-$Z900)</f>
        <v>0</v>
      </c>
      <c r="Y900" s="39"/>
      <c r="Z900" s="39"/>
      <c r="AA900" s="41">
        <v>0.31</v>
      </c>
      <c r="AB900" s="41">
        <f>IF(AND($X900&gt;0,ISNUMBER($AA900)),$X900*$AA900,0)</f>
        <v>0</v>
      </c>
      <c r="AK900" s="39">
        <f>SUM(AL900:AR900)</f>
        <v>1</v>
      </c>
      <c r="AL900" s="90"/>
      <c r="AM900" s="38"/>
      <c r="AN900" s="38"/>
      <c r="AO900" s="97">
        <v>1</v>
      </c>
      <c r="AP900" s="38"/>
      <c r="AQ900" s="38"/>
      <c r="AR900" s="91"/>
      <c r="AS900" s="42">
        <f>SUM(AT900:AZ900)</f>
        <v>1</v>
      </c>
      <c r="AT900" s="48"/>
      <c r="AU900" s="48"/>
      <c r="AV900" s="48"/>
      <c r="AW900" s="48">
        <v>1</v>
      </c>
      <c r="AX900" s="48"/>
      <c r="AY900" s="48"/>
      <c r="AZ900" s="48"/>
      <c r="BA900" s="43">
        <f>IF((W900-SUM(AT900:AZ900))&lt;0,0,W900-SUM(AT900:AZ900))</f>
        <v>1</v>
      </c>
      <c r="BB900" s="49"/>
      <c r="BC900" s="47"/>
      <c r="BD900" s="47"/>
    </row>
  </sheetData>
  <autoFilter ref="A4:BD900" xr:uid="{00000000-0009-0000-0000-000002000000}">
    <sortState xmlns:xlrd2="http://schemas.microsoft.com/office/spreadsheetml/2017/richdata2" ref="A5:BD900">
      <sortCondition sortBy="cellColor" ref="AZ4:AZ900" dxfId="1"/>
    </sortState>
  </autoFilter>
  <mergeCells count="2">
    <mergeCell ref="AL3:AP3"/>
    <mergeCell ref="AT3:AX3"/>
  </mergeCells>
  <conditionalFormatting sqref="AT5:AZ900">
    <cfRule type="expression" dxfId="13" priority="1">
      <formula>AT5="O"</formula>
    </cfRule>
    <cfRule type="expression" dxfId="12" priority="2">
      <formula>AT5=AL5</formula>
    </cfRule>
    <cfRule type="expression" dxfId="11" priority="3">
      <formula>AT5&lt;&gt;AL5</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08"/>
  <sheetViews>
    <sheetView workbookViewId="0">
      <selection activeCell="B11" sqref="B11"/>
    </sheetView>
  </sheetViews>
  <sheetFormatPr defaultRowHeight="14.4"/>
  <cols>
    <col min="1" max="1" width="15" customWidth="1"/>
    <col min="2" max="2" width="32" customWidth="1"/>
    <col min="3" max="3" width="8" customWidth="1"/>
    <col min="4" max="4" width="10" customWidth="1"/>
    <col min="5" max="5" width="15" customWidth="1"/>
    <col min="6" max="6" width="22" customWidth="1"/>
    <col min="7" max="7" width="88" customWidth="1"/>
    <col min="8" max="9" width="14" customWidth="1"/>
    <col min="10" max="10" width="10" customWidth="1"/>
  </cols>
  <sheetData>
    <row r="1" spans="1:10" ht="50.1" customHeight="1">
      <c r="A1" s="112" t="s">
        <v>3850</v>
      </c>
      <c r="B1" s="112" t="s">
        <v>3851</v>
      </c>
      <c r="C1" s="112" t="s">
        <v>9</v>
      </c>
      <c r="D1" s="112" t="s">
        <v>3852</v>
      </c>
      <c r="E1" s="112" t="s">
        <v>3853</v>
      </c>
      <c r="F1" s="112" t="s">
        <v>15</v>
      </c>
      <c r="G1" s="113" t="s">
        <v>14</v>
      </c>
      <c r="H1" s="113" t="s">
        <v>3854</v>
      </c>
      <c r="I1" s="113" t="s">
        <v>3855</v>
      </c>
      <c r="J1" s="113" t="s">
        <v>42</v>
      </c>
    </row>
    <row r="2" spans="1:10">
      <c r="A2" s="78" t="s">
        <v>1162</v>
      </c>
      <c r="B2" s="78" t="s">
        <v>3141</v>
      </c>
      <c r="C2" s="78" t="s">
        <v>3002</v>
      </c>
      <c r="D2" s="105">
        <v>12.86</v>
      </c>
      <c r="E2" s="105"/>
      <c r="F2" s="78" t="s">
        <v>293</v>
      </c>
      <c r="G2" t="s">
        <v>3142</v>
      </c>
      <c r="H2" s="1" t="s">
        <v>3856</v>
      </c>
      <c r="I2" s="1">
        <v>1</v>
      </c>
      <c r="J2" s="1"/>
    </row>
    <row r="3" spans="1:10">
      <c r="A3" s="78" t="s">
        <v>980</v>
      </c>
      <c r="B3" s="78" t="s">
        <v>1175</v>
      </c>
      <c r="C3" s="78" t="s">
        <v>96</v>
      </c>
      <c r="D3" s="105">
        <v>5.51</v>
      </c>
      <c r="E3" s="105"/>
      <c r="F3" s="78" t="s">
        <v>293</v>
      </c>
      <c r="G3" t="s">
        <v>1176</v>
      </c>
      <c r="H3" s="1" t="s">
        <v>3857</v>
      </c>
      <c r="I3" s="1">
        <v>2</v>
      </c>
      <c r="J3" s="1"/>
    </row>
    <row r="4" spans="1:10">
      <c r="A4" s="78" t="s">
        <v>301</v>
      </c>
      <c r="B4" s="78" t="s">
        <v>636</v>
      </c>
      <c r="C4" s="78" t="s">
        <v>75</v>
      </c>
      <c r="D4" s="105">
        <v>5.01</v>
      </c>
      <c r="E4" s="105"/>
      <c r="F4" s="78" t="s">
        <v>78</v>
      </c>
      <c r="G4" t="s">
        <v>3858</v>
      </c>
      <c r="H4" s="1" t="s">
        <v>3795</v>
      </c>
      <c r="I4" s="1">
        <v>1</v>
      </c>
      <c r="J4" s="1"/>
    </row>
    <row r="5" spans="1:10">
      <c r="A5" s="78" t="s">
        <v>3859</v>
      </c>
      <c r="B5" s="78" t="s">
        <v>574</v>
      </c>
      <c r="C5" s="78" t="s">
        <v>75</v>
      </c>
      <c r="D5" s="105">
        <v>4.8</v>
      </c>
      <c r="E5" s="105"/>
      <c r="F5" s="78" t="s">
        <v>293</v>
      </c>
      <c r="G5" t="s">
        <v>3860</v>
      </c>
      <c r="H5" s="1" t="s">
        <v>3861</v>
      </c>
      <c r="I5" s="1">
        <v>2</v>
      </c>
      <c r="J5" s="1"/>
    </row>
    <row r="6" spans="1:10">
      <c r="A6" s="78" t="s">
        <v>496</v>
      </c>
      <c r="B6" s="78" t="s">
        <v>1074</v>
      </c>
      <c r="C6" s="78" t="s">
        <v>96</v>
      </c>
      <c r="D6" s="105">
        <v>2.69</v>
      </c>
      <c r="E6" s="105"/>
      <c r="F6" s="78" t="s">
        <v>293</v>
      </c>
      <c r="G6" t="s">
        <v>3862</v>
      </c>
      <c r="H6" s="1" t="s">
        <v>3863</v>
      </c>
      <c r="I6" s="1">
        <v>1</v>
      </c>
      <c r="J6" s="1"/>
    </row>
    <row r="7" spans="1:10">
      <c r="A7" s="78" t="s">
        <v>176</v>
      </c>
      <c r="B7" s="78" t="s">
        <v>1141</v>
      </c>
      <c r="C7" s="78" t="s">
        <v>96</v>
      </c>
      <c r="D7" s="105">
        <v>2.37</v>
      </c>
      <c r="E7" s="105"/>
      <c r="F7" s="78" t="s">
        <v>172</v>
      </c>
      <c r="G7" t="s">
        <v>1142</v>
      </c>
      <c r="H7" s="1" t="s">
        <v>3864</v>
      </c>
      <c r="I7" s="1">
        <v>2</v>
      </c>
      <c r="J7" s="1"/>
    </row>
    <row r="8" spans="1:10">
      <c r="A8" s="78" t="s">
        <v>3247</v>
      </c>
      <c r="B8" s="78" t="s">
        <v>3066</v>
      </c>
      <c r="C8" s="78" t="s">
        <v>3002</v>
      </c>
      <c r="D8" s="105">
        <v>2.17</v>
      </c>
      <c r="E8" s="105"/>
      <c r="F8" s="78" t="s">
        <v>293</v>
      </c>
      <c r="G8" t="s">
        <v>3067</v>
      </c>
      <c r="H8" s="1" t="s">
        <v>3856</v>
      </c>
      <c r="I8" s="1">
        <v>1</v>
      </c>
      <c r="J8" s="1"/>
    </row>
    <row r="9" spans="1:10">
      <c r="A9" s="78" t="s">
        <v>1255</v>
      </c>
      <c r="B9" s="78" t="s">
        <v>3015</v>
      </c>
      <c r="C9" s="78" t="s">
        <v>3002</v>
      </c>
      <c r="D9" s="105">
        <v>1.38</v>
      </c>
      <c r="E9" s="105"/>
      <c r="F9" s="78" t="s">
        <v>293</v>
      </c>
      <c r="G9" t="s">
        <v>3016</v>
      </c>
      <c r="H9" s="1" t="s">
        <v>3856</v>
      </c>
      <c r="I9" s="1">
        <v>2</v>
      </c>
      <c r="J9" s="1"/>
    </row>
    <row r="10" spans="1:10">
      <c r="A10" s="78" t="s">
        <v>3005</v>
      </c>
      <c r="B10" s="78" t="s">
        <v>1960</v>
      </c>
      <c r="C10" s="78" t="s">
        <v>3865</v>
      </c>
      <c r="D10" s="105">
        <v>1.2</v>
      </c>
      <c r="E10" s="105"/>
      <c r="F10" s="78" t="s">
        <v>78</v>
      </c>
      <c r="G10" t="s">
        <v>1961</v>
      </c>
      <c r="H10" s="1" t="s">
        <v>3866</v>
      </c>
      <c r="I10" s="1">
        <v>1</v>
      </c>
      <c r="J10" s="1"/>
    </row>
    <row r="11" spans="1:10">
      <c r="A11" s="78" t="s">
        <v>1420</v>
      </c>
      <c r="B11" s="78" t="s">
        <v>1512</v>
      </c>
      <c r="C11" s="78" t="s">
        <v>1203</v>
      </c>
      <c r="D11" s="105">
        <v>0.62</v>
      </c>
      <c r="E11" s="105"/>
      <c r="F11" s="78" t="s">
        <v>172</v>
      </c>
      <c r="G11" t="s">
        <v>1513</v>
      </c>
      <c r="H11" s="1" t="s">
        <v>3867</v>
      </c>
      <c r="I11" s="1">
        <v>3</v>
      </c>
      <c r="J11" s="1"/>
    </row>
    <row r="12" spans="1:10">
      <c r="A12" s="78" t="s">
        <v>744</v>
      </c>
      <c r="B12" s="78" t="s">
        <v>1350</v>
      </c>
      <c r="C12" s="78" t="s">
        <v>1203</v>
      </c>
      <c r="D12" s="105">
        <v>0.54</v>
      </c>
      <c r="E12" s="105"/>
      <c r="F12" s="78" t="s">
        <v>293</v>
      </c>
      <c r="G12" t="s">
        <v>1351</v>
      </c>
      <c r="H12" s="1" t="s">
        <v>3868</v>
      </c>
      <c r="I12" s="1">
        <v>1</v>
      </c>
      <c r="J12" s="1"/>
    </row>
    <row r="13" spans="1:10">
      <c r="A13" s="78" t="s">
        <v>2875</v>
      </c>
      <c r="B13" s="78" t="s">
        <v>2581</v>
      </c>
      <c r="C13" s="78" t="s">
        <v>2448</v>
      </c>
      <c r="D13" s="105">
        <v>0.5</v>
      </c>
      <c r="E13" s="105"/>
      <c r="F13" s="78" t="s">
        <v>293</v>
      </c>
      <c r="G13" t="s">
        <v>2582</v>
      </c>
      <c r="H13" s="1" t="s">
        <v>3869</v>
      </c>
      <c r="I13" s="1">
        <v>2</v>
      </c>
      <c r="J13" s="1"/>
    </row>
    <row r="14" spans="1:10">
      <c r="A14" s="78" t="s">
        <v>456</v>
      </c>
      <c r="B14" s="78" t="s">
        <v>628</v>
      </c>
      <c r="C14" s="78" t="s">
        <v>75</v>
      </c>
      <c r="D14" s="105">
        <v>0.4</v>
      </c>
      <c r="E14" s="105"/>
      <c r="F14" s="78" t="s">
        <v>258</v>
      </c>
      <c r="G14" t="s">
        <v>629</v>
      </c>
      <c r="H14" s="1" t="s">
        <v>3795</v>
      </c>
      <c r="I14" s="1">
        <v>1</v>
      </c>
      <c r="J14" s="1"/>
    </row>
    <row r="15" spans="1:10">
      <c r="A15" s="78" t="s">
        <v>266</v>
      </c>
      <c r="B15" s="78" t="s">
        <v>3289</v>
      </c>
      <c r="C15" s="78" t="s">
        <v>127</v>
      </c>
      <c r="D15" s="105">
        <v>0.36</v>
      </c>
      <c r="E15" s="105"/>
      <c r="F15" s="78" t="s">
        <v>474</v>
      </c>
      <c r="G15" t="s">
        <v>3290</v>
      </c>
      <c r="H15" s="1" t="s">
        <v>3861</v>
      </c>
      <c r="I15" s="1">
        <v>2</v>
      </c>
      <c r="J15" s="1"/>
    </row>
    <row r="16" spans="1:10">
      <c r="A16" s="78" t="s">
        <v>477</v>
      </c>
      <c r="B16" s="78" t="s">
        <v>689</v>
      </c>
      <c r="C16" s="78" t="s">
        <v>75</v>
      </c>
      <c r="D16" s="105">
        <v>0.33</v>
      </c>
      <c r="E16" s="105"/>
      <c r="F16" s="78" t="s">
        <v>78</v>
      </c>
      <c r="G16" t="s">
        <v>690</v>
      </c>
      <c r="H16" s="1" t="s">
        <v>3795</v>
      </c>
      <c r="I16" s="1">
        <v>1</v>
      </c>
      <c r="J16" s="1"/>
    </row>
    <row r="17" spans="1:10">
      <c r="A17" s="78" t="s">
        <v>505</v>
      </c>
      <c r="B17" s="78" t="s">
        <v>723</v>
      </c>
      <c r="C17" s="78" t="s">
        <v>75</v>
      </c>
      <c r="D17" s="105">
        <v>0.32</v>
      </c>
      <c r="E17" s="105"/>
      <c r="F17" s="78" t="s">
        <v>293</v>
      </c>
      <c r="G17" t="s">
        <v>3870</v>
      </c>
      <c r="H17" s="1" t="s">
        <v>3795</v>
      </c>
      <c r="I17" s="1">
        <v>1</v>
      </c>
      <c r="J17" s="1"/>
    </row>
    <row r="18" spans="1:10">
      <c r="A18" s="78" t="s">
        <v>3871</v>
      </c>
      <c r="B18" s="78" t="s">
        <v>1312</v>
      </c>
      <c r="C18" s="78" t="s">
        <v>1203</v>
      </c>
      <c r="D18" s="105">
        <v>0.23</v>
      </c>
      <c r="E18" s="105"/>
      <c r="F18" s="78" t="s">
        <v>293</v>
      </c>
      <c r="G18" t="s">
        <v>1313</v>
      </c>
      <c r="H18" s="1" t="s">
        <v>3794</v>
      </c>
      <c r="I18" s="1">
        <v>1</v>
      </c>
      <c r="J18" s="1"/>
    </row>
    <row r="19" spans="1:10">
      <c r="A19" s="78" t="s">
        <v>2068</v>
      </c>
      <c r="B19" s="78" t="s">
        <v>2007</v>
      </c>
      <c r="C19" s="78" t="s">
        <v>3872</v>
      </c>
      <c r="D19" s="105">
        <v>1.5</v>
      </c>
      <c r="E19" s="105"/>
      <c r="F19" s="78" t="s">
        <v>227</v>
      </c>
      <c r="G19" t="s">
        <v>3873</v>
      </c>
      <c r="H19" s="1" t="s">
        <v>3791</v>
      </c>
      <c r="I19" s="1">
        <v>1</v>
      </c>
      <c r="J19" s="1"/>
    </row>
    <row r="20" spans="1:10">
      <c r="A20" s="78" t="s">
        <v>1334</v>
      </c>
      <c r="B20" s="78" t="s">
        <v>1388</v>
      </c>
      <c r="C20" s="78" t="s">
        <v>1203</v>
      </c>
      <c r="D20" s="105">
        <v>3.5</v>
      </c>
      <c r="E20" s="105"/>
      <c r="F20" s="78" t="s">
        <v>293</v>
      </c>
      <c r="G20" t="s">
        <v>3874</v>
      </c>
      <c r="H20" s="1" t="s">
        <v>3875</v>
      </c>
      <c r="I20" s="1">
        <v>2</v>
      </c>
      <c r="J20" s="1"/>
    </row>
    <row r="21" spans="1:10">
      <c r="A21" s="78" t="s">
        <v>3082</v>
      </c>
      <c r="B21" s="78" t="s">
        <v>1241</v>
      </c>
      <c r="C21" s="78" t="s">
        <v>1203</v>
      </c>
      <c r="D21" s="105">
        <v>1.5</v>
      </c>
      <c r="E21" s="105"/>
      <c r="F21" s="78" t="s">
        <v>293</v>
      </c>
      <c r="G21" t="s">
        <v>1244</v>
      </c>
      <c r="H21" s="1" t="s">
        <v>3792</v>
      </c>
      <c r="I21" s="1">
        <v>1</v>
      </c>
      <c r="J21" s="1"/>
    </row>
    <row r="22" spans="1:10">
      <c r="A22" s="78" t="s">
        <v>1484</v>
      </c>
      <c r="B22" s="78" t="s">
        <v>1308</v>
      </c>
      <c r="C22" s="78" t="s">
        <v>1203</v>
      </c>
      <c r="D22" s="105">
        <v>0.5</v>
      </c>
      <c r="E22" s="105"/>
      <c r="F22" s="78" t="s">
        <v>845</v>
      </c>
      <c r="G22" t="s">
        <v>3876</v>
      </c>
      <c r="H22" s="1" t="s">
        <v>3793</v>
      </c>
      <c r="I22" s="1">
        <v>1</v>
      </c>
      <c r="J22" s="1"/>
    </row>
    <row r="23" spans="1:10">
      <c r="A23" s="78" t="s">
        <v>1387</v>
      </c>
      <c r="B23" s="78" t="s">
        <v>3018</v>
      </c>
      <c r="C23" s="78" t="s">
        <v>3002</v>
      </c>
      <c r="D23" s="105">
        <v>0.3</v>
      </c>
      <c r="E23" s="105"/>
      <c r="F23" s="78" t="s">
        <v>845</v>
      </c>
      <c r="G23" t="s">
        <v>3877</v>
      </c>
      <c r="H23" s="1" t="s">
        <v>3793</v>
      </c>
      <c r="I23" s="1">
        <v>1</v>
      </c>
      <c r="J23" s="1"/>
    </row>
    <row r="24" spans="1:10">
      <c r="A24" s="78" t="s">
        <v>1277</v>
      </c>
      <c r="B24" s="78" t="s">
        <v>2076</v>
      </c>
      <c r="C24" s="78" t="s">
        <v>3878</v>
      </c>
      <c r="D24" s="105">
        <v>3</v>
      </c>
      <c r="E24" s="105"/>
      <c r="F24" s="78" t="s">
        <v>794</v>
      </c>
      <c r="G24" t="s">
        <v>2078</v>
      </c>
      <c r="H24" s="1" t="s">
        <v>3794</v>
      </c>
      <c r="I24" s="1">
        <v>1</v>
      </c>
      <c r="J24" s="1"/>
    </row>
    <row r="25" spans="1:10">
      <c r="A25" s="78" t="s">
        <v>3381</v>
      </c>
      <c r="B25" s="78" t="s">
        <v>1617</v>
      </c>
      <c r="C25" s="78" t="s">
        <v>1203</v>
      </c>
      <c r="D25" s="105">
        <v>0.75</v>
      </c>
      <c r="E25" s="105"/>
      <c r="F25" s="78" t="s">
        <v>293</v>
      </c>
      <c r="G25" t="s">
        <v>3879</v>
      </c>
      <c r="H25" s="1" t="s">
        <v>3794</v>
      </c>
      <c r="I25" s="1">
        <v>1</v>
      </c>
      <c r="J25" s="1"/>
    </row>
    <row r="26" spans="1:10">
      <c r="A26" s="78" t="s">
        <v>282</v>
      </c>
      <c r="B26" s="78" t="s">
        <v>3880</v>
      </c>
      <c r="C26" s="78" t="s">
        <v>75</v>
      </c>
      <c r="D26" s="105">
        <v>3.5</v>
      </c>
      <c r="E26" s="105"/>
      <c r="F26" s="78" t="s">
        <v>153</v>
      </c>
      <c r="G26" t="s">
        <v>3881</v>
      </c>
      <c r="H26" s="1" t="s">
        <v>3795</v>
      </c>
      <c r="I26" s="1">
        <v>1</v>
      </c>
      <c r="J26" s="1"/>
    </row>
    <row r="27" spans="1:10">
      <c r="A27" s="78" t="s">
        <v>320</v>
      </c>
      <c r="B27" s="78" t="s">
        <v>3882</v>
      </c>
      <c r="C27" s="78" t="s">
        <v>127</v>
      </c>
      <c r="D27" s="105">
        <v>3</v>
      </c>
      <c r="E27" s="105"/>
      <c r="F27" s="78" t="s">
        <v>153</v>
      </c>
      <c r="G27" t="s">
        <v>3883</v>
      </c>
      <c r="H27" s="1" t="s">
        <v>3795</v>
      </c>
      <c r="I27" s="1">
        <v>1</v>
      </c>
      <c r="J27" s="1"/>
    </row>
    <row r="28" spans="1:10">
      <c r="A28" s="78" t="s">
        <v>722</v>
      </c>
      <c r="B28" s="78" t="s">
        <v>3884</v>
      </c>
      <c r="C28" s="78" t="s">
        <v>3002</v>
      </c>
      <c r="D28" s="105">
        <v>0.75</v>
      </c>
      <c r="E28" s="105"/>
      <c r="F28" s="78" t="s">
        <v>2190</v>
      </c>
      <c r="G28" t="s">
        <v>3885</v>
      </c>
      <c r="H28" s="1" t="s">
        <v>3797</v>
      </c>
      <c r="I28" s="1">
        <v>1</v>
      </c>
      <c r="J28" s="1"/>
    </row>
    <row r="29" spans="1:10">
      <c r="A29" s="78" t="s">
        <v>656</v>
      </c>
      <c r="B29" s="78" t="s">
        <v>3886</v>
      </c>
      <c r="C29" s="78" t="s">
        <v>3002</v>
      </c>
      <c r="D29" s="105">
        <v>2.5</v>
      </c>
      <c r="E29" s="105"/>
      <c r="F29" s="78" t="s">
        <v>293</v>
      </c>
      <c r="G29" t="s">
        <v>3887</v>
      </c>
      <c r="H29" s="1" t="s">
        <v>3797</v>
      </c>
      <c r="I29" s="1">
        <v>1</v>
      </c>
      <c r="J29" s="1"/>
    </row>
    <row r="30" spans="1:10">
      <c r="A30" s="78" t="s">
        <v>598</v>
      </c>
      <c r="B30" s="78" t="s">
        <v>3888</v>
      </c>
      <c r="C30" s="78" t="s">
        <v>3889</v>
      </c>
      <c r="D30" s="105">
        <v>0.5</v>
      </c>
      <c r="E30" s="105"/>
      <c r="F30" s="78" t="s">
        <v>1252</v>
      </c>
      <c r="G30" t="s">
        <v>3890</v>
      </c>
      <c r="H30" s="1" t="s">
        <v>3797</v>
      </c>
      <c r="I30" s="1">
        <v>1</v>
      </c>
      <c r="J30" s="1"/>
    </row>
    <row r="31" spans="1:10">
      <c r="A31" s="78" t="s">
        <v>529</v>
      </c>
      <c r="B31" s="78" t="s">
        <v>727</v>
      </c>
      <c r="C31" s="78" t="s">
        <v>75</v>
      </c>
      <c r="D31" s="105">
        <v>1</v>
      </c>
      <c r="E31" s="105"/>
      <c r="F31" s="78" t="s">
        <v>293</v>
      </c>
      <c r="G31" t="s">
        <v>3891</v>
      </c>
      <c r="H31" s="1" t="s">
        <v>3795</v>
      </c>
      <c r="I31" s="1">
        <v>1</v>
      </c>
      <c r="J31" s="1"/>
    </row>
    <row r="32" spans="1:10">
      <c r="A32" s="78" t="s">
        <v>187</v>
      </c>
      <c r="B32" s="78" t="s">
        <v>1027</v>
      </c>
      <c r="C32" s="78" t="s">
        <v>96</v>
      </c>
      <c r="D32" s="105">
        <v>1</v>
      </c>
      <c r="E32" s="105"/>
      <c r="F32" s="78" t="s">
        <v>293</v>
      </c>
      <c r="G32" t="s">
        <v>3892</v>
      </c>
      <c r="H32" s="1" t="s">
        <v>3795</v>
      </c>
      <c r="I32" s="1">
        <v>1</v>
      </c>
      <c r="J32" s="1"/>
    </row>
    <row r="33" spans="1:10">
      <c r="A33" s="78" t="s">
        <v>2839</v>
      </c>
      <c r="B33" s="78" t="s">
        <v>1030</v>
      </c>
      <c r="C33" s="78" t="s">
        <v>96</v>
      </c>
      <c r="D33" s="105">
        <v>5</v>
      </c>
      <c r="E33" s="105"/>
      <c r="F33" s="78" t="s">
        <v>227</v>
      </c>
      <c r="G33" t="s">
        <v>3893</v>
      </c>
      <c r="H33" s="1" t="s">
        <v>3796</v>
      </c>
      <c r="I33" s="1">
        <v>1</v>
      </c>
      <c r="J33" s="1"/>
    </row>
    <row r="34" spans="1:10">
      <c r="A34" s="78" t="s">
        <v>751</v>
      </c>
      <c r="B34" s="78" t="s">
        <v>3894</v>
      </c>
      <c r="C34" s="78" t="s">
        <v>3002</v>
      </c>
      <c r="D34" s="105">
        <v>0.5</v>
      </c>
      <c r="E34" s="105"/>
      <c r="F34" s="78" t="s">
        <v>153</v>
      </c>
      <c r="G34" t="s">
        <v>3895</v>
      </c>
      <c r="H34" s="1" t="s">
        <v>3797</v>
      </c>
      <c r="I34" s="1">
        <v>1</v>
      </c>
      <c r="J34" s="1"/>
    </row>
    <row r="35" spans="1:10">
      <c r="A35" s="78" t="s">
        <v>780</v>
      </c>
      <c r="B35" s="78" t="s">
        <v>3896</v>
      </c>
      <c r="C35" s="78" t="s">
        <v>3002</v>
      </c>
      <c r="D35" s="105">
        <v>1</v>
      </c>
      <c r="E35" s="105"/>
      <c r="F35" s="78" t="s">
        <v>446</v>
      </c>
      <c r="G35" t="s">
        <v>3897</v>
      </c>
      <c r="H35" s="1" t="s">
        <v>3797</v>
      </c>
      <c r="I35" s="1">
        <v>1</v>
      </c>
      <c r="J35" s="1"/>
    </row>
    <row r="36" spans="1:10">
      <c r="A36" s="78" t="s">
        <v>666</v>
      </c>
      <c r="B36" s="78" t="s">
        <v>3898</v>
      </c>
      <c r="C36" s="78" t="s">
        <v>1203</v>
      </c>
      <c r="D36" s="105">
        <v>0.25</v>
      </c>
      <c r="E36" s="105"/>
      <c r="F36" s="78" t="s">
        <v>845</v>
      </c>
      <c r="G36" t="s">
        <v>3899</v>
      </c>
      <c r="H36" s="1" t="s">
        <v>3793</v>
      </c>
      <c r="I36" s="1">
        <v>1</v>
      </c>
      <c r="J36" s="1"/>
    </row>
    <row r="37" spans="1:10">
      <c r="A37" s="78" t="s">
        <v>808</v>
      </c>
      <c r="B37" s="78" t="s">
        <v>3900</v>
      </c>
      <c r="C37" s="78" t="s">
        <v>3002</v>
      </c>
      <c r="D37" s="105">
        <v>0.75</v>
      </c>
      <c r="E37" s="105"/>
      <c r="F37" s="78" t="s">
        <v>162</v>
      </c>
      <c r="G37" t="s">
        <v>3901</v>
      </c>
      <c r="H37" s="1" t="s">
        <v>3797</v>
      </c>
      <c r="I37" s="1">
        <v>1</v>
      </c>
      <c r="J37" s="1"/>
    </row>
    <row r="38" spans="1:10">
      <c r="A38" s="78" t="s">
        <v>999</v>
      </c>
      <c r="B38" s="78" t="s">
        <v>3902</v>
      </c>
      <c r="C38" s="78" t="s">
        <v>2448</v>
      </c>
      <c r="D38" s="105">
        <v>0.25</v>
      </c>
      <c r="E38" s="105"/>
      <c r="F38" s="78" t="s">
        <v>293</v>
      </c>
      <c r="G38" t="s">
        <v>3903</v>
      </c>
      <c r="H38" s="1" t="s">
        <v>3796</v>
      </c>
      <c r="I38" s="1">
        <v>1</v>
      </c>
      <c r="J38" s="1"/>
    </row>
    <row r="39" spans="1:10">
      <c r="A39" s="78" t="s">
        <v>3148</v>
      </c>
      <c r="B39" s="78" t="s">
        <v>3904</v>
      </c>
      <c r="C39" s="78" t="s">
        <v>3905</v>
      </c>
      <c r="D39" s="105">
        <v>1.5</v>
      </c>
      <c r="E39" s="105"/>
      <c r="F39" s="78" t="s">
        <v>2190</v>
      </c>
      <c r="G39" t="s">
        <v>3906</v>
      </c>
      <c r="H39" s="1" t="s">
        <v>3792</v>
      </c>
      <c r="I39" s="1">
        <v>1</v>
      </c>
      <c r="J39" s="1"/>
    </row>
    <row r="40" spans="1:10">
      <c r="A40" s="78" t="s">
        <v>1449</v>
      </c>
      <c r="B40" s="78" t="s">
        <v>3907</v>
      </c>
      <c r="C40" s="78" t="s">
        <v>127</v>
      </c>
      <c r="D40" s="105">
        <v>0.25</v>
      </c>
      <c r="E40" s="105"/>
      <c r="F40" s="78" t="s">
        <v>78</v>
      </c>
      <c r="G40" t="s">
        <v>3908</v>
      </c>
      <c r="H40" s="1" t="s">
        <v>3793</v>
      </c>
      <c r="I40" s="1">
        <v>1</v>
      </c>
      <c r="J40" s="1"/>
    </row>
    <row r="41" spans="1:10">
      <c r="A41" s="78" t="s">
        <v>3136</v>
      </c>
      <c r="B41" s="78" t="s">
        <v>3909</v>
      </c>
      <c r="C41" s="78" t="s">
        <v>1203</v>
      </c>
      <c r="D41" s="105">
        <v>0.25</v>
      </c>
      <c r="E41" s="105"/>
      <c r="F41" s="78" t="s">
        <v>845</v>
      </c>
      <c r="G41" t="s">
        <v>3910</v>
      </c>
      <c r="H41" s="1" t="s">
        <v>3793</v>
      </c>
      <c r="I41" s="1">
        <v>1</v>
      </c>
      <c r="J41" s="1"/>
    </row>
    <row r="42" spans="1:10">
      <c r="A42" s="78" t="s">
        <v>1664</v>
      </c>
      <c r="B42" s="78" t="s">
        <v>3743</v>
      </c>
      <c r="C42" s="78" t="s">
        <v>127</v>
      </c>
      <c r="D42" s="105">
        <v>0.5</v>
      </c>
      <c r="E42" s="105"/>
      <c r="F42" s="78" t="s">
        <v>293</v>
      </c>
      <c r="G42" t="s">
        <v>3911</v>
      </c>
      <c r="H42" s="1" t="s">
        <v>3794</v>
      </c>
      <c r="I42" s="1">
        <v>1</v>
      </c>
      <c r="J42" s="1"/>
    </row>
    <row r="43" spans="1:10">
      <c r="A43" s="78" t="s">
        <v>168</v>
      </c>
      <c r="B43" s="78" t="s">
        <v>3912</v>
      </c>
      <c r="C43" s="78" t="s">
        <v>1203</v>
      </c>
      <c r="D43" s="105">
        <v>0.25</v>
      </c>
      <c r="E43" s="105"/>
      <c r="F43" s="78" t="s">
        <v>1239</v>
      </c>
      <c r="G43" t="s">
        <v>3913</v>
      </c>
      <c r="H43" s="1" t="s">
        <v>3794</v>
      </c>
      <c r="I43" s="1">
        <v>1</v>
      </c>
      <c r="J43" s="1"/>
    </row>
    <row r="44" spans="1:10">
      <c r="A44" s="78" t="s">
        <v>1073</v>
      </c>
      <c r="B44" s="78" t="s">
        <v>1622</v>
      </c>
      <c r="C44" s="78" t="s">
        <v>1203</v>
      </c>
      <c r="D44" s="105">
        <v>1</v>
      </c>
      <c r="E44" s="105"/>
      <c r="F44" s="78" t="s">
        <v>1239</v>
      </c>
      <c r="G44" t="s">
        <v>3914</v>
      </c>
      <c r="H44" s="1" t="s">
        <v>3794</v>
      </c>
      <c r="I44" s="1">
        <v>1</v>
      </c>
      <c r="J44" s="1"/>
    </row>
    <row r="45" spans="1:10">
      <c r="A45" s="78" t="s">
        <v>1222</v>
      </c>
      <c r="B45" s="78" t="s">
        <v>1535</v>
      </c>
      <c r="C45" s="78" t="s">
        <v>1203</v>
      </c>
      <c r="D45" s="105">
        <v>0.25</v>
      </c>
      <c r="E45" s="105"/>
      <c r="F45" s="78" t="s">
        <v>1239</v>
      </c>
      <c r="G45" t="s">
        <v>3915</v>
      </c>
      <c r="H45" s="1" t="s">
        <v>3794</v>
      </c>
      <c r="I45" s="1">
        <v>1</v>
      </c>
      <c r="J45" s="1"/>
    </row>
    <row r="46" spans="1:10">
      <c r="A46" s="78" t="s">
        <v>3366</v>
      </c>
      <c r="B46" s="78" t="s">
        <v>1245</v>
      </c>
      <c r="C46" s="78" t="s">
        <v>1203</v>
      </c>
      <c r="D46" s="105">
        <v>0.75</v>
      </c>
      <c r="E46" s="105"/>
      <c r="F46" s="78" t="s">
        <v>78</v>
      </c>
      <c r="G46" t="s">
        <v>1246</v>
      </c>
      <c r="H46" s="1" t="s">
        <v>3794</v>
      </c>
      <c r="I46" s="1">
        <v>1</v>
      </c>
      <c r="J46" s="1"/>
    </row>
    <row r="47" spans="1:10">
      <c r="A47" s="78" t="s">
        <v>492</v>
      </c>
      <c r="B47" s="78" t="s">
        <v>3916</v>
      </c>
      <c r="C47" s="78" t="s">
        <v>127</v>
      </c>
      <c r="D47" s="105">
        <v>1</v>
      </c>
      <c r="E47" s="105"/>
      <c r="F47" s="78" t="s">
        <v>227</v>
      </c>
      <c r="G47" t="s">
        <v>3917</v>
      </c>
      <c r="H47" s="1" t="s">
        <v>3795</v>
      </c>
      <c r="I47" s="1">
        <v>1</v>
      </c>
      <c r="J47" s="1"/>
    </row>
    <row r="48" spans="1:10">
      <c r="A48" s="78" t="s">
        <v>2568</v>
      </c>
      <c r="B48" s="78" t="s">
        <v>3918</v>
      </c>
      <c r="C48" s="78" t="s">
        <v>2448</v>
      </c>
      <c r="D48" s="105">
        <v>1</v>
      </c>
      <c r="E48" s="105"/>
      <c r="F48" s="78" t="s">
        <v>78</v>
      </c>
      <c r="G48" t="s">
        <v>3919</v>
      </c>
      <c r="H48" s="1" t="s">
        <v>3796</v>
      </c>
      <c r="I48" s="1">
        <v>1</v>
      </c>
      <c r="J48" s="1"/>
    </row>
    <row r="49" spans="1:10">
      <c r="A49" s="78" t="s">
        <v>2915</v>
      </c>
      <c r="B49" s="78" t="s">
        <v>3920</v>
      </c>
      <c r="C49" s="78" t="s">
        <v>2448</v>
      </c>
      <c r="D49" s="105">
        <v>0.5</v>
      </c>
      <c r="E49" s="105"/>
      <c r="F49" s="78" t="s">
        <v>78</v>
      </c>
      <c r="G49" t="s">
        <v>3921</v>
      </c>
      <c r="H49" s="1" t="s">
        <v>3796</v>
      </c>
      <c r="I49" s="1">
        <v>1</v>
      </c>
      <c r="J49" s="1"/>
    </row>
    <row r="50" spans="1:10">
      <c r="A50" s="78" t="s">
        <v>296</v>
      </c>
      <c r="B50" s="78" t="s">
        <v>3922</v>
      </c>
      <c r="C50" s="78" t="s">
        <v>3002</v>
      </c>
      <c r="D50" s="105">
        <v>0.25</v>
      </c>
      <c r="E50" s="105"/>
      <c r="F50" s="78" t="s">
        <v>293</v>
      </c>
      <c r="G50" t="s">
        <v>3923</v>
      </c>
      <c r="H50" s="1" t="s">
        <v>3797</v>
      </c>
      <c r="I50" s="1">
        <v>1</v>
      </c>
      <c r="J50" s="1"/>
    </row>
    <row r="51" spans="1:10">
      <c r="A51" s="78" t="s">
        <v>885</v>
      </c>
      <c r="B51" s="78" t="s">
        <v>3924</v>
      </c>
      <c r="C51" s="78" t="s">
        <v>75</v>
      </c>
      <c r="D51" s="105">
        <v>0.5</v>
      </c>
      <c r="E51" s="105"/>
      <c r="F51" s="78" t="s">
        <v>78</v>
      </c>
      <c r="G51" t="s">
        <v>3925</v>
      </c>
      <c r="H51" s="1" t="s">
        <v>3797</v>
      </c>
      <c r="I51" s="1">
        <v>1</v>
      </c>
      <c r="J51" s="1"/>
    </row>
    <row r="52" spans="1:10">
      <c r="A52" s="78" t="s">
        <v>1000</v>
      </c>
      <c r="B52" s="78" t="s">
        <v>3926</v>
      </c>
      <c r="C52" s="78" t="s">
        <v>1203</v>
      </c>
      <c r="D52" s="105">
        <v>0.5</v>
      </c>
      <c r="E52" s="105"/>
      <c r="F52" s="78" t="s">
        <v>172</v>
      </c>
      <c r="G52" t="s">
        <v>3927</v>
      </c>
      <c r="H52" s="1" t="s">
        <v>3797</v>
      </c>
      <c r="I52" s="1">
        <v>1</v>
      </c>
      <c r="J52" s="1"/>
    </row>
    <row r="53" spans="1:10">
      <c r="A53" s="78" t="s">
        <v>1475</v>
      </c>
      <c r="B53" s="78" t="s">
        <v>3928</v>
      </c>
      <c r="C53" s="78" t="s">
        <v>1203</v>
      </c>
      <c r="D53" s="105">
        <v>0.5</v>
      </c>
      <c r="E53" s="105"/>
      <c r="F53" s="78" t="s">
        <v>172</v>
      </c>
      <c r="G53" t="s">
        <v>3927</v>
      </c>
      <c r="H53" s="1" t="s">
        <v>3797</v>
      </c>
      <c r="I53" s="1">
        <v>1</v>
      </c>
      <c r="J53" s="1"/>
    </row>
    <row r="54" spans="1:10">
      <c r="A54" s="78" t="s">
        <v>3243</v>
      </c>
      <c r="B54" s="78" t="s">
        <v>3929</v>
      </c>
      <c r="C54" s="78" t="s">
        <v>3002</v>
      </c>
      <c r="D54" s="105">
        <v>0.75</v>
      </c>
      <c r="E54" s="105"/>
      <c r="F54" s="78" t="s">
        <v>293</v>
      </c>
      <c r="G54" t="s">
        <v>3930</v>
      </c>
      <c r="H54" s="1" t="s">
        <v>3797</v>
      </c>
      <c r="I54" s="1">
        <v>1</v>
      </c>
      <c r="J54" s="1"/>
    </row>
    <row r="55" spans="1:10">
      <c r="A55" s="78"/>
      <c r="B55" s="78"/>
      <c r="C55" s="78"/>
      <c r="D55" s="105"/>
      <c r="E55" s="105"/>
      <c r="F55" s="78"/>
      <c r="H55" s="1"/>
      <c r="I55" s="1"/>
      <c r="J55" s="1"/>
    </row>
    <row r="56" spans="1:10">
      <c r="A56" s="78"/>
      <c r="B56" s="78"/>
      <c r="C56" s="78"/>
      <c r="D56" s="105"/>
      <c r="E56" s="105"/>
      <c r="F56" s="78"/>
      <c r="H56" s="1"/>
      <c r="I56" s="1"/>
      <c r="J56" s="1"/>
    </row>
    <row r="57" spans="1:10">
      <c r="A57" s="78"/>
      <c r="B57" s="78"/>
      <c r="C57" s="78"/>
      <c r="D57" s="105"/>
      <c r="E57" s="105"/>
      <c r="F57" s="78"/>
      <c r="H57" s="1"/>
      <c r="I57" s="1"/>
      <c r="J57" s="1"/>
    </row>
    <row r="58" spans="1:10">
      <c r="A58" s="78"/>
      <c r="B58" s="78"/>
      <c r="C58" s="78"/>
      <c r="D58" s="105"/>
      <c r="E58" s="105"/>
      <c r="F58" s="78"/>
      <c r="H58" s="1"/>
      <c r="I58" s="1"/>
      <c r="J58" s="1"/>
    </row>
    <row r="59" spans="1:10">
      <c r="A59" s="78"/>
      <c r="B59" s="78"/>
      <c r="C59" s="78"/>
      <c r="D59" s="105"/>
      <c r="E59" s="105"/>
      <c r="F59" s="78"/>
      <c r="H59" s="1"/>
      <c r="I59" s="1"/>
      <c r="J59" s="1"/>
    </row>
    <row r="60" spans="1:10">
      <c r="A60" s="78"/>
      <c r="B60" s="78"/>
      <c r="C60" s="78"/>
      <c r="D60" s="105"/>
      <c r="E60" s="105"/>
      <c r="F60" s="78"/>
      <c r="H60" s="1"/>
      <c r="I60" s="1"/>
      <c r="J60" s="1"/>
    </row>
    <row r="61" spans="1:10">
      <c r="A61" s="78"/>
      <c r="B61" s="78"/>
      <c r="C61" s="78"/>
      <c r="D61" s="105"/>
      <c r="E61" s="105"/>
      <c r="F61" s="78"/>
      <c r="H61" s="1"/>
      <c r="I61" s="1"/>
      <c r="J61" s="1"/>
    </row>
    <row r="62" spans="1:10">
      <c r="A62" s="78"/>
      <c r="B62" s="78"/>
      <c r="C62" s="78"/>
      <c r="D62" s="105"/>
      <c r="E62" s="105"/>
      <c r="F62" s="78"/>
      <c r="H62" s="1"/>
      <c r="I62" s="1"/>
      <c r="J62" s="1"/>
    </row>
    <row r="63" spans="1:10">
      <c r="A63" s="78"/>
      <c r="B63" s="78"/>
      <c r="C63" s="78"/>
      <c r="D63" s="105"/>
      <c r="E63" s="105"/>
      <c r="F63" s="78"/>
      <c r="H63" s="1"/>
      <c r="I63" s="1"/>
      <c r="J63" s="1"/>
    </row>
    <row r="64" spans="1:10">
      <c r="A64" s="78"/>
      <c r="B64" s="78"/>
      <c r="C64" s="78"/>
      <c r="D64" s="105"/>
      <c r="E64" s="105"/>
      <c r="F64" s="78"/>
      <c r="H64" s="1"/>
      <c r="I64" s="1"/>
    </row>
    <row r="65" spans="1:9">
      <c r="A65" s="78"/>
      <c r="B65" s="78"/>
      <c r="C65" s="78"/>
      <c r="D65" s="105"/>
      <c r="E65" s="105"/>
      <c r="F65" s="78"/>
      <c r="H65" s="1"/>
      <c r="I65" s="1"/>
    </row>
    <row r="66" spans="1:9">
      <c r="A66" s="78"/>
      <c r="B66" s="78"/>
      <c r="C66" s="78"/>
      <c r="D66" s="105"/>
      <c r="E66" s="105"/>
      <c r="F66" s="78"/>
      <c r="H66" s="1"/>
      <c r="I66" s="1"/>
    </row>
    <row r="67" spans="1:9">
      <c r="A67" s="78"/>
      <c r="B67" s="78"/>
      <c r="C67" s="78"/>
      <c r="D67" s="105"/>
      <c r="E67" s="105"/>
      <c r="F67" s="78"/>
      <c r="H67" s="1"/>
      <c r="I67" s="1"/>
    </row>
    <row r="68" spans="1:9">
      <c r="A68" s="78"/>
      <c r="B68" s="78"/>
      <c r="C68" s="78"/>
      <c r="D68" s="105"/>
      <c r="E68" s="105"/>
      <c r="F68" s="78"/>
      <c r="H68" s="1"/>
      <c r="I68" s="1"/>
    </row>
    <row r="69" spans="1:9">
      <c r="A69" s="78"/>
      <c r="B69" s="78"/>
      <c r="C69" s="78"/>
      <c r="D69" s="105"/>
      <c r="E69" s="105"/>
      <c r="F69" s="78"/>
      <c r="H69" s="1"/>
      <c r="I69" s="1"/>
    </row>
    <row r="70" spans="1:9">
      <c r="A70" s="78"/>
      <c r="B70" s="78"/>
      <c r="C70" s="78"/>
      <c r="D70" s="105"/>
      <c r="E70" s="105"/>
      <c r="F70" s="78"/>
      <c r="H70" s="1"/>
      <c r="I70" s="1"/>
    </row>
    <row r="71" spans="1:9">
      <c r="A71" s="78"/>
      <c r="B71" s="78"/>
      <c r="C71" s="78"/>
      <c r="D71" s="105"/>
      <c r="E71" s="105"/>
      <c r="F71" s="78"/>
      <c r="H71" s="1"/>
      <c r="I71" s="1"/>
    </row>
    <row r="72" spans="1:9">
      <c r="A72" s="78"/>
      <c r="B72" s="78"/>
      <c r="C72" s="78"/>
      <c r="D72" s="105"/>
      <c r="E72" s="105"/>
      <c r="F72" s="78"/>
      <c r="H72" s="1"/>
      <c r="I72" s="1"/>
    </row>
    <row r="73" spans="1:9">
      <c r="A73" s="78"/>
      <c r="B73" s="78"/>
      <c r="C73" s="78"/>
      <c r="D73" s="105"/>
      <c r="E73" s="105"/>
      <c r="F73" s="78"/>
      <c r="H73" s="1"/>
      <c r="I73" s="1"/>
    </row>
    <row r="74" spans="1:9">
      <c r="A74" s="78"/>
      <c r="B74" s="78"/>
      <c r="C74" s="78"/>
      <c r="D74" s="105"/>
      <c r="E74" s="105"/>
      <c r="F74" s="78"/>
      <c r="H74" s="1"/>
      <c r="I74" s="1"/>
    </row>
    <row r="75" spans="1:9">
      <c r="A75" s="78"/>
      <c r="B75" s="78"/>
      <c r="C75" s="78"/>
      <c r="D75" s="105"/>
      <c r="E75" s="105"/>
      <c r="F75" s="78"/>
      <c r="H75" s="1"/>
      <c r="I75" s="1"/>
    </row>
    <row r="76" spans="1:9">
      <c r="A76" s="78"/>
      <c r="B76" s="78"/>
      <c r="C76" s="78"/>
      <c r="D76" s="105"/>
      <c r="E76" s="105"/>
      <c r="F76" s="78"/>
      <c r="H76" s="1"/>
      <c r="I76" s="1"/>
    </row>
    <row r="77" spans="1:9">
      <c r="A77" s="78"/>
      <c r="B77" s="78"/>
      <c r="C77" s="78"/>
      <c r="D77" s="105"/>
      <c r="E77" s="105"/>
      <c r="F77" s="78"/>
      <c r="H77" s="1"/>
      <c r="I77" s="1"/>
    </row>
    <row r="78" spans="1:9">
      <c r="A78" s="78"/>
      <c r="B78" s="78"/>
      <c r="C78" s="78"/>
      <c r="D78" s="105"/>
      <c r="E78" s="105"/>
      <c r="F78" s="78"/>
      <c r="H78" s="1"/>
      <c r="I78" s="1"/>
    </row>
    <row r="79" spans="1:9">
      <c r="A79" s="78"/>
      <c r="B79" s="78"/>
      <c r="C79" s="78"/>
      <c r="D79" s="105"/>
      <c r="E79" s="105"/>
      <c r="F79" s="78"/>
      <c r="H79" s="1"/>
      <c r="I79" s="1"/>
    </row>
    <row r="80" spans="1:9">
      <c r="A80" s="78"/>
      <c r="B80" s="78"/>
      <c r="C80" s="78"/>
      <c r="D80" s="105"/>
      <c r="E80" s="105"/>
      <c r="F80" s="78"/>
      <c r="H80" s="1"/>
      <c r="I80" s="1"/>
    </row>
    <row r="81" spans="1:9">
      <c r="A81" s="78"/>
      <c r="B81" s="78"/>
      <c r="C81" s="78"/>
      <c r="D81" s="105"/>
      <c r="E81" s="105"/>
      <c r="F81" s="78"/>
      <c r="H81" s="1"/>
      <c r="I81" s="1"/>
    </row>
    <row r="82" spans="1:9">
      <c r="A82" s="78"/>
      <c r="B82" s="78"/>
      <c r="C82" s="78"/>
      <c r="D82" s="105"/>
      <c r="E82" s="105"/>
      <c r="F82" s="78"/>
      <c r="H82" s="1"/>
      <c r="I82" s="1"/>
    </row>
    <row r="83" spans="1:9">
      <c r="A83" s="78"/>
      <c r="B83" s="78"/>
      <c r="C83" s="78"/>
      <c r="D83" s="105"/>
      <c r="E83" s="105"/>
      <c r="F83" s="78"/>
      <c r="H83" s="1"/>
      <c r="I83" s="1"/>
    </row>
    <row r="84" spans="1:9">
      <c r="A84" s="78"/>
      <c r="B84" s="78"/>
      <c r="C84" s="78"/>
      <c r="D84" s="105"/>
      <c r="E84" s="105"/>
      <c r="F84" s="78"/>
      <c r="H84" s="1"/>
      <c r="I84" s="1"/>
    </row>
    <row r="85" spans="1:9">
      <c r="A85" s="78"/>
      <c r="B85" s="78"/>
      <c r="C85" s="78"/>
      <c r="D85" s="105"/>
      <c r="E85" s="105"/>
      <c r="F85" s="78"/>
      <c r="H85" s="1"/>
      <c r="I85" s="1"/>
    </row>
    <row r="86" spans="1:9">
      <c r="A86" s="78"/>
      <c r="B86" s="78"/>
      <c r="C86" s="78"/>
      <c r="D86" s="105"/>
      <c r="E86" s="105"/>
      <c r="F86" s="78"/>
      <c r="H86" s="1"/>
      <c r="I86" s="1"/>
    </row>
    <row r="87" spans="1:9">
      <c r="A87" s="78"/>
      <c r="B87" s="78"/>
      <c r="C87" s="78"/>
      <c r="D87" s="105"/>
      <c r="E87" s="105"/>
      <c r="F87" s="78"/>
      <c r="H87" s="1"/>
      <c r="I87" s="1"/>
    </row>
    <row r="88" spans="1:9">
      <c r="A88" s="78"/>
      <c r="B88" s="78"/>
      <c r="C88" s="78"/>
      <c r="D88" s="105"/>
      <c r="E88" s="105"/>
      <c r="F88" s="78"/>
      <c r="H88" s="1"/>
      <c r="I88" s="1"/>
    </row>
    <row r="89" spans="1:9">
      <c r="A89" s="78"/>
      <c r="B89" s="78"/>
      <c r="C89" s="78"/>
      <c r="D89" s="105"/>
      <c r="E89" s="105"/>
      <c r="F89" s="78"/>
      <c r="H89" s="1"/>
      <c r="I89" s="1"/>
    </row>
    <row r="90" spans="1:9">
      <c r="A90" s="78"/>
      <c r="B90" s="78"/>
      <c r="C90" s="78"/>
      <c r="D90" s="105"/>
      <c r="E90" s="105"/>
      <c r="F90" s="78"/>
      <c r="H90" s="1"/>
      <c r="I90" s="1"/>
    </row>
    <row r="91" spans="1:9">
      <c r="A91" s="78"/>
      <c r="B91" s="78"/>
      <c r="C91" s="78"/>
      <c r="D91" s="105"/>
      <c r="E91" s="105"/>
      <c r="F91" s="78"/>
      <c r="H91" s="1"/>
      <c r="I91" s="1"/>
    </row>
    <row r="92" spans="1:9">
      <c r="A92" s="78"/>
      <c r="B92" s="78"/>
      <c r="C92" s="78"/>
      <c r="D92" s="105"/>
      <c r="E92" s="105"/>
      <c r="F92" s="78"/>
      <c r="H92" s="1"/>
      <c r="I92" s="1"/>
    </row>
    <row r="93" spans="1:9">
      <c r="A93" s="78"/>
      <c r="B93" s="78"/>
      <c r="C93" s="78"/>
      <c r="D93" s="105"/>
      <c r="E93" s="105"/>
      <c r="F93" s="78"/>
      <c r="H93" s="1"/>
      <c r="I93" s="1"/>
    </row>
    <row r="94" spans="1:9">
      <c r="A94" s="78"/>
      <c r="B94" s="78"/>
      <c r="C94" s="78"/>
      <c r="D94" s="105"/>
      <c r="E94" s="105"/>
      <c r="F94" s="78"/>
      <c r="H94" s="1"/>
      <c r="I94" s="1"/>
    </row>
    <row r="95" spans="1:9">
      <c r="A95" s="78"/>
      <c r="B95" s="78"/>
      <c r="C95" s="78"/>
      <c r="D95" s="105"/>
      <c r="E95" s="105"/>
      <c r="F95" s="78"/>
      <c r="H95" s="1"/>
      <c r="I95" s="1"/>
    </row>
    <row r="96" spans="1:9">
      <c r="A96" s="78"/>
      <c r="B96" s="78"/>
      <c r="C96" s="78"/>
      <c r="D96" s="105"/>
      <c r="E96" s="105"/>
      <c r="F96" s="78"/>
      <c r="H96" s="1"/>
      <c r="I96" s="1"/>
    </row>
    <row r="97" spans="1:9">
      <c r="A97" s="78"/>
      <c r="B97" s="78"/>
      <c r="C97" s="78"/>
      <c r="D97" s="105"/>
      <c r="E97" s="105"/>
      <c r="F97" s="78"/>
      <c r="H97" s="1"/>
      <c r="I97" s="1"/>
    </row>
    <row r="98" spans="1:9">
      <c r="A98" s="78"/>
      <c r="B98" s="78"/>
      <c r="C98" s="78"/>
      <c r="D98" s="105"/>
      <c r="E98" s="105"/>
      <c r="F98" s="78"/>
      <c r="H98" s="1"/>
      <c r="I98" s="1"/>
    </row>
    <row r="99" spans="1:9">
      <c r="A99" s="78"/>
      <c r="B99" s="78"/>
      <c r="C99" s="78"/>
      <c r="D99" s="105"/>
      <c r="E99" s="105"/>
      <c r="F99" s="78"/>
      <c r="H99" s="1"/>
      <c r="I99" s="1"/>
    </row>
    <row r="100" spans="1:9">
      <c r="A100" s="78"/>
      <c r="B100" s="78"/>
      <c r="C100" s="78"/>
      <c r="D100" s="105"/>
      <c r="E100" s="105"/>
      <c r="F100" s="78"/>
      <c r="H100" s="1"/>
      <c r="I100" s="1"/>
    </row>
    <row r="101" spans="1:9">
      <c r="A101" s="78"/>
      <c r="B101" s="78"/>
      <c r="C101" s="78"/>
      <c r="D101" s="105"/>
      <c r="E101" s="105"/>
      <c r="F101" s="78"/>
      <c r="H101" s="1"/>
      <c r="I101" s="1"/>
    </row>
    <row r="102" spans="1:9">
      <c r="A102" s="78"/>
      <c r="B102" s="78"/>
      <c r="C102" s="78"/>
      <c r="D102" s="105"/>
      <c r="E102" s="105"/>
      <c r="F102" s="78"/>
      <c r="H102" s="1"/>
      <c r="I102" s="1"/>
    </row>
    <row r="103" spans="1:9">
      <c r="A103" s="78"/>
      <c r="B103" s="78"/>
      <c r="C103" s="78"/>
      <c r="D103" s="105"/>
      <c r="E103" s="105"/>
      <c r="F103" s="78"/>
      <c r="H103" s="1"/>
      <c r="I103" s="1"/>
    </row>
    <row r="104" spans="1:9">
      <c r="A104" s="78"/>
      <c r="B104" s="78"/>
      <c r="C104" s="78"/>
      <c r="D104" s="105"/>
      <c r="E104" s="105"/>
      <c r="F104" s="78"/>
      <c r="H104" s="1"/>
      <c r="I104" s="1"/>
    </row>
    <row r="105" spans="1:9">
      <c r="A105" s="78"/>
      <c r="B105" s="78"/>
      <c r="C105" s="78"/>
      <c r="D105" s="105"/>
      <c r="E105" s="105"/>
      <c r="F105" s="78"/>
      <c r="H105" s="1"/>
      <c r="I105" s="1"/>
    </row>
    <row r="106" spans="1:9">
      <c r="A106" s="78"/>
      <c r="B106" s="78"/>
      <c r="C106" s="78"/>
      <c r="D106" s="105"/>
      <c r="E106" s="105"/>
      <c r="F106" s="78"/>
      <c r="H106" s="1"/>
      <c r="I106" s="1"/>
    </row>
    <row r="107" spans="1:9">
      <c r="A107" s="78"/>
      <c r="B107" s="78"/>
      <c r="C107" s="78"/>
      <c r="D107" s="105"/>
      <c r="E107" s="105"/>
      <c r="F107" s="78"/>
      <c r="H107" s="1"/>
      <c r="I107" s="1"/>
    </row>
    <row r="108" spans="1:9">
      <c r="A108" s="78"/>
      <c r="B108" s="78"/>
      <c r="C108" s="78"/>
      <c r="D108" s="105"/>
      <c r="E108" s="105"/>
      <c r="F108" s="78"/>
      <c r="H108" s="1"/>
      <c r="I108" s="1"/>
    </row>
    <row r="109" spans="1:9">
      <c r="A109" s="78"/>
      <c r="B109" s="78"/>
      <c r="C109" s="78"/>
      <c r="D109" s="105"/>
      <c r="E109" s="105"/>
      <c r="F109" s="78"/>
      <c r="H109" s="1"/>
      <c r="I109" s="1"/>
    </row>
    <row r="110" spans="1:9">
      <c r="A110" s="78"/>
      <c r="B110" s="78"/>
      <c r="C110" s="78"/>
      <c r="D110" s="105"/>
      <c r="E110" s="105"/>
      <c r="F110" s="78"/>
      <c r="H110" s="1"/>
      <c r="I110" s="1"/>
    </row>
    <row r="111" spans="1:9">
      <c r="A111" s="78"/>
      <c r="B111" s="78"/>
      <c r="C111" s="78"/>
      <c r="D111" s="105"/>
      <c r="E111" s="105"/>
      <c r="F111" s="78"/>
      <c r="H111" s="1"/>
      <c r="I111" s="1"/>
    </row>
    <row r="112" spans="1:9">
      <c r="A112" s="78"/>
      <c r="B112" s="78"/>
      <c r="C112" s="78"/>
      <c r="D112" s="105"/>
      <c r="E112" s="105"/>
      <c r="F112" s="78"/>
      <c r="H112" s="1"/>
      <c r="I112" s="1"/>
    </row>
    <row r="113" spans="1:9">
      <c r="A113" s="78"/>
      <c r="B113" s="78"/>
      <c r="C113" s="78"/>
      <c r="D113" s="105"/>
      <c r="E113" s="105"/>
      <c r="F113" s="78"/>
      <c r="H113" s="1"/>
      <c r="I113" s="1"/>
    </row>
    <row r="114" spans="1:9">
      <c r="A114" s="78"/>
      <c r="B114" s="78"/>
      <c r="C114" s="78"/>
      <c r="D114" s="105"/>
      <c r="E114" s="105"/>
      <c r="F114" s="78"/>
      <c r="H114" s="1"/>
      <c r="I114" s="1"/>
    </row>
    <row r="115" spans="1:9">
      <c r="A115" s="78"/>
      <c r="B115" s="78"/>
      <c r="C115" s="78"/>
      <c r="D115" s="105"/>
      <c r="E115" s="105"/>
      <c r="F115" s="78"/>
      <c r="H115" s="1"/>
      <c r="I115" s="1"/>
    </row>
    <row r="116" spans="1:9">
      <c r="A116" s="78"/>
      <c r="B116" s="78"/>
      <c r="C116" s="78"/>
      <c r="D116" s="105"/>
      <c r="E116" s="105"/>
      <c r="F116" s="78"/>
      <c r="H116" s="1"/>
      <c r="I116" s="1"/>
    </row>
    <row r="117" spans="1:9">
      <c r="A117" s="78"/>
      <c r="B117" s="78"/>
      <c r="C117" s="78"/>
      <c r="D117" s="105"/>
      <c r="E117" s="105"/>
      <c r="F117" s="78"/>
      <c r="H117" s="1"/>
      <c r="I117" s="1"/>
    </row>
    <row r="118" spans="1:9">
      <c r="A118" s="78"/>
      <c r="B118" s="78"/>
      <c r="C118" s="78"/>
      <c r="D118" s="105"/>
      <c r="E118" s="105"/>
      <c r="F118" s="78"/>
      <c r="H118" s="1"/>
      <c r="I118" s="1"/>
    </row>
    <row r="119" spans="1:9">
      <c r="A119" s="78"/>
      <c r="B119" s="78"/>
      <c r="C119" s="78"/>
      <c r="D119" s="105"/>
      <c r="E119" s="105"/>
      <c r="F119" s="78"/>
      <c r="H119" s="1"/>
      <c r="I119" s="1"/>
    </row>
    <row r="120" spans="1:9">
      <c r="A120" s="78"/>
      <c r="B120" s="78"/>
      <c r="C120" s="78"/>
      <c r="D120" s="105"/>
      <c r="E120" s="105"/>
      <c r="F120" s="78"/>
      <c r="H120" s="1"/>
      <c r="I120" s="1"/>
    </row>
    <row r="121" spans="1:9">
      <c r="A121" s="78"/>
      <c r="B121" s="78"/>
      <c r="C121" s="78"/>
      <c r="D121" s="105"/>
      <c r="E121" s="105"/>
      <c r="F121" s="78"/>
      <c r="H121" s="1"/>
      <c r="I121" s="1"/>
    </row>
    <row r="122" spans="1:9">
      <c r="A122" s="78"/>
      <c r="B122" s="78"/>
      <c r="C122" s="78"/>
      <c r="D122" s="105"/>
      <c r="E122" s="105"/>
      <c r="F122" s="78"/>
      <c r="H122" s="1"/>
      <c r="I122" s="1"/>
    </row>
    <row r="123" spans="1:9">
      <c r="A123" s="78"/>
      <c r="B123" s="78"/>
      <c r="C123" s="78"/>
      <c r="D123" s="105"/>
      <c r="E123" s="78"/>
      <c r="F123" s="78"/>
      <c r="H123" s="1"/>
    </row>
    <row r="124" spans="1:9">
      <c r="A124" s="78"/>
      <c r="B124" s="78"/>
      <c r="C124" s="78"/>
      <c r="D124" s="105"/>
      <c r="E124" s="78"/>
      <c r="F124" s="78"/>
      <c r="H124" s="1"/>
    </row>
    <row r="125" spans="1:9">
      <c r="A125" s="78"/>
      <c r="B125" s="78"/>
      <c r="C125" s="78"/>
      <c r="D125" s="105"/>
      <c r="E125" s="78"/>
      <c r="F125" s="78"/>
      <c r="H125" s="1"/>
    </row>
    <row r="126" spans="1:9">
      <c r="A126" s="78"/>
      <c r="B126" s="78"/>
      <c r="C126" s="78"/>
      <c r="D126" s="105"/>
      <c r="E126" s="78"/>
      <c r="F126" s="78"/>
      <c r="H126" s="1"/>
    </row>
    <row r="127" spans="1:9">
      <c r="A127" s="78"/>
      <c r="B127" s="78"/>
      <c r="C127" s="78"/>
      <c r="D127" s="78"/>
      <c r="E127" s="78"/>
      <c r="F127" s="78"/>
    </row>
    <row r="128" spans="1:9">
      <c r="A128" s="78"/>
      <c r="B128" s="78"/>
      <c r="C128" s="78"/>
      <c r="D128" s="78"/>
      <c r="E128" s="78"/>
      <c r="F128" s="78"/>
    </row>
    <row r="129" spans="1:6">
      <c r="A129" s="78"/>
      <c r="B129" s="78"/>
      <c r="C129" s="78"/>
      <c r="D129" s="78"/>
      <c r="E129" s="78"/>
      <c r="F129" s="78"/>
    </row>
    <row r="130" spans="1:6">
      <c r="A130" s="78"/>
      <c r="B130" s="78"/>
      <c r="C130" s="78"/>
      <c r="D130" s="78"/>
      <c r="E130" s="78"/>
      <c r="F130" s="78"/>
    </row>
    <row r="131" spans="1:6">
      <c r="A131" s="78"/>
      <c r="B131" s="78"/>
      <c r="C131" s="78"/>
      <c r="D131" s="78"/>
      <c r="E131" s="78"/>
      <c r="F131" s="78"/>
    </row>
    <row r="132" spans="1:6">
      <c r="A132" s="78"/>
      <c r="B132" s="78"/>
      <c r="C132" s="78"/>
      <c r="D132" s="78"/>
      <c r="E132" s="78"/>
      <c r="F132" s="78"/>
    </row>
    <row r="133" spans="1:6">
      <c r="A133" s="78"/>
      <c r="B133" s="78"/>
      <c r="C133" s="78"/>
      <c r="D133" s="78"/>
      <c r="E133" s="78"/>
      <c r="F133" s="78"/>
    </row>
    <row r="134" spans="1:6">
      <c r="A134" s="78"/>
      <c r="B134" s="78"/>
      <c r="C134" s="78"/>
      <c r="D134" s="78"/>
      <c r="E134" s="78"/>
      <c r="F134" s="78"/>
    </row>
    <row r="135" spans="1:6">
      <c r="A135" s="78"/>
      <c r="B135" s="78"/>
      <c r="C135" s="78"/>
      <c r="D135" s="78"/>
      <c r="E135" s="78"/>
      <c r="F135" s="78"/>
    </row>
    <row r="136" spans="1:6">
      <c r="A136" s="78"/>
      <c r="B136" s="78"/>
      <c r="C136" s="78"/>
      <c r="D136" s="78"/>
      <c r="E136" s="78"/>
      <c r="F136" s="78"/>
    </row>
    <row r="137" spans="1:6">
      <c r="A137" s="78"/>
      <c r="B137" s="78"/>
      <c r="C137" s="78"/>
      <c r="D137" s="78"/>
      <c r="E137" s="78"/>
      <c r="F137" s="78"/>
    </row>
    <row r="138" spans="1:6">
      <c r="A138" s="78"/>
      <c r="B138" s="78"/>
      <c r="C138" s="78"/>
      <c r="D138" s="78"/>
      <c r="E138" s="78"/>
      <c r="F138" s="78"/>
    </row>
    <row r="139" spans="1:6">
      <c r="A139" s="78"/>
      <c r="B139" s="78"/>
      <c r="C139" s="78"/>
      <c r="D139" s="78"/>
      <c r="E139" s="78"/>
      <c r="F139" s="78"/>
    </row>
    <row r="140" spans="1:6">
      <c r="A140" s="78"/>
      <c r="B140" s="78"/>
      <c r="C140" s="78"/>
      <c r="D140" s="78"/>
      <c r="E140" s="78"/>
      <c r="F140" s="78"/>
    </row>
    <row r="141" spans="1:6">
      <c r="A141" s="78"/>
      <c r="B141" s="78"/>
      <c r="C141" s="78"/>
      <c r="D141" s="78"/>
      <c r="E141" s="78"/>
      <c r="F141" s="78"/>
    </row>
    <row r="142" spans="1:6">
      <c r="A142" s="78"/>
      <c r="B142" s="78"/>
      <c r="C142" s="78"/>
      <c r="D142" s="78"/>
      <c r="E142" s="78"/>
      <c r="F142" s="78"/>
    </row>
    <row r="143" spans="1:6">
      <c r="A143" s="78"/>
      <c r="B143" s="78"/>
      <c r="C143" s="78"/>
      <c r="D143" s="78"/>
      <c r="E143" s="78"/>
      <c r="F143" s="78"/>
    </row>
    <row r="144" spans="1:6">
      <c r="A144" s="78"/>
      <c r="B144" s="78"/>
      <c r="C144" s="78"/>
      <c r="D144" s="78"/>
      <c r="E144" s="78"/>
      <c r="F144" s="78"/>
    </row>
    <row r="145" spans="1:6">
      <c r="A145" s="78"/>
      <c r="B145" s="78"/>
      <c r="C145" s="78"/>
      <c r="D145" s="78"/>
      <c r="E145" s="78"/>
      <c r="F145" s="78"/>
    </row>
    <row r="146" spans="1:6">
      <c r="A146" s="78"/>
      <c r="B146" s="78"/>
      <c r="C146" s="78"/>
      <c r="D146" s="78"/>
      <c r="E146" s="78"/>
      <c r="F146" s="78"/>
    </row>
    <row r="147" spans="1:6">
      <c r="A147" s="78"/>
      <c r="B147" s="78"/>
      <c r="C147" s="78"/>
      <c r="D147" s="78"/>
      <c r="E147" s="78"/>
      <c r="F147" s="78"/>
    </row>
    <row r="148" spans="1:6">
      <c r="A148" s="78"/>
      <c r="B148" s="78"/>
      <c r="C148" s="78"/>
      <c r="D148" s="78"/>
      <c r="E148" s="78"/>
      <c r="F148" s="78"/>
    </row>
    <row r="149" spans="1:6">
      <c r="A149" s="78"/>
      <c r="B149" s="78"/>
      <c r="C149" s="78"/>
      <c r="D149" s="78"/>
      <c r="E149" s="78"/>
      <c r="F149" s="78"/>
    </row>
    <row r="150" spans="1:6">
      <c r="A150" s="78"/>
      <c r="B150" s="78"/>
      <c r="C150" s="78"/>
      <c r="D150" s="78"/>
      <c r="E150" s="78"/>
      <c r="F150" s="78"/>
    </row>
    <row r="151" spans="1:6">
      <c r="A151" s="78"/>
      <c r="B151" s="78"/>
      <c r="C151" s="78"/>
      <c r="D151" s="78"/>
      <c r="E151" s="78"/>
      <c r="F151" s="78"/>
    </row>
    <row r="152" spans="1:6">
      <c r="A152" s="78"/>
      <c r="B152" s="78"/>
      <c r="C152" s="78"/>
      <c r="D152" s="78"/>
      <c r="E152" s="78"/>
      <c r="F152" s="78"/>
    </row>
    <row r="153" spans="1:6">
      <c r="A153" s="78"/>
      <c r="B153" s="78"/>
      <c r="C153" s="78"/>
      <c r="D153" s="78"/>
      <c r="E153" s="78"/>
      <c r="F153" s="78"/>
    </row>
    <row r="154" spans="1:6">
      <c r="A154" s="78"/>
      <c r="B154" s="78"/>
      <c r="C154" s="78"/>
      <c r="D154" s="78"/>
      <c r="E154" s="78"/>
      <c r="F154" s="78"/>
    </row>
    <row r="155" spans="1:6">
      <c r="A155" s="78"/>
      <c r="B155" s="78"/>
      <c r="C155" s="78"/>
      <c r="D155" s="78"/>
      <c r="E155" s="78"/>
      <c r="F155" s="78"/>
    </row>
    <row r="156" spans="1:6">
      <c r="A156" s="78"/>
      <c r="B156" s="78"/>
      <c r="C156" s="78"/>
      <c r="D156" s="78"/>
      <c r="E156" s="78"/>
      <c r="F156" s="78"/>
    </row>
    <row r="157" spans="1:6">
      <c r="A157" s="78"/>
      <c r="B157" s="78"/>
      <c r="C157" s="78"/>
      <c r="D157" s="78"/>
      <c r="E157" s="78"/>
      <c r="F157" s="78"/>
    </row>
    <row r="158" spans="1:6">
      <c r="A158" s="78"/>
      <c r="B158" s="78"/>
      <c r="C158" s="78"/>
      <c r="D158" s="78"/>
      <c r="E158" s="78"/>
      <c r="F158" s="78"/>
    </row>
    <row r="159" spans="1:6">
      <c r="A159" s="78"/>
      <c r="B159" s="78"/>
      <c r="C159" s="78"/>
      <c r="D159" s="78"/>
      <c r="E159" s="78"/>
      <c r="F159" s="78"/>
    </row>
    <row r="160" spans="1:6">
      <c r="A160" s="78"/>
      <c r="B160" s="78"/>
      <c r="C160" s="78"/>
      <c r="D160" s="78"/>
      <c r="E160" s="78"/>
      <c r="F160" s="78"/>
    </row>
    <row r="161" spans="1:6">
      <c r="A161" s="78"/>
      <c r="B161" s="78"/>
      <c r="C161" s="78"/>
      <c r="D161" s="78"/>
      <c r="E161" s="78"/>
      <c r="F161" s="78"/>
    </row>
    <row r="162" spans="1:6">
      <c r="A162" s="78"/>
      <c r="B162" s="78"/>
      <c r="C162" s="78"/>
      <c r="D162" s="78"/>
      <c r="E162" s="78"/>
      <c r="F162" s="78"/>
    </row>
    <row r="163" spans="1:6">
      <c r="A163" s="78"/>
      <c r="B163" s="78"/>
      <c r="C163" s="78"/>
      <c r="D163" s="78"/>
      <c r="E163" s="78"/>
      <c r="F163" s="78"/>
    </row>
    <row r="164" spans="1:6">
      <c r="A164" s="78"/>
      <c r="B164" s="78"/>
      <c r="C164" s="78"/>
      <c r="D164" s="78"/>
      <c r="E164" s="78"/>
      <c r="F164" s="78"/>
    </row>
    <row r="165" spans="1:6">
      <c r="A165" s="78"/>
      <c r="B165" s="78"/>
      <c r="C165" s="78"/>
      <c r="D165" s="78"/>
      <c r="E165" s="78"/>
      <c r="F165" s="78"/>
    </row>
    <row r="166" spans="1:6">
      <c r="A166" s="78"/>
      <c r="B166" s="78"/>
      <c r="C166" s="78"/>
      <c r="D166" s="78"/>
      <c r="E166" s="78"/>
      <c r="F166" s="78"/>
    </row>
    <row r="167" spans="1:6">
      <c r="A167" s="78"/>
      <c r="B167" s="78"/>
      <c r="C167" s="78"/>
      <c r="D167" s="78"/>
      <c r="E167" s="78"/>
      <c r="F167" s="78"/>
    </row>
    <row r="168" spans="1:6">
      <c r="A168" s="78"/>
      <c r="B168" s="78"/>
      <c r="C168" s="78"/>
      <c r="D168" s="78"/>
      <c r="E168" s="78"/>
      <c r="F168" s="78"/>
    </row>
    <row r="169" spans="1:6">
      <c r="A169" s="78"/>
      <c r="B169" s="78"/>
      <c r="C169" s="78"/>
      <c r="D169" s="78"/>
      <c r="E169" s="78"/>
      <c r="F169" s="78"/>
    </row>
    <row r="170" spans="1:6">
      <c r="A170" s="78"/>
      <c r="B170" s="78"/>
      <c r="C170" s="78"/>
      <c r="D170" s="78"/>
      <c r="E170" s="78"/>
      <c r="F170" s="78"/>
    </row>
    <row r="171" spans="1:6">
      <c r="A171" s="78"/>
      <c r="B171" s="78"/>
      <c r="C171" s="78"/>
      <c r="D171" s="78"/>
      <c r="E171" s="78"/>
      <c r="F171" s="78"/>
    </row>
    <row r="172" spans="1:6">
      <c r="A172" s="78"/>
      <c r="B172" s="78"/>
      <c r="C172" s="78"/>
      <c r="D172" s="78"/>
      <c r="E172" s="78"/>
      <c r="F172" s="78"/>
    </row>
    <row r="173" spans="1:6">
      <c r="A173" s="78"/>
      <c r="B173" s="78"/>
      <c r="C173" s="78"/>
      <c r="D173" s="78"/>
      <c r="E173" s="78"/>
      <c r="F173" s="78"/>
    </row>
    <row r="174" spans="1:6">
      <c r="A174" s="78"/>
      <c r="B174" s="78"/>
      <c r="C174" s="78"/>
      <c r="D174" s="78"/>
      <c r="E174" s="78"/>
      <c r="F174" s="78"/>
    </row>
    <row r="175" spans="1:6">
      <c r="A175" s="78"/>
      <c r="B175" s="78"/>
      <c r="C175" s="78"/>
      <c r="D175" s="78"/>
      <c r="E175" s="78"/>
      <c r="F175" s="78"/>
    </row>
    <row r="176" spans="1:6">
      <c r="A176" s="78"/>
      <c r="B176" s="78"/>
      <c r="C176" s="78"/>
      <c r="D176" s="78"/>
      <c r="E176" s="78"/>
      <c r="F176" s="78"/>
    </row>
    <row r="177" spans="1:6">
      <c r="A177" s="78"/>
      <c r="B177" s="78"/>
      <c r="C177" s="78"/>
      <c r="D177" s="78"/>
      <c r="E177" s="78"/>
      <c r="F177" s="78"/>
    </row>
    <row r="178" spans="1:6">
      <c r="A178" s="78"/>
      <c r="B178" s="78"/>
      <c r="C178" s="78"/>
      <c r="D178" s="78"/>
      <c r="E178" s="78"/>
      <c r="F178" s="78"/>
    </row>
    <row r="179" spans="1:6">
      <c r="A179" s="78"/>
      <c r="B179" s="78"/>
      <c r="C179" s="78"/>
      <c r="D179" s="78"/>
      <c r="E179" s="78"/>
      <c r="F179" s="78"/>
    </row>
    <row r="180" spans="1:6">
      <c r="A180" s="78"/>
      <c r="B180" s="78"/>
      <c r="C180" s="78"/>
      <c r="D180" s="78"/>
      <c r="E180" s="78"/>
      <c r="F180" s="78"/>
    </row>
    <row r="181" spans="1:6">
      <c r="A181" s="78"/>
      <c r="B181" s="78"/>
      <c r="C181" s="78"/>
      <c r="D181" s="78"/>
      <c r="E181" s="78"/>
      <c r="F181" s="78"/>
    </row>
    <row r="182" spans="1:6">
      <c r="A182" s="78"/>
      <c r="B182" s="78"/>
      <c r="C182" s="78"/>
      <c r="D182" s="78"/>
      <c r="E182" s="78"/>
      <c r="F182" s="78"/>
    </row>
    <row r="183" spans="1:6">
      <c r="A183" s="78"/>
      <c r="B183" s="78"/>
      <c r="C183" s="78"/>
      <c r="D183" s="78"/>
      <c r="E183" s="78"/>
      <c r="F183" s="78"/>
    </row>
    <row r="184" spans="1:6">
      <c r="A184" s="78"/>
      <c r="B184" s="78"/>
      <c r="C184" s="78"/>
      <c r="D184" s="78"/>
      <c r="E184" s="78"/>
      <c r="F184" s="78"/>
    </row>
    <row r="185" spans="1:6">
      <c r="A185" s="78"/>
      <c r="B185" s="78"/>
      <c r="C185" s="78"/>
      <c r="D185" s="78"/>
      <c r="E185" s="78"/>
      <c r="F185" s="78"/>
    </row>
    <row r="186" spans="1:6">
      <c r="A186" s="78"/>
      <c r="B186" s="78"/>
      <c r="C186" s="78"/>
      <c r="D186" s="78"/>
      <c r="E186" s="78"/>
      <c r="F186" s="78"/>
    </row>
    <row r="187" spans="1:6">
      <c r="A187" s="78"/>
      <c r="B187" s="78"/>
      <c r="C187" s="78"/>
      <c r="D187" s="78"/>
      <c r="E187" s="78"/>
      <c r="F187" s="78"/>
    </row>
    <row r="188" spans="1:6">
      <c r="A188" s="78"/>
      <c r="B188" s="78"/>
      <c r="C188" s="78"/>
      <c r="D188" s="78"/>
      <c r="E188" s="78"/>
      <c r="F188" s="78"/>
    </row>
    <row r="189" spans="1:6">
      <c r="A189" s="78"/>
      <c r="B189" s="78"/>
      <c r="C189" s="78"/>
      <c r="D189" s="78"/>
      <c r="E189" s="78"/>
      <c r="F189" s="78"/>
    </row>
    <row r="190" spans="1:6">
      <c r="A190" s="78"/>
      <c r="B190" s="78"/>
      <c r="C190" s="78"/>
      <c r="D190" s="78"/>
      <c r="E190" s="78"/>
      <c r="F190" s="78"/>
    </row>
    <row r="191" spans="1:6">
      <c r="A191" s="78"/>
      <c r="B191" s="78"/>
      <c r="C191" s="78"/>
      <c r="D191" s="78"/>
      <c r="E191" s="78"/>
      <c r="F191" s="78"/>
    </row>
    <row r="192" spans="1:6">
      <c r="A192" s="78"/>
      <c r="B192" s="78"/>
      <c r="C192" s="78"/>
      <c r="D192" s="78"/>
      <c r="E192" s="78"/>
      <c r="F192" s="78"/>
    </row>
    <row r="193" spans="1:6">
      <c r="A193" s="78"/>
      <c r="B193" s="78"/>
      <c r="C193" s="78"/>
      <c r="D193" s="78"/>
      <c r="E193" s="78"/>
      <c r="F193" s="78"/>
    </row>
    <row r="194" spans="1:6">
      <c r="A194" s="78"/>
      <c r="B194" s="78"/>
      <c r="C194" s="78"/>
      <c r="D194" s="78"/>
      <c r="E194" s="78"/>
      <c r="F194" s="78"/>
    </row>
    <row r="195" spans="1:6">
      <c r="A195" s="78"/>
      <c r="B195" s="78"/>
      <c r="C195" s="78"/>
      <c r="D195" s="78"/>
      <c r="E195" s="78"/>
      <c r="F195" s="78"/>
    </row>
    <row r="196" spans="1:6">
      <c r="A196" s="78"/>
      <c r="B196" s="78"/>
      <c r="C196" s="78"/>
      <c r="D196" s="78"/>
      <c r="E196" s="78"/>
      <c r="F196" s="78"/>
    </row>
    <row r="197" spans="1:6">
      <c r="A197" s="78"/>
      <c r="B197" s="78"/>
      <c r="C197" s="78"/>
      <c r="D197" s="78"/>
      <c r="E197" s="78"/>
      <c r="F197" s="78"/>
    </row>
    <row r="198" spans="1:6">
      <c r="A198" s="78"/>
      <c r="B198" s="78"/>
      <c r="C198" s="78"/>
      <c r="D198" s="78"/>
      <c r="E198" s="78"/>
      <c r="F198" s="78"/>
    </row>
    <row r="199" spans="1:6">
      <c r="A199" s="78"/>
      <c r="B199" s="78"/>
      <c r="C199" s="78"/>
      <c r="D199" s="78"/>
      <c r="E199" s="78"/>
      <c r="F199" s="78"/>
    </row>
    <row r="200" spans="1:6">
      <c r="A200" s="78"/>
      <c r="B200" s="78"/>
      <c r="C200" s="78"/>
      <c r="D200" s="78"/>
      <c r="E200" s="78"/>
      <c r="F200" s="78"/>
    </row>
    <row r="201" spans="1:6">
      <c r="A201" s="78"/>
      <c r="B201" s="78"/>
      <c r="C201" s="78"/>
      <c r="D201" s="78"/>
      <c r="E201" s="78"/>
      <c r="F201" s="78"/>
    </row>
    <row r="202" spans="1:6">
      <c r="A202" s="78"/>
      <c r="B202" s="78"/>
      <c r="C202" s="78"/>
      <c r="D202" s="78"/>
      <c r="E202" s="78"/>
      <c r="F202" s="78"/>
    </row>
    <row r="203" spans="1:6">
      <c r="A203" s="78"/>
      <c r="B203" s="78"/>
      <c r="C203" s="78"/>
      <c r="D203" s="78"/>
      <c r="E203" s="78"/>
      <c r="F203" s="78"/>
    </row>
    <row r="204" spans="1:6">
      <c r="A204" s="78"/>
      <c r="B204" s="78"/>
      <c r="C204" s="78"/>
      <c r="D204" s="78"/>
      <c r="E204" s="78"/>
      <c r="F204" s="78"/>
    </row>
    <row r="205" spans="1:6">
      <c r="A205" s="78"/>
      <c r="B205" s="78"/>
      <c r="C205" s="78"/>
      <c r="D205" s="78"/>
      <c r="E205" s="78"/>
      <c r="F205" s="78"/>
    </row>
    <row r="206" spans="1:6">
      <c r="A206" s="78"/>
      <c r="B206" s="78"/>
      <c r="C206" s="78"/>
      <c r="D206" s="78"/>
      <c r="E206" s="78"/>
      <c r="F206" s="78"/>
    </row>
    <row r="207" spans="1:6">
      <c r="A207" s="78"/>
      <c r="B207" s="78"/>
      <c r="C207" s="78"/>
      <c r="D207" s="78"/>
      <c r="E207" s="78"/>
      <c r="F207" s="78"/>
    </row>
    <row r="208" spans="1:6">
      <c r="A208" s="78"/>
      <c r="B208" s="78"/>
      <c r="C208" s="78"/>
      <c r="D208" s="78"/>
      <c r="E208" s="78"/>
      <c r="F208" s="78"/>
    </row>
    <row r="209" spans="1:6">
      <c r="A209" s="78"/>
      <c r="B209" s="78"/>
      <c r="C209" s="78"/>
      <c r="D209" s="78"/>
      <c r="E209" s="78"/>
      <c r="F209" s="78"/>
    </row>
    <row r="210" spans="1:6">
      <c r="A210" s="78"/>
      <c r="B210" s="78"/>
      <c r="C210" s="78"/>
      <c r="D210" s="78"/>
      <c r="E210" s="78"/>
      <c r="F210" s="78"/>
    </row>
    <row r="211" spans="1:6">
      <c r="A211" s="78"/>
      <c r="B211" s="78"/>
      <c r="C211" s="78"/>
      <c r="D211" s="78"/>
      <c r="E211" s="78"/>
      <c r="F211" s="78"/>
    </row>
    <row r="212" spans="1:6">
      <c r="A212" s="78"/>
      <c r="B212" s="78"/>
      <c r="C212" s="78"/>
      <c r="D212" s="78"/>
      <c r="E212" s="78"/>
      <c r="F212" s="78"/>
    </row>
    <row r="213" spans="1:6">
      <c r="A213" s="78"/>
      <c r="B213" s="78"/>
      <c r="C213" s="78"/>
      <c r="D213" s="78"/>
      <c r="E213" s="78"/>
      <c r="F213" s="78"/>
    </row>
    <row r="214" spans="1:6">
      <c r="A214" s="78"/>
      <c r="B214" s="78"/>
      <c r="C214" s="78"/>
      <c r="D214" s="78"/>
      <c r="E214" s="78"/>
      <c r="F214" s="78"/>
    </row>
    <row r="215" spans="1:6">
      <c r="A215" s="78"/>
      <c r="B215" s="78"/>
      <c r="C215" s="78"/>
      <c r="D215" s="78"/>
      <c r="E215" s="78"/>
      <c r="F215" s="78"/>
    </row>
    <row r="216" spans="1:6">
      <c r="A216" s="78"/>
      <c r="B216" s="78"/>
      <c r="C216" s="78"/>
      <c r="D216" s="78"/>
      <c r="E216" s="78"/>
      <c r="F216" s="78"/>
    </row>
    <row r="217" spans="1:6">
      <c r="A217" s="78"/>
      <c r="B217" s="78"/>
      <c r="C217" s="78"/>
      <c r="D217" s="78"/>
      <c r="E217" s="78"/>
      <c r="F217" s="78"/>
    </row>
    <row r="218" spans="1:6">
      <c r="A218" s="78"/>
      <c r="B218" s="78"/>
      <c r="C218" s="78"/>
      <c r="D218" s="78"/>
      <c r="E218" s="78"/>
      <c r="F218" s="78"/>
    </row>
    <row r="219" spans="1:6">
      <c r="A219" s="78"/>
      <c r="B219" s="78"/>
      <c r="C219" s="78"/>
      <c r="D219" s="78"/>
      <c r="E219" s="78"/>
      <c r="F219" s="78"/>
    </row>
    <row r="220" spans="1:6">
      <c r="A220" s="78"/>
      <c r="B220" s="78"/>
      <c r="C220" s="78"/>
      <c r="D220" s="78"/>
      <c r="E220" s="78"/>
      <c r="F220" s="78"/>
    </row>
    <row r="221" spans="1:6">
      <c r="A221" s="78"/>
      <c r="B221" s="78"/>
      <c r="C221" s="78"/>
      <c r="D221" s="78"/>
      <c r="E221" s="78"/>
      <c r="F221" s="78"/>
    </row>
    <row r="222" spans="1:6">
      <c r="A222" s="78"/>
      <c r="B222" s="78"/>
      <c r="C222" s="78"/>
      <c r="D222" s="78"/>
      <c r="E222" s="78"/>
      <c r="F222" s="78"/>
    </row>
    <row r="223" spans="1:6">
      <c r="A223" s="78"/>
      <c r="B223" s="78"/>
      <c r="C223" s="78"/>
      <c r="D223" s="78"/>
      <c r="E223" s="78"/>
      <c r="F223" s="78"/>
    </row>
    <row r="224" spans="1:6">
      <c r="A224" s="78"/>
      <c r="B224" s="78"/>
      <c r="C224" s="78"/>
      <c r="D224" s="78"/>
      <c r="E224" s="78"/>
      <c r="F224" s="78"/>
    </row>
    <row r="225" spans="1:6">
      <c r="A225" s="78"/>
      <c r="B225" s="78"/>
      <c r="C225" s="78"/>
      <c r="D225" s="78"/>
      <c r="E225" s="78"/>
      <c r="F225" s="78"/>
    </row>
    <row r="226" spans="1:6">
      <c r="A226" s="78"/>
      <c r="B226" s="78"/>
      <c r="C226" s="78"/>
      <c r="D226" s="78"/>
      <c r="E226" s="78"/>
      <c r="F226" s="78"/>
    </row>
    <row r="227" spans="1:6">
      <c r="A227" s="78"/>
      <c r="B227" s="78"/>
      <c r="C227" s="78"/>
      <c r="D227" s="78"/>
      <c r="E227" s="78"/>
      <c r="F227" s="78"/>
    </row>
    <row r="228" spans="1:6">
      <c r="A228" s="78"/>
      <c r="B228" s="78"/>
      <c r="C228" s="78"/>
      <c r="D228" s="78"/>
      <c r="E228" s="78"/>
      <c r="F228" s="78"/>
    </row>
    <row r="229" spans="1:6">
      <c r="A229" s="78"/>
      <c r="B229" s="78"/>
      <c r="C229" s="78"/>
      <c r="D229" s="78"/>
      <c r="E229" s="78"/>
      <c r="F229" s="78"/>
    </row>
    <row r="230" spans="1:6">
      <c r="A230" s="78"/>
      <c r="B230" s="78"/>
      <c r="C230" s="78"/>
      <c r="D230" s="78"/>
      <c r="E230" s="78"/>
      <c r="F230" s="78"/>
    </row>
    <row r="231" spans="1:6">
      <c r="A231" s="78"/>
      <c r="B231" s="78"/>
      <c r="C231" s="78"/>
      <c r="D231" s="78"/>
      <c r="E231" s="78"/>
      <c r="F231" s="78"/>
    </row>
    <row r="232" spans="1:6">
      <c r="A232" s="78"/>
      <c r="B232" s="78"/>
      <c r="C232" s="78"/>
      <c r="D232" s="78"/>
      <c r="E232" s="78"/>
      <c r="F232" s="78"/>
    </row>
    <row r="233" spans="1:6">
      <c r="A233" s="78"/>
      <c r="B233" s="78"/>
      <c r="C233" s="78"/>
      <c r="D233" s="78"/>
      <c r="E233" s="78"/>
      <c r="F233" s="78"/>
    </row>
    <row r="234" spans="1:6">
      <c r="A234" s="78"/>
      <c r="B234" s="78"/>
      <c r="C234" s="78"/>
      <c r="D234" s="78"/>
      <c r="E234" s="78"/>
      <c r="F234" s="78"/>
    </row>
    <row r="235" spans="1:6">
      <c r="A235" s="78"/>
      <c r="B235" s="78"/>
      <c r="C235" s="78"/>
      <c r="D235" s="78"/>
      <c r="E235" s="78"/>
      <c r="F235" s="78"/>
    </row>
    <row r="236" spans="1:6">
      <c r="A236" s="78"/>
      <c r="B236" s="78"/>
      <c r="C236" s="78"/>
      <c r="D236" s="78"/>
      <c r="E236" s="78"/>
      <c r="F236" s="78"/>
    </row>
    <row r="237" spans="1:6">
      <c r="A237" s="78"/>
      <c r="B237" s="78"/>
      <c r="C237" s="78"/>
      <c r="D237" s="78"/>
      <c r="E237" s="78"/>
      <c r="F237" s="78"/>
    </row>
    <row r="238" spans="1:6">
      <c r="A238" s="78"/>
      <c r="B238" s="78"/>
      <c r="C238" s="78"/>
      <c r="D238" s="78"/>
      <c r="E238" s="78"/>
      <c r="F238" s="78"/>
    </row>
    <row r="239" spans="1:6">
      <c r="A239" s="78"/>
      <c r="B239" s="78"/>
      <c r="C239" s="78"/>
      <c r="D239" s="78"/>
      <c r="E239" s="78"/>
      <c r="F239" s="78"/>
    </row>
    <row r="240" spans="1:6">
      <c r="A240" s="78"/>
      <c r="B240" s="78"/>
      <c r="C240" s="78"/>
      <c r="D240" s="78"/>
      <c r="E240" s="78"/>
      <c r="F240" s="78"/>
    </row>
    <row r="241" spans="1:6">
      <c r="A241" s="78"/>
      <c r="B241" s="78"/>
      <c r="C241" s="78"/>
      <c r="D241" s="78"/>
      <c r="E241" s="78"/>
      <c r="F241" s="78"/>
    </row>
    <row r="242" spans="1:6">
      <c r="A242" s="78"/>
      <c r="B242" s="78"/>
      <c r="C242" s="78"/>
      <c r="D242" s="78"/>
      <c r="E242" s="78"/>
      <c r="F242" s="78"/>
    </row>
    <row r="243" spans="1:6">
      <c r="A243" s="78"/>
      <c r="B243" s="78"/>
      <c r="C243" s="78"/>
      <c r="D243" s="78"/>
      <c r="E243" s="78"/>
      <c r="F243" s="78"/>
    </row>
    <row r="244" spans="1:6">
      <c r="A244" s="78"/>
      <c r="B244" s="78"/>
      <c r="C244" s="78"/>
      <c r="D244" s="78"/>
      <c r="E244" s="78"/>
      <c r="F244" s="78"/>
    </row>
    <row r="245" spans="1:6">
      <c r="A245" s="78"/>
      <c r="B245" s="78"/>
      <c r="C245" s="78"/>
      <c r="D245" s="78"/>
      <c r="E245" s="78"/>
      <c r="F245" s="78"/>
    </row>
    <row r="246" spans="1:6">
      <c r="A246" s="78"/>
      <c r="B246" s="78"/>
      <c r="C246" s="78"/>
      <c r="D246" s="78"/>
      <c r="E246" s="78"/>
      <c r="F246" s="78"/>
    </row>
    <row r="247" spans="1:6">
      <c r="A247" s="78"/>
      <c r="B247" s="78"/>
      <c r="C247" s="78"/>
      <c r="D247" s="78"/>
      <c r="E247" s="78"/>
      <c r="F247" s="78"/>
    </row>
    <row r="248" spans="1:6">
      <c r="A248" s="78"/>
      <c r="B248" s="78"/>
      <c r="C248" s="78"/>
      <c r="D248" s="78"/>
      <c r="E248" s="78"/>
      <c r="F248" s="78"/>
    </row>
    <row r="249" spans="1:6">
      <c r="A249" s="78"/>
      <c r="B249" s="78"/>
      <c r="C249" s="78"/>
      <c r="D249" s="78"/>
      <c r="E249" s="78"/>
      <c r="F249" s="78"/>
    </row>
    <row r="250" spans="1:6">
      <c r="A250" s="78"/>
      <c r="B250" s="78"/>
      <c r="C250" s="78"/>
      <c r="D250" s="78"/>
      <c r="E250" s="78"/>
      <c r="F250" s="78"/>
    </row>
    <row r="251" spans="1:6">
      <c r="A251" s="78"/>
      <c r="B251" s="78"/>
      <c r="C251" s="78"/>
      <c r="D251" s="78"/>
      <c r="E251" s="78"/>
      <c r="F251" s="78"/>
    </row>
    <row r="252" spans="1:6">
      <c r="A252" s="78"/>
      <c r="B252" s="78"/>
      <c r="C252" s="78"/>
      <c r="D252" s="78"/>
      <c r="E252" s="78"/>
      <c r="F252" s="78"/>
    </row>
    <row r="253" spans="1:6">
      <c r="A253" s="78"/>
      <c r="B253" s="78"/>
      <c r="C253" s="78"/>
      <c r="D253" s="78"/>
      <c r="E253" s="78"/>
      <c r="F253" s="78"/>
    </row>
    <row r="254" spans="1:6">
      <c r="A254" s="78"/>
      <c r="B254" s="78"/>
      <c r="C254" s="78"/>
      <c r="D254" s="78"/>
      <c r="E254" s="78"/>
      <c r="F254" s="78"/>
    </row>
    <row r="255" spans="1:6">
      <c r="A255" s="78"/>
      <c r="B255" s="78"/>
      <c r="C255" s="78"/>
      <c r="D255" s="78"/>
      <c r="E255" s="78"/>
      <c r="F255" s="78"/>
    </row>
    <row r="256" spans="1:6">
      <c r="A256" s="78"/>
      <c r="B256" s="78"/>
      <c r="C256" s="78"/>
      <c r="D256" s="78"/>
      <c r="E256" s="78"/>
      <c r="F256" s="78"/>
    </row>
    <row r="257" spans="1:6">
      <c r="A257" s="78"/>
      <c r="B257" s="78"/>
      <c r="C257" s="78"/>
      <c r="D257" s="78"/>
      <c r="E257" s="78"/>
      <c r="F257" s="78"/>
    </row>
    <row r="258" spans="1:6">
      <c r="A258" s="78"/>
      <c r="B258" s="78"/>
      <c r="C258" s="78"/>
      <c r="D258" s="78"/>
      <c r="E258" s="78"/>
      <c r="F258" s="78"/>
    </row>
    <row r="259" spans="1:6">
      <c r="A259" s="78"/>
      <c r="B259" s="78"/>
      <c r="C259" s="78"/>
      <c r="D259" s="78"/>
      <c r="E259" s="78"/>
      <c r="F259" s="78"/>
    </row>
    <row r="260" spans="1:6">
      <c r="A260" s="78"/>
      <c r="B260" s="78"/>
      <c r="C260" s="78"/>
      <c r="D260" s="78"/>
      <c r="E260" s="78"/>
      <c r="F260" s="78"/>
    </row>
    <row r="261" spans="1:6">
      <c r="A261" s="78"/>
      <c r="B261" s="78"/>
      <c r="C261" s="78"/>
      <c r="D261" s="78"/>
      <c r="E261" s="78"/>
      <c r="F261" s="78"/>
    </row>
    <row r="262" spans="1:6">
      <c r="A262" s="78"/>
      <c r="B262" s="78"/>
      <c r="C262" s="78"/>
      <c r="D262" s="78"/>
      <c r="E262" s="78"/>
      <c r="F262" s="78"/>
    </row>
    <row r="263" spans="1:6">
      <c r="A263" s="78"/>
      <c r="B263" s="78"/>
      <c r="C263" s="78"/>
      <c r="D263" s="78"/>
      <c r="E263" s="78"/>
      <c r="F263" s="78"/>
    </row>
    <row r="264" spans="1:6">
      <c r="A264" s="78"/>
      <c r="B264" s="78"/>
      <c r="C264" s="78"/>
      <c r="D264" s="78"/>
      <c r="E264" s="78"/>
      <c r="F264" s="78"/>
    </row>
    <row r="265" spans="1:6">
      <c r="A265" s="78"/>
      <c r="B265" s="78"/>
      <c r="C265" s="78"/>
      <c r="D265" s="78"/>
      <c r="E265" s="78"/>
      <c r="F265" s="78"/>
    </row>
    <row r="266" spans="1:6">
      <c r="A266" s="78"/>
      <c r="B266" s="78"/>
      <c r="C266" s="78"/>
      <c r="D266" s="78"/>
      <c r="E266" s="78"/>
      <c r="F266" s="78"/>
    </row>
    <row r="267" spans="1:6">
      <c r="A267" s="78"/>
      <c r="B267" s="78"/>
      <c r="C267" s="78"/>
      <c r="D267" s="78"/>
      <c r="E267" s="78"/>
      <c r="F267" s="78"/>
    </row>
    <row r="268" spans="1:6">
      <c r="A268" s="78"/>
      <c r="B268" s="78"/>
      <c r="C268" s="78"/>
      <c r="D268" s="78"/>
      <c r="E268" s="78"/>
      <c r="F268" s="78"/>
    </row>
    <row r="269" spans="1:6">
      <c r="A269" s="78"/>
      <c r="B269" s="78"/>
      <c r="C269" s="78"/>
      <c r="D269" s="78"/>
      <c r="E269" s="78"/>
      <c r="F269" s="78"/>
    </row>
    <row r="270" spans="1:6">
      <c r="A270" s="78"/>
      <c r="B270" s="78"/>
      <c r="C270" s="78"/>
      <c r="D270" s="78"/>
      <c r="E270" s="78"/>
      <c r="F270" s="78"/>
    </row>
    <row r="271" spans="1:6">
      <c r="A271" s="78"/>
      <c r="B271" s="78"/>
      <c r="C271" s="78"/>
      <c r="D271" s="78"/>
      <c r="E271" s="78"/>
      <c r="F271" s="78"/>
    </row>
    <row r="272" spans="1:6">
      <c r="A272" s="78"/>
      <c r="B272" s="78"/>
      <c r="C272" s="78"/>
      <c r="D272" s="78"/>
      <c r="E272" s="78"/>
      <c r="F272" s="78"/>
    </row>
    <row r="273" spans="1:6">
      <c r="A273" s="78"/>
      <c r="B273" s="78"/>
      <c r="C273" s="78"/>
      <c r="D273" s="78"/>
      <c r="E273" s="78"/>
      <c r="F273" s="78"/>
    </row>
    <row r="274" spans="1:6">
      <c r="A274" s="78"/>
      <c r="B274" s="78"/>
      <c r="C274" s="78"/>
      <c r="D274" s="78"/>
      <c r="E274" s="78"/>
      <c r="F274" s="78"/>
    </row>
    <row r="275" spans="1:6">
      <c r="A275" s="78"/>
      <c r="B275" s="78"/>
      <c r="C275" s="78"/>
      <c r="D275" s="78"/>
      <c r="E275" s="78"/>
      <c r="F275" s="78"/>
    </row>
    <row r="276" spans="1:6">
      <c r="A276" s="78"/>
      <c r="B276" s="78"/>
      <c r="C276" s="78"/>
      <c r="D276" s="78"/>
      <c r="E276" s="78"/>
      <c r="F276" s="78"/>
    </row>
    <row r="277" spans="1:6">
      <c r="A277" s="78"/>
      <c r="B277" s="78"/>
      <c r="C277" s="78"/>
      <c r="D277" s="78"/>
      <c r="E277" s="78"/>
      <c r="F277" s="78"/>
    </row>
    <row r="278" spans="1:6">
      <c r="A278" s="78"/>
      <c r="B278" s="78"/>
      <c r="C278" s="78"/>
      <c r="D278" s="78"/>
      <c r="E278" s="78"/>
      <c r="F278" s="78"/>
    </row>
    <row r="279" spans="1:6">
      <c r="A279" s="78"/>
      <c r="B279" s="78"/>
      <c r="C279" s="78"/>
      <c r="D279" s="78"/>
      <c r="E279" s="78"/>
      <c r="F279" s="78"/>
    </row>
    <row r="280" spans="1:6">
      <c r="A280" s="78"/>
      <c r="B280" s="78"/>
      <c r="C280" s="78"/>
      <c r="D280" s="78"/>
      <c r="E280" s="78"/>
      <c r="F280" s="78"/>
    </row>
    <row r="281" spans="1:6">
      <c r="A281" s="78"/>
      <c r="B281" s="78"/>
      <c r="C281" s="78"/>
      <c r="D281" s="78"/>
      <c r="E281" s="78"/>
      <c r="F281" s="78"/>
    </row>
    <row r="282" spans="1:6">
      <c r="A282" s="78"/>
      <c r="B282" s="78"/>
      <c r="C282" s="78"/>
      <c r="D282" s="78"/>
      <c r="E282" s="78"/>
      <c r="F282" s="78"/>
    </row>
    <row r="283" spans="1:6">
      <c r="A283" s="78"/>
      <c r="B283" s="78"/>
      <c r="C283" s="78"/>
      <c r="D283" s="78"/>
      <c r="E283" s="78"/>
      <c r="F283" s="78"/>
    </row>
    <row r="284" spans="1:6">
      <c r="A284" s="78"/>
      <c r="B284" s="78"/>
      <c r="C284" s="78"/>
      <c r="D284" s="78"/>
      <c r="E284" s="78"/>
      <c r="F284" s="78"/>
    </row>
    <row r="285" spans="1:6">
      <c r="A285" s="78"/>
      <c r="B285" s="78"/>
      <c r="C285" s="78"/>
      <c r="D285" s="78"/>
      <c r="E285" s="78"/>
      <c r="F285" s="78"/>
    </row>
    <row r="286" spans="1:6">
      <c r="A286" s="78"/>
      <c r="B286" s="78"/>
      <c r="C286" s="78"/>
      <c r="D286" s="78"/>
      <c r="E286" s="78"/>
      <c r="F286" s="78"/>
    </row>
    <row r="287" spans="1:6">
      <c r="A287" s="78"/>
      <c r="B287" s="78"/>
      <c r="C287" s="78"/>
      <c r="D287" s="78"/>
      <c r="E287" s="78"/>
      <c r="F287" s="78"/>
    </row>
    <row r="288" spans="1:6">
      <c r="A288" s="78"/>
      <c r="B288" s="78"/>
      <c r="C288" s="78"/>
      <c r="D288" s="78"/>
      <c r="E288" s="78"/>
      <c r="F288" s="78"/>
    </row>
    <row r="289" spans="1:6">
      <c r="A289" s="78"/>
      <c r="B289" s="78"/>
      <c r="C289" s="78"/>
      <c r="D289" s="78"/>
      <c r="E289" s="78"/>
      <c r="F289" s="78"/>
    </row>
    <row r="290" spans="1:6">
      <c r="A290" s="78"/>
      <c r="B290" s="78"/>
      <c r="C290" s="78"/>
      <c r="D290" s="78"/>
      <c r="E290" s="78"/>
      <c r="F290" s="78"/>
    </row>
    <row r="291" spans="1:6">
      <c r="A291" s="78"/>
      <c r="B291" s="78"/>
      <c r="C291" s="78"/>
      <c r="D291" s="78"/>
      <c r="E291" s="78"/>
      <c r="F291" s="78"/>
    </row>
    <row r="292" spans="1:6">
      <c r="A292" s="78"/>
      <c r="B292" s="78"/>
      <c r="C292" s="78"/>
      <c r="D292" s="78"/>
      <c r="E292" s="78"/>
      <c r="F292" s="78"/>
    </row>
    <row r="293" spans="1:6">
      <c r="A293" s="78"/>
      <c r="B293" s="78"/>
      <c r="C293" s="78"/>
      <c r="D293" s="78"/>
      <c r="E293" s="78"/>
      <c r="F293" s="78"/>
    </row>
    <row r="294" spans="1:6">
      <c r="A294" s="78"/>
      <c r="B294" s="78"/>
      <c r="C294" s="78"/>
      <c r="D294" s="78"/>
      <c r="E294" s="78"/>
      <c r="F294" s="78"/>
    </row>
    <row r="295" spans="1:6">
      <c r="A295" s="78"/>
      <c r="B295" s="78"/>
      <c r="C295" s="78"/>
      <c r="D295" s="78"/>
      <c r="E295" s="78"/>
      <c r="F295" s="78"/>
    </row>
    <row r="296" spans="1:6">
      <c r="A296" s="78"/>
      <c r="B296" s="78"/>
      <c r="C296" s="78"/>
      <c r="D296" s="78"/>
      <c r="E296" s="78"/>
      <c r="F296" s="78"/>
    </row>
    <row r="297" spans="1:6">
      <c r="A297" s="78"/>
      <c r="B297" s="78"/>
      <c r="C297" s="78"/>
      <c r="D297" s="78"/>
      <c r="E297" s="78"/>
      <c r="F297" s="78"/>
    </row>
    <row r="298" spans="1:6">
      <c r="A298" s="78"/>
      <c r="B298" s="78"/>
      <c r="C298" s="78"/>
      <c r="D298" s="78"/>
      <c r="E298" s="78"/>
      <c r="F298" s="78"/>
    </row>
    <row r="299" spans="1:6">
      <c r="A299" s="78"/>
      <c r="B299" s="78"/>
      <c r="C299" s="78"/>
      <c r="D299" s="78"/>
      <c r="E299" s="78"/>
      <c r="F299" s="78"/>
    </row>
    <row r="300" spans="1:6">
      <c r="A300" s="78"/>
      <c r="B300" s="78"/>
      <c r="C300" s="78"/>
      <c r="D300" s="78"/>
      <c r="E300" s="78"/>
      <c r="F300" s="78"/>
    </row>
    <row r="301" spans="1:6">
      <c r="A301" s="78"/>
      <c r="B301" s="78"/>
      <c r="C301" s="78"/>
      <c r="D301" s="78"/>
      <c r="E301" s="78"/>
      <c r="F301" s="78"/>
    </row>
    <row r="302" spans="1:6">
      <c r="A302" s="78"/>
      <c r="B302" s="78"/>
      <c r="C302" s="78"/>
      <c r="D302" s="78"/>
      <c r="E302" s="78"/>
      <c r="F302" s="78"/>
    </row>
    <row r="303" spans="1:6">
      <c r="A303" s="78"/>
      <c r="B303" s="78"/>
      <c r="C303" s="78"/>
      <c r="D303" s="78"/>
      <c r="E303" s="78"/>
      <c r="F303" s="78"/>
    </row>
    <row r="304" spans="1:6">
      <c r="A304" s="78"/>
      <c r="B304" s="78"/>
      <c r="C304" s="78"/>
      <c r="D304" s="78"/>
      <c r="E304" s="78"/>
      <c r="F304" s="78"/>
    </row>
    <row r="305" spans="1:6">
      <c r="A305" s="78"/>
      <c r="B305" s="78"/>
      <c r="C305" s="78"/>
      <c r="D305" s="78"/>
      <c r="E305" s="78"/>
      <c r="F305" s="78"/>
    </row>
    <row r="306" spans="1:6">
      <c r="A306" s="78"/>
      <c r="B306" s="78"/>
      <c r="C306" s="78"/>
      <c r="D306" s="78"/>
      <c r="E306" s="78"/>
      <c r="F306" s="78"/>
    </row>
    <row r="307" spans="1:6">
      <c r="A307" s="78"/>
      <c r="B307" s="78"/>
      <c r="C307" s="78"/>
      <c r="D307" s="78"/>
      <c r="E307" s="78"/>
      <c r="F307" s="78"/>
    </row>
    <row r="308" spans="1:6">
      <c r="A308" s="78"/>
      <c r="B308" s="78"/>
      <c r="C308" s="78"/>
      <c r="D308" s="78"/>
      <c r="E308" s="78"/>
      <c r="F308" s="78"/>
    </row>
    <row r="309" spans="1:6">
      <c r="A309" s="78"/>
      <c r="B309" s="78"/>
      <c r="C309" s="78"/>
      <c r="D309" s="78"/>
      <c r="E309" s="78"/>
      <c r="F309" s="78"/>
    </row>
    <row r="310" spans="1:6">
      <c r="A310" s="78"/>
      <c r="B310" s="78"/>
      <c r="C310" s="78"/>
      <c r="D310" s="78"/>
      <c r="E310" s="78"/>
      <c r="F310" s="78"/>
    </row>
    <row r="311" spans="1:6">
      <c r="A311" s="78"/>
      <c r="B311" s="78"/>
      <c r="C311" s="78"/>
      <c r="D311" s="78"/>
      <c r="E311" s="78"/>
      <c r="F311" s="78"/>
    </row>
    <row r="312" spans="1:6">
      <c r="A312" s="78"/>
      <c r="B312" s="78"/>
      <c r="C312" s="78"/>
      <c r="D312" s="78"/>
      <c r="E312" s="78"/>
      <c r="F312" s="78"/>
    </row>
    <row r="313" spans="1:6">
      <c r="A313" s="78"/>
      <c r="B313" s="78"/>
      <c r="C313" s="78"/>
      <c r="D313" s="78"/>
      <c r="E313" s="78"/>
      <c r="F313" s="78"/>
    </row>
    <row r="314" spans="1:6">
      <c r="A314" s="78"/>
      <c r="B314" s="78"/>
      <c r="C314" s="78"/>
      <c r="D314" s="78"/>
      <c r="E314" s="78"/>
      <c r="F314" s="78"/>
    </row>
    <row r="315" spans="1:6">
      <c r="A315" s="78"/>
      <c r="B315" s="78"/>
      <c r="C315" s="78"/>
      <c r="D315" s="78"/>
      <c r="E315" s="78"/>
      <c r="F315" s="78"/>
    </row>
    <row r="316" spans="1:6">
      <c r="A316" s="78"/>
      <c r="B316" s="78"/>
      <c r="C316" s="78"/>
      <c r="D316" s="78"/>
      <c r="E316" s="78"/>
      <c r="F316" s="78"/>
    </row>
    <row r="317" spans="1:6">
      <c r="A317" s="78"/>
      <c r="B317" s="78"/>
      <c r="C317" s="78"/>
      <c r="D317" s="78"/>
      <c r="E317" s="78"/>
      <c r="F317" s="78"/>
    </row>
    <row r="318" spans="1:6">
      <c r="A318" s="78"/>
      <c r="B318" s="78"/>
      <c r="C318" s="78"/>
      <c r="D318" s="78"/>
      <c r="E318" s="78"/>
      <c r="F318" s="78"/>
    </row>
    <row r="319" spans="1:6">
      <c r="A319" s="78"/>
      <c r="B319" s="78"/>
      <c r="C319" s="78"/>
      <c r="D319" s="78"/>
      <c r="E319" s="78"/>
      <c r="F319" s="78"/>
    </row>
    <row r="320" spans="1:6">
      <c r="A320" s="78"/>
      <c r="B320" s="78"/>
      <c r="C320" s="78"/>
      <c r="D320" s="78"/>
      <c r="E320" s="78"/>
      <c r="F320" s="78"/>
    </row>
    <row r="321" spans="1:6">
      <c r="A321" s="78"/>
      <c r="B321" s="78"/>
      <c r="C321" s="78"/>
      <c r="D321" s="78"/>
      <c r="E321" s="78"/>
      <c r="F321" s="78"/>
    </row>
    <row r="322" spans="1:6">
      <c r="A322" s="78"/>
      <c r="B322" s="78"/>
      <c r="C322" s="78"/>
      <c r="D322" s="78"/>
      <c r="E322" s="78"/>
      <c r="F322" s="78"/>
    </row>
    <row r="323" spans="1:6">
      <c r="A323" s="78"/>
      <c r="B323" s="78"/>
      <c r="C323" s="78"/>
      <c r="D323" s="78"/>
      <c r="E323" s="78"/>
      <c r="F323" s="78"/>
    </row>
    <row r="324" spans="1:6">
      <c r="A324" s="78"/>
      <c r="B324" s="78"/>
      <c r="C324" s="78"/>
      <c r="D324" s="78"/>
      <c r="E324" s="78"/>
      <c r="F324" s="78"/>
    </row>
    <row r="325" spans="1:6">
      <c r="A325" s="78"/>
      <c r="B325" s="78"/>
      <c r="C325" s="78"/>
      <c r="D325" s="78"/>
      <c r="E325" s="78"/>
      <c r="F325" s="78"/>
    </row>
    <row r="326" spans="1:6">
      <c r="A326" s="78"/>
      <c r="B326" s="78"/>
      <c r="C326" s="78"/>
      <c r="D326" s="78"/>
      <c r="E326" s="78"/>
      <c r="F326" s="78"/>
    </row>
    <row r="327" spans="1:6">
      <c r="A327" s="78"/>
      <c r="B327" s="78"/>
      <c r="C327" s="78"/>
      <c r="D327" s="78"/>
      <c r="E327" s="78"/>
      <c r="F327" s="78"/>
    </row>
    <row r="328" spans="1:6">
      <c r="A328" s="78"/>
      <c r="B328" s="78"/>
      <c r="C328" s="78"/>
      <c r="D328" s="78"/>
      <c r="E328" s="78"/>
      <c r="F328" s="78"/>
    </row>
    <row r="329" spans="1:6">
      <c r="A329" s="78"/>
      <c r="B329" s="78"/>
      <c r="C329" s="78"/>
      <c r="D329" s="78"/>
      <c r="E329" s="78"/>
      <c r="F329" s="78"/>
    </row>
    <row r="330" spans="1:6">
      <c r="A330" s="78"/>
      <c r="B330" s="78"/>
      <c r="C330" s="78"/>
      <c r="D330" s="78"/>
      <c r="E330" s="78"/>
      <c r="F330" s="78"/>
    </row>
    <row r="331" spans="1:6">
      <c r="A331" s="78"/>
      <c r="B331" s="78"/>
      <c r="C331" s="78"/>
      <c r="D331" s="78"/>
      <c r="E331" s="78"/>
      <c r="F331" s="78"/>
    </row>
    <row r="332" spans="1:6">
      <c r="A332" s="78"/>
      <c r="B332" s="78"/>
      <c r="C332" s="78"/>
      <c r="D332" s="78"/>
      <c r="E332" s="78"/>
      <c r="F332" s="78"/>
    </row>
    <row r="333" spans="1:6">
      <c r="A333" s="78"/>
      <c r="B333" s="78"/>
      <c r="C333" s="78"/>
      <c r="D333" s="78"/>
      <c r="E333" s="78"/>
      <c r="F333" s="78"/>
    </row>
    <row r="334" spans="1:6">
      <c r="A334" s="78"/>
      <c r="B334" s="78"/>
      <c r="C334" s="78"/>
      <c r="D334" s="78"/>
      <c r="E334" s="78"/>
      <c r="F334" s="78"/>
    </row>
    <row r="335" spans="1:6">
      <c r="A335" s="78"/>
      <c r="B335" s="78"/>
      <c r="C335" s="78"/>
      <c r="D335" s="78"/>
      <c r="E335" s="78"/>
      <c r="F335" s="78"/>
    </row>
    <row r="336" spans="1:6">
      <c r="A336" s="78"/>
      <c r="B336" s="78"/>
      <c r="C336" s="78"/>
      <c r="D336" s="78"/>
      <c r="E336" s="78"/>
      <c r="F336" s="78"/>
    </row>
    <row r="337" spans="1:6">
      <c r="A337" s="78"/>
      <c r="B337" s="78"/>
      <c r="C337" s="78"/>
      <c r="D337" s="78"/>
      <c r="E337" s="78"/>
      <c r="F337" s="78"/>
    </row>
    <row r="338" spans="1:6">
      <c r="A338" s="78"/>
      <c r="B338" s="78"/>
      <c r="C338" s="78"/>
      <c r="D338" s="78"/>
      <c r="E338" s="78"/>
      <c r="F338" s="78"/>
    </row>
    <row r="339" spans="1:6">
      <c r="A339" s="78"/>
      <c r="B339" s="78"/>
      <c r="C339" s="78"/>
      <c r="D339" s="78"/>
      <c r="E339" s="78"/>
      <c r="F339" s="78"/>
    </row>
    <row r="340" spans="1:6">
      <c r="A340" s="78"/>
      <c r="B340" s="78"/>
      <c r="C340" s="78"/>
      <c r="D340" s="78"/>
      <c r="E340" s="78"/>
      <c r="F340" s="78"/>
    </row>
    <row r="341" spans="1:6">
      <c r="A341" s="78"/>
      <c r="B341" s="78"/>
      <c r="C341" s="78"/>
      <c r="D341" s="78"/>
      <c r="E341" s="78"/>
      <c r="F341" s="78"/>
    </row>
    <row r="342" spans="1:6">
      <c r="A342" s="78"/>
      <c r="B342" s="78"/>
      <c r="C342" s="78"/>
      <c r="D342" s="78"/>
      <c r="E342" s="78"/>
      <c r="F342" s="78"/>
    </row>
    <row r="343" spans="1:6">
      <c r="A343" s="78"/>
      <c r="B343" s="78"/>
      <c r="C343" s="78"/>
      <c r="D343" s="78"/>
      <c r="E343" s="78"/>
      <c r="F343" s="78"/>
    </row>
    <row r="344" spans="1:6">
      <c r="A344" s="78"/>
      <c r="B344" s="78"/>
      <c r="C344" s="78"/>
      <c r="D344" s="78"/>
      <c r="E344" s="78"/>
      <c r="F344" s="78"/>
    </row>
    <row r="345" spans="1:6">
      <c r="A345" s="78"/>
      <c r="B345" s="78"/>
      <c r="C345" s="78"/>
      <c r="D345" s="78"/>
      <c r="E345" s="78"/>
      <c r="F345" s="78"/>
    </row>
    <row r="346" spans="1:6">
      <c r="A346" s="78"/>
      <c r="B346" s="78"/>
      <c r="C346" s="78"/>
      <c r="D346" s="78"/>
      <c r="E346" s="78"/>
      <c r="F346" s="78"/>
    </row>
    <row r="347" spans="1:6">
      <c r="A347" s="78"/>
      <c r="B347" s="78"/>
      <c r="C347" s="78"/>
      <c r="D347" s="78"/>
      <c r="E347" s="78"/>
      <c r="F347" s="78"/>
    </row>
    <row r="348" spans="1:6">
      <c r="A348" s="78"/>
      <c r="B348" s="78"/>
      <c r="C348" s="78"/>
      <c r="D348" s="78"/>
      <c r="E348" s="78"/>
      <c r="F348" s="78"/>
    </row>
    <row r="349" spans="1:6">
      <c r="A349" s="78"/>
      <c r="B349" s="78"/>
      <c r="C349" s="78"/>
      <c r="D349" s="78"/>
      <c r="E349" s="78"/>
      <c r="F349" s="78"/>
    </row>
    <row r="350" spans="1:6">
      <c r="A350" s="78"/>
      <c r="B350" s="78"/>
      <c r="C350" s="78"/>
      <c r="D350" s="78"/>
      <c r="E350" s="78"/>
      <c r="F350" s="78"/>
    </row>
    <row r="351" spans="1:6">
      <c r="A351" s="78"/>
      <c r="B351" s="78"/>
      <c r="C351" s="78"/>
      <c r="D351" s="78"/>
      <c r="E351" s="78"/>
      <c r="F351" s="78"/>
    </row>
    <row r="352" spans="1:6">
      <c r="A352" s="78"/>
      <c r="B352" s="78"/>
      <c r="C352" s="78"/>
      <c r="D352" s="78"/>
      <c r="E352" s="78"/>
      <c r="F352" s="78"/>
    </row>
    <row r="353" spans="1:6">
      <c r="A353" s="78"/>
      <c r="B353" s="78"/>
      <c r="C353" s="78"/>
      <c r="D353" s="78"/>
      <c r="E353" s="78"/>
      <c r="F353" s="78"/>
    </row>
    <row r="354" spans="1:6">
      <c r="A354" s="78"/>
      <c r="B354" s="78"/>
      <c r="C354" s="78"/>
      <c r="D354" s="78"/>
      <c r="E354" s="78"/>
      <c r="F354" s="78"/>
    </row>
    <row r="355" spans="1:6">
      <c r="A355" s="78"/>
      <c r="B355" s="78"/>
      <c r="C355" s="78"/>
      <c r="D355" s="78"/>
      <c r="E355" s="78"/>
      <c r="F355" s="78"/>
    </row>
    <row r="356" spans="1:6">
      <c r="A356" s="78"/>
      <c r="B356" s="78"/>
      <c r="C356" s="78"/>
      <c r="D356" s="78"/>
      <c r="E356" s="78"/>
      <c r="F356" s="78"/>
    </row>
    <row r="357" spans="1:6">
      <c r="A357" s="78"/>
      <c r="B357" s="78"/>
      <c r="C357" s="78"/>
      <c r="D357" s="78"/>
      <c r="E357" s="78"/>
      <c r="F357" s="78"/>
    </row>
    <row r="358" spans="1:6">
      <c r="A358" s="78"/>
      <c r="B358" s="78"/>
      <c r="C358" s="78"/>
      <c r="D358" s="78"/>
      <c r="E358" s="78"/>
      <c r="F358" s="78"/>
    </row>
    <row r="359" spans="1:6">
      <c r="A359" s="78"/>
      <c r="B359" s="78"/>
      <c r="C359" s="78"/>
      <c r="D359" s="78"/>
      <c r="E359" s="78"/>
      <c r="F359" s="78"/>
    </row>
    <row r="360" spans="1:6">
      <c r="A360" s="78"/>
      <c r="B360" s="78"/>
      <c r="C360" s="78"/>
      <c r="D360" s="78"/>
      <c r="E360" s="78"/>
      <c r="F360" s="78"/>
    </row>
    <row r="361" spans="1:6">
      <c r="A361" s="78"/>
      <c r="B361" s="78"/>
      <c r="C361" s="78"/>
      <c r="D361" s="78"/>
      <c r="E361" s="78"/>
      <c r="F361" s="78"/>
    </row>
    <row r="362" spans="1:6">
      <c r="A362" s="78"/>
      <c r="B362" s="78"/>
      <c r="C362" s="78"/>
      <c r="D362" s="78"/>
      <c r="E362" s="78"/>
      <c r="F362" s="78"/>
    </row>
    <row r="363" spans="1:6">
      <c r="A363" s="78"/>
      <c r="B363" s="78"/>
      <c r="C363" s="78"/>
      <c r="D363" s="78"/>
      <c r="E363" s="78"/>
      <c r="F363" s="78"/>
    </row>
    <row r="364" spans="1:6">
      <c r="A364" s="78"/>
      <c r="B364" s="78"/>
      <c r="C364" s="78"/>
      <c r="D364" s="78"/>
      <c r="E364" s="78"/>
      <c r="F364" s="78"/>
    </row>
    <row r="365" spans="1:6">
      <c r="A365" s="78"/>
      <c r="B365" s="78"/>
      <c r="C365" s="78"/>
      <c r="D365" s="78"/>
      <c r="E365" s="78"/>
      <c r="F365" s="78"/>
    </row>
    <row r="366" spans="1:6">
      <c r="A366" s="78"/>
      <c r="B366" s="78"/>
      <c r="C366" s="78"/>
      <c r="D366" s="78"/>
      <c r="E366" s="78"/>
      <c r="F366" s="78"/>
    </row>
    <row r="367" spans="1:6">
      <c r="A367" s="78"/>
      <c r="B367" s="78"/>
      <c r="C367" s="78"/>
      <c r="D367" s="78"/>
      <c r="E367" s="78"/>
      <c r="F367" s="78"/>
    </row>
    <row r="368" spans="1:6">
      <c r="A368" s="78"/>
      <c r="B368" s="78"/>
      <c r="C368" s="78"/>
      <c r="D368" s="78"/>
      <c r="E368" s="78"/>
      <c r="F368" s="78"/>
    </row>
    <row r="369" spans="1:6">
      <c r="A369" s="78"/>
      <c r="B369" s="78"/>
      <c r="C369" s="78"/>
      <c r="D369" s="78"/>
      <c r="E369" s="78"/>
      <c r="F369" s="78"/>
    </row>
    <row r="370" spans="1:6">
      <c r="A370" s="78"/>
      <c r="B370" s="78"/>
      <c r="C370" s="78"/>
      <c r="D370" s="78"/>
      <c r="E370" s="78"/>
      <c r="F370" s="78"/>
    </row>
    <row r="371" spans="1:6">
      <c r="A371" s="78"/>
      <c r="B371" s="78"/>
      <c r="C371" s="78"/>
      <c r="D371" s="78"/>
      <c r="E371" s="78"/>
      <c r="F371" s="78"/>
    </row>
    <row r="372" spans="1:6">
      <c r="A372" s="78"/>
      <c r="B372" s="78"/>
      <c r="C372" s="78"/>
      <c r="D372" s="78"/>
      <c r="E372" s="78"/>
      <c r="F372" s="78"/>
    </row>
    <row r="373" spans="1:6">
      <c r="A373" s="78"/>
      <c r="B373" s="78"/>
      <c r="C373" s="78"/>
      <c r="D373" s="78"/>
      <c r="E373" s="78"/>
      <c r="F373" s="78"/>
    </row>
    <row r="374" spans="1:6">
      <c r="A374" s="78"/>
      <c r="B374" s="78"/>
      <c r="C374" s="78"/>
      <c r="D374" s="78"/>
      <c r="E374" s="78"/>
      <c r="F374" s="78"/>
    </row>
    <row r="375" spans="1:6">
      <c r="A375" s="78"/>
      <c r="B375" s="78"/>
      <c r="C375" s="78"/>
      <c r="D375" s="78"/>
      <c r="E375" s="78"/>
      <c r="F375" s="78"/>
    </row>
    <row r="376" spans="1:6">
      <c r="A376" s="78"/>
      <c r="B376" s="78"/>
      <c r="C376" s="78"/>
      <c r="D376" s="78"/>
      <c r="E376" s="78"/>
      <c r="F376" s="78"/>
    </row>
    <row r="377" spans="1:6">
      <c r="A377" s="78"/>
      <c r="B377" s="78"/>
      <c r="C377" s="78"/>
      <c r="D377" s="78"/>
      <c r="E377" s="78"/>
      <c r="F377" s="78"/>
    </row>
    <row r="378" spans="1:6">
      <c r="A378" s="78"/>
      <c r="B378" s="78"/>
      <c r="C378" s="78"/>
      <c r="D378" s="78"/>
      <c r="E378" s="78"/>
      <c r="F378" s="78"/>
    </row>
    <row r="379" spans="1:6">
      <c r="A379" s="78"/>
      <c r="B379" s="78"/>
      <c r="C379" s="78"/>
      <c r="D379" s="78"/>
      <c r="E379" s="78"/>
      <c r="F379" s="78"/>
    </row>
    <row r="380" spans="1:6">
      <c r="A380" s="78"/>
      <c r="B380" s="78"/>
      <c r="C380" s="78"/>
      <c r="D380" s="78"/>
      <c r="E380" s="78"/>
      <c r="F380" s="78"/>
    </row>
    <row r="381" spans="1:6">
      <c r="A381" s="78"/>
      <c r="B381" s="78"/>
      <c r="C381" s="78"/>
      <c r="D381" s="78"/>
      <c r="E381" s="78"/>
      <c r="F381" s="78"/>
    </row>
    <row r="382" spans="1:6">
      <c r="A382" s="78"/>
      <c r="B382" s="78"/>
      <c r="C382" s="78"/>
      <c r="D382" s="78"/>
      <c r="E382" s="78"/>
      <c r="F382" s="78"/>
    </row>
    <row r="383" spans="1:6">
      <c r="A383" s="78"/>
      <c r="B383" s="78"/>
      <c r="C383" s="78"/>
      <c r="D383" s="78"/>
      <c r="E383" s="78"/>
      <c r="F383" s="78"/>
    </row>
    <row r="384" spans="1:6">
      <c r="A384" s="78"/>
      <c r="B384" s="78"/>
      <c r="C384" s="78"/>
      <c r="D384" s="78"/>
      <c r="E384" s="78"/>
      <c r="F384" s="78"/>
    </row>
    <row r="385" spans="1:6">
      <c r="A385" s="78"/>
      <c r="B385" s="78"/>
      <c r="C385" s="78"/>
      <c r="D385" s="78"/>
      <c r="E385" s="78"/>
      <c r="F385" s="78"/>
    </row>
    <row r="386" spans="1:6">
      <c r="A386" s="78"/>
      <c r="B386" s="78"/>
      <c r="C386" s="78"/>
      <c r="D386" s="78"/>
      <c r="E386" s="78"/>
      <c r="F386" s="78"/>
    </row>
    <row r="387" spans="1:6">
      <c r="A387" s="78"/>
      <c r="B387" s="78"/>
      <c r="C387" s="78"/>
      <c r="D387" s="78"/>
      <c r="E387" s="78"/>
      <c r="F387" s="78"/>
    </row>
    <row r="388" spans="1:6">
      <c r="A388" s="78"/>
      <c r="B388" s="78"/>
      <c r="C388" s="78"/>
      <c r="D388" s="78"/>
      <c r="E388" s="78"/>
      <c r="F388" s="78"/>
    </row>
    <row r="389" spans="1:6">
      <c r="A389" s="78"/>
      <c r="B389" s="78"/>
      <c r="C389" s="78"/>
      <c r="D389" s="78"/>
      <c r="E389" s="78"/>
      <c r="F389" s="78"/>
    </row>
    <row r="390" spans="1:6">
      <c r="A390" s="78"/>
      <c r="B390" s="78"/>
      <c r="C390" s="78"/>
      <c r="D390" s="78"/>
      <c r="E390" s="78"/>
      <c r="F390" s="78"/>
    </row>
    <row r="391" spans="1:6">
      <c r="A391" s="78"/>
      <c r="B391" s="78"/>
      <c r="C391" s="78"/>
      <c r="D391" s="78"/>
      <c r="E391" s="78"/>
      <c r="F391" s="78"/>
    </row>
    <row r="392" spans="1:6">
      <c r="A392" s="78"/>
      <c r="B392" s="78"/>
      <c r="C392" s="78"/>
      <c r="D392" s="78"/>
      <c r="E392" s="78"/>
      <c r="F392" s="78"/>
    </row>
    <row r="393" spans="1:6">
      <c r="A393" s="78"/>
      <c r="B393" s="78"/>
      <c r="C393" s="78"/>
      <c r="D393" s="78"/>
      <c r="E393" s="78"/>
      <c r="F393" s="78"/>
    </row>
    <row r="394" spans="1:6">
      <c r="A394" s="78"/>
      <c r="B394" s="78"/>
      <c r="C394" s="78"/>
      <c r="D394" s="78"/>
      <c r="E394" s="78"/>
      <c r="F394" s="78"/>
    </row>
    <row r="395" spans="1:6">
      <c r="A395" s="78"/>
      <c r="B395" s="78"/>
      <c r="C395" s="78"/>
      <c r="D395" s="78"/>
      <c r="E395" s="78"/>
      <c r="F395" s="78"/>
    </row>
    <row r="396" spans="1:6">
      <c r="A396" s="78"/>
      <c r="B396" s="78"/>
      <c r="C396" s="78"/>
      <c r="D396" s="78"/>
      <c r="E396" s="78"/>
      <c r="F396" s="78"/>
    </row>
    <row r="397" spans="1:6">
      <c r="A397" s="78"/>
      <c r="B397" s="78"/>
      <c r="C397" s="78"/>
      <c r="D397" s="78"/>
      <c r="E397" s="78"/>
      <c r="F397" s="78"/>
    </row>
    <row r="398" spans="1:6">
      <c r="A398" s="78"/>
      <c r="B398" s="78"/>
      <c r="C398" s="78"/>
      <c r="D398" s="78"/>
      <c r="E398" s="78"/>
      <c r="F398" s="78"/>
    </row>
    <row r="399" spans="1:6">
      <c r="A399" s="78"/>
      <c r="B399" s="78"/>
      <c r="C399" s="78"/>
      <c r="D399" s="78"/>
      <c r="E399" s="78"/>
      <c r="F399" s="78"/>
    </row>
    <row r="400" spans="1:6">
      <c r="A400" s="78"/>
      <c r="B400" s="78"/>
      <c r="C400" s="78"/>
      <c r="D400" s="78"/>
      <c r="E400" s="78"/>
      <c r="F400" s="78"/>
    </row>
    <row r="401" spans="1:6">
      <c r="A401" s="78"/>
      <c r="B401" s="78"/>
      <c r="C401" s="78"/>
      <c r="D401" s="78"/>
      <c r="E401" s="78"/>
      <c r="F401" s="78"/>
    </row>
    <row r="402" spans="1:6">
      <c r="A402" s="78"/>
      <c r="B402" s="78"/>
      <c r="C402" s="78"/>
      <c r="D402" s="78"/>
      <c r="E402" s="78"/>
      <c r="F402" s="78"/>
    </row>
    <row r="403" spans="1:6">
      <c r="A403" s="78"/>
      <c r="B403" s="78"/>
      <c r="C403" s="78"/>
      <c r="D403" s="78"/>
      <c r="E403" s="78"/>
      <c r="F403" s="78"/>
    </row>
    <row r="404" spans="1:6">
      <c r="A404" s="78"/>
      <c r="B404" s="78"/>
      <c r="C404" s="78"/>
      <c r="D404" s="78"/>
      <c r="E404" s="78"/>
      <c r="F404" s="78"/>
    </row>
    <row r="405" spans="1:6">
      <c r="A405" s="78"/>
      <c r="B405" s="78"/>
      <c r="C405" s="78"/>
      <c r="D405" s="78"/>
      <c r="E405" s="78"/>
      <c r="F405" s="78"/>
    </row>
    <row r="406" spans="1:6">
      <c r="A406" s="78"/>
      <c r="B406" s="78"/>
      <c r="C406" s="78"/>
      <c r="D406" s="78"/>
      <c r="E406" s="78"/>
      <c r="F406" s="78"/>
    </row>
    <row r="407" spans="1:6">
      <c r="A407" s="78"/>
      <c r="B407" s="78"/>
      <c r="C407" s="78"/>
      <c r="D407" s="78"/>
      <c r="E407" s="78"/>
      <c r="F407" s="78"/>
    </row>
    <row r="408" spans="1:6">
      <c r="A408" s="78"/>
      <c r="B408" s="78"/>
      <c r="C408" s="78"/>
      <c r="D408" s="78"/>
      <c r="E408" s="78"/>
      <c r="F408" s="78"/>
    </row>
    <row r="409" spans="1:6">
      <c r="A409" s="78"/>
      <c r="B409" s="78"/>
      <c r="C409" s="78"/>
      <c r="D409" s="78"/>
      <c r="E409" s="78"/>
      <c r="F409" s="78"/>
    </row>
    <row r="410" spans="1:6">
      <c r="A410" s="78"/>
      <c r="B410" s="78"/>
      <c r="C410" s="78"/>
      <c r="D410" s="78"/>
      <c r="E410" s="78"/>
      <c r="F410" s="78"/>
    </row>
    <row r="411" spans="1:6">
      <c r="A411" s="78"/>
      <c r="B411" s="78"/>
      <c r="C411" s="78"/>
      <c r="D411" s="78"/>
      <c r="E411" s="78"/>
      <c r="F411" s="78"/>
    </row>
    <row r="412" spans="1:6">
      <c r="A412" s="78"/>
      <c r="B412" s="78"/>
      <c r="C412" s="78"/>
      <c r="D412" s="78"/>
      <c r="E412" s="78"/>
      <c r="F412" s="78"/>
    </row>
    <row r="413" spans="1:6">
      <c r="A413" s="78"/>
      <c r="B413" s="78"/>
      <c r="C413" s="78"/>
      <c r="D413" s="78"/>
      <c r="E413" s="78"/>
      <c r="F413" s="78"/>
    </row>
    <row r="414" spans="1:6">
      <c r="A414" s="78"/>
      <c r="B414" s="78"/>
      <c r="C414" s="78"/>
      <c r="D414" s="78"/>
      <c r="E414" s="78"/>
      <c r="F414" s="78"/>
    </row>
    <row r="415" spans="1:6">
      <c r="A415" s="78"/>
      <c r="B415" s="78"/>
      <c r="C415" s="78"/>
      <c r="D415" s="78"/>
      <c r="E415" s="78"/>
      <c r="F415" s="78"/>
    </row>
    <row r="416" spans="1:6">
      <c r="A416" s="78"/>
      <c r="B416" s="78"/>
      <c r="C416" s="78"/>
      <c r="D416" s="78"/>
      <c r="E416" s="78"/>
      <c r="F416" s="78"/>
    </row>
    <row r="417" spans="1:6">
      <c r="A417" s="78"/>
      <c r="B417" s="78"/>
      <c r="C417" s="78"/>
      <c r="D417" s="78"/>
      <c r="E417" s="78"/>
      <c r="F417" s="78"/>
    </row>
    <row r="418" spans="1:6">
      <c r="A418" s="78"/>
      <c r="B418" s="78"/>
      <c r="C418" s="78"/>
      <c r="D418" s="78"/>
      <c r="E418" s="78"/>
      <c r="F418" s="78"/>
    </row>
    <row r="419" spans="1:6">
      <c r="A419" s="78"/>
      <c r="B419" s="78"/>
      <c r="C419" s="78"/>
      <c r="D419" s="78"/>
      <c r="E419" s="78"/>
      <c r="F419" s="78"/>
    </row>
    <row r="420" spans="1:6">
      <c r="A420" s="78"/>
      <c r="B420" s="78"/>
      <c r="C420" s="78"/>
      <c r="D420" s="78"/>
      <c r="E420" s="78"/>
      <c r="F420" s="78"/>
    </row>
    <row r="421" spans="1:6">
      <c r="A421" s="78"/>
      <c r="B421" s="78"/>
      <c r="C421" s="78"/>
      <c r="D421" s="78"/>
      <c r="E421" s="78"/>
      <c r="F421" s="78"/>
    </row>
    <row r="422" spans="1:6">
      <c r="A422" s="78"/>
      <c r="B422" s="78"/>
      <c r="C422" s="78"/>
      <c r="D422" s="78"/>
      <c r="E422" s="78"/>
      <c r="F422" s="78"/>
    </row>
    <row r="423" spans="1:6">
      <c r="A423" s="78"/>
      <c r="B423" s="78"/>
      <c r="C423" s="78"/>
      <c r="D423" s="78"/>
      <c r="E423" s="78"/>
      <c r="F423" s="78"/>
    </row>
    <row r="424" spans="1:6">
      <c r="A424" s="78"/>
      <c r="B424" s="78"/>
      <c r="C424" s="78"/>
      <c r="D424" s="78"/>
      <c r="E424" s="78"/>
      <c r="F424" s="78"/>
    </row>
    <row r="425" spans="1:6">
      <c r="A425" s="78"/>
      <c r="B425" s="78"/>
      <c r="C425" s="78"/>
      <c r="D425" s="78"/>
      <c r="E425" s="78"/>
      <c r="F425" s="78"/>
    </row>
    <row r="426" spans="1:6">
      <c r="A426" s="78"/>
      <c r="B426" s="78"/>
      <c r="C426" s="78"/>
      <c r="D426" s="78"/>
      <c r="E426" s="78"/>
      <c r="F426" s="78"/>
    </row>
    <row r="427" spans="1:6">
      <c r="A427" s="78"/>
      <c r="B427" s="78"/>
      <c r="C427" s="78"/>
      <c r="D427" s="78"/>
      <c r="E427" s="78"/>
      <c r="F427" s="78"/>
    </row>
    <row r="428" spans="1:6">
      <c r="A428" s="78"/>
      <c r="B428" s="78"/>
      <c r="C428" s="78"/>
      <c r="D428" s="78"/>
      <c r="E428" s="78"/>
      <c r="F428" s="78"/>
    </row>
    <row r="429" spans="1:6">
      <c r="A429" s="78"/>
      <c r="B429" s="78"/>
      <c r="C429" s="78"/>
      <c r="D429" s="78"/>
      <c r="E429" s="78"/>
      <c r="F429" s="78"/>
    </row>
    <row r="430" spans="1:6">
      <c r="A430" s="78"/>
      <c r="B430" s="78"/>
      <c r="C430" s="78"/>
      <c r="D430" s="78"/>
      <c r="E430" s="78"/>
      <c r="F430" s="78"/>
    </row>
    <row r="431" spans="1:6">
      <c r="A431" s="78"/>
      <c r="B431" s="78"/>
      <c r="C431" s="78"/>
      <c r="D431" s="78"/>
      <c r="E431" s="78"/>
      <c r="F431" s="78"/>
    </row>
    <row r="432" spans="1:6">
      <c r="A432" s="78"/>
      <c r="B432" s="78"/>
      <c r="C432" s="78"/>
      <c r="D432" s="78"/>
      <c r="E432" s="78"/>
      <c r="F432" s="78"/>
    </row>
    <row r="433" spans="1:6">
      <c r="A433" s="78"/>
      <c r="B433" s="78"/>
      <c r="C433" s="78"/>
      <c r="D433" s="78"/>
      <c r="E433" s="78"/>
      <c r="F433" s="78"/>
    </row>
    <row r="434" spans="1:6">
      <c r="A434" s="78"/>
      <c r="B434" s="78"/>
      <c r="C434" s="78"/>
      <c r="D434" s="78"/>
      <c r="E434" s="78"/>
      <c r="F434" s="78"/>
    </row>
    <row r="435" spans="1:6">
      <c r="A435" s="78"/>
      <c r="B435" s="78"/>
      <c r="C435" s="78"/>
      <c r="D435" s="78"/>
      <c r="E435" s="78"/>
      <c r="F435" s="78"/>
    </row>
    <row r="436" spans="1:6">
      <c r="A436" s="78"/>
      <c r="B436" s="78"/>
      <c r="C436" s="78"/>
      <c r="D436" s="78"/>
      <c r="E436" s="78"/>
      <c r="F436" s="78"/>
    </row>
    <row r="437" spans="1:6">
      <c r="A437" s="78"/>
      <c r="B437" s="78"/>
      <c r="C437" s="78"/>
      <c r="D437" s="78"/>
      <c r="E437" s="78"/>
      <c r="F437" s="78"/>
    </row>
    <row r="438" spans="1:6">
      <c r="A438" s="78"/>
      <c r="B438" s="78"/>
      <c r="C438" s="78"/>
      <c r="D438" s="78"/>
      <c r="E438" s="78"/>
      <c r="F438" s="78"/>
    </row>
    <row r="439" spans="1:6">
      <c r="A439" s="78"/>
      <c r="B439" s="78"/>
      <c r="C439" s="78"/>
      <c r="D439" s="78"/>
      <c r="E439" s="78"/>
      <c r="F439" s="78"/>
    </row>
    <row r="440" spans="1:6">
      <c r="A440" s="78"/>
      <c r="B440" s="78"/>
      <c r="C440" s="78"/>
      <c r="D440" s="78"/>
      <c r="E440" s="78"/>
      <c r="F440" s="78"/>
    </row>
    <row r="441" spans="1:6">
      <c r="A441" s="78"/>
      <c r="B441" s="78"/>
      <c r="C441" s="78"/>
      <c r="D441" s="78"/>
      <c r="E441" s="78"/>
      <c r="F441" s="78"/>
    </row>
    <row r="442" spans="1:6">
      <c r="A442" s="78"/>
      <c r="B442" s="78"/>
      <c r="C442" s="78"/>
      <c r="D442" s="78"/>
      <c r="E442" s="78"/>
      <c r="F442" s="78"/>
    </row>
    <row r="443" spans="1:6">
      <c r="A443" s="78"/>
      <c r="B443" s="78"/>
      <c r="C443" s="78"/>
      <c r="D443" s="78"/>
      <c r="E443" s="78"/>
      <c r="F443" s="78"/>
    </row>
    <row r="444" spans="1:6">
      <c r="A444" s="78"/>
      <c r="B444" s="78"/>
      <c r="C444" s="78"/>
      <c r="D444" s="78"/>
      <c r="E444" s="78"/>
      <c r="F444" s="78"/>
    </row>
    <row r="445" spans="1:6">
      <c r="A445" s="78"/>
      <c r="B445" s="78"/>
      <c r="C445" s="78"/>
      <c r="D445" s="78"/>
      <c r="E445" s="78"/>
      <c r="F445" s="78"/>
    </row>
    <row r="446" spans="1:6">
      <c r="A446" s="78"/>
      <c r="B446" s="78"/>
      <c r="C446" s="78"/>
      <c r="D446" s="78"/>
      <c r="E446" s="78"/>
      <c r="F446" s="78"/>
    </row>
    <row r="447" spans="1:6">
      <c r="A447" s="78"/>
      <c r="B447" s="78"/>
      <c r="C447" s="78"/>
      <c r="D447" s="78"/>
      <c r="E447" s="78"/>
      <c r="F447" s="78"/>
    </row>
    <row r="448" spans="1:6">
      <c r="A448" s="78"/>
      <c r="B448" s="78"/>
      <c r="C448" s="78"/>
      <c r="D448" s="78"/>
      <c r="E448" s="78"/>
      <c r="F448" s="78"/>
    </row>
    <row r="449" spans="1:6">
      <c r="A449" s="78"/>
      <c r="B449" s="78"/>
      <c r="C449" s="78"/>
      <c r="D449" s="78"/>
      <c r="E449" s="78"/>
      <c r="F449" s="78"/>
    </row>
    <row r="450" spans="1:6">
      <c r="A450" s="78"/>
      <c r="B450" s="78"/>
      <c r="C450" s="78"/>
      <c r="D450" s="78"/>
      <c r="E450" s="78"/>
      <c r="F450" s="78"/>
    </row>
    <row r="451" spans="1:6">
      <c r="A451" s="78"/>
      <c r="B451" s="78"/>
      <c r="C451" s="78"/>
      <c r="D451" s="78"/>
      <c r="E451" s="78"/>
      <c r="F451" s="78"/>
    </row>
    <row r="452" spans="1:6">
      <c r="A452" s="78"/>
      <c r="B452" s="78"/>
      <c r="C452" s="78"/>
      <c r="D452" s="78"/>
      <c r="E452" s="78"/>
      <c r="F452" s="78"/>
    </row>
    <row r="453" spans="1:6">
      <c r="A453" s="78"/>
      <c r="B453" s="78"/>
      <c r="C453" s="78"/>
      <c r="D453" s="78"/>
      <c r="E453" s="78"/>
      <c r="F453" s="78"/>
    </row>
    <row r="454" spans="1:6">
      <c r="A454" s="78"/>
      <c r="B454" s="78"/>
      <c r="C454" s="78"/>
      <c r="D454" s="78"/>
      <c r="E454" s="78"/>
      <c r="F454" s="78"/>
    </row>
    <row r="455" spans="1:6">
      <c r="A455" s="78"/>
      <c r="B455" s="78"/>
      <c r="C455" s="78"/>
      <c r="D455" s="78"/>
      <c r="E455" s="78"/>
      <c r="F455" s="78"/>
    </row>
    <row r="456" spans="1:6">
      <c r="A456" s="78"/>
      <c r="B456" s="78"/>
      <c r="C456" s="78"/>
      <c r="D456" s="78"/>
      <c r="E456" s="78"/>
      <c r="F456" s="78"/>
    </row>
    <row r="457" spans="1:6">
      <c r="A457" s="78"/>
      <c r="B457" s="78"/>
      <c r="C457" s="78"/>
      <c r="D457" s="78"/>
      <c r="E457" s="78"/>
      <c r="F457" s="78"/>
    </row>
    <row r="458" spans="1:6">
      <c r="A458" s="78"/>
      <c r="B458" s="78"/>
      <c r="C458" s="78"/>
      <c r="D458" s="78"/>
      <c r="E458" s="78"/>
      <c r="F458" s="78"/>
    </row>
    <row r="459" spans="1:6">
      <c r="A459" s="78"/>
      <c r="B459" s="78"/>
      <c r="C459" s="78"/>
      <c r="D459" s="78"/>
      <c r="E459" s="78"/>
      <c r="F459" s="78"/>
    </row>
    <row r="460" spans="1:6">
      <c r="A460" s="78"/>
      <c r="B460" s="78"/>
      <c r="C460" s="78"/>
      <c r="D460" s="78"/>
      <c r="E460" s="78"/>
      <c r="F460" s="78"/>
    </row>
    <row r="461" spans="1:6">
      <c r="A461" s="78"/>
      <c r="B461" s="78"/>
      <c r="C461" s="78"/>
      <c r="D461" s="78"/>
      <c r="E461" s="78"/>
      <c r="F461" s="78"/>
    </row>
    <row r="462" spans="1:6">
      <c r="A462" s="78"/>
      <c r="B462" s="78"/>
      <c r="C462" s="78"/>
      <c r="D462" s="78"/>
      <c r="E462" s="78"/>
      <c r="F462" s="78"/>
    </row>
    <row r="463" spans="1:6">
      <c r="A463" s="78"/>
      <c r="B463" s="78"/>
      <c r="C463" s="78"/>
      <c r="D463" s="78"/>
      <c r="E463" s="78"/>
      <c r="F463" s="78"/>
    </row>
    <row r="464" spans="1:6">
      <c r="A464" s="78"/>
      <c r="B464" s="78"/>
      <c r="C464" s="78"/>
      <c r="D464" s="78"/>
      <c r="E464" s="78"/>
      <c r="F464" s="78"/>
    </row>
    <row r="465" spans="1:6">
      <c r="A465" s="78"/>
      <c r="B465" s="78"/>
      <c r="C465" s="78"/>
      <c r="D465" s="78"/>
      <c r="E465" s="78"/>
      <c r="F465" s="78"/>
    </row>
    <row r="466" spans="1:6">
      <c r="A466" s="78"/>
      <c r="B466" s="78"/>
      <c r="C466" s="78"/>
      <c r="D466" s="78"/>
      <c r="E466" s="78"/>
      <c r="F466" s="78"/>
    </row>
    <row r="467" spans="1:6">
      <c r="A467" s="78"/>
      <c r="B467" s="78"/>
      <c r="C467" s="78"/>
      <c r="D467" s="78"/>
      <c r="E467" s="78"/>
      <c r="F467" s="78"/>
    </row>
    <row r="468" spans="1:6">
      <c r="A468" s="78"/>
      <c r="B468" s="78"/>
      <c r="C468" s="78"/>
      <c r="D468" s="78"/>
      <c r="E468" s="78"/>
      <c r="F468" s="78"/>
    </row>
    <row r="469" spans="1:6">
      <c r="A469" s="78"/>
      <c r="B469" s="78"/>
      <c r="C469" s="78"/>
      <c r="D469" s="78"/>
      <c r="E469" s="78"/>
      <c r="F469" s="78"/>
    </row>
    <row r="470" spans="1:6">
      <c r="A470" s="78"/>
      <c r="B470" s="78"/>
      <c r="C470" s="78"/>
      <c r="D470" s="78"/>
      <c r="E470" s="78"/>
      <c r="F470" s="78"/>
    </row>
    <row r="471" spans="1:6">
      <c r="A471" s="78"/>
      <c r="B471" s="78"/>
      <c r="C471" s="78"/>
      <c r="D471" s="78"/>
      <c r="E471" s="78"/>
      <c r="F471" s="78"/>
    </row>
    <row r="472" spans="1:6">
      <c r="A472" s="78"/>
      <c r="B472" s="78"/>
      <c r="C472" s="78"/>
      <c r="D472" s="78"/>
      <c r="E472" s="78"/>
      <c r="F472" s="78"/>
    </row>
    <row r="473" spans="1:6">
      <c r="A473" s="78"/>
      <c r="B473" s="78"/>
      <c r="C473" s="78"/>
      <c r="D473" s="78"/>
      <c r="E473" s="78"/>
      <c r="F473" s="78"/>
    </row>
    <row r="474" spans="1:6">
      <c r="A474" s="78"/>
      <c r="B474" s="78"/>
      <c r="C474" s="78"/>
      <c r="D474" s="78"/>
      <c r="E474" s="78"/>
      <c r="F474" s="78"/>
    </row>
    <row r="475" spans="1:6">
      <c r="A475" s="78"/>
      <c r="B475" s="78"/>
      <c r="C475" s="78"/>
      <c r="D475" s="78"/>
      <c r="E475" s="78"/>
      <c r="F475" s="78"/>
    </row>
    <row r="476" spans="1:6">
      <c r="A476" s="78"/>
      <c r="B476" s="78"/>
      <c r="C476" s="78"/>
      <c r="D476" s="78"/>
      <c r="E476" s="78"/>
      <c r="F476" s="78"/>
    </row>
    <row r="477" spans="1:6">
      <c r="A477" s="78"/>
      <c r="B477" s="78"/>
      <c r="C477" s="78"/>
      <c r="D477" s="78"/>
      <c r="E477" s="78"/>
      <c r="F477" s="78"/>
    </row>
    <row r="478" spans="1:6">
      <c r="A478" s="78"/>
      <c r="B478" s="78"/>
      <c r="C478" s="78"/>
      <c r="D478" s="78"/>
      <c r="E478" s="78"/>
      <c r="F478" s="78"/>
    </row>
    <row r="479" spans="1:6">
      <c r="A479" s="78"/>
      <c r="B479" s="78"/>
      <c r="C479" s="78"/>
      <c r="D479" s="78"/>
      <c r="E479" s="78"/>
      <c r="F479" s="78"/>
    </row>
    <row r="480" spans="1:6">
      <c r="A480" s="78"/>
      <c r="B480" s="78"/>
      <c r="C480" s="78"/>
      <c r="D480" s="78"/>
      <c r="E480" s="78"/>
      <c r="F480" s="78"/>
    </row>
    <row r="481" spans="1:6">
      <c r="A481" s="78"/>
      <c r="B481" s="78"/>
      <c r="C481" s="78"/>
      <c r="D481" s="78"/>
      <c r="E481" s="78"/>
      <c r="F481" s="78"/>
    </row>
    <row r="482" spans="1:6">
      <c r="A482" s="78"/>
      <c r="B482" s="78"/>
      <c r="C482" s="78"/>
      <c r="D482" s="78"/>
      <c r="E482" s="78"/>
      <c r="F482" s="78"/>
    </row>
    <row r="483" spans="1:6">
      <c r="A483" s="78"/>
      <c r="B483" s="78"/>
      <c r="C483" s="78"/>
      <c r="D483" s="78"/>
      <c r="E483" s="78"/>
      <c r="F483" s="78"/>
    </row>
    <row r="484" spans="1:6">
      <c r="A484" s="78"/>
      <c r="B484" s="78"/>
      <c r="C484" s="78"/>
      <c r="D484" s="78"/>
      <c r="E484" s="78"/>
      <c r="F484" s="78"/>
    </row>
    <row r="485" spans="1:6">
      <c r="A485" s="78"/>
      <c r="B485" s="78"/>
      <c r="C485" s="78"/>
      <c r="D485" s="78"/>
      <c r="E485" s="78"/>
      <c r="F485" s="78"/>
    </row>
    <row r="486" spans="1:6">
      <c r="A486" s="78"/>
      <c r="B486" s="78"/>
      <c r="C486" s="78"/>
      <c r="D486" s="78"/>
      <c r="E486" s="78"/>
      <c r="F486" s="78"/>
    </row>
    <row r="487" spans="1:6">
      <c r="A487" s="78"/>
      <c r="B487" s="78"/>
      <c r="C487" s="78"/>
      <c r="D487" s="78"/>
      <c r="E487" s="78"/>
      <c r="F487" s="78"/>
    </row>
    <row r="488" spans="1:6">
      <c r="A488" s="78"/>
      <c r="B488" s="78"/>
      <c r="C488" s="78"/>
      <c r="D488" s="78"/>
      <c r="E488" s="78"/>
      <c r="F488" s="78"/>
    </row>
    <row r="489" spans="1:6">
      <c r="A489" s="78"/>
      <c r="B489" s="78"/>
      <c r="C489" s="78"/>
      <c r="D489" s="78"/>
      <c r="E489" s="78"/>
      <c r="F489" s="78"/>
    </row>
    <row r="490" spans="1:6">
      <c r="A490" s="78"/>
      <c r="B490" s="78"/>
      <c r="C490" s="78"/>
      <c r="D490" s="78"/>
      <c r="E490" s="78"/>
      <c r="F490" s="78"/>
    </row>
    <row r="491" spans="1:6">
      <c r="A491" s="78"/>
      <c r="B491" s="78"/>
      <c r="C491" s="78"/>
      <c r="D491" s="78"/>
      <c r="E491" s="78"/>
      <c r="F491" s="78"/>
    </row>
    <row r="492" spans="1:6">
      <c r="A492" s="78"/>
      <c r="B492" s="78"/>
      <c r="C492" s="78"/>
      <c r="D492" s="78"/>
      <c r="E492" s="78"/>
      <c r="F492" s="78"/>
    </row>
    <row r="493" spans="1:6">
      <c r="A493" s="78"/>
      <c r="B493" s="78"/>
      <c r="C493" s="78"/>
      <c r="D493" s="78"/>
      <c r="E493" s="78"/>
      <c r="F493" s="78"/>
    </row>
    <row r="494" spans="1:6">
      <c r="A494" s="78"/>
      <c r="B494" s="78"/>
      <c r="C494" s="78"/>
      <c r="D494" s="78"/>
      <c r="E494" s="78"/>
      <c r="F494" s="78"/>
    </row>
    <row r="495" spans="1:6">
      <c r="A495" s="78"/>
      <c r="B495" s="78"/>
      <c r="C495" s="78"/>
      <c r="D495" s="78"/>
      <c r="E495" s="78"/>
      <c r="F495" s="78"/>
    </row>
    <row r="496" spans="1:6">
      <c r="A496" s="78"/>
      <c r="B496" s="78"/>
      <c r="C496" s="78"/>
      <c r="D496" s="78"/>
      <c r="E496" s="78"/>
      <c r="F496" s="78"/>
    </row>
    <row r="497" spans="1:6">
      <c r="A497" s="78"/>
      <c r="B497" s="78"/>
      <c r="C497" s="78"/>
      <c r="D497" s="78"/>
      <c r="E497" s="78"/>
      <c r="F497" s="78"/>
    </row>
    <row r="498" spans="1:6">
      <c r="A498" s="78"/>
      <c r="B498" s="78"/>
      <c r="C498" s="78"/>
      <c r="D498" s="78"/>
      <c r="E498" s="78"/>
      <c r="F498" s="78"/>
    </row>
    <row r="499" spans="1:6">
      <c r="A499" s="78"/>
      <c r="B499" s="78"/>
      <c r="C499" s="78"/>
      <c r="D499" s="78"/>
      <c r="E499" s="78"/>
      <c r="F499" s="78"/>
    </row>
    <row r="500" spans="1:6">
      <c r="A500" s="78"/>
      <c r="B500" s="78"/>
      <c r="C500" s="78"/>
      <c r="D500" s="78"/>
      <c r="E500" s="78"/>
      <c r="F500" s="78"/>
    </row>
    <row r="501" spans="1:6">
      <c r="A501" s="78"/>
      <c r="B501" s="78"/>
      <c r="C501" s="78"/>
      <c r="D501" s="78"/>
      <c r="E501" s="78"/>
      <c r="F501" s="78"/>
    </row>
    <row r="502" spans="1:6">
      <c r="A502" s="78"/>
      <c r="B502" s="78"/>
      <c r="C502" s="78"/>
      <c r="D502" s="78"/>
      <c r="E502" s="78"/>
      <c r="F502" s="78"/>
    </row>
    <row r="503" spans="1:6">
      <c r="A503" s="78"/>
      <c r="B503" s="78"/>
      <c r="C503" s="78"/>
      <c r="D503" s="78"/>
      <c r="E503" s="78"/>
      <c r="F503" s="78"/>
    </row>
    <row r="504" spans="1:6">
      <c r="A504" s="78"/>
      <c r="B504" s="78"/>
      <c r="C504" s="78"/>
      <c r="D504" s="78"/>
      <c r="E504" s="78"/>
      <c r="F504" s="78"/>
    </row>
    <row r="505" spans="1:6">
      <c r="A505" s="78"/>
      <c r="B505" s="78"/>
      <c r="C505" s="78"/>
      <c r="D505" s="78"/>
      <c r="E505" s="78"/>
      <c r="F505" s="78"/>
    </row>
    <row r="506" spans="1:6">
      <c r="A506" s="78"/>
      <c r="B506" s="78"/>
      <c r="C506" s="78"/>
      <c r="D506" s="78"/>
      <c r="E506" s="78"/>
      <c r="F506" s="78"/>
    </row>
    <row r="507" spans="1:6">
      <c r="A507" s="78"/>
      <c r="B507" s="78"/>
      <c r="C507" s="78"/>
      <c r="D507" s="78"/>
      <c r="E507" s="78"/>
      <c r="F507" s="78"/>
    </row>
    <row r="508" spans="1:6">
      <c r="A508" s="78"/>
      <c r="B508" s="78"/>
      <c r="C508" s="78"/>
      <c r="D508" s="78"/>
      <c r="E508" s="78"/>
      <c r="F508" s="78"/>
    </row>
    <row r="509" spans="1:6">
      <c r="A509" s="78"/>
      <c r="B509" s="78"/>
      <c r="C509" s="78"/>
      <c r="D509" s="78"/>
      <c r="E509" s="78"/>
      <c r="F509" s="78"/>
    </row>
    <row r="510" spans="1:6">
      <c r="A510" s="78"/>
      <c r="B510" s="78"/>
      <c r="C510" s="78"/>
      <c r="D510" s="78"/>
      <c r="E510" s="78"/>
      <c r="F510" s="78"/>
    </row>
    <row r="511" spans="1:6">
      <c r="A511" s="78"/>
      <c r="B511" s="78"/>
      <c r="C511" s="78"/>
      <c r="D511" s="78"/>
      <c r="E511" s="78"/>
      <c r="F511" s="78"/>
    </row>
    <row r="512" spans="1:6">
      <c r="A512" s="78"/>
      <c r="B512" s="78"/>
      <c r="C512" s="78"/>
      <c r="D512" s="78"/>
      <c r="E512" s="78"/>
      <c r="F512" s="78"/>
    </row>
    <row r="513" spans="1:6">
      <c r="A513" s="78"/>
      <c r="B513" s="78"/>
      <c r="C513" s="78"/>
      <c r="D513" s="78"/>
      <c r="E513" s="78"/>
      <c r="F513" s="78"/>
    </row>
    <row r="514" spans="1:6">
      <c r="A514" s="78"/>
      <c r="B514" s="78"/>
      <c r="C514" s="78"/>
      <c r="D514" s="78"/>
      <c r="E514" s="78"/>
      <c r="F514" s="78"/>
    </row>
    <row r="515" spans="1:6">
      <c r="A515" s="78"/>
      <c r="B515" s="78"/>
      <c r="C515" s="78"/>
      <c r="D515" s="78"/>
      <c r="E515" s="78"/>
      <c r="F515" s="78"/>
    </row>
    <row r="516" spans="1:6">
      <c r="A516" s="78"/>
      <c r="B516" s="78"/>
      <c r="C516" s="78"/>
      <c r="D516" s="78"/>
      <c r="E516" s="78"/>
      <c r="F516" s="78"/>
    </row>
    <row r="517" spans="1:6">
      <c r="A517" s="78"/>
      <c r="B517" s="78"/>
      <c r="C517" s="78"/>
      <c r="D517" s="78"/>
      <c r="E517" s="78"/>
      <c r="F517" s="78"/>
    </row>
    <row r="518" spans="1:6">
      <c r="A518" s="78"/>
      <c r="B518" s="78"/>
      <c r="C518" s="78"/>
      <c r="D518" s="78"/>
      <c r="E518" s="78"/>
      <c r="F518" s="78"/>
    </row>
    <row r="519" spans="1:6">
      <c r="A519" s="78"/>
      <c r="B519" s="78"/>
      <c r="C519" s="78"/>
      <c r="D519" s="78"/>
      <c r="E519" s="78"/>
      <c r="F519" s="78"/>
    </row>
    <row r="520" spans="1:6">
      <c r="A520" s="78"/>
      <c r="B520" s="78"/>
      <c r="C520" s="78"/>
      <c r="D520" s="78"/>
      <c r="E520" s="78"/>
      <c r="F520" s="78"/>
    </row>
    <row r="521" spans="1:6">
      <c r="A521" s="78"/>
      <c r="B521" s="78"/>
      <c r="C521" s="78"/>
      <c r="D521" s="78"/>
      <c r="E521" s="78"/>
      <c r="F521" s="78"/>
    </row>
    <row r="522" spans="1:6">
      <c r="A522" s="78"/>
      <c r="B522" s="78"/>
      <c r="C522" s="78"/>
      <c r="D522" s="78"/>
      <c r="E522" s="78"/>
      <c r="F522" s="78"/>
    </row>
    <row r="523" spans="1:6">
      <c r="A523" s="78"/>
      <c r="B523" s="78"/>
      <c r="C523" s="78"/>
      <c r="D523" s="78"/>
      <c r="E523" s="78"/>
      <c r="F523" s="78"/>
    </row>
    <row r="524" spans="1:6">
      <c r="A524" s="78"/>
      <c r="B524" s="78"/>
      <c r="C524" s="78"/>
      <c r="D524" s="78"/>
      <c r="E524" s="78"/>
      <c r="F524" s="78"/>
    </row>
    <row r="525" spans="1:6">
      <c r="A525" s="78"/>
      <c r="B525" s="78"/>
      <c r="C525" s="78"/>
      <c r="D525" s="78"/>
      <c r="E525" s="78"/>
      <c r="F525" s="78"/>
    </row>
    <row r="526" spans="1:6">
      <c r="A526" s="78"/>
      <c r="B526" s="78"/>
      <c r="C526" s="78"/>
      <c r="D526" s="78"/>
      <c r="E526" s="78"/>
      <c r="F526" s="78"/>
    </row>
    <row r="527" spans="1:6">
      <c r="A527" s="78"/>
      <c r="B527" s="78"/>
      <c r="C527" s="78"/>
      <c r="D527" s="78"/>
      <c r="E527" s="78"/>
      <c r="F527" s="78"/>
    </row>
    <row r="528" spans="1:6">
      <c r="A528" s="78"/>
      <c r="B528" s="78"/>
      <c r="C528" s="78"/>
      <c r="D528" s="78"/>
      <c r="E528" s="78"/>
      <c r="F528" s="78"/>
    </row>
    <row r="529" spans="1:6">
      <c r="A529" s="78"/>
      <c r="B529" s="78"/>
      <c r="C529" s="78"/>
      <c r="D529" s="78"/>
      <c r="E529" s="78"/>
      <c r="F529" s="78"/>
    </row>
    <row r="530" spans="1:6">
      <c r="A530" s="78"/>
      <c r="B530" s="78"/>
      <c r="C530" s="78"/>
      <c r="D530" s="78"/>
      <c r="E530" s="78"/>
      <c r="F530" s="78"/>
    </row>
    <row r="531" spans="1:6">
      <c r="A531" s="78"/>
      <c r="B531" s="78"/>
      <c r="C531" s="78"/>
      <c r="D531" s="78"/>
      <c r="E531" s="78"/>
      <c r="F531" s="78"/>
    </row>
    <row r="532" spans="1:6">
      <c r="A532" s="78"/>
      <c r="B532" s="78"/>
      <c r="C532" s="78"/>
      <c r="D532" s="78"/>
      <c r="E532" s="78"/>
      <c r="F532" s="78"/>
    </row>
    <row r="533" spans="1:6">
      <c r="A533" s="78"/>
      <c r="B533" s="78"/>
      <c r="C533" s="78"/>
      <c r="D533" s="78"/>
      <c r="E533" s="78"/>
      <c r="F533" s="78"/>
    </row>
    <row r="534" spans="1:6">
      <c r="A534" s="78"/>
      <c r="B534" s="78"/>
      <c r="C534" s="78"/>
      <c r="D534" s="78"/>
      <c r="E534" s="78"/>
      <c r="F534" s="78"/>
    </row>
    <row r="535" spans="1:6">
      <c r="A535" s="78"/>
      <c r="B535" s="78"/>
      <c r="C535" s="78"/>
      <c r="D535" s="78"/>
      <c r="E535" s="78"/>
      <c r="F535" s="78"/>
    </row>
    <row r="536" spans="1:6">
      <c r="A536" s="78"/>
      <c r="B536" s="78"/>
      <c r="C536" s="78"/>
      <c r="D536" s="78"/>
      <c r="E536" s="78"/>
      <c r="F536" s="78"/>
    </row>
    <row r="537" spans="1:6">
      <c r="A537" s="78"/>
      <c r="B537" s="78"/>
      <c r="C537" s="78"/>
      <c r="D537" s="78"/>
      <c r="E537" s="78"/>
      <c r="F537" s="78"/>
    </row>
    <row r="538" spans="1:6">
      <c r="A538" s="78"/>
      <c r="B538" s="78"/>
      <c r="C538" s="78"/>
      <c r="D538" s="78"/>
      <c r="E538" s="78"/>
      <c r="F538" s="78"/>
    </row>
    <row r="539" spans="1:6">
      <c r="A539" s="78"/>
      <c r="B539" s="78"/>
      <c r="C539" s="78"/>
      <c r="D539" s="78"/>
      <c r="E539" s="78"/>
      <c r="F539" s="78"/>
    </row>
    <row r="540" spans="1:6">
      <c r="A540" s="78"/>
      <c r="B540" s="78"/>
      <c r="C540" s="78"/>
      <c r="D540" s="78"/>
      <c r="E540" s="78"/>
      <c r="F540" s="78"/>
    </row>
    <row r="541" spans="1:6">
      <c r="A541" s="78"/>
      <c r="B541" s="78"/>
      <c r="C541" s="78"/>
      <c r="D541" s="78"/>
      <c r="E541" s="78"/>
      <c r="F541" s="78"/>
    </row>
    <row r="542" spans="1:6">
      <c r="A542" s="78"/>
      <c r="B542" s="78"/>
      <c r="C542" s="78"/>
      <c r="D542" s="78"/>
      <c r="E542" s="78"/>
      <c r="F542" s="78"/>
    </row>
    <row r="543" spans="1:6">
      <c r="A543" s="78"/>
      <c r="B543" s="78"/>
      <c r="C543" s="78"/>
      <c r="D543" s="78"/>
      <c r="E543" s="78"/>
      <c r="F543" s="78"/>
    </row>
    <row r="544" spans="1:6">
      <c r="A544" s="78"/>
      <c r="B544" s="78"/>
      <c r="C544" s="78"/>
      <c r="D544" s="78"/>
      <c r="E544" s="78"/>
      <c r="F544" s="78"/>
    </row>
    <row r="545" spans="1:6">
      <c r="A545" s="78"/>
      <c r="B545" s="78"/>
      <c r="C545" s="78"/>
      <c r="D545" s="78"/>
      <c r="E545" s="78"/>
      <c r="F545" s="78"/>
    </row>
    <row r="546" spans="1:6">
      <c r="A546" s="78"/>
      <c r="B546" s="78"/>
      <c r="C546" s="78"/>
      <c r="D546" s="78"/>
      <c r="E546" s="78"/>
      <c r="F546" s="78"/>
    </row>
    <row r="547" spans="1:6">
      <c r="A547" s="78"/>
      <c r="B547" s="78"/>
      <c r="C547" s="78"/>
      <c r="D547" s="78"/>
      <c r="E547" s="78"/>
      <c r="F547" s="78"/>
    </row>
    <row r="548" spans="1:6">
      <c r="A548" s="78"/>
      <c r="B548" s="78"/>
      <c r="C548" s="78"/>
      <c r="D548" s="78"/>
      <c r="E548" s="78"/>
      <c r="F548" s="78"/>
    </row>
    <row r="549" spans="1:6">
      <c r="A549" s="78"/>
      <c r="B549" s="78"/>
      <c r="C549" s="78"/>
      <c r="D549" s="78"/>
      <c r="E549" s="78"/>
      <c r="F549" s="78"/>
    </row>
    <row r="550" spans="1:6">
      <c r="A550" s="78"/>
      <c r="B550" s="78"/>
      <c r="C550" s="78"/>
      <c r="D550" s="78"/>
      <c r="E550" s="78"/>
      <c r="F550" s="78"/>
    </row>
    <row r="551" spans="1:6">
      <c r="A551" s="78"/>
      <c r="B551" s="78"/>
      <c r="C551" s="78"/>
      <c r="D551" s="78"/>
      <c r="E551" s="78"/>
      <c r="F551" s="78"/>
    </row>
    <row r="552" spans="1:6">
      <c r="A552" s="78"/>
      <c r="B552" s="78"/>
      <c r="C552" s="78"/>
      <c r="D552" s="78"/>
      <c r="E552" s="78"/>
      <c r="F552" s="78"/>
    </row>
    <row r="553" spans="1:6">
      <c r="A553" s="78"/>
      <c r="B553" s="78"/>
      <c r="C553" s="78"/>
      <c r="D553" s="78"/>
      <c r="E553" s="78"/>
      <c r="F553" s="78"/>
    </row>
    <row r="554" spans="1:6">
      <c r="A554" s="78"/>
      <c r="B554" s="78"/>
      <c r="C554" s="78"/>
      <c r="D554" s="78"/>
      <c r="E554" s="78"/>
      <c r="F554" s="78"/>
    </row>
    <row r="555" spans="1:6">
      <c r="A555" s="78"/>
      <c r="B555" s="78"/>
      <c r="C555" s="78"/>
      <c r="D555" s="78"/>
      <c r="E555" s="78"/>
      <c r="F555" s="78"/>
    </row>
    <row r="556" spans="1:6">
      <c r="A556" s="78"/>
      <c r="B556" s="78"/>
      <c r="C556" s="78"/>
      <c r="D556" s="78"/>
      <c r="E556" s="78"/>
      <c r="F556" s="78"/>
    </row>
    <row r="557" spans="1:6">
      <c r="A557" s="78"/>
      <c r="B557" s="78"/>
      <c r="C557" s="78"/>
      <c r="D557" s="78"/>
      <c r="E557" s="78"/>
      <c r="F557" s="78"/>
    </row>
    <row r="558" spans="1:6">
      <c r="A558" s="78"/>
      <c r="B558" s="78"/>
      <c r="C558" s="78"/>
      <c r="D558" s="78"/>
      <c r="E558" s="78"/>
      <c r="F558" s="78"/>
    </row>
    <row r="559" spans="1:6">
      <c r="A559" s="78"/>
      <c r="B559" s="78"/>
      <c r="C559" s="78"/>
      <c r="D559" s="78"/>
      <c r="E559" s="78"/>
      <c r="F559" s="78"/>
    </row>
    <row r="560" spans="1:6">
      <c r="A560" s="78"/>
      <c r="B560" s="78"/>
      <c r="C560" s="78"/>
      <c r="D560" s="78"/>
      <c r="E560" s="78"/>
      <c r="F560" s="78"/>
    </row>
    <row r="561" spans="1:6">
      <c r="A561" s="78"/>
      <c r="B561" s="78"/>
      <c r="C561" s="78"/>
      <c r="D561" s="78"/>
      <c r="E561" s="78"/>
      <c r="F561" s="78"/>
    </row>
    <row r="562" spans="1:6">
      <c r="A562" s="78"/>
      <c r="B562" s="78"/>
      <c r="C562" s="78"/>
      <c r="D562" s="78"/>
      <c r="E562" s="78"/>
      <c r="F562" s="78"/>
    </row>
    <row r="563" spans="1:6">
      <c r="A563" s="78"/>
      <c r="B563" s="78"/>
      <c r="C563" s="78"/>
      <c r="D563" s="78"/>
      <c r="E563" s="78"/>
      <c r="F563" s="78"/>
    </row>
    <row r="564" spans="1:6">
      <c r="A564" s="78"/>
      <c r="B564" s="78"/>
      <c r="C564" s="78"/>
      <c r="D564" s="78"/>
      <c r="E564" s="78"/>
      <c r="F564" s="78"/>
    </row>
    <row r="565" spans="1:6">
      <c r="A565" s="78"/>
      <c r="B565" s="78"/>
      <c r="C565" s="78"/>
      <c r="D565" s="78"/>
      <c r="E565" s="78"/>
      <c r="F565" s="78"/>
    </row>
    <row r="566" spans="1:6">
      <c r="A566" s="78"/>
      <c r="B566" s="78"/>
      <c r="C566" s="78"/>
      <c r="D566" s="78"/>
      <c r="E566" s="78"/>
      <c r="F566" s="78"/>
    </row>
    <row r="567" spans="1:6">
      <c r="A567" s="78"/>
      <c r="B567" s="78"/>
      <c r="C567" s="78"/>
      <c r="D567" s="78"/>
      <c r="E567" s="78"/>
      <c r="F567" s="78"/>
    </row>
    <row r="568" spans="1:6">
      <c r="A568" s="78"/>
      <c r="B568" s="78"/>
      <c r="C568" s="78"/>
      <c r="D568" s="78"/>
      <c r="E568" s="78"/>
      <c r="F568" s="78"/>
    </row>
    <row r="569" spans="1:6">
      <c r="A569" s="78"/>
      <c r="B569" s="78"/>
      <c r="C569" s="78"/>
      <c r="D569" s="78"/>
      <c r="E569" s="78"/>
      <c r="F569" s="78"/>
    </row>
    <row r="570" spans="1:6">
      <c r="A570" s="78"/>
      <c r="B570" s="78"/>
      <c r="C570" s="78"/>
      <c r="D570" s="78"/>
      <c r="E570" s="78"/>
      <c r="F570" s="78"/>
    </row>
    <row r="571" spans="1:6">
      <c r="A571" s="78"/>
      <c r="B571" s="78"/>
      <c r="C571" s="78"/>
      <c r="D571" s="78"/>
      <c r="E571" s="78"/>
      <c r="F571" s="78"/>
    </row>
    <row r="572" spans="1:6">
      <c r="A572" s="78"/>
      <c r="B572" s="78"/>
      <c r="C572" s="78"/>
      <c r="D572" s="78"/>
      <c r="E572" s="78"/>
      <c r="F572" s="78"/>
    </row>
    <row r="573" spans="1:6">
      <c r="A573" s="78"/>
      <c r="B573" s="78"/>
      <c r="C573" s="78"/>
      <c r="D573" s="78"/>
      <c r="E573" s="78"/>
      <c r="F573" s="78"/>
    </row>
    <row r="574" spans="1:6">
      <c r="A574" s="78"/>
      <c r="B574" s="78"/>
      <c r="C574" s="78"/>
      <c r="D574" s="78"/>
      <c r="E574" s="78"/>
      <c r="F574" s="78"/>
    </row>
    <row r="575" spans="1:6">
      <c r="A575" s="78"/>
      <c r="B575" s="78"/>
      <c r="C575" s="78"/>
      <c r="D575" s="78"/>
      <c r="E575" s="78"/>
      <c r="F575" s="78"/>
    </row>
    <row r="576" spans="1:6">
      <c r="A576" s="78"/>
      <c r="B576" s="78"/>
      <c r="C576" s="78"/>
      <c r="D576" s="78"/>
      <c r="E576" s="78"/>
      <c r="F576" s="78"/>
    </row>
    <row r="577" spans="1:6">
      <c r="A577" s="78"/>
      <c r="B577" s="78"/>
      <c r="C577" s="78"/>
      <c r="D577" s="78"/>
      <c r="E577" s="78"/>
      <c r="F577" s="78"/>
    </row>
    <row r="578" spans="1:6">
      <c r="A578" s="78"/>
      <c r="B578" s="78"/>
      <c r="C578" s="78"/>
      <c r="D578" s="78"/>
      <c r="E578" s="78"/>
      <c r="F578" s="78"/>
    </row>
    <row r="579" spans="1:6">
      <c r="A579" s="78"/>
      <c r="B579" s="78"/>
      <c r="C579" s="78"/>
      <c r="D579" s="78"/>
      <c r="E579" s="78"/>
      <c r="F579" s="78"/>
    </row>
    <row r="580" spans="1:6">
      <c r="A580" s="78"/>
      <c r="B580" s="78"/>
      <c r="C580" s="78"/>
      <c r="D580" s="78"/>
      <c r="E580" s="78"/>
      <c r="F580" s="78"/>
    </row>
    <row r="581" spans="1:6">
      <c r="A581" s="78"/>
      <c r="B581" s="78"/>
      <c r="C581" s="78"/>
      <c r="D581" s="78"/>
      <c r="E581" s="78"/>
      <c r="F581" s="78"/>
    </row>
    <row r="582" spans="1:6">
      <c r="A582" s="78"/>
      <c r="B582" s="78"/>
      <c r="C582" s="78"/>
      <c r="D582" s="78"/>
      <c r="E582" s="78"/>
      <c r="F582" s="78"/>
    </row>
    <row r="583" spans="1:6">
      <c r="A583" s="78"/>
      <c r="B583" s="78"/>
      <c r="C583" s="78"/>
      <c r="D583" s="78"/>
      <c r="E583" s="78"/>
      <c r="F583" s="78"/>
    </row>
    <row r="584" spans="1:6">
      <c r="A584" s="78"/>
      <c r="B584" s="78"/>
      <c r="C584" s="78"/>
      <c r="D584" s="78"/>
      <c r="E584" s="78"/>
      <c r="F584" s="78"/>
    </row>
    <row r="585" spans="1:6">
      <c r="A585" s="78"/>
      <c r="B585" s="78"/>
      <c r="C585" s="78"/>
      <c r="D585" s="78"/>
      <c r="E585" s="78"/>
      <c r="F585" s="78"/>
    </row>
    <row r="586" spans="1:6">
      <c r="A586" s="78"/>
      <c r="B586" s="78"/>
      <c r="C586" s="78"/>
      <c r="D586" s="78"/>
      <c r="E586" s="78"/>
      <c r="F586" s="78"/>
    </row>
    <row r="587" spans="1:6">
      <c r="A587" s="78"/>
      <c r="B587" s="78"/>
      <c r="C587" s="78"/>
      <c r="D587" s="78"/>
      <c r="E587" s="78"/>
      <c r="F587" s="78"/>
    </row>
    <row r="588" spans="1:6">
      <c r="A588" s="78"/>
      <c r="B588" s="78"/>
      <c r="C588" s="78"/>
      <c r="D588" s="78"/>
      <c r="E588" s="78"/>
      <c r="F588" s="78"/>
    </row>
    <row r="589" spans="1:6">
      <c r="A589" s="78"/>
      <c r="B589" s="78"/>
      <c r="C589" s="78"/>
      <c r="D589" s="78"/>
      <c r="E589" s="78"/>
      <c r="F589" s="78"/>
    </row>
    <row r="590" spans="1:6">
      <c r="A590" s="78"/>
      <c r="B590" s="78"/>
      <c r="C590" s="78"/>
      <c r="D590" s="78"/>
      <c r="E590" s="78"/>
      <c r="F590" s="78"/>
    </row>
    <row r="591" spans="1:6">
      <c r="A591" s="78"/>
      <c r="B591" s="78"/>
      <c r="C591" s="78"/>
      <c r="D591" s="78"/>
      <c r="E591" s="78"/>
      <c r="F591" s="78"/>
    </row>
    <row r="592" spans="1:6">
      <c r="A592" s="78"/>
      <c r="B592" s="78"/>
      <c r="C592" s="78"/>
      <c r="D592" s="78"/>
      <c r="E592" s="78"/>
      <c r="F592" s="78"/>
    </row>
    <row r="593" spans="1:6">
      <c r="A593" s="78"/>
      <c r="B593" s="78"/>
      <c r="C593" s="78"/>
      <c r="D593" s="78"/>
      <c r="E593" s="78"/>
      <c r="F593" s="78"/>
    </row>
    <row r="594" spans="1:6">
      <c r="A594" s="78"/>
      <c r="B594" s="78"/>
      <c r="C594" s="78"/>
      <c r="D594" s="78"/>
      <c r="E594" s="78"/>
      <c r="F594" s="78"/>
    </row>
    <row r="595" spans="1:6">
      <c r="A595" s="78"/>
      <c r="B595" s="78"/>
      <c r="C595" s="78"/>
      <c r="D595" s="78"/>
      <c r="E595" s="78"/>
      <c r="F595" s="78"/>
    </row>
    <row r="596" spans="1:6">
      <c r="A596" s="78"/>
      <c r="B596" s="78"/>
      <c r="C596" s="78"/>
      <c r="D596" s="78"/>
      <c r="E596" s="78"/>
      <c r="F596" s="78"/>
    </row>
    <row r="597" spans="1:6">
      <c r="A597" s="78"/>
      <c r="B597" s="78"/>
      <c r="C597" s="78"/>
      <c r="D597" s="78"/>
      <c r="E597" s="78"/>
      <c r="F597" s="78"/>
    </row>
    <row r="598" spans="1:6">
      <c r="A598" s="78"/>
      <c r="B598" s="78"/>
      <c r="C598" s="78"/>
      <c r="D598" s="78"/>
      <c r="E598" s="78"/>
      <c r="F598" s="78"/>
    </row>
    <row r="599" spans="1:6">
      <c r="A599" s="78"/>
      <c r="B599" s="78"/>
      <c r="C599" s="78"/>
      <c r="D599" s="78"/>
      <c r="E599" s="78"/>
      <c r="F599" s="78"/>
    </row>
    <row r="600" spans="1:6">
      <c r="A600" s="78"/>
      <c r="B600" s="78"/>
      <c r="C600" s="78"/>
      <c r="D600" s="78"/>
      <c r="E600" s="78"/>
      <c r="F600" s="78"/>
    </row>
    <row r="601" spans="1:6">
      <c r="A601" s="78"/>
      <c r="B601" s="78"/>
      <c r="C601" s="78"/>
      <c r="D601" s="78"/>
      <c r="E601" s="78"/>
      <c r="F601" s="78"/>
    </row>
    <row r="602" spans="1:6">
      <c r="A602" s="78"/>
      <c r="B602" s="78"/>
      <c r="C602" s="78"/>
      <c r="D602" s="78"/>
      <c r="E602" s="78"/>
      <c r="F602" s="78"/>
    </row>
    <row r="603" spans="1:6">
      <c r="A603" s="78"/>
      <c r="B603" s="78"/>
      <c r="C603" s="78"/>
      <c r="D603" s="78"/>
      <c r="E603" s="78"/>
      <c r="F603" s="78"/>
    </row>
    <row r="604" spans="1:6">
      <c r="A604" s="78"/>
      <c r="B604" s="78"/>
      <c r="C604" s="78"/>
      <c r="D604" s="78"/>
      <c r="E604" s="78"/>
      <c r="F604" s="78"/>
    </row>
    <row r="605" spans="1:6">
      <c r="A605" s="78"/>
      <c r="B605" s="78"/>
      <c r="C605" s="78"/>
      <c r="D605" s="78"/>
      <c r="E605" s="78"/>
      <c r="F605" s="78"/>
    </row>
    <row r="606" spans="1:6">
      <c r="A606" s="78"/>
      <c r="B606" s="78"/>
      <c r="C606" s="78"/>
      <c r="D606" s="78"/>
      <c r="E606" s="78"/>
      <c r="F606" s="78"/>
    </row>
    <row r="607" spans="1:6">
      <c r="A607" s="78"/>
      <c r="B607" s="78"/>
      <c r="C607" s="78"/>
      <c r="D607" s="78"/>
      <c r="E607" s="78"/>
      <c r="F607" s="78"/>
    </row>
    <row r="608" spans="1:6">
      <c r="A608" s="78"/>
      <c r="B608" s="78"/>
      <c r="C608" s="78"/>
      <c r="D608" s="78"/>
      <c r="E608" s="78"/>
      <c r="F608" s="78"/>
    </row>
    <row r="609" spans="1:6">
      <c r="A609" s="78"/>
      <c r="B609" s="78"/>
      <c r="C609" s="78"/>
      <c r="D609" s="78"/>
      <c r="E609" s="78"/>
      <c r="F609" s="78"/>
    </row>
    <row r="610" spans="1:6">
      <c r="A610" s="78"/>
      <c r="B610" s="78"/>
      <c r="C610" s="78"/>
      <c r="D610" s="78"/>
      <c r="E610" s="78"/>
      <c r="F610" s="78"/>
    </row>
    <row r="611" spans="1:6">
      <c r="A611" s="78"/>
      <c r="B611" s="78"/>
      <c r="C611" s="78"/>
      <c r="D611" s="78"/>
      <c r="E611" s="78"/>
      <c r="F611" s="78"/>
    </row>
    <row r="612" spans="1:6">
      <c r="A612" s="78"/>
      <c r="B612" s="78"/>
      <c r="C612" s="78"/>
      <c r="D612" s="78"/>
      <c r="E612" s="78"/>
      <c r="F612" s="78"/>
    </row>
    <row r="613" spans="1:6">
      <c r="A613" s="78"/>
      <c r="B613" s="78"/>
      <c r="C613" s="78"/>
      <c r="D613" s="78"/>
      <c r="E613" s="78"/>
      <c r="F613" s="78"/>
    </row>
    <row r="614" spans="1:6">
      <c r="A614" s="78"/>
      <c r="B614" s="78"/>
      <c r="C614" s="78"/>
      <c r="D614" s="78"/>
      <c r="E614" s="78"/>
      <c r="F614" s="78"/>
    </row>
    <row r="615" spans="1:6">
      <c r="A615" s="78"/>
      <c r="B615" s="78"/>
      <c r="C615" s="78"/>
      <c r="D615" s="78"/>
      <c r="E615" s="78"/>
      <c r="F615" s="78"/>
    </row>
    <row r="616" spans="1:6">
      <c r="A616" s="78"/>
      <c r="B616" s="78"/>
      <c r="C616" s="78"/>
      <c r="D616" s="78"/>
      <c r="E616" s="78"/>
      <c r="F616" s="78"/>
    </row>
    <row r="617" spans="1:6">
      <c r="A617" s="78"/>
      <c r="B617" s="78"/>
      <c r="C617" s="78"/>
      <c r="D617" s="78"/>
      <c r="E617" s="78"/>
      <c r="F617" s="78"/>
    </row>
    <row r="618" spans="1:6">
      <c r="A618" s="78"/>
      <c r="B618" s="78"/>
      <c r="C618" s="78"/>
      <c r="D618" s="78"/>
      <c r="E618" s="78"/>
      <c r="F618" s="78"/>
    </row>
    <row r="619" spans="1:6">
      <c r="A619" s="78"/>
      <c r="B619" s="78"/>
      <c r="C619" s="78"/>
      <c r="D619" s="78"/>
      <c r="E619" s="78"/>
      <c r="F619" s="78"/>
    </row>
    <row r="620" spans="1:6">
      <c r="A620" s="78"/>
      <c r="B620" s="78"/>
      <c r="C620" s="78"/>
      <c r="D620" s="78"/>
      <c r="E620" s="78"/>
      <c r="F620" s="78"/>
    </row>
    <row r="621" spans="1:6">
      <c r="A621" s="78"/>
      <c r="B621" s="78"/>
      <c r="C621" s="78"/>
      <c r="D621" s="78"/>
      <c r="E621" s="78"/>
      <c r="F621" s="78"/>
    </row>
    <row r="622" spans="1:6">
      <c r="A622" s="78"/>
      <c r="B622" s="78"/>
      <c r="C622" s="78"/>
      <c r="D622" s="78"/>
      <c r="E622" s="78"/>
      <c r="F622" s="78"/>
    </row>
    <row r="623" spans="1:6">
      <c r="A623" s="78"/>
      <c r="B623" s="78"/>
      <c r="C623" s="78"/>
      <c r="D623" s="78"/>
      <c r="E623" s="78"/>
      <c r="F623" s="78"/>
    </row>
    <row r="624" spans="1:6">
      <c r="A624" s="78"/>
      <c r="B624" s="78"/>
      <c r="C624" s="78"/>
      <c r="D624" s="78"/>
      <c r="E624" s="78"/>
      <c r="F624" s="78"/>
    </row>
    <row r="625" spans="1:6">
      <c r="A625" s="78"/>
      <c r="B625" s="78"/>
      <c r="C625" s="78"/>
      <c r="D625" s="78"/>
      <c r="E625" s="78"/>
      <c r="F625" s="78"/>
    </row>
    <row r="626" spans="1:6">
      <c r="A626" s="78"/>
      <c r="B626" s="78"/>
      <c r="C626" s="78"/>
      <c r="D626" s="78"/>
      <c r="E626" s="78"/>
      <c r="F626" s="78"/>
    </row>
    <row r="627" spans="1:6">
      <c r="A627" s="78"/>
      <c r="B627" s="78"/>
      <c r="C627" s="78"/>
      <c r="D627" s="78"/>
      <c r="E627" s="78"/>
      <c r="F627" s="78"/>
    </row>
    <row r="628" spans="1:6">
      <c r="A628" s="78"/>
      <c r="B628" s="78"/>
      <c r="C628" s="78"/>
      <c r="D628" s="78"/>
      <c r="E628" s="78"/>
      <c r="F628" s="78"/>
    </row>
    <row r="629" spans="1:6">
      <c r="A629" s="78"/>
      <c r="B629" s="78"/>
      <c r="C629" s="78"/>
      <c r="D629" s="78"/>
      <c r="E629" s="78"/>
      <c r="F629" s="78"/>
    </row>
    <row r="630" spans="1:6">
      <c r="A630" s="78"/>
      <c r="B630" s="78"/>
      <c r="C630" s="78"/>
      <c r="D630" s="78"/>
      <c r="E630" s="78"/>
      <c r="F630" s="78"/>
    </row>
    <row r="631" spans="1:6">
      <c r="A631" s="78"/>
      <c r="B631" s="78"/>
      <c r="C631" s="78"/>
      <c r="D631" s="78"/>
      <c r="E631" s="78"/>
      <c r="F631" s="78"/>
    </row>
    <row r="632" spans="1:6">
      <c r="A632" s="78"/>
      <c r="B632" s="78"/>
      <c r="C632" s="78"/>
      <c r="D632" s="78"/>
      <c r="E632" s="78"/>
      <c r="F632" s="78"/>
    </row>
    <row r="633" spans="1:6">
      <c r="A633" s="78"/>
      <c r="B633" s="78"/>
      <c r="C633" s="78"/>
      <c r="D633" s="78"/>
      <c r="E633" s="78"/>
      <c r="F633" s="78"/>
    </row>
    <row r="634" spans="1:6">
      <c r="A634" s="78"/>
      <c r="B634" s="78"/>
      <c r="C634" s="78"/>
      <c r="D634" s="78"/>
      <c r="E634" s="78"/>
      <c r="F634" s="78"/>
    </row>
    <row r="635" spans="1:6">
      <c r="A635" s="78"/>
      <c r="B635" s="78"/>
      <c r="C635" s="78"/>
      <c r="D635" s="78"/>
      <c r="E635" s="78"/>
      <c r="F635" s="78"/>
    </row>
    <row r="636" spans="1:6">
      <c r="A636" s="78"/>
      <c r="B636" s="78"/>
      <c r="C636" s="78"/>
      <c r="D636" s="78"/>
      <c r="E636" s="78"/>
      <c r="F636" s="78"/>
    </row>
    <row r="637" spans="1:6">
      <c r="A637" s="78"/>
      <c r="B637" s="78"/>
      <c r="C637" s="78"/>
      <c r="D637" s="78"/>
      <c r="E637" s="78"/>
      <c r="F637" s="78"/>
    </row>
    <row r="638" spans="1:6">
      <c r="A638" s="78"/>
      <c r="B638" s="78"/>
      <c r="C638" s="78"/>
      <c r="D638" s="78"/>
      <c r="E638" s="78"/>
      <c r="F638" s="78"/>
    </row>
    <row r="639" spans="1:6">
      <c r="A639" s="78"/>
      <c r="B639" s="78"/>
      <c r="C639" s="78"/>
      <c r="D639" s="78"/>
      <c r="E639" s="78"/>
      <c r="F639" s="78"/>
    </row>
    <row r="640" spans="1:6">
      <c r="A640" s="78"/>
      <c r="B640" s="78"/>
      <c r="C640" s="78"/>
      <c r="D640" s="78"/>
      <c r="E640" s="78"/>
      <c r="F640" s="78"/>
    </row>
    <row r="641" spans="1:6">
      <c r="A641" s="78"/>
      <c r="B641" s="78"/>
      <c r="C641" s="78"/>
      <c r="D641" s="78"/>
      <c r="E641" s="78"/>
      <c r="F641" s="78"/>
    </row>
    <row r="642" spans="1:6">
      <c r="A642" s="78"/>
      <c r="B642" s="78"/>
      <c r="C642" s="78"/>
      <c r="D642" s="78"/>
      <c r="E642" s="78"/>
      <c r="F642" s="78"/>
    </row>
    <row r="643" spans="1:6">
      <c r="A643" s="78"/>
      <c r="B643" s="78"/>
      <c r="C643" s="78"/>
      <c r="D643" s="78"/>
      <c r="E643" s="78"/>
      <c r="F643" s="78"/>
    </row>
    <row r="644" spans="1:6">
      <c r="A644" s="78"/>
      <c r="B644" s="78"/>
      <c r="C644" s="78"/>
      <c r="D644" s="78"/>
      <c r="E644" s="78"/>
      <c r="F644" s="78"/>
    </row>
    <row r="645" spans="1:6">
      <c r="A645" s="78"/>
      <c r="B645" s="78"/>
      <c r="C645" s="78"/>
      <c r="D645" s="78"/>
      <c r="E645" s="78"/>
      <c r="F645" s="78"/>
    </row>
    <row r="646" spans="1:6">
      <c r="A646" s="78"/>
      <c r="B646" s="78"/>
      <c r="C646" s="78"/>
      <c r="D646" s="78"/>
      <c r="E646" s="78"/>
      <c r="F646" s="78"/>
    </row>
    <row r="647" spans="1:6">
      <c r="A647" s="78"/>
      <c r="B647" s="78"/>
      <c r="C647" s="78"/>
      <c r="D647" s="78"/>
      <c r="E647" s="78"/>
      <c r="F647" s="78"/>
    </row>
    <row r="648" spans="1:6">
      <c r="A648" s="78"/>
      <c r="B648" s="78"/>
      <c r="C648" s="78"/>
      <c r="D648" s="78"/>
      <c r="E648" s="78"/>
      <c r="F648" s="78"/>
    </row>
    <row r="649" spans="1:6">
      <c r="A649" s="78"/>
      <c r="B649" s="78"/>
      <c r="C649" s="78"/>
      <c r="D649" s="78"/>
      <c r="E649" s="78"/>
      <c r="F649" s="78"/>
    </row>
    <row r="650" spans="1:6">
      <c r="A650" s="78"/>
      <c r="B650" s="78"/>
      <c r="C650" s="78"/>
      <c r="D650" s="78"/>
      <c r="E650" s="78"/>
      <c r="F650" s="78"/>
    </row>
    <row r="651" spans="1:6">
      <c r="A651" s="78"/>
      <c r="B651" s="78"/>
      <c r="C651" s="78"/>
      <c r="D651" s="78"/>
      <c r="E651" s="78"/>
      <c r="F651" s="78"/>
    </row>
    <row r="652" spans="1:6">
      <c r="A652" s="78"/>
      <c r="B652" s="78"/>
      <c r="C652" s="78"/>
      <c r="D652" s="78"/>
      <c r="E652" s="78"/>
      <c r="F652" s="78"/>
    </row>
    <row r="653" spans="1:6">
      <c r="A653" s="78"/>
      <c r="B653" s="78"/>
      <c r="C653" s="78"/>
      <c r="D653" s="78"/>
      <c r="E653" s="78"/>
      <c r="F653" s="78"/>
    </row>
    <row r="654" spans="1:6">
      <c r="A654" s="78"/>
      <c r="B654" s="78"/>
      <c r="C654" s="78"/>
      <c r="D654" s="78"/>
      <c r="E654" s="78"/>
      <c r="F654" s="78"/>
    </row>
    <row r="655" spans="1:6">
      <c r="A655" s="78"/>
      <c r="B655" s="78"/>
      <c r="C655" s="78"/>
      <c r="D655" s="78"/>
      <c r="E655" s="78"/>
      <c r="F655" s="78"/>
    </row>
    <row r="656" spans="1:6">
      <c r="A656" s="78"/>
      <c r="B656" s="78"/>
      <c r="C656" s="78"/>
      <c r="D656" s="78"/>
      <c r="E656" s="78"/>
      <c r="F656" s="78"/>
    </row>
    <row r="657" spans="1:6">
      <c r="A657" s="78"/>
      <c r="B657" s="78"/>
      <c r="C657" s="78"/>
      <c r="D657" s="78"/>
      <c r="E657" s="78"/>
      <c r="F657" s="78"/>
    </row>
    <row r="658" spans="1:6">
      <c r="A658" s="78"/>
      <c r="B658" s="78"/>
      <c r="C658" s="78"/>
      <c r="D658" s="78"/>
      <c r="E658" s="78"/>
      <c r="F658" s="78"/>
    </row>
    <row r="659" spans="1:6">
      <c r="A659" s="78"/>
      <c r="B659" s="78"/>
      <c r="C659" s="78"/>
      <c r="D659" s="78"/>
      <c r="E659" s="78"/>
      <c r="F659" s="78"/>
    </row>
    <row r="660" spans="1:6">
      <c r="A660" s="78"/>
      <c r="B660" s="78"/>
      <c r="C660" s="78"/>
      <c r="D660" s="78"/>
      <c r="E660" s="78"/>
      <c r="F660" s="78"/>
    </row>
    <row r="661" spans="1:6">
      <c r="A661" s="78"/>
      <c r="B661" s="78"/>
      <c r="C661" s="78"/>
      <c r="D661" s="78"/>
      <c r="E661" s="78"/>
      <c r="F661" s="78"/>
    </row>
    <row r="662" spans="1:6">
      <c r="A662" s="78"/>
      <c r="B662" s="78"/>
      <c r="C662" s="78"/>
      <c r="D662" s="78"/>
      <c r="E662" s="78"/>
      <c r="F662" s="78"/>
    </row>
    <row r="663" spans="1:6">
      <c r="A663" s="78"/>
      <c r="B663" s="78"/>
      <c r="C663" s="78"/>
      <c r="D663" s="78"/>
      <c r="E663" s="78"/>
      <c r="F663" s="78"/>
    </row>
    <row r="664" spans="1:6">
      <c r="A664" s="78"/>
      <c r="B664" s="78"/>
      <c r="C664" s="78"/>
      <c r="D664" s="78"/>
      <c r="E664" s="78"/>
      <c r="F664" s="78"/>
    </row>
    <row r="665" spans="1:6">
      <c r="A665" s="78"/>
      <c r="B665" s="78"/>
      <c r="C665" s="78"/>
      <c r="D665" s="78"/>
      <c r="E665" s="78"/>
      <c r="F665" s="78"/>
    </row>
    <row r="666" spans="1:6">
      <c r="A666" s="78"/>
      <c r="B666" s="78"/>
      <c r="C666" s="78"/>
      <c r="D666" s="78"/>
      <c r="E666" s="78"/>
      <c r="F666" s="78"/>
    </row>
    <row r="667" spans="1:6">
      <c r="A667" s="78"/>
      <c r="B667" s="78"/>
      <c r="C667" s="78"/>
      <c r="D667" s="78"/>
      <c r="E667" s="78"/>
      <c r="F667" s="78"/>
    </row>
    <row r="668" spans="1:6">
      <c r="A668" s="78"/>
      <c r="B668" s="78"/>
      <c r="C668" s="78"/>
      <c r="D668" s="78"/>
      <c r="E668" s="78"/>
      <c r="F668" s="78"/>
    </row>
    <row r="669" spans="1:6">
      <c r="A669" s="78"/>
      <c r="B669" s="78"/>
      <c r="C669" s="78"/>
      <c r="D669" s="78"/>
      <c r="E669" s="78"/>
      <c r="F669" s="78"/>
    </row>
    <row r="670" spans="1:6">
      <c r="A670" s="78"/>
      <c r="B670" s="78"/>
      <c r="C670" s="78"/>
      <c r="D670" s="78"/>
      <c r="E670" s="78"/>
      <c r="F670" s="78"/>
    </row>
    <row r="671" spans="1:6">
      <c r="A671" s="78"/>
      <c r="B671" s="78"/>
      <c r="C671" s="78"/>
      <c r="D671" s="78"/>
      <c r="E671" s="78"/>
      <c r="F671" s="78"/>
    </row>
    <row r="672" spans="1:6">
      <c r="A672" s="78"/>
      <c r="B672" s="78"/>
      <c r="C672" s="78"/>
      <c r="D672" s="78"/>
      <c r="E672" s="78"/>
      <c r="F672" s="78"/>
    </row>
    <row r="673" spans="1:6">
      <c r="A673" s="78"/>
      <c r="B673" s="78"/>
      <c r="C673" s="78"/>
      <c r="D673" s="78"/>
      <c r="E673" s="78"/>
      <c r="F673" s="78"/>
    </row>
    <row r="674" spans="1:6">
      <c r="A674" s="78"/>
      <c r="B674" s="78"/>
      <c r="C674" s="78"/>
      <c r="D674" s="78"/>
      <c r="E674" s="78"/>
      <c r="F674" s="78"/>
    </row>
    <row r="675" spans="1:6">
      <c r="A675" s="78"/>
      <c r="B675" s="78"/>
      <c r="C675" s="78"/>
      <c r="D675" s="78"/>
      <c r="E675" s="78"/>
      <c r="F675" s="78"/>
    </row>
    <row r="676" spans="1:6">
      <c r="A676" s="78"/>
      <c r="B676" s="78"/>
      <c r="C676" s="78"/>
      <c r="D676" s="78"/>
      <c r="E676" s="78"/>
      <c r="F676" s="78"/>
    </row>
    <row r="677" spans="1:6">
      <c r="A677" s="78"/>
      <c r="B677" s="78"/>
      <c r="C677" s="78"/>
      <c r="D677" s="78"/>
      <c r="E677" s="78"/>
      <c r="F677" s="78"/>
    </row>
    <row r="678" spans="1:6">
      <c r="A678" s="78"/>
      <c r="B678" s="78"/>
      <c r="C678" s="78"/>
      <c r="D678" s="78"/>
      <c r="E678" s="78"/>
      <c r="F678" s="78"/>
    </row>
    <row r="679" spans="1:6">
      <c r="A679" s="78"/>
      <c r="B679" s="78"/>
      <c r="C679" s="78"/>
      <c r="D679" s="78"/>
      <c r="E679" s="78"/>
      <c r="F679" s="78"/>
    </row>
    <row r="680" spans="1:6">
      <c r="A680" s="78"/>
      <c r="B680" s="78"/>
      <c r="C680" s="78"/>
      <c r="D680" s="78"/>
      <c r="E680" s="78"/>
      <c r="F680" s="78"/>
    </row>
    <row r="681" spans="1:6">
      <c r="A681" s="78"/>
      <c r="B681" s="78"/>
      <c r="C681" s="78"/>
      <c r="D681" s="78"/>
      <c r="E681" s="78"/>
      <c r="F681" s="78"/>
    </row>
    <row r="682" spans="1:6">
      <c r="A682" s="78"/>
      <c r="B682" s="78"/>
      <c r="C682" s="78"/>
      <c r="D682" s="78"/>
      <c r="E682" s="78"/>
      <c r="F682" s="78"/>
    </row>
    <row r="683" spans="1:6">
      <c r="A683" s="78"/>
      <c r="B683" s="78"/>
      <c r="C683" s="78"/>
      <c r="D683" s="78"/>
      <c r="E683" s="78"/>
      <c r="F683" s="78"/>
    </row>
    <row r="684" spans="1:6">
      <c r="A684" s="78"/>
      <c r="B684" s="78"/>
      <c r="C684" s="78"/>
      <c r="D684" s="78"/>
      <c r="E684" s="78"/>
      <c r="F684" s="78"/>
    </row>
    <row r="685" spans="1:6">
      <c r="A685" s="78"/>
      <c r="B685" s="78"/>
      <c r="C685" s="78"/>
      <c r="D685" s="78"/>
      <c r="E685" s="78"/>
      <c r="F685" s="78"/>
    </row>
    <row r="686" spans="1:6">
      <c r="A686" s="78"/>
      <c r="B686" s="78"/>
      <c r="C686" s="78"/>
      <c r="D686" s="78"/>
      <c r="E686" s="78"/>
      <c r="F686" s="78"/>
    </row>
    <row r="687" spans="1:6">
      <c r="A687" s="78"/>
      <c r="B687" s="78"/>
      <c r="C687" s="78"/>
      <c r="D687" s="78"/>
      <c r="E687" s="78"/>
      <c r="F687" s="78"/>
    </row>
    <row r="688" spans="1:6">
      <c r="A688" s="78"/>
      <c r="B688" s="78"/>
      <c r="C688" s="78"/>
      <c r="D688" s="78"/>
      <c r="E688" s="78"/>
      <c r="F688" s="78"/>
    </row>
    <row r="689" spans="1:6">
      <c r="A689" s="78"/>
      <c r="B689" s="78"/>
      <c r="C689" s="78"/>
      <c r="D689" s="78"/>
      <c r="E689" s="78"/>
      <c r="F689" s="78"/>
    </row>
    <row r="690" spans="1:6">
      <c r="A690" s="78"/>
      <c r="B690" s="78"/>
      <c r="C690" s="78"/>
      <c r="D690" s="78"/>
      <c r="E690" s="78"/>
      <c r="F690" s="78"/>
    </row>
    <row r="691" spans="1:6">
      <c r="A691" s="78"/>
      <c r="B691" s="78"/>
      <c r="C691" s="78"/>
      <c r="D691" s="78"/>
      <c r="E691" s="78"/>
      <c r="F691" s="78"/>
    </row>
    <row r="692" spans="1:6">
      <c r="A692" s="78"/>
      <c r="B692" s="78"/>
      <c r="C692" s="78"/>
      <c r="D692" s="78"/>
      <c r="E692" s="78"/>
      <c r="F692" s="78"/>
    </row>
    <row r="693" spans="1:6">
      <c r="A693" s="78"/>
      <c r="B693" s="78"/>
      <c r="C693" s="78"/>
      <c r="D693" s="78"/>
      <c r="E693" s="78"/>
      <c r="F693" s="78"/>
    </row>
    <row r="694" spans="1:6">
      <c r="A694" s="78"/>
      <c r="B694" s="78"/>
      <c r="C694" s="78"/>
      <c r="D694" s="78"/>
      <c r="E694" s="78"/>
      <c r="F694" s="78"/>
    </row>
    <row r="695" spans="1:6">
      <c r="A695" s="78"/>
      <c r="B695" s="78"/>
      <c r="C695" s="78"/>
      <c r="D695" s="78"/>
      <c r="E695" s="78"/>
      <c r="F695" s="78"/>
    </row>
    <row r="696" spans="1:6">
      <c r="A696" s="78"/>
      <c r="B696" s="78"/>
      <c r="C696" s="78"/>
      <c r="D696" s="78"/>
      <c r="E696" s="78"/>
      <c r="F696" s="78"/>
    </row>
    <row r="697" spans="1:6">
      <c r="A697" s="78"/>
      <c r="B697" s="78"/>
      <c r="C697" s="78"/>
      <c r="D697" s="78"/>
      <c r="E697" s="78"/>
      <c r="F697" s="78"/>
    </row>
    <row r="698" spans="1:6">
      <c r="A698" s="78"/>
      <c r="B698" s="78"/>
      <c r="C698" s="78"/>
      <c r="D698" s="78"/>
      <c r="E698" s="78"/>
      <c r="F698" s="78"/>
    </row>
    <row r="699" spans="1:6">
      <c r="A699" s="78"/>
      <c r="B699" s="78"/>
      <c r="C699" s="78"/>
      <c r="D699" s="78"/>
      <c r="E699" s="78"/>
      <c r="F699" s="78"/>
    </row>
    <row r="700" spans="1:6">
      <c r="A700" s="78"/>
      <c r="B700" s="78"/>
      <c r="C700" s="78"/>
      <c r="D700" s="78"/>
      <c r="E700" s="78"/>
      <c r="F700" s="78"/>
    </row>
    <row r="701" spans="1:6">
      <c r="A701" s="78"/>
      <c r="B701" s="78"/>
      <c r="C701" s="78"/>
      <c r="D701" s="78"/>
      <c r="E701" s="78"/>
      <c r="F701" s="78"/>
    </row>
    <row r="702" spans="1:6">
      <c r="A702" s="78"/>
      <c r="B702" s="78"/>
      <c r="C702" s="78"/>
      <c r="D702" s="78"/>
      <c r="E702" s="78"/>
      <c r="F702" s="78"/>
    </row>
    <row r="703" spans="1:6">
      <c r="A703" s="78"/>
      <c r="B703" s="78"/>
      <c r="C703" s="78"/>
      <c r="D703" s="78"/>
      <c r="E703" s="78"/>
      <c r="F703" s="78"/>
    </row>
    <row r="704" spans="1:6">
      <c r="A704" s="78"/>
      <c r="B704" s="78"/>
      <c r="C704" s="78"/>
      <c r="D704" s="78"/>
      <c r="E704" s="78"/>
      <c r="F704" s="78"/>
    </row>
    <row r="705" spans="1:6">
      <c r="A705" s="78"/>
      <c r="B705" s="78"/>
      <c r="C705" s="78"/>
      <c r="D705" s="78"/>
      <c r="E705" s="78"/>
      <c r="F705" s="78"/>
    </row>
    <row r="706" spans="1:6">
      <c r="A706" s="78"/>
      <c r="B706" s="78"/>
      <c r="C706" s="78"/>
      <c r="D706" s="78"/>
      <c r="E706" s="78"/>
      <c r="F706" s="78"/>
    </row>
    <row r="707" spans="1:6">
      <c r="A707" s="78"/>
      <c r="B707" s="78"/>
      <c r="C707" s="78"/>
      <c r="D707" s="78"/>
      <c r="E707" s="78"/>
      <c r="F707" s="78"/>
    </row>
    <row r="708" spans="1:6">
      <c r="A708" s="78"/>
      <c r="B708" s="78"/>
      <c r="C708" s="78"/>
      <c r="D708" s="78"/>
      <c r="E708" s="78"/>
      <c r="F708" s="78"/>
    </row>
    <row r="709" spans="1:6">
      <c r="A709" s="78"/>
      <c r="B709" s="78"/>
      <c r="C709" s="78"/>
      <c r="D709" s="78"/>
      <c r="E709" s="78"/>
      <c r="F709" s="78"/>
    </row>
    <row r="710" spans="1:6">
      <c r="A710" s="78"/>
      <c r="B710" s="78"/>
      <c r="C710" s="78"/>
      <c r="D710" s="78"/>
      <c r="E710" s="78"/>
      <c r="F710" s="78"/>
    </row>
    <row r="711" spans="1:6">
      <c r="A711" s="78"/>
      <c r="B711" s="78"/>
      <c r="C711" s="78"/>
      <c r="D711" s="78"/>
      <c r="E711" s="78"/>
      <c r="F711" s="78"/>
    </row>
    <row r="712" spans="1:6">
      <c r="A712" s="78"/>
      <c r="B712" s="78"/>
      <c r="C712" s="78"/>
      <c r="D712" s="78"/>
      <c r="E712" s="78"/>
      <c r="F712" s="78"/>
    </row>
    <row r="713" spans="1:6">
      <c r="A713" s="78"/>
      <c r="B713" s="78"/>
      <c r="C713" s="78"/>
      <c r="D713" s="78"/>
      <c r="E713" s="78"/>
      <c r="F713" s="78"/>
    </row>
    <row r="714" spans="1:6">
      <c r="A714" s="78"/>
      <c r="B714" s="78"/>
      <c r="C714" s="78"/>
      <c r="D714" s="78"/>
      <c r="E714" s="78"/>
      <c r="F714" s="78"/>
    </row>
    <row r="715" spans="1:6">
      <c r="A715" s="78"/>
      <c r="B715" s="78"/>
      <c r="C715" s="78"/>
      <c r="D715" s="78"/>
      <c r="E715" s="78"/>
      <c r="F715" s="78"/>
    </row>
    <row r="716" spans="1:6">
      <c r="A716" s="78"/>
      <c r="B716" s="78"/>
      <c r="C716" s="78"/>
      <c r="D716" s="78"/>
      <c r="E716" s="78"/>
      <c r="F716" s="78"/>
    </row>
    <row r="717" spans="1:6">
      <c r="A717" s="78"/>
      <c r="B717" s="78"/>
      <c r="C717" s="78"/>
      <c r="D717" s="78"/>
      <c r="E717" s="78"/>
      <c r="F717" s="78"/>
    </row>
    <row r="718" spans="1:6">
      <c r="A718" s="78"/>
      <c r="B718" s="78"/>
      <c r="C718" s="78"/>
      <c r="D718" s="78"/>
      <c r="E718" s="78"/>
      <c r="F718" s="78"/>
    </row>
    <row r="719" spans="1:6">
      <c r="A719" s="78"/>
      <c r="B719" s="78"/>
      <c r="C719" s="78"/>
      <c r="D719" s="78"/>
      <c r="E719" s="78"/>
      <c r="F719" s="78"/>
    </row>
    <row r="720" spans="1:6">
      <c r="A720" s="78"/>
      <c r="B720" s="78"/>
      <c r="C720" s="78"/>
      <c r="D720" s="78"/>
      <c r="E720" s="78"/>
      <c r="F720" s="78"/>
    </row>
    <row r="721" spans="1:6">
      <c r="A721" s="78"/>
      <c r="B721" s="78"/>
      <c r="C721" s="78"/>
      <c r="D721" s="78"/>
      <c r="E721" s="78"/>
      <c r="F721" s="78"/>
    </row>
    <row r="722" spans="1:6">
      <c r="A722" s="78"/>
      <c r="B722" s="78"/>
      <c r="C722" s="78"/>
      <c r="D722" s="78"/>
      <c r="E722" s="78"/>
      <c r="F722" s="78"/>
    </row>
    <row r="723" spans="1:6">
      <c r="A723" s="78"/>
      <c r="B723" s="78"/>
      <c r="C723" s="78"/>
      <c r="D723" s="78"/>
      <c r="E723" s="78"/>
      <c r="F723" s="78"/>
    </row>
    <row r="724" spans="1:6">
      <c r="A724" s="78"/>
      <c r="B724" s="78"/>
      <c r="C724" s="78"/>
      <c r="D724" s="78"/>
      <c r="E724" s="78"/>
      <c r="F724" s="78"/>
    </row>
    <row r="725" spans="1:6">
      <c r="A725" s="78"/>
      <c r="B725" s="78"/>
      <c r="C725" s="78"/>
      <c r="D725" s="78"/>
      <c r="E725" s="78"/>
      <c r="F725" s="78"/>
    </row>
    <row r="726" spans="1:6">
      <c r="A726" s="78"/>
      <c r="B726" s="78"/>
      <c r="C726" s="78"/>
      <c r="D726" s="78"/>
      <c r="E726" s="78"/>
      <c r="F726" s="78"/>
    </row>
    <row r="727" spans="1:6">
      <c r="A727" s="78"/>
      <c r="B727" s="78"/>
      <c r="C727" s="78"/>
      <c r="D727" s="78"/>
      <c r="E727" s="78"/>
      <c r="F727" s="78"/>
    </row>
    <row r="728" spans="1:6">
      <c r="A728" s="78"/>
      <c r="B728" s="78"/>
      <c r="C728" s="78"/>
      <c r="D728" s="78"/>
      <c r="E728" s="78"/>
      <c r="F728" s="78"/>
    </row>
    <row r="729" spans="1:6">
      <c r="A729" s="78"/>
      <c r="B729" s="78"/>
      <c r="C729" s="78"/>
      <c r="D729" s="78"/>
      <c r="E729" s="78"/>
      <c r="F729" s="78"/>
    </row>
    <row r="730" spans="1:6">
      <c r="A730" s="78"/>
      <c r="B730" s="78"/>
      <c r="C730" s="78"/>
      <c r="D730" s="78"/>
      <c r="E730" s="78"/>
      <c r="F730" s="78"/>
    </row>
    <row r="731" spans="1:6">
      <c r="A731" s="78"/>
      <c r="B731" s="78"/>
      <c r="C731" s="78"/>
      <c r="D731" s="78"/>
      <c r="E731" s="78"/>
      <c r="F731" s="78"/>
    </row>
    <row r="732" spans="1:6">
      <c r="A732" s="78"/>
      <c r="B732" s="78"/>
      <c r="C732" s="78"/>
      <c r="D732" s="78"/>
      <c r="E732" s="78"/>
      <c r="F732" s="78"/>
    </row>
    <row r="733" spans="1:6">
      <c r="A733" s="78"/>
      <c r="B733" s="78"/>
      <c r="C733" s="78"/>
      <c r="D733" s="78"/>
      <c r="E733" s="78"/>
      <c r="F733" s="78"/>
    </row>
    <row r="734" spans="1:6">
      <c r="A734" s="78"/>
      <c r="B734" s="78"/>
      <c r="C734" s="78"/>
      <c r="D734" s="78"/>
      <c r="E734" s="78"/>
      <c r="F734" s="78"/>
    </row>
    <row r="735" spans="1:6">
      <c r="A735" s="78"/>
      <c r="B735" s="78"/>
      <c r="C735" s="78"/>
      <c r="D735" s="78"/>
      <c r="E735" s="78"/>
      <c r="F735" s="78"/>
    </row>
    <row r="736" spans="1:6">
      <c r="A736" s="78"/>
      <c r="B736" s="78"/>
      <c r="C736" s="78"/>
      <c r="D736" s="78"/>
      <c r="E736" s="78"/>
      <c r="F736" s="78"/>
    </row>
    <row r="737" spans="1:6">
      <c r="A737" s="78"/>
      <c r="B737" s="78"/>
      <c r="C737" s="78"/>
      <c r="D737" s="78"/>
      <c r="E737" s="78"/>
      <c r="F737" s="78"/>
    </row>
    <row r="738" spans="1:6">
      <c r="A738" s="78"/>
      <c r="B738" s="78"/>
      <c r="C738" s="78"/>
      <c r="D738" s="78"/>
      <c r="E738" s="78"/>
      <c r="F738" s="78"/>
    </row>
    <row r="739" spans="1:6">
      <c r="A739" s="78"/>
      <c r="B739" s="78"/>
      <c r="C739" s="78"/>
      <c r="D739" s="78"/>
      <c r="E739" s="78"/>
      <c r="F739" s="78"/>
    </row>
    <row r="740" spans="1:6">
      <c r="A740" s="78"/>
      <c r="B740" s="78"/>
      <c r="C740" s="78"/>
      <c r="D740" s="78"/>
      <c r="E740" s="78"/>
      <c r="F740" s="78"/>
    </row>
    <row r="741" spans="1:6">
      <c r="A741" s="78"/>
      <c r="B741" s="78"/>
      <c r="C741" s="78"/>
      <c r="D741" s="78"/>
      <c r="E741" s="78"/>
      <c r="F741" s="78"/>
    </row>
    <row r="742" spans="1:6">
      <c r="A742" s="78"/>
      <c r="B742" s="78"/>
      <c r="C742" s="78"/>
      <c r="D742" s="78"/>
      <c r="E742" s="78"/>
      <c r="F742" s="78"/>
    </row>
    <row r="743" spans="1:6">
      <c r="A743" s="78"/>
      <c r="B743" s="78"/>
      <c r="C743" s="78"/>
      <c r="D743" s="78"/>
      <c r="E743" s="78"/>
      <c r="F743" s="78"/>
    </row>
    <row r="744" spans="1:6">
      <c r="A744" s="78"/>
      <c r="B744" s="78"/>
      <c r="C744" s="78"/>
      <c r="D744" s="78"/>
      <c r="E744" s="78"/>
      <c r="F744" s="78"/>
    </row>
    <row r="745" spans="1:6">
      <c r="A745" s="78"/>
      <c r="B745" s="78"/>
      <c r="C745" s="78"/>
      <c r="D745" s="78"/>
      <c r="E745" s="78"/>
      <c r="F745" s="78"/>
    </row>
    <row r="746" spans="1:6">
      <c r="A746" s="78"/>
      <c r="B746" s="78"/>
      <c r="C746" s="78"/>
      <c r="D746" s="78"/>
      <c r="E746" s="78"/>
      <c r="F746" s="78"/>
    </row>
    <row r="747" spans="1:6">
      <c r="A747" s="78"/>
      <c r="B747" s="78"/>
      <c r="C747" s="78"/>
      <c r="D747" s="78"/>
      <c r="E747" s="78"/>
      <c r="F747" s="78"/>
    </row>
    <row r="748" spans="1:6">
      <c r="A748" s="78"/>
      <c r="B748" s="78"/>
      <c r="C748" s="78"/>
      <c r="D748" s="78"/>
      <c r="E748" s="78"/>
      <c r="F748" s="78"/>
    </row>
    <row r="749" spans="1:6">
      <c r="A749" s="78"/>
      <c r="B749" s="78"/>
      <c r="C749" s="78"/>
      <c r="D749" s="78"/>
      <c r="E749" s="78"/>
      <c r="F749" s="78"/>
    </row>
    <row r="750" spans="1:6">
      <c r="A750" s="78"/>
      <c r="B750" s="78"/>
      <c r="C750" s="78"/>
      <c r="D750" s="78"/>
      <c r="E750" s="78"/>
      <c r="F750" s="78"/>
    </row>
    <row r="751" spans="1:6">
      <c r="A751" s="78"/>
      <c r="B751" s="78"/>
      <c r="C751" s="78"/>
      <c r="D751" s="78"/>
      <c r="E751" s="78"/>
      <c r="F751" s="78"/>
    </row>
    <row r="752" spans="1:6">
      <c r="A752" s="78"/>
      <c r="B752" s="78"/>
      <c r="C752" s="78"/>
      <c r="D752" s="78"/>
      <c r="E752" s="78"/>
      <c r="F752" s="78"/>
    </row>
    <row r="753" spans="1:6">
      <c r="A753" s="78"/>
      <c r="B753" s="78"/>
      <c r="C753" s="78"/>
      <c r="D753" s="78"/>
      <c r="E753" s="78"/>
      <c r="F753" s="78"/>
    </row>
    <row r="754" spans="1:6">
      <c r="A754" s="78"/>
      <c r="B754" s="78"/>
      <c r="C754" s="78"/>
      <c r="D754" s="78"/>
      <c r="E754" s="78"/>
      <c r="F754" s="78"/>
    </row>
    <row r="755" spans="1:6">
      <c r="A755" s="78"/>
      <c r="B755" s="78"/>
      <c r="C755" s="78"/>
      <c r="D755" s="78"/>
      <c r="E755" s="78"/>
      <c r="F755" s="78"/>
    </row>
    <row r="756" spans="1:6">
      <c r="A756" s="78"/>
      <c r="B756" s="78"/>
      <c r="C756" s="78"/>
      <c r="D756" s="78"/>
      <c r="E756" s="78"/>
      <c r="F756" s="78"/>
    </row>
    <row r="757" spans="1:6">
      <c r="A757" s="78"/>
      <c r="B757" s="78"/>
      <c r="C757" s="78"/>
      <c r="D757" s="78"/>
      <c r="E757" s="78"/>
      <c r="F757" s="78"/>
    </row>
    <row r="758" spans="1:6">
      <c r="A758" s="78"/>
      <c r="B758" s="78"/>
      <c r="C758" s="78"/>
      <c r="D758" s="78"/>
      <c r="E758" s="78"/>
      <c r="F758" s="78"/>
    </row>
    <row r="759" spans="1:6">
      <c r="A759" s="78"/>
      <c r="B759" s="78"/>
      <c r="C759" s="78"/>
      <c r="D759" s="78"/>
      <c r="E759" s="78"/>
      <c r="F759" s="78"/>
    </row>
    <row r="760" spans="1:6">
      <c r="A760" s="78"/>
      <c r="B760" s="78"/>
      <c r="C760" s="78"/>
      <c r="D760" s="78"/>
      <c r="E760" s="78"/>
      <c r="F760" s="78"/>
    </row>
    <row r="761" spans="1:6">
      <c r="A761" s="78"/>
      <c r="B761" s="78"/>
      <c r="C761" s="78"/>
      <c r="D761" s="78"/>
      <c r="E761" s="78"/>
      <c r="F761" s="78"/>
    </row>
    <row r="762" spans="1:6">
      <c r="A762" s="78"/>
      <c r="B762" s="78"/>
      <c r="C762" s="78"/>
      <c r="D762" s="78"/>
      <c r="E762" s="78"/>
      <c r="F762" s="78"/>
    </row>
    <row r="763" spans="1:6">
      <c r="A763" s="78"/>
      <c r="B763" s="78"/>
      <c r="C763" s="78"/>
      <c r="D763" s="78"/>
      <c r="E763" s="78"/>
      <c r="F763" s="78"/>
    </row>
    <row r="764" spans="1:6">
      <c r="A764" s="78"/>
      <c r="B764" s="78"/>
      <c r="C764" s="78"/>
      <c r="D764" s="78"/>
      <c r="E764" s="78"/>
      <c r="F764" s="78"/>
    </row>
    <row r="765" spans="1:6">
      <c r="A765" s="78"/>
      <c r="B765" s="78"/>
      <c r="C765" s="78"/>
      <c r="D765" s="78"/>
      <c r="E765" s="78"/>
      <c r="F765" s="78"/>
    </row>
    <row r="766" spans="1:6">
      <c r="A766" s="78"/>
      <c r="B766" s="78"/>
      <c r="C766" s="78"/>
      <c r="D766" s="78"/>
      <c r="E766" s="78"/>
      <c r="F766" s="78"/>
    </row>
    <row r="767" spans="1:6">
      <c r="A767" s="78"/>
      <c r="B767" s="78"/>
      <c r="C767" s="78"/>
      <c r="D767" s="78"/>
      <c r="E767" s="78"/>
      <c r="F767" s="78"/>
    </row>
    <row r="768" spans="1:6">
      <c r="A768" s="78"/>
      <c r="B768" s="78"/>
      <c r="C768" s="78"/>
      <c r="D768" s="78"/>
      <c r="E768" s="78"/>
      <c r="F768" s="78"/>
    </row>
    <row r="769" spans="1:6">
      <c r="A769" s="78"/>
      <c r="B769" s="78"/>
      <c r="C769" s="78"/>
      <c r="D769" s="78"/>
      <c r="E769" s="78"/>
      <c r="F769" s="78"/>
    </row>
    <row r="770" spans="1:6">
      <c r="A770" s="78"/>
      <c r="B770" s="78"/>
      <c r="C770" s="78"/>
      <c r="D770" s="78"/>
      <c r="E770" s="78"/>
      <c r="F770" s="78"/>
    </row>
    <row r="771" spans="1:6">
      <c r="A771" s="78"/>
      <c r="B771" s="78"/>
      <c r="C771" s="78"/>
      <c r="D771" s="78"/>
      <c r="E771" s="78"/>
      <c r="F771" s="78"/>
    </row>
    <row r="772" spans="1:6">
      <c r="A772" s="78"/>
      <c r="B772" s="78"/>
      <c r="C772" s="78"/>
      <c r="D772" s="78"/>
      <c r="E772" s="78"/>
      <c r="F772" s="78"/>
    </row>
    <row r="773" spans="1:6">
      <c r="A773" s="78"/>
      <c r="B773" s="78"/>
      <c r="C773" s="78"/>
      <c r="D773" s="78"/>
      <c r="E773" s="78"/>
      <c r="F773" s="78"/>
    </row>
    <row r="774" spans="1:6">
      <c r="A774" s="78"/>
      <c r="B774" s="78"/>
      <c r="C774" s="78"/>
      <c r="D774" s="78"/>
      <c r="E774" s="78"/>
      <c r="F774" s="78"/>
    </row>
    <row r="775" spans="1:6">
      <c r="A775" s="78"/>
      <c r="B775" s="78"/>
      <c r="C775" s="78"/>
      <c r="D775" s="78"/>
      <c r="E775" s="78"/>
      <c r="F775" s="78"/>
    </row>
    <row r="776" spans="1:6">
      <c r="A776" s="78"/>
      <c r="B776" s="78"/>
      <c r="C776" s="78"/>
      <c r="D776" s="78"/>
      <c r="E776" s="78"/>
      <c r="F776" s="78"/>
    </row>
    <row r="777" spans="1:6">
      <c r="A777" s="78"/>
      <c r="B777" s="78"/>
      <c r="C777" s="78"/>
      <c r="D777" s="78"/>
      <c r="E777" s="78"/>
      <c r="F777" s="78"/>
    </row>
    <row r="778" spans="1:6">
      <c r="A778" s="78"/>
      <c r="B778" s="78"/>
      <c r="C778" s="78"/>
      <c r="D778" s="78"/>
      <c r="E778" s="78"/>
      <c r="F778" s="78"/>
    </row>
    <row r="779" spans="1:6">
      <c r="A779" s="78"/>
      <c r="B779" s="78"/>
      <c r="C779" s="78"/>
      <c r="D779" s="78"/>
      <c r="E779" s="78"/>
      <c r="F779" s="78"/>
    </row>
    <row r="780" spans="1:6">
      <c r="A780" s="78"/>
      <c r="B780" s="78"/>
      <c r="C780" s="78"/>
      <c r="D780" s="78"/>
      <c r="E780" s="78"/>
      <c r="F780" s="78"/>
    </row>
    <row r="781" spans="1:6">
      <c r="A781" s="78"/>
      <c r="B781" s="78"/>
      <c r="C781" s="78"/>
      <c r="D781" s="78"/>
      <c r="E781" s="78"/>
      <c r="F781" s="78"/>
    </row>
    <row r="782" spans="1:6">
      <c r="A782" s="78"/>
      <c r="B782" s="78"/>
      <c r="C782" s="78"/>
      <c r="D782" s="78"/>
      <c r="E782" s="78"/>
      <c r="F782" s="78"/>
    </row>
    <row r="783" spans="1:6">
      <c r="A783" s="78"/>
      <c r="B783" s="78"/>
      <c r="C783" s="78"/>
      <c r="D783" s="78"/>
      <c r="E783" s="78"/>
      <c r="F783" s="78"/>
    </row>
    <row r="784" spans="1:6">
      <c r="A784" s="78"/>
      <c r="B784" s="78"/>
      <c r="C784" s="78"/>
      <c r="D784" s="78"/>
      <c r="E784" s="78"/>
      <c r="F784" s="78"/>
    </row>
    <row r="785" spans="1:6">
      <c r="A785" s="78"/>
      <c r="B785" s="78"/>
      <c r="C785" s="78"/>
      <c r="D785" s="78"/>
      <c r="E785" s="78"/>
      <c r="F785" s="78"/>
    </row>
    <row r="786" spans="1:6">
      <c r="A786" s="78"/>
      <c r="B786" s="78"/>
      <c r="C786" s="78"/>
      <c r="D786" s="78"/>
      <c r="E786" s="78"/>
      <c r="F786" s="78"/>
    </row>
    <row r="787" spans="1:6">
      <c r="A787" s="78"/>
      <c r="B787" s="78"/>
      <c r="C787" s="78"/>
      <c r="D787" s="78"/>
      <c r="E787" s="78"/>
      <c r="F787" s="78"/>
    </row>
    <row r="788" spans="1:6">
      <c r="A788" s="78"/>
      <c r="B788" s="78"/>
      <c r="C788" s="78"/>
      <c r="D788" s="78"/>
      <c r="E788" s="78"/>
      <c r="F788" s="78"/>
    </row>
    <row r="789" spans="1:6">
      <c r="A789" s="78"/>
      <c r="B789" s="78"/>
      <c r="C789" s="78"/>
      <c r="D789" s="78"/>
      <c r="E789" s="78"/>
      <c r="F789" s="78"/>
    </row>
    <row r="790" spans="1:6">
      <c r="A790" s="78"/>
      <c r="B790" s="78"/>
      <c r="C790" s="78"/>
      <c r="D790" s="78"/>
      <c r="E790" s="78"/>
      <c r="F790" s="78"/>
    </row>
    <row r="791" spans="1:6">
      <c r="A791" s="78"/>
      <c r="B791" s="78"/>
      <c r="C791" s="78"/>
      <c r="D791" s="78"/>
      <c r="E791" s="78"/>
      <c r="F791" s="78"/>
    </row>
    <row r="792" spans="1:6">
      <c r="A792" s="78"/>
      <c r="B792" s="78"/>
      <c r="C792" s="78"/>
      <c r="D792" s="78"/>
      <c r="E792" s="78"/>
      <c r="F792" s="78"/>
    </row>
    <row r="793" spans="1:6">
      <c r="A793" s="78"/>
      <c r="B793" s="78"/>
      <c r="C793" s="78"/>
      <c r="D793" s="78"/>
      <c r="E793" s="78"/>
      <c r="F793" s="78"/>
    </row>
    <row r="794" spans="1:6">
      <c r="A794" s="78"/>
      <c r="B794" s="78"/>
      <c r="C794" s="78"/>
      <c r="D794" s="78"/>
      <c r="E794" s="78"/>
      <c r="F794" s="78"/>
    </row>
    <row r="795" spans="1:6">
      <c r="A795" s="78"/>
      <c r="B795" s="78"/>
      <c r="C795" s="78"/>
      <c r="D795" s="78"/>
      <c r="E795" s="78"/>
      <c r="F795" s="78"/>
    </row>
    <row r="796" spans="1:6">
      <c r="A796" s="78"/>
      <c r="B796" s="78"/>
      <c r="C796" s="78"/>
      <c r="D796" s="78"/>
      <c r="E796" s="78"/>
      <c r="F796" s="78"/>
    </row>
    <row r="797" spans="1:6">
      <c r="A797" s="78"/>
      <c r="B797" s="78"/>
      <c r="C797" s="78"/>
      <c r="D797" s="78"/>
      <c r="E797" s="78"/>
      <c r="F797" s="78"/>
    </row>
    <row r="798" spans="1:6">
      <c r="A798" s="78"/>
      <c r="B798" s="78"/>
      <c r="C798" s="78"/>
      <c r="D798" s="78"/>
      <c r="E798" s="78"/>
      <c r="F798" s="78"/>
    </row>
    <row r="799" spans="1:6">
      <c r="A799" s="78"/>
      <c r="B799" s="78"/>
      <c r="C799" s="78"/>
      <c r="D799" s="78"/>
      <c r="E799" s="78"/>
      <c r="F799" s="78"/>
    </row>
    <row r="800" spans="1:6">
      <c r="A800" s="78"/>
      <c r="B800" s="78"/>
      <c r="C800" s="78"/>
      <c r="D800" s="78"/>
      <c r="E800" s="78"/>
      <c r="F800" s="78"/>
    </row>
    <row r="801" spans="1:6">
      <c r="A801" s="78"/>
      <c r="B801" s="78"/>
      <c r="C801" s="78"/>
      <c r="D801" s="78"/>
      <c r="E801" s="78"/>
      <c r="F801" s="78"/>
    </row>
    <row r="802" spans="1:6">
      <c r="A802" s="78"/>
      <c r="B802" s="78"/>
      <c r="C802" s="78"/>
      <c r="D802" s="78"/>
      <c r="E802" s="78"/>
      <c r="F802" s="78"/>
    </row>
    <row r="803" spans="1:6">
      <c r="A803" s="78"/>
      <c r="B803" s="78"/>
      <c r="C803" s="78"/>
      <c r="D803" s="78"/>
      <c r="E803" s="78"/>
      <c r="F803" s="78"/>
    </row>
    <row r="804" spans="1:6">
      <c r="A804" s="78"/>
      <c r="B804" s="78"/>
      <c r="C804" s="78"/>
      <c r="D804" s="78"/>
      <c r="E804" s="78"/>
      <c r="F804" s="78"/>
    </row>
    <row r="805" spans="1:6">
      <c r="A805" s="78"/>
      <c r="B805" s="78"/>
      <c r="C805" s="78"/>
      <c r="D805" s="78"/>
      <c r="E805" s="78"/>
      <c r="F805" s="78"/>
    </row>
    <row r="806" spans="1:6">
      <c r="A806" s="78"/>
      <c r="B806" s="78"/>
      <c r="C806" s="78"/>
      <c r="D806" s="78"/>
      <c r="E806" s="78"/>
      <c r="F806" s="78"/>
    </row>
    <row r="807" spans="1:6">
      <c r="A807" s="78"/>
      <c r="B807" s="78"/>
      <c r="C807" s="78"/>
      <c r="D807" s="78"/>
      <c r="E807" s="78"/>
      <c r="F807" s="78"/>
    </row>
    <row r="808" spans="1:6">
      <c r="A808" s="78"/>
      <c r="B808" s="78"/>
      <c r="C808" s="78"/>
      <c r="D808" s="78"/>
      <c r="E808" s="78"/>
      <c r="F808" s="78"/>
    </row>
  </sheetData>
  <autoFilter ref="A1:J18" xr:uid="{00000000-0009-0000-0000-000003000000}">
    <sortState xmlns:xlrd2="http://schemas.microsoft.com/office/spreadsheetml/2017/richdata2" ref="A2:I122">
      <sortCondition sortBy="cellColor" ref="F1:F122" dxfId="1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Deck Strategies</vt:lpstr>
      <vt:lpstr>Legend</vt:lpstr>
      <vt:lpstr>Master</vt:lpstr>
      <vt:lpstr>Buy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Minor</dc:creator>
  <cp:lastModifiedBy>Robert Minor</cp:lastModifiedBy>
  <dcterms:created xsi:type="dcterms:W3CDTF">2026-09-05T04:45:55Z</dcterms:created>
  <dcterms:modified xsi:type="dcterms:W3CDTF">2026-09-18T22:17:08Z</dcterms:modified>
</cp:coreProperties>
</file>