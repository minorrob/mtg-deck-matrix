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ummary" sheetId="2" state="visible" r:id="rId2"/>
    <sheet name="1o Ancestral Bulwark" sheetId="3" state="visible" r:id="rId3"/>
    <sheet name="_why_1o" sheetId="4" state="hidden" r:id="rId4"/>
    <sheet name="2c Proliferate Council" sheetId="5" state="visible" r:id="rId5"/>
    <sheet name="_why_2c" sheetId="6" state="hidden" r:id="rId6"/>
    <sheet name="3e Golgari Land Engine" sheetId="7" state="visible" r:id="rId7"/>
    <sheet name="_why_3e" sheetId="8" state="hidden" r:id="rId8"/>
    <sheet name="4c Bant Walls" sheetId="9" state="visible" r:id="rId9"/>
    <sheet name="_why_4c" sheetId="10" state="hidden" r:id="rId10"/>
    <sheet name="5o Lorehold Spirit" sheetId="11" state="visible" r:id="rId11"/>
    <sheet name="_why_5o" sheetId="12" state="hidden" r:id="rId12"/>
    <sheet name="6f Sultai ETB Doubling" sheetId="13" state="visible" r:id="rId13"/>
    <sheet name="_why_6f" sheetId="14" state="hidden" r:id="rId14"/>
    <sheet name="Prices" sheetId="15" state="visible" r:id="rId15"/>
    <sheet name="Card Data" sheetId="16" state="visible" r:id="rId16"/>
    <sheet name="Final List" sheetId="17" state="visible" r:id="rId17"/>
    <sheet name="Notes" sheetId="18" state="visible" r:id="rId18"/>
  </sheets>
  <definedNames>
    <definedName name="_xlnm.Print_Titles" localSheetId="2">'1o Ancestral Bulwark'!$5:$5</definedName>
    <definedName name="_xlnm.Print_Titles" localSheetId="4">'2c Proliferate Council'!$5:$5</definedName>
    <definedName name="_xlnm.Print_Titles" localSheetId="6">'3e Golgari Land Engine'!$5:$5</definedName>
    <definedName name="_xlnm.Print_Titles" localSheetId="8">'4c Bant Walls'!$5:$5</definedName>
    <definedName name="_xlnm.Print_Titles" localSheetId="10">'5o Lorehold Spirit'!$5:$5</definedName>
    <definedName name="_xlnm.Print_Titles" localSheetId="12">'6f Sultai ETB Doubling'!$5:$5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RED]-$#,##0.00;&quot;-&quot;"/>
  </numFmts>
  <fonts count="12">
    <font>
      <name val="Calibri"/>
      <family val="2"/>
      <color theme="1"/>
      <sz val="11"/>
      <scheme val="minor"/>
    </font>
    <font>
      <name val="Aptos Narrow"/>
      <b val="1"/>
      <color rgb="001F3B2C"/>
      <sz val="16"/>
    </font>
    <font>
      <name val="Aptos Narrow"/>
      <i val="1"/>
      <color rgb="005B6B5F"/>
      <sz val="9"/>
    </font>
    <font>
      <name val="Aptos Narrow"/>
      <b val="1"/>
      <color rgb="001F3B2C"/>
      <sz val="12"/>
    </font>
    <font>
      <name val="Aptos Narrow"/>
      <b val="1"/>
      <sz val="10"/>
    </font>
    <font>
      <name val="Aptos Narrow"/>
      <sz val="10"/>
    </font>
    <font>
      <name val="Aptos Narrow"/>
      <b val="1"/>
      <color rgb="00B1452F"/>
      <sz val="9"/>
    </font>
    <font>
      <name val="Aptos Narrow"/>
      <b val="1"/>
      <color rgb="00FFFFFF"/>
      <sz val="9"/>
    </font>
    <font>
      <name val="Aptos Narrow"/>
      <i val="1"/>
      <color rgb="006B6B6B"/>
      <sz val="8"/>
    </font>
    <font>
      <name val="Aptos Narrow"/>
      <b val="1"/>
      <color rgb="001F3B2C"/>
      <sz val="9"/>
    </font>
    <font>
      <name val="Consolas"/>
      <sz val="9"/>
    </font>
    <font>
      <name val="Aptos Narrow"/>
      <color rgb="008A5A00"/>
      <sz val="10"/>
    </font>
  </fonts>
  <fills count="10">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FCE4D6"/>
      </patternFill>
    </fill>
    <fill>
      <patternFill patternType="solid">
        <fgColor rgb="002F5233"/>
      </patternFill>
    </fill>
    <fill>
      <patternFill patternType="solid">
        <fgColor rgb="00FFF9E0"/>
      </patternFill>
    </fill>
    <fill>
      <patternFill patternType="solid">
        <fgColor rgb="00F7F5EE"/>
      </patternFill>
    </fill>
    <fill>
      <patternFill patternType="solid">
        <fgColor rgb="00E7E2D0"/>
      </patternFill>
    </fill>
  </fills>
  <borders count="2">
    <border>
      <left/>
      <right/>
      <top/>
      <bottom/>
      <diagonal/>
    </border>
    <border>
      <left style="thin">
        <color rgb="00D8D2BE"/>
      </left>
      <right style="thin">
        <color rgb="00D8D2BE"/>
      </right>
      <top style="thin">
        <color rgb="00D8D2BE"/>
      </top>
      <bottom style="thin">
        <color rgb="00D8D2BE"/>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6" borderId="1" applyAlignment="1" pivotButton="0" quotePrefix="0" xfId="0">
      <alignment horizontal="center" vertical="center" wrapText="1"/>
    </xf>
    <xf numFmtId="0" fontId="5" fillId="0" borderId="1" pivotButton="0" quotePrefix="0" xfId="0"/>
    <xf numFmtId="0" fontId="5" fillId="2" borderId="1" pivotButton="0" quotePrefix="0" xfId="0"/>
    <xf numFmtId="3" fontId="5" fillId="0" borderId="1" pivotButton="0" quotePrefix="0" xfId="0"/>
    <xf numFmtId="164" fontId="5" fillId="0" borderId="1" pivotButton="0" quotePrefix="0" xfId="0"/>
    <xf numFmtId="165" fontId="5" fillId="0" borderId="1" pivotButton="0" quotePrefix="0" xfId="0"/>
    <xf numFmtId="0" fontId="8" fillId="0" borderId="1" pivotButton="0" quotePrefix="0" xfId="0"/>
    <xf numFmtId="0" fontId="5" fillId="3" borderId="1" pivotButton="0" quotePrefix="0" xfId="0"/>
    <xf numFmtId="0" fontId="5" fillId="4" borderId="1" pivotButton="0" quotePrefix="0" xfId="0"/>
    <xf numFmtId="0" fontId="5" fillId="5" borderId="1" pivotButton="0" quotePrefix="0" xfId="0"/>
    <xf numFmtId="166" fontId="5" fillId="0" borderId="1" pivotButton="0" quotePrefix="0" xfId="0"/>
    <xf numFmtId="0" fontId="8" fillId="0" borderId="1" applyAlignment="1" pivotButton="0" quotePrefix="0" xfId="0">
      <alignment vertical="top" wrapText="1"/>
    </xf>
    <xf numFmtId="0" fontId="9" fillId="2" borderId="1" applyAlignment="1" pivotButton="0" quotePrefix="0" xfId="0">
      <alignment horizontal="center"/>
    </xf>
    <xf numFmtId="0" fontId="9" fillId="3" borderId="1" applyAlignment="1" pivotButton="0" quotePrefix="0" xfId="0">
      <alignment horizontal="center"/>
    </xf>
    <xf numFmtId="0" fontId="9" fillId="4" borderId="1" applyAlignment="1" pivotButton="0" quotePrefix="0" xfId="0">
      <alignment horizontal="center"/>
    </xf>
    <xf numFmtId="0" fontId="9" fillId="5" borderId="1" applyAlignment="1" pivotButton="0" quotePrefix="0" xfId="0">
      <alignment horizontal="center"/>
    </xf>
    <xf numFmtId="0" fontId="10" fillId="0" borderId="0" pivotButton="0" quotePrefix="0" xfId="0"/>
    <xf numFmtId="0" fontId="11" fillId="0" borderId="1" pivotButton="0" quotePrefix="0" xfId="0"/>
    <xf numFmtId="0" fontId="4" fillId="7" borderId="1" pivotButton="0" quotePrefix="0" xfId="0"/>
    <xf numFmtId="0" fontId="4" fillId="0" borderId="1" pivotButton="0" quotePrefix="0" xfId="0"/>
    <xf numFmtId="0" fontId="8" fillId="0" borderId="1" applyAlignment="1" pivotButton="0" quotePrefix="0" xfId="0">
      <alignment/>
    </xf>
    <xf numFmtId="0" fontId="5" fillId="8" borderId="1" pivotButton="0" quotePrefix="0" xfId="0"/>
    <xf numFmtId="0" fontId="11" fillId="8" borderId="1" pivotButton="0" quotePrefix="0" xfId="0"/>
    <xf numFmtId="166" fontId="4" fillId="9" borderId="1" pivotButton="0" quotePrefix="0" xfId="0"/>
    <xf numFmtId="0" fontId="8" fillId="0" borderId="0" pivotButton="0" quotePrefix="0" xfId="0"/>
    <xf numFmtId="166" fontId="5" fillId="0" borderId="0" pivotButton="0" quotePrefix="0" xfId="0"/>
    <xf numFmtId="0" fontId="10" fillId="0" borderId="1" pivotButton="0" quotePrefix="0" xfId="0"/>
    <xf numFmtId="166" fontId="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34"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MTG Deck Decision Matrix</t>
        </is>
      </c>
    </row>
    <row r="2">
      <c r="A2" s="2" t="inlineStr">
        <is>
          <t>Six decks · 100 lineup slots each · eleven candidate builds per slot · every simulated column backed by its own Monte Carlo run.</t>
        </is>
      </c>
    </row>
    <row r="4">
      <c r="A4" s="3" t="inlineStr">
        <is>
          <t>The column hierarchy</t>
        </is>
      </c>
    </row>
    <row r="5">
      <c r="A5" s="4" t="inlineStr">
        <is>
          <t>Site ladder — as published</t>
        </is>
      </c>
      <c r="B5" s="5" t="inlineStr">
        <is>
          <t>Base → Tuned → Enhance → Max</t>
        </is>
      </c>
    </row>
    <row r="6">
      <c r="A6" s="6" t="inlineStr">
        <is>
          <t>Simulation-improved (Monte Carlo)</t>
        </is>
      </c>
      <c r="B6" s="5" t="inlineStr">
        <is>
          <t>Tuned-2 → Enhance-2 → Max-2</t>
        </is>
      </c>
    </row>
    <row r="7">
      <c r="A7" s="7" t="inlineStr">
        <is>
          <t>Fun-weighted engine v2.1</t>
        </is>
      </c>
      <c r="B7" s="5" t="inlineStr">
        <is>
          <t>Fun Tuned → Fun Max</t>
        </is>
      </c>
    </row>
    <row r="8">
      <c r="A8" s="8" t="inlineStr">
        <is>
          <t>Alternative commander</t>
        </is>
      </c>
      <c r="B8" s="5" t="inlineStr">
        <is>
          <t>Alt Tuned → Alt Max</t>
        </is>
      </c>
    </row>
    <row r="10">
      <c r="A10" s="9" t="inlineStr">
        <is>
          <t>Site ladder — as published</t>
        </is>
      </c>
    </row>
    <row r="11" ht="46" customHeight="1">
      <c r="A11" s="10" t="inlineStr">
        <is>
          <t>Base is the starting shell you already own. Tuned adds every required purchase. Enhance adds the site's cheap side-grade tier. Max is the site's curated Tier 3 ceiling. These are the catalog's own lists — Tuned is the only one of the four that was ever simulated in this exact form.</t>
        </is>
      </c>
    </row>
    <row r="13">
      <c r="A13" s="9" t="inlineStr">
        <is>
          <t>Simulation-improved (Monte Carlo)</t>
        </is>
      </c>
    </row>
    <row r="14" ht="46" customHeight="1">
      <c r="A14" s="10" t="inlineStr">
        <is>
          <t>Tuned-2, Enhance-2 and Max-2 are the improved sets of cards the Monte Carlo optimizer found: it measured where each build actually lost, proposed swaps, re-measured, and kept only what still held up on thousands of games the optimizer never saw. Enhance-2 and Max-2 were additionally re-simulated as assembled lists, because assembling a list from separate evidence is not the same as measuring that exact list.</t>
        </is>
      </c>
    </row>
    <row r="16">
      <c r="A16" s="9" t="inlineStr">
        <is>
          <t>Fun-weighted engine v2.1</t>
        </is>
      </c>
    </row>
    <row r="17" ht="46" customHeight="1">
      <c r="A17" s="10" t="inlineStr">
        <is>
          <t>The same six decks re-optimized after three engine corrections (toughness-as-damage creatures, planeswalker commanders, multicolour land parsing) and a scoring change: raw win rate was cut from 0.40 to 0.30 of the score and a fun/participation signal given 0.10. These builds are tuned for games you actually get to play in, not purely for winning.</t>
        </is>
      </c>
    </row>
    <row r="19">
      <c r="A19" s="9" t="inlineStr">
        <is>
          <t>Alternative commander</t>
        </is>
      </c>
    </row>
    <row r="20" ht="46" customHeight="1">
      <c r="A20" s="10" t="inlineStr">
        <is>
          <t>Decks 1, 3 and 5 only — Teneb, Hazel and Iroas, each measured on that deck's own 99 cards and then re-optimized around the new commander. Read the Summary tab's alternative-commander block before adopting one; the case is much stronger for some than for others.</t>
        </is>
      </c>
    </row>
    <row r="22">
      <c r="A22" s="9" t="inlineStr">
        <is>
          <t>How to decide</t>
        </is>
      </c>
    </row>
    <row r="23" ht="46" customHeight="1">
      <c r="A23" s="10" t="inlineStr">
        <is>
          <t>Work down a deck sheet. Each row is one lineup slot. Set FINAL PICK to the build whose card you want in that slot — the Final Card, its price and the reason it moved all resolve automatically. The Final List tab collects every choice into a flat table for the session updating the web app.</t>
        </is>
      </c>
    </row>
    <row r="25">
      <c r="A25" s="9" t="inlineStr">
        <is>
          <t>A caution worth reading</t>
        </is>
      </c>
    </row>
    <row r="26" ht="46" customHeight="1">
      <c r="A26" s="10" t="inlineStr">
        <is>
          <t>The engine is a model, not a rules engine. It cannot see proliferate, trigger doubling, devotion, or most commander-specific synergy text. Where that materially changes a recommendation, the Summary and Notes tabs say so explicitly rather than letting the number stand alone.</t>
        </is>
      </c>
    </row>
  </sheetData>
  <mergeCells count="18">
    <mergeCell ref="B8:H8"/>
    <mergeCell ref="A26:H26"/>
    <mergeCell ref="A23:H23"/>
    <mergeCell ref="A25:H25"/>
    <mergeCell ref="A20:H20"/>
    <mergeCell ref="A2:H2"/>
    <mergeCell ref="A16:H16"/>
    <mergeCell ref="A10:H10"/>
    <mergeCell ref="B6:H6"/>
    <mergeCell ref="A13:H13"/>
    <mergeCell ref="A11:H11"/>
    <mergeCell ref="A14:H14"/>
    <mergeCell ref="B7:H7"/>
    <mergeCell ref="A1:H1"/>
    <mergeCell ref="A19:H19"/>
    <mergeCell ref="B5:H5"/>
    <mergeCell ref="A22:H22"/>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22" customWidth="1" min="3" max="3"/>
    <col width="10" customWidth="1" min="4" max="4"/>
    <col width="13" customWidth="1" min="5" max="5"/>
    <col width="9" customWidth="1" min="6" max="6"/>
    <col width="9" customWidth="1" min="7" max="7"/>
    <col width="9" customWidth="1" min="8" max="8"/>
    <col width="11" customWidth="1" min="9" max="9"/>
    <col width="10" customWidth="1" min="10" max="10"/>
    <col width="9" customWidth="1" min="11" max="11"/>
    <col width="11" customWidth="1" min="12" max="12"/>
    <col width="14" customWidth="1" min="13" max="13"/>
    <col width="8" customWidth="1" min="14" max="14"/>
    <col width="60" customWidth="1" min="15" max="15"/>
  </cols>
  <sheetData>
    <row r="1">
      <c r="A1" s="1" t="inlineStr">
        <is>
          <t>Build metrics — what backs each column</t>
        </is>
      </c>
    </row>
    <row r="2">
      <c r="A2" s="2" t="inlineStr">
        <is>
          <t>Every simulated column below reports the games behind it and whether its gain survived a holdout of seeds the optimizer never saw. Blank = a published list with no simulation of its own.</t>
        </is>
      </c>
    </row>
    <row r="3" ht="40" customHeight="1">
      <c r="A3" s="11" t="inlineStr">
        <is>
          <t>DO NOT compare scores across engine generations. Tuned and Tuned-2 were measured on the v1 engine (three opponent archetypes, win rate weighted 0.40). Enhance-2 and Max-2 were re-verified on v1 as assembled lists. Fun and Alt columns ran on v2.1 (nine archetypes, win rate 0.30, fun 0.10, three combat fixes). v2.1 scores are systematically lower because the opponent field is harder — that is not the deck getting worse. Compare only within a generation.</t>
        </is>
      </c>
    </row>
    <row r="4">
      <c r="A4" s="12" t="inlineStr">
        <is>
          <t>Deck</t>
        </is>
      </c>
      <c r="B4" s="12" t="inlineStr">
        <is>
          <t>Build</t>
        </is>
      </c>
      <c r="C4" s="12" t="inlineStr">
        <is>
          <t>Group</t>
        </is>
      </c>
      <c r="D4" s="12" t="inlineStr">
        <is>
          <t>Games</t>
        </is>
      </c>
      <c r="E4" s="12" t="inlineStr">
        <is>
          <t>Holdout games</t>
        </is>
      </c>
      <c r="F4" s="12" t="inlineStr">
        <is>
          <t>Score</t>
        </is>
      </c>
      <c r="G4" s="12" t="inlineStr">
        <is>
          <t>Win %</t>
        </is>
      </c>
      <c r="H4" s="12" t="inlineStr">
        <is>
          <t>Fun %</t>
        </is>
      </c>
      <c r="I4" s="12" t="inlineStr">
        <is>
          <t>Avg win turn</t>
        </is>
      </c>
      <c r="J4" s="12" t="inlineStr">
        <is>
          <t>Cmdr turn</t>
        </is>
      </c>
      <c r="K4" s="12" t="inlineStr">
        <is>
          <t>Screw %</t>
        </is>
      </c>
      <c r="L4" s="12" t="inlineStr">
        <is>
          <t>Interaction</t>
        </is>
      </c>
      <c r="M4" s="12" t="inlineStr">
        <is>
          <t>Verdict</t>
        </is>
      </c>
      <c r="N4" s="12" t="inlineStr">
        <is>
          <t>Swaps</t>
        </is>
      </c>
      <c r="O4" s="12" t="inlineStr">
        <is>
          <t>What this column is</t>
        </is>
      </c>
    </row>
    <row r="5">
      <c r="A5" s="13" t="inlineStr">
        <is>
          <t>1o · Ancestral Bulwark</t>
        </is>
      </c>
      <c r="B5" s="13" t="inlineStr">
        <is>
          <t>Base</t>
        </is>
      </c>
      <c r="C5" s="14" t="inlineStr">
        <is>
          <t>Site ladder — as published</t>
        </is>
      </c>
      <c r="D5" s="15" t="n"/>
      <c r="E5" s="15" t="n"/>
      <c r="F5" s="16" t="n"/>
      <c r="G5" s="17" t="n"/>
      <c r="H5" s="17" t="n"/>
      <c r="I5" s="16" t="n"/>
      <c r="J5" s="16" t="n"/>
      <c r="K5" s="17" t="n"/>
      <c r="L5" s="17" t="n"/>
      <c r="M5" s="13" t="inlineStr"/>
      <c r="N5" s="15" t="n"/>
      <c r="O5" s="18" t="inlineStr">
        <is>
          <t>published</t>
        </is>
      </c>
    </row>
    <row r="6">
      <c r="A6" s="13" t="inlineStr">
        <is>
          <t>1o · Ancestral Bulwark</t>
        </is>
      </c>
      <c r="B6" s="13" t="inlineStr">
        <is>
          <t>Tuned</t>
        </is>
      </c>
      <c r="C6" s="14" t="inlineStr">
        <is>
          <t>Site ladder — as published</t>
        </is>
      </c>
      <c r="D6" s="15" t="n">
        <v>20000</v>
      </c>
      <c r="E6" s="15" t="n">
        <v>5000</v>
      </c>
      <c r="F6" s="16" t="n">
        <v>80.3</v>
      </c>
      <c r="G6" s="17" t="n">
        <v>0.4322</v>
      </c>
      <c r="H6" s="17" t="n"/>
      <c r="I6" s="16" t="n">
        <v>11.85562239703841</v>
      </c>
      <c r="J6" s="16" t="n">
        <v>5.137118261938922</v>
      </c>
      <c r="K6" s="17" t="n">
        <v>0.0552</v>
      </c>
      <c r="L6" s="17" t="n">
        <v>0.3683200000000014</v>
      </c>
      <c r="M6" s="13" t="inlineStr">
        <is>
          <t>confirmed</t>
        </is>
      </c>
      <c r="N6" s="15" t="n">
        <v>5</v>
      </c>
      <c r="O6" s="18" t="inlineStr">
        <is>
          <t>published + simulated (v1 engine)</t>
        </is>
      </c>
    </row>
    <row r="7">
      <c r="A7" s="13" t="inlineStr">
        <is>
          <t>1o · Ancestral Bulwark</t>
        </is>
      </c>
      <c r="B7" s="13" t="inlineStr">
        <is>
          <t>Enhance</t>
        </is>
      </c>
      <c r="C7" s="14" t="inlineStr">
        <is>
          <t>Site ladder — as published</t>
        </is>
      </c>
      <c r="D7" s="15" t="n"/>
      <c r="E7" s="15" t="n"/>
      <c r="F7" s="16" t="n"/>
      <c r="G7" s="17" t="n"/>
      <c r="H7" s="17" t="n"/>
      <c r="I7" s="16" t="n"/>
      <c r="J7" s="16" t="n"/>
      <c r="K7" s="17" t="n"/>
      <c r="L7" s="17" t="n"/>
      <c r="M7" s="13" t="inlineStr"/>
      <c r="N7" s="15" t="n"/>
      <c r="O7" s="18" t="inlineStr">
        <is>
          <t>published</t>
        </is>
      </c>
    </row>
    <row r="8">
      <c r="A8" s="13" t="inlineStr">
        <is>
          <t>1o · Ancestral Bulwark</t>
        </is>
      </c>
      <c r="B8" s="13" t="inlineStr">
        <is>
          <t>Max</t>
        </is>
      </c>
      <c r="C8" s="14" t="inlineStr">
        <is>
          <t>Site ladder — as published</t>
        </is>
      </c>
      <c r="D8" s="15" t="n"/>
      <c r="E8" s="15" t="n"/>
      <c r="F8" s="16" t="n"/>
      <c r="G8" s="17" t="n"/>
      <c r="H8" s="17" t="n"/>
      <c r="I8" s="16" t="n"/>
      <c r="J8" s="16" t="n"/>
      <c r="K8" s="17" t="n"/>
      <c r="L8" s="17" t="n"/>
      <c r="M8" s="13" t="inlineStr"/>
      <c r="N8" s="15" t="n"/>
      <c r="O8" s="18" t="inlineStr">
        <is>
          <t>published</t>
        </is>
      </c>
    </row>
    <row r="9">
      <c r="A9" s="13" t="inlineStr">
        <is>
          <t>1o · Ancestral Bulwark</t>
        </is>
      </c>
      <c r="B9" s="13" t="inlineStr">
        <is>
          <t>Tuned-2</t>
        </is>
      </c>
      <c r="C9" s="19" t="inlineStr">
        <is>
          <t>Simulation-improved (Monte Carlo)</t>
        </is>
      </c>
      <c r="D9" s="15" t="n">
        <v>20000</v>
      </c>
      <c r="E9" s="15" t="n">
        <v>5000</v>
      </c>
      <c r="F9" s="16" t="n">
        <v>80.3</v>
      </c>
      <c r="G9" s="17" t="n">
        <v>0.4322</v>
      </c>
      <c r="H9" s="17" t="n"/>
      <c r="I9" s="16" t="n">
        <v>11.85562239703841</v>
      </c>
      <c r="J9" s="16" t="n">
        <v>5.137118261938922</v>
      </c>
      <c r="K9" s="17" t="n">
        <v>0.0552</v>
      </c>
      <c r="L9" s="17" t="n">
        <v>0.3683200000000014</v>
      </c>
      <c r="M9" s="13" t="inlineStr">
        <is>
          <t>confirmed</t>
        </is>
      </c>
      <c r="N9" s="15" t="n">
        <v>5</v>
      </c>
      <c r="O9" s="18" t="inlineStr">
        <is>
          <t>simulation-improved (v1 engine)</t>
        </is>
      </c>
    </row>
    <row r="10">
      <c r="A10" s="13" t="inlineStr">
        <is>
          <t>1o · Ancestral Bulwark</t>
        </is>
      </c>
      <c r="B10" s="13" t="inlineStr">
        <is>
          <t>Enhance-2</t>
        </is>
      </c>
      <c r="C10" s="19" t="inlineStr">
        <is>
          <t>Simulation-improved (Monte Carlo)</t>
        </is>
      </c>
      <c r="D10" s="15" t="n">
        <v>13000</v>
      </c>
      <c r="E10" s="15" t="n">
        <v>5000</v>
      </c>
      <c r="F10" s="16" t="n">
        <v>77.90000000000001</v>
      </c>
      <c r="G10" s="17" t="n">
        <v>0.448</v>
      </c>
      <c r="H10" s="17" t="n"/>
      <c r="I10" s="16" t="n">
        <v>11.79151785714286</v>
      </c>
      <c r="J10" s="16" t="n">
        <v>5.220664054444216</v>
      </c>
      <c r="K10" s="17" t="n">
        <v>0.0572</v>
      </c>
      <c r="L10" s="17" t="n">
        <v>0.2274400000000004</v>
      </c>
      <c r="M10" s="13" t="inlineStr">
        <is>
          <t>no-change</t>
        </is>
      </c>
      <c r="N10" s="15" t="n">
        <v>0</v>
      </c>
      <c r="O10" s="18" t="inlineStr">
        <is>
          <t>simulation-improved, then independently re-verified as an assembled list</t>
        </is>
      </c>
    </row>
    <row r="11">
      <c r="A11" s="13" t="inlineStr">
        <is>
          <t>1o · Ancestral Bulwark</t>
        </is>
      </c>
      <c r="B11" s="13" t="inlineStr">
        <is>
          <t>Max-2</t>
        </is>
      </c>
      <c r="C11" s="19" t="inlineStr">
        <is>
          <t>Simulation-improved (Monte Carlo)</t>
        </is>
      </c>
      <c r="D11" s="15" t="n">
        <v>16000</v>
      </c>
      <c r="E11" s="15" t="n">
        <v>5000</v>
      </c>
      <c r="F11" s="16" t="n">
        <v>77.7</v>
      </c>
      <c r="G11" s="17" t="n">
        <v>0.4466</v>
      </c>
      <c r="H11" s="17" t="n"/>
      <c r="I11" s="16" t="n">
        <v>11.83430362740708</v>
      </c>
      <c r="J11" s="16" t="n">
        <v>5.22917958255838</v>
      </c>
      <c r="K11" s="17" t="n">
        <v>0.0594</v>
      </c>
      <c r="L11" s="17" t="n">
        <v>0.2456400000000007</v>
      </c>
      <c r="M11" s="13" t="inlineStr">
        <is>
          <t>within-noise</t>
        </is>
      </c>
      <c r="N11" s="15" t="n">
        <v>2</v>
      </c>
      <c r="O11" s="18" t="inlineStr">
        <is>
          <t>simulation-improved, then independently re-verified as an assembled list</t>
        </is>
      </c>
    </row>
    <row r="12">
      <c r="A12" s="13" t="inlineStr">
        <is>
          <t>1o · Ancestral Bulwark</t>
        </is>
      </c>
      <c r="B12" s="13" t="inlineStr">
        <is>
          <t>Fun Tuned</t>
        </is>
      </c>
      <c r="C12" s="20" t="inlineStr">
        <is>
          <t>Fun-weighted engine v2.1</t>
        </is>
      </c>
      <c r="D12" s="15" t="n">
        <v>20000</v>
      </c>
      <c r="E12" s="15" t="n">
        <v>5000</v>
      </c>
      <c r="F12" s="16" t="n">
        <v>85.8</v>
      </c>
      <c r="G12" s="17" t="n">
        <v>0.4728</v>
      </c>
      <c r="H12" s="17" t="n">
        <v>0.9994000000000001</v>
      </c>
      <c r="I12" s="16" t="n">
        <v>11.30456852791878</v>
      </c>
      <c r="J12" s="16" t="n">
        <v>4.886234817813765</v>
      </c>
      <c r="K12" s="17" t="n">
        <v>0.0508</v>
      </c>
      <c r="L12" s="17" t="n">
        <v>0.4146000000000001</v>
      </c>
      <c r="M12" s="13" t="inlineStr">
        <is>
          <t>confirmed</t>
        </is>
      </c>
      <c r="N12" s="15" t="n">
        <v>4</v>
      </c>
      <c r="O12" s="18" t="inlineStr">
        <is>
          <t>fun-weighted engine v2.1 (9 opponent archetypes, fun blended into scoring, combat fixes)</t>
        </is>
      </c>
    </row>
    <row r="13">
      <c r="A13" s="13" t="inlineStr">
        <is>
          <t>1o · Ancestral Bulwark</t>
        </is>
      </c>
      <c r="B13" s="13" t="inlineStr">
        <is>
          <t>Fun Max</t>
        </is>
      </c>
      <c r="C13" s="20" t="inlineStr">
        <is>
          <t>Fun-weighted engine v2.1</t>
        </is>
      </c>
      <c r="D13" s="15" t="n">
        <v>22000</v>
      </c>
      <c r="E13" s="15" t="n">
        <v>5000</v>
      </c>
      <c r="F13" s="16" t="n">
        <v>83.3</v>
      </c>
      <c r="G13" s="17" t="n">
        <v>0.4774</v>
      </c>
      <c r="H13" s="17" t="n">
        <v>0.9964</v>
      </c>
      <c r="I13" s="16" t="n">
        <v>11.41055718475073</v>
      </c>
      <c r="J13" s="16" t="n">
        <v>5.271063033076763</v>
      </c>
      <c r="K13" s="17" t="n">
        <v>0.1042</v>
      </c>
      <c r="L13" s="17" t="n">
        <v>0.4354400000000007</v>
      </c>
      <c r="M13" s="13" t="inlineStr">
        <is>
          <t>confirmed</t>
        </is>
      </c>
      <c r="N13" s="15" t="n">
        <v>10</v>
      </c>
      <c r="O13" s="18" t="inlineStr">
        <is>
          <t>fun-weighted engine v2.1 (9 opponent archetypes, fun blended into scoring, combat fixes)</t>
        </is>
      </c>
    </row>
    <row r="14">
      <c r="A14" s="13" t="inlineStr">
        <is>
          <t>1o · Ancestral Bulwark</t>
        </is>
      </c>
      <c r="B14" s="13" t="inlineStr">
        <is>
          <t>Alt Tuned</t>
        </is>
      </c>
      <c r="C14" s="21" t="inlineStr">
        <is>
          <t>Alternative commander</t>
        </is>
      </c>
      <c r="D14" s="15" t="n">
        <v>20000</v>
      </c>
      <c r="E14" s="15" t="n">
        <v>5000</v>
      </c>
      <c r="F14" s="16" t="n">
        <v>86.3</v>
      </c>
      <c r="G14" s="17" t="n">
        <v>0.4852</v>
      </c>
      <c r="H14" s="17" t="n">
        <v>0.9989999999999999</v>
      </c>
      <c r="I14" s="16" t="n">
        <v>11.27906018136851</v>
      </c>
      <c r="J14" s="16" t="n">
        <v>5.609741060419235</v>
      </c>
      <c r="K14" s="17" t="n">
        <v>0.0508</v>
      </c>
      <c r="L14" s="17" t="n">
        <v>0.4015200000000012</v>
      </c>
      <c r="M14" s="13" t="inlineStr">
        <is>
          <t>confirmed</t>
        </is>
      </c>
      <c r="N14" s="15" t="n">
        <v>4</v>
      </c>
      <c r="O14" s="18" t="inlineStr">
        <is>
          <t>alternative commander (Teneb, the Harvester) on the same 99, v2.1 engine</t>
        </is>
      </c>
    </row>
    <row r="15">
      <c r="A15" s="13" t="inlineStr">
        <is>
          <t>1o · Ancestral Bulwark</t>
        </is>
      </c>
      <c r="B15" s="13" t="inlineStr">
        <is>
          <t>Alt Max</t>
        </is>
      </c>
      <c r="C15" s="21" t="inlineStr">
        <is>
          <t>Alternative commander</t>
        </is>
      </c>
      <c r="D15" s="15" t="n">
        <v>24000</v>
      </c>
      <c r="E15" s="15" t="n">
        <v>5000</v>
      </c>
      <c r="F15" s="16" t="n">
        <v>84.59999999999999</v>
      </c>
      <c r="G15" s="17" t="n">
        <v>0.4746</v>
      </c>
      <c r="H15" s="17" t="n">
        <v>0.996</v>
      </c>
      <c r="I15" s="16" t="n">
        <v>11.34007585335019</v>
      </c>
      <c r="J15" s="16" t="n">
        <v>5.998924268502582</v>
      </c>
      <c r="K15" s="17" t="n">
        <v>0.0844</v>
      </c>
      <c r="L15" s="17" t="n">
        <v>0.4153200000000024</v>
      </c>
      <c r="M15" s="13" t="inlineStr">
        <is>
          <t>confirmed</t>
        </is>
      </c>
      <c r="N15" s="15" t="n">
        <v>15</v>
      </c>
      <c r="O15" s="18" t="inlineStr">
        <is>
          <t>alternative commander (Teneb, the Harvester) on the same 99, v2.1 engine</t>
        </is>
      </c>
    </row>
    <row r="17">
      <c r="A17" s="13" t="inlineStr">
        <is>
          <t>2c · Proliferate Council</t>
        </is>
      </c>
      <c r="B17" s="13" t="inlineStr">
        <is>
          <t>Base</t>
        </is>
      </c>
      <c r="C17" s="14" t="inlineStr">
        <is>
          <t>Site ladder — as published</t>
        </is>
      </c>
      <c r="D17" s="15" t="n"/>
      <c r="E17" s="15" t="n"/>
      <c r="F17" s="16" t="n"/>
      <c r="G17" s="17" t="n"/>
      <c r="H17" s="17" t="n"/>
      <c r="I17" s="16" t="n"/>
      <c r="J17" s="16" t="n"/>
      <c r="K17" s="17" t="n"/>
      <c r="L17" s="17" t="n"/>
      <c r="M17" s="13" t="inlineStr"/>
      <c r="N17" s="15" t="n"/>
      <c r="O17" s="18" t="inlineStr">
        <is>
          <t>published</t>
        </is>
      </c>
    </row>
    <row r="18">
      <c r="A18" s="13" t="inlineStr">
        <is>
          <t>2c · Proliferate Council</t>
        </is>
      </c>
      <c r="B18" s="13" t="inlineStr">
        <is>
          <t>Tuned</t>
        </is>
      </c>
      <c r="C18" s="14" t="inlineStr">
        <is>
          <t>Site ladder — as published</t>
        </is>
      </c>
      <c r="D18" s="15" t="n">
        <v>22000</v>
      </c>
      <c r="E18" s="15" t="n">
        <v>5000</v>
      </c>
      <c r="F18" s="16" t="n">
        <v>86.09999999999999</v>
      </c>
      <c r="G18" s="17" t="n">
        <v>0.505</v>
      </c>
      <c r="H18" s="17" t="n"/>
      <c r="I18" s="16" t="n">
        <v>11.4150495049505</v>
      </c>
      <c r="J18" s="16" t="n">
        <v>4.792196776929601</v>
      </c>
      <c r="K18" s="17" t="n">
        <v>0.06320000000000001</v>
      </c>
      <c r="L18" s="17" t="n">
        <v>0.3773600000000012</v>
      </c>
      <c r="M18" s="13" t="inlineStr">
        <is>
          <t>confirmed</t>
        </is>
      </c>
      <c r="N18" s="15" t="n">
        <v>10</v>
      </c>
      <c r="O18" s="18" t="inlineStr">
        <is>
          <t>published + simulated (v1 engine)</t>
        </is>
      </c>
    </row>
    <row r="19">
      <c r="A19" s="13" t="inlineStr">
        <is>
          <t>2c · Proliferate Council</t>
        </is>
      </c>
      <c r="B19" s="13" t="inlineStr">
        <is>
          <t>Enhance</t>
        </is>
      </c>
      <c r="C19" s="14" t="inlineStr">
        <is>
          <t>Site ladder — as published</t>
        </is>
      </c>
      <c r="D19" s="15" t="n"/>
      <c r="E19" s="15" t="n"/>
      <c r="F19" s="16" t="n"/>
      <c r="G19" s="17" t="n"/>
      <c r="H19" s="17" t="n"/>
      <c r="I19" s="16" t="n"/>
      <c r="J19" s="16" t="n"/>
      <c r="K19" s="17" t="n"/>
      <c r="L19" s="17" t="n"/>
      <c r="M19" s="13" t="inlineStr"/>
      <c r="N19" s="15" t="n"/>
      <c r="O19" s="18" t="inlineStr">
        <is>
          <t>published</t>
        </is>
      </c>
    </row>
    <row r="20">
      <c r="A20" s="13" t="inlineStr">
        <is>
          <t>2c · Proliferate Council</t>
        </is>
      </c>
      <c r="B20" s="13" t="inlineStr">
        <is>
          <t>Max</t>
        </is>
      </c>
      <c r="C20" s="14" t="inlineStr">
        <is>
          <t>Site ladder — as published</t>
        </is>
      </c>
      <c r="D20" s="15" t="n"/>
      <c r="E20" s="15" t="n"/>
      <c r="F20" s="16" t="n"/>
      <c r="G20" s="17" t="n"/>
      <c r="H20" s="17" t="n"/>
      <c r="I20" s="16" t="n"/>
      <c r="J20" s="16" t="n"/>
      <c r="K20" s="17" t="n"/>
      <c r="L20" s="17" t="n"/>
      <c r="M20" s="13" t="inlineStr"/>
      <c r="N20" s="15" t="n"/>
      <c r="O20" s="18" t="inlineStr">
        <is>
          <t>published</t>
        </is>
      </c>
    </row>
    <row r="21">
      <c r="A21" s="13" t="inlineStr">
        <is>
          <t>2c · Proliferate Council</t>
        </is>
      </c>
      <c r="B21" s="13" t="inlineStr">
        <is>
          <t>Tuned-2</t>
        </is>
      </c>
      <c r="C21" s="19" t="inlineStr">
        <is>
          <t>Simulation-improved (Monte Carlo)</t>
        </is>
      </c>
      <c r="D21" s="15" t="n">
        <v>22000</v>
      </c>
      <c r="E21" s="15" t="n">
        <v>5000</v>
      </c>
      <c r="F21" s="16" t="n">
        <v>86.09999999999999</v>
      </c>
      <c r="G21" s="17" t="n">
        <v>0.505</v>
      </c>
      <c r="H21" s="17" t="n"/>
      <c r="I21" s="16" t="n">
        <v>11.4150495049505</v>
      </c>
      <c r="J21" s="16" t="n">
        <v>4.792196776929601</v>
      </c>
      <c r="K21" s="17" t="n">
        <v>0.06320000000000001</v>
      </c>
      <c r="L21" s="17" t="n">
        <v>0.3773600000000012</v>
      </c>
      <c r="M21" s="13" t="inlineStr">
        <is>
          <t>confirmed</t>
        </is>
      </c>
      <c r="N21" s="15" t="n">
        <v>10</v>
      </c>
      <c r="O21" s="18" t="inlineStr">
        <is>
          <t>simulation-improved (v1 engine)</t>
        </is>
      </c>
    </row>
    <row r="22">
      <c r="A22" s="13" t="inlineStr">
        <is>
          <t>2c · Proliferate Council</t>
        </is>
      </c>
      <c r="B22" s="13" t="inlineStr">
        <is>
          <t>Enhance-2</t>
        </is>
      </c>
      <c r="C22" s="19" t="inlineStr">
        <is>
          <t>Simulation-improved (Monte Carlo)</t>
        </is>
      </c>
      <c r="D22" s="15" t="n">
        <v>20000</v>
      </c>
      <c r="E22" s="15" t="n">
        <v>5000</v>
      </c>
      <c r="F22" s="16" t="n">
        <v>84.59999999999999</v>
      </c>
      <c r="G22" s="17" t="n">
        <v>0.4816</v>
      </c>
      <c r="H22" s="17" t="n"/>
      <c r="I22" s="16" t="n">
        <v>11.43646179401993</v>
      </c>
      <c r="J22" s="16" t="n">
        <v>4.797631862217438</v>
      </c>
      <c r="K22" s="17" t="n">
        <v>0.0638</v>
      </c>
      <c r="L22" s="17" t="n">
        <v>0.3850400000000017</v>
      </c>
      <c r="M22" s="13" t="inlineStr">
        <is>
          <t>within-noise</t>
        </is>
      </c>
      <c r="N22" s="15" t="n">
        <v>5</v>
      </c>
      <c r="O22" s="18" t="inlineStr">
        <is>
          <t>simulation-improved, then independently re-verified as an assembled list</t>
        </is>
      </c>
    </row>
    <row r="23">
      <c r="A23" s="13" t="inlineStr">
        <is>
          <t>2c · Proliferate Council</t>
        </is>
      </c>
      <c r="B23" s="13" t="inlineStr">
        <is>
          <t>Max-2</t>
        </is>
      </c>
      <c r="C23" s="19" t="inlineStr">
        <is>
          <t>Simulation-improved (Monte Carlo)</t>
        </is>
      </c>
      <c r="D23" s="15" t="n">
        <v>20000</v>
      </c>
      <c r="E23" s="15" t="n">
        <v>5000</v>
      </c>
      <c r="F23" s="16" t="n">
        <v>84.59999999999999</v>
      </c>
      <c r="G23" s="17" t="n">
        <v>0.4816</v>
      </c>
      <c r="H23" s="17" t="n"/>
      <c r="I23" s="16" t="n">
        <v>11.43646179401993</v>
      </c>
      <c r="J23" s="16" t="n">
        <v>4.797631862217438</v>
      </c>
      <c r="K23" s="17" t="n">
        <v>0.0638</v>
      </c>
      <c r="L23" s="17" t="n">
        <v>0.3850400000000017</v>
      </c>
      <c r="M23" s="13" t="inlineStr">
        <is>
          <t>within-noise</t>
        </is>
      </c>
      <c r="N23" s="15" t="n">
        <v>5</v>
      </c>
      <c r="O23" s="18" t="inlineStr">
        <is>
          <t>simulation-improved, then independently re-verified as an assembled list</t>
        </is>
      </c>
    </row>
    <row r="24">
      <c r="A24" s="13" t="inlineStr">
        <is>
          <t>2c · Proliferate Council</t>
        </is>
      </c>
      <c r="B24" s="13" t="inlineStr">
        <is>
          <t>Fun Tuned</t>
        </is>
      </c>
      <c r="C24" s="20" t="inlineStr">
        <is>
          <t>Fun-weighted engine v2.1</t>
        </is>
      </c>
      <c r="D24" s="15" t="n">
        <v>20000</v>
      </c>
      <c r="E24" s="15" t="n">
        <v>5000</v>
      </c>
      <c r="F24" s="16" t="n">
        <v>75.3</v>
      </c>
      <c r="G24" s="17" t="n">
        <v>0.2934</v>
      </c>
      <c r="H24" s="17" t="n">
        <v>0.9990999999999999</v>
      </c>
      <c r="I24" s="16" t="n">
        <v>12.09815950920245</v>
      </c>
      <c r="J24" s="16" t="n">
        <v>4.406837952660328</v>
      </c>
      <c r="K24" s="17" t="n">
        <v>0.0436</v>
      </c>
      <c r="L24" s="17" t="n">
        <v>0.5392000000000001</v>
      </c>
      <c r="M24" s="13" t="inlineStr">
        <is>
          <t>confirmed</t>
        </is>
      </c>
      <c r="N24" s="15" t="n">
        <v>5</v>
      </c>
      <c r="O24" s="18" t="inlineStr">
        <is>
          <t>fun-weighted engine v2.1 (9 opponent archetypes, fun blended into scoring, combat fixes)</t>
        </is>
      </c>
    </row>
    <row r="25">
      <c r="A25" s="13" t="inlineStr">
        <is>
          <t>2c · Proliferate Council</t>
        </is>
      </c>
      <c r="B25" s="13" t="inlineStr">
        <is>
          <t>Fun Max</t>
        </is>
      </c>
      <c r="C25" s="20" t="inlineStr">
        <is>
          <t>Fun-weighted engine v2.1</t>
        </is>
      </c>
      <c r="D25" s="15" t="n">
        <v>20000</v>
      </c>
      <c r="E25" s="15" t="n">
        <v>5000</v>
      </c>
      <c r="F25" s="16" t="n">
        <v>75.2</v>
      </c>
      <c r="G25" s="17" t="n">
        <v>0.3006</v>
      </c>
      <c r="H25" s="17" t="n">
        <v>0.9985999999999999</v>
      </c>
      <c r="I25" s="16" t="n">
        <v>12.22022621423819</v>
      </c>
      <c r="J25" s="16" t="n">
        <v>4.307116862110797</v>
      </c>
      <c r="K25" s="17" t="n">
        <v>0.058</v>
      </c>
      <c r="L25" s="17" t="n">
        <v>0.5625599999999997</v>
      </c>
      <c r="M25" s="13" t="inlineStr">
        <is>
          <t>confirmed</t>
        </is>
      </c>
      <c r="N25" s="15" t="n">
        <v>5</v>
      </c>
      <c r="O25" s="18" t="inlineStr">
        <is>
          <t>fun-weighted engine v2.1 (9 opponent archetypes, fun blended into scoring, combat fixes)</t>
        </is>
      </c>
    </row>
    <row r="27">
      <c r="A27" s="13" t="inlineStr">
        <is>
          <t>3e · Golgari Land Engine</t>
        </is>
      </c>
      <c r="B27" s="13" t="inlineStr">
        <is>
          <t>Base</t>
        </is>
      </c>
      <c r="C27" s="14" t="inlineStr">
        <is>
          <t>Site ladder — as published</t>
        </is>
      </c>
      <c r="D27" s="15" t="n"/>
      <c r="E27" s="15" t="n"/>
      <c r="F27" s="16" t="n"/>
      <c r="G27" s="17" t="n"/>
      <c r="H27" s="17" t="n"/>
      <c r="I27" s="16" t="n"/>
      <c r="J27" s="16" t="n"/>
      <c r="K27" s="17" t="n"/>
      <c r="L27" s="17" t="n"/>
      <c r="M27" s="13" t="inlineStr"/>
      <c r="N27" s="15" t="n"/>
      <c r="O27" s="18" t="inlineStr">
        <is>
          <t>published</t>
        </is>
      </c>
    </row>
    <row r="28">
      <c r="A28" s="13" t="inlineStr">
        <is>
          <t>3e · Golgari Land Engine</t>
        </is>
      </c>
      <c r="B28" s="13" t="inlineStr">
        <is>
          <t>Tuned</t>
        </is>
      </c>
      <c r="C28" s="14" t="inlineStr">
        <is>
          <t>Site ladder — as published</t>
        </is>
      </c>
      <c r="D28" s="15" t="n">
        <v>24000</v>
      </c>
      <c r="E28" s="15" t="n">
        <v>5000</v>
      </c>
      <c r="F28" s="16" t="n">
        <v>80.2</v>
      </c>
      <c r="G28" s="17" t="n">
        <v>0.4342</v>
      </c>
      <c r="H28" s="17" t="n"/>
      <c r="I28" s="16" t="n">
        <v>12.06218332565638</v>
      </c>
      <c r="J28" s="16" t="n">
        <v>4.732562854825629</v>
      </c>
      <c r="K28" s="17" t="n">
        <v>0.051</v>
      </c>
      <c r="L28" s="17" t="n">
        <v>0.3517999999999998</v>
      </c>
      <c r="M28" s="13" t="inlineStr">
        <is>
          <t>confirmed</t>
        </is>
      </c>
      <c r="N28" s="15" t="n">
        <v>13</v>
      </c>
      <c r="O28" s="18" t="inlineStr">
        <is>
          <t>published + simulated (v1 engine)</t>
        </is>
      </c>
    </row>
    <row r="29">
      <c r="A29" s="13" t="inlineStr">
        <is>
          <t>3e · Golgari Land Engine</t>
        </is>
      </c>
      <c r="B29" s="13" t="inlineStr">
        <is>
          <t>Enhance</t>
        </is>
      </c>
      <c r="C29" s="14" t="inlineStr">
        <is>
          <t>Site ladder — as published</t>
        </is>
      </c>
      <c r="D29" s="15" t="n"/>
      <c r="E29" s="15" t="n"/>
      <c r="F29" s="16" t="n"/>
      <c r="G29" s="17" t="n"/>
      <c r="H29" s="17" t="n"/>
      <c r="I29" s="16" t="n"/>
      <c r="J29" s="16" t="n"/>
      <c r="K29" s="17" t="n"/>
      <c r="L29" s="17" t="n"/>
      <c r="M29" s="13" t="inlineStr"/>
      <c r="N29" s="15" t="n"/>
      <c r="O29" s="18" t="inlineStr">
        <is>
          <t>published</t>
        </is>
      </c>
    </row>
    <row r="30">
      <c r="A30" s="13" t="inlineStr">
        <is>
          <t>3e · Golgari Land Engine</t>
        </is>
      </c>
      <c r="B30" s="13" t="inlineStr">
        <is>
          <t>Max</t>
        </is>
      </c>
      <c r="C30" s="14" t="inlineStr">
        <is>
          <t>Site ladder — as published</t>
        </is>
      </c>
      <c r="D30" s="15" t="n"/>
      <c r="E30" s="15" t="n"/>
      <c r="F30" s="16" t="n"/>
      <c r="G30" s="17" t="n"/>
      <c r="H30" s="17" t="n"/>
      <c r="I30" s="16" t="n"/>
      <c r="J30" s="16" t="n"/>
      <c r="K30" s="17" t="n"/>
      <c r="L30" s="17" t="n"/>
      <c r="M30" s="13" t="inlineStr"/>
      <c r="N30" s="15" t="n"/>
      <c r="O30" s="18" t="inlineStr">
        <is>
          <t>published</t>
        </is>
      </c>
    </row>
    <row r="31">
      <c r="A31" s="13" t="inlineStr">
        <is>
          <t>3e · Golgari Land Engine</t>
        </is>
      </c>
      <c r="B31" s="13" t="inlineStr">
        <is>
          <t>Tuned-2</t>
        </is>
      </c>
      <c r="C31" s="19" t="inlineStr">
        <is>
          <t>Simulation-improved (Monte Carlo)</t>
        </is>
      </c>
      <c r="D31" s="15" t="n">
        <v>24000</v>
      </c>
      <c r="E31" s="15" t="n">
        <v>5000</v>
      </c>
      <c r="F31" s="16" t="n">
        <v>80.2</v>
      </c>
      <c r="G31" s="17" t="n">
        <v>0.4342</v>
      </c>
      <c r="H31" s="17" t="n"/>
      <c r="I31" s="16" t="n">
        <v>12.06218332565638</v>
      </c>
      <c r="J31" s="16" t="n">
        <v>4.732562854825629</v>
      </c>
      <c r="K31" s="17" t="n">
        <v>0.051</v>
      </c>
      <c r="L31" s="17" t="n">
        <v>0.3517999999999998</v>
      </c>
      <c r="M31" s="13" t="inlineStr">
        <is>
          <t>confirmed</t>
        </is>
      </c>
      <c r="N31" s="15" t="n">
        <v>13</v>
      </c>
      <c r="O31" s="18" t="inlineStr">
        <is>
          <t>simulation-improved (v1 engine)</t>
        </is>
      </c>
    </row>
    <row r="32">
      <c r="A32" s="13" t="inlineStr">
        <is>
          <t>3e · Golgari Land Engine</t>
        </is>
      </c>
      <c r="B32" s="13" t="inlineStr">
        <is>
          <t>Enhance-2</t>
        </is>
      </c>
      <c r="C32" s="19" t="inlineStr">
        <is>
          <t>Simulation-improved (Monte Carlo)</t>
        </is>
      </c>
      <c r="D32" s="15" t="n">
        <v>7000</v>
      </c>
      <c r="E32" s="15" t="n">
        <v>5000</v>
      </c>
      <c r="F32" s="16" t="n">
        <v>70.59999999999999</v>
      </c>
      <c r="G32" s="17" t="n">
        <v>0.3996</v>
      </c>
      <c r="H32" s="17" t="n"/>
      <c r="I32" s="16" t="n">
        <v>12.02902902902903</v>
      </c>
      <c r="J32" s="16" t="n">
        <v>4.715130505709625</v>
      </c>
      <c r="K32" s="17" t="n">
        <v>0.054</v>
      </c>
      <c r="L32" s="17" t="n">
        <v>0.1045199999999998</v>
      </c>
      <c r="M32" s="13" t="inlineStr">
        <is>
          <t>no-change</t>
        </is>
      </c>
      <c r="N32" s="15" t="n">
        <v>0</v>
      </c>
      <c r="O32" s="18" t="inlineStr">
        <is>
          <t>simulation-improved, then independently re-verified as an assembled list</t>
        </is>
      </c>
    </row>
    <row r="33">
      <c r="A33" s="13" t="inlineStr">
        <is>
          <t>3e · Golgari Land Engine</t>
        </is>
      </c>
      <c r="B33" s="13" t="inlineStr">
        <is>
          <t>Max-2</t>
        </is>
      </c>
      <c r="C33" s="19" t="inlineStr">
        <is>
          <t>Simulation-improved (Monte Carlo)</t>
        </is>
      </c>
      <c r="D33" s="15" t="n">
        <v>7000</v>
      </c>
      <c r="E33" s="15" t="n">
        <v>5000</v>
      </c>
      <c r="F33" s="16" t="n">
        <v>70.59999999999999</v>
      </c>
      <c r="G33" s="17" t="n">
        <v>0.3996</v>
      </c>
      <c r="H33" s="17" t="n"/>
      <c r="I33" s="16" t="n">
        <v>12.02902902902903</v>
      </c>
      <c r="J33" s="16" t="n">
        <v>4.715130505709625</v>
      </c>
      <c r="K33" s="17" t="n">
        <v>0.054</v>
      </c>
      <c r="L33" s="17" t="n">
        <v>0.1045199999999998</v>
      </c>
      <c r="M33" s="13" t="inlineStr">
        <is>
          <t>no-change</t>
        </is>
      </c>
      <c r="N33" s="15" t="n">
        <v>0</v>
      </c>
      <c r="O33" s="18" t="inlineStr">
        <is>
          <t>simulation-improved, then independently re-verified as an assembled list</t>
        </is>
      </c>
    </row>
    <row r="34">
      <c r="A34" s="13" t="inlineStr">
        <is>
          <t>3e · Golgari Land Engine</t>
        </is>
      </c>
      <c r="B34" s="13" t="inlineStr">
        <is>
          <t>Fun Tuned</t>
        </is>
      </c>
      <c r="C34" s="20" t="inlineStr">
        <is>
          <t>Fun-weighted engine v2.1</t>
        </is>
      </c>
      <c r="D34" s="15" t="n">
        <v>22000</v>
      </c>
      <c r="E34" s="15" t="n">
        <v>5000</v>
      </c>
      <c r="F34" s="16" t="n">
        <v>74</v>
      </c>
      <c r="G34" s="17" t="n">
        <v>0.2766</v>
      </c>
      <c r="H34" s="17" t="n">
        <v>0.9988999999999999</v>
      </c>
      <c r="I34" s="16" t="n">
        <v>12.23788864786696</v>
      </c>
      <c r="J34" s="16" t="n">
        <v>4.607732581554571</v>
      </c>
      <c r="K34" s="17" t="n">
        <v>0.0382</v>
      </c>
      <c r="L34" s="17" t="n">
        <v>0.3972399999999993</v>
      </c>
      <c r="M34" s="13" t="inlineStr">
        <is>
          <t>confirmed</t>
        </is>
      </c>
      <c r="N34" s="15" t="n">
        <v>10</v>
      </c>
      <c r="O34" s="18" t="inlineStr">
        <is>
          <t>fun-weighted engine v2.1 (9 opponent archetypes, fun blended into scoring, combat fixes)</t>
        </is>
      </c>
    </row>
    <row r="35">
      <c r="A35" s="13" t="inlineStr">
        <is>
          <t>3e · Golgari Land Engine</t>
        </is>
      </c>
      <c r="B35" s="13" t="inlineStr">
        <is>
          <t>Fun Max</t>
        </is>
      </c>
      <c r="C35" s="20" t="inlineStr">
        <is>
          <t>Fun-weighted engine v2.1</t>
        </is>
      </c>
      <c r="D35" s="15" t="n">
        <v>22000</v>
      </c>
      <c r="E35" s="15" t="n">
        <v>5000</v>
      </c>
      <c r="F35" s="16" t="n">
        <v>72.2</v>
      </c>
      <c r="G35" s="17" t="n">
        <v>0.2668</v>
      </c>
      <c r="H35" s="17" t="n">
        <v>0.9989999999999999</v>
      </c>
      <c r="I35" s="16" t="n">
        <v>12.1791604197901</v>
      </c>
      <c r="J35" s="16" t="n">
        <v>4.43414437965011</v>
      </c>
      <c r="K35" s="17" t="n">
        <v>0.029</v>
      </c>
      <c r="L35" s="17" t="n">
        <v>0.3557200000000006</v>
      </c>
      <c r="M35" s="13" t="inlineStr">
        <is>
          <t>within-noise</t>
        </is>
      </c>
      <c r="N35" s="15" t="n">
        <v>10</v>
      </c>
      <c r="O35" s="18" t="inlineStr">
        <is>
          <t>fun-weighted engine v2.1 (9 opponent archetypes, fun blended into scoring, combat fixes)</t>
        </is>
      </c>
    </row>
    <row r="36">
      <c r="A36" s="13" t="inlineStr">
        <is>
          <t>3e · Golgari Land Engine</t>
        </is>
      </c>
      <c r="B36" s="13" t="inlineStr">
        <is>
          <t>Alt Tuned</t>
        </is>
      </c>
      <c r="C36" s="21" t="inlineStr">
        <is>
          <t>Alternative commander</t>
        </is>
      </c>
      <c r="D36" s="15" t="n">
        <v>22000</v>
      </c>
      <c r="E36" s="15" t="n">
        <v>5000</v>
      </c>
      <c r="F36" s="16" t="n">
        <v>79.09999999999999</v>
      </c>
      <c r="G36" s="17" t="n">
        <v>0.346</v>
      </c>
      <c r="H36" s="17" t="n">
        <v>0.9994000000000001</v>
      </c>
      <c r="I36" s="16" t="n">
        <v>11.93236994219653</v>
      </c>
      <c r="J36" s="16" t="n">
        <v>4.043905372894947</v>
      </c>
      <c r="K36" s="17" t="n">
        <v>0.034</v>
      </c>
      <c r="L36" s="17" t="n">
        <v>0.4164000000000004</v>
      </c>
      <c r="M36" s="13" t="inlineStr">
        <is>
          <t>confirmed</t>
        </is>
      </c>
      <c r="N36" s="15" t="n">
        <v>10</v>
      </c>
      <c r="O36" s="18" t="inlineStr">
        <is>
          <t>alternative commander (Hazel of the Rootbloom) on the same 99, v2.1 engine</t>
        </is>
      </c>
    </row>
    <row r="37">
      <c r="A37" s="13" t="inlineStr">
        <is>
          <t>3e · Golgari Land Engine</t>
        </is>
      </c>
      <c r="B37" s="13" t="inlineStr">
        <is>
          <t>Alt Max</t>
        </is>
      </c>
      <c r="C37" s="21" t="inlineStr">
        <is>
          <t>Alternative commander</t>
        </is>
      </c>
      <c r="D37" s="15" t="n">
        <v>24000</v>
      </c>
      <c r="E37" s="15" t="n">
        <v>5000</v>
      </c>
      <c r="F37" s="16" t="n">
        <v>78.8</v>
      </c>
      <c r="G37" s="17" t="n">
        <v>0.351</v>
      </c>
      <c r="H37" s="17" t="n">
        <v>0.9990999999999999</v>
      </c>
      <c r="I37" s="16" t="n">
        <v>11.86438746438746</v>
      </c>
      <c r="J37" s="16" t="n">
        <v>3.985757271815446</v>
      </c>
      <c r="K37" s="17" t="n">
        <v>0.031</v>
      </c>
      <c r="L37" s="17" t="n">
        <v>0.4044800000000006</v>
      </c>
      <c r="M37" s="13" t="inlineStr">
        <is>
          <t>confirmed</t>
        </is>
      </c>
      <c r="N37" s="15" t="n">
        <v>12</v>
      </c>
      <c r="O37" s="18" t="inlineStr">
        <is>
          <t>alternative commander (Hazel of the Rootbloom) on the same 99, v2.1 engine</t>
        </is>
      </c>
    </row>
    <row r="39">
      <c r="A39" s="13" t="inlineStr">
        <is>
          <t>4c · Bant Walls</t>
        </is>
      </c>
      <c r="B39" s="13" t="inlineStr">
        <is>
          <t>Base</t>
        </is>
      </c>
      <c r="C39" s="14" t="inlineStr">
        <is>
          <t>Site ladder — as published</t>
        </is>
      </c>
      <c r="D39" s="15" t="n"/>
      <c r="E39" s="15" t="n"/>
      <c r="F39" s="16" t="n"/>
      <c r="G39" s="17" t="n"/>
      <c r="H39" s="17" t="n"/>
      <c r="I39" s="16" t="n"/>
      <c r="J39" s="16" t="n"/>
      <c r="K39" s="17" t="n"/>
      <c r="L39" s="17" t="n"/>
      <c r="M39" s="13" t="inlineStr"/>
      <c r="N39" s="15" t="n"/>
      <c r="O39" s="18" t="inlineStr">
        <is>
          <t>published</t>
        </is>
      </c>
    </row>
    <row r="40">
      <c r="A40" s="13" t="inlineStr">
        <is>
          <t>4c · Bant Walls</t>
        </is>
      </c>
      <c r="B40" s="13" t="inlineStr">
        <is>
          <t>Tuned</t>
        </is>
      </c>
      <c r="C40" s="14" t="inlineStr">
        <is>
          <t>Site ladder — as published</t>
        </is>
      </c>
      <c r="D40" s="15" t="n">
        <v>22000</v>
      </c>
      <c r="E40" s="15" t="n">
        <v>5000</v>
      </c>
      <c r="F40" s="16" t="n">
        <v>61.3</v>
      </c>
      <c r="G40" s="17" t="n">
        <v>0.2932</v>
      </c>
      <c r="H40" s="17" t="n"/>
      <c r="I40" s="16" t="n">
        <v>12.96657571623465</v>
      </c>
      <c r="J40" s="16" t="n">
        <v>4.89583782618072</v>
      </c>
      <c r="K40" s="17" t="n">
        <v>0.1072</v>
      </c>
      <c r="L40" s="17" t="n">
        <v>0.2632000000000004</v>
      </c>
      <c r="M40" s="13" t="inlineStr">
        <is>
          <t>confirmed</t>
        </is>
      </c>
      <c r="N40" s="15" t="n">
        <v>10</v>
      </c>
      <c r="O40" s="18" t="inlineStr">
        <is>
          <t>published + simulated (v1 engine)</t>
        </is>
      </c>
    </row>
    <row r="41">
      <c r="A41" s="13" t="inlineStr">
        <is>
          <t>4c · Bant Walls</t>
        </is>
      </c>
      <c r="B41" s="13" t="inlineStr">
        <is>
          <t>Enhance</t>
        </is>
      </c>
      <c r="C41" s="14" t="inlineStr">
        <is>
          <t>Site ladder — as published</t>
        </is>
      </c>
      <c r="D41" s="15" t="n"/>
      <c r="E41" s="15" t="n"/>
      <c r="F41" s="16" t="n"/>
      <c r="G41" s="17" t="n"/>
      <c r="H41" s="17" t="n"/>
      <c r="I41" s="16" t="n"/>
      <c r="J41" s="16" t="n"/>
      <c r="K41" s="17" t="n"/>
      <c r="L41" s="17" t="n"/>
      <c r="M41" s="13" t="inlineStr"/>
      <c r="N41" s="15" t="n"/>
      <c r="O41" s="18" t="inlineStr">
        <is>
          <t>published</t>
        </is>
      </c>
    </row>
    <row r="42">
      <c r="A42" s="13" t="inlineStr">
        <is>
          <t>4c · Bant Walls</t>
        </is>
      </c>
      <c r="B42" s="13" t="inlineStr">
        <is>
          <t>Max</t>
        </is>
      </c>
      <c r="C42" s="14" t="inlineStr">
        <is>
          <t>Site ladder — as published</t>
        </is>
      </c>
      <c r="D42" s="15" t="n"/>
      <c r="E42" s="15" t="n"/>
      <c r="F42" s="16" t="n"/>
      <c r="G42" s="17" t="n"/>
      <c r="H42" s="17" t="n"/>
      <c r="I42" s="16" t="n"/>
      <c r="J42" s="16" t="n"/>
      <c r="K42" s="17" t="n"/>
      <c r="L42" s="17" t="n"/>
      <c r="M42" s="13" t="inlineStr"/>
      <c r="N42" s="15" t="n"/>
      <c r="O42" s="18" t="inlineStr">
        <is>
          <t>published</t>
        </is>
      </c>
    </row>
    <row r="43">
      <c r="A43" s="13" t="inlineStr">
        <is>
          <t>4c · Bant Walls</t>
        </is>
      </c>
      <c r="B43" s="13" t="inlineStr">
        <is>
          <t>Tuned-2</t>
        </is>
      </c>
      <c r="C43" s="19" t="inlineStr">
        <is>
          <t>Simulation-improved (Monte Carlo)</t>
        </is>
      </c>
      <c r="D43" s="15" t="n">
        <v>22000</v>
      </c>
      <c r="E43" s="15" t="n">
        <v>5000</v>
      </c>
      <c r="F43" s="16" t="n">
        <v>61.3</v>
      </c>
      <c r="G43" s="17" t="n">
        <v>0.2932</v>
      </c>
      <c r="H43" s="17" t="n"/>
      <c r="I43" s="16" t="n">
        <v>12.96657571623465</v>
      </c>
      <c r="J43" s="16" t="n">
        <v>4.89583782618072</v>
      </c>
      <c r="K43" s="17" t="n">
        <v>0.1072</v>
      </c>
      <c r="L43" s="17" t="n">
        <v>0.2632000000000004</v>
      </c>
      <c r="M43" s="13" t="inlineStr">
        <is>
          <t>confirmed</t>
        </is>
      </c>
      <c r="N43" s="15" t="n">
        <v>10</v>
      </c>
      <c r="O43" s="18" t="inlineStr">
        <is>
          <t>simulation-improved (v1 engine)</t>
        </is>
      </c>
    </row>
    <row r="44">
      <c r="A44" s="13" t="inlineStr">
        <is>
          <t>4c · Bant Walls</t>
        </is>
      </c>
      <c r="B44" s="13" t="inlineStr">
        <is>
          <t>Enhance-2</t>
        </is>
      </c>
      <c r="C44" s="19" t="inlineStr">
        <is>
          <t>Simulation-improved (Monte Carlo)</t>
        </is>
      </c>
      <c r="D44" s="15" t="n">
        <v>13000</v>
      </c>
      <c r="E44" s="15" t="n">
        <v>5000</v>
      </c>
      <c r="F44" s="16" t="n">
        <v>55.7</v>
      </c>
      <c r="G44" s="17" t="n">
        <v>0.2456</v>
      </c>
      <c r="H44" s="17" t="n"/>
      <c r="I44" s="16" t="n">
        <v>13.03827361563518</v>
      </c>
      <c r="J44" s="16" t="n">
        <v>4.942739844425238</v>
      </c>
      <c r="K44" s="17" t="n">
        <v>0.113</v>
      </c>
      <c r="L44" s="17" t="n">
        <v>0.1971200000000002</v>
      </c>
      <c r="M44" s="13" t="inlineStr">
        <is>
          <t>no-change</t>
        </is>
      </c>
      <c r="N44" s="15" t="n">
        <v>0</v>
      </c>
      <c r="O44" s="18" t="inlineStr">
        <is>
          <t>simulation-improved, then independently re-verified as an assembled list</t>
        </is>
      </c>
    </row>
    <row r="45">
      <c r="A45" s="13" t="inlineStr">
        <is>
          <t>4c · Bant Walls</t>
        </is>
      </c>
      <c r="B45" s="13" t="inlineStr">
        <is>
          <t>Max-2</t>
        </is>
      </c>
      <c r="C45" s="19" t="inlineStr">
        <is>
          <t>Simulation-improved (Monte Carlo)</t>
        </is>
      </c>
      <c r="D45" s="15" t="n">
        <v>13000</v>
      </c>
      <c r="E45" s="15" t="n">
        <v>5000</v>
      </c>
      <c r="F45" s="16" t="n">
        <v>55.7</v>
      </c>
      <c r="G45" s="17" t="n">
        <v>0.2456</v>
      </c>
      <c r="H45" s="17" t="n"/>
      <c r="I45" s="16" t="n">
        <v>13.03827361563518</v>
      </c>
      <c r="J45" s="16" t="n">
        <v>4.942739844425238</v>
      </c>
      <c r="K45" s="17" t="n">
        <v>0.113</v>
      </c>
      <c r="L45" s="17" t="n">
        <v>0.1971200000000002</v>
      </c>
      <c r="M45" s="13" t="inlineStr">
        <is>
          <t>no-change</t>
        </is>
      </c>
      <c r="N45" s="15" t="n">
        <v>0</v>
      </c>
      <c r="O45" s="18" t="inlineStr">
        <is>
          <t>simulation-improved, then independently re-verified as an assembled list</t>
        </is>
      </c>
    </row>
    <row r="46">
      <c r="A46" s="13" t="inlineStr">
        <is>
          <t>4c · Bant Walls</t>
        </is>
      </c>
      <c r="B46" s="13" t="inlineStr">
        <is>
          <t>Fun Tuned</t>
        </is>
      </c>
      <c r="C46" s="20" t="inlineStr">
        <is>
          <t>Fun-weighted engine v2.1</t>
        </is>
      </c>
      <c r="D46" s="15" t="n">
        <v>20000</v>
      </c>
      <c r="E46" s="15" t="n">
        <v>5000</v>
      </c>
      <c r="F46" s="16" t="n">
        <v>81.40000000000001</v>
      </c>
      <c r="G46" s="17" t="n">
        <v>0.4688</v>
      </c>
      <c r="H46" s="17" t="n">
        <v>0.9987999999999999</v>
      </c>
      <c r="I46" s="16" t="n">
        <v>11.49232081911263</v>
      </c>
      <c r="J46" s="16" t="n">
        <v>4.640790842872009</v>
      </c>
      <c r="K46" s="17" t="n">
        <v>0.1238</v>
      </c>
      <c r="L46" s="17" t="n">
        <v>0.4415999999999997</v>
      </c>
      <c r="M46" s="13" t="inlineStr">
        <is>
          <t>confirmed</t>
        </is>
      </c>
      <c r="N46" s="15" t="n">
        <v>5</v>
      </c>
      <c r="O46" s="18" t="inlineStr">
        <is>
          <t>fun-weighted engine v2.1 (9 opponent archetypes, fun blended into scoring, combat fixes)</t>
        </is>
      </c>
    </row>
    <row r="47">
      <c r="A47" s="13" t="inlineStr">
        <is>
          <t>4c · Bant Walls</t>
        </is>
      </c>
      <c r="B47" s="13" t="inlineStr">
        <is>
          <t>Fun Max</t>
        </is>
      </c>
      <c r="C47" s="20" t="inlineStr">
        <is>
          <t>Fun-weighted engine v2.1</t>
        </is>
      </c>
      <c r="D47" s="15" t="n">
        <v>28000</v>
      </c>
      <c r="E47" s="15" t="n">
        <v>5000</v>
      </c>
      <c r="F47" s="16" t="n">
        <v>81</v>
      </c>
      <c r="G47" s="17" t="n">
        <v>0.4436</v>
      </c>
      <c r="H47" s="17" t="n">
        <v>0.9997</v>
      </c>
      <c r="I47" s="16" t="n">
        <v>11.49098286744815</v>
      </c>
      <c r="J47" s="16" t="n">
        <v>4.484114052953156</v>
      </c>
      <c r="K47" s="17" t="n">
        <v>0.0912</v>
      </c>
      <c r="L47" s="17" t="n">
        <v>0.4281999999999991</v>
      </c>
      <c r="M47" s="13" t="inlineStr">
        <is>
          <t>within-noise</t>
        </is>
      </c>
      <c r="N47" s="15" t="n">
        <v>2</v>
      </c>
      <c r="O47" s="18" t="inlineStr">
        <is>
          <t>fun-weighted engine v2.1 (9 opponent archetypes, fun blended into scoring, combat fixes)</t>
        </is>
      </c>
    </row>
    <row r="49">
      <c r="A49" s="13" t="inlineStr">
        <is>
          <t>5o · Lorehold Spirit</t>
        </is>
      </c>
      <c r="B49" s="13" t="inlineStr">
        <is>
          <t>Base</t>
        </is>
      </c>
      <c r="C49" s="14" t="inlineStr">
        <is>
          <t>Site ladder — as published</t>
        </is>
      </c>
      <c r="D49" s="15" t="n"/>
      <c r="E49" s="15" t="n"/>
      <c r="F49" s="16" t="n"/>
      <c r="G49" s="17" t="n"/>
      <c r="H49" s="17" t="n"/>
      <c r="I49" s="16" t="n"/>
      <c r="J49" s="16" t="n"/>
      <c r="K49" s="17" t="n"/>
      <c r="L49" s="17" t="n"/>
      <c r="M49" s="13" t="inlineStr"/>
      <c r="N49" s="15" t="n"/>
      <c r="O49" s="18" t="inlineStr">
        <is>
          <t>published</t>
        </is>
      </c>
    </row>
    <row r="50">
      <c r="A50" s="13" t="inlineStr">
        <is>
          <t>5o · Lorehold Spirit</t>
        </is>
      </c>
      <c r="B50" s="13" t="inlineStr">
        <is>
          <t>Tuned</t>
        </is>
      </c>
      <c r="C50" s="14" t="inlineStr">
        <is>
          <t>Site ladder — as published</t>
        </is>
      </c>
      <c r="D50" s="15" t="n">
        <v>20000</v>
      </c>
      <c r="E50" s="15" t="n">
        <v>5000</v>
      </c>
      <c r="F50" s="16" t="n">
        <v>74.8</v>
      </c>
      <c r="G50" s="17" t="n">
        <v>0.3822</v>
      </c>
      <c r="H50" s="17" t="n"/>
      <c r="I50" s="16" t="n">
        <v>12.30245944531659</v>
      </c>
      <c r="J50" s="16" t="n">
        <v>4.13571284533172</v>
      </c>
      <c r="K50" s="17" t="n">
        <v>0.0526</v>
      </c>
      <c r="L50" s="17" t="n">
        <v>0.2796800000000018</v>
      </c>
      <c r="M50" s="13" t="inlineStr">
        <is>
          <t>confirmed</t>
        </is>
      </c>
      <c r="N50" s="15" t="n">
        <v>5</v>
      </c>
      <c r="O50" s="18" t="inlineStr">
        <is>
          <t>published + simulated (v1 engine)</t>
        </is>
      </c>
    </row>
    <row r="51">
      <c r="A51" s="13" t="inlineStr">
        <is>
          <t>5o · Lorehold Spirit</t>
        </is>
      </c>
      <c r="B51" s="13" t="inlineStr">
        <is>
          <t>Enhance</t>
        </is>
      </c>
      <c r="C51" s="14" t="inlineStr">
        <is>
          <t>Site ladder — as published</t>
        </is>
      </c>
      <c r="D51" s="15" t="n"/>
      <c r="E51" s="15" t="n"/>
      <c r="F51" s="16" t="n"/>
      <c r="G51" s="17" t="n"/>
      <c r="H51" s="17" t="n"/>
      <c r="I51" s="16" t="n"/>
      <c r="J51" s="16" t="n"/>
      <c r="K51" s="17" t="n"/>
      <c r="L51" s="17" t="n"/>
      <c r="M51" s="13" t="inlineStr"/>
      <c r="N51" s="15" t="n"/>
      <c r="O51" s="18" t="inlineStr">
        <is>
          <t>published</t>
        </is>
      </c>
    </row>
    <row r="52">
      <c r="A52" s="13" t="inlineStr">
        <is>
          <t>5o · Lorehold Spirit</t>
        </is>
      </c>
      <c r="B52" s="13" t="inlineStr">
        <is>
          <t>Max</t>
        </is>
      </c>
      <c r="C52" s="14" t="inlineStr">
        <is>
          <t>Site ladder — as published</t>
        </is>
      </c>
      <c r="D52" s="15" t="n"/>
      <c r="E52" s="15" t="n"/>
      <c r="F52" s="16" t="n"/>
      <c r="G52" s="17" t="n"/>
      <c r="H52" s="17" t="n"/>
      <c r="I52" s="16" t="n"/>
      <c r="J52" s="16" t="n"/>
      <c r="K52" s="17" t="n"/>
      <c r="L52" s="17" t="n"/>
      <c r="M52" s="13" t="inlineStr"/>
      <c r="N52" s="15" t="n"/>
      <c r="O52" s="18" t="inlineStr">
        <is>
          <t>published</t>
        </is>
      </c>
    </row>
    <row r="53">
      <c r="A53" s="13" t="inlineStr">
        <is>
          <t>5o · Lorehold Spirit</t>
        </is>
      </c>
      <c r="B53" s="13" t="inlineStr">
        <is>
          <t>Tuned-2</t>
        </is>
      </c>
      <c r="C53" s="19" t="inlineStr">
        <is>
          <t>Simulation-improved (Monte Carlo)</t>
        </is>
      </c>
      <c r="D53" s="15" t="n">
        <v>20000</v>
      </c>
      <c r="E53" s="15" t="n">
        <v>5000</v>
      </c>
      <c r="F53" s="16" t="n">
        <v>74.8</v>
      </c>
      <c r="G53" s="17" t="n">
        <v>0.3822</v>
      </c>
      <c r="H53" s="17" t="n"/>
      <c r="I53" s="16" t="n">
        <v>12.30245944531659</v>
      </c>
      <c r="J53" s="16" t="n">
        <v>4.13571284533172</v>
      </c>
      <c r="K53" s="17" t="n">
        <v>0.0526</v>
      </c>
      <c r="L53" s="17" t="n">
        <v>0.2796800000000018</v>
      </c>
      <c r="M53" s="13" t="inlineStr">
        <is>
          <t>confirmed</t>
        </is>
      </c>
      <c r="N53" s="15" t="n">
        <v>5</v>
      </c>
      <c r="O53" s="18" t="inlineStr">
        <is>
          <t>simulation-improved (v1 engine)</t>
        </is>
      </c>
    </row>
    <row r="54">
      <c r="A54" s="13" t="inlineStr">
        <is>
          <t>5o · Lorehold Spirit</t>
        </is>
      </c>
      <c r="B54" s="13" t="inlineStr">
        <is>
          <t>Enhance-2</t>
        </is>
      </c>
      <c r="C54" s="19" t="inlineStr">
        <is>
          <t>Simulation-improved (Monte Carlo)</t>
        </is>
      </c>
      <c r="D54" s="15" t="n">
        <v>13000</v>
      </c>
      <c r="E54" s="15" t="n">
        <v>5000</v>
      </c>
      <c r="F54" s="16" t="n">
        <v>71.8</v>
      </c>
      <c r="G54" s="17" t="n">
        <v>0.3684</v>
      </c>
      <c r="H54" s="17" t="n"/>
      <c r="I54" s="16" t="n">
        <v>12.17969598262758</v>
      </c>
      <c r="J54" s="16" t="n">
        <v>4.073514602215509</v>
      </c>
      <c r="K54" s="17" t="n">
        <v>0.0536</v>
      </c>
      <c r="L54" s="17" t="n">
        <v>0.2186400000000005</v>
      </c>
      <c r="M54" s="13" t="inlineStr">
        <is>
          <t>no-change</t>
        </is>
      </c>
      <c r="N54" s="15" t="n">
        <v>0</v>
      </c>
      <c r="O54" s="18" t="inlineStr">
        <is>
          <t>simulation-improved, then independently re-verified as an assembled list</t>
        </is>
      </c>
    </row>
    <row r="55">
      <c r="A55" s="13" t="inlineStr">
        <is>
          <t>5o · Lorehold Spirit</t>
        </is>
      </c>
      <c r="B55" s="13" t="inlineStr">
        <is>
          <t>Max-2</t>
        </is>
      </c>
      <c r="C55" s="19" t="inlineStr">
        <is>
          <t>Simulation-improved (Monte Carlo)</t>
        </is>
      </c>
      <c r="D55" s="15" t="n">
        <v>13000</v>
      </c>
      <c r="E55" s="15" t="n">
        <v>5000</v>
      </c>
      <c r="F55" s="16" t="n">
        <v>70.8</v>
      </c>
      <c r="G55" s="17" t="n">
        <v>0.3622</v>
      </c>
      <c r="H55" s="17" t="n"/>
      <c r="I55" s="16" t="n">
        <v>12.18553285477637</v>
      </c>
      <c r="J55" s="16" t="n">
        <v>4.154527162977868</v>
      </c>
      <c r="K55" s="17" t="n">
        <v>0.0566</v>
      </c>
      <c r="L55" s="17" t="n">
        <v>0.2113600000000004</v>
      </c>
      <c r="M55" s="13" t="inlineStr">
        <is>
          <t>no-change</t>
        </is>
      </c>
      <c r="N55" s="15" t="n">
        <v>0</v>
      </c>
      <c r="O55" s="18" t="inlineStr">
        <is>
          <t>simulation-improved, then independently re-verified as an assembled list</t>
        </is>
      </c>
    </row>
    <row r="56">
      <c r="A56" s="13" t="inlineStr">
        <is>
          <t>5o · Lorehold Spirit</t>
        </is>
      </c>
      <c r="B56" s="13" t="inlineStr">
        <is>
          <t>Fun Tuned</t>
        </is>
      </c>
      <c r="C56" s="20" t="inlineStr">
        <is>
          <t>Fun-weighted engine v2.1</t>
        </is>
      </c>
      <c r="D56" s="15" t="n">
        <v>22000</v>
      </c>
      <c r="E56" s="15" t="n">
        <v>5000</v>
      </c>
      <c r="F56" s="16" t="n">
        <v>66.59999999999999</v>
      </c>
      <c r="G56" s="17" t="n">
        <v>0.1952</v>
      </c>
      <c r="H56" s="17" t="n">
        <v>0.9988999999999999</v>
      </c>
      <c r="I56" s="16" t="n">
        <v>12.48565573770492</v>
      </c>
      <c r="J56" s="16" t="n">
        <v>4.055845721173162</v>
      </c>
      <c r="K56" s="17" t="n">
        <v>0.0496</v>
      </c>
      <c r="L56" s="17" t="n">
        <v>0.3286000000000019</v>
      </c>
      <c r="M56" s="13" t="inlineStr">
        <is>
          <t>confirmed</t>
        </is>
      </c>
      <c r="N56" s="15" t="n">
        <v>8</v>
      </c>
      <c r="O56" s="18" t="inlineStr">
        <is>
          <t>fun-weighted engine v2.1 (9 opponent archetypes, fun blended into scoring, combat fixes)</t>
        </is>
      </c>
    </row>
    <row r="57">
      <c r="A57" s="13" t="inlineStr">
        <is>
          <t>5o · Lorehold Spirit</t>
        </is>
      </c>
      <c r="B57" s="13" t="inlineStr">
        <is>
          <t>Fun Max</t>
        </is>
      </c>
      <c r="C57" s="20" t="inlineStr">
        <is>
          <t>Fun-weighted engine v2.1</t>
        </is>
      </c>
      <c r="D57" s="15" t="n">
        <v>24000</v>
      </c>
      <c r="E57" s="15" t="n">
        <v>5000</v>
      </c>
      <c r="F57" s="16" t="n">
        <v>68</v>
      </c>
      <c r="G57" s="17" t="n">
        <v>0.2142</v>
      </c>
      <c r="H57" s="17" t="n">
        <v>0.9996</v>
      </c>
      <c r="I57" s="16" t="n">
        <v>12.22315592903828</v>
      </c>
      <c r="J57" s="16" t="n">
        <v>4.071356985367809</v>
      </c>
      <c r="K57" s="17" t="n">
        <v>0.0528</v>
      </c>
      <c r="L57" s="17" t="n">
        <v>0.3284000000000015</v>
      </c>
      <c r="M57" s="13" t="inlineStr">
        <is>
          <t>confirmed</t>
        </is>
      </c>
      <c r="N57" s="15" t="n">
        <v>7</v>
      </c>
      <c r="O57" s="18" t="inlineStr">
        <is>
          <t>fun-weighted engine v2.1 (9 opponent archetypes, fun blended into scoring, combat fixes)</t>
        </is>
      </c>
    </row>
    <row r="58">
      <c r="A58" s="13" t="inlineStr">
        <is>
          <t>5o · Lorehold Spirit</t>
        </is>
      </c>
      <c r="B58" s="13" t="inlineStr">
        <is>
          <t>Alt Tuned</t>
        </is>
      </c>
      <c r="C58" s="21" t="inlineStr">
        <is>
          <t>Alternative commander</t>
        </is>
      </c>
      <c r="D58" s="15" t="n">
        <v>22000</v>
      </c>
      <c r="E58" s="15" t="n">
        <v>5000</v>
      </c>
      <c r="F58" s="16" t="n">
        <v>82.7</v>
      </c>
      <c r="G58" s="17" t="n">
        <v>0.4288</v>
      </c>
      <c r="H58" s="17" t="n">
        <v>0.9988999999999999</v>
      </c>
      <c r="I58" s="16" t="n">
        <v>11.7089552238806</v>
      </c>
      <c r="J58" s="16" t="n">
        <v>4.053836882282041</v>
      </c>
      <c r="K58" s="17" t="n">
        <v>0.0498</v>
      </c>
      <c r="L58" s="17" t="n">
        <v>0.3672800000000011</v>
      </c>
      <c r="M58" s="13" t="inlineStr">
        <is>
          <t>confirmed</t>
        </is>
      </c>
      <c r="N58" s="15" t="n">
        <v>7</v>
      </c>
      <c r="O58" s="18" t="inlineStr">
        <is>
          <t>alternative commander (Iroas, God of Victory) on the same 99, v2.1 engine</t>
        </is>
      </c>
    </row>
    <row r="59">
      <c r="A59" s="13" t="inlineStr">
        <is>
          <t>5o · Lorehold Spirit</t>
        </is>
      </c>
      <c r="B59" s="13" t="inlineStr">
        <is>
          <t>Alt Max</t>
        </is>
      </c>
      <c r="C59" s="21" t="inlineStr">
        <is>
          <t>Alternative commander</t>
        </is>
      </c>
      <c r="D59" s="15" t="n">
        <v>24000</v>
      </c>
      <c r="E59" s="15" t="n">
        <v>5000</v>
      </c>
      <c r="F59" s="16" t="n">
        <v>84.5</v>
      </c>
      <c r="G59" s="17" t="n">
        <v>0.4438</v>
      </c>
      <c r="H59" s="17" t="n">
        <v>0.9994000000000001</v>
      </c>
      <c r="I59" s="16" t="n">
        <v>11.70752591257323</v>
      </c>
      <c r="J59" s="16" t="n">
        <v>4.080761523046093</v>
      </c>
      <c r="K59" s="17" t="n">
        <v>0.0516</v>
      </c>
      <c r="L59" s="17" t="n">
        <v>0.3970000000000016</v>
      </c>
      <c r="M59" s="13" t="inlineStr">
        <is>
          <t>confirmed</t>
        </is>
      </c>
      <c r="N59" s="15" t="n">
        <v>7</v>
      </c>
      <c r="O59" s="18" t="inlineStr">
        <is>
          <t>alternative commander (Iroas, God of Victory) on the same 99, v2.1 engine</t>
        </is>
      </c>
    </row>
    <row r="61">
      <c r="A61" s="13" t="inlineStr">
        <is>
          <t>6f · Sultai ETB Doubling</t>
        </is>
      </c>
      <c r="B61" s="13" t="inlineStr">
        <is>
          <t>Base</t>
        </is>
      </c>
      <c r="C61" s="14" t="inlineStr">
        <is>
          <t>Site ladder — as published</t>
        </is>
      </c>
      <c r="D61" s="15" t="n"/>
      <c r="E61" s="15" t="n"/>
      <c r="F61" s="16" t="n"/>
      <c r="G61" s="17" t="n"/>
      <c r="H61" s="17" t="n"/>
      <c r="I61" s="16" t="n"/>
      <c r="J61" s="16" t="n"/>
      <c r="K61" s="17" t="n"/>
      <c r="L61" s="17" t="n"/>
      <c r="M61" s="13" t="inlineStr"/>
      <c r="N61" s="15" t="n"/>
      <c r="O61" s="18" t="inlineStr">
        <is>
          <t>published</t>
        </is>
      </c>
    </row>
    <row r="62">
      <c r="A62" s="13" t="inlineStr">
        <is>
          <t>6f · Sultai ETB Doubling</t>
        </is>
      </c>
      <c r="B62" s="13" t="inlineStr">
        <is>
          <t>Tuned</t>
        </is>
      </c>
      <c r="C62" s="14" t="inlineStr">
        <is>
          <t>Site ladder — as published</t>
        </is>
      </c>
      <c r="D62" s="15" t="n">
        <v>14000</v>
      </c>
      <c r="E62" s="15" t="n">
        <v>5000</v>
      </c>
      <c r="F62" s="16" t="n">
        <v>82.90000000000001</v>
      </c>
      <c r="G62" s="17" t="n">
        <v>0.444</v>
      </c>
      <c r="H62" s="17" t="n"/>
      <c r="I62" s="16" t="n">
        <v>12.15765765765766</v>
      </c>
      <c r="J62" s="16" t="n">
        <v>5.089830161653366</v>
      </c>
      <c r="K62" s="17" t="n">
        <v>0.0512</v>
      </c>
      <c r="L62" s="17" t="n">
        <v>0.4028000000000017</v>
      </c>
      <c r="M62" s="13" t="inlineStr">
        <is>
          <t>confirmed</t>
        </is>
      </c>
      <c r="N62" s="15" t="n">
        <v>5</v>
      </c>
      <c r="O62" s="18" t="inlineStr">
        <is>
          <t>published + simulated (v1 engine)</t>
        </is>
      </c>
    </row>
    <row r="63">
      <c r="A63" s="13" t="inlineStr">
        <is>
          <t>6f · Sultai ETB Doubling</t>
        </is>
      </c>
      <c r="B63" s="13" t="inlineStr">
        <is>
          <t>Enhance</t>
        </is>
      </c>
      <c r="C63" s="14" t="inlineStr">
        <is>
          <t>Site ladder — as published</t>
        </is>
      </c>
      <c r="D63" s="15" t="n"/>
      <c r="E63" s="15" t="n"/>
      <c r="F63" s="16" t="n"/>
      <c r="G63" s="17" t="n"/>
      <c r="H63" s="17" t="n"/>
      <c r="I63" s="16" t="n"/>
      <c r="J63" s="16" t="n"/>
      <c r="K63" s="17" t="n"/>
      <c r="L63" s="17" t="n"/>
      <c r="M63" s="13" t="inlineStr"/>
      <c r="N63" s="15" t="n"/>
      <c r="O63" s="18" t="inlineStr">
        <is>
          <t>published</t>
        </is>
      </c>
    </row>
    <row r="64">
      <c r="A64" s="13" t="inlineStr">
        <is>
          <t>6f · Sultai ETB Doubling</t>
        </is>
      </c>
      <c r="B64" s="13" t="inlineStr">
        <is>
          <t>Max</t>
        </is>
      </c>
      <c r="C64" s="14" t="inlineStr">
        <is>
          <t>Site ladder — as published</t>
        </is>
      </c>
      <c r="D64" s="15" t="n"/>
      <c r="E64" s="15" t="n"/>
      <c r="F64" s="16" t="n"/>
      <c r="G64" s="17" t="n"/>
      <c r="H64" s="17" t="n"/>
      <c r="I64" s="16" t="n"/>
      <c r="J64" s="16" t="n"/>
      <c r="K64" s="17" t="n"/>
      <c r="L64" s="17" t="n"/>
      <c r="M64" s="13" t="inlineStr"/>
      <c r="N64" s="15" t="n"/>
      <c r="O64" s="18" t="inlineStr">
        <is>
          <t>published</t>
        </is>
      </c>
    </row>
    <row r="65">
      <c r="A65" s="13" t="inlineStr">
        <is>
          <t>6f · Sultai ETB Doubling</t>
        </is>
      </c>
      <c r="B65" s="13" t="inlineStr">
        <is>
          <t>Tuned-2</t>
        </is>
      </c>
      <c r="C65" s="19" t="inlineStr">
        <is>
          <t>Simulation-improved (Monte Carlo)</t>
        </is>
      </c>
      <c r="D65" s="15" t="n">
        <v>14000</v>
      </c>
      <c r="E65" s="15" t="n">
        <v>5000</v>
      </c>
      <c r="F65" s="16" t="n">
        <v>82.90000000000001</v>
      </c>
      <c r="G65" s="17" t="n">
        <v>0.444</v>
      </c>
      <c r="H65" s="17" t="n"/>
      <c r="I65" s="16" t="n">
        <v>12.15765765765766</v>
      </c>
      <c r="J65" s="16" t="n">
        <v>5.089830161653366</v>
      </c>
      <c r="K65" s="17" t="n">
        <v>0.0512</v>
      </c>
      <c r="L65" s="17" t="n">
        <v>0.4028000000000017</v>
      </c>
      <c r="M65" s="13" t="inlineStr">
        <is>
          <t>confirmed</t>
        </is>
      </c>
      <c r="N65" s="15" t="n">
        <v>5</v>
      </c>
      <c r="O65" s="18" t="inlineStr">
        <is>
          <t>simulation-improved (v1 engine)</t>
        </is>
      </c>
    </row>
    <row r="66">
      <c r="A66" s="13" t="inlineStr">
        <is>
          <t>6f · Sultai ETB Doubling</t>
        </is>
      </c>
      <c r="B66" s="13" t="inlineStr">
        <is>
          <t>Enhance-2</t>
        </is>
      </c>
      <c r="C66" s="19" t="inlineStr">
        <is>
          <t>Simulation-improved (Monte Carlo)</t>
        </is>
      </c>
      <c r="D66" s="15" t="n">
        <v>20000</v>
      </c>
      <c r="E66" s="15" t="n">
        <v>5000</v>
      </c>
      <c r="F66" s="16" t="n">
        <v>80.3</v>
      </c>
      <c r="G66" s="17" t="n">
        <v>0.4384</v>
      </c>
      <c r="H66" s="17" t="n"/>
      <c r="I66" s="16" t="n">
        <v>12.22399635036496</v>
      </c>
      <c r="J66" s="16" t="n">
        <v>5.113141683778234</v>
      </c>
      <c r="K66" s="17" t="n">
        <v>0.0592</v>
      </c>
      <c r="L66" s="17" t="n">
        <v>0.3548800000000011</v>
      </c>
      <c r="M66" s="13" t="inlineStr">
        <is>
          <t>within-noise</t>
        </is>
      </c>
      <c r="N66" s="15" t="n">
        <v>1</v>
      </c>
      <c r="O66" s="18" t="inlineStr">
        <is>
          <t>simulation-improved, then independently re-verified as an assembled list</t>
        </is>
      </c>
    </row>
    <row r="67">
      <c r="A67" s="13" t="inlineStr">
        <is>
          <t>6f · Sultai ETB Doubling</t>
        </is>
      </c>
      <c r="B67" s="13" t="inlineStr">
        <is>
          <t>Max-2</t>
        </is>
      </c>
      <c r="C67" s="19" t="inlineStr">
        <is>
          <t>Simulation-improved (Monte Carlo)</t>
        </is>
      </c>
      <c r="D67" s="15" t="n">
        <v>20000</v>
      </c>
      <c r="E67" s="15" t="n">
        <v>5000</v>
      </c>
      <c r="F67" s="16" t="n">
        <v>80.40000000000001</v>
      </c>
      <c r="G67" s="17" t="n">
        <v>0.4382</v>
      </c>
      <c r="H67" s="17" t="n"/>
      <c r="I67" s="16" t="n">
        <v>12.2186216339571</v>
      </c>
      <c r="J67" s="16" t="n">
        <v>5.142094455852156</v>
      </c>
      <c r="K67" s="17" t="n">
        <v>0.0584</v>
      </c>
      <c r="L67" s="17" t="n">
        <v>0.3633200000000011</v>
      </c>
      <c r="M67" s="13" t="inlineStr">
        <is>
          <t>within-noise</t>
        </is>
      </c>
      <c r="N67" s="15" t="n">
        <v>1</v>
      </c>
      <c r="O67" s="18" t="inlineStr">
        <is>
          <t>simulation-improved, then independently re-verified as an assembled list</t>
        </is>
      </c>
    </row>
    <row r="68">
      <c r="A68" s="13" t="inlineStr">
        <is>
          <t>6f · Sultai ETB Doubling</t>
        </is>
      </c>
      <c r="B68" s="13" t="inlineStr">
        <is>
          <t>Fun Tuned</t>
        </is>
      </c>
      <c r="C68" s="20" t="inlineStr">
        <is>
          <t>Fun-weighted engine v2.1</t>
        </is>
      </c>
      <c r="D68" s="15" t="n">
        <v>14000</v>
      </c>
      <c r="E68" s="15" t="n">
        <v>5000</v>
      </c>
      <c r="F68" s="16" t="n">
        <v>75.90000000000001</v>
      </c>
      <c r="G68" s="17" t="n">
        <v>0.3182</v>
      </c>
      <c r="H68" s="17" t="n">
        <v>0.9976</v>
      </c>
      <c r="I68" s="16" t="n">
        <v>12.31615336266499</v>
      </c>
      <c r="J68" s="16" t="n">
        <v>5.01182225845903</v>
      </c>
      <c r="K68" s="17" t="n">
        <v>0.0496</v>
      </c>
      <c r="L68" s="17" t="n">
        <v>0.4293200000000011</v>
      </c>
      <c r="M68" s="13" t="inlineStr">
        <is>
          <t>within-noise</t>
        </is>
      </c>
      <c r="N68" s="15" t="n">
        <v>4</v>
      </c>
      <c r="O68" s="18" t="inlineStr">
        <is>
          <t>fun-weighted engine v2.1 (9 opponent archetypes, fun blended into scoring, combat fixes)</t>
        </is>
      </c>
    </row>
    <row r="69">
      <c r="A69" s="13" t="inlineStr">
        <is>
          <t>6f · Sultai ETB Doubling</t>
        </is>
      </c>
      <c r="B69" s="13" t="inlineStr">
        <is>
          <t>Fun Max</t>
        </is>
      </c>
      <c r="C69" s="20" t="inlineStr">
        <is>
          <t>Fun-weighted engine v2.1</t>
        </is>
      </c>
      <c r="D69" s="15" t="n">
        <v>20000</v>
      </c>
      <c r="E69" s="15" t="n">
        <v>5000</v>
      </c>
      <c r="F69" s="16" t="n">
        <v>74.5</v>
      </c>
      <c r="G69" s="17" t="n">
        <v>0.319</v>
      </c>
      <c r="H69" s="17" t="n">
        <v>0.9964999999999999</v>
      </c>
      <c r="I69" s="16" t="n">
        <v>12.30156739811912</v>
      </c>
      <c r="J69" s="16" t="n">
        <v>5.027310061601643</v>
      </c>
      <c r="K69" s="17" t="n">
        <v>0.0562</v>
      </c>
      <c r="L69" s="17" t="n">
        <v>0.3790000000000016</v>
      </c>
      <c r="M69" s="13" t="inlineStr">
        <is>
          <t>within-noise</t>
        </is>
      </c>
      <c r="N69" s="15" t="n">
        <v>3</v>
      </c>
      <c r="O69" s="18" t="inlineStr">
        <is>
          <t>fun-weighted engine v2.1 (9 opponent archetypes, fun blended into scoring, combat fixes)</t>
        </is>
      </c>
    </row>
    <row r="72">
      <c r="A72" s="3" t="inlineStr">
        <is>
          <t>Alternative commander — the case, and the caveat</t>
        </is>
      </c>
    </row>
    <row r="73">
      <c r="A73" s="12" t="inlineStr">
        <is>
          <t>Deck</t>
        </is>
      </c>
      <c r="B73" s="12" t="inlineStr">
        <is>
          <t>Current commander</t>
        </is>
      </c>
      <c r="C73" s="12" t="inlineStr">
        <is>
          <t>Score</t>
        </is>
      </c>
      <c r="D73" s="12" t="inlineStr">
        <is>
          <t>Rank</t>
        </is>
      </c>
      <c r="E73" s="12" t="inlineStr">
        <is>
          <t>Alternative</t>
        </is>
      </c>
      <c r="F73" s="12" t="inlineStr">
        <is>
          <t>Score</t>
        </is>
      </c>
      <c r="G73" s="12" t="inlineStr">
        <is>
          <t>Rank</t>
        </is>
      </c>
      <c r="H73" s="12" t="inlineStr">
        <is>
          <t>Candidates measured</t>
        </is>
      </c>
      <c r="I73" s="12" t="inlineStr">
        <is>
          <t>Games each</t>
        </is>
      </c>
      <c r="J73" s="12" t="inlineStr">
        <is>
          <t>Price</t>
        </is>
      </c>
      <c r="K73" s="12" t="inlineStr">
        <is>
          <t>The honest read</t>
        </is>
      </c>
    </row>
    <row r="74" ht="62" customHeight="1">
      <c r="A74" s="13" t="inlineStr">
        <is>
          <t>1o · Ancestral Bulwark</t>
        </is>
      </c>
      <c r="B74" s="13" t="inlineStr">
        <is>
          <t>Betor, Ancestor's Voice</t>
        </is>
      </c>
      <c r="C74" s="16" t="n">
        <v>80.09999999999999</v>
      </c>
      <c r="D74" s="13" t="n">
        <v>4</v>
      </c>
      <c r="E74" s="13" t="inlineStr">
        <is>
          <t>Teneb, the Harvester</t>
        </is>
      </c>
      <c r="F74" s="16" t="n">
        <v>80.3</v>
      </c>
      <c r="G74" s="13" t="n">
        <v>3</v>
      </c>
      <c r="H74" s="13" t="n">
        <v>15</v>
      </c>
      <c r="I74" s="13" t="n">
        <v>4000</v>
      </c>
      <c r="J74" s="22" t="n">
        <v>0.98</v>
      </c>
      <c r="K74" s="23" t="inlineStr">
        <is>
          <t>Holds up. Teneb is a genuine reanimator, which is what this shell already wants, and it measures a hair above Betor (+0.2 — inside noise). Betor's end-step lifegain-to-counters engine is invisible to the model, so the true gap likely favours Betor. Swap only if you prefer the play pattern, not for the number.</t>
        </is>
      </c>
    </row>
    <row r="75" ht="62" customHeight="1">
      <c r="A75" s="13" t="inlineStr">
        <is>
          <t>3e · Golgari Land Engine</t>
        </is>
      </c>
      <c r="B75" s="13" t="inlineStr">
        <is>
          <t>The Gitrog Monster</t>
        </is>
      </c>
      <c r="C75" s="16" t="n">
        <v>63</v>
      </c>
      <c r="D75" s="13" t="n">
        <v>7</v>
      </c>
      <c r="E75" s="13" t="inlineStr">
        <is>
          <t>Hazel of the Rootbloom</t>
        </is>
      </c>
      <c r="F75" s="16" t="n">
        <v>67.5</v>
      </c>
      <c r="G75" s="13" t="n">
        <v>3</v>
      </c>
      <c r="H75" s="13" t="n">
        <v>15</v>
      </c>
      <c r="I75" s="13" t="n">
        <v>4000</v>
      </c>
      <c r="J75" s="22" t="n">
        <v>6.45</v>
      </c>
      <c r="K75" s="23" t="inlineStr">
        <is>
          <t>Real gain, real cost. Hazel measures +4.5 over Gitrog, but the optimizer's response to her is to strip TEN lands from a 48-land lands-matter deck — she pays off tokens, not landfall. That is not a minor tweak; it converts the Golgari Land Engine into a different deck. Adopt only if you want that rebuild.</t>
        </is>
      </c>
    </row>
    <row r="76" ht="62" customHeight="1">
      <c r="A76" s="13" t="inlineStr">
        <is>
          <t>5o · Lorehold Spirit</t>
        </is>
      </c>
      <c r="B76" s="13" t="inlineStr">
        <is>
          <t>Quintorius, History Chaser</t>
        </is>
      </c>
      <c r="C76" s="16" t="n">
        <v>59.6</v>
      </c>
      <c r="D76" s="13" t="n">
        <v>15</v>
      </c>
      <c r="E76" s="13" t="inlineStr">
        <is>
          <t>Iroas, God of Victory</t>
        </is>
      </c>
      <c r="F76" s="16" t="n">
        <v>72.8</v>
      </c>
      <c r="G76" s="13" t="n">
        <v>1</v>
      </c>
      <c r="H76" s="13" t="n">
        <v>15</v>
      </c>
      <c r="I76" s="13" t="n">
        <v>4000</v>
      </c>
      <c r="J76" s="22" t="n">
        <v>12.88</v>
      </c>
      <c r="K76" s="23" t="inlineStr">
        <is>
          <t>Treat the +13.2 as unreliable. Iroas only beats Quintorius in the model because the engine cannot see devotion and so treats it as a permanent 7/4 body. Forced to behave as the enchantment it usually is, Iroas scores 59.6 — identical to Quintorius. This deck's 50 nonland permanents average 1.22 red/white pips, so a typical board reaches roughly 5.5 devotion against the 7 Iroas needs. It will usually not be a creature.</t>
        </is>
      </c>
    </row>
  </sheetData>
  <mergeCells count="4">
    <mergeCell ref="A72:O72"/>
    <mergeCell ref="A3:N3"/>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14" customWidth="1" min="13" max="13"/>
    <col width="27" customWidth="1" min="14" max="14"/>
    <col width="10" customWidth="1" min="15" max="15"/>
    <col width="90" customWidth="1" min="16" max="16"/>
  </cols>
  <sheetData>
    <row r="1">
      <c r="A1" s="3" t="inlineStr">
        <is>
          <t>Ancestral Bulwark — Betor, Ancestor's Voice</t>
        </is>
      </c>
    </row>
    <row r="2">
      <c r="A2" s="2" t="inlineStr">
        <is>
          <t>Deck slot 1 · variant 1o · 100 lineup slots · alternative commander tested: Teneb, the Harvester</t>
        </is>
      </c>
    </row>
    <row r="4">
      <c r="B4" s="24" t="inlineStr">
        <is>
          <t>Site ladder — as published</t>
        </is>
      </c>
      <c r="F4" s="25" t="inlineStr">
        <is>
          <t>Simulation-improved (Monte Carlo)</t>
        </is>
      </c>
      <c r="I4" s="26" t="inlineStr">
        <is>
          <t>Fun-weighted engine v2.1</t>
        </is>
      </c>
      <c r="K4" s="27" t="inlineStr">
        <is>
          <t>Alternative commander</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Alt Tuned</t>
        </is>
      </c>
      <c r="L5" s="12" t="inlineStr">
        <is>
          <t>Alt Max</t>
        </is>
      </c>
      <c r="M5" s="12" t="inlineStr">
        <is>
          <t>FINAL PICK</t>
        </is>
      </c>
      <c r="N5" s="12" t="inlineStr">
        <is>
          <t>Final card</t>
        </is>
      </c>
      <c r="O5" s="12" t="inlineStr">
        <is>
          <t>Price</t>
        </is>
      </c>
      <c r="P5" s="12" t="inlineStr">
        <is>
          <t>Why this card moved</t>
        </is>
      </c>
    </row>
    <row r="6">
      <c r="A6" s="28" t="n">
        <v>1</v>
      </c>
      <c r="B6" s="13" t="inlineStr">
        <is>
          <t>Felothar the Steadfast</t>
        </is>
      </c>
      <c r="C6" s="29" t="inlineStr">
        <is>
          <t>Betor, Kin to All</t>
        </is>
      </c>
      <c r="D6" s="29" t="inlineStr">
        <is>
          <t>Betor, Kin to All</t>
        </is>
      </c>
      <c r="E6" s="29" t="inlineStr">
        <is>
          <t>Betor, Kin to All</t>
        </is>
      </c>
      <c r="F6" s="29" t="inlineStr">
        <is>
          <t>Phyrexian Arena</t>
        </is>
      </c>
      <c r="G6" s="29" t="inlineStr">
        <is>
          <t>Phyrexian Arena</t>
        </is>
      </c>
      <c r="H6" s="29" t="inlineStr">
        <is>
          <t>Phyrexian Arena</t>
        </is>
      </c>
      <c r="I6" s="29" t="inlineStr">
        <is>
          <t>Cloud's Limit Break</t>
        </is>
      </c>
      <c r="J6" s="29" t="inlineStr">
        <is>
          <t>Collective Resistance</t>
        </is>
      </c>
      <c r="K6" s="29" t="inlineStr">
        <is>
          <t>Teneb, the Harvester</t>
        </is>
      </c>
      <c r="L6" s="29" t="inlineStr">
        <is>
          <t>Teneb, the Harvester</t>
        </is>
      </c>
      <c r="M6" s="30" t="inlineStr">
        <is>
          <t>Fun Max</t>
        </is>
      </c>
      <c r="N6" s="31">
        <f>INDEX(B6:L6,MATCH(M6,$B$5:$L$5,0))</f>
        <v/>
      </c>
      <c r="O6" s="22">
        <f>IFERROR(VLOOKUP(N6,Prices!$A:$B,2,FALSE),0)</f>
        <v/>
      </c>
      <c r="P6" s="32">
        <f>IFERROR(INDEX('_why_1o'!$B2:$L2,MATCH(M6,$B$5:$L$5,0)),"")</f>
        <v/>
      </c>
    </row>
    <row r="7">
      <c r="A7" s="28" t="n">
        <v>2</v>
      </c>
      <c r="B7" s="33" t="inlineStr">
        <is>
          <t>Betor, Ancestor's Voice</t>
        </is>
      </c>
      <c r="C7" s="33" t="inlineStr">
        <is>
          <t>Betor, Ancestor's Voice</t>
        </is>
      </c>
      <c r="D7" s="33" t="inlineStr">
        <is>
          <t>Betor, Ancestor's Voice</t>
        </is>
      </c>
      <c r="E7" s="33" t="inlineStr">
        <is>
          <t>Betor, Ancestor's Voice</t>
        </is>
      </c>
      <c r="F7" s="33" t="inlineStr">
        <is>
          <t>Betor, Ancestor's Voice</t>
        </is>
      </c>
      <c r="G7" s="33" t="inlineStr">
        <is>
          <t>Betor, Ancestor's Voice</t>
        </is>
      </c>
      <c r="H7" s="33" t="inlineStr">
        <is>
          <t>Betor, Ancestor's Voice</t>
        </is>
      </c>
      <c r="I7" s="33" t="inlineStr">
        <is>
          <t>Betor, Ancestor's Voice</t>
        </is>
      </c>
      <c r="J7" s="33" t="inlineStr">
        <is>
          <t>Betor, Ancestor's Voice</t>
        </is>
      </c>
      <c r="K7" s="34" t="inlineStr">
        <is>
          <t>Cloud's Limit Break</t>
        </is>
      </c>
      <c r="L7" s="34" t="inlineStr">
        <is>
          <t>Zombie Master</t>
        </is>
      </c>
      <c r="M7" s="30" t="inlineStr">
        <is>
          <t>Fun Max</t>
        </is>
      </c>
      <c r="N7" s="31">
        <f>INDEX(B7:L7,MATCH(M7,$B$5:$L$5,0))</f>
        <v/>
      </c>
      <c r="O7" s="22">
        <f>IFERROR(VLOOKUP(N7,Prices!$A:$B,2,FALSE),0)</f>
        <v/>
      </c>
      <c r="P7" s="32">
        <f>IFERROR(INDEX('_why_1o'!$B3:$L3,MATCH(M7,$B$5:$L$5,0)),"")</f>
        <v/>
      </c>
    </row>
    <row r="8">
      <c r="A8" s="28" t="n">
        <v>3</v>
      </c>
      <c r="B8" s="13" t="inlineStr">
        <is>
          <t>Protector of the Wastes</t>
        </is>
      </c>
      <c r="C8" s="13" t="inlineStr">
        <is>
          <t>Protector of the Wastes</t>
        </is>
      </c>
      <c r="D8" s="13" t="inlineStr">
        <is>
          <t>Protector of the Wastes</t>
        </is>
      </c>
      <c r="E8" s="13" t="inlineStr">
        <is>
          <t>Protector of the Wastes</t>
        </is>
      </c>
      <c r="F8" s="13" t="inlineStr">
        <is>
          <t>Protector of the Wastes</t>
        </is>
      </c>
      <c r="G8" s="13" t="inlineStr">
        <is>
          <t>Protector of the Wastes</t>
        </is>
      </c>
      <c r="H8" s="13" t="inlineStr">
        <is>
          <t>Protector of the Wastes</t>
        </is>
      </c>
      <c r="I8" s="13" t="inlineStr">
        <is>
          <t>Protector of the Wastes</t>
        </is>
      </c>
      <c r="J8" s="13" t="inlineStr">
        <is>
          <t>Protector of the Wastes</t>
        </is>
      </c>
      <c r="K8" s="13" t="inlineStr">
        <is>
          <t>Protector of the Wastes</t>
        </is>
      </c>
      <c r="L8" s="13" t="inlineStr">
        <is>
          <t>Protector of the Wastes</t>
        </is>
      </c>
      <c r="M8" s="30" t="inlineStr">
        <is>
          <t>Fun Max</t>
        </is>
      </c>
      <c r="N8" s="31">
        <f>INDEX(B8:L8,MATCH(M8,$B$5:$L$5,0))</f>
        <v/>
      </c>
      <c r="O8" s="22">
        <f>IFERROR(VLOOKUP(N8,Prices!$A:$B,2,FALSE),0)</f>
        <v/>
      </c>
      <c r="P8" s="32">
        <f>IFERROR(INDEX('_why_1o'!$B4:$L4,MATCH(M8,$B$5:$L$5,0)),"")</f>
        <v/>
      </c>
    </row>
    <row r="9">
      <c r="A9" s="28" t="n">
        <v>4</v>
      </c>
      <c r="B9" s="33" t="inlineStr">
        <is>
          <t>Reunion of the House</t>
        </is>
      </c>
      <c r="C9" s="33" t="inlineStr">
        <is>
          <t>Reunion of the House</t>
        </is>
      </c>
      <c r="D9" s="33" t="inlineStr">
        <is>
          <t>Reunion of the House</t>
        </is>
      </c>
      <c r="E9" s="33" t="inlineStr">
        <is>
          <t>Reunion of the House</t>
        </is>
      </c>
      <c r="F9" s="33" t="inlineStr">
        <is>
          <t>Reunion of the House</t>
        </is>
      </c>
      <c r="G9" s="33" t="inlineStr">
        <is>
          <t>Reunion of the House</t>
        </is>
      </c>
      <c r="H9" s="33" t="inlineStr">
        <is>
          <t>Reunion of the House</t>
        </is>
      </c>
      <c r="I9" s="33" t="inlineStr">
        <is>
          <t>Reunion of the House</t>
        </is>
      </c>
      <c r="J9" s="34" t="inlineStr">
        <is>
          <t>Golgari Charm</t>
        </is>
      </c>
      <c r="K9" s="33" t="inlineStr">
        <is>
          <t>Reunion of the House</t>
        </is>
      </c>
      <c r="L9" s="34" t="inlineStr">
        <is>
          <t>Cloud's Limit Break</t>
        </is>
      </c>
      <c r="M9" s="30" t="inlineStr">
        <is>
          <t>Fun Max</t>
        </is>
      </c>
      <c r="N9" s="31">
        <f>INDEX(B9:L9,MATCH(M9,$B$5:$L$5,0))</f>
        <v/>
      </c>
      <c r="O9" s="22">
        <f>IFERROR(VLOOKUP(N9,Prices!$A:$B,2,FALSE),0)</f>
        <v/>
      </c>
      <c r="P9" s="32">
        <f>IFERROR(INDEX('_why_1o'!$B5:$L5,MATCH(M9,$B$5:$L$5,0)),"")</f>
        <v/>
      </c>
    </row>
    <row r="10">
      <c r="A10" s="28" t="n">
        <v>5</v>
      </c>
      <c r="B10" s="13" t="inlineStr">
        <is>
          <t>Jaws of Defeat</t>
        </is>
      </c>
      <c r="C10" s="29" t="inlineStr">
        <is>
          <t>Ozolith, the Shattered Spire</t>
        </is>
      </c>
      <c r="D10" s="29" t="inlineStr">
        <is>
          <t>Ozolith, the Shattered Spire</t>
        </is>
      </c>
      <c r="E10" s="29" t="inlineStr">
        <is>
          <t>Ozolith, the Shattered Spire</t>
        </is>
      </c>
      <c r="F10" s="29" t="inlineStr">
        <is>
          <t>Authority of the Consuls</t>
        </is>
      </c>
      <c r="G10" s="29" t="inlineStr">
        <is>
          <t>Authority of the Consuls</t>
        </is>
      </c>
      <c r="H10" s="29" t="inlineStr">
        <is>
          <t>Authority of the Consuls</t>
        </is>
      </c>
      <c r="I10" s="29" t="inlineStr">
        <is>
          <t>Valorous Stance</t>
        </is>
      </c>
      <c r="J10" s="29" t="inlineStr">
        <is>
          <t>Venat, Heart of Hydaelyn // Hydaelyn, the Mothercrystal</t>
        </is>
      </c>
      <c r="K10" s="29" t="inlineStr">
        <is>
          <t>Valorous Stance</t>
        </is>
      </c>
      <c r="L10" s="29" t="inlineStr">
        <is>
          <t>Giant's Boulder</t>
        </is>
      </c>
      <c r="M10" s="30" t="inlineStr">
        <is>
          <t>Fun Max</t>
        </is>
      </c>
      <c r="N10" s="31">
        <f>INDEX(B10:L10,MATCH(M10,$B$5:$L$5,0))</f>
        <v/>
      </c>
      <c r="O10" s="22">
        <f>IFERROR(VLOOKUP(N10,Prices!$A:$B,2,FALSE),0)</f>
        <v/>
      </c>
      <c r="P10" s="32">
        <f>IFERROR(INDEX('_why_1o'!$B6:$L6,MATCH(M10,$B$5:$L$5,0)),"")</f>
        <v/>
      </c>
    </row>
    <row r="11">
      <c r="A11" s="28" t="n">
        <v>6</v>
      </c>
      <c r="B11" s="33" t="inlineStr">
        <is>
          <t>Tip the Scales</t>
        </is>
      </c>
      <c r="C11" s="33" t="inlineStr">
        <is>
          <t>Tip the Scales</t>
        </is>
      </c>
      <c r="D11" s="34" t="inlineStr">
        <is>
          <t>Hardened Scales</t>
        </is>
      </c>
      <c r="E11" s="34" t="inlineStr">
        <is>
          <t>Soul Warden</t>
        </is>
      </c>
      <c r="F11" s="34" t="inlineStr">
        <is>
          <t>Zodiark, Umbral God</t>
        </is>
      </c>
      <c r="G11" s="34" t="inlineStr">
        <is>
          <t>Zodiark, Umbral God</t>
        </is>
      </c>
      <c r="H11" s="34" t="inlineStr">
        <is>
          <t>Zodiark, Umbral God</t>
        </is>
      </c>
      <c r="I11" s="34" t="inlineStr">
        <is>
          <t>Golgari Charm</t>
        </is>
      </c>
      <c r="J11" s="34" t="inlineStr">
        <is>
          <t>Origin of Metalbending</t>
        </is>
      </c>
      <c r="K11" s="34" t="inlineStr">
        <is>
          <t>Golgari Charm</t>
        </is>
      </c>
      <c r="L11" s="34" t="inlineStr">
        <is>
          <t>Venat, Heart of Hydaelyn // Hydaelyn, the Mothercrystal</t>
        </is>
      </c>
      <c r="M11" s="30" t="inlineStr">
        <is>
          <t>Fun Max</t>
        </is>
      </c>
      <c r="N11" s="31">
        <f>INDEX(B11:L11,MATCH(M11,$B$5:$L$5,0))</f>
        <v/>
      </c>
      <c r="O11" s="22">
        <f>IFERROR(VLOOKUP(N11,Prices!$A:$B,2,FALSE),0)</f>
        <v/>
      </c>
      <c r="P11" s="32">
        <f>IFERROR(INDEX('_why_1o'!$B7:$L7,MATCH(M11,$B$5:$L$5,0)),"")</f>
        <v/>
      </c>
    </row>
    <row r="12">
      <c r="A12" s="28" t="n">
        <v>7</v>
      </c>
      <c r="B12" s="13" t="inlineStr">
        <is>
          <t>Will of the Abzan</t>
        </is>
      </c>
      <c r="C12" s="13" t="inlineStr">
        <is>
          <t>Will of the Abzan</t>
        </is>
      </c>
      <c r="D12" s="13" t="inlineStr">
        <is>
          <t>Will of the Abzan</t>
        </is>
      </c>
      <c r="E12" s="13" t="inlineStr">
        <is>
          <t>Will of the Abzan</t>
        </is>
      </c>
      <c r="F12" s="29" t="inlineStr">
        <is>
          <t>Valorous Stance</t>
        </is>
      </c>
      <c r="G12" s="29" t="inlineStr">
        <is>
          <t>Valorous Stance</t>
        </is>
      </c>
      <c r="H12" s="29" t="inlineStr">
        <is>
          <t>Valorous Stance</t>
        </is>
      </c>
      <c r="I12" s="29" t="inlineStr">
        <is>
          <t>Golgari Grave-Troll</t>
        </is>
      </c>
      <c r="J12" s="13" t="inlineStr">
        <is>
          <t>Will of the Abzan</t>
        </is>
      </c>
      <c r="K12" s="29" t="inlineStr">
        <is>
          <t>Golgari Grave-Troll</t>
        </is>
      </c>
      <c r="L12" s="13" t="inlineStr">
        <is>
          <t>Will of the Abzan</t>
        </is>
      </c>
      <c r="M12" s="30" t="inlineStr">
        <is>
          <t>Fun Max</t>
        </is>
      </c>
      <c r="N12" s="31">
        <f>INDEX(B12:L12,MATCH(M12,$B$5:$L$5,0))</f>
        <v/>
      </c>
      <c r="O12" s="22">
        <f>IFERROR(VLOOKUP(N12,Prices!$A:$B,2,FALSE),0)</f>
        <v/>
      </c>
      <c r="P12" s="32">
        <f>IFERROR(INDEX('_why_1o'!$B8:$L8,MATCH(M12,$B$5:$L$5,0)),"")</f>
        <v/>
      </c>
    </row>
    <row r="13">
      <c r="A13" s="28" t="n">
        <v>8</v>
      </c>
      <c r="B13" s="33" t="inlineStr">
        <is>
          <t>Arbor Adherent</t>
        </is>
      </c>
      <c r="C13" s="33" t="inlineStr">
        <is>
          <t>Arbor Adherent</t>
        </is>
      </c>
      <c r="D13" s="34" t="inlineStr">
        <is>
          <t>Well of Lost Dreams</t>
        </is>
      </c>
      <c r="E13" s="33" t="inlineStr">
        <is>
          <t>Arbor Adherent</t>
        </is>
      </c>
      <c r="F13" s="34" t="inlineStr">
        <is>
          <t>Blood Artist</t>
        </is>
      </c>
      <c r="G13" s="34" t="inlineStr">
        <is>
          <t>Blood Artist</t>
        </is>
      </c>
      <c r="H13" s="34" t="inlineStr">
        <is>
          <t>Blood Artist</t>
        </is>
      </c>
      <c r="I13" s="33" t="inlineStr">
        <is>
          <t>Arbor Adherent</t>
        </is>
      </c>
      <c r="J13" s="34" t="inlineStr">
        <is>
          <t>Snuff Out</t>
        </is>
      </c>
      <c r="K13" s="33" t="inlineStr">
        <is>
          <t>Arbor Adherent</t>
        </is>
      </c>
      <c r="L13" s="34" t="inlineStr">
        <is>
          <t>Abrupt Decay</t>
        </is>
      </c>
      <c r="M13" s="30" t="inlineStr">
        <is>
          <t>Fun Max</t>
        </is>
      </c>
      <c r="N13" s="31">
        <f>INDEX(B13:L13,MATCH(M13,$B$5:$L$5,0))</f>
        <v/>
      </c>
      <c r="O13" s="22">
        <f>IFERROR(VLOOKUP(N13,Prices!$A:$B,2,FALSE),0)</f>
        <v/>
      </c>
      <c r="P13" s="32">
        <f>IFERROR(INDEX('_why_1o'!$B9:$L9,MATCH(M13,$B$5:$L$5,0)),"")</f>
        <v/>
      </c>
    </row>
    <row r="14">
      <c r="A14" s="28" t="n">
        <v>9</v>
      </c>
      <c r="B14" s="13" t="inlineStr">
        <is>
          <t>Canopy Gargantuan</t>
        </is>
      </c>
      <c r="C14" s="13" t="inlineStr">
        <is>
          <t>Canopy Gargantuan</t>
        </is>
      </c>
      <c r="D14" s="13" t="inlineStr">
        <is>
          <t>Canopy Gargantuan</t>
        </is>
      </c>
      <c r="E14" s="13" t="inlineStr">
        <is>
          <t>Canopy Gargantuan</t>
        </is>
      </c>
      <c r="F14" s="13" t="inlineStr">
        <is>
          <t>Canopy Gargantuan</t>
        </is>
      </c>
      <c r="G14" s="13" t="inlineStr">
        <is>
          <t>Canopy Gargantuan</t>
        </is>
      </c>
      <c r="H14" s="13" t="inlineStr">
        <is>
          <t>Canopy Gargantuan</t>
        </is>
      </c>
      <c r="I14" s="13" t="inlineStr">
        <is>
          <t>Canopy Gargantuan</t>
        </is>
      </c>
      <c r="J14" s="13" t="inlineStr">
        <is>
          <t>Canopy Gargantuan</t>
        </is>
      </c>
      <c r="K14" s="13" t="inlineStr">
        <is>
          <t>Canopy Gargantuan</t>
        </is>
      </c>
      <c r="L14" s="13" t="inlineStr">
        <is>
          <t>Canopy Gargantuan</t>
        </is>
      </c>
      <c r="M14" s="30" t="inlineStr">
        <is>
          <t>Fun Max</t>
        </is>
      </c>
      <c r="N14" s="31">
        <f>INDEX(B14:L14,MATCH(M14,$B$5:$L$5,0))</f>
        <v/>
      </c>
      <c r="O14" s="22">
        <f>IFERROR(VLOOKUP(N14,Prices!$A:$B,2,FALSE),0)</f>
        <v/>
      </c>
      <c r="P14" s="32">
        <f>IFERROR(INDEX('_why_1o'!$B10:$L10,MATCH(M14,$B$5:$L$5,0)),"")</f>
        <v/>
      </c>
    </row>
    <row r="15">
      <c r="A15" s="28" t="n">
        <v>10</v>
      </c>
      <c r="B15" s="33" t="inlineStr">
        <is>
          <t>Rampart Architect</t>
        </is>
      </c>
      <c r="C15" s="33" t="inlineStr">
        <is>
          <t>Rampart Architect</t>
        </is>
      </c>
      <c r="D15" s="33" t="inlineStr">
        <is>
          <t>Rampart Architect</t>
        </is>
      </c>
      <c r="E15" s="33" t="inlineStr">
        <is>
          <t>Rampart Architect</t>
        </is>
      </c>
      <c r="F15" s="33" t="inlineStr">
        <is>
          <t>Rampart Architect</t>
        </is>
      </c>
      <c r="G15" s="33" t="inlineStr">
        <is>
          <t>Rampart Architect</t>
        </is>
      </c>
      <c r="H15" s="33" t="inlineStr">
        <is>
          <t>Rampart Architect</t>
        </is>
      </c>
      <c r="I15" s="33" t="inlineStr">
        <is>
          <t>Rampart Architect</t>
        </is>
      </c>
      <c r="J15" s="33" t="inlineStr">
        <is>
          <t>Rampart Architect</t>
        </is>
      </c>
      <c r="K15" s="33" t="inlineStr">
        <is>
          <t>Rampart Architect</t>
        </is>
      </c>
      <c r="L15" s="33" t="inlineStr">
        <is>
          <t>Rampart Architect</t>
        </is>
      </c>
      <c r="M15" s="30" t="inlineStr">
        <is>
          <t>Fun Max</t>
        </is>
      </c>
      <c r="N15" s="31">
        <f>INDEX(B15:L15,MATCH(M15,$B$5:$L$5,0))</f>
        <v/>
      </c>
      <c r="O15" s="22">
        <f>IFERROR(VLOOKUP(N15,Prices!$A:$B,2,FALSE),0)</f>
        <v/>
      </c>
      <c r="P15" s="32">
        <f>IFERROR(INDEX('_why_1o'!$B11:$L11,MATCH(M15,$B$5:$L$5,0)),"")</f>
        <v/>
      </c>
    </row>
    <row r="16">
      <c r="A16" s="28" t="n">
        <v>11</v>
      </c>
      <c r="B16" s="13" t="inlineStr">
        <is>
          <t>Tree of Redemption</t>
        </is>
      </c>
      <c r="C16" s="13" t="inlineStr">
        <is>
          <t>Tree of Redemption</t>
        </is>
      </c>
      <c r="D16" s="13" t="inlineStr">
        <is>
          <t>Tree of Redemption</t>
        </is>
      </c>
      <c r="E16" s="13" t="inlineStr">
        <is>
          <t>Tree of Redemption</t>
        </is>
      </c>
      <c r="F16" s="13" t="inlineStr">
        <is>
          <t>Tree of Redemption</t>
        </is>
      </c>
      <c r="G16" s="13" t="inlineStr">
        <is>
          <t>Tree of Redemption</t>
        </is>
      </c>
      <c r="H16" s="13" t="inlineStr">
        <is>
          <t>Tree of Redemption</t>
        </is>
      </c>
      <c r="I16" s="13" t="inlineStr">
        <is>
          <t>Tree of Redemption</t>
        </is>
      </c>
      <c r="J16" s="13" t="inlineStr">
        <is>
          <t>Tree of Redemption</t>
        </is>
      </c>
      <c r="K16" s="13" t="inlineStr">
        <is>
          <t>Tree of Redemption</t>
        </is>
      </c>
      <c r="L16" s="13" t="inlineStr">
        <is>
          <t>Tree of Redemption</t>
        </is>
      </c>
      <c r="M16" s="30" t="inlineStr">
        <is>
          <t>Fun Max</t>
        </is>
      </c>
      <c r="N16" s="31">
        <f>INDEX(B16:L16,MATCH(M16,$B$5:$L$5,0))</f>
        <v/>
      </c>
      <c r="O16" s="22">
        <f>IFERROR(VLOOKUP(N16,Prices!$A:$B,2,FALSE),0)</f>
        <v/>
      </c>
      <c r="P16" s="32">
        <f>IFERROR(INDEX('_why_1o'!$B12:$L12,MATCH(M16,$B$5:$L$5,0)),"")</f>
        <v/>
      </c>
    </row>
    <row r="17">
      <c r="A17" s="28" t="n">
        <v>12</v>
      </c>
      <c r="B17" s="33" t="inlineStr">
        <is>
          <t>Ikra Shidiqi, the Usurper</t>
        </is>
      </c>
      <c r="C17" s="34" t="inlineStr">
        <is>
          <t>Hardened Scales</t>
        </is>
      </c>
      <c r="D17" s="34" t="inlineStr">
        <is>
          <t>Inspiring Call</t>
        </is>
      </c>
      <c r="E17" s="34" t="inlineStr">
        <is>
          <t>Authority of the Consuls</t>
        </is>
      </c>
      <c r="F17" s="34" t="inlineStr">
        <is>
          <t>Soul Warden</t>
        </is>
      </c>
      <c r="G17" s="34" t="inlineStr">
        <is>
          <t>Soul Warden</t>
        </is>
      </c>
      <c r="H17" s="34" t="inlineStr">
        <is>
          <t>Soul Warden</t>
        </is>
      </c>
      <c r="I17" s="34" t="inlineStr">
        <is>
          <t>Origin of Metalbending</t>
        </is>
      </c>
      <c r="J17" s="34" t="inlineStr">
        <is>
          <t>Damn</t>
        </is>
      </c>
      <c r="K17" s="34" t="inlineStr">
        <is>
          <t>Origin of Metalbending</t>
        </is>
      </c>
      <c r="L17" s="34" t="inlineStr">
        <is>
          <t>Valorous Stance</t>
        </is>
      </c>
      <c r="M17" s="30" t="inlineStr">
        <is>
          <t>Fun Max</t>
        </is>
      </c>
      <c r="N17" s="31">
        <f>INDEX(B17:L17,MATCH(M17,$B$5:$L$5,0))</f>
        <v/>
      </c>
      <c r="O17" s="22">
        <f>IFERROR(VLOOKUP(N17,Prices!$A:$B,2,FALSE),0)</f>
        <v/>
      </c>
      <c r="P17" s="32">
        <f>IFERROR(INDEX('_why_1o'!$B13:$L13,MATCH(M17,$B$5:$L$5,0)),"")</f>
        <v/>
      </c>
    </row>
    <row r="18">
      <c r="A18" s="28" t="n">
        <v>13</v>
      </c>
      <c r="B18" s="13" t="inlineStr">
        <is>
          <t>Baldin, Century Herdmaster</t>
        </is>
      </c>
      <c r="C18" s="13" t="inlineStr">
        <is>
          <t>Baldin, Century Herdmaster</t>
        </is>
      </c>
      <c r="D18" s="13" t="inlineStr">
        <is>
          <t>Baldin, Century Herdmaster</t>
        </is>
      </c>
      <c r="E18" s="13" t="inlineStr">
        <is>
          <t>Baldin, Century Herdmaster</t>
        </is>
      </c>
      <c r="F18" s="13" t="inlineStr">
        <is>
          <t>Baldin, Century Herdmaster</t>
        </is>
      </c>
      <c r="G18" s="13" t="inlineStr">
        <is>
          <t>Baldin, Century Herdmaster</t>
        </is>
      </c>
      <c r="H18" s="13" t="inlineStr">
        <is>
          <t>Baldin, Century Herdmaster</t>
        </is>
      </c>
      <c r="I18" s="13" t="inlineStr">
        <is>
          <t>Baldin, Century Herdmaster</t>
        </is>
      </c>
      <c r="J18" s="13" t="inlineStr">
        <is>
          <t>Baldin, Century Herdmaster</t>
        </is>
      </c>
      <c r="K18" s="13" t="inlineStr">
        <is>
          <t>Baldin, Century Herdmaster</t>
        </is>
      </c>
      <c r="L18" s="13" t="inlineStr">
        <is>
          <t>Baldin, Century Herdmaster</t>
        </is>
      </c>
      <c r="M18" s="30" t="inlineStr">
        <is>
          <t>Fun Max</t>
        </is>
      </c>
      <c r="N18" s="31">
        <f>INDEX(B18:L18,MATCH(M18,$B$5:$L$5,0))</f>
        <v/>
      </c>
      <c r="O18" s="22">
        <f>IFERROR(VLOOKUP(N18,Prices!$A:$B,2,FALSE),0)</f>
        <v/>
      </c>
      <c r="P18" s="32">
        <f>IFERROR(INDEX('_why_1o'!$B14:$L14,MATCH(M18,$B$5:$L$5,0)),"")</f>
        <v/>
      </c>
    </row>
    <row r="19">
      <c r="A19" s="28" t="n">
        <v>14</v>
      </c>
      <c r="B19" s="33" t="inlineStr">
        <is>
          <t>Expel the Interlopers</t>
        </is>
      </c>
      <c r="C19" s="33" t="inlineStr">
        <is>
          <t>Expel the Interlopers</t>
        </is>
      </c>
      <c r="D19" s="33" t="inlineStr">
        <is>
          <t>Expel the Interlopers</t>
        </is>
      </c>
      <c r="E19" s="33" t="inlineStr">
        <is>
          <t>Expel the Interlopers</t>
        </is>
      </c>
      <c r="F19" s="34" t="inlineStr">
        <is>
          <t>Golgari Charm</t>
        </is>
      </c>
      <c r="G19" s="34" t="inlineStr">
        <is>
          <t>Golgari Charm</t>
        </is>
      </c>
      <c r="H19" s="34" t="inlineStr">
        <is>
          <t>Golgari Charm</t>
        </is>
      </c>
      <c r="I19" s="34" t="inlineStr">
        <is>
          <t>Betor, Kin to All</t>
        </is>
      </c>
      <c r="J19" s="34" t="inlineStr">
        <is>
          <t>Valorous Stance</t>
        </is>
      </c>
      <c r="K19" s="34" t="inlineStr">
        <is>
          <t>Betor, Kin to All</t>
        </is>
      </c>
      <c r="L19" s="34" t="inlineStr">
        <is>
          <t>Origin of Metalbending</t>
        </is>
      </c>
      <c r="M19" s="30" t="inlineStr">
        <is>
          <t>Fun Max</t>
        </is>
      </c>
      <c r="N19" s="31">
        <f>INDEX(B19:L19,MATCH(M19,$B$5:$L$5,0))</f>
        <v/>
      </c>
      <c r="O19" s="22">
        <f>IFERROR(VLOOKUP(N19,Prices!$A:$B,2,FALSE),0)</f>
        <v/>
      </c>
      <c r="P19" s="32">
        <f>IFERROR(INDEX('_why_1o'!$B15:$L15,MATCH(M19,$B$5:$L$5,0)),"")</f>
        <v/>
      </c>
    </row>
    <row r="20">
      <c r="A20" s="28" t="n">
        <v>15</v>
      </c>
      <c r="B20" s="13" t="inlineStr">
        <is>
          <t>Indomitable Ancients</t>
        </is>
      </c>
      <c r="C20" s="13" t="inlineStr">
        <is>
          <t>Indomitable Ancients</t>
        </is>
      </c>
      <c r="D20" s="13" t="inlineStr">
        <is>
          <t>Indomitable Ancients</t>
        </is>
      </c>
      <c r="E20" s="13" t="inlineStr">
        <is>
          <t>Indomitable Ancients</t>
        </is>
      </c>
      <c r="F20" s="13" t="inlineStr">
        <is>
          <t>Indomitable Ancients</t>
        </is>
      </c>
      <c r="G20" s="13" t="inlineStr">
        <is>
          <t>Indomitable Ancients</t>
        </is>
      </c>
      <c r="H20" s="13" t="inlineStr">
        <is>
          <t>Indomitable Ancients</t>
        </is>
      </c>
      <c r="I20" s="13" t="inlineStr">
        <is>
          <t>Indomitable Ancients</t>
        </is>
      </c>
      <c r="J20" s="13" t="inlineStr">
        <is>
          <t>Indomitable Ancients</t>
        </is>
      </c>
      <c r="K20" s="13" t="inlineStr">
        <is>
          <t>Indomitable Ancients</t>
        </is>
      </c>
      <c r="L20" s="13" t="inlineStr">
        <is>
          <t>Indomitable Ancients</t>
        </is>
      </c>
      <c r="M20" s="30" t="inlineStr">
        <is>
          <t>Fun Max</t>
        </is>
      </c>
      <c r="N20" s="31">
        <f>INDEX(B20:L20,MATCH(M20,$B$5:$L$5,0))</f>
        <v/>
      </c>
      <c r="O20" s="22">
        <f>IFERROR(VLOOKUP(N20,Prices!$A:$B,2,FALSE),0)</f>
        <v/>
      </c>
      <c r="P20" s="32">
        <f>IFERROR(INDEX('_why_1o'!$B16:$L16,MATCH(M20,$B$5:$L$5,0)),"")</f>
        <v/>
      </c>
    </row>
    <row r="21">
      <c r="A21" s="28" t="n">
        <v>16</v>
      </c>
      <c r="B21" s="33" t="inlineStr">
        <is>
          <t>Rhox Faithmender</t>
        </is>
      </c>
      <c r="C21" s="33" t="inlineStr">
        <is>
          <t>Rhox Faithmender</t>
        </is>
      </c>
      <c r="D21" s="33" t="inlineStr">
        <is>
          <t>Rhox Faithmender</t>
        </is>
      </c>
      <c r="E21" s="33" t="inlineStr">
        <is>
          <t>Rhox Faithmender</t>
        </is>
      </c>
      <c r="F21" s="33" t="inlineStr">
        <is>
          <t>Rhox Faithmender</t>
        </is>
      </c>
      <c r="G21" s="33" t="inlineStr">
        <is>
          <t>Rhox Faithmender</t>
        </is>
      </c>
      <c r="H21" s="33" t="inlineStr">
        <is>
          <t>Rhox Faithmender</t>
        </is>
      </c>
      <c r="I21" s="33" t="inlineStr">
        <is>
          <t>Rhox Faithmender</t>
        </is>
      </c>
      <c r="J21" s="33" t="inlineStr">
        <is>
          <t>Rhox Faithmender</t>
        </is>
      </c>
      <c r="K21" s="33" t="inlineStr">
        <is>
          <t>Rhox Faithmender</t>
        </is>
      </c>
      <c r="L21" s="33" t="inlineStr">
        <is>
          <t>Rhox Faithmender</t>
        </is>
      </c>
      <c r="M21" s="30" t="inlineStr">
        <is>
          <t>Fun Max</t>
        </is>
      </c>
      <c r="N21" s="31">
        <f>INDEX(B21:L21,MATCH(M21,$B$5:$L$5,0))</f>
        <v/>
      </c>
      <c r="O21" s="22">
        <f>IFERROR(VLOOKUP(N21,Prices!$A:$B,2,FALSE),0)</f>
        <v/>
      </c>
      <c r="P21" s="32">
        <f>IFERROR(INDEX('_why_1o'!$B17:$L17,MATCH(M21,$B$5:$L$5,0)),"")</f>
        <v/>
      </c>
    </row>
    <row r="22">
      <c r="A22" s="28" t="n">
        <v>17</v>
      </c>
      <c r="B22" s="13" t="inlineStr">
        <is>
          <t>Shalai, Voice of Plenty</t>
        </is>
      </c>
      <c r="C22" s="13" t="inlineStr">
        <is>
          <t>Shalai, Voice of Plenty</t>
        </is>
      </c>
      <c r="D22" s="13" t="inlineStr">
        <is>
          <t>Shalai, Voice of Plenty</t>
        </is>
      </c>
      <c r="E22" s="13" t="inlineStr">
        <is>
          <t>Shalai, Voice of Plenty</t>
        </is>
      </c>
      <c r="F22" s="13" t="inlineStr">
        <is>
          <t>Shalai, Voice of Plenty</t>
        </is>
      </c>
      <c r="G22" s="13" t="inlineStr">
        <is>
          <t>Shalai, Voice of Plenty</t>
        </is>
      </c>
      <c r="H22" s="13" t="inlineStr">
        <is>
          <t>Shalai, Voice of Plenty</t>
        </is>
      </c>
      <c r="I22" s="13" t="inlineStr">
        <is>
          <t>Shalai, Voice of Plenty</t>
        </is>
      </c>
      <c r="J22" s="13" t="inlineStr">
        <is>
          <t>Shalai, Voice of Plenty</t>
        </is>
      </c>
      <c r="K22" s="13" t="inlineStr">
        <is>
          <t>Shalai, Voice of Plenty</t>
        </is>
      </c>
      <c r="L22" s="13" t="inlineStr">
        <is>
          <t>Shalai, Voice of Plenty</t>
        </is>
      </c>
      <c r="M22" s="30" t="inlineStr">
        <is>
          <t>Fun Max</t>
        </is>
      </c>
      <c r="N22" s="31">
        <f>INDEX(B22:L22,MATCH(M22,$B$5:$L$5,0))</f>
        <v/>
      </c>
      <c r="O22" s="22">
        <f>IFERROR(VLOOKUP(N22,Prices!$A:$B,2,FALSE),0)</f>
        <v/>
      </c>
      <c r="P22" s="32">
        <f>IFERROR(INDEX('_why_1o'!$B18:$L18,MATCH(M22,$B$5:$L$5,0)),"")</f>
        <v/>
      </c>
    </row>
    <row r="23">
      <c r="A23" s="28" t="n">
        <v>18</v>
      </c>
      <c r="B23" s="33" t="inlineStr">
        <is>
          <t>Wakestone Gargoyle</t>
        </is>
      </c>
      <c r="C23" s="33" t="inlineStr">
        <is>
          <t>Wakestone Gargoyle</t>
        </is>
      </c>
      <c r="D23" s="33" t="inlineStr">
        <is>
          <t>Wakestone Gargoyle</t>
        </is>
      </c>
      <c r="E23" s="33" t="inlineStr">
        <is>
          <t>Wakestone Gargoyle</t>
        </is>
      </c>
      <c r="F23" s="34" t="inlineStr">
        <is>
          <t>Venat, Heart of Hydaelyn // Hydaelyn, the Mothercrystal</t>
        </is>
      </c>
      <c r="G23" s="34" t="inlineStr">
        <is>
          <t>Venat, Heart of Hydaelyn // Hydaelyn, the Mothercrystal</t>
        </is>
      </c>
      <c r="H23" s="34" t="inlineStr">
        <is>
          <t>Venat, Heart of Hydaelyn // Hydaelyn, the Mothercrystal</t>
        </is>
      </c>
      <c r="I23" s="33" t="inlineStr">
        <is>
          <t>Wakestone Gargoyle</t>
        </is>
      </c>
      <c r="J23" s="33" t="inlineStr">
        <is>
          <t>Wakestone Gargoyle</t>
        </is>
      </c>
      <c r="K23" s="33" t="inlineStr">
        <is>
          <t>Wakestone Gargoyle</t>
        </is>
      </c>
      <c r="L23" s="34" t="inlineStr">
        <is>
          <t>Kogla, the Titan Ape</t>
        </is>
      </c>
      <c r="M23" s="30" t="inlineStr">
        <is>
          <t>Fun Max</t>
        </is>
      </c>
      <c r="N23" s="31">
        <f>INDEX(B23:L23,MATCH(M23,$B$5:$L$5,0))</f>
        <v/>
      </c>
      <c r="O23" s="22">
        <f>IFERROR(VLOOKUP(N23,Prices!$A:$B,2,FALSE),0)</f>
        <v/>
      </c>
      <c r="P23" s="32">
        <f>IFERROR(INDEX('_why_1o'!$B19:$L19,MATCH(M23,$B$5:$L$5,0)),"")</f>
        <v/>
      </c>
    </row>
    <row r="24">
      <c r="A24" s="28" t="n">
        <v>19</v>
      </c>
      <c r="B24" s="13" t="inlineStr">
        <is>
          <t>Wall of Reverence</t>
        </is>
      </c>
      <c r="C24" s="13" t="inlineStr">
        <is>
          <t>Wall of Reverence</t>
        </is>
      </c>
      <c r="D24" s="13" t="inlineStr">
        <is>
          <t>Wall of Reverence</t>
        </is>
      </c>
      <c r="E24" s="13" t="inlineStr">
        <is>
          <t>Wall of Reverence</t>
        </is>
      </c>
      <c r="F24" s="29" t="inlineStr">
        <is>
          <t>Putrefy</t>
        </is>
      </c>
      <c r="G24" s="29" t="inlineStr">
        <is>
          <t>Putrefy</t>
        </is>
      </c>
      <c r="H24" s="29" t="inlineStr">
        <is>
          <t>Putrefy</t>
        </is>
      </c>
      <c r="I24" s="13" t="inlineStr">
        <is>
          <t>Wall of Reverence</t>
        </is>
      </c>
      <c r="J24" s="13" t="inlineStr">
        <is>
          <t>Wall of Reverence</t>
        </is>
      </c>
      <c r="K24" s="13" t="inlineStr">
        <is>
          <t>Wall of Reverence</t>
        </is>
      </c>
      <c r="L24" s="13" t="inlineStr">
        <is>
          <t>Wall of Reverence</t>
        </is>
      </c>
      <c r="M24" s="30" t="inlineStr">
        <is>
          <t>Fun Max</t>
        </is>
      </c>
      <c r="N24" s="31">
        <f>INDEX(B24:L24,MATCH(M24,$B$5:$L$5,0))</f>
        <v/>
      </c>
      <c r="O24" s="22">
        <f>IFERROR(VLOOKUP(N24,Prices!$A:$B,2,FALSE),0)</f>
        <v/>
      </c>
      <c r="P24" s="32">
        <f>IFERROR(INDEX('_why_1o'!$B20:$L20,MATCH(M24,$B$5:$L$5,0)),"")</f>
        <v/>
      </c>
    </row>
    <row r="25">
      <c r="A25" s="28" t="n">
        <v>20</v>
      </c>
      <c r="B25" s="33" t="inlineStr">
        <is>
          <t>Welcoming Vampire</t>
        </is>
      </c>
      <c r="C25" s="33" t="inlineStr">
        <is>
          <t>Welcoming Vampire</t>
        </is>
      </c>
      <c r="D25" s="33" t="inlineStr">
        <is>
          <t>Welcoming Vampire</t>
        </is>
      </c>
      <c r="E25" s="33" t="inlineStr">
        <is>
          <t>Welcoming Vampire</t>
        </is>
      </c>
      <c r="F25" s="33" t="inlineStr">
        <is>
          <t>Welcoming Vampire</t>
        </is>
      </c>
      <c r="G25" s="33" t="inlineStr">
        <is>
          <t>Welcoming Vampire</t>
        </is>
      </c>
      <c r="H25" s="33" t="inlineStr">
        <is>
          <t>Welcoming Vampire</t>
        </is>
      </c>
      <c r="I25" s="33" t="inlineStr">
        <is>
          <t>Welcoming Vampire</t>
        </is>
      </c>
      <c r="J25" s="33" t="inlineStr">
        <is>
          <t>Welcoming Vampire</t>
        </is>
      </c>
      <c r="K25" s="33" t="inlineStr">
        <is>
          <t>Welcoming Vampire</t>
        </is>
      </c>
      <c r="L25" s="33" t="inlineStr">
        <is>
          <t>Welcoming Vampire</t>
        </is>
      </c>
      <c r="M25" s="30" t="inlineStr">
        <is>
          <t>Fun Max</t>
        </is>
      </c>
      <c r="N25" s="31">
        <f>INDEX(B25:L25,MATCH(M25,$B$5:$L$5,0))</f>
        <v/>
      </c>
      <c r="O25" s="22">
        <f>IFERROR(VLOOKUP(N25,Prices!$A:$B,2,FALSE),0)</f>
        <v/>
      </c>
      <c r="P25" s="32">
        <f>IFERROR(INDEX('_why_1o'!$B21:$L21,MATCH(M25,$B$5:$L$5,0)),"")</f>
        <v/>
      </c>
    </row>
    <row r="26">
      <c r="A26" s="28" t="n">
        <v>21</v>
      </c>
      <c r="B26" s="13" t="inlineStr">
        <is>
          <t>Zetalpa, Primal Dawn</t>
        </is>
      </c>
      <c r="C26" s="13" t="inlineStr">
        <is>
          <t>Zetalpa, Primal Dawn</t>
        </is>
      </c>
      <c r="D26" s="13" t="inlineStr">
        <is>
          <t>Zetalpa, Primal Dawn</t>
        </is>
      </c>
      <c r="E26" s="13" t="inlineStr">
        <is>
          <t>Zetalpa, Primal Dawn</t>
        </is>
      </c>
      <c r="F26" s="29" t="inlineStr">
        <is>
          <t>Origin of Metalbending</t>
        </is>
      </c>
      <c r="G26" s="29" t="inlineStr">
        <is>
          <t>Origin of Metalbending</t>
        </is>
      </c>
      <c r="H26" s="29" t="inlineStr">
        <is>
          <t>Origin of Metalbending</t>
        </is>
      </c>
      <c r="I26" s="13" t="inlineStr">
        <is>
          <t>Zetalpa, Primal Dawn</t>
        </is>
      </c>
      <c r="J26" s="13" t="inlineStr">
        <is>
          <t>Zetalpa, Primal Dawn</t>
        </is>
      </c>
      <c r="K26" s="13" t="inlineStr">
        <is>
          <t>Zetalpa, Primal Dawn</t>
        </is>
      </c>
      <c r="L26" s="13" t="inlineStr">
        <is>
          <t>Zetalpa, Primal Dawn</t>
        </is>
      </c>
      <c r="M26" s="30" t="inlineStr">
        <is>
          <t>Fun Max</t>
        </is>
      </c>
      <c r="N26" s="31">
        <f>INDEX(B26:L26,MATCH(M26,$B$5:$L$5,0))</f>
        <v/>
      </c>
      <c r="O26" s="22">
        <f>IFERROR(VLOOKUP(N26,Prices!$A:$B,2,FALSE),0)</f>
        <v/>
      </c>
      <c r="P26" s="32">
        <f>IFERROR(INDEX('_why_1o'!$B22:$L22,MATCH(M26,$B$5:$L$5,0)),"")</f>
        <v/>
      </c>
    </row>
    <row r="27">
      <c r="A27" s="28" t="n">
        <v>22</v>
      </c>
      <c r="B27" s="33" t="inlineStr">
        <is>
          <t>Arasta of the Endless Web</t>
        </is>
      </c>
      <c r="C27" s="34" t="inlineStr">
        <is>
          <t>Well of Lost Dreams</t>
        </is>
      </c>
      <c r="D27" s="34" t="inlineStr">
        <is>
          <t>Soul Warden</t>
        </is>
      </c>
      <c r="E27" s="34" t="inlineStr">
        <is>
          <t>Trelasarra, Moon Dancer</t>
        </is>
      </c>
      <c r="F27" s="34" t="inlineStr">
        <is>
          <t>Betor, Kin to All</t>
        </is>
      </c>
      <c r="G27" s="34" t="inlineStr">
        <is>
          <t>Betor, Kin to All</t>
        </is>
      </c>
      <c r="H27" s="34" t="inlineStr">
        <is>
          <t>Betor, Kin to All</t>
        </is>
      </c>
      <c r="I27" s="34" t="inlineStr">
        <is>
          <t>Ozolith, the Shattered Spire</t>
        </is>
      </c>
      <c r="J27" s="34" t="inlineStr">
        <is>
          <t>Betor, Kin to All</t>
        </is>
      </c>
      <c r="K27" s="34" t="inlineStr">
        <is>
          <t>Ozolith, the Shattered Spire</t>
        </is>
      </c>
      <c r="L27" s="34" t="inlineStr">
        <is>
          <t>Betor, Kin to All</t>
        </is>
      </c>
      <c r="M27" s="30" t="inlineStr">
        <is>
          <t>Fun Max</t>
        </is>
      </c>
      <c r="N27" s="31">
        <f>INDEX(B27:L27,MATCH(M27,$B$5:$L$5,0))</f>
        <v/>
      </c>
      <c r="O27" s="22">
        <f>IFERROR(VLOOKUP(N27,Prices!$A:$B,2,FALSE),0)</f>
        <v/>
      </c>
      <c r="P27" s="32">
        <f>IFERROR(INDEX('_why_1o'!$B23:$L23,MATCH(M27,$B$5:$L$5,0)),"")</f>
        <v/>
      </c>
    </row>
    <row r="28">
      <c r="A28" s="28" t="n">
        <v>23</v>
      </c>
      <c r="B28" s="13" t="inlineStr">
        <is>
          <t>Assault Formation</t>
        </is>
      </c>
      <c r="C28" s="13" t="inlineStr">
        <is>
          <t>Assault Formation</t>
        </is>
      </c>
      <c r="D28" s="13" t="inlineStr">
        <is>
          <t>Assault Formation</t>
        </is>
      </c>
      <c r="E28" s="13" t="inlineStr">
        <is>
          <t>Assault Formation</t>
        </is>
      </c>
      <c r="F28" s="13" t="inlineStr">
        <is>
          <t>Assault Formation</t>
        </is>
      </c>
      <c r="G28" s="13" t="inlineStr">
        <is>
          <t>Assault Formation</t>
        </is>
      </c>
      <c r="H28" s="13" t="inlineStr">
        <is>
          <t>Assault Formation</t>
        </is>
      </c>
      <c r="I28" s="13" t="inlineStr">
        <is>
          <t>Assault Formation</t>
        </is>
      </c>
      <c r="J28" s="13" t="inlineStr">
        <is>
          <t>Assault Formation</t>
        </is>
      </c>
      <c r="K28" s="13" t="inlineStr">
        <is>
          <t>Assault Formation</t>
        </is>
      </c>
      <c r="L28" s="13" t="inlineStr">
        <is>
          <t>Assault Formation</t>
        </is>
      </c>
      <c r="M28" s="30" t="inlineStr">
        <is>
          <t>Fun Max</t>
        </is>
      </c>
      <c r="N28" s="31">
        <f>INDEX(B28:L28,MATCH(M28,$B$5:$L$5,0))</f>
        <v/>
      </c>
      <c r="O28" s="22">
        <f>IFERROR(VLOOKUP(N28,Prices!$A:$B,2,FALSE),0)</f>
        <v/>
      </c>
      <c r="P28" s="32">
        <f>IFERROR(INDEX('_why_1o'!$B24:$L24,MATCH(M28,$B$5:$L$5,0)),"")</f>
        <v/>
      </c>
    </row>
    <row r="29">
      <c r="A29" s="28" t="n">
        <v>24</v>
      </c>
      <c r="B29" s="33" t="inlineStr">
        <is>
          <t>Hornet Nest</t>
        </is>
      </c>
      <c r="C29" s="34" t="inlineStr">
        <is>
          <t>Inspiring Call</t>
        </is>
      </c>
      <c r="D29" s="34" t="inlineStr">
        <is>
          <t>Authority of the Consuls</t>
        </is>
      </c>
      <c r="E29" s="34" t="inlineStr">
        <is>
          <t>Dawn of Hope</t>
        </is>
      </c>
      <c r="F29" s="34" t="inlineStr">
        <is>
          <t>Inspiring Call</t>
        </is>
      </c>
      <c r="G29" s="34" t="inlineStr">
        <is>
          <t>Inspiring Call</t>
        </is>
      </c>
      <c r="H29" s="34" t="inlineStr">
        <is>
          <t>The Ozolith</t>
        </is>
      </c>
      <c r="I29" s="34" t="inlineStr">
        <is>
          <t>Hardened Scales</t>
        </is>
      </c>
      <c r="J29" s="34" t="inlineStr">
        <is>
          <t>Ozolith, the Shattered Spire</t>
        </is>
      </c>
      <c r="K29" s="34" t="inlineStr">
        <is>
          <t>Hardened Scales</t>
        </is>
      </c>
      <c r="L29" s="34" t="inlineStr">
        <is>
          <t>Ozolith, the Shattered Spire</t>
        </is>
      </c>
      <c r="M29" s="30" t="inlineStr">
        <is>
          <t>Fun Max</t>
        </is>
      </c>
      <c r="N29" s="31">
        <f>INDEX(B29:L29,MATCH(M29,$B$5:$L$5,0))</f>
        <v/>
      </c>
      <c r="O29" s="22">
        <f>IFERROR(VLOOKUP(N29,Prices!$A:$B,2,FALSE),0)</f>
        <v/>
      </c>
      <c r="P29" s="32">
        <f>IFERROR(INDEX('_why_1o'!$B25:$L25,MATCH(M29,$B$5:$L$5,0)),"")</f>
        <v/>
      </c>
    </row>
    <row r="30">
      <c r="A30" s="28" t="n">
        <v>25</v>
      </c>
      <c r="B30" s="13" t="inlineStr">
        <is>
          <t>Seedborn Muse</t>
        </is>
      </c>
      <c r="C30" s="13" t="inlineStr">
        <is>
          <t>Seedborn Muse</t>
        </is>
      </c>
      <c r="D30" s="13" t="inlineStr">
        <is>
          <t>Seedborn Muse</t>
        </is>
      </c>
      <c r="E30" s="13" t="inlineStr">
        <is>
          <t>Seedborn Muse</t>
        </is>
      </c>
      <c r="F30" s="29" t="inlineStr">
        <is>
          <t>Golgari Grave-Troll</t>
        </is>
      </c>
      <c r="G30" s="29" t="inlineStr">
        <is>
          <t>Golgari Grave-Troll</t>
        </is>
      </c>
      <c r="H30" s="29" t="inlineStr">
        <is>
          <t>Golgari Grave-Troll</t>
        </is>
      </c>
      <c r="I30" s="29" t="inlineStr">
        <is>
          <t>Well of Lost Dreams</t>
        </is>
      </c>
      <c r="J30" s="13" t="inlineStr">
        <is>
          <t>Seedborn Muse</t>
        </is>
      </c>
      <c r="K30" s="29" t="inlineStr">
        <is>
          <t>Well of Lost Dreams</t>
        </is>
      </c>
      <c r="L30" s="13" t="inlineStr">
        <is>
          <t>Seedborn Muse</t>
        </is>
      </c>
      <c r="M30" s="30" t="inlineStr">
        <is>
          <t>Fun Max</t>
        </is>
      </c>
      <c r="N30" s="31">
        <f>INDEX(B30:L30,MATCH(M30,$B$5:$L$5,0))</f>
        <v/>
      </c>
      <c r="O30" s="22">
        <f>IFERROR(VLOOKUP(N30,Prices!$A:$B,2,FALSE),0)</f>
        <v/>
      </c>
      <c r="P30" s="32">
        <f>IFERROR(INDEX('_why_1o'!$B26:$L26,MATCH(M30,$B$5:$L$5,0)),"")</f>
        <v/>
      </c>
    </row>
    <row r="31">
      <c r="A31" s="28" t="n">
        <v>26</v>
      </c>
      <c r="B31" s="33" t="inlineStr">
        <is>
          <t>Sylvan Caryatid</t>
        </is>
      </c>
      <c r="C31" s="33" t="inlineStr">
        <is>
          <t>Sylvan Caryatid</t>
        </is>
      </c>
      <c r="D31" s="33" t="inlineStr">
        <is>
          <t>Sylvan Caryatid</t>
        </is>
      </c>
      <c r="E31" s="33" t="inlineStr">
        <is>
          <t>Sylvan Caryatid</t>
        </is>
      </c>
      <c r="F31" s="33" t="inlineStr">
        <is>
          <t>Sylvan Caryatid</t>
        </is>
      </c>
      <c r="G31" s="33" t="inlineStr">
        <is>
          <t>Sylvan Caryatid</t>
        </is>
      </c>
      <c r="H31" s="33" t="inlineStr">
        <is>
          <t>Sylvan Caryatid</t>
        </is>
      </c>
      <c r="I31" s="33" t="inlineStr">
        <is>
          <t>Sylvan Caryatid</t>
        </is>
      </c>
      <c r="J31" s="33" t="inlineStr">
        <is>
          <t>Sylvan Caryatid</t>
        </is>
      </c>
      <c r="K31" s="33" t="inlineStr">
        <is>
          <t>Sylvan Caryatid</t>
        </is>
      </c>
      <c r="L31" s="33" t="inlineStr">
        <is>
          <t>Sylvan Caryatid</t>
        </is>
      </c>
      <c r="M31" s="30" t="inlineStr">
        <is>
          <t>Fun Max</t>
        </is>
      </c>
      <c r="N31" s="31">
        <f>INDEX(B31:L31,MATCH(M31,$B$5:$L$5,0))</f>
        <v/>
      </c>
      <c r="O31" s="22">
        <f>IFERROR(VLOOKUP(N31,Prices!$A:$B,2,FALSE),0)</f>
        <v/>
      </c>
      <c r="P31" s="32">
        <f>IFERROR(INDEX('_why_1o'!$B27:$L27,MATCH(M31,$B$5:$L$5,0)),"")</f>
        <v/>
      </c>
    </row>
    <row r="32">
      <c r="A32" s="28" t="n">
        <v>27</v>
      </c>
      <c r="B32" s="13" t="inlineStr">
        <is>
          <t>Towering Titan</t>
        </is>
      </c>
      <c r="C32" s="13" t="inlineStr">
        <is>
          <t>Towering Titan</t>
        </is>
      </c>
      <c r="D32" s="13" t="inlineStr">
        <is>
          <t>Towering Titan</t>
        </is>
      </c>
      <c r="E32" s="13" t="inlineStr">
        <is>
          <t>Towering Titan</t>
        </is>
      </c>
      <c r="F32" s="13" t="inlineStr">
        <is>
          <t>Towering Titan</t>
        </is>
      </c>
      <c r="G32" s="13" t="inlineStr">
        <is>
          <t>Towering Titan</t>
        </is>
      </c>
      <c r="H32" s="13" t="inlineStr">
        <is>
          <t>Towering Titan</t>
        </is>
      </c>
      <c r="I32" s="13" t="inlineStr">
        <is>
          <t>Towering Titan</t>
        </is>
      </c>
      <c r="J32" s="13" t="inlineStr">
        <is>
          <t>Towering Titan</t>
        </is>
      </c>
      <c r="K32" s="13" t="inlineStr">
        <is>
          <t>Towering Titan</t>
        </is>
      </c>
      <c r="L32" s="13" t="inlineStr">
        <is>
          <t>Towering Titan</t>
        </is>
      </c>
      <c r="M32" s="30" t="inlineStr">
        <is>
          <t>Fun Max</t>
        </is>
      </c>
      <c r="N32" s="31">
        <f>INDEX(B32:L32,MATCH(M32,$B$5:$L$5,0))</f>
        <v/>
      </c>
      <c r="O32" s="22">
        <f>IFERROR(VLOOKUP(N32,Prices!$A:$B,2,FALSE),0)</f>
        <v/>
      </c>
      <c r="P32" s="32">
        <f>IFERROR(INDEX('_why_1o'!$B28:$L28,MATCH(M32,$B$5:$L$5,0)),"")</f>
        <v/>
      </c>
    </row>
    <row r="33">
      <c r="A33" s="28" t="n">
        <v>28</v>
      </c>
      <c r="B33" s="33" t="inlineStr">
        <is>
          <t>Anguished Unmaking</t>
        </is>
      </c>
      <c r="C33" s="33" t="inlineStr">
        <is>
          <t>Anguished Unmaking</t>
        </is>
      </c>
      <c r="D33" s="34" t="inlineStr">
        <is>
          <t>Pristine Talisman</t>
        </is>
      </c>
      <c r="E33" s="33" t="inlineStr">
        <is>
          <t>Anguished Unmaking</t>
        </is>
      </c>
      <c r="F33" s="34" t="inlineStr">
        <is>
          <t>Felidar Retreat</t>
        </is>
      </c>
      <c r="G33" s="34" t="inlineStr">
        <is>
          <t>Felidar Retreat</t>
        </is>
      </c>
      <c r="H33" s="34" t="inlineStr">
        <is>
          <t>Felidar Retreat</t>
        </is>
      </c>
      <c r="I33" s="33" t="inlineStr">
        <is>
          <t>Anguished Unmaking</t>
        </is>
      </c>
      <c r="J33" s="34" t="inlineStr">
        <is>
          <t>Soul Warden</t>
        </is>
      </c>
      <c r="K33" s="33" t="inlineStr">
        <is>
          <t>Anguished Unmaking</t>
        </is>
      </c>
      <c r="L33" s="34" t="inlineStr">
        <is>
          <t>Soul Warden</t>
        </is>
      </c>
      <c r="M33" s="30" t="inlineStr">
        <is>
          <t>Fun Max</t>
        </is>
      </c>
      <c r="N33" s="31">
        <f>INDEX(B33:L33,MATCH(M33,$B$5:$L$5,0))</f>
        <v/>
      </c>
      <c r="O33" s="22">
        <f>IFERROR(VLOOKUP(N33,Prices!$A:$B,2,FALSE),0)</f>
        <v/>
      </c>
      <c r="P33" s="32">
        <f>IFERROR(INDEX('_why_1o'!$B29:$L29,MATCH(M33,$B$5:$L$5,0)),"")</f>
        <v/>
      </c>
    </row>
    <row r="34">
      <c r="A34" s="28" t="n">
        <v>29</v>
      </c>
      <c r="B34" s="13" t="inlineStr">
        <is>
          <t>Dragonlord Dromoka</t>
        </is>
      </c>
      <c r="C34" s="13" t="inlineStr">
        <is>
          <t>Dragonlord Dromoka</t>
        </is>
      </c>
      <c r="D34" s="13" t="inlineStr">
        <is>
          <t>Dragonlord Dromoka</t>
        </is>
      </c>
      <c r="E34" s="13" t="inlineStr">
        <is>
          <t>Dragonlord Dromoka</t>
        </is>
      </c>
      <c r="F34" s="13" t="inlineStr">
        <is>
          <t>Dragonlord Dromoka</t>
        </is>
      </c>
      <c r="G34" s="13" t="inlineStr">
        <is>
          <t>Dragonlord Dromoka</t>
        </is>
      </c>
      <c r="H34" s="13" t="inlineStr">
        <is>
          <t>Dragonlord Dromoka</t>
        </is>
      </c>
      <c r="I34" s="29" t="inlineStr">
        <is>
          <t>Inspiring Call</t>
        </is>
      </c>
      <c r="J34" s="13" t="inlineStr">
        <is>
          <t>Dragonlord Dromoka</t>
        </is>
      </c>
      <c r="K34" s="29" t="inlineStr">
        <is>
          <t>Inspiring Call</t>
        </is>
      </c>
      <c r="L34" s="13" t="inlineStr">
        <is>
          <t>Dragonlord Dromoka</t>
        </is>
      </c>
      <c r="M34" s="30" t="inlineStr">
        <is>
          <t>Fun Max</t>
        </is>
      </c>
      <c r="N34" s="31">
        <f>INDEX(B34:L34,MATCH(M34,$B$5:$L$5,0))</f>
        <v/>
      </c>
      <c r="O34" s="22">
        <f>IFERROR(VLOOKUP(N34,Prices!$A:$B,2,FALSE),0)</f>
        <v/>
      </c>
      <c r="P34" s="32">
        <f>IFERROR(INDEX('_why_1o'!$B30:$L30,MATCH(M34,$B$5:$L$5,0)),"")</f>
        <v/>
      </c>
    </row>
    <row r="35">
      <c r="A35" s="28" t="n">
        <v>30</v>
      </c>
      <c r="B35" s="33" t="inlineStr">
        <is>
          <t>Faeburrow Elder</t>
        </is>
      </c>
      <c r="C35" s="33" t="inlineStr">
        <is>
          <t>Faeburrow Elder</t>
        </is>
      </c>
      <c r="D35" s="33" t="inlineStr">
        <is>
          <t>Faeburrow Elder</t>
        </is>
      </c>
      <c r="E35" s="33" t="inlineStr">
        <is>
          <t>Faeburrow Elder</t>
        </is>
      </c>
      <c r="F35" s="33" t="inlineStr">
        <is>
          <t>Faeburrow Elder</t>
        </is>
      </c>
      <c r="G35" s="33" t="inlineStr">
        <is>
          <t>Faeburrow Elder</t>
        </is>
      </c>
      <c r="H35" s="33" t="inlineStr">
        <is>
          <t>Faeburrow Elder</t>
        </is>
      </c>
      <c r="I35" s="33" t="inlineStr">
        <is>
          <t>Faeburrow Elder</t>
        </is>
      </c>
      <c r="J35" s="33" t="inlineStr">
        <is>
          <t>Faeburrow Elder</t>
        </is>
      </c>
      <c r="K35" s="33" t="inlineStr">
        <is>
          <t>Faeburrow Elder</t>
        </is>
      </c>
      <c r="L35" s="33" t="inlineStr">
        <is>
          <t>Faeburrow Elder</t>
        </is>
      </c>
      <c r="M35" s="30" t="inlineStr">
        <is>
          <t>Fun Max</t>
        </is>
      </c>
      <c r="N35" s="31">
        <f>INDEX(B35:L35,MATCH(M35,$B$5:$L$5,0))</f>
        <v/>
      </c>
      <c r="O35" s="22">
        <f>IFERROR(VLOOKUP(N35,Prices!$A:$B,2,FALSE),0)</f>
        <v/>
      </c>
      <c r="P35" s="32">
        <f>IFERROR(INDEX('_why_1o'!$B31:$L31,MATCH(M35,$B$5:$L$5,0)),"")</f>
        <v/>
      </c>
    </row>
    <row r="36">
      <c r="A36" s="28" t="n">
        <v>31</v>
      </c>
      <c r="B36" s="13" t="inlineStr">
        <is>
          <t>Shadrix Silverquill</t>
        </is>
      </c>
      <c r="C36" s="29" t="inlineStr">
        <is>
          <t>Soul Warden</t>
        </is>
      </c>
      <c r="D36" s="29" t="inlineStr">
        <is>
          <t>Trelasarra, Moon Dancer</t>
        </is>
      </c>
      <c r="E36" s="29" t="inlineStr">
        <is>
          <t>Phyrexian Arena</t>
        </is>
      </c>
      <c r="F36" s="29" t="inlineStr">
        <is>
          <t>Pristine Talisman</t>
        </is>
      </c>
      <c r="G36" s="29" t="inlineStr">
        <is>
          <t>Smothering Tithe</t>
        </is>
      </c>
      <c r="H36" s="29" t="inlineStr">
        <is>
          <t>Smothering Tithe</t>
        </is>
      </c>
      <c r="I36" s="29" t="inlineStr">
        <is>
          <t>Soul Warden</t>
        </is>
      </c>
      <c r="J36" s="29" t="inlineStr">
        <is>
          <t>Authority of the Consuls</t>
        </is>
      </c>
      <c r="K36" s="29" t="inlineStr">
        <is>
          <t>Soul Warden</t>
        </is>
      </c>
      <c r="L36" s="29" t="inlineStr">
        <is>
          <t>Authority of the Consuls</t>
        </is>
      </c>
      <c r="M36" s="30" t="inlineStr">
        <is>
          <t>Fun Max</t>
        </is>
      </c>
      <c r="N36" s="31">
        <f>INDEX(B36:L36,MATCH(M36,$B$5:$L$5,0))</f>
        <v/>
      </c>
      <c r="O36" s="22">
        <f>IFERROR(VLOOKUP(N36,Prices!$A:$B,2,FALSE),0)</f>
        <v/>
      </c>
      <c r="P36" s="32">
        <f>IFERROR(INDEX('_why_1o'!$B32:$L32,MATCH(M36,$B$5:$L$5,0)),"")</f>
        <v/>
      </c>
    </row>
    <row r="37">
      <c r="A37" s="28" t="n">
        <v>32</v>
      </c>
      <c r="B37" s="33" t="inlineStr">
        <is>
          <t>Sidar Kondo of Jamuraa</t>
        </is>
      </c>
      <c r="C37" s="34" t="inlineStr">
        <is>
          <t>Authority of the Consuls</t>
        </is>
      </c>
      <c r="D37" s="34" t="inlineStr">
        <is>
          <t>Dawn of Hope</t>
        </is>
      </c>
      <c r="E37" s="34" t="inlineStr">
        <is>
          <t>The Ozolith</t>
        </is>
      </c>
      <c r="F37" s="34" t="inlineStr">
        <is>
          <t>Trelasarra, Moon Dancer</t>
        </is>
      </c>
      <c r="G37" s="34" t="inlineStr">
        <is>
          <t>Trelasarra, Moon Dancer</t>
        </is>
      </c>
      <c r="H37" s="34" t="inlineStr">
        <is>
          <t>Trelasarra, Moon Dancer</t>
        </is>
      </c>
      <c r="I37" s="34" t="inlineStr">
        <is>
          <t>Authority of the Consuls</t>
        </is>
      </c>
      <c r="J37" s="34" t="inlineStr">
        <is>
          <t>Trelasarra, Moon Dancer</t>
        </is>
      </c>
      <c r="K37" s="34" t="inlineStr">
        <is>
          <t>Authority of the Consuls</t>
        </is>
      </c>
      <c r="L37" s="34" t="inlineStr">
        <is>
          <t>Trelasarra, Moon Dancer</t>
        </is>
      </c>
      <c r="M37" s="30" t="inlineStr">
        <is>
          <t>Fun Max</t>
        </is>
      </c>
      <c r="N37" s="31">
        <f>INDEX(B37:L37,MATCH(M37,$B$5:$L$5,0))</f>
        <v/>
      </c>
      <c r="O37" s="22">
        <f>IFERROR(VLOOKUP(N37,Prices!$A:$B,2,FALSE),0)</f>
        <v/>
      </c>
      <c r="P37" s="32">
        <f>IFERROR(INDEX('_why_1o'!$B33:$L33,MATCH(M37,$B$5:$L$5,0)),"")</f>
        <v/>
      </c>
    </row>
    <row r="38">
      <c r="A38" s="28" t="n">
        <v>33</v>
      </c>
      <c r="B38" s="13" t="inlineStr">
        <is>
          <t>Colfenor's Urn</t>
        </is>
      </c>
      <c r="C38" s="13" t="inlineStr">
        <is>
          <t>Colfenor's Urn</t>
        </is>
      </c>
      <c r="D38" s="13" t="inlineStr">
        <is>
          <t>Colfenor's Urn</t>
        </is>
      </c>
      <c r="E38" s="13" t="inlineStr">
        <is>
          <t>Colfenor's Urn</t>
        </is>
      </c>
      <c r="F38" s="13" t="inlineStr">
        <is>
          <t>Colfenor's Urn</t>
        </is>
      </c>
      <c r="G38" s="13" t="inlineStr">
        <is>
          <t>Colfenor's Urn</t>
        </is>
      </c>
      <c r="H38" s="13" t="inlineStr">
        <is>
          <t>Colfenor's Urn</t>
        </is>
      </c>
      <c r="I38" s="13" t="inlineStr">
        <is>
          <t>Colfenor's Urn</t>
        </is>
      </c>
      <c r="J38" s="13" t="inlineStr">
        <is>
          <t>Colfenor's Urn</t>
        </is>
      </c>
      <c r="K38" s="13" t="inlineStr">
        <is>
          <t>Colfenor's Urn</t>
        </is>
      </c>
      <c r="L38" s="13" t="inlineStr">
        <is>
          <t>Colfenor's Urn</t>
        </is>
      </c>
      <c r="M38" s="30" t="inlineStr">
        <is>
          <t>Fun Max</t>
        </is>
      </c>
      <c r="N38" s="31">
        <f>INDEX(B38:L38,MATCH(M38,$B$5:$L$5,0))</f>
        <v/>
      </c>
      <c r="O38" s="22">
        <f>IFERROR(VLOOKUP(N38,Prices!$A:$B,2,FALSE),0)</f>
        <v/>
      </c>
      <c r="P38" s="32">
        <f>IFERROR(INDEX('_why_1o'!$B34:$L34,MATCH(M38,$B$5:$L$5,0)),"")</f>
        <v/>
      </c>
    </row>
    <row r="39">
      <c r="A39" s="28" t="n">
        <v>34</v>
      </c>
      <c r="B39" s="33" t="inlineStr">
        <is>
          <t>Staff of Compleation</t>
        </is>
      </c>
      <c r="C39" s="33" t="inlineStr">
        <is>
          <t>Staff of Compleation</t>
        </is>
      </c>
      <c r="D39" s="33" t="inlineStr">
        <is>
          <t>Staff of Compleation</t>
        </is>
      </c>
      <c r="E39" s="33" t="inlineStr">
        <is>
          <t>Staff of Compleation</t>
        </is>
      </c>
      <c r="F39" s="33" t="inlineStr">
        <is>
          <t>Staff of Compleation</t>
        </is>
      </c>
      <c r="G39" s="33" t="inlineStr">
        <is>
          <t>Staff of Compleation</t>
        </is>
      </c>
      <c r="H39" s="33" t="inlineStr">
        <is>
          <t>Staff of Compleation</t>
        </is>
      </c>
      <c r="I39" s="33" t="inlineStr">
        <is>
          <t>Staff of Compleation</t>
        </is>
      </c>
      <c r="J39" s="33" t="inlineStr">
        <is>
          <t>Staff of Compleation</t>
        </is>
      </c>
      <c r="K39" s="33" t="inlineStr">
        <is>
          <t>Staff of Compleation</t>
        </is>
      </c>
      <c r="L39" s="33" t="inlineStr">
        <is>
          <t>Staff of Compleation</t>
        </is>
      </c>
      <c r="M39" s="30" t="inlineStr">
        <is>
          <t>Fun Max</t>
        </is>
      </c>
      <c r="N39" s="31">
        <f>INDEX(B39:L39,MATCH(M39,$B$5:$L$5,0))</f>
        <v/>
      </c>
      <c r="O39" s="22">
        <f>IFERROR(VLOOKUP(N39,Prices!$A:$B,2,FALSE),0)</f>
        <v/>
      </c>
      <c r="P39" s="32">
        <f>IFERROR(INDEX('_why_1o'!$B35:$L35,MATCH(M39,$B$5:$L$5,0)),"")</f>
        <v/>
      </c>
    </row>
    <row r="40">
      <c r="A40" s="28" t="n">
        <v>35</v>
      </c>
      <c r="B40" s="13" t="inlineStr">
        <is>
          <t>Weathered Sentinels</t>
        </is>
      </c>
      <c r="C40" s="13" t="inlineStr">
        <is>
          <t>Weathered Sentinels</t>
        </is>
      </c>
      <c r="D40" s="13" t="inlineStr">
        <is>
          <t>Weathered Sentinels</t>
        </is>
      </c>
      <c r="E40" s="13" t="inlineStr">
        <is>
          <t>Weathered Sentinels</t>
        </is>
      </c>
      <c r="F40" s="13" t="inlineStr">
        <is>
          <t>Weathered Sentinels</t>
        </is>
      </c>
      <c r="G40" s="13" t="inlineStr">
        <is>
          <t>Weathered Sentinels</t>
        </is>
      </c>
      <c r="H40" s="13" t="inlineStr">
        <is>
          <t>Weathered Sentinels</t>
        </is>
      </c>
      <c r="I40" s="13" t="inlineStr">
        <is>
          <t>Weathered Sentinels</t>
        </is>
      </c>
      <c r="J40" s="13" t="inlineStr">
        <is>
          <t>Weathered Sentinels</t>
        </is>
      </c>
      <c r="K40" s="13" t="inlineStr">
        <is>
          <t>Weathered Sentinels</t>
        </is>
      </c>
      <c r="L40" s="13" t="inlineStr">
        <is>
          <t>Weathered Sentinels</t>
        </is>
      </c>
      <c r="M40" s="30" t="inlineStr">
        <is>
          <t>Fun Max</t>
        </is>
      </c>
      <c r="N40" s="31">
        <f>INDEX(B40:L40,MATCH(M40,$B$5:$L$5,0))</f>
        <v/>
      </c>
      <c r="O40" s="22">
        <f>IFERROR(VLOOKUP(N40,Prices!$A:$B,2,FALSE),0)</f>
        <v/>
      </c>
      <c r="P40" s="32">
        <f>IFERROR(INDEX('_why_1o'!$B36:$L36,MATCH(M40,$B$5:$L$5,0)),"")</f>
        <v/>
      </c>
    </row>
    <row r="41">
      <c r="A41" s="28" t="n">
        <v>36</v>
      </c>
      <c r="B41" s="33" t="inlineStr">
        <is>
          <t>Canopy Vista</t>
        </is>
      </c>
      <c r="C41" s="33" t="inlineStr">
        <is>
          <t>Canopy Vista</t>
        </is>
      </c>
      <c r="D41" s="33" t="inlineStr">
        <is>
          <t>Canopy Vista</t>
        </is>
      </c>
      <c r="E41" s="33" t="inlineStr">
        <is>
          <t>Canopy Vista</t>
        </is>
      </c>
      <c r="F41" s="33" t="inlineStr">
        <is>
          <t>Canopy Vista</t>
        </is>
      </c>
      <c r="G41" s="33" t="inlineStr">
        <is>
          <t>Canopy Vista</t>
        </is>
      </c>
      <c r="H41" s="33" t="inlineStr">
        <is>
          <t>Canopy Vista</t>
        </is>
      </c>
      <c r="I41" s="33" t="inlineStr">
        <is>
          <t>Canopy Vista</t>
        </is>
      </c>
      <c r="J41" s="33" t="inlineStr">
        <is>
          <t>Canopy Vista</t>
        </is>
      </c>
      <c r="K41" s="33" t="inlineStr">
        <is>
          <t>Canopy Vista</t>
        </is>
      </c>
      <c r="L41" s="33" t="inlineStr">
        <is>
          <t>Canopy Vista</t>
        </is>
      </c>
      <c r="M41" s="30" t="inlineStr">
        <is>
          <t>Fun Max</t>
        </is>
      </c>
      <c r="N41" s="31">
        <f>INDEX(B41:L41,MATCH(M41,$B$5:$L$5,0))</f>
        <v/>
      </c>
      <c r="O41" s="22">
        <f>IFERROR(VLOOKUP(N41,Prices!$A:$B,2,FALSE),0)</f>
        <v/>
      </c>
      <c r="P41" s="32">
        <f>IFERROR(INDEX('_why_1o'!$B37:$L37,MATCH(M41,$B$5:$L$5,0)),"")</f>
        <v/>
      </c>
    </row>
    <row r="42">
      <c r="A42" s="28" t="n">
        <v>37</v>
      </c>
      <c r="B42" s="13" t="inlineStr">
        <is>
          <t>Exotic Orchard</t>
        </is>
      </c>
      <c r="C42" s="13" t="inlineStr">
        <is>
          <t>Exotic Orchard</t>
        </is>
      </c>
      <c r="D42" s="13" t="inlineStr">
        <is>
          <t>Exotic Orchard</t>
        </is>
      </c>
      <c r="E42" s="13" t="inlineStr">
        <is>
          <t>Exotic Orchard</t>
        </is>
      </c>
      <c r="F42" s="13" t="inlineStr">
        <is>
          <t>Exotic Orchard</t>
        </is>
      </c>
      <c r="G42" s="13" t="inlineStr">
        <is>
          <t>Exotic Orchard</t>
        </is>
      </c>
      <c r="H42" s="13" t="inlineStr">
        <is>
          <t>Exotic Orchard</t>
        </is>
      </c>
      <c r="I42" s="13" t="inlineStr">
        <is>
          <t>Exotic Orchard</t>
        </is>
      </c>
      <c r="J42" s="29" t="inlineStr">
        <is>
          <t>Dawn of Hope</t>
        </is>
      </c>
      <c r="K42" s="13" t="inlineStr">
        <is>
          <t>Exotic Orchard</t>
        </is>
      </c>
      <c r="L42" s="29" t="inlineStr">
        <is>
          <t>Dawn of Hope</t>
        </is>
      </c>
      <c r="M42" s="30" t="inlineStr">
        <is>
          <t>Fun Max</t>
        </is>
      </c>
      <c r="N42" s="31">
        <f>INDEX(B42:L42,MATCH(M42,$B$5:$L$5,0))</f>
        <v/>
      </c>
      <c r="O42" s="22">
        <f>IFERROR(VLOOKUP(N42,Prices!$A:$B,2,FALSE),0)</f>
        <v/>
      </c>
      <c r="P42" s="32">
        <f>IFERROR(INDEX('_why_1o'!$B38:$L38,MATCH(M42,$B$5:$L$5,0)),"")</f>
        <v/>
      </c>
    </row>
    <row r="43">
      <c r="A43" s="28" t="n">
        <v>38</v>
      </c>
      <c r="B43" s="33" t="inlineStr">
        <is>
          <t>Fortified Village</t>
        </is>
      </c>
      <c r="C43" s="33" t="inlineStr">
        <is>
          <t>Fortified Village</t>
        </is>
      </c>
      <c r="D43" s="33" t="inlineStr">
        <is>
          <t>Fortified Village</t>
        </is>
      </c>
      <c r="E43" s="33" t="inlineStr">
        <is>
          <t>Fortified Village</t>
        </is>
      </c>
      <c r="F43" s="33" t="inlineStr">
        <is>
          <t>Fortified Village</t>
        </is>
      </c>
      <c r="G43" s="33" t="inlineStr">
        <is>
          <t>Fortified Village</t>
        </is>
      </c>
      <c r="H43" s="33" t="inlineStr">
        <is>
          <t>Fortified Village</t>
        </is>
      </c>
      <c r="I43" s="33" t="inlineStr">
        <is>
          <t>Fortified Village</t>
        </is>
      </c>
      <c r="J43" s="33" t="inlineStr">
        <is>
          <t>Fortified Village</t>
        </is>
      </c>
      <c r="K43" s="33" t="inlineStr">
        <is>
          <t>Fortified Village</t>
        </is>
      </c>
      <c r="L43" s="33" t="inlineStr">
        <is>
          <t>Fortified Village</t>
        </is>
      </c>
      <c r="M43" s="30" t="inlineStr">
        <is>
          <t>Fun Max</t>
        </is>
      </c>
      <c r="N43" s="31">
        <f>INDEX(B43:L43,MATCH(M43,$B$5:$L$5,0))</f>
        <v/>
      </c>
      <c r="O43" s="22">
        <f>IFERROR(VLOOKUP(N43,Prices!$A:$B,2,FALSE),0)</f>
        <v/>
      </c>
      <c r="P43" s="32">
        <f>IFERROR(INDEX('_why_1o'!$B39:$L39,MATCH(M43,$B$5:$L$5,0)),"")</f>
        <v/>
      </c>
    </row>
    <row r="44">
      <c r="A44" s="28" t="n">
        <v>39</v>
      </c>
      <c r="B44" s="13" t="inlineStr">
        <is>
          <t>Isolated Chapel</t>
        </is>
      </c>
      <c r="C44" s="13" t="inlineStr">
        <is>
          <t>Isolated Chapel</t>
        </is>
      </c>
      <c r="D44" s="13" t="inlineStr">
        <is>
          <t>Isolated Chapel</t>
        </is>
      </c>
      <c r="E44" s="13" t="inlineStr">
        <is>
          <t>Isolated Chapel</t>
        </is>
      </c>
      <c r="F44" s="13" t="inlineStr">
        <is>
          <t>Isolated Chapel</t>
        </is>
      </c>
      <c r="G44" s="13" t="inlineStr">
        <is>
          <t>Isolated Chapel</t>
        </is>
      </c>
      <c r="H44" s="13" t="inlineStr">
        <is>
          <t>Isolated Chapel</t>
        </is>
      </c>
      <c r="I44" s="13" t="inlineStr">
        <is>
          <t>Isolated Chapel</t>
        </is>
      </c>
      <c r="J44" s="13" t="inlineStr">
        <is>
          <t>Isolated Chapel</t>
        </is>
      </c>
      <c r="K44" s="13" t="inlineStr">
        <is>
          <t>Isolated Chapel</t>
        </is>
      </c>
      <c r="L44" s="13" t="inlineStr">
        <is>
          <t>Isolated Chapel</t>
        </is>
      </c>
      <c r="M44" s="30" t="inlineStr">
        <is>
          <t>Fun Max</t>
        </is>
      </c>
      <c r="N44" s="31">
        <f>INDEX(B44:L44,MATCH(M44,$B$5:$L$5,0))</f>
        <v/>
      </c>
      <c r="O44" s="22">
        <f>IFERROR(VLOOKUP(N44,Prices!$A:$B,2,FALSE),0)</f>
        <v/>
      </c>
      <c r="P44" s="32">
        <f>IFERROR(INDEX('_why_1o'!$B40:$L40,MATCH(M44,$B$5:$L$5,0)),"")</f>
        <v/>
      </c>
    </row>
    <row r="45">
      <c r="A45" s="28" t="n">
        <v>40</v>
      </c>
      <c r="B45" s="33" t="inlineStr">
        <is>
          <t>Overgrown Farmland</t>
        </is>
      </c>
      <c r="C45" s="33" t="inlineStr">
        <is>
          <t>Overgrown Farmland</t>
        </is>
      </c>
      <c r="D45" s="33" t="inlineStr">
        <is>
          <t>Overgrown Farmland</t>
        </is>
      </c>
      <c r="E45" s="33" t="inlineStr">
        <is>
          <t>Overgrown Farmland</t>
        </is>
      </c>
      <c r="F45" s="33" t="inlineStr">
        <is>
          <t>Overgrown Farmland</t>
        </is>
      </c>
      <c r="G45" s="33" t="inlineStr">
        <is>
          <t>Overgrown Farmland</t>
        </is>
      </c>
      <c r="H45" s="33" t="inlineStr">
        <is>
          <t>Overgrown Farmland</t>
        </is>
      </c>
      <c r="I45" s="33" t="inlineStr">
        <is>
          <t>Overgrown Farmland</t>
        </is>
      </c>
      <c r="J45" s="33" t="inlineStr">
        <is>
          <t>Overgrown Farmland</t>
        </is>
      </c>
      <c r="K45" s="33" t="inlineStr">
        <is>
          <t>Overgrown Farmland</t>
        </is>
      </c>
      <c r="L45" s="33" t="inlineStr">
        <is>
          <t>Overgrown Farmland</t>
        </is>
      </c>
      <c r="M45" s="30" t="inlineStr">
        <is>
          <t>Fun Max</t>
        </is>
      </c>
      <c r="N45" s="31">
        <f>INDEX(B45:L45,MATCH(M45,$B$5:$L$5,0))</f>
        <v/>
      </c>
      <c r="O45" s="22">
        <f>IFERROR(VLOOKUP(N45,Prices!$A:$B,2,FALSE),0)</f>
        <v/>
      </c>
      <c r="P45" s="32">
        <f>IFERROR(INDEX('_why_1o'!$B41:$L41,MATCH(M45,$B$5:$L$5,0)),"")</f>
        <v/>
      </c>
    </row>
    <row r="46">
      <c r="A46" s="28" t="n">
        <v>41</v>
      </c>
      <c r="B46" s="13" t="inlineStr">
        <is>
          <t>Sungrass Prairie</t>
        </is>
      </c>
      <c r="C46" s="13" t="inlineStr">
        <is>
          <t>Sungrass Prairie</t>
        </is>
      </c>
      <c r="D46" s="13" t="inlineStr">
        <is>
          <t>Sungrass Prairie</t>
        </is>
      </c>
      <c r="E46" s="13" t="inlineStr">
        <is>
          <t>Sungrass Prairie</t>
        </is>
      </c>
      <c r="F46" s="13" t="inlineStr">
        <is>
          <t>Sungrass Prairie</t>
        </is>
      </c>
      <c r="G46" s="13" t="inlineStr">
        <is>
          <t>Sungrass Prairie</t>
        </is>
      </c>
      <c r="H46" s="13" t="inlineStr">
        <is>
          <t>Sungrass Prairie</t>
        </is>
      </c>
      <c r="I46" s="13" t="inlineStr">
        <is>
          <t>Sungrass Prairie</t>
        </is>
      </c>
      <c r="J46" s="13" t="inlineStr">
        <is>
          <t>Sungrass Prairie</t>
        </is>
      </c>
      <c r="K46" s="13" t="inlineStr">
        <is>
          <t>Sungrass Prairie</t>
        </is>
      </c>
      <c r="L46" s="13" t="inlineStr">
        <is>
          <t>Sungrass Prairie</t>
        </is>
      </c>
      <c r="M46" s="30" t="inlineStr">
        <is>
          <t>Fun Max</t>
        </is>
      </c>
      <c r="N46" s="31">
        <f>INDEX(B46:L46,MATCH(M46,$B$5:$L$5,0))</f>
        <v/>
      </c>
      <c r="O46" s="22">
        <f>IFERROR(VLOOKUP(N46,Prices!$A:$B,2,FALSE),0)</f>
        <v/>
      </c>
      <c r="P46" s="32">
        <f>IFERROR(INDEX('_why_1o'!$B42:$L42,MATCH(M46,$B$5:$L$5,0)),"")</f>
        <v/>
      </c>
    </row>
    <row r="47">
      <c r="A47" s="28" t="n">
        <v>42</v>
      </c>
      <c r="B47" s="33" t="inlineStr">
        <is>
          <t>Sunpetal Grove</t>
        </is>
      </c>
      <c r="C47" s="33" t="inlineStr">
        <is>
          <t>Sunpetal Grove</t>
        </is>
      </c>
      <c r="D47" s="33" t="inlineStr">
        <is>
          <t>Sunpetal Grove</t>
        </is>
      </c>
      <c r="E47" s="33" t="inlineStr">
        <is>
          <t>Sunpetal Grove</t>
        </is>
      </c>
      <c r="F47" s="33" t="inlineStr">
        <is>
          <t>Sunpetal Grove</t>
        </is>
      </c>
      <c r="G47" s="33" t="inlineStr">
        <is>
          <t>Sunpetal Grove</t>
        </is>
      </c>
      <c r="H47" s="33" t="inlineStr">
        <is>
          <t>Sunpetal Grove</t>
        </is>
      </c>
      <c r="I47" s="33" t="inlineStr">
        <is>
          <t>Sunpetal Grove</t>
        </is>
      </c>
      <c r="J47" s="33" t="inlineStr">
        <is>
          <t>Sunpetal Grove</t>
        </is>
      </c>
      <c r="K47" s="33" t="inlineStr">
        <is>
          <t>Sunpetal Grove</t>
        </is>
      </c>
      <c r="L47" s="33" t="inlineStr">
        <is>
          <t>Sunpetal Grove</t>
        </is>
      </c>
      <c r="M47" s="30" t="inlineStr">
        <is>
          <t>Fun Max</t>
        </is>
      </c>
      <c r="N47" s="31">
        <f>INDEX(B47:L47,MATCH(M47,$B$5:$L$5,0))</f>
        <v/>
      </c>
      <c r="O47" s="22">
        <f>IFERROR(VLOOKUP(N47,Prices!$A:$B,2,FALSE),0)</f>
        <v/>
      </c>
      <c r="P47" s="32">
        <f>IFERROR(INDEX('_why_1o'!$B43:$L43,MATCH(M47,$B$5:$L$5,0)),"")</f>
        <v/>
      </c>
    </row>
    <row r="48">
      <c r="A48" s="28" t="n">
        <v>43</v>
      </c>
      <c r="B48" s="13" t="inlineStr">
        <is>
          <t>Temple of Malady</t>
        </is>
      </c>
      <c r="C48" s="13" t="inlineStr">
        <is>
          <t>Temple of Malady</t>
        </is>
      </c>
      <c r="D48" s="13" t="inlineStr">
        <is>
          <t>Temple of Malady</t>
        </is>
      </c>
      <c r="E48" s="13" t="inlineStr">
        <is>
          <t>Temple of Malady</t>
        </is>
      </c>
      <c r="F48" s="13" t="inlineStr">
        <is>
          <t>Temple of Malady</t>
        </is>
      </c>
      <c r="G48" s="13" t="inlineStr">
        <is>
          <t>Temple of Malady</t>
        </is>
      </c>
      <c r="H48" s="13" t="inlineStr">
        <is>
          <t>Temple of Malady</t>
        </is>
      </c>
      <c r="I48" s="13" t="inlineStr">
        <is>
          <t>Temple of Malady</t>
        </is>
      </c>
      <c r="J48" s="13" t="inlineStr">
        <is>
          <t>Temple of Malady</t>
        </is>
      </c>
      <c r="K48" s="13" t="inlineStr">
        <is>
          <t>Temple of Malady</t>
        </is>
      </c>
      <c r="L48" s="13" t="inlineStr">
        <is>
          <t>Temple of Malady</t>
        </is>
      </c>
      <c r="M48" s="30" t="inlineStr">
        <is>
          <t>Fun Max</t>
        </is>
      </c>
      <c r="N48" s="31">
        <f>INDEX(B48:L48,MATCH(M48,$B$5:$L$5,0))</f>
        <v/>
      </c>
      <c r="O48" s="22">
        <f>IFERROR(VLOOKUP(N48,Prices!$A:$B,2,FALSE),0)</f>
        <v/>
      </c>
      <c r="P48" s="32">
        <f>IFERROR(INDEX('_why_1o'!$B44:$L44,MATCH(M48,$B$5:$L$5,0)),"")</f>
        <v/>
      </c>
    </row>
    <row r="49">
      <c r="A49" s="28" t="n">
        <v>44</v>
      </c>
      <c r="B49" s="33" t="inlineStr">
        <is>
          <t>Temple of Plenty</t>
        </is>
      </c>
      <c r="C49" s="33" t="inlineStr">
        <is>
          <t>Temple of Plenty</t>
        </is>
      </c>
      <c r="D49" s="33" t="inlineStr">
        <is>
          <t>Temple of Plenty</t>
        </is>
      </c>
      <c r="E49" s="33" t="inlineStr">
        <is>
          <t>Temple of Plenty</t>
        </is>
      </c>
      <c r="F49" s="33" t="inlineStr">
        <is>
          <t>Temple of Plenty</t>
        </is>
      </c>
      <c r="G49" s="33" t="inlineStr">
        <is>
          <t>Temple of Plenty</t>
        </is>
      </c>
      <c r="H49" s="33" t="inlineStr">
        <is>
          <t>Temple of Plenty</t>
        </is>
      </c>
      <c r="I49" s="33" t="inlineStr">
        <is>
          <t>Temple of Plenty</t>
        </is>
      </c>
      <c r="J49" s="34" t="inlineStr">
        <is>
          <t>Blood Artist</t>
        </is>
      </c>
      <c r="K49" s="33" t="inlineStr">
        <is>
          <t>Temple of Plenty</t>
        </is>
      </c>
      <c r="L49" s="34" t="inlineStr">
        <is>
          <t>Blood Artist</t>
        </is>
      </c>
      <c r="M49" s="30" t="inlineStr">
        <is>
          <t>Fun Max</t>
        </is>
      </c>
      <c r="N49" s="31">
        <f>INDEX(B49:L49,MATCH(M49,$B$5:$L$5,0))</f>
        <v/>
      </c>
      <c r="O49" s="22">
        <f>IFERROR(VLOOKUP(N49,Prices!$A:$B,2,FALSE),0)</f>
        <v/>
      </c>
      <c r="P49" s="32">
        <f>IFERROR(INDEX('_why_1o'!$B45:$L45,MATCH(M49,$B$5:$L$5,0)),"")</f>
        <v/>
      </c>
    </row>
    <row r="50">
      <c r="A50" s="28" t="n">
        <v>45</v>
      </c>
      <c r="B50" s="13" t="inlineStr">
        <is>
          <t>Temple of Silence</t>
        </is>
      </c>
      <c r="C50" s="13" t="inlineStr">
        <is>
          <t>Temple of Silence</t>
        </is>
      </c>
      <c r="D50" s="13" t="inlineStr">
        <is>
          <t>Temple of Silence</t>
        </is>
      </c>
      <c r="E50" s="13" t="inlineStr">
        <is>
          <t>Temple of Silence</t>
        </is>
      </c>
      <c r="F50" s="13" t="inlineStr">
        <is>
          <t>Temple of Silence</t>
        </is>
      </c>
      <c r="G50" s="13" t="inlineStr">
        <is>
          <t>Temple of Silence</t>
        </is>
      </c>
      <c r="H50" s="13" t="inlineStr">
        <is>
          <t>Temple of Silence</t>
        </is>
      </c>
      <c r="I50" s="13" t="inlineStr">
        <is>
          <t>Temple of Silence</t>
        </is>
      </c>
      <c r="J50" s="13" t="inlineStr">
        <is>
          <t>Temple of Silence</t>
        </is>
      </c>
      <c r="K50" s="13" t="inlineStr">
        <is>
          <t>Temple of Silence</t>
        </is>
      </c>
      <c r="L50" s="13" t="inlineStr">
        <is>
          <t>Temple of Silence</t>
        </is>
      </c>
      <c r="M50" s="30" t="inlineStr">
        <is>
          <t>Fun Max</t>
        </is>
      </c>
      <c r="N50" s="31">
        <f>INDEX(B50:L50,MATCH(M50,$B$5:$L$5,0))</f>
        <v/>
      </c>
      <c r="O50" s="22">
        <f>IFERROR(VLOOKUP(N50,Prices!$A:$B,2,FALSE),0)</f>
        <v/>
      </c>
      <c r="P50" s="32">
        <f>IFERROR(INDEX('_why_1o'!$B46:$L46,MATCH(M50,$B$5:$L$5,0)),"")</f>
        <v/>
      </c>
    </row>
    <row r="51">
      <c r="A51" s="28" t="n">
        <v>46</v>
      </c>
      <c r="B51" s="33" t="inlineStr">
        <is>
          <t>Twilight Mire</t>
        </is>
      </c>
      <c r="C51" s="33" t="inlineStr">
        <is>
          <t>Twilight Mire</t>
        </is>
      </c>
      <c r="D51" s="33" t="inlineStr">
        <is>
          <t>Twilight Mire</t>
        </is>
      </c>
      <c r="E51" s="33" t="inlineStr">
        <is>
          <t>Twilight Mire</t>
        </is>
      </c>
      <c r="F51" s="33" t="inlineStr">
        <is>
          <t>Twilight Mire</t>
        </is>
      </c>
      <c r="G51" s="33" t="inlineStr">
        <is>
          <t>Twilight Mire</t>
        </is>
      </c>
      <c r="H51" s="33" t="inlineStr">
        <is>
          <t>Twilight Mire</t>
        </is>
      </c>
      <c r="I51" s="33" t="inlineStr">
        <is>
          <t>Twilight Mire</t>
        </is>
      </c>
      <c r="J51" s="33" t="inlineStr">
        <is>
          <t>Twilight Mire</t>
        </is>
      </c>
      <c r="K51" s="33" t="inlineStr">
        <is>
          <t>Twilight Mire</t>
        </is>
      </c>
      <c r="L51" s="33" t="inlineStr">
        <is>
          <t>Twilight Mire</t>
        </is>
      </c>
      <c r="M51" s="30" t="inlineStr">
        <is>
          <t>Fun Max</t>
        </is>
      </c>
      <c r="N51" s="31">
        <f>INDEX(B51:L51,MATCH(M51,$B$5:$L$5,0))</f>
        <v/>
      </c>
      <c r="O51" s="22">
        <f>IFERROR(VLOOKUP(N51,Prices!$A:$B,2,FALSE),0)</f>
        <v/>
      </c>
      <c r="P51" s="32">
        <f>IFERROR(INDEX('_why_1o'!$B47:$L47,MATCH(M51,$B$5:$L$5,0)),"")</f>
        <v/>
      </c>
    </row>
    <row r="52">
      <c r="A52" s="28" t="n">
        <v>47</v>
      </c>
      <c r="B52" s="13" t="inlineStr">
        <is>
          <t>Woodland Cemetery</t>
        </is>
      </c>
      <c r="C52" s="13" t="inlineStr">
        <is>
          <t>Woodland Cemetery</t>
        </is>
      </c>
      <c r="D52" s="13" t="inlineStr">
        <is>
          <t>Woodland Cemetery</t>
        </is>
      </c>
      <c r="E52" s="13" t="inlineStr">
        <is>
          <t>Woodland Cemetery</t>
        </is>
      </c>
      <c r="F52" s="13" t="inlineStr">
        <is>
          <t>Woodland Cemetery</t>
        </is>
      </c>
      <c r="G52" s="13" t="inlineStr">
        <is>
          <t>Woodland Cemetery</t>
        </is>
      </c>
      <c r="H52" s="13" t="inlineStr">
        <is>
          <t>Woodland Cemetery</t>
        </is>
      </c>
      <c r="I52" s="13" t="inlineStr">
        <is>
          <t>Woodland Cemetery</t>
        </is>
      </c>
      <c r="J52" s="29" t="inlineStr">
        <is>
          <t>Abrupt Decay</t>
        </is>
      </c>
      <c r="K52" s="13" t="inlineStr">
        <is>
          <t>Woodland Cemetery</t>
        </is>
      </c>
      <c r="L52" s="29" t="inlineStr">
        <is>
          <t>Collective Resistance</t>
        </is>
      </c>
      <c r="M52" s="30" t="inlineStr">
        <is>
          <t>Fun Max</t>
        </is>
      </c>
      <c r="N52" s="31">
        <f>INDEX(B52:L52,MATCH(M52,$B$5:$L$5,0))</f>
        <v/>
      </c>
      <c r="O52" s="22">
        <f>IFERROR(VLOOKUP(N52,Prices!$A:$B,2,FALSE),0)</f>
        <v/>
      </c>
      <c r="P52" s="32">
        <f>IFERROR(INDEX('_why_1o'!$B48:$L48,MATCH(M52,$B$5:$L$5,0)),"")</f>
        <v/>
      </c>
    </row>
    <row r="53">
      <c r="A53" s="28" t="n">
        <v>48</v>
      </c>
      <c r="B53" s="33" t="inlineStr">
        <is>
          <t>Arcane Signet</t>
        </is>
      </c>
      <c r="C53" s="33" t="inlineStr">
        <is>
          <t>Arcane Signet</t>
        </is>
      </c>
      <c r="D53" s="33" t="inlineStr">
        <is>
          <t>Arcane Signet</t>
        </is>
      </c>
      <c r="E53" s="33" t="inlineStr">
        <is>
          <t>Arcane Signet</t>
        </is>
      </c>
      <c r="F53" s="33" t="inlineStr">
        <is>
          <t>Arcane Signet</t>
        </is>
      </c>
      <c r="G53" s="33" t="inlineStr">
        <is>
          <t>Arcane Signet</t>
        </is>
      </c>
      <c r="H53" s="33" t="inlineStr">
        <is>
          <t>Arcane Signet</t>
        </is>
      </c>
      <c r="I53" s="33" t="inlineStr">
        <is>
          <t>Arcane Signet</t>
        </is>
      </c>
      <c r="J53" s="33" t="inlineStr">
        <is>
          <t>Arcane Signet</t>
        </is>
      </c>
      <c r="K53" s="33" t="inlineStr">
        <is>
          <t>Arcane Signet</t>
        </is>
      </c>
      <c r="L53" s="33" t="inlineStr">
        <is>
          <t>Arcane Signet</t>
        </is>
      </c>
      <c r="M53" s="30" t="inlineStr">
        <is>
          <t>Fun Max</t>
        </is>
      </c>
      <c r="N53" s="31">
        <f>INDEX(B53:L53,MATCH(M53,$B$5:$L$5,0))</f>
        <v/>
      </c>
      <c r="O53" s="22">
        <f>IFERROR(VLOOKUP(N53,Prices!$A:$B,2,FALSE),0)</f>
        <v/>
      </c>
      <c r="P53" s="32">
        <f>IFERROR(INDEX('_why_1o'!$B49:$L49,MATCH(M53,$B$5:$L$5,0)),"")</f>
        <v/>
      </c>
    </row>
    <row r="54">
      <c r="A54" s="28" t="n">
        <v>49</v>
      </c>
      <c r="B54" s="13" t="inlineStr">
        <is>
          <t>Sol Ring</t>
        </is>
      </c>
      <c r="C54" s="13" t="inlineStr">
        <is>
          <t>Sol Ring</t>
        </is>
      </c>
      <c r="D54" s="13" t="inlineStr">
        <is>
          <t>Sol Ring</t>
        </is>
      </c>
      <c r="E54" s="13" t="inlineStr">
        <is>
          <t>Sol Ring</t>
        </is>
      </c>
      <c r="F54" s="13" t="inlineStr">
        <is>
          <t>Sol Ring</t>
        </is>
      </c>
      <c r="G54" s="13" t="inlineStr">
        <is>
          <t>Sol Ring</t>
        </is>
      </c>
      <c r="H54" s="13" t="inlineStr">
        <is>
          <t>Sol Ring</t>
        </is>
      </c>
      <c r="I54" s="13" t="inlineStr">
        <is>
          <t>Sol Ring</t>
        </is>
      </c>
      <c r="J54" s="13" t="inlineStr">
        <is>
          <t>Sol Ring</t>
        </is>
      </c>
      <c r="K54" s="13" t="inlineStr">
        <is>
          <t>Sol Ring</t>
        </is>
      </c>
      <c r="L54" s="13" t="inlineStr">
        <is>
          <t>Sol Ring</t>
        </is>
      </c>
      <c r="M54" s="30" t="inlineStr">
        <is>
          <t>Fun Max</t>
        </is>
      </c>
      <c r="N54" s="31">
        <f>INDEX(B54:L54,MATCH(M54,$B$5:$L$5,0))</f>
        <v/>
      </c>
      <c r="O54" s="22">
        <f>IFERROR(VLOOKUP(N54,Prices!$A:$B,2,FALSE),0)</f>
        <v/>
      </c>
      <c r="P54" s="32">
        <f>IFERROR(INDEX('_why_1o'!$B50:$L50,MATCH(M54,$B$5:$L$5,0)),"")</f>
        <v/>
      </c>
    </row>
    <row r="55">
      <c r="A55" s="28" t="n">
        <v>50</v>
      </c>
      <c r="B55" s="33" t="inlineStr">
        <is>
          <t>Command Tower</t>
        </is>
      </c>
      <c r="C55" s="33" t="inlineStr">
        <is>
          <t>Command Tower</t>
        </is>
      </c>
      <c r="D55" s="33" t="inlineStr">
        <is>
          <t>Command Tower</t>
        </is>
      </c>
      <c r="E55" s="33" t="inlineStr">
        <is>
          <t>Command Tower</t>
        </is>
      </c>
      <c r="F55" s="33" t="inlineStr">
        <is>
          <t>Command Tower</t>
        </is>
      </c>
      <c r="G55" s="33" t="inlineStr">
        <is>
          <t>Command Tower</t>
        </is>
      </c>
      <c r="H55" s="33" t="inlineStr">
        <is>
          <t>Command Tower</t>
        </is>
      </c>
      <c r="I55" s="33" t="inlineStr">
        <is>
          <t>Command Tower</t>
        </is>
      </c>
      <c r="J55" s="34" t="inlineStr">
        <is>
          <t>Phyrexian Arena</t>
        </is>
      </c>
      <c r="K55" s="33" t="inlineStr">
        <is>
          <t>Command Tower</t>
        </is>
      </c>
      <c r="L55" s="33" t="inlineStr">
        <is>
          <t>Command Tower</t>
        </is>
      </c>
      <c r="M55" s="30" t="inlineStr">
        <is>
          <t>Fun Max</t>
        </is>
      </c>
      <c r="N55" s="31">
        <f>INDEX(B55:L55,MATCH(M55,$B$5:$L$5,0))</f>
        <v/>
      </c>
      <c r="O55" s="22">
        <f>IFERROR(VLOOKUP(N55,Prices!$A:$B,2,FALSE),0)</f>
        <v/>
      </c>
      <c r="P55" s="32">
        <f>IFERROR(INDEX('_why_1o'!$B51:$L51,MATCH(M55,$B$5:$L$5,0)),"")</f>
        <v/>
      </c>
    </row>
    <row r="56">
      <c r="A56" s="28" t="n">
        <v>51</v>
      </c>
      <c r="B56" s="13" t="inlineStr">
        <is>
          <t>Nyx-Fleece Ram</t>
        </is>
      </c>
      <c r="C56" s="13" t="inlineStr">
        <is>
          <t>Nyx-Fleece Ram</t>
        </is>
      </c>
      <c r="D56" s="13" t="inlineStr">
        <is>
          <t>Nyx-Fleece Ram</t>
        </is>
      </c>
      <c r="E56" s="13" t="inlineStr">
        <is>
          <t>Nyx-Fleece Ram</t>
        </is>
      </c>
      <c r="F56" s="13" t="inlineStr">
        <is>
          <t>Nyx-Fleece Ram</t>
        </is>
      </c>
      <c r="G56" s="13" t="inlineStr">
        <is>
          <t>Nyx-Fleece Ram</t>
        </is>
      </c>
      <c r="H56" s="13" t="inlineStr">
        <is>
          <t>Nyx-Fleece Ram</t>
        </is>
      </c>
      <c r="I56" s="13" t="inlineStr">
        <is>
          <t>Nyx-Fleece Ram</t>
        </is>
      </c>
      <c r="J56" s="13" t="inlineStr">
        <is>
          <t>Nyx-Fleece Ram</t>
        </is>
      </c>
      <c r="K56" s="13" t="inlineStr">
        <is>
          <t>Nyx-Fleece Ram</t>
        </is>
      </c>
      <c r="L56" s="13" t="inlineStr">
        <is>
          <t>Nyx-Fleece Ram</t>
        </is>
      </c>
      <c r="M56" s="30" t="inlineStr">
        <is>
          <t>Fun Max</t>
        </is>
      </c>
      <c r="N56" s="31">
        <f>INDEX(B56:L56,MATCH(M56,$B$5:$L$5,0))</f>
        <v/>
      </c>
      <c r="O56" s="22">
        <f>IFERROR(VLOOKUP(N56,Prices!$A:$B,2,FALSE),0)</f>
        <v/>
      </c>
      <c r="P56" s="32">
        <f>IFERROR(INDEX('_why_1o'!$B52:$L52,MATCH(M56,$B$5:$L$5,0)),"")</f>
        <v/>
      </c>
    </row>
    <row r="57">
      <c r="A57" s="28" t="n">
        <v>52</v>
      </c>
      <c r="B57" s="33" t="inlineStr">
        <is>
          <t>Slaughter the Strong</t>
        </is>
      </c>
      <c r="C57" s="34" t="inlineStr">
        <is>
          <t>Pristine Talisman</t>
        </is>
      </c>
      <c r="D57" s="34" t="inlineStr">
        <is>
          <t>Blood Artist</t>
        </is>
      </c>
      <c r="E57" s="34" t="inlineStr">
        <is>
          <t>Smothering Tithe</t>
        </is>
      </c>
      <c r="F57" s="34" t="inlineStr">
        <is>
          <t>Dawn of Hope</t>
        </is>
      </c>
      <c r="G57" s="34" t="inlineStr">
        <is>
          <t>Dawn of Hope</t>
        </is>
      </c>
      <c r="H57" s="34" t="inlineStr">
        <is>
          <t>Dawn of Hope</t>
        </is>
      </c>
      <c r="I57" s="34" t="inlineStr">
        <is>
          <t>Pristine Talisman</t>
        </is>
      </c>
      <c r="J57" s="34" t="inlineStr">
        <is>
          <t>The Ozolith</t>
        </is>
      </c>
      <c r="K57" s="34" t="inlineStr">
        <is>
          <t>Pristine Talisman</t>
        </is>
      </c>
      <c r="L57" s="34" t="inlineStr">
        <is>
          <t>Phyrexian Arena</t>
        </is>
      </c>
      <c r="M57" s="30" t="inlineStr">
        <is>
          <t>Fun Max</t>
        </is>
      </c>
      <c r="N57" s="31">
        <f>INDEX(B57:L57,MATCH(M57,$B$5:$L$5,0))</f>
        <v/>
      </c>
      <c r="O57" s="22">
        <f>IFERROR(VLOOKUP(N57,Prices!$A:$B,2,FALSE),0)</f>
        <v/>
      </c>
      <c r="P57" s="32">
        <f>IFERROR(INDEX('_why_1o'!$B53:$L53,MATCH(M57,$B$5:$L$5,0)),"")</f>
        <v/>
      </c>
    </row>
    <row r="58">
      <c r="A58" s="28" t="n">
        <v>53</v>
      </c>
      <c r="B58" s="13" t="inlineStr">
        <is>
          <t>Swords to Plowshares</t>
        </is>
      </c>
      <c r="C58" s="13" t="inlineStr">
        <is>
          <t>Swords to Plowshares</t>
        </is>
      </c>
      <c r="D58" s="13" t="inlineStr">
        <is>
          <t>Swords to Plowshares</t>
        </is>
      </c>
      <c r="E58" s="13" t="inlineStr">
        <is>
          <t>Swords to Plowshares</t>
        </is>
      </c>
      <c r="F58" s="13" t="inlineStr">
        <is>
          <t>Swords to Plowshares</t>
        </is>
      </c>
      <c r="G58" s="13" t="inlineStr">
        <is>
          <t>Swords to Plowshares</t>
        </is>
      </c>
      <c r="H58" s="13" t="inlineStr">
        <is>
          <t>Swords to Plowshares</t>
        </is>
      </c>
      <c r="I58" s="13" t="inlineStr">
        <is>
          <t>Swords to Plowshares</t>
        </is>
      </c>
      <c r="J58" s="13" t="inlineStr">
        <is>
          <t>Swords to Plowshares</t>
        </is>
      </c>
      <c r="K58" s="13" t="inlineStr">
        <is>
          <t>Swords to Plowshares</t>
        </is>
      </c>
      <c r="L58" s="13" t="inlineStr">
        <is>
          <t>Swords to Plowshares</t>
        </is>
      </c>
      <c r="M58" s="30" t="inlineStr">
        <is>
          <t>Fun Max</t>
        </is>
      </c>
      <c r="N58" s="31">
        <f>INDEX(B58:L58,MATCH(M58,$B$5:$L$5,0))</f>
        <v/>
      </c>
      <c r="O58" s="22">
        <f>IFERROR(VLOOKUP(N58,Prices!$A:$B,2,FALSE),0)</f>
        <v/>
      </c>
      <c r="P58" s="32">
        <f>IFERROR(INDEX('_why_1o'!$B54:$L54,MATCH(M58,$B$5:$L$5,0)),"")</f>
        <v/>
      </c>
    </row>
    <row r="59">
      <c r="A59" s="28" t="n">
        <v>54</v>
      </c>
      <c r="B59" s="33" t="inlineStr">
        <is>
          <t>Wall of Omens</t>
        </is>
      </c>
      <c r="C59" s="33" t="inlineStr">
        <is>
          <t>Wall of Omens</t>
        </is>
      </c>
      <c r="D59" s="33" t="inlineStr">
        <is>
          <t>Wall of Omens</t>
        </is>
      </c>
      <c r="E59" s="33" t="inlineStr">
        <is>
          <t>Wall of Omens</t>
        </is>
      </c>
      <c r="F59" s="33" t="inlineStr">
        <is>
          <t>Wall of Omens</t>
        </is>
      </c>
      <c r="G59" s="33" t="inlineStr">
        <is>
          <t>Wall of Omens</t>
        </is>
      </c>
      <c r="H59" s="33" t="inlineStr">
        <is>
          <t>Wall of Omens</t>
        </is>
      </c>
      <c r="I59" s="33" t="inlineStr">
        <is>
          <t>Wall of Omens</t>
        </is>
      </c>
      <c r="J59" s="33" t="inlineStr">
        <is>
          <t>Wall of Omens</t>
        </is>
      </c>
      <c r="K59" s="33" t="inlineStr">
        <is>
          <t>Wall of Omens</t>
        </is>
      </c>
      <c r="L59" s="33" t="inlineStr">
        <is>
          <t>Wall of Omens</t>
        </is>
      </c>
      <c r="M59" s="30" t="inlineStr">
        <is>
          <t>Fun Max</t>
        </is>
      </c>
      <c r="N59" s="31">
        <f>INDEX(B59:L59,MATCH(M59,$B$5:$L$5,0))</f>
        <v/>
      </c>
      <c r="O59" s="22">
        <f>IFERROR(VLOOKUP(N59,Prices!$A:$B,2,FALSE),0)</f>
        <v/>
      </c>
      <c r="P59" s="32">
        <f>IFERROR(INDEX('_why_1o'!$B55:$L55,MATCH(M59,$B$5:$L$5,0)),"")</f>
        <v/>
      </c>
    </row>
    <row r="60">
      <c r="A60" s="28" t="n">
        <v>55</v>
      </c>
      <c r="B60" s="13" t="inlineStr">
        <is>
          <t>Wingmantle Chaplain</t>
        </is>
      </c>
      <c r="C60" s="13" t="inlineStr">
        <is>
          <t>Wingmantle Chaplain</t>
        </is>
      </c>
      <c r="D60" s="13" t="inlineStr">
        <is>
          <t>Wingmantle Chaplain</t>
        </is>
      </c>
      <c r="E60" s="13" t="inlineStr">
        <is>
          <t>Wingmantle Chaplain</t>
        </is>
      </c>
      <c r="F60" s="13" t="inlineStr">
        <is>
          <t>Wingmantle Chaplain</t>
        </is>
      </c>
      <c r="G60" s="13" t="inlineStr">
        <is>
          <t>Wingmantle Chaplain</t>
        </is>
      </c>
      <c r="H60" s="13" t="inlineStr">
        <is>
          <t>Wingmantle Chaplain</t>
        </is>
      </c>
      <c r="I60" s="13" t="inlineStr">
        <is>
          <t>Wingmantle Chaplain</t>
        </is>
      </c>
      <c r="J60" s="13" t="inlineStr">
        <is>
          <t>Wingmantle Chaplain</t>
        </is>
      </c>
      <c r="K60" s="13" t="inlineStr">
        <is>
          <t>Wingmantle Chaplain</t>
        </is>
      </c>
      <c r="L60" s="13" t="inlineStr">
        <is>
          <t>Wingmantle Chaplain</t>
        </is>
      </c>
      <c r="M60" s="30" t="inlineStr">
        <is>
          <t>Fun Max</t>
        </is>
      </c>
      <c r="N60" s="31">
        <f>INDEX(B60:L60,MATCH(M60,$B$5:$L$5,0))</f>
        <v/>
      </c>
      <c r="O60" s="22">
        <f>IFERROR(VLOOKUP(N60,Prices!$A:$B,2,FALSE),0)</f>
        <v/>
      </c>
      <c r="P60" s="32">
        <f>IFERROR(INDEX('_why_1o'!$B56:$L56,MATCH(M60,$B$5:$L$5,0)),"")</f>
        <v/>
      </c>
    </row>
    <row r="61">
      <c r="A61" s="28" t="n">
        <v>56</v>
      </c>
      <c r="B61" s="33" t="inlineStr">
        <is>
          <t>Behind the Scenes</t>
        </is>
      </c>
      <c r="C61" s="33" t="inlineStr">
        <is>
          <t>Behind the Scenes</t>
        </is>
      </c>
      <c r="D61" s="33" t="inlineStr">
        <is>
          <t>Behind the Scenes</t>
        </is>
      </c>
      <c r="E61" s="33" t="inlineStr">
        <is>
          <t>Behind the Scenes</t>
        </is>
      </c>
      <c r="F61" s="33" t="inlineStr">
        <is>
          <t>Behind the Scenes</t>
        </is>
      </c>
      <c r="G61" s="33" t="inlineStr">
        <is>
          <t>Behind the Scenes</t>
        </is>
      </c>
      <c r="H61" s="33" t="inlineStr">
        <is>
          <t>Behind the Scenes</t>
        </is>
      </c>
      <c r="I61" s="33" t="inlineStr">
        <is>
          <t>Behind the Scenes</t>
        </is>
      </c>
      <c r="J61" s="33" t="inlineStr">
        <is>
          <t>Behind the Scenes</t>
        </is>
      </c>
      <c r="K61" s="33" t="inlineStr">
        <is>
          <t>Behind the Scenes</t>
        </is>
      </c>
      <c r="L61" s="33" t="inlineStr">
        <is>
          <t>Behind the Scenes</t>
        </is>
      </c>
      <c r="M61" s="30" t="inlineStr">
        <is>
          <t>Fun Max</t>
        </is>
      </c>
      <c r="N61" s="31">
        <f>INDEX(B61:L61,MATCH(M61,$B$5:$L$5,0))</f>
        <v/>
      </c>
      <c r="O61" s="22">
        <f>IFERROR(VLOOKUP(N61,Prices!$A:$B,2,FALSE),0)</f>
        <v/>
      </c>
      <c r="P61" s="32">
        <f>IFERROR(INDEX('_why_1o'!$B57:$L57,MATCH(M61,$B$5:$L$5,0)),"")</f>
        <v/>
      </c>
    </row>
    <row r="62">
      <c r="A62" s="28" t="n">
        <v>57</v>
      </c>
      <c r="B62" s="13" t="inlineStr">
        <is>
          <t>Blight Pile</t>
        </is>
      </c>
      <c r="C62" s="29" t="inlineStr">
        <is>
          <t>Trelasarra, Moon Dancer</t>
        </is>
      </c>
      <c r="D62" s="29" t="inlineStr">
        <is>
          <t>Kami of Whispered Hopes</t>
        </is>
      </c>
      <c r="E62" s="29" t="inlineStr">
        <is>
          <t>Innkeeper's Talent</t>
        </is>
      </c>
      <c r="F62" s="29" t="inlineStr">
        <is>
          <t>Ozolith, the Shattered Spire</t>
        </is>
      </c>
      <c r="G62" s="29" t="inlineStr">
        <is>
          <t>Ozolith, the Shattered Spire</t>
        </is>
      </c>
      <c r="H62" s="29" t="inlineStr">
        <is>
          <t>Ozolith, the Shattered Spire</t>
        </is>
      </c>
      <c r="I62" s="29" t="inlineStr">
        <is>
          <t>Trelasarra, Moon Dancer</t>
        </is>
      </c>
      <c r="J62" s="29" t="inlineStr">
        <is>
          <t>Smothering Tithe</t>
        </is>
      </c>
      <c r="K62" s="29" t="inlineStr">
        <is>
          <t>Trelasarra, Moon Dancer</t>
        </is>
      </c>
      <c r="L62" s="29" t="inlineStr">
        <is>
          <t>The Ozolith</t>
        </is>
      </c>
      <c r="M62" s="30" t="inlineStr">
        <is>
          <t>Fun Max</t>
        </is>
      </c>
      <c r="N62" s="31">
        <f>INDEX(B62:L62,MATCH(M62,$B$5:$L$5,0))</f>
        <v/>
      </c>
      <c r="O62" s="22">
        <f>IFERROR(VLOOKUP(N62,Prices!$A:$B,2,FALSE),0)</f>
        <v/>
      </c>
      <c r="P62" s="32">
        <f>IFERROR(INDEX('_why_1o'!$B58:$L58,MATCH(M62,$B$5:$L$5,0)),"")</f>
        <v/>
      </c>
    </row>
    <row r="63">
      <c r="A63" s="28" t="n">
        <v>58</v>
      </c>
      <c r="B63" s="33" t="inlineStr">
        <is>
          <t>Feed the Swarm</t>
        </is>
      </c>
      <c r="C63" s="33" t="inlineStr">
        <is>
          <t>Feed the Swarm</t>
        </is>
      </c>
      <c r="D63" s="33" t="inlineStr">
        <is>
          <t>Feed the Swarm</t>
        </is>
      </c>
      <c r="E63" s="33" t="inlineStr">
        <is>
          <t>Feed the Swarm</t>
        </is>
      </c>
      <c r="F63" s="33" t="inlineStr">
        <is>
          <t>Feed the Swarm</t>
        </is>
      </c>
      <c r="G63" s="33" t="inlineStr">
        <is>
          <t>Feed the Swarm</t>
        </is>
      </c>
      <c r="H63" s="33" t="inlineStr">
        <is>
          <t>Feed the Swarm</t>
        </is>
      </c>
      <c r="I63" s="33" t="inlineStr">
        <is>
          <t>Feed the Swarm</t>
        </is>
      </c>
      <c r="J63" s="33" t="inlineStr">
        <is>
          <t>Feed the Swarm</t>
        </is>
      </c>
      <c r="K63" s="33" t="inlineStr">
        <is>
          <t>Feed the Swarm</t>
        </is>
      </c>
      <c r="L63" s="33" t="inlineStr">
        <is>
          <t>Feed the Swarm</t>
        </is>
      </c>
      <c r="M63" s="30" t="inlineStr">
        <is>
          <t>Fun Max</t>
        </is>
      </c>
      <c r="N63" s="31">
        <f>INDEX(B63:L63,MATCH(M63,$B$5:$L$5,0))</f>
        <v/>
      </c>
      <c r="O63" s="22">
        <f>IFERROR(VLOOKUP(N63,Prices!$A:$B,2,FALSE),0)</f>
        <v/>
      </c>
      <c r="P63" s="32">
        <f>IFERROR(INDEX('_why_1o'!$B59:$L59,MATCH(M63,$B$5:$L$5,0)),"")</f>
        <v/>
      </c>
    </row>
    <row r="64">
      <c r="A64" s="28" t="n">
        <v>59</v>
      </c>
      <c r="B64" s="13" t="inlineStr">
        <is>
          <t>Infernal Grasp</t>
        </is>
      </c>
      <c r="C64" s="13" t="inlineStr">
        <is>
          <t>Infernal Grasp</t>
        </is>
      </c>
      <c r="D64" s="13" t="inlineStr">
        <is>
          <t>Infernal Grasp</t>
        </is>
      </c>
      <c r="E64" s="13" t="inlineStr">
        <is>
          <t>Infernal Grasp</t>
        </is>
      </c>
      <c r="F64" s="13" t="inlineStr">
        <is>
          <t>Infernal Grasp</t>
        </is>
      </c>
      <c r="G64" s="13" t="inlineStr">
        <is>
          <t>Infernal Grasp</t>
        </is>
      </c>
      <c r="H64" s="13" t="inlineStr">
        <is>
          <t>Infernal Grasp</t>
        </is>
      </c>
      <c r="I64" s="13" t="inlineStr">
        <is>
          <t>Infernal Grasp</t>
        </is>
      </c>
      <c r="J64" s="13" t="inlineStr">
        <is>
          <t>Infernal Grasp</t>
        </is>
      </c>
      <c r="K64" s="13" t="inlineStr">
        <is>
          <t>Infernal Grasp</t>
        </is>
      </c>
      <c r="L64" s="13" t="inlineStr">
        <is>
          <t>Infernal Grasp</t>
        </is>
      </c>
      <c r="M64" s="30" t="inlineStr">
        <is>
          <t>Fun Max</t>
        </is>
      </c>
      <c r="N64" s="31">
        <f>INDEX(B64:L64,MATCH(M64,$B$5:$L$5,0))</f>
        <v/>
      </c>
      <c r="O64" s="22">
        <f>IFERROR(VLOOKUP(N64,Prices!$A:$B,2,FALSE),0)</f>
        <v/>
      </c>
      <c r="P64" s="32">
        <f>IFERROR(INDEX('_why_1o'!$B60:$L60,MATCH(M64,$B$5:$L$5,0)),"")</f>
        <v/>
      </c>
    </row>
    <row r="65">
      <c r="A65" s="28" t="n">
        <v>60</v>
      </c>
      <c r="B65" s="33" t="inlineStr">
        <is>
          <t>Wall of Limbs</t>
        </is>
      </c>
      <c r="C65" s="33" t="inlineStr">
        <is>
          <t>Wall of Limbs</t>
        </is>
      </c>
      <c r="D65" s="33" t="inlineStr">
        <is>
          <t>Wall of Limbs</t>
        </is>
      </c>
      <c r="E65" s="33" t="inlineStr">
        <is>
          <t>Wall of Limbs</t>
        </is>
      </c>
      <c r="F65" s="33" t="inlineStr">
        <is>
          <t>Wall of Limbs</t>
        </is>
      </c>
      <c r="G65" s="33" t="inlineStr">
        <is>
          <t>Wall of Limbs</t>
        </is>
      </c>
      <c r="H65" s="33" t="inlineStr">
        <is>
          <t>Wall of Limbs</t>
        </is>
      </c>
      <c r="I65" s="33" t="inlineStr">
        <is>
          <t>Wall of Limbs</t>
        </is>
      </c>
      <c r="J65" s="33" t="inlineStr">
        <is>
          <t>Wall of Limbs</t>
        </is>
      </c>
      <c r="K65" s="33" t="inlineStr">
        <is>
          <t>Wall of Limbs</t>
        </is>
      </c>
      <c r="L65" s="33" t="inlineStr">
        <is>
          <t>Wall of Limbs</t>
        </is>
      </c>
      <c r="M65" s="30" t="inlineStr">
        <is>
          <t>Fun Max</t>
        </is>
      </c>
      <c r="N65" s="31">
        <f>INDEX(B65:L65,MATCH(M65,$B$5:$L$5,0))</f>
        <v/>
      </c>
      <c r="O65" s="22">
        <f>IFERROR(VLOOKUP(N65,Prices!$A:$B,2,FALSE),0)</f>
        <v/>
      </c>
      <c r="P65" s="32">
        <f>IFERROR(INDEX('_why_1o'!$B61:$L61,MATCH(M65,$B$5:$L$5,0)),"")</f>
        <v/>
      </c>
    </row>
    <row r="66">
      <c r="A66" s="28" t="n">
        <v>61</v>
      </c>
      <c r="B66" s="13" t="inlineStr">
        <is>
          <t>Arboreal Grazer</t>
        </is>
      </c>
      <c r="C66" s="13" t="inlineStr">
        <is>
          <t>Arboreal Grazer</t>
        </is>
      </c>
      <c r="D66" s="13" t="inlineStr">
        <is>
          <t>Arboreal Grazer</t>
        </is>
      </c>
      <c r="E66" s="13" t="inlineStr">
        <is>
          <t>Arboreal Grazer</t>
        </is>
      </c>
      <c r="F66" s="13" t="inlineStr">
        <is>
          <t>Arboreal Grazer</t>
        </is>
      </c>
      <c r="G66" s="13" t="inlineStr">
        <is>
          <t>Arboreal Grazer</t>
        </is>
      </c>
      <c r="H66" s="13" t="inlineStr">
        <is>
          <t>Arboreal Grazer</t>
        </is>
      </c>
      <c r="I66" s="13" t="inlineStr">
        <is>
          <t>Arboreal Grazer</t>
        </is>
      </c>
      <c r="J66" s="13" t="inlineStr">
        <is>
          <t>Arboreal Grazer</t>
        </is>
      </c>
      <c r="K66" s="13" t="inlineStr">
        <is>
          <t>Arboreal Grazer</t>
        </is>
      </c>
      <c r="L66" s="13" t="inlineStr">
        <is>
          <t>Arboreal Grazer</t>
        </is>
      </c>
      <c r="M66" s="30" t="inlineStr">
        <is>
          <t>Fun Max</t>
        </is>
      </c>
      <c r="N66" s="31">
        <f>INDEX(B66:L66,MATCH(M66,$B$5:$L$5,0))</f>
        <v/>
      </c>
      <c r="O66" s="22">
        <f>IFERROR(VLOOKUP(N66,Prices!$A:$B,2,FALSE),0)</f>
        <v/>
      </c>
      <c r="P66" s="32">
        <f>IFERROR(INDEX('_why_1o'!$B62:$L62,MATCH(M66,$B$5:$L$5,0)),"")</f>
        <v/>
      </c>
    </row>
    <row r="67">
      <c r="A67" s="28" t="n">
        <v>62</v>
      </c>
      <c r="B67" s="33" t="inlineStr">
        <is>
          <t>Axebane Guardian</t>
        </is>
      </c>
      <c r="C67" s="33" t="inlineStr">
        <is>
          <t>Axebane Guardian</t>
        </is>
      </c>
      <c r="D67" s="33" t="inlineStr">
        <is>
          <t>Axebane Guardian</t>
        </is>
      </c>
      <c r="E67" s="33" t="inlineStr">
        <is>
          <t>Axebane Guardian</t>
        </is>
      </c>
      <c r="F67" s="33" t="inlineStr">
        <is>
          <t>Axebane Guardian</t>
        </is>
      </c>
      <c r="G67" s="33" t="inlineStr">
        <is>
          <t>Axebane Guardian</t>
        </is>
      </c>
      <c r="H67" s="33" t="inlineStr">
        <is>
          <t>Axebane Guardian</t>
        </is>
      </c>
      <c r="I67" s="33" t="inlineStr">
        <is>
          <t>Axebane Guardian</t>
        </is>
      </c>
      <c r="J67" s="33" t="inlineStr">
        <is>
          <t>Axebane Guardian</t>
        </is>
      </c>
      <c r="K67" s="33" t="inlineStr">
        <is>
          <t>Axebane Guardian</t>
        </is>
      </c>
      <c r="L67" s="33" t="inlineStr">
        <is>
          <t>Axebane Guardian</t>
        </is>
      </c>
      <c r="M67" s="30" t="inlineStr">
        <is>
          <t>Fun Max</t>
        </is>
      </c>
      <c r="N67" s="31">
        <f>INDEX(B67:L67,MATCH(M67,$B$5:$L$5,0))</f>
        <v/>
      </c>
      <c r="O67" s="22">
        <f>IFERROR(VLOOKUP(N67,Prices!$A:$B,2,FALSE),0)</f>
        <v/>
      </c>
      <c r="P67" s="32">
        <f>IFERROR(INDEX('_why_1o'!$B63:$L63,MATCH(M67,$B$5:$L$5,0)),"")</f>
        <v/>
      </c>
    </row>
    <row r="68">
      <c r="A68" s="28" t="n">
        <v>63</v>
      </c>
      <c r="B68" s="13" t="inlineStr">
        <is>
          <t>Carven Caryatid</t>
        </is>
      </c>
      <c r="C68" s="13" t="inlineStr">
        <is>
          <t>Carven Caryatid</t>
        </is>
      </c>
      <c r="D68" s="13" t="inlineStr">
        <is>
          <t>Carven Caryatid</t>
        </is>
      </c>
      <c r="E68" s="13" t="inlineStr">
        <is>
          <t>Carven Caryatid</t>
        </is>
      </c>
      <c r="F68" s="13" t="inlineStr">
        <is>
          <t>Carven Caryatid</t>
        </is>
      </c>
      <c r="G68" s="13" t="inlineStr">
        <is>
          <t>Carven Caryatid</t>
        </is>
      </c>
      <c r="H68" s="13" t="inlineStr">
        <is>
          <t>Carven Caryatid</t>
        </is>
      </c>
      <c r="I68" s="13" t="inlineStr">
        <is>
          <t>Carven Caryatid</t>
        </is>
      </c>
      <c r="J68" s="13" t="inlineStr">
        <is>
          <t>Carven Caryatid</t>
        </is>
      </c>
      <c r="K68" s="13" t="inlineStr">
        <is>
          <t>Carven Caryatid</t>
        </is>
      </c>
      <c r="L68" s="13" t="inlineStr">
        <is>
          <t>Carven Caryatid</t>
        </is>
      </c>
      <c r="M68" s="30" t="inlineStr">
        <is>
          <t>Fun Max</t>
        </is>
      </c>
      <c r="N68" s="31">
        <f>INDEX(B68:L68,MATCH(M68,$B$5:$L$5,0))</f>
        <v/>
      </c>
      <c r="O68" s="22">
        <f>IFERROR(VLOOKUP(N68,Prices!$A:$B,2,FALSE),0)</f>
        <v/>
      </c>
      <c r="P68" s="32">
        <f>IFERROR(INDEX('_why_1o'!$B64:$L64,MATCH(M68,$B$5:$L$5,0)),"")</f>
        <v/>
      </c>
    </row>
    <row r="69">
      <c r="A69" s="28" t="n">
        <v>64</v>
      </c>
      <c r="B69" s="33" t="inlineStr">
        <is>
          <t>Evolving Wilds</t>
        </is>
      </c>
      <c r="C69" s="33" t="inlineStr">
        <is>
          <t>Evolving Wilds</t>
        </is>
      </c>
      <c r="D69" s="33" t="inlineStr">
        <is>
          <t>Evolving Wilds</t>
        </is>
      </c>
      <c r="E69" s="33" t="inlineStr">
        <is>
          <t>Evolving Wilds</t>
        </is>
      </c>
      <c r="F69" s="33" t="inlineStr">
        <is>
          <t>Evolving Wilds</t>
        </is>
      </c>
      <c r="G69" s="33" t="inlineStr">
        <is>
          <t>Evolving Wilds</t>
        </is>
      </c>
      <c r="H69" s="33" t="inlineStr">
        <is>
          <t>Evolving Wilds</t>
        </is>
      </c>
      <c r="I69" s="33" t="inlineStr">
        <is>
          <t>Evolving Wilds</t>
        </is>
      </c>
      <c r="J69" s="33" t="inlineStr">
        <is>
          <t>Evolving Wilds</t>
        </is>
      </c>
      <c r="K69" s="33" t="inlineStr">
        <is>
          <t>Evolving Wilds</t>
        </is>
      </c>
      <c r="L69" s="34" t="inlineStr">
        <is>
          <t>Make a Stand</t>
        </is>
      </c>
      <c r="M69" s="30" t="inlineStr">
        <is>
          <t>Fun Max</t>
        </is>
      </c>
      <c r="N69" s="31">
        <f>INDEX(B69:L69,MATCH(M69,$B$5:$L$5,0))</f>
        <v/>
      </c>
      <c r="O69" s="22">
        <f>IFERROR(VLOOKUP(N69,Prices!$A:$B,2,FALSE),0)</f>
        <v/>
      </c>
      <c r="P69" s="32">
        <f>IFERROR(INDEX('_why_1o'!$B65:$L65,MATCH(M69,$B$5:$L$5,0)),"")</f>
        <v/>
      </c>
    </row>
    <row r="70">
      <c r="A70" s="28" t="n">
        <v>65</v>
      </c>
      <c r="B70" s="13" t="inlineStr">
        <is>
          <t>Jaddi Offshoot</t>
        </is>
      </c>
      <c r="C70" s="13" t="inlineStr">
        <is>
          <t>Jaddi Offshoot</t>
        </is>
      </c>
      <c r="D70" s="13" t="inlineStr">
        <is>
          <t>Jaddi Offshoot</t>
        </is>
      </c>
      <c r="E70" s="13" t="inlineStr">
        <is>
          <t>Jaddi Offshoot</t>
        </is>
      </c>
      <c r="F70" s="13" t="inlineStr">
        <is>
          <t>Jaddi Offshoot</t>
        </is>
      </c>
      <c r="G70" s="13" t="inlineStr">
        <is>
          <t>Jaddi Offshoot</t>
        </is>
      </c>
      <c r="H70" s="13" t="inlineStr">
        <is>
          <t>Jaddi Offshoot</t>
        </is>
      </c>
      <c r="I70" s="13" t="inlineStr">
        <is>
          <t>Jaddi Offshoot</t>
        </is>
      </c>
      <c r="J70" s="13" t="inlineStr">
        <is>
          <t>Jaddi Offshoot</t>
        </is>
      </c>
      <c r="K70" s="13" t="inlineStr">
        <is>
          <t>Jaddi Offshoot</t>
        </is>
      </c>
      <c r="L70" s="13" t="inlineStr">
        <is>
          <t>Jaddi Offshoot</t>
        </is>
      </c>
      <c r="M70" s="30" t="inlineStr">
        <is>
          <t>Fun Max</t>
        </is>
      </c>
      <c r="N70" s="31">
        <f>INDEX(B70:L70,MATCH(M70,$B$5:$L$5,0))</f>
        <v/>
      </c>
      <c r="O70" s="22">
        <f>IFERROR(VLOOKUP(N70,Prices!$A:$B,2,FALSE),0)</f>
        <v/>
      </c>
      <c r="P70" s="32">
        <f>IFERROR(INDEX('_why_1o'!$B66:$L66,MATCH(M70,$B$5:$L$5,0)),"")</f>
        <v/>
      </c>
    </row>
    <row r="71">
      <c r="A71" s="28" t="n">
        <v>66</v>
      </c>
      <c r="B71" s="33" t="inlineStr">
        <is>
          <t>Overgrown Battlement</t>
        </is>
      </c>
      <c r="C71" s="33" t="inlineStr">
        <is>
          <t>Overgrown Battlement</t>
        </is>
      </c>
      <c r="D71" s="33" t="inlineStr">
        <is>
          <t>Overgrown Battlement</t>
        </is>
      </c>
      <c r="E71" s="33" t="inlineStr">
        <is>
          <t>Overgrown Battlement</t>
        </is>
      </c>
      <c r="F71" s="33" t="inlineStr">
        <is>
          <t>Overgrown Battlement</t>
        </is>
      </c>
      <c r="G71" s="33" t="inlineStr">
        <is>
          <t>Overgrown Battlement</t>
        </is>
      </c>
      <c r="H71" s="33" t="inlineStr">
        <is>
          <t>Overgrown Battlement</t>
        </is>
      </c>
      <c r="I71" s="33" t="inlineStr">
        <is>
          <t>Overgrown Battlement</t>
        </is>
      </c>
      <c r="J71" s="33" t="inlineStr">
        <is>
          <t>Overgrown Battlement</t>
        </is>
      </c>
      <c r="K71" s="33" t="inlineStr">
        <is>
          <t>Overgrown Battlement</t>
        </is>
      </c>
      <c r="L71" s="33" t="inlineStr">
        <is>
          <t>Overgrown Battlement</t>
        </is>
      </c>
      <c r="M71" s="30" t="inlineStr">
        <is>
          <t>Fun Max</t>
        </is>
      </c>
      <c r="N71" s="31">
        <f>INDEX(B71:L71,MATCH(M71,$B$5:$L$5,0))</f>
        <v/>
      </c>
      <c r="O71" s="22">
        <f>IFERROR(VLOOKUP(N71,Prices!$A:$B,2,FALSE),0)</f>
        <v/>
      </c>
      <c r="P71" s="32">
        <f>IFERROR(INDEX('_why_1o'!$B67:$L67,MATCH(M71,$B$5:$L$5,0)),"")</f>
        <v/>
      </c>
    </row>
    <row r="72">
      <c r="A72" s="28" t="n">
        <v>67</v>
      </c>
      <c r="B72" s="13" t="inlineStr">
        <is>
          <t>Sandsteppe Citadel</t>
        </is>
      </c>
      <c r="C72" s="13" t="inlineStr">
        <is>
          <t>Sandsteppe Citadel</t>
        </is>
      </c>
      <c r="D72" s="13" t="inlineStr">
        <is>
          <t>Sandsteppe Citadel</t>
        </is>
      </c>
      <c r="E72" s="13" t="inlineStr">
        <is>
          <t>Sandsteppe Citadel</t>
        </is>
      </c>
      <c r="F72" s="13" t="inlineStr">
        <is>
          <t>Sandsteppe Citadel</t>
        </is>
      </c>
      <c r="G72" s="13" t="inlineStr">
        <is>
          <t>Sandsteppe Citadel</t>
        </is>
      </c>
      <c r="H72" s="13" t="inlineStr">
        <is>
          <t>Sandsteppe Citadel</t>
        </is>
      </c>
      <c r="I72" s="13" t="inlineStr">
        <is>
          <t>Sandsteppe Citadel</t>
        </is>
      </c>
      <c r="J72" s="13" t="inlineStr">
        <is>
          <t>Sandsteppe Citadel</t>
        </is>
      </c>
      <c r="K72" s="13" t="inlineStr">
        <is>
          <t>Sandsteppe Citadel</t>
        </is>
      </c>
      <c r="L72" s="13" t="inlineStr">
        <is>
          <t>Sandsteppe Citadel</t>
        </is>
      </c>
      <c r="M72" s="30" t="inlineStr">
        <is>
          <t>Fun Max</t>
        </is>
      </c>
      <c r="N72" s="31">
        <f>INDEX(B72:L72,MATCH(M72,$B$5:$L$5,0))</f>
        <v/>
      </c>
      <c r="O72" s="22">
        <f>IFERROR(VLOOKUP(N72,Prices!$A:$B,2,FALSE),0)</f>
        <v/>
      </c>
      <c r="P72" s="32">
        <f>IFERROR(INDEX('_why_1o'!$B68:$L68,MATCH(M72,$B$5:$L$5,0)),"")</f>
        <v/>
      </c>
    </row>
    <row r="73">
      <c r="A73" s="28" t="n">
        <v>68</v>
      </c>
      <c r="B73" s="33" t="inlineStr">
        <is>
          <t>Tower Defense</t>
        </is>
      </c>
      <c r="C73" s="33" t="inlineStr">
        <is>
          <t>Tower Defense</t>
        </is>
      </c>
      <c r="D73" s="33" t="inlineStr">
        <is>
          <t>Tower Defense</t>
        </is>
      </c>
      <c r="E73" s="33" t="inlineStr">
        <is>
          <t>Tower Defense</t>
        </is>
      </c>
      <c r="F73" s="33" t="inlineStr">
        <is>
          <t>Tower Defense</t>
        </is>
      </c>
      <c r="G73" s="33" t="inlineStr">
        <is>
          <t>Tower Defense</t>
        </is>
      </c>
      <c r="H73" s="33" t="inlineStr">
        <is>
          <t>Tower Defense</t>
        </is>
      </c>
      <c r="I73" s="33" t="inlineStr">
        <is>
          <t>Tower Defense</t>
        </is>
      </c>
      <c r="J73" s="33" t="inlineStr">
        <is>
          <t>Tower Defense</t>
        </is>
      </c>
      <c r="K73" s="33" t="inlineStr">
        <is>
          <t>Tower Defense</t>
        </is>
      </c>
      <c r="L73" s="33" t="inlineStr">
        <is>
          <t>Tower Defense</t>
        </is>
      </c>
      <c r="M73" s="30" t="inlineStr">
        <is>
          <t>Fun Max</t>
        </is>
      </c>
      <c r="N73" s="31">
        <f>INDEX(B73:L73,MATCH(M73,$B$5:$L$5,0))</f>
        <v/>
      </c>
      <c r="O73" s="22">
        <f>IFERROR(VLOOKUP(N73,Prices!$A:$B,2,FALSE),0)</f>
        <v/>
      </c>
      <c r="P73" s="32">
        <f>IFERROR(INDEX('_why_1o'!$B69:$L69,MATCH(M73,$B$5:$L$5,0)),"")</f>
        <v/>
      </c>
    </row>
    <row r="74">
      <c r="A74" s="28" t="n">
        <v>69</v>
      </c>
      <c r="B74" s="13" t="inlineStr">
        <is>
          <t>Wall of Blossoms</t>
        </is>
      </c>
      <c r="C74" s="13" t="inlineStr">
        <is>
          <t>Wall of Blossoms</t>
        </is>
      </c>
      <c r="D74" s="13" t="inlineStr">
        <is>
          <t>Wall of Blossoms</t>
        </is>
      </c>
      <c r="E74" s="13" t="inlineStr">
        <is>
          <t>Wall of Blossoms</t>
        </is>
      </c>
      <c r="F74" s="13" t="inlineStr">
        <is>
          <t>Wall of Blossoms</t>
        </is>
      </c>
      <c r="G74" s="13" t="inlineStr">
        <is>
          <t>Wall of Blossoms</t>
        </is>
      </c>
      <c r="H74" s="13" t="inlineStr">
        <is>
          <t>Wall of Blossoms</t>
        </is>
      </c>
      <c r="I74" s="13" t="inlineStr">
        <is>
          <t>Wall of Blossoms</t>
        </is>
      </c>
      <c r="J74" s="13" t="inlineStr">
        <is>
          <t>Wall of Blossoms</t>
        </is>
      </c>
      <c r="K74" s="13" t="inlineStr">
        <is>
          <t>Wall of Blossoms</t>
        </is>
      </c>
      <c r="L74" s="13" t="inlineStr">
        <is>
          <t>Wall of Blossoms</t>
        </is>
      </c>
      <c r="M74" s="30" t="inlineStr">
        <is>
          <t>Fun Max</t>
        </is>
      </c>
      <c r="N74" s="31">
        <f>INDEX(B74:L74,MATCH(M74,$B$5:$L$5,0))</f>
        <v/>
      </c>
      <c r="O74" s="22">
        <f>IFERROR(VLOOKUP(N74,Prices!$A:$B,2,FALSE),0)</f>
        <v/>
      </c>
      <c r="P74" s="32">
        <f>IFERROR(INDEX('_why_1o'!$B70:$L70,MATCH(M74,$B$5:$L$5,0)),"")</f>
        <v/>
      </c>
    </row>
    <row r="75">
      <c r="A75" s="28" t="n">
        <v>70</v>
      </c>
      <c r="B75" s="33" t="inlineStr">
        <is>
          <t>Wall of Roots</t>
        </is>
      </c>
      <c r="C75" s="33" t="inlineStr">
        <is>
          <t>Wall of Roots</t>
        </is>
      </c>
      <c r="D75" s="33" t="inlineStr">
        <is>
          <t>Wall of Roots</t>
        </is>
      </c>
      <c r="E75" s="33" t="inlineStr">
        <is>
          <t>Wall of Roots</t>
        </is>
      </c>
      <c r="F75" s="33" t="inlineStr">
        <is>
          <t>Wall of Roots</t>
        </is>
      </c>
      <c r="G75" s="33" t="inlineStr">
        <is>
          <t>Wall of Roots</t>
        </is>
      </c>
      <c r="H75" s="33" t="inlineStr">
        <is>
          <t>Wall of Roots</t>
        </is>
      </c>
      <c r="I75" s="33" t="inlineStr">
        <is>
          <t>Wall of Roots</t>
        </is>
      </c>
      <c r="J75" s="33" t="inlineStr">
        <is>
          <t>Wall of Roots</t>
        </is>
      </c>
      <c r="K75" s="33" t="inlineStr">
        <is>
          <t>Wall of Roots</t>
        </is>
      </c>
      <c r="L75" s="33" t="inlineStr">
        <is>
          <t>Wall of Roots</t>
        </is>
      </c>
      <c r="M75" s="30" t="inlineStr">
        <is>
          <t>Fun Max</t>
        </is>
      </c>
      <c r="N75" s="31">
        <f>INDEX(B75:L75,MATCH(M75,$B$5:$L$5,0))</f>
        <v/>
      </c>
      <c r="O75" s="22">
        <f>IFERROR(VLOOKUP(N75,Prices!$A:$B,2,FALSE),0)</f>
        <v/>
      </c>
      <c r="P75" s="32">
        <f>IFERROR(INDEX('_why_1o'!$B71:$L71,MATCH(M75,$B$5:$L$5,0)),"")</f>
        <v/>
      </c>
    </row>
    <row r="76">
      <c r="A76" s="28" t="n">
        <v>71</v>
      </c>
      <c r="B76" s="13" t="inlineStr">
        <is>
          <t>Despark</t>
        </is>
      </c>
      <c r="C76" s="13" t="inlineStr">
        <is>
          <t>Despark</t>
        </is>
      </c>
      <c r="D76" s="13" t="inlineStr">
        <is>
          <t>Despark</t>
        </is>
      </c>
      <c r="E76" s="13" t="inlineStr">
        <is>
          <t>Despark</t>
        </is>
      </c>
      <c r="F76" s="13" t="inlineStr">
        <is>
          <t>Despark</t>
        </is>
      </c>
      <c r="G76" s="13" t="inlineStr">
        <is>
          <t>Despark</t>
        </is>
      </c>
      <c r="H76" s="13" t="inlineStr">
        <is>
          <t>Despark</t>
        </is>
      </c>
      <c r="I76" s="13" t="inlineStr">
        <is>
          <t>Despark</t>
        </is>
      </c>
      <c r="J76" s="13" t="inlineStr">
        <is>
          <t>Despark</t>
        </is>
      </c>
      <c r="K76" s="13" t="inlineStr">
        <is>
          <t>Despark</t>
        </is>
      </c>
      <c r="L76" s="13" t="inlineStr">
        <is>
          <t>Despark</t>
        </is>
      </c>
      <c r="M76" s="30" t="inlineStr">
        <is>
          <t>Fun Max</t>
        </is>
      </c>
      <c r="N76" s="31">
        <f>INDEX(B76:L76,MATCH(M76,$B$5:$L$5,0))</f>
        <v/>
      </c>
      <c r="O76" s="22">
        <f>IFERROR(VLOOKUP(N76,Prices!$A:$B,2,FALSE),0)</f>
        <v/>
      </c>
      <c r="P76" s="32">
        <f>IFERROR(INDEX('_why_1o'!$B72:$L72,MATCH(M76,$B$5:$L$5,0)),"")</f>
        <v/>
      </c>
    </row>
    <row r="77">
      <c r="A77" s="28" t="n">
        <v>72</v>
      </c>
      <c r="B77" s="33" t="inlineStr">
        <is>
          <t>Indulging Patrician</t>
        </is>
      </c>
      <c r="C77" s="33" t="inlineStr">
        <is>
          <t>Indulging Patrician</t>
        </is>
      </c>
      <c r="D77" s="33" t="inlineStr">
        <is>
          <t>Indulging Patrician</t>
        </is>
      </c>
      <c r="E77" s="33" t="inlineStr">
        <is>
          <t>Indulging Patrician</t>
        </is>
      </c>
      <c r="F77" s="33" t="inlineStr">
        <is>
          <t>Indulging Patrician</t>
        </is>
      </c>
      <c r="G77" s="33" t="inlineStr">
        <is>
          <t>Indulging Patrician</t>
        </is>
      </c>
      <c r="H77" s="33" t="inlineStr">
        <is>
          <t>Indulging Patrician</t>
        </is>
      </c>
      <c r="I77" s="33" t="inlineStr">
        <is>
          <t>Indulging Patrician</t>
        </is>
      </c>
      <c r="J77" s="33" t="inlineStr">
        <is>
          <t>Indulging Patrician</t>
        </is>
      </c>
      <c r="K77" s="33" t="inlineStr">
        <is>
          <t>Indulging Patrician</t>
        </is>
      </c>
      <c r="L77" s="33" t="inlineStr">
        <is>
          <t>Indulging Patrician</t>
        </is>
      </c>
      <c r="M77" s="30" t="inlineStr">
        <is>
          <t>Fun Max</t>
        </is>
      </c>
      <c r="N77" s="31">
        <f>INDEX(B77:L77,MATCH(M77,$B$5:$L$5,0))</f>
        <v/>
      </c>
      <c r="O77" s="22">
        <f>IFERROR(VLOOKUP(N77,Prices!$A:$B,2,FALSE),0)</f>
        <v/>
      </c>
      <c r="P77" s="32">
        <f>IFERROR(INDEX('_why_1o'!$B73:$L73,MATCH(M77,$B$5:$L$5,0)),"")</f>
        <v/>
      </c>
    </row>
    <row r="78">
      <c r="A78" s="28" t="n">
        <v>73</v>
      </c>
      <c r="B78" s="13" t="inlineStr">
        <is>
          <t>Crashing Drawbridge</t>
        </is>
      </c>
      <c r="C78" s="29" t="inlineStr">
        <is>
          <t>Dawn of Hope</t>
        </is>
      </c>
      <c r="D78" s="29" t="inlineStr">
        <is>
          <t>Felidar Retreat</t>
        </is>
      </c>
      <c r="E78" s="29" t="inlineStr">
        <is>
          <t>Branching Evolution</t>
        </is>
      </c>
      <c r="F78" s="29" t="inlineStr">
        <is>
          <t>Innkeeper's Talent</t>
        </is>
      </c>
      <c r="G78" s="29" t="inlineStr">
        <is>
          <t>Innkeeper's Talent</t>
        </is>
      </c>
      <c r="H78" s="29" t="inlineStr">
        <is>
          <t>Innkeeper's Talent</t>
        </is>
      </c>
      <c r="I78" s="29" t="inlineStr">
        <is>
          <t>Dawn of Hope</t>
        </is>
      </c>
      <c r="J78" s="29" t="inlineStr">
        <is>
          <t>Innkeeper's Talent</t>
        </is>
      </c>
      <c r="K78" s="29" t="inlineStr">
        <is>
          <t>Dawn of Hope</t>
        </is>
      </c>
      <c r="L78" s="29" t="inlineStr">
        <is>
          <t>Innkeeper's Talent</t>
        </is>
      </c>
      <c r="M78" s="30" t="inlineStr">
        <is>
          <t>Fun Max</t>
        </is>
      </c>
      <c r="N78" s="31">
        <f>INDEX(B78:L78,MATCH(M78,$B$5:$L$5,0))</f>
        <v/>
      </c>
      <c r="O78" s="22">
        <f>IFERROR(VLOOKUP(N78,Prices!$A:$B,2,FALSE),0)</f>
        <v/>
      </c>
      <c r="P78" s="32">
        <f>IFERROR(INDEX('_why_1o'!$B74:$L74,MATCH(M78,$B$5:$L$5,0)),"")</f>
        <v/>
      </c>
    </row>
    <row r="79">
      <c r="A79" s="28" t="n">
        <v>74</v>
      </c>
      <c r="B79" s="33" t="inlineStr">
        <is>
          <t>Orzhov Signet</t>
        </is>
      </c>
      <c r="C79" s="33" t="inlineStr">
        <is>
          <t>Orzhov Signet</t>
        </is>
      </c>
      <c r="D79" s="33" t="inlineStr">
        <is>
          <t>Orzhov Signet</t>
        </is>
      </c>
      <c r="E79" s="33" t="inlineStr">
        <is>
          <t>Orzhov Signet</t>
        </is>
      </c>
      <c r="F79" s="33" t="inlineStr">
        <is>
          <t>Orzhov Signet</t>
        </is>
      </c>
      <c r="G79" s="33" t="inlineStr">
        <is>
          <t>Orzhov Signet</t>
        </is>
      </c>
      <c r="H79" s="33" t="inlineStr">
        <is>
          <t>Orzhov Signet</t>
        </is>
      </c>
      <c r="I79" s="33" t="inlineStr">
        <is>
          <t>Orzhov Signet</t>
        </is>
      </c>
      <c r="J79" s="33" t="inlineStr">
        <is>
          <t>Orzhov Signet</t>
        </is>
      </c>
      <c r="K79" s="33" t="inlineStr">
        <is>
          <t>Orzhov Signet</t>
        </is>
      </c>
      <c r="L79" s="33" t="inlineStr">
        <is>
          <t>Orzhov Signet</t>
        </is>
      </c>
      <c r="M79" s="30" t="inlineStr">
        <is>
          <t>Fun Max</t>
        </is>
      </c>
      <c r="N79" s="31">
        <f>INDEX(B79:L79,MATCH(M79,$B$5:$L$5,0))</f>
        <v/>
      </c>
      <c r="O79" s="22">
        <f>IFERROR(VLOOKUP(N79,Prices!$A:$B,2,FALSE),0)</f>
        <v/>
      </c>
      <c r="P79" s="32">
        <f>IFERROR(INDEX('_why_1o'!$B75:$L75,MATCH(M79,$B$5:$L$5,0)),"")</f>
        <v/>
      </c>
    </row>
    <row r="80">
      <c r="A80" s="28" t="n">
        <v>75</v>
      </c>
      <c r="B80" s="13" t="inlineStr">
        <is>
          <t>Selesnya Signet</t>
        </is>
      </c>
      <c r="C80" s="13" t="inlineStr">
        <is>
          <t>Selesnya Signet</t>
        </is>
      </c>
      <c r="D80" s="13" t="inlineStr">
        <is>
          <t>Selesnya Signet</t>
        </is>
      </c>
      <c r="E80" s="13" t="inlineStr">
        <is>
          <t>Selesnya Signet</t>
        </is>
      </c>
      <c r="F80" s="13" t="inlineStr">
        <is>
          <t>Selesnya Signet</t>
        </is>
      </c>
      <c r="G80" s="13" t="inlineStr">
        <is>
          <t>Selesnya Signet</t>
        </is>
      </c>
      <c r="H80" s="13" t="inlineStr">
        <is>
          <t>Selesnya Signet</t>
        </is>
      </c>
      <c r="I80" s="13" t="inlineStr">
        <is>
          <t>Selesnya Signet</t>
        </is>
      </c>
      <c r="J80" s="13" t="inlineStr">
        <is>
          <t>Selesnya Signet</t>
        </is>
      </c>
      <c r="K80" s="13" t="inlineStr">
        <is>
          <t>Selesnya Signet</t>
        </is>
      </c>
      <c r="L80" s="13" t="inlineStr">
        <is>
          <t>Selesnya Signet</t>
        </is>
      </c>
      <c r="M80" s="30" t="inlineStr">
        <is>
          <t>Fun Max</t>
        </is>
      </c>
      <c r="N80" s="31">
        <f>INDEX(B80:L80,MATCH(M80,$B$5:$L$5,0))</f>
        <v/>
      </c>
      <c r="O80" s="22">
        <f>IFERROR(VLOOKUP(N80,Prices!$A:$B,2,FALSE),0)</f>
        <v/>
      </c>
      <c r="P80" s="32">
        <f>IFERROR(INDEX('_why_1o'!$B76:$L76,MATCH(M80,$B$5:$L$5,0)),"")</f>
        <v/>
      </c>
    </row>
    <row r="81">
      <c r="A81" s="28" t="n">
        <v>76</v>
      </c>
      <c r="B81" s="33" t="inlineStr">
        <is>
          <t>Swiftfoot Boots</t>
        </is>
      </c>
      <c r="C81" s="33" t="inlineStr">
        <is>
          <t>Swiftfoot Boots</t>
        </is>
      </c>
      <c r="D81" s="33" t="inlineStr">
        <is>
          <t>Swiftfoot Boots</t>
        </is>
      </c>
      <c r="E81" s="33" t="inlineStr">
        <is>
          <t>Swiftfoot Boots</t>
        </is>
      </c>
      <c r="F81" s="33" t="inlineStr">
        <is>
          <t>Swiftfoot Boots</t>
        </is>
      </c>
      <c r="G81" s="33" t="inlineStr">
        <is>
          <t>Swiftfoot Boots</t>
        </is>
      </c>
      <c r="H81" s="33" t="inlineStr">
        <is>
          <t>Swiftfoot Boots</t>
        </is>
      </c>
      <c r="I81" s="33" t="inlineStr">
        <is>
          <t>Swiftfoot Boots</t>
        </is>
      </c>
      <c r="J81" s="33" t="inlineStr">
        <is>
          <t>Swiftfoot Boots</t>
        </is>
      </c>
      <c r="K81" s="33" t="inlineStr">
        <is>
          <t>Swiftfoot Boots</t>
        </is>
      </c>
      <c r="L81" s="33" t="inlineStr">
        <is>
          <t>Swiftfoot Boots</t>
        </is>
      </c>
      <c r="M81" s="30" t="inlineStr">
        <is>
          <t>Fun Max</t>
        </is>
      </c>
      <c r="N81" s="31">
        <f>INDEX(B81:L81,MATCH(M81,$B$5:$L$5,0))</f>
        <v/>
      </c>
      <c r="O81" s="22">
        <f>IFERROR(VLOOKUP(N81,Prices!$A:$B,2,FALSE),0)</f>
        <v/>
      </c>
      <c r="P81" s="32">
        <f>IFERROR(INDEX('_why_1o'!$B77:$L77,MATCH(M81,$B$5:$L$5,0)),"")</f>
        <v/>
      </c>
    </row>
    <row r="82">
      <c r="A82" s="28" t="n">
        <v>77</v>
      </c>
      <c r="B82" s="13" t="inlineStr">
        <is>
          <t>Walking Bulwark</t>
        </is>
      </c>
      <c r="C82" s="13" t="inlineStr">
        <is>
          <t>Walking Bulwark</t>
        </is>
      </c>
      <c r="D82" s="13" t="inlineStr">
        <is>
          <t>Walking Bulwark</t>
        </is>
      </c>
      <c r="E82" s="13" t="inlineStr">
        <is>
          <t>Walking Bulwark</t>
        </is>
      </c>
      <c r="F82" s="13" t="inlineStr">
        <is>
          <t>Walking Bulwark</t>
        </is>
      </c>
      <c r="G82" s="13" t="inlineStr">
        <is>
          <t>Walking Bulwark</t>
        </is>
      </c>
      <c r="H82" s="13" t="inlineStr">
        <is>
          <t>Walking Bulwark</t>
        </is>
      </c>
      <c r="I82" s="13" t="inlineStr">
        <is>
          <t>Walking Bulwark</t>
        </is>
      </c>
      <c r="J82" s="13" t="inlineStr">
        <is>
          <t>Walking Bulwark</t>
        </is>
      </c>
      <c r="K82" s="13" t="inlineStr">
        <is>
          <t>Walking Bulwark</t>
        </is>
      </c>
      <c r="L82" s="13" t="inlineStr">
        <is>
          <t>Walking Bulwark</t>
        </is>
      </c>
      <c r="M82" s="30" t="inlineStr">
        <is>
          <t>Fun Max</t>
        </is>
      </c>
      <c r="N82" s="31">
        <f>INDEX(B82:L82,MATCH(M82,$B$5:$L$5,0))</f>
        <v/>
      </c>
      <c r="O82" s="22">
        <f>IFERROR(VLOOKUP(N82,Prices!$A:$B,2,FALSE),0)</f>
        <v/>
      </c>
      <c r="P82" s="32">
        <f>IFERROR(INDEX('_why_1o'!$B78:$L78,MATCH(M82,$B$5:$L$5,0)),"")</f>
        <v/>
      </c>
    </row>
    <row r="83">
      <c r="A83" s="28" t="n">
        <v>78</v>
      </c>
      <c r="B83" s="33" t="inlineStr">
        <is>
          <t>Access Tunnel</t>
        </is>
      </c>
      <c r="C83" s="33" t="inlineStr">
        <is>
          <t>Access Tunnel</t>
        </is>
      </c>
      <c r="D83" s="33" t="inlineStr">
        <is>
          <t>Access Tunnel</t>
        </is>
      </c>
      <c r="E83" s="33" t="inlineStr">
        <is>
          <t>Access Tunnel</t>
        </is>
      </c>
      <c r="F83" s="33" t="inlineStr">
        <is>
          <t>Access Tunnel</t>
        </is>
      </c>
      <c r="G83" s="33" t="inlineStr">
        <is>
          <t>Access Tunnel</t>
        </is>
      </c>
      <c r="H83" s="33" t="inlineStr">
        <is>
          <t>Access Tunnel</t>
        </is>
      </c>
      <c r="I83" s="33" t="inlineStr">
        <is>
          <t>Access Tunnel</t>
        </is>
      </c>
      <c r="J83" s="33" t="inlineStr">
        <is>
          <t>Access Tunnel</t>
        </is>
      </c>
      <c r="K83" s="33" t="inlineStr">
        <is>
          <t>Access Tunnel</t>
        </is>
      </c>
      <c r="L83" s="33" t="inlineStr">
        <is>
          <t>Access Tunnel</t>
        </is>
      </c>
      <c r="M83" s="30" t="inlineStr">
        <is>
          <t>Fun Max</t>
        </is>
      </c>
      <c r="N83" s="31">
        <f>INDEX(B83:L83,MATCH(M83,$B$5:$L$5,0))</f>
        <v/>
      </c>
      <c r="O83" s="22">
        <f>IFERROR(VLOOKUP(N83,Prices!$A:$B,2,FALSE),0)</f>
        <v/>
      </c>
      <c r="P83" s="32">
        <f>IFERROR(INDEX('_why_1o'!$B79:$L79,MATCH(M83,$B$5:$L$5,0)),"")</f>
        <v/>
      </c>
    </row>
    <row r="84">
      <c r="A84" s="28" t="n">
        <v>79</v>
      </c>
      <c r="B84" s="13" t="inlineStr">
        <is>
          <t>Bojuka Bog</t>
        </is>
      </c>
      <c r="C84" s="13" t="inlineStr">
        <is>
          <t>Bojuka Bog</t>
        </is>
      </c>
      <c r="D84" s="13" t="inlineStr">
        <is>
          <t>Bojuka Bog</t>
        </is>
      </c>
      <c r="E84" s="13" t="inlineStr">
        <is>
          <t>Bojuka Bog</t>
        </is>
      </c>
      <c r="F84" s="13" t="inlineStr">
        <is>
          <t>Bojuka Bog</t>
        </is>
      </c>
      <c r="G84" s="13" t="inlineStr">
        <is>
          <t>Bojuka Bog</t>
        </is>
      </c>
      <c r="H84" s="13" t="inlineStr">
        <is>
          <t>Bojuka Bog</t>
        </is>
      </c>
      <c r="I84" s="13" t="inlineStr">
        <is>
          <t>Bojuka Bog</t>
        </is>
      </c>
      <c r="J84" s="13" t="inlineStr">
        <is>
          <t>Bojuka Bog</t>
        </is>
      </c>
      <c r="K84" s="13" t="inlineStr">
        <is>
          <t>Bojuka Bog</t>
        </is>
      </c>
      <c r="L84" s="13" t="inlineStr">
        <is>
          <t>Bojuka Bog</t>
        </is>
      </c>
      <c r="M84" s="30" t="inlineStr">
        <is>
          <t>Fun Max</t>
        </is>
      </c>
      <c r="N84" s="31">
        <f>INDEX(B84:L84,MATCH(M84,$B$5:$L$5,0))</f>
        <v/>
      </c>
      <c r="O84" s="22">
        <f>IFERROR(VLOOKUP(N84,Prices!$A:$B,2,FALSE),0)</f>
        <v/>
      </c>
      <c r="P84" s="32">
        <f>IFERROR(INDEX('_why_1o'!$B80:$L80,MATCH(M84,$B$5:$L$5,0)),"")</f>
        <v/>
      </c>
    </row>
    <row r="85">
      <c r="A85" s="28" t="n">
        <v>80</v>
      </c>
      <c r="B85" s="33" t="inlineStr">
        <is>
          <t>Deceptive Landscape</t>
        </is>
      </c>
      <c r="C85" s="33" t="inlineStr">
        <is>
          <t>Deceptive Landscape</t>
        </is>
      </c>
      <c r="D85" s="33" t="inlineStr">
        <is>
          <t>Deceptive Landscape</t>
        </is>
      </c>
      <c r="E85" s="33" t="inlineStr">
        <is>
          <t>Deceptive Landscape</t>
        </is>
      </c>
      <c r="F85" s="33" t="inlineStr">
        <is>
          <t>Deceptive Landscape</t>
        </is>
      </c>
      <c r="G85" s="33" t="inlineStr">
        <is>
          <t>Deceptive Landscape</t>
        </is>
      </c>
      <c r="H85" s="33" t="inlineStr">
        <is>
          <t>Deceptive Landscape</t>
        </is>
      </c>
      <c r="I85" s="33" t="inlineStr">
        <is>
          <t>Deceptive Landscape</t>
        </is>
      </c>
      <c r="J85" s="33" t="inlineStr">
        <is>
          <t>Deceptive Landscape</t>
        </is>
      </c>
      <c r="K85" s="33" t="inlineStr">
        <is>
          <t>Deceptive Landscape</t>
        </is>
      </c>
      <c r="L85" s="33" t="inlineStr">
        <is>
          <t>Deceptive Landscape</t>
        </is>
      </c>
      <c r="M85" s="30" t="inlineStr">
        <is>
          <t>Fun Max</t>
        </is>
      </c>
      <c r="N85" s="31">
        <f>INDEX(B85:L85,MATCH(M85,$B$5:$L$5,0))</f>
        <v/>
      </c>
      <c r="O85" s="22">
        <f>IFERROR(VLOOKUP(N85,Prices!$A:$B,2,FALSE),0)</f>
        <v/>
      </c>
      <c r="P85" s="32">
        <f>IFERROR(INDEX('_why_1o'!$B81:$L81,MATCH(M85,$B$5:$L$5,0)),"")</f>
        <v/>
      </c>
    </row>
    <row r="86">
      <c r="A86" s="28" t="n">
        <v>81</v>
      </c>
      <c r="B86" s="13" t="inlineStr">
        <is>
          <t>Path of Ancestry</t>
        </is>
      </c>
      <c r="C86" s="13" t="inlineStr">
        <is>
          <t>Path of Ancestry</t>
        </is>
      </c>
      <c r="D86" s="13" t="inlineStr">
        <is>
          <t>Path of Ancestry</t>
        </is>
      </c>
      <c r="E86" s="13" t="inlineStr">
        <is>
          <t>Path of Ancestry</t>
        </is>
      </c>
      <c r="F86" s="13" t="inlineStr">
        <is>
          <t>Path of Ancestry</t>
        </is>
      </c>
      <c r="G86" s="13" t="inlineStr">
        <is>
          <t>Path of Ancestry</t>
        </is>
      </c>
      <c r="H86" s="13" t="inlineStr">
        <is>
          <t>Path of Ancestry</t>
        </is>
      </c>
      <c r="I86" s="13" t="inlineStr">
        <is>
          <t>Path of Ancestry</t>
        </is>
      </c>
      <c r="J86" s="29" t="inlineStr">
        <is>
          <t>Kogla, the Titan Ape</t>
        </is>
      </c>
      <c r="K86" s="13" t="inlineStr">
        <is>
          <t>Path of Ancestry</t>
        </is>
      </c>
      <c r="L86" s="29" t="inlineStr">
        <is>
          <t>Disenchant</t>
        </is>
      </c>
      <c r="M86" s="30" t="inlineStr">
        <is>
          <t>Fun Max</t>
        </is>
      </c>
      <c r="N86" s="31">
        <f>INDEX(B86:L86,MATCH(M86,$B$5:$L$5,0))</f>
        <v/>
      </c>
      <c r="O86" s="22">
        <f>IFERROR(VLOOKUP(N86,Prices!$A:$B,2,FALSE),0)</f>
        <v/>
      </c>
      <c r="P86" s="32">
        <f>IFERROR(INDEX('_why_1o'!$B82:$L82,MATCH(M86,$B$5:$L$5,0)),"")</f>
        <v/>
      </c>
    </row>
    <row r="87">
      <c r="A87" s="28" t="n">
        <v>82</v>
      </c>
      <c r="B87" s="33" t="inlineStr">
        <is>
          <t>Radiant Grove</t>
        </is>
      </c>
      <c r="C87" s="33" t="inlineStr">
        <is>
          <t>Radiant Grove</t>
        </is>
      </c>
      <c r="D87" s="33" t="inlineStr">
        <is>
          <t>Radiant Grove</t>
        </is>
      </c>
      <c r="E87" s="33" t="inlineStr">
        <is>
          <t>Radiant Grove</t>
        </is>
      </c>
      <c r="F87" s="33" t="inlineStr">
        <is>
          <t>Radiant Grove</t>
        </is>
      </c>
      <c r="G87" s="33" t="inlineStr">
        <is>
          <t>Radiant Grove</t>
        </is>
      </c>
      <c r="H87" s="33" t="inlineStr">
        <is>
          <t>Radiant Grove</t>
        </is>
      </c>
      <c r="I87" s="33" t="inlineStr">
        <is>
          <t>Radiant Grove</t>
        </is>
      </c>
      <c r="J87" s="33" t="inlineStr">
        <is>
          <t>Radiant Grove</t>
        </is>
      </c>
      <c r="K87" s="33" t="inlineStr">
        <is>
          <t>Radiant Grove</t>
        </is>
      </c>
      <c r="L87" s="33" t="inlineStr">
        <is>
          <t>Radiant Grove</t>
        </is>
      </c>
      <c r="M87" s="30" t="inlineStr">
        <is>
          <t>Fun Max</t>
        </is>
      </c>
      <c r="N87" s="31">
        <f>INDEX(B87:L87,MATCH(M87,$B$5:$L$5,0))</f>
        <v/>
      </c>
      <c r="O87" s="22">
        <f>IFERROR(VLOOKUP(N87,Prices!$A:$B,2,FALSE),0)</f>
        <v/>
      </c>
      <c r="P87" s="32">
        <f>IFERROR(INDEX('_why_1o'!$B83:$L83,MATCH(M87,$B$5:$L$5,0)),"")</f>
        <v/>
      </c>
    </row>
    <row r="88">
      <c r="A88" s="28" t="n">
        <v>83</v>
      </c>
      <c r="B88" s="13" t="inlineStr">
        <is>
          <t>Plains</t>
        </is>
      </c>
      <c r="C88" s="13" t="inlineStr">
        <is>
          <t>Plains</t>
        </is>
      </c>
      <c r="D88" s="13" t="inlineStr">
        <is>
          <t>Plains</t>
        </is>
      </c>
      <c r="E88" s="13" t="inlineStr">
        <is>
          <t>Plains</t>
        </is>
      </c>
      <c r="F88" s="13" t="inlineStr">
        <is>
          <t>Plains</t>
        </is>
      </c>
      <c r="G88" s="13" t="inlineStr">
        <is>
          <t>Plains</t>
        </is>
      </c>
      <c r="H88" s="13" t="inlineStr">
        <is>
          <t>Plains</t>
        </is>
      </c>
      <c r="I88" s="13" t="inlineStr">
        <is>
          <t>Plains</t>
        </is>
      </c>
      <c r="J88" s="13" t="inlineStr">
        <is>
          <t>Plains</t>
        </is>
      </c>
      <c r="K88" s="13" t="inlineStr">
        <is>
          <t>Plains</t>
        </is>
      </c>
      <c r="L88" s="13" t="inlineStr">
        <is>
          <t>Plains</t>
        </is>
      </c>
      <c r="M88" s="30" t="inlineStr">
        <is>
          <t>Fun Max</t>
        </is>
      </c>
      <c r="N88" s="31">
        <f>INDEX(B88:L88,MATCH(M88,$B$5:$L$5,0))</f>
        <v/>
      </c>
      <c r="O88" s="22">
        <f>IFERROR(VLOOKUP(N88,Prices!$A:$B,2,FALSE),0)</f>
        <v/>
      </c>
      <c r="P88" s="32">
        <f>IFERROR(INDEX('_why_1o'!$B84:$L84,MATCH(M88,$B$5:$L$5,0)),"")</f>
        <v/>
      </c>
    </row>
    <row r="89">
      <c r="A89" s="28" t="n">
        <v>84</v>
      </c>
      <c r="B89" s="33" t="inlineStr">
        <is>
          <t>Plains</t>
        </is>
      </c>
      <c r="C89" s="33" t="inlineStr">
        <is>
          <t>Plains</t>
        </is>
      </c>
      <c r="D89" s="33" t="inlineStr">
        <is>
          <t>Plains</t>
        </is>
      </c>
      <c r="E89" s="33" t="inlineStr">
        <is>
          <t>Plains</t>
        </is>
      </c>
      <c r="F89" s="33" t="inlineStr">
        <is>
          <t>Plains</t>
        </is>
      </c>
      <c r="G89" s="33" t="inlineStr">
        <is>
          <t>Plains</t>
        </is>
      </c>
      <c r="H89" s="33" t="inlineStr">
        <is>
          <t>Plains</t>
        </is>
      </c>
      <c r="I89" s="33" t="inlineStr">
        <is>
          <t>Plains</t>
        </is>
      </c>
      <c r="J89" s="33" t="inlineStr">
        <is>
          <t>Plains</t>
        </is>
      </c>
      <c r="K89" s="33" t="inlineStr">
        <is>
          <t>Plains</t>
        </is>
      </c>
      <c r="L89" s="33" t="inlineStr">
        <is>
          <t>Plains</t>
        </is>
      </c>
      <c r="M89" s="30" t="inlineStr">
        <is>
          <t>Fun Max</t>
        </is>
      </c>
      <c r="N89" s="31">
        <f>INDEX(B89:L89,MATCH(M89,$B$5:$L$5,0))</f>
        <v/>
      </c>
      <c r="O89" s="22">
        <f>IFERROR(VLOOKUP(N89,Prices!$A:$B,2,FALSE),0)</f>
        <v/>
      </c>
      <c r="P89" s="32">
        <f>IFERROR(INDEX('_why_1o'!$B85:$L85,MATCH(M89,$B$5:$L$5,0)),"")</f>
        <v/>
      </c>
    </row>
    <row r="90">
      <c r="A90" s="28" t="n">
        <v>85</v>
      </c>
      <c r="B90" s="13" t="inlineStr">
        <is>
          <t>Plains</t>
        </is>
      </c>
      <c r="C90" s="13" t="inlineStr">
        <is>
          <t>Plains</t>
        </is>
      </c>
      <c r="D90" s="13" t="inlineStr">
        <is>
          <t>Plains</t>
        </is>
      </c>
      <c r="E90" s="13" t="inlineStr">
        <is>
          <t>Plains</t>
        </is>
      </c>
      <c r="F90" s="13" t="inlineStr">
        <is>
          <t>Plains</t>
        </is>
      </c>
      <c r="G90" s="13" t="inlineStr">
        <is>
          <t>Plains</t>
        </is>
      </c>
      <c r="H90" s="13" t="inlineStr">
        <is>
          <t>Plains</t>
        </is>
      </c>
      <c r="I90" s="13" t="inlineStr">
        <is>
          <t>Plains</t>
        </is>
      </c>
      <c r="J90" s="13" t="inlineStr">
        <is>
          <t>Plains</t>
        </is>
      </c>
      <c r="K90" s="13" t="inlineStr">
        <is>
          <t>Plains</t>
        </is>
      </c>
      <c r="L90" s="13" t="inlineStr">
        <is>
          <t>Plains</t>
        </is>
      </c>
      <c r="M90" s="30" t="inlineStr">
        <is>
          <t>Fun Max</t>
        </is>
      </c>
      <c r="N90" s="31">
        <f>INDEX(B90:L90,MATCH(M90,$B$5:$L$5,0))</f>
        <v/>
      </c>
      <c r="O90" s="22">
        <f>IFERROR(VLOOKUP(N90,Prices!$A:$B,2,FALSE),0)</f>
        <v/>
      </c>
      <c r="P90" s="32">
        <f>IFERROR(INDEX('_why_1o'!$B86:$L86,MATCH(M90,$B$5:$L$5,0)),"")</f>
        <v/>
      </c>
    </row>
    <row r="91">
      <c r="A91" s="28" t="n">
        <v>86</v>
      </c>
      <c r="B91" s="33" t="inlineStr">
        <is>
          <t>Plains</t>
        </is>
      </c>
      <c r="C91" s="33" t="inlineStr">
        <is>
          <t>Plains</t>
        </is>
      </c>
      <c r="D91" s="33" t="inlineStr">
        <is>
          <t>Plains</t>
        </is>
      </c>
      <c r="E91" s="33" t="inlineStr">
        <is>
          <t>Plains</t>
        </is>
      </c>
      <c r="F91" s="33" t="inlineStr">
        <is>
          <t>Plains</t>
        </is>
      </c>
      <c r="G91" s="33" t="inlineStr">
        <is>
          <t>Plains</t>
        </is>
      </c>
      <c r="H91" s="33" t="inlineStr">
        <is>
          <t>Plains</t>
        </is>
      </c>
      <c r="I91" s="33" t="inlineStr">
        <is>
          <t>Plains</t>
        </is>
      </c>
      <c r="J91" s="33" t="inlineStr">
        <is>
          <t>Plains</t>
        </is>
      </c>
      <c r="K91" s="33" t="inlineStr">
        <is>
          <t>Plains</t>
        </is>
      </c>
      <c r="L91" s="33" t="inlineStr">
        <is>
          <t>Plains</t>
        </is>
      </c>
      <c r="M91" s="30" t="inlineStr">
        <is>
          <t>Fun Max</t>
        </is>
      </c>
      <c r="N91" s="31">
        <f>INDEX(B91:L91,MATCH(M91,$B$5:$L$5,0))</f>
        <v/>
      </c>
      <c r="O91" s="22">
        <f>IFERROR(VLOOKUP(N91,Prices!$A:$B,2,FALSE),0)</f>
        <v/>
      </c>
      <c r="P91" s="32">
        <f>IFERROR(INDEX('_why_1o'!$B87:$L87,MATCH(M91,$B$5:$L$5,0)),"")</f>
        <v/>
      </c>
    </row>
    <row r="92">
      <c r="A92" s="28" t="n">
        <v>87</v>
      </c>
      <c r="B92" s="13" t="inlineStr">
        <is>
          <t>Plains</t>
        </is>
      </c>
      <c r="C92" s="13" t="inlineStr">
        <is>
          <t>Plains</t>
        </is>
      </c>
      <c r="D92" s="13" t="inlineStr">
        <is>
          <t>Plains</t>
        </is>
      </c>
      <c r="E92" s="13" t="inlineStr">
        <is>
          <t>Plains</t>
        </is>
      </c>
      <c r="F92" s="13" t="inlineStr">
        <is>
          <t>Plains</t>
        </is>
      </c>
      <c r="G92" s="13" t="inlineStr">
        <is>
          <t>Plains</t>
        </is>
      </c>
      <c r="H92" s="13" t="inlineStr">
        <is>
          <t>Plains</t>
        </is>
      </c>
      <c r="I92" s="13" t="inlineStr">
        <is>
          <t>Plains</t>
        </is>
      </c>
      <c r="J92" s="13" t="inlineStr">
        <is>
          <t>Plains</t>
        </is>
      </c>
      <c r="K92" s="13" t="inlineStr">
        <is>
          <t>Plains</t>
        </is>
      </c>
      <c r="L92" s="13" t="inlineStr">
        <is>
          <t>Plains</t>
        </is>
      </c>
      <c r="M92" s="30" t="inlineStr">
        <is>
          <t>Fun Max</t>
        </is>
      </c>
      <c r="N92" s="31">
        <f>INDEX(B92:L92,MATCH(M92,$B$5:$L$5,0))</f>
        <v/>
      </c>
      <c r="O92" s="22">
        <f>IFERROR(VLOOKUP(N92,Prices!$A:$B,2,FALSE),0)</f>
        <v/>
      </c>
      <c r="P92" s="32">
        <f>IFERROR(INDEX('_why_1o'!$B88:$L88,MATCH(M92,$B$5:$L$5,0)),"")</f>
        <v/>
      </c>
    </row>
    <row r="93">
      <c r="A93" s="28" t="n">
        <v>88</v>
      </c>
      <c r="B93" s="33" t="inlineStr">
        <is>
          <t>Plains</t>
        </is>
      </c>
      <c r="C93" s="33" t="inlineStr">
        <is>
          <t>Plains</t>
        </is>
      </c>
      <c r="D93" s="33" t="inlineStr">
        <is>
          <t>Plains</t>
        </is>
      </c>
      <c r="E93" s="33" t="inlineStr">
        <is>
          <t>Plains</t>
        </is>
      </c>
      <c r="F93" s="33" t="inlineStr">
        <is>
          <t>Plains</t>
        </is>
      </c>
      <c r="G93" s="33" t="inlineStr">
        <is>
          <t>Plains</t>
        </is>
      </c>
      <c r="H93" s="33" t="inlineStr">
        <is>
          <t>Plains</t>
        </is>
      </c>
      <c r="I93" s="33" t="inlineStr">
        <is>
          <t>Plains</t>
        </is>
      </c>
      <c r="J93" s="33" t="inlineStr">
        <is>
          <t>Plains</t>
        </is>
      </c>
      <c r="K93" s="33" t="inlineStr">
        <is>
          <t>Plains</t>
        </is>
      </c>
      <c r="L93" s="33" t="inlineStr">
        <is>
          <t>Plains</t>
        </is>
      </c>
      <c r="M93" s="30" t="inlineStr">
        <is>
          <t>Fun Max</t>
        </is>
      </c>
      <c r="N93" s="31">
        <f>INDEX(B93:L93,MATCH(M93,$B$5:$L$5,0))</f>
        <v/>
      </c>
      <c r="O93" s="22">
        <f>IFERROR(VLOOKUP(N93,Prices!$A:$B,2,FALSE),0)</f>
        <v/>
      </c>
      <c r="P93" s="32">
        <f>IFERROR(INDEX('_why_1o'!$B89:$L89,MATCH(M93,$B$5:$L$5,0)),"")</f>
        <v/>
      </c>
    </row>
    <row r="94">
      <c r="A94" s="28" t="n">
        <v>89</v>
      </c>
      <c r="B94" s="13" t="inlineStr">
        <is>
          <t>Swamp</t>
        </is>
      </c>
      <c r="C94" s="13" t="inlineStr">
        <is>
          <t>Swamp</t>
        </is>
      </c>
      <c r="D94" s="13" t="inlineStr">
        <is>
          <t>Swamp</t>
        </is>
      </c>
      <c r="E94" s="13" t="inlineStr">
        <is>
          <t>Swamp</t>
        </is>
      </c>
      <c r="F94" s="13" t="inlineStr">
        <is>
          <t>Swamp</t>
        </is>
      </c>
      <c r="G94" s="13" t="inlineStr">
        <is>
          <t>Swamp</t>
        </is>
      </c>
      <c r="H94" s="13" t="inlineStr">
        <is>
          <t>Swamp</t>
        </is>
      </c>
      <c r="I94" s="13" t="inlineStr">
        <is>
          <t>Swamp</t>
        </is>
      </c>
      <c r="J94" s="13" t="inlineStr">
        <is>
          <t>Swamp</t>
        </is>
      </c>
      <c r="K94" s="13" t="inlineStr">
        <is>
          <t>Swamp</t>
        </is>
      </c>
      <c r="L94" s="13" t="inlineStr">
        <is>
          <t>Swamp</t>
        </is>
      </c>
      <c r="M94" s="30" t="inlineStr">
        <is>
          <t>Fun Max</t>
        </is>
      </c>
      <c r="N94" s="31">
        <f>INDEX(B94:L94,MATCH(M94,$B$5:$L$5,0))</f>
        <v/>
      </c>
      <c r="O94" s="22">
        <f>IFERROR(VLOOKUP(N94,Prices!$A:$B,2,FALSE),0)</f>
        <v/>
      </c>
      <c r="P94" s="32">
        <f>IFERROR(INDEX('_why_1o'!$B90:$L90,MATCH(M94,$B$5:$L$5,0)),"")</f>
        <v/>
      </c>
    </row>
    <row r="95">
      <c r="A95" s="28" t="n">
        <v>90</v>
      </c>
      <c r="B95" s="33" t="inlineStr">
        <is>
          <t>Swamp</t>
        </is>
      </c>
      <c r="C95" s="33" t="inlineStr">
        <is>
          <t>Swamp</t>
        </is>
      </c>
      <c r="D95" s="33" t="inlineStr">
        <is>
          <t>Swamp</t>
        </is>
      </c>
      <c r="E95" s="33" t="inlineStr">
        <is>
          <t>Swamp</t>
        </is>
      </c>
      <c r="F95" s="33" t="inlineStr">
        <is>
          <t>Swamp</t>
        </is>
      </c>
      <c r="G95" s="33" t="inlineStr">
        <is>
          <t>Swamp</t>
        </is>
      </c>
      <c r="H95" s="33" t="inlineStr">
        <is>
          <t>Swamp</t>
        </is>
      </c>
      <c r="I95" s="33" t="inlineStr">
        <is>
          <t>Swamp</t>
        </is>
      </c>
      <c r="J95" s="33" t="inlineStr">
        <is>
          <t>Swamp</t>
        </is>
      </c>
      <c r="K95" s="33" t="inlineStr">
        <is>
          <t>Swamp</t>
        </is>
      </c>
      <c r="L95" s="33" t="inlineStr">
        <is>
          <t>Swamp</t>
        </is>
      </c>
      <c r="M95" s="30" t="inlineStr">
        <is>
          <t>Fun Max</t>
        </is>
      </c>
      <c r="N95" s="31">
        <f>INDEX(B95:L95,MATCH(M95,$B$5:$L$5,0))</f>
        <v/>
      </c>
      <c r="O95" s="22">
        <f>IFERROR(VLOOKUP(N95,Prices!$A:$B,2,FALSE),0)</f>
        <v/>
      </c>
      <c r="P95" s="32">
        <f>IFERROR(INDEX('_why_1o'!$B91:$L91,MATCH(M95,$B$5:$L$5,0)),"")</f>
        <v/>
      </c>
    </row>
    <row r="96">
      <c r="A96" s="28" t="n">
        <v>91</v>
      </c>
      <c r="B96" s="13" t="inlineStr">
        <is>
          <t>Swamp</t>
        </is>
      </c>
      <c r="C96" s="13" t="inlineStr">
        <is>
          <t>Swamp</t>
        </is>
      </c>
      <c r="D96" s="13" t="inlineStr">
        <is>
          <t>Swamp</t>
        </is>
      </c>
      <c r="E96" s="13" t="inlineStr">
        <is>
          <t>Swamp</t>
        </is>
      </c>
      <c r="F96" s="13" t="inlineStr">
        <is>
          <t>Swamp</t>
        </is>
      </c>
      <c r="G96" s="13" t="inlineStr">
        <is>
          <t>Swamp</t>
        </is>
      </c>
      <c r="H96" s="13" t="inlineStr">
        <is>
          <t>Swamp</t>
        </is>
      </c>
      <c r="I96" s="13" t="inlineStr">
        <is>
          <t>Swamp</t>
        </is>
      </c>
      <c r="J96" s="13" t="inlineStr">
        <is>
          <t>Swamp</t>
        </is>
      </c>
      <c r="K96" s="13" t="inlineStr">
        <is>
          <t>Swamp</t>
        </is>
      </c>
      <c r="L96" s="13" t="inlineStr">
        <is>
          <t>Swamp</t>
        </is>
      </c>
      <c r="M96" s="30" t="inlineStr">
        <is>
          <t>Fun Max</t>
        </is>
      </c>
      <c r="N96" s="31">
        <f>INDEX(B96:L96,MATCH(M96,$B$5:$L$5,0))</f>
        <v/>
      </c>
      <c r="O96" s="22">
        <f>IFERROR(VLOOKUP(N96,Prices!$A:$B,2,FALSE),0)</f>
        <v/>
      </c>
      <c r="P96" s="32">
        <f>IFERROR(INDEX('_why_1o'!$B92:$L92,MATCH(M96,$B$5:$L$5,0)),"")</f>
        <v/>
      </c>
    </row>
    <row r="97">
      <c r="A97" s="28" t="n">
        <v>92</v>
      </c>
      <c r="B97" s="33" t="inlineStr">
        <is>
          <t>Swamp</t>
        </is>
      </c>
      <c r="C97" s="33" t="inlineStr">
        <is>
          <t>Swamp</t>
        </is>
      </c>
      <c r="D97" s="33" t="inlineStr">
        <is>
          <t>Swamp</t>
        </is>
      </c>
      <c r="E97" s="33" t="inlineStr">
        <is>
          <t>Swamp</t>
        </is>
      </c>
      <c r="F97" s="33" t="inlineStr">
        <is>
          <t>Swamp</t>
        </is>
      </c>
      <c r="G97" s="33" t="inlineStr">
        <is>
          <t>Swamp</t>
        </is>
      </c>
      <c r="H97" s="33" t="inlineStr">
        <is>
          <t>Swamp</t>
        </is>
      </c>
      <c r="I97" s="33" t="inlineStr">
        <is>
          <t>Swamp</t>
        </is>
      </c>
      <c r="J97" s="33" t="inlineStr">
        <is>
          <t>Swamp</t>
        </is>
      </c>
      <c r="K97" s="33" t="inlineStr">
        <is>
          <t>Swamp</t>
        </is>
      </c>
      <c r="L97" s="33" t="inlineStr">
        <is>
          <t>Swamp</t>
        </is>
      </c>
      <c r="M97" s="30" t="inlineStr">
        <is>
          <t>Fun Max</t>
        </is>
      </c>
      <c r="N97" s="31">
        <f>INDEX(B97:L97,MATCH(M97,$B$5:$L$5,0))</f>
        <v/>
      </c>
      <c r="O97" s="22">
        <f>IFERROR(VLOOKUP(N97,Prices!$A:$B,2,FALSE),0)</f>
        <v/>
      </c>
      <c r="P97" s="32">
        <f>IFERROR(INDEX('_why_1o'!$B93:$L93,MATCH(M97,$B$5:$L$5,0)),"")</f>
        <v/>
      </c>
    </row>
    <row r="98">
      <c r="A98" s="28" t="n">
        <v>93</v>
      </c>
      <c r="B98" s="13" t="inlineStr">
        <is>
          <t>Swamp</t>
        </is>
      </c>
      <c r="C98" s="13" t="inlineStr">
        <is>
          <t>Swamp</t>
        </is>
      </c>
      <c r="D98" s="13" t="inlineStr">
        <is>
          <t>Swamp</t>
        </is>
      </c>
      <c r="E98" s="13" t="inlineStr">
        <is>
          <t>Swamp</t>
        </is>
      </c>
      <c r="F98" s="13" t="inlineStr">
        <is>
          <t>Swamp</t>
        </is>
      </c>
      <c r="G98" s="13" t="inlineStr">
        <is>
          <t>Swamp</t>
        </is>
      </c>
      <c r="H98" s="13" t="inlineStr">
        <is>
          <t>Swamp</t>
        </is>
      </c>
      <c r="I98" s="13" t="inlineStr">
        <is>
          <t>Swamp</t>
        </is>
      </c>
      <c r="J98" s="13" t="inlineStr">
        <is>
          <t>Swamp</t>
        </is>
      </c>
      <c r="K98" s="13" t="inlineStr">
        <is>
          <t>Swamp</t>
        </is>
      </c>
      <c r="L98" s="13" t="inlineStr">
        <is>
          <t>Swamp</t>
        </is>
      </c>
      <c r="M98" s="30" t="inlineStr">
        <is>
          <t>Fun Max</t>
        </is>
      </c>
      <c r="N98" s="31">
        <f>INDEX(B98:L98,MATCH(M98,$B$5:$L$5,0))</f>
        <v/>
      </c>
      <c r="O98" s="22">
        <f>IFERROR(VLOOKUP(N98,Prices!$A:$B,2,FALSE),0)</f>
        <v/>
      </c>
      <c r="P98" s="32">
        <f>IFERROR(INDEX('_why_1o'!$B94:$L94,MATCH(M98,$B$5:$L$5,0)),"")</f>
        <v/>
      </c>
    </row>
    <row r="99">
      <c r="A99" s="28" t="n">
        <v>94</v>
      </c>
      <c r="B99" s="33" t="inlineStr">
        <is>
          <t>Forest</t>
        </is>
      </c>
      <c r="C99" s="33" t="inlineStr">
        <is>
          <t>Forest</t>
        </is>
      </c>
      <c r="D99" s="33" t="inlineStr">
        <is>
          <t>Forest</t>
        </is>
      </c>
      <c r="E99" s="33" t="inlineStr">
        <is>
          <t>Forest</t>
        </is>
      </c>
      <c r="F99" s="33" t="inlineStr">
        <is>
          <t>Forest</t>
        </is>
      </c>
      <c r="G99" s="33" t="inlineStr">
        <is>
          <t>Forest</t>
        </is>
      </c>
      <c r="H99" s="33" t="inlineStr">
        <is>
          <t>Forest</t>
        </is>
      </c>
      <c r="I99" s="33" t="inlineStr">
        <is>
          <t>Forest</t>
        </is>
      </c>
      <c r="J99" s="33" t="inlineStr">
        <is>
          <t>Forest</t>
        </is>
      </c>
      <c r="K99" s="33" t="inlineStr">
        <is>
          <t>Forest</t>
        </is>
      </c>
      <c r="L99" s="33" t="inlineStr">
        <is>
          <t>Forest</t>
        </is>
      </c>
      <c r="M99" s="30" t="inlineStr">
        <is>
          <t>Fun Max</t>
        </is>
      </c>
      <c r="N99" s="31">
        <f>INDEX(B99:L99,MATCH(M99,$B$5:$L$5,0))</f>
        <v/>
      </c>
      <c r="O99" s="22">
        <f>IFERROR(VLOOKUP(N99,Prices!$A:$B,2,FALSE),0)</f>
        <v/>
      </c>
      <c r="P99" s="32">
        <f>IFERROR(INDEX('_why_1o'!$B95:$L95,MATCH(M99,$B$5:$L$5,0)),"")</f>
        <v/>
      </c>
    </row>
    <row r="100">
      <c r="A100" s="28" t="n">
        <v>95</v>
      </c>
      <c r="B100" s="13" t="inlineStr">
        <is>
          <t>Forest</t>
        </is>
      </c>
      <c r="C100" s="13" t="inlineStr">
        <is>
          <t>Forest</t>
        </is>
      </c>
      <c r="D100" s="13" t="inlineStr">
        <is>
          <t>Forest</t>
        </is>
      </c>
      <c r="E100" s="13" t="inlineStr">
        <is>
          <t>Forest</t>
        </is>
      </c>
      <c r="F100" s="13" t="inlineStr">
        <is>
          <t>Forest</t>
        </is>
      </c>
      <c r="G100" s="13" t="inlineStr">
        <is>
          <t>Forest</t>
        </is>
      </c>
      <c r="H100" s="13" t="inlineStr">
        <is>
          <t>Forest</t>
        </is>
      </c>
      <c r="I100" s="13" t="inlineStr">
        <is>
          <t>Forest</t>
        </is>
      </c>
      <c r="J100" s="13" t="inlineStr">
        <is>
          <t>Forest</t>
        </is>
      </c>
      <c r="K100" s="13" t="inlineStr">
        <is>
          <t>Forest</t>
        </is>
      </c>
      <c r="L100" s="13" t="inlineStr">
        <is>
          <t>Forest</t>
        </is>
      </c>
      <c r="M100" s="30" t="inlineStr">
        <is>
          <t>Fun Max</t>
        </is>
      </c>
      <c r="N100" s="31">
        <f>INDEX(B100:L100,MATCH(M100,$B$5:$L$5,0))</f>
        <v/>
      </c>
      <c r="O100" s="22">
        <f>IFERROR(VLOOKUP(N100,Prices!$A:$B,2,FALSE),0)</f>
        <v/>
      </c>
      <c r="P100" s="32">
        <f>IFERROR(INDEX('_why_1o'!$B96:$L96,MATCH(M100,$B$5:$L$5,0)),"")</f>
        <v/>
      </c>
    </row>
    <row r="101">
      <c r="A101" s="28" t="n">
        <v>96</v>
      </c>
      <c r="B101" s="33" t="inlineStr">
        <is>
          <t>Forest</t>
        </is>
      </c>
      <c r="C101" s="33" t="inlineStr">
        <is>
          <t>Forest</t>
        </is>
      </c>
      <c r="D101" s="33" t="inlineStr">
        <is>
          <t>Forest</t>
        </is>
      </c>
      <c r="E101" s="33" t="inlineStr">
        <is>
          <t>Forest</t>
        </is>
      </c>
      <c r="F101" s="33" t="inlineStr">
        <is>
          <t>Forest</t>
        </is>
      </c>
      <c r="G101" s="33" t="inlineStr">
        <is>
          <t>Forest</t>
        </is>
      </c>
      <c r="H101" s="33" t="inlineStr">
        <is>
          <t>Forest</t>
        </is>
      </c>
      <c r="I101" s="33" t="inlineStr">
        <is>
          <t>Forest</t>
        </is>
      </c>
      <c r="J101" s="33" t="inlineStr">
        <is>
          <t>Forest</t>
        </is>
      </c>
      <c r="K101" s="33" t="inlineStr">
        <is>
          <t>Forest</t>
        </is>
      </c>
      <c r="L101" s="33" t="inlineStr">
        <is>
          <t>Forest</t>
        </is>
      </c>
      <c r="M101" s="30" t="inlineStr">
        <is>
          <t>Fun Max</t>
        </is>
      </c>
      <c r="N101" s="31">
        <f>INDEX(B101:L101,MATCH(M101,$B$5:$L$5,0))</f>
        <v/>
      </c>
      <c r="O101" s="22">
        <f>IFERROR(VLOOKUP(N101,Prices!$A:$B,2,FALSE),0)</f>
        <v/>
      </c>
      <c r="P101" s="32">
        <f>IFERROR(INDEX('_why_1o'!$B97:$L97,MATCH(M101,$B$5:$L$5,0)),"")</f>
        <v/>
      </c>
    </row>
    <row r="102">
      <c r="A102" s="28" t="n">
        <v>97</v>
      </c>
      <c r="B102" s="13" t="inlineStr">
        <is>
          <t>Forest</t>
        </is>
      </c>
      <c r="C102" s="13" t="inlineStr">
        <is>
          <t>Forest</t>
        </is>
      </c>
      <c r="D102" s="13" t="inlineStr">
        <is>
          <t>Forest</t>
        </is>
      </c>
      <c r="E102" s="13" t="inlineStr">
        <is>
          <t>Forest</t>
        </is>
      </c>
      <c r="F102" s="13" t="inlineStr">
        <is>
          <t>Forest</t>
        </is>
      </c>
      <c r="G102" s="13" t="inlineStr">
        <is>
          <t>Forest</t>
        </is>
      </c>
      <c r="H102" s="13" t="inlineStr">
        <is>
          <t>Forest</t>
        </is>
      </c>
      <c r="I102" s="13" t="inlineStr">
        <is>
          <t>Forest</t>
        </is>
      </c>
      <c r="J102" s="13" t="inlineStr">
        <is>
          <t>Forest</t>
        </is>
      </c>
      <c r="K102" s="13" t="inlineStr">
        <is>
          <t>Forest</t>
        </is>
      </c>
      <c r="L102" s="13" t="inlineStr">
        <is>
          <t>Forest</t>
        </is>
      </c>
      <c r="M102" s="30" t="inlineStr">
        <is>
          <t>Fun Max</t>
        </is>
      </c>
      <c r="N102" s="31">
        <f>INDEX(B102:L102,MATCH(M102,$B$5:$L$5,0))</f>
        <v/>
      </c>
      <c r="O102" s="22">
        <f>IFERROR(VLOOKUP(N102,Prices!$A:$B,2,FALSE),0)</f>
        <v/>
      </c>
      <c r="P102" s="32">
        <f>IFERROR(INDEX('_why_1o'!$B98:$L98,MATCH(M102,$B$5:$L$5,0)),"")</f>
        <v/>
      </c>
    </row>
    <row r="103">
      <c r="A103" s="28" t="n">
        <v>98</v>
      </c>
      <c r="B103" s="33" t="inlineStr">
        <is>
          <t>Forest</t>
        </is>
      </c>
      <c r="C103" s="33" t="inlineStr">
        <is>
          <t>Forest</t>
        </is>
      </c>
      <c r="D103" s="33" t="inlineStr">
        <is>
          <t>Forest</t>
        </is>
      </c>
      <c r="E103" s="33" t="inlineStr">
        <is>
          <t>Forest</t>
        </is>
      </c>
      <c r="F103" s="33" t="inlineStr">
        <is>
          <t>Forest</t>
        </is>
      </c>
      <c r="G103" s="33" t="inlineStr">
        <is>
          <t>Forest</t>
        </is>
      </c>
      <c r="H103" s="33" t="inlineStr">
        <is>
          <t>Forest</t>
        </is>
      </c>
      <c r="I103" s="33" t="inlineStr">
        <is>
          <t>Forest</t>
        </is>
      </c>
      <c r="J103" s="33" t="inlineStr">
        <is>
          <t>Forest</t>
        </is>
      </c>
      <c r="K103" s="33" t="inlineStr">
        <is>
          <t>Forest</t>
        </is>
      </c>
      <c r="L103" s="33" t="inlineStr">
        <is>
          <t>Forest</t>
        </is>
      </c>
      <c r="M103" s="30" t="inlineStr">
        <is>
          <t>Fun Max</t>
        </is>
      </c>
      <c r="N103" s="31">
        <f>INDEX(B103:L103,MATCH(M103,$B$5:$L$5,0))</f>
        <v/>
      </c>
      <c r="O103" s="22">
        <f>IFERROR(VLOOKUP(N103,Prices!$A:$B,2,FALSE),0)</f>
        <v/>
      </c>
      <c r="P103" s="32">
        <f>IFERROR(INDEX('_why_1o'!$B99:$L99,MATCH(M103,$B$5:$L$5,0)),"")</f>
        <v/>
      </c>
    </row>
    <row r="104">
      <c r="A104" s="28" t="n">
        <v>99</v>
      </c>
      <c r="B104" s="13" t="inlineStr">
        <is>
          <t>Forest</t>
        </is>
      </c>
      <c r="C104" s="13" t="inlineStr">
        <is>
          <t>Forest</t>
        </is>
      </c>
      <c r="D104" s="13" t="inlineStr">
        <is>
          <t>Forest</t>
        </is>
      </c>
      <c r="E104" s="13" t="inlineStr">
        <is>
          <t>Forest</t>
        </is>
      </c>
      <c r="F104" s="13" t="inlineStr">
        <is>
          <t>Forest</t>
        </is>
      </c>
      <c r="G104" s="13" t="inlineStr">
        <is>
          <t>Forest</t>
        </is>
      </c>
      <c r="H104" s="13" t="inlineStr">
        <is>
          <t>Forest</t>
        </is>
      </c>
      <c r="I104" s="13" t="inlineStr">
        <is>
          <t>Forest</t>
        </is>
      </c>
      <c r="J104" s="13" t="inlineStr">
        <is>
          <t>Forest</t>
        </is>
      </c>
      <c r="K104" s="13" t="inlineStr">
        <is>
          <t>Forest</t>
        </is>
      </c>
      <c r="L104" s="13" t="inlineStr">
        <is>
          <t>Forest</t>
        </is>
      </c>
      <c r="M104" s="30" t="inlineStr">
        <is>
          <t>Fun Max</t>
        </is>
      </c>
      <c r="N104" s="31">
        <f>INDEX(B104:L104,MATCH(M104,$B$5:$L$5,0))</f>
        <v/>
      </c>
      <c r="O104" s="22">
        <f>IFERROR(VLOOKUP(N104,Prices!$A:$B,2,FALSE),0)</f>
        <v/>
      </c>
      <c r="P104" s="32">
        <f>IFERROR(INDEX('_why_1o'!$B100:$L100,MATCH(M104,$B$5:$L$5,0)),"")</f>
        <v/>
      </c>
    </row>
    <row r="105">
      <c r="A105" s="28" t="n">
        <v>100</v>
      </c>
      <c r="B105" s="33" t="inlineStr">
        <is>
          <t>Forest</t>
        </is>
      </c>
      <c r="C105" s="33" t="inlineStr">
        <is>
          <t>Forest</t>
        </is>
      </c>
      <c r="D105" s="33" t="inlineStr">
        <is>
          <t>Forest</t>
        </is>
      </c>
      <c r="E105" s="33" t="inlineStr">
        <is>
          <t>Forest</t>
        </is>
      </c>
      <c r="F105" s="33" t="inlineStr">
        <is>
          <t>Forest</t>
        </is>
      </c>
      <c r="G105" s="33" t="inlineStr">
        <is>
          <t>Forest</t>
        </is>
      </c>
      <c r="H105" s="33" t="inlineStr">
        <is>
          <t>Forest</t>
        </is>
      </c>
      <c r="I105" s="33" t="inlineStr">
        <is>
          <t>Forest</t>
        </is>
      </c>
      <c r="J105" s="33" t="inlineStr">
        <is>
          <t>Forest</t>
        </is>
      </c>
      <c r="K105" s="33" t="inlineStr">
        <is>
          <t>Forest</t>
        </is>
      </c>
      <c r="L105" s="33" t="inlineStr">
        <is>
          <t>Forest</t>
        </is>
      </c>
      <c r="M105" s="30" t="inlineStr">
        <is>
          <t>Fun Max</t>
        </is>
      </c>
      <c r="N105" s="31">
        <f>INDEX(B105:L105,MATCH(M105,$B$5:$L$5,0))</f>
        <v/>
      </c>
      <c r="O105" s="22">
        <f>IFERROR(VLOOKUP(N105,Prices!$A:$B,2,FALSE),0)</f>
        <v/>
      </c>
      <c r="P105" s="32">
        <f>IFERROR(INDEX('_why_1o'!$B101:$L101,MATCH(M105,$B$5:$L$5,0)),"")</f>
        <v/>
      </c>
    </row>
    <row r="106">
      <c r="A106" s="9" t="inlineStr">
        <is>
          <t>TOTALS</t>
        </is>
      </c>
      <c r="B106" s="35" t="n">
        <v>81.45999999999999</v>
      </c>
      <c r="C106" s="35" t="n">
        <v>102.52</v>
      </c>
      <c r="D106" s="35" t="n">
        <v>107.46</v>
      </c>
      <c r="E106" s="35" t="n">
        <v>239.81</v>
      </c>
      <c r="F106" s="35" t="n">
        <v>92.25</v>
      </c>
      <c r="G106" s="35" t="n">
        <v>153.11</v>
      </c>
      <c r="H106" s="35" t="n">
        <v>217.82</v>
      </c>
      <c r="I106" s="35" t="n">
        <v>82.7</v>
      </c>
      <c r="J106" s="35" t="n">
        <v>255.46</v>
      </c>
      <c r="K106" s="35" t="n">
        <v>80.12</v>
      </c>
      <c r="L106" s="35" t="n">
        <v>177.34</v>
      </c>
      <c r="N106" s="9" t="inlineStr">
        <is>
          <t>Your selection →</t>
        </is>
      </c>
      <c r="O106" s="35">
        <f>SUM(O6:O105)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7">
    <mergeCell ref="I4:J4"/>
    <mergeCell ref="A108:P108"/>
    <mergeCell ref="B4:E4"/>
    <mergeCell ref="A1:P1"/>
    <mergeCell ref="F4:H4"/>
    <mergeCell ref="K4:L4"/>
    <mergeCell ref="A2:P2"/>
  </mergeCells>
  <dataValidations count="1">
    <dataValidation sqref="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showDropDown="0" showInputMessage="0" showErrorMessage="0" allowBlank="0" type="list">
      <formula1>"Base,Tuned,Enhance,Max,Tuned-2,Enhance-2,Max-2,Fun Tuned,Fun Max,Alt Tuned,Alt Max"</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c r="K1" t="inlineStr">
        <is>
          <t>Alt Tuned</t>
        </is>
      </c>
      <c r="L1" t="inlineStr">
        <is>
          <t>Alt Max</t>
        </is>
      </c>
    </row>
    <row r="2">
      <c r="A2" t="n">
        <v>1</v>
      </c>
      <c r="B2" t="inlineStr"/>
      <c r="C2" t="inlineStr"/>
      <c r="D2" t="inlineStr"/>
      <c r="E2" t="inlineStr"/>
      <c r="F2" t="inlineStr"/>
      <c r="G2" t="inlineStr"/>
      <c r="H2" t="inlineStr"/>
      <c r="I2" t="inlineStr">
        <is>
          <t>Replaces Tip the Scales (adds removal/wipe). Evidence: the card it replaces was cast in 56% of the games it was drawn; sat dead in hand 44% of the time; landed on turn 7.1 on average; the deck won 13% of games it was cast in.</t>
        </is>
      </c>
      <c r="J2" t="inlineStr">
        <is>
          <t>Replaces Reunion of the House (adds removal/protection). Evidence: the card it replaces was cast in 64% of the games it was drawn; sat dead in hand 36% of the time; landed on turn 9.1 on average; the deck won 50% of games it was cast in.</t>
        </is>
      </c>
      <c r="K2" t="inlineStr"/>
      <c r="L2" t="inlineStr"/>
    </row>
    <row r="3">
      <c r="A3" t="n">
        <v>2</v>
      </c>
      <c r="B3" t="inlineStr"/>
      <c r="C3" t="inlineStr"/>
      <c r="D3" t="inlineStr"/>
      <c r="E3" t="inlineStr"/>
      <c r="F3" t="inlineStr"/>
      <c r="G3" t="inlineStr"/>
      <c r="H3" t="inlineStr"/>
      <c r="I3" t="inlineStr"/>
      <c r="J3" t="inlineStr"/>
      <c r="K3" t="inlineStr">
        <is>
          <t>Replaces Tip the Scales (adds removal/wipe). Evidence: the card it replaces was cast in 58% of the games it was drawn; sat dead in hand 42% of the time; landed on turn 6.8 on average; the deck won 17% of games it was cast in.</t>
        </is>
      </c>
      <c r="L3" t="inlineStr">
        <is>
          <t>Replaces Reunion of the House (adds protection/threat). Evidence: the card it replaces was cast in 62% of the games it was drawn; sat dead in hand 38% of the time; landed on turn 9.0 on average; the deck won 54% of games it was cast in.</t>
        </is>
      </c>
    </row>
    <row r="4">
      <c r="A4" t="n">
        <v>3</v>
      </c>
      <c r="B4" t="inlineStr"/>
      <c r="C4" t="inlineStr"/>
      <c r="D4" t="inlineStr"/>
      <c r="E4" t="inlineStr"/>
      <c r="F4" t="inlineStr"/>
      <c r="G4" t="inlineStr"/>
      <c r="H4" t="inlineStr"/>
      <c r="I4" t="inlineStr"/>
      <c r="J4" t="inlineStr"/>
      <c r="K4" t="inlineStr"/>
      <c r="L4" t="inlineStr"/>
    </row>
    <row r="5">
      <c r="A5" t="n">
        <v>4</v>
      </c>
      <c r="B5" t="inlineStr"/>
      <c r="C5" t="inlineStr"/>
      <c r="D5" t="inlineStr"/>
      <c r="E5" t="inlineStr"/>
      <c r="F5" t="inlineStr"/>
      <c r="G5" t="inlineStr"/>
      <c r="H5" t="inlineStr"/>
      <c r="I5" t="inlineStr"/>
      <c r="J5" t="inlineStr">
        <is>
          <t>Replaces Expel the Interlopers (adds removal/wipe/protection). Evidence: the card it replaces was cast in 54% of the games it was drawn; sat dead in hand 46% of the time; landed on turn 7.9 on average; the deck won 16% of games it was cast in.</t>
        </is>
      </c>
      <c r="K5" t="inlineStr"/>
      <c r="L5" t="inlineStr">
        <is>
          <t>Replaces Expel the Interlopers (adds removal/wipe). Evidence: the card it replaces was cast in 56% of the games it was drawn; sat dead in hand 44% of the time; landed on turn 7.5 on average; the deck won 16% of games it was cast in.</t>
        </is>
      </c>
    </row>
    <row r="6">
      <c r="A6" t="n">
        <v>5</v>
      </c>
      <c r="B6" t="inlineStr"/>
      <c r="C6" t="inlineStr"/>
      <c r="D6" t="inlineStr"/>
      <c r="E6" t="inlineStr"/>
      <c r="F6" t="inlineStr"/>
      <c r="G6" t="inlineStr"/>
      <c r="H6" t="inlineStr"/>
      <c r="I6" t="inlineStr">
        <is>
          <t>Replaces Will of the Abzan (adds removal/protection). Evidence: the card it replaces was cast in 81% of the games it was drawn; sat dead in hand 19% of the time; landed on turn 8.0 on average; the deck won 46% of games it was cast in.</t>
        </is>
      </c>
      <c r="J6" t="inlineStr">
        <is>
          <t>Replaces Exotic Orchard (adds draw/removal/protection/threat). Evidence: the land it replaces carried no spell effect the model could use; it was drawn in 19% of games; the deck stayed inside its land floor after the cut.</t>
        </is>
      </c>
      <c r="K6" t="inlineStr">
        <is>
          <t>Replaces Will of the Abzan (adds removal/protection). Evidence: the card it replaces was cast in 83% of the games it was drawn; sat dead in hand 17% of the time; landed on turn 7.9 on average; the deck won 47% of games it was cast in.</t>
        </is>
      </c>
      <c r="L6" t="inlineStr">
        <is>
          <t>Replaces Exotic Orchard (adds ramp/removal). Evidence: the land it replaces carried no spell effect the model could use; it was drawn in 19% of games; the deck stayed inside its land floor after the cut.</t>
        </is>
      </c>
    </row>
    <row r="7">
      <c r="A7" t="n">
        <v>6</v>
      </c>
      <c r="B7" t="inlineStr"/>
      <c r="C7" t="inlineStr"/>
      <c r="D7" t="inlineStr"/>
      <c r="E7" t="inlineStr"/>
      <c r="F7" t="inlineStr">
        <is>
          <t>Replaces Tip the Scales (adds wipe/protection/finisher/threat). Evidence: the card it replaces was cast in 88% of the games it was drawn; sat dead in hand 12% of the time; landed on turn 6.6 on average; the deck won 14% of games it was cast in.</t>
        </is>
      </c>
      <c r="G7" t="inlineStr"/>
      <c r="H7" t="inlineStr"/>
      <c r="I7" t="inlineStr">
        <is>
          <t>Replaces Expel the Interlopers (adds removal/wipe/protection). Evidence: the card it replaces was cast in 54% of the games it was drawn; sat dead in hand 46% of the time; landed on turn 7.8 on average; the deck won 13% of games it was cast in.</t>
        </is>
      </c>
      <c r="J7" t="inlineStr">
        <is>
          <t>Replaces Temple of Plenty (adds removal/protection). Evidence: the land it replaces carried no spell effect the model could use; it was drawn in 19% of games; the deck stayed inside its land floor after the cut.</t>
        </is>
      </c>
      <c r="K7" t="inlineStr">
        <is>
          <t>Replaces Expel the Interlopers (adds removal/wipe/protection). Evidence: the card it replaces was cast in 53% of the games it was drawn; sat dead in hand 47% of the time; landed on turn 7.4 on average; the deck won 17% of games it was cast in.</t>
        </is>
      </c>
      <c r="L7" t="inlineStr">
        <is>
          <t>Replaces Wakestone Gargoyle (adds draw/removal/protection/threat). Evidence: the card it replaces was cast in 88% of the games it was drawn; sat dead in hand 12% of the time; landed on turn 7.5 on average; the deck won 51% of games it was cast in.</t>
        </is>
      </c>
    </row>
    <row r="8">
      <c r="A8" t="n">
        <v>7</v>
      </c>
      <c r="B8" t="inlineStr"/>
      <c r="C8" t="inlineStr"/>
      <c r="D8" t="inlineStr"/>
      <c r="E8" t="inlineStr"/>
      <c r="F8" t="inlineStr">
        <is>
          <t>Replaces Will of the Abzan (adds removal/protection). Evidence: the card it replaces was cast in 86% of the games it was drawn; sat dead in hand 14% of the time; landed on turn 8.4 on average; the deck won 40% of games it was cast in.</t>
        </is>
      </c>
      <c r="G8" t="inlineStr"/>
      <c r="H8" t="inlineStr"/>
      <c r="I8" t="inlineStr">
        <is>
          <t>Mandatory legality fix — Tier 2 does not allow Seedborn Muse to stay in this list.</t>
        </is>
      </c>
      <c r="J8" t="inlineStr"/>
      <c r="K8" t="inlineStr">
        <is>
          <t>Mandatory legality fix — Tier 2 does not allow Seedborn Muse to stay in this list.</t>
        </is>
      </c>
      <c r="L8" t="inlineStr"/>
    </row>
    <row r="9">
      <c r="A9" t="n">
        <v>8</v>
      </c>
      <c r="B9" t="inlineStr"/>
      <c r="C9" t="inlineStr"/>
      <c r="D9" t="inlineStr"/>
      <c r="E9" t="inlineStr"/>
      <c r="F9" t="inlineStr"/>
      <c r="G9" t="inlineStr"/>
      <c r="H9" t="inlineStr"/>
      <c r="I9" t="inlineStr"/>
      <c r="J9" t="inlineStr">
        <is>
          <t>Replaces Woodland Cemetery (adds removal/protection). Evidence: the land it replaces carried no spell effect the model could use; it was drawn in 19% of games; the deck stayed inside its land floor after the cut.</t>
        </is>
      </c>
      <c r="K9" t="inlineStr"/>
      <c r="L9" t="inlineStr">
        <is>
          <t>Replaces Temple of Plenty (adds removal/protection). Evidence: the land it replaces carried no spell effect the model could use; it was drawn in 19% of games; the deck stayed inside its land floor after the cut.</t>
        </is>
      </c>
    </row>
    <row r="10">
      <c r="A10" t="n">
        <v>9</v>
      </c>
      <c r="B10" t="inlineStr"/>
      <c r="C10" t="inlineStr"/>
      <c r="D10" t="inlineStr"/>
      <c r="E10" t="inlineStr"/>
      <c r="F10" t="inlineStr"/>
      <c r="G10" t="inlineStr"/>
      <c r="H10" t="inlineStr"/>
      <c r="I10" t="inlineStr"/>
      <c r="J10" t="inlineStr"/>
      <c r="K10" t="inlineStr"/>
      <c r="L10" t="inlineStr"/>
    </row>
    <row r="11">
      <c r="A11" t="n">
        <v>10</v>
      </c>
      <c r="B11" t="inlineStr"/>
      <c r="C11" t="inlineStr"/>
      <c r="D11" t="inlineStr"/>
      <c r="E11" t="inlineStr"/>
      <c r="F11" t="inlineStr"/>
      <c r="G11" t="inlineStr"/>
      <c r="H11" t="inlineStr"/>
      <c r="I11" t="inlineStr"/>
      <c r="J11" t="inlineStr"/>
      <c r="K11" t="inlineStr"/>
      <c r="L11" t="inlineStr"/>
    </row>
    <row r="12">
      <c r="A12" t="n">
        <v>11</v>
      </c>
      <c r="B12" t="inlineStr"/>
      <c r="C12" t="inlineStr"/>
      <c r="D12" t="inlineStr"/>
      <c r="E12" t="inlineStr"/>
      <c r="F12" t="inlineStr"/>
      <c r="G12" t="inlineStr"/>
      <c r="H12" t="inlineStr"/>
      <c r="I12" t="inlineStr"/>
      <c r="J12" t="inlineStr"/>
      <c r="K12" t="inlineStr"/>
      <c r="L12" t="inlineStr"/>
    </row>
    <row r="13">
      <c r="A13" t="n">
        <v>12</v>
      </c>
      <c r="B13" t="inlineStr"/>
      <c r="C13" t="inlineStr"/>
      <c r="D13" t="inlineStr"/>
      <c r="E13" t="inlineStr"/>
      <c r="F13" t="inlineStr"/>
      <c r="G13" t="inlineStr"/>
      <c r="H13" t="inlineStr"/>
      <c r="I13" t="inlineStr">
        <is>
          <t>Replaces Dragonlord Dromoka (adds removal/protection). Evidence: the card it replaces was cast in 89% of the games it was drawn; sat dead in hand 11% of the time; landed on turn 8.1 on average; the deck won 49% of games it was cast in.</t>
        </is>
      </c>
      <c r="J13" t="inlineStr">
        <is>
          <t>Replaces Command Tower (adds removal/protection). Evidence: the land it replaces carried no spell effect the model could use; it was drawn in 19% of games; the deck stayed inside its land floor after the cut.</t>
        </is>
      </c>
      <c r="K13" t="inlineStr">
        <is>
          <t>Replaces Dragonlord Dromoka (adds removal/protection). Evidence: the card it replaces was cast in 87% of the games it was drawn; sat dead in hand 13% of the time; landed on turn 8.3 on average; the deck won 49% of games it was cast in.</t>
        </is>
      </c>
      <c r="L13" t="inlineStr">
        <is>
          <t>Replaces Woodland Cemetery (adds removal/protection). Evidence: the land it replaces carried no spell effect the model could use; it was drawn in 19% of games; the deck stayed inside its land floor after the cut.</t>
        </is>
      </c>
    </row>
    <row r="14">
      <c r="A14" t="n">
        <v>13</v>
      </c>
      <c r="B14" t="inlineStr"/>
      <c r="C14" t="inlineStr"/>
      <c r="D14" t="inlineStr"/>
      <c r="E14" t="inlineStr"/>
      <c r="F14" t="inlineStr"/>
      <c r="G14" t="inlineStr"/>
      <c r="H14" t="inlineStr"/>
      <c r="I14" t="inlineStr"/>
      <c r="J14" t="inlineStr"/>
      <c r="K14" t="inlineStr"/>
      <c r="L14" t="inlineStr"/>
    </row>
    <row r="15">
      <c r="A15" t="n">
        <v>14</v>
      </c>
      <c r="B15" t="inlineStr"/>
      <c r="C15" t="inlineStr"/>
      <c r="D15" t="inlineStr"/>
      <c r="E15" t="inlineStr"/>
      <c r="F15" t="inlineStr">
        <is>
          <t>Replaces Expel the Interlopers (adds removal/wipe/protection). Evidence: the card it replaces was cast in 83% of the games it was drawn; sat dead in hand 17% of the time; landed on turn 8.0 on average; the deck won 14% of games it was cast in.</t>
        </is>
      </c>
      <c r="G15" t="inlineStr"/>
      <c r="H15" t="inlineStr"/>
      <c r="I15" t="inlineStr"/>
      <c r="J15" t="inlineStr">
        <is>
          <t>Replaces Path of Ancestry (adds removal/protection). Evidence: the land it replaces carried no spell effect the model could use; it was drawn in 20% of games; the deck stayed inside its land floor after the cut.</t>
        </is>
      </c>
      <c r="K15" t="inlineStr"/>
      <c r="L15" t="inlineStr">
        <is>
          <t>Replaces Evolving Wilds (adds removal/protection). Evidence: the land it replaces carried no spell effect the model could use; it was drawn in 19% of games; the deck stayed inside its land floor after the cut.</t>
        </is>
      </c>
    </row>
    <row r="16">
      <c r="A16" t="n">
        <v>15</v>
      </c>
      <c r="B16" t="inlineStr"/>
      <c r="C16" t="inlineStr"/>
      <c r="D16" t="inlineStr"/>
      <c r="E16" t="inlineStr"/>
      <c r="F16" t="inlineStr"/>
      <c r="G16" t="inlineStr"/>
      <c r="H16" t="inlineStr"/>
      <c r="I16" t="inlineStr"/>
      <c r="J16" t="inlineStr"/>
      <c r="K16" t="inlineStr"/>
      <c r="L16" t="inlineStr"/>
    </row>
    <row r="17">
      <c r="A17" t="n">
        <v>16</v>
      </c>
      <c r="B17" t="inlineStr"/>
      <c r="C17" t="inlineStr"/>
      <c r="D17" t="inlineStr"/>
      <c r="E17" t="inlineStr"/>
      <c r="F17" t="inlineStr"/>
      <c r="G17" t="inlineStr"/>
      <c r="H17" t="inlineStr"/>
      <c r="I17" t="inlineStr"/>
      <c r="J17" t="inlineStr"/>
      <c r="K17" t="inlineStr"/>
      <c r="L17" t="inlineStr"/>
    </row>
    <row r="18">
      <c r="A18" t="n">
        <v>17</v>
      </c>
      <c r="B18" t="inlineStr"/>
      <c r="C18" t="inlineStr"/>
      <c r="D18" t="inlineStr"/>
      <c r="E18" t="inlineStr"/>
      <c r="F18" t="inlineStr"/>
      <c r="G18" t="inlineStr"/>
      <c r="H18" t="inlineStr"/>
      <c r="I18" t="inlineStr"/>
      <c r="J18" t="inlineStr"/>
      <c r="K18" t="inlineStr"/>
      <c r="L18" t="inlineStr"/>
    </row>
    <row r="19">
      <c r="A19" t="n">
        <v>18</v>
      </c>
      <c r="B19" t="inlineStr"/>
      <c r="C19" t="inlineStr"/>
      <c r="D19" t="inlineStr"/>
      <c r="E19" t="inlineStr"/>
      <c r="F19" t="inlineStr">
        <is>
          <t>Replaces Wakestone Gargoyle (adds draw/removal/protection/threat). Evidence: the card it replaces was cast in 90% of the games it was drawn; sat dead in hand 10% of the time; landed on turn 8.0 on average; the deck won 41% of games it was cast in.</t>
        </is>
      </c>
      <c r="G19" t="inlineStr"/>
      <c r="H19" t="inlineStr"/>
      <c r="I19" t="inlineStr"/>
      <c r="J19" t="inlineStr"/>
      <c r="K19" t="inlineStr"/>
      <c r="L19" t="inlineStr">
        <is>
          <t>Replaces Path of Ancestry (adds removal/protection/finisher/threat). Evidence: the land it replaces carried no spell effect the model could use; it was drawn in 20% of games; the deck stayed inside its land floor after the cut.</t>
        </is>
      </c>
    </row>
    <row r="20">
      <c r="A20" t="n">
        <v>19</v>
      </c>
      <c r="B20" t="inlineStr"/>
      <c r="C20" t="inlineStr"/>
      <c r="D20" t="inlineStr"/>
      <c r="E20" t="inlineStr"/>
      <c r="F20" t="inlineStr"/>
      <c r="G20" t="inlineStr"/>
      <c r="H20" t="inlineStr"/>
      <c r="I20" t="inlineStr"/>
      <c r="J20" t="inlineStr"/>
      <c r="K20" t="inlineStr"/>
      <c r="L20" t="inlineStr"/>
    </row>
    <row r="21">
      <c r="A21" t="n">
        <v>20</v>
      </c>
      <c r="B21" t="inlineStr"/>
      <c r="C21" t="inlineStr"/>
      <c r="D21" t="inlineStr"/>
      <c r="E21" t="inlineStr"/>
      <c r="F21" t="inlineStr"/>
      <c r="G21" t="inlineStr"/>
      <c r="H21" t="inlineStr"/>
      <c r="I21" t="inlineStr"/>
      <c r="J21" t="inlineStr"/>
      <c r="K21" t="inlineStr"/>
      <c r="L21" t="inlineStr"/>
    </row>
    <row r="22">
      <c r="A22" t="n">
        <v>21</v>
      </c>
      <c r="B22" t="inlineStr"/>
      <c r="C22" t="inlineStr"/>
      <c r="D22" t="inlineStr"/>
      <c r="E22" t="inlineStr"/>
      <c r="F22" t="inlineStr">
        <is>
          <t>Replaces Zetalpa, Primal Dawn (adds removal/protection). Evidence: the card it replaces was cast in 79% of the games it was drawn; sat dead in hand 21% of the time; landed on turn 9.1 on average; the deck won 42% of games it was cast in.</t>
        </is>
      </c>
      <c r="G22" t="inlineStr"/>
      <c r="H22" t="inlineStr"/>
      <c r="I22" t="inlineStr"/>
      <c r="J22" t="inlineStr"/>
      <c r="K22" t="inlineStr"/>
      <c r="L22" t="inlineStr"/>
    </row>
    <row r="23">
      <c r="A23" t="n">
        <v>22</v>
      </c>
      <c r="B23" t="inlineStr"/>
      <c r="C23" t="inlineStr"/>
      <c r="D23" t="inlineStr"/>
      <c r="E23" t="inlineStr"/>
      <c r="F23" t="inlineStr"/>
      <c r="G23" t="inlineStr"/>
      <c r="H23" t="inlineStr"/>
      <c r="I23" t="inlineStr"/>
      <c r="J23" t="inlineStr"/>
      <c r="K23" t="inlineStr"/>
      <c r="L23" t="inlineStr"/>
    </row>
    <row r="24">
      <c r="A24" t="n">
        <v>23</v>
      </c>
      <c r="B24" t="inlineStr"/>
      <c r="C24" t="inlineStr"/>
      <c r="D24" t="inlineStr"/>
      <c r="E24" t="inlineStr"/>
      <c r="F24" t="inlineStr"/>
      <c r="G24" t="inlineStr"/>
      <c r="H24" t="inlineStr"/>
      <c r="I24" t="inlineStr"/>
      <c r="J24" t="inlineStr"/>
      <c r="K24" t="inlineStr"/>
      <c r="L24" t="inlineStr"/>
    </row>
    <row r="25">
      <c r="A25" t="n">
        <v>24</v>
      </c>
      <c r="B25" t="inlineStr"/>
      <c r="C25" t="inlineStr"/>
      <c r="D25" t="inlineStr"/>
      <c r="E25" t="inlineStr"/>
      <c r="F25" t="inlineStr"/>
      <c r="G25" t="inlineStr"/>
      <c r="H25" t="inlineStr"/>
      <c r="I25" t="inlineStr"/>
      <c r="J25" t="inlineStr"/>
      <c r="K25" t="inlineStr"/>
      <c r="L25" t="inlineStr"/>
    </row>
    <row r="26">
      <c r="A26" t="n">
        <v>25</v>
      </c>
      <c r="B26" t="inlineStr"/>
      <c r="C26" t="inlineStr"/>
      <c r="D26" t="inlineStr"/>
      <c r="E26" t="inlineStr"/>
      <c r="F26" t="inlineStr">
        <is>
          <t>Mandatory legality fix — Tier 2 does not allow Seedborn Muse to stay in this list.</t>
        </is>
      </c>
      <c r="G26" t="inlineStr"/>
      <c r="H26" t="inlineStr"/>
      <c r="I26" t="inlineStr"/>
      <c r="J26" t="inlineStr"/>
      <c r="K26" t="inlineStr"/>
      <c r="L26" t="inlineStr"/>
    </row>
    <row r="27">
      <c r="A27" t="n">
        <v>26</v>
      </c>
      <c r="B27" t="inlineStr"/>
      <c r="C27" t="inlineStr"/>
      <c r="D27" t="inlineStr"/>
      <c r="E27" t="inlineStr"/>
      <c r="F27" t="inlineStr"/>
      <c r="G27" t="inlineStr"/>
      <c r="H27" t="inlineStr"/>
      <c r="I27" t="inlineStr"/>
      <c r="J27" t="inlineStr"/>
      <c r="K27" t="inlineStr"/>
      <c r="L27" t="inlineStr"/>
    </row>
    <row r="28">
      <c r="A28" t="n">
        <v>27</v>
      </c>
      <c r="B28" t="inlineStr"/>
      <c r="C28" t="inlineStr"/>
      <c r="D28" t="inlineStr"/>
      <c r="E28" t="inlineStr"/>
      <c r="F28" t="inlineStr"/>
      <c r="G28" t="inlineStr"/>
      <c r="H28" t="inlineStr"/>
      <c r="I28" t="inlineStr"/>
      <c r="J28" t="inlineStr"/>
      <c r="K28" t="inlineStr"/>
      <c r="L28" t="inlineStr"/>
    </row>
    <row r="29">
      <c r="A29" t="n">
        <v>28</v>
      </c>
      <c r="B29" t="inlineStr"/>
      <c r="C29" t="inlineStr"/>
      <c r="D29" t="inlineStr"/>
      <c r="E29" t="inlineStr"/>
      <c r="F29" t="inlineStr"/>
      <c r="G29" t="inlineStr"/>
      <c r="H29" t="inlineStr"/>
      <c r="I29" t="inlineStr"/>
      <c r="J29" t="inlineStr"/>
      <c r="K29" t="inlineStr"/>
      <c r="L29" t="inlineStr"/>
    </row>
    <row r="30">
      <c r="A30" t="n">
        <v>29</v>
      </c>
      <c r="B30" t="inlineStr"/>
      <c r="C30" t="inlineStr"/>
      <c r="D30" t="inlineStr"/>
      <c r="E30" t="inlineStr"/>
      <c r="F30" t="inlineStr"/>
      <c r="G30" t="inlineStr"/>
      <c r="H30" t="inlineStr"/>
      <c r="I30" t="inlineStr"/>
      <c r="J30" t="inlineStr"/>
      <c r="K30" t="inlineStr"/>
      <c r="L30" t="inlineStr"/>
    </row>
    <row r="31">
      <c r="A31" t="n">
        <v>30</v>
      </c>
      <c r="B31" t="inlineStr"/>
      <c r="C31" t="inlineStr"/>
      <c r="D31" t="inlineStr"/>
      <c r="E31" t="inlineStr"/>
      <c r="F31" t="inlineStr"/>
      <c r="G31" t="inlineStr"/>
      <c r="H31" t="inlineStr"/>
      <c r="I31" t="inlineStr"/>
      <c r="J31" t="inlineStr"/>
      <c r="K31" t="inlineStr"/>
      <c r="L31" t="inlineStr"/>
    </row>
    <row r="32">
      <c r="A32" t="n">
        <v>31</v>
      </c>
      <c r="B32" t="inlineStr"/>
      <c r="C32" t="inlineStr"/>
      <c r="D32" t="inlineStr"/>
      <c r="E32" t="inlineStr"/>
      <c r="F32" t="inlineStr"/>
      <c r="G32" t="inlineStr"/>
      <c r="H32" t="inlineStr"/>
      <c r="I32" t="inlineStr"/>
      <c r="J32" t="inlineStr"/>
      <c r="K32" t="inlineStr"/>
      <c r="L32" t="inlineStr"/>
    </row>
    <row r="33">
      <c r="A33" t="n">
        <v>32</v>
      </c>
      <c r="B33" t="inlineStr"/>
      <c r="C33" t="inlineStr"/>
      <c r="D33" t="inlineStr"/>
      <c r="E33" t="inlineStr"/>
      <c r="F33" t="inlineStr"/>
      <c r="G33" t="inlineStr"/>
      <c r="H33" t="inlineStr"/>
      <c r="I33" t="inlineStr"/>
      <c r="J33" t="inlineStr"/>
      <c r="K33" t="inlineStr"/>
      <c r="L33" t="inlineStr"/>
    </row>
    <row r="34">
      <c r="A34" t="n">
        <v>33</v>
      </c>
      <c r="B34" t="inlineStr"/>
      <c r="C34" t="inlineStr"/>
      <c r="D34" t="inlineStr"/>
      <c r="E34" t="inlineStr"/>
      <c r="F34" t="inlineStr"/>
      <c r="G34" t="inlineStr"/>
      <c r="H34" t="inlineStr"/>
      <c r="I34" t="inlineStr"/>
      <c r="J34" t="inlineStr"/>
      <c r="K34" t="inlineStr"/>
      <c r="L34" t="inlineStr"/>
    </row>
    <row r="35">
      <c r="A35" t="n">
        <v>34</v>
      </c>
      <c r="B35" t="inlineStr"/>
      <c r="C35" t="inlineStr"/>
      <c r="D35" t="inlineStr"/>
      <c r="E35" t="inlineStr"/>
      <c r="F35" t="inlineStr"/>
      <c r="G35" t="inlineStr"/>
      <c r="H35" t="inlineStr"/>
      <c r="I35" t="inlineStr"/>
      <c r="J35" t="inlineStr"/>
      <c r="K35" t="inlineStr"/>
      <c r="L35" t="inlineStr"/>
    </row>
    <row r="36">
      <c r="A36" t="n">
        <v>35</v>
      </c>
      <c r="B36" t="inlineStr"/>
      <c r="C36" t="inlineStr"/>
      <c r="D36" t="inlineStr"/>
      <c r="E36" t="inlineStr"/>
      <c r="F36" t="inlineStr"/>
      <c r="G36" t="inlineStr"/>
      <c r="H36" t="inlineStr"/>
      <c r="I36" t="inlineStr"/>
      <c r="J36" t="inlineStr"/>
      <c r="K36" t="inlineStr"/>
      <c r="L36" t="inlineStr"/>
    </row>
    <row r="37">
      <c r="A37" t="n">
        <v>36</v>
      </c>
      <c r="B37" t="inlineStr"/>
      <c r="C37" t="inlineStr"/>
      <c r="D37" t="inlineStr"/>
      <c r="E37" t="inlineStr"/>
      <c r="F37" t="inlineStr"/>
      <c r="G37" t="inlineStr"/>
      <c r="H37" t="inlineStr"/>
      <c r="I37" t="inlineStr"/>
      <c r="J37" t="inlineStr"/>
      <c r="K37" t="inlineStr"/>
      <c r="L37" t="inlineStr"/>
    </row>
    <row r="38">
      <c r="A38" t="n">
        <v>37</v>
      </c>
      <c r="B38" t="inlineStr"/>
      <c r="C38" t="inlineStr"/>
      <c r="D38" t="inlineStr"/>
      <c r="E38" t="inlineStr"/>
      <c r="F38" t="inlineStr"/>
      <c r="G38" t="inlineStr"/>
      <c r="H38" t="inlineStr"/>
      <c r="I38" t="inlineStr"/>
      <c r="J38" t="inlineStr"/>
      <c r="K38" t="inlineStr"/>
      <c r="L38" t="inlineStr"/>
    </row>
    <row r="39">
      <c r="A39" t="n">
        <v>38</v>
      </c>
      <c r="B39" t="inlineStr"/>
      <c r="C39" t="inlineStr"/>
      <c r="D39" t="inlineStr"/>
      <c r="E39" t="inlineStr"/>
      <c r="F39" t="inlineStr"/>
      <c r="G39" t="inlineStr"/>
      <c r="H39" t="inlineStr"/>
      <c r="I39" t="inlineStr"/>
      <c r="J39" t="inlineStr"/>
      <c r="K39" t="inlineStr"/>
      <c r="L39" t="inlineStr"/>
    </row>
    <row r="40">
      <c r="A40" t="n">
        <v>39</v>
      </c>
      <c r="B40" t="inlineStr"/>
      <c r="C40" t="inlineStr"/>
      <c r="D40" t="inlineStr"/>
      <c r="E40" t="inlineStr"/>
      <c r="F40" t="inlineStr"/>
      <c r="G40" t="inlineStr"/>
      <c r="H40" t="inlineStr"/>
      <c r="I40" t="inlineStr"/>
      <c r="J40" t="inlineStr"/>
      <c r="K40" t="inlineStr"/>
      <c r="L40" t="inlineStr"/>
    </row>
    <row r="41">
      <c r="A41" t="n">
        <v>40</v>
      </c>
      <c r="B41" t="inlineStr"/>
      <c r="C41" t="inlineStr"/>
      <c r="D41" t="inlineStr"/>
      <c r="E41" t="inlineStr"/>
      <c r="F41" t="inlineStr"/>
      <c r="G41" t="inlineStr"/>
      <c r="H41" t="inlineStr"/>
      <c r="I41" t="inlineStr"/>
      <c r="J41" t="inlineStr"/>
      <c r="K41" t="inlineStr"/>
      <c r="L41" t="inlineStr"/>
    </row>
    <row r="42">
      <c r="A42" t="n">
        <v>41</v>
      </c>
      <c r="B42" t="inlineStr"/>
      <c r="C42" t="inlineStr"/>
      <c r="D42" t="inlineStr"/>
      <c r="E42" t="inlineStr"/>
      <c r="F42" t="inlineStr"/>
      <c r="G42" t="inlineStr"/>
      <c r="H42" t="inlineStr"/>
      <c r="I42" t="inlineStr"/>
      <c r="J42" t="inlineStr"/>
      <c r="K42" t="inlineStr"/>
      <c r="L42" t="inlineStr"/>
    </row>
    <row r="43">
      <c r="A43" t="n">
        <v>42</v>
      </c>
      <c r="B43" t="inlineStr"/>
      <c r="C43" t="inlineStr"/>
      <c r="D43" t="inlineStr"/>
      <c r="E43" t="inlineStr"/>
      <c r="F43" t="inlineStr"/>
      <c r="G43" t="inlineStr"/>
      <c r="H43" t="inlineStr"/>
      <c r="I43" t="inlineStr"/>
      <c r="J43" t="inlineStr"/>
      <c r="K43" t="inlineStr"/>
      <c r="L43" t="inlineStr"/>
    </row>
    <row r="44">
      <c r="A44" t="n">
        <v>43</v>
      </c>
      <c r="B44" t="inlineStr"/>
      <c r="C44" t="inlineStr"/>
      <c r="D44" t="inlineStr"/>
      <c r="E44" t="inlineStr"/>
      <c r="F44" t="inlineStr"/>
      <c r="G44" t="inlineStr"/>
      <c r="H44" t="inlineStr"/>
      <c r="I44" t="inlineStr"/>
      <c r="J44" t="inlineStr"/>
      <c r="K44" t="inlineStr"/>
      <c r="L44" t="inlineStr"/>
    </row>
    <row r="45">
      <c r="A45" t="n">
        <v>44</v>
      </c>
      <c r="B45" t="inlineStr"/>
      <c r="C45" t="inlineStr"/>
      <c r="D45" t="inlineStr"/>
      <c r="E45" t="inlineStr"/>
      <c r="F45" t="inlineStr"/>
      <c r="G45" t="inlineStr"/>
      <c r="H45" t="inlineStr"/>
      <c r="I45" t="inlineStr"/>
      <c r="J45" t="inlineStr"/>
      <c r="K45" t="inlineStr"/>
      <c r="L45" t="inlineStr"/>
    </row>
    <row r="46">
      <c r="A46" t="n">
        <v>45</v>
      </c>
      <c r="B46" t="inlineStr"/>
      <c r="C46" t="inlineStr"/>
      <c r="D46" t="inlineStr"/>
      <c r="E46" t="inlineStr"/>
      <c r="F46" t="inlineStr"/>
      <c r="G46" t="inlineStr"/>
      <c r="H46" t="inlineStr"/>
      <c r="I46" t="inlineStr"/>
      <c r="J46" t="inlineStr"/>
      <c r="K46" t="inlineStr"/>
      <c r="L46" t="inlineStr"/>
    </row>
    <row r="47">
      <c r="A47" t="n">
        <v>46</v>
      </c>
      <c r="B47" t="inlineStr"/>
      <c r="C47" t="inlineStr"/>
      <c r="D47" t="inlineStr"/>
      <c r="E47" t="inlineStr"/>
      <c r="F47" t="inlineStr"/>
      <c r="G47" t="inlineStr"/>
      <c r="H47" t="inlineStr"/>
      <c r="I47" t="inlineStr"/>
      <c r="J47" t="inlineStr"/>
      <c r="K47" t="inlineStr"/>
      <c r="L47" t="inlineStr"/>
    </row>
    <row r="48">
      <c r="A48" t="n">
        <v>47</v>
      </c>
      <c r="B48" t="inlineStr"/>
      <c r="C48" t="inlineStr"/>
      <c r="D48" t="inlineStr"/>
      <c r="E48" t="inlineStr"/>
      <c r="F48" t="inlineStr"/>
      <c r="G48" t="inlineStr"/>
      <c r="H48" t="inlineStr"/>
      <c r="I48" t="inlineStr"/>
      <c r="J48" t="inlineStr">
        <is>
          <t>Replaces Felidar Retreat (adds removal/protection). Evidence: the card it replaces was cast in 81% of the games it was drawn; sat dead in hand 19% of the time; landed on turn 7.9 on average; the deck won 49% of games it was cast in.</t>
        </is>
      </c>
      <c r="K48" t="inlineStr"/>
      <c r="L48" t="inlineStr">
        <is>
          <t>Replaces Felidar Retreat (adds removal/protection). Evidence: the card it replaces was cast in 81% of the games it was drawn; sat dead in hand 19% of the time; landed on turn 7.9 on average; the deck won 49% of games it was cast in.</t>
        </is>
      </c>
    </row>
    <row r="49">
      <c r="A49" t="n">
        <v>48</v>
      </c>
      <c r="B49" t="inlineStr"/>
      <c r="C49" t="inlineStr"/>
      <c r="D49" t="inlineStr"/>
      <c r="E49" t="inlineStr"/>
      <c r="F49" t="inlineStr"/>
      <c r="G49" t="inlineStr"/>
      <c r="H49" t="inlineStr"/>
      <c r="I49" t="inlineStr"/>
      <c r="J49" t="inlineStr"/>
      <c r="K49" t="inlineStr"/>
      <c r="L49" t="inlineStr"/>
    </row>
    <row r="50">
      <c r="A50" t="n">
        <v>49</v>
      </c>
      <c r="B50" t="inlineStr"/>
      <c r="C50" t="inlineStr"/>
      <c r="D50" t="inlineStr"/>
      <c r="E50" t="inlineStr"/>
      <c r="F50" t="inlineStr"/>
      <c r="G50" t="inlineStr"/>
      <c r="H50" t="inlineStr"/>
      <c r="I50" t="inlineStr"/>
      <c r="J50" t="inlineStr"/>
      <c r="K50" t="inlineStr"/>
      <c r="L50" t="inlineStr"/>
    </row>
    <row r="51">
      <c r="A51" t="n">
        <v>50</v>
      </c>
      <c r="B51" t="inlineStr"/>
      <c r="C51" t="inlineStr"/>
      <c r="D51" t="inlineStr"/>
      <c r="E51" t="inlineStr"/>
      <c r="F51" t="inlineStr"/>
      <c r="G51" t="inlineStr"/>
      <c r="H51" t="inlineStr"/>
      <c r="I51" t="inlineStr"/>
      <c r="J51" t="inlineStr"/>
      <c r="K51" t="inlineStr"/>
      <c r="L51" t="inlineStr"/>
    </row>
    <row r="52">
      <c r="A52" t="n">
        <v>51</v>
      </c>
      <c r="B52" t="inlineStr"/>
      <c r="C52" t="inlineStr"/>
      <c r="D52" t="inlineStr"/>
      <c r="E52" t="inlineStr"/>
      <c r="F52" t="inlineStr"/>
      <c r="G52" t="inlineStr"/>
      <c r="H52" t="inlineStr"/>
      <c r="I52" t="inlineStr"/>
      <c r="J52" t="inlineStr"/>
      <c r="K52" t="inlineStr"/>
      <c r="L52" t="inlineStr"/>
    </row>
    <row r="53">
      <c r="A53" t="n">
        <v>52</v>
      </c>
      <c r="B53" t="inlineStr"/>
      <c r="C53" t="inlineStr"/>
      <c r="D53" t="inlineStr"/>
      <c r="E53" t="inlineStr"/>
      <c r="F53" t="inlineStr"/>
      <c r="G53" t="inlineStr"/>
      <c r="H53" t="inlineStr"/>
      <c r="I53" t="inlineStr"/>
      <c r="J53" t="inlineStr"/>
      <c r="K53" t="inlineStr"/>
      <c r="L53" t="inlineStr"/>
    </row>
    <row r="54">
      <c r="A54" t="n">
        <v>53</v>
      </c>
      <c r="B54" t="inlineStr"/>
      <c r="C54" t="inlineStr"/>
      <c r="D54" t="inlineStr"/>
      <c r="E54" t="inlineStr"/>
      <c r="F54" t="inlineStr"/>
      <c r="G54" t="inlineStr"/>
      <c r="H54" t="inlineStr"/>
      <c r="I54" t="inlineStr"/>
      <c r="J54" t="inlineStr"/>
      <c r="K54" t="inlineStr"/>
      <c r="L54" t="inlineStr"/>
    </row>
    <row r="55">
      <c r="A55" t="n">
        <v>54</v>
      </c>
      <c r="B55" t="inlineStr"/>
      <c r="C55" t="inlineStr"/>
      <c r="D55" t="inlineStr"/>
      <c r="E55" t="inlineStr"/>
      <c r="F55" t="inlineStr"/>
      <c r="G55" t="inlineStr"/>
      <c r="H55" t="inlineStr"/>
      <c r="I55" t="inlineStr"/>
      <c r="J55" t="inlineStr"/>
      <c r="K55" t="inlineStr"/>
      <c r="L55" t="inlineStr"/>
    </row>
    <row r="56">
      <c r="A56" t="n">
        <v>55</v>
      </c>
      <c r="B56" t="inlineStr"/>
      <c r="C56" t="inlineStr"/>
      <c r="D56" t="inlineStr"/>
      <c r="E56" t="inlineStr"/>
      <c r="F56" t="inlineStr"/>
      <c r="G56" t="inlineStr"/>
      <c r="H56" t="inlineStr"/>
      <c r="I56" t="inlineStr"/>
      <c r="J56" t="inlineStr"/>
      <c r="K56" t="inlineStr"/>
      <c r="L56" t="inlineStr"/>
    </row>
    <row r="57">
      <c r="A57" t="n">
        <v>56</v>
      </c>
      <c r="B57" t="inlineStr"/>
      <c r="C57" t="inlineStr"/>
      <c r="D57" t="inlineStr"/>
      <c r="E57" t="inlineStr"/>
      <c r="F57" t="inlineStr"/>
      <c r="G57" t="inlineStr"/>
      <c r="H57" t="inlineStr"/>
      <c r="I57" t="inlineStr"/>
      <c r="J57" t="inlineStr"/>
      <c r="K57" t="inlineStr"/>
      <c r="L57" t="inlineStr"/>
    </row>
    <row r="58">
      <c r="A58" t="n">
        <v>57</v>
      </c>
      <c r="B58" t="inlineStr"/>
      <c r="C58" t="inlineStr"/>
      <c r="D58" t="inlineStr"/>
      <c r="E58" t="inlineStr"/>
      <c r="F58" t="inlineStr"/>
      <c r="G58" t="inlineStr"/>
      <c r="H58" t="inlineStr"/>
      <c r="I58" t="inlineStr"/>
      <c r="J58" t="inlineStr"/>
      <c r="K58" t="inlineStr"/>
      <c r="L58" t="inlineStr"/>
    </row>
    <row r="59">
      <c r="A59" t="n">
        <v>58</v>
      </c>
      <c r="B59" t="inlineStr"/>
      <c r="C59" t="inlineStr"/>
      <c r="D59" t="inlineStr"/>
      <c r="E59" t="inlineStr"/>
      <c r="F59" t="inlineStr"/>
      <c r="G59" t="inlineStr"/>
      <c r="H59" t="inlineStr"/>
      <c r="I59" t="inlineStr"/>
      <c r="J59" t="inlineStr"/>
      <c r="K59" t="inlineStr"/>
      <c r="L59" t="inlineStr"/>
    </row>
    <row r="60">
      <c r="A60" t="n">
        <v>59</v>
      </c>
      <c r="B60" t="inlineStr"/>
      <c r="C60" t="inlineStr"/>
      <c r="D60" t="inlineStr"/>
      <c r="E60" t="inlineStr"/>
      <c r="F60" t="inlineStr"/>
      <c r="G60" t="inlineStr"/>
      <c r="H60" t="inlineStr"/>
      <c r="I60" t="inlineStr"/>
      <c r="J60" t="inlineStr"/>
      <c r="K60" t="inlineStr"/>
      <c r="L60" t="inlineStr"/>
    </row>
    <row r="61">
      <c r="A61" t="n">
        <v>60</v>
      </c>
      <c r="B61" t="inlineStr"/>
      <c r="C61" t="inlineStr"/>
      <c r="D61" t="inlineStr"/>
      <c r="E61" t="inlineStr"/>
      <c r="F61" t="inlineStr"/>
      <c r="G61" t="inlineStr"/>
      <c r="H61" t="inlineStr"/>
      <c r="I61" t="inlineStr"/>
      <c r="J61" t="inlineStr"/>
      <c r="K61" t="inlineStr"/>
      <c r="L61" t="inlineStr"/>
    </row>
    <row r="62">
      <c r="A62" t="n">
        <v>61</v>
      </c>
      <c r="B62" t="inlineStr"/>
      <c r="C62" t="inlineStr"/>
      <c r="D62" t="inlineStr"/>
      <c r="E62" t="inlineStr"/>
      <c r="F62" t="inlineStr"/>
      <c r="G62" t="inlineStr"/>
      <c r="H62" t="inlineStr"/>
      <c r="I62" t="inlineStr"/>
      <c r="J62" t="inlineStr"/>
      <c r="K62" t="inlineStr"/>
      <c r="L62" t="inlineStr"/>
    </row>
    <row r="63">
      <c r="A63" t="n">
        <v>62</v>
      </c>
      <c r="B63" t="inlineStr"/>
      <c r="C63" t="inlineStr"/>
      <c r="D63" t="inlineStr"/>
      <c r="E63" t="inlineStr"/>
      <c r="F63" t="inlineStr"/>
      <c r="G63" t="inlineStr"/>
      <c r="H63" t="inlineStr"/>
      <c r="I63" t="inlineStr"/>
      <c r="J63" t="inlineStr"/>
      <c r="K63" t="inlineStr"/>
      <c r="L63" t="inlineStr"/>
    </row>
    <row r="64">
      <c r="A64" t="n">
        <v>63</v>
      </c>
      <c r="B64" t="inlineStr"/>
      <c r="C64" t="inlineStr"/>
      <c r="D64" t="inlineStr"/>
      <c r="E64" t="inlineStr"/>
      <c r="F64" t="inlineStr"/>
      <c r="G64" t="inlineStr"/>
      <c r="H64" t="inlineStr"/>
      <c r="I64" t="inlineStr"/>
      <c r="J64" t="inlineStr"/>
      <c r="K64" t="inlineStr"/>
      <c r="L64" t="inlineStr"/>
    </row>
    <row r="65">
      <c r="A65" t="n">
        <v>64</v>
      </c>
      <c r="B65" t="inlineStr"/>
      <c r="C65" t="inlineStr"/>
      <c r="D65" t="inlineStr"/>
      <c r="E65" t="inlineStr"/>
      <c r="F65" t="inlineStr"/>
      <c r="G65" t="inlineStr"/>
      <c r="H65" t="inlineStr"/>
      <c r="I65" t="inlineStr"/>
      <c r="J65" t="inlineStr"/>
      <c r="K65" t="inlineStr"/>
      <c r="L65" t="inlineStr">
        <is>
          <t>Replaces Smothering Tithe (adds protection). Evidence: the card it replaces was cast in 90% of the games it was drawn; sat dead in hand 10% of the time; landed on turn 5.7 on average; the deck won 47% of games it was cast in.</t>
        </is>
      </c>
    </row>
    <row r="66">
      <c r="A66" t="n">
        <v>65</v>
      </c>
      <c r="B66" t="inlineStr"/>
      <c r="C66" t="inlineStr"/>
      <c r="D66" t="inlineStr"/>
      <c r="E66" t="inlineStr"/>
      <c r="F66" t="inlineStr"/>
      <c r="G66" t="inlineStr"/>
      <c r="H66" t="inlineStr"/>
      <c r="I66" t="inlineStr"/>
      <c r="J66" t="inlineStr"/>
      <c r="K66" t="inlineStr"/>
      <c r="L66" t="inlineStr"/>
    </row>
    <row r="67">
      <c r="A67" t="n">
        <v>66</v>
      </c>
      <c r="B67" t="inlineStr"/>
      <c r="C67" t="inlineStr"/>
      <c r="D67" t="inlineStr"/>
      <c r="E67" t="inlineStr"/>
      <c r="F67" t="inlineStr"/>
      <c r="G67" t="inlineStr"/>
      <c r="H67" t="inlineStr"/>
      <c r="I67" t="inlineStr"/>
      <c r="J67" t="inlineStr"/>
      <c r="K67" t="inlineStr"/>
      <c r="L67" t="inlineStr"/>
    </row>
    <row r="68">
      <c r="A68" t="n">
        <v>67</v>
      </c>
      <c r="B68" t="inlineStr"/>
      <c r="C68" t="inlineStr"/>
      <c r="D68" t="inlineStr"/>
      <c r="E68" t="inlineStr"/>
      <c r="F68" t="inlineStr"/>
      <c r="G68" t="inlineStr"/>
      <c r="H68" t="inlineStr"/>
      <c r="I68" t="inlineStr"/>
      <c r="J68" t="inlineStr"/>
      <c r="K68" t="inlineStr"/>
      <c r="L68" t="inlineStr"/>
    </row>
    <row r="69">
      <c r="A69" t="n">
        <v>68</v>
      </c>
      <c r="B69" t="inlineStr"/>
      <c r="C69" t="inlineStr"/>
      <c r="D69" t="inlineStr"/>
      <c r="E69" t="inlineStr"/>
      <c r="F69" t="inlineStr"/>
      <c r="G69" t="inlineStr"/>
      <c r="H69" t="inlineStr"/>
      <c r="I69" t="inlineStr"/>
      <c r="J69" t="inlineStr"/>
      <c r="K69" t="inlineStr"/>
      <c r="L69" t="inlineStr"/>
    </row>
    <row r="70">
      <c r="A70" t="n">
        <v>69</v>
      </c>
      <c r="B70" t="inlineStr"/>
      <c r="C70" t="inlineStr"/>
      <c r="D70" t="inlineStr"/>
      <c r="E70" t="inlineStr"/>
      <c r="F70" t="inlineStr"/>
      <c r="G70" t="inlineStr"/>
      <c r="H70" t="inlineStr"/>
      <c r="I70" t="inlineStr"/>
      <c r="J70" t="inlineStr"/>
      <c r="K70" t="inlineStr"/>
      <c r="L70" t="inlineStr"/>
    </row>
    <row r="71">
      <c r="A71" t="n">
        <v>70</v>
      </c>
      <c r="B71" t="inlineStr"/>
      <c r="C71" t="inlineStr"/>
      <c r="D71" t="inlineStr"/>
      <c r="E71" t="inlineStr"/>
      <c r="F71" t="inlineStr"/>
      <c r="G71" t="inlineStr"/>
      <c r="H71" t="inlineStr"/>
      <c r="I71" t="inlineStr"/>
      <c r="J71" t="inlineStr"/>
      <c r="K71" t="inlineStr"/>
      <c r="L71" t="inlineStr"/>
    </row>
    <row r="72">
      <c r="A72" t="n">
        <v>71</v>
      </c>
      <c r="B72" t="inlineStr"/>
      <c r="C72" t="inlineStr"/>
      <c r="D72" t="inlineStr"/>
      <c r="E72" t="inlineStr"/>
      <c r="F72" t="inlineStr"/>
      <c r="G72" t="inlineStr"/>
      <c r="H72" t="inlineStr"/>
      <c r="I72" t="inlineStr"/>
      <c r="J72" t="inlineStr"/>
      <c r="K72" t="inlineStr"/>
      <c r="L72" t="inlineStr"/>
    </row>
    <row r="73">
      <c r="A73" t="n">
        <v>72</v>
      </c>
      <c r="B73" t="inlineStr"/>
      <c r="C73" t="inlineStr"/>
      <c r="D73" t="inlineStr"/>
      <c r="E73" t="inlineStr"/>
      <c r="F73" t="inlineStr"/>
      <c r="G73" t="inlineStr"/>
      <c r="H73" t="inlineStr"/>
      <c r="I73" t="inlineStr"/>
      <c r="J73" t="inlineStr"/>
      <c r="K73" t="inlineStr"/>
      <c r="L73" t="inlineStr"/>
    </row>
    <row r="74">
      <c r="A74" t="n">
        <v>73</v>
      </c>
      <c r="B74" t="inlineStr"/>
      <c r="C74" t="inlineStr"/>
      <c r="D74" t="inlineStr"/>
      <c r="E74" t="inlineStr"/>
      <c r="F74" t="inlineStr"/>
      <c r="G74" t="inlineStr"/>
      <c r="H74" t="inlineStr"/>
      <c r="I74" t="inlineStr"/>
      <c r="J74" t="inlineStr"/>
      <c r="K74" t="inlineStr"/>
      <c r="L74" t="inlineStr"/>
    </row>
    <row r="75">
      <c r="A75" t="n">
        <v>74</v>
      </c>
      <c r="B75" t="inlineStr"/>
      <c r="C75" t="inlineStr"/>
      <c r="D75" t="inlineStr"/>
      <c r="E75" t="inlineStr"/>
      <c r="F75" t="inlineStr"/>
      <c r="G75" t="inlineStr"/>
      <c r="H75" t="inlineStr"/>
      <c r="I75" t="inlineStr"/>
      <c r="J75" t="inlineStr"/>
      <c r="K75" t="inlineStr"/>
      <c r="L75" t="inlineStr"/>
    </row>
    <row r="76">
      <c r="A76" t="n">
        <v>75</v>
      </c>
      <c r="B76" t="inlineStr"/>
      <c r="C76" t="inlineStr"/>
      <c r="D76" t="inlineStr"/>
      <c r="E76" t="inlineStr"/>
      <c r="F76" t="inlineStr"/>
      <c r="G76" t="inlineStr"/>
      <c r="H76" t="inlineStr"/>
      <c r="I76" t="inlineStr"/>
      <c r="J76" t="inlineStr"/>
      <c r="K76" t="inlineStr"/>
      <c r="L76" t="inlineStr"/>
    </row>
    <row r="77">
      <c r="A77" t="n">
        <v>76</v>
      </c>
      <c r="B77" t="inlineStr"/>
      <c r="C77" t="inlineStr"/>
      <c r="D77" t="inlineStr"/>
      <c r="E77" t="inlineStr"/>
      <c r="F77" t="inlineStr"/>
      <c r="G77" t="inlineStr"/>
      <c r="H77" t="inlineStr"/>
      <c r="I77" t="inlineStr"/>
      <c r="J77" t="inlineStr"/>
      <c r="K77" t="inlineStr"/>
      <c r="L77" t="inlineStr"/>
    </row>
    <row r="78">
      <c r="A78" t="n">
        <v>77</v>
      </c>
      <c r="B78" t="inlineStr"/>
      <c r="C78" t="inlineStr"/>
      <c r="D78" t="inlineStr"/>
      <c r="E78" t="inlineStr"/>
      <c r="F78" t="inlineStr"/>
      <c r="G78" t="inlineStr"/>
      <c r="H78" t="inlineStr"/>
      <c r="I78" t="inlineStr"/>
      <c r="J78" t="inlineStr"/>
      <c r="K78" t="inlineStr"/>
      <c r="L78" t="inlineStr"/>
    </row>
    <row r="79">
      <c r="A79" t="n">
        <v>78</v>
      </c>
      <c r="B79" t="inlineStr"/>
      <c r="C79" t="inlineStr"/>
      <c r="D79" t="inlineStr"/>
      <c r="E79" t="inlineStr"/>
      <c r="F79" t="inlineStr"/>
      <c r="G79" t="inlineStr"/>
      <c r="H79" t="inlineStr"/>
      <c r="I79" t="inlineStr"/>
      <c r="J79" t="inlineStr"/>
      <c r="K79" t="inlineStr"/>
      <c r="L79" t="inlineStr"/>
    </row>
    <row r="80">
      <c r="A80" t="n">
        <v>79</v>
      </c>
      <c r="B80" t="inlineStr"/>
      <c r="C80" t="inlineStr"/>
      <c r="D80" t="inlineStr"/>
      <c r="E80" t="inlineStr"/>
      <c r="F80" t="inlineStr"/>
      <c r="G80" t="inlineStr"/>
      <c r="H80" t="inlineStr"/>
      <c r="I80" t="inlineStr"/>
      <c r="J80" t="inlineStr"/>
      <c r="K80" t="inlineStr"/>
      <c r="L80" t="inlineStr"/>
    </row>
    <row r="81">
      <c r="A81" t="n">
        <v>80</v>
      </c>
      <c r="B81" t="inlineStr"/>
      <c r="C81" t="inlineStr"/>
      <c r="D81" t="inlineStr"/>
      <c r="E81" t="inlineStr"/>
      <c r="F81" t="inlineStr"/>
      <c r="G81" t="inlineStr"/>
      <c r="H81" t="inlineStr"/>
      <c r="I81" t="inlineStr"/>
      <c r="J81" t="inlineStr"/>
      <c r="K81" t="inlineStr"/>
      <c r="L81" t="inlineStr"/>
    </row>
    <row r="82">
      <c r="A82" t="n">
        <v>81</v>
      </c>
      <c r="B82" t="inlineStr"/>
      <c r="C82" t="inlineStr"/>
      <c r="D82" t="inlineStr"/>
      <c r="E82" t="inlineStr"/>
      <c r="F82" t="inlineStr"/>
      <c r="G82" t="inlineStr"/>
      <c r="H82" t="inlineStr"/>
      <c r="I82" t="inlineStr"/>
      <c r="J82" t="inlineStr">
        <is>
          <t>Replaces Branching Evolution (adds removal/protection/finisher/threat). Evidence: the card it replaces was cast in 91% of the games it was drawn; sat dead in hand 9% of the time; landed on turn 7.1 on average; the deck won 43% of games it was cast in.</t>
        </is>
      </c>
      <c r="K82" t="inlineStr"/>
      <c r="L82" t="inlineStr">
        <is>
          <t>Replaces Branching Evolution (adds removal). Evidence: the card it replaces was cast in 90% of the games it was drawn; sat dead in hand 10% of the time; landed on turn 7.0 on average; the deck won 43% of games it was cast in.</t>
        </is>
      </c>
    </row>
    <row r="83">
      <c r="A83" t="n">
        <v>82</v>
      </c>
      <c r="B83" t="inlineStr"/>
      <c r="C83" t="inlineStr"/>
      <c r="D83" t="inlineStr"/>
      <c r="E83" t="inlineStr"/>
      <c r="F83" t="inlineStr"/>
      <c r="G83" t="inlineStr"/>
      <c r="H83" t="inlineStr"/>
      <c r="I83" t="inlineStr"/>
      <c r="J83" t="inlineStr"/>
      <c r="K83" t="inlineStr"/>
      <c r="L83" t="inlineStr"/>
    </row>
    <row r="84">
      <c r="A84" t="n">
        <v>83</v>
      </c>
      <c r="B84" t="inlineStr"/>
      <c r="C84" t="inlineStr"/>
      <c r="D84" t="inlineStr"/>
      <c r="E84" t="inlineStr"/>
      <c r="F84" t="inlineStr"/>
      <c r="G84" t="inlineStr"/>
      <c r="H84" t="inlineStr"/>
      <c r="I84" t="inlineStr"/>
      <c r="J84" t="inlineStr"/>
      <c r="K84" t="inlineStr"/>
      <c r="L84" t="inlineStr"/>
    </row>
    <row r="85">
      <c r="A85" t="n">
        <v>84</v>
      </c>
      <c r="B85" t="inlineStr"/>
      <c r="C85" t="inlineStr"/>
      <c r="D85" t="inlineStr"/>
      <c r="E85" t="inlineStr"/>
      <c r="F85" t="inlineStr"/>
      <c r="G85" t="inlineStr"/>
      <c r="H85" t="inlineStr"/>
      <c r="I85" t="inlineStr"/>
      <c r="J85" t="inlineStr"/>
      <c r="K85" t="inlineStr"/>
      <c r="L85" t="inlineStr"/>
    </row>
    <row r="86">
      <c r="A86" t="n">
        <v>85</v>
      </c>
      <c r="B86" t="inlineStr"/>
      <c r="C86" t="inlineStr"/>
      <c r="D86" t="inlineStr"/>
      <c r="E86" t="inlineStr"/>
      <c r="F86" t="inlineStr"/>
      <c r="G86" t="inlineStr"/>
      <c r="H86" t="inlineStr"/>
      <c r="I86" t="inlineStr"/>
      <c r="J86" t="inlineStr"/>
      <c r="K86" t="inlineStr"/>
      <c r="L86" t="inlineStr"/>
    </row>
    <row r="87">
      <c r="A87" t="n">
        <v>86</v>
      </c>
      <c r="B87" t="inlineStr"/>
      <c r="C87" t="inlineStr"/>
      <c r="D87" t="inlineStr"/>
      <c r="E87" t="inlineStr"/>
      <c r="F87" t="inlineStr"/>
      <c r="G87" t="inlineStr"/>
      <c r="H87" t="inlineStr"/>
      <c r="I87" t="inlineStr"/>
      <c r="J87" t="inlineStr"/>
      <c r="K87" t="inlineStr"/>
      <c r="L87" t="inlineStr"/>
    </row>
    <row r="88">
      <c r="A88" t="n">
        <v>87</v>
      </c>
      <c r="B88" t="inlineStr"/>
      <c r="C88" t="inlineStr"/>
      <c r="D88" t="inlineStr"/>
      <c r="E88" t="inlineStr"/>
      <c r="F88" t="inlineStr"/>
      <c r="G88" t="inlineStr"/>
      <c r="H88" t="inlineStr"/>
      <c r="I88" t="inlineStr"/>
      <c r="J88" t="inlineStr"/>
      <c r="K88" t="inlineStr"/>
      <c r="L88" t="inlineStr"/>
    </row>
    <row r="89">
      <c r="A89" t="n">
        <v>88</v>
      </c>
      <c r="B89" t="inlineStr"/>
      <c r="C89" t="inlineStr"/>
      <c r="D89" t="inlineStr"/>
      <c r="E89" t="inlineStr"/>
      <c r="F89" t="inlineStr"/>
      <c r="G89" t="inlineStr"/>
      <c r="H89" t="inlineStr"/>
      <c r="I89" t="inlineStr"/>
      <c r="J89" t="inlineStr"/>
      <c r="K89" t="inlineStr"/>
      <c r="L89" t="inlineStr"/>
    </row>
    <row r="90">
      <c r="A90" t="n">
        <v>89</v>
      </c>
      <c r="B90" t="inlineStr"/>
      <c r="C90" t="inlineStr"/>
      <c r="D90" t="inlineStr"/>
      <c r="E90" t="inlineStr"/>
      <c r="F90" t="inlineStr"/>
      <c r="G90" t="inlineStr"/>
      <c r="H90" t="inlineStr"/>
      <c r="I90" t="inlineStr"/>
      <c r="J90" t="inlineStr"/>
      <c r="K90" t="inlineStr"/>
      <c r="L90" t="inlineStr"/>
    </row>
    <row r="91">
      <c r="A91" t="n">
        <v>90</v>
      </c>
      <c r="B91" t="inlineStr"/>
      <c r="C91" t="inlineStr"/>
      <c r="D91" t="inlineStr"/>
      <c r="E91" t="inlineStr"/>
      <c r="F91" t="inlineStr"/>
      <c r="G91" t="inlineStr"/>
      <c r="H91" t="inlineStr"/>
      <c r="I91" t="inlineStr"/>
      <c r="J91" t="inlineStr"/>
      <c r="K91" t="inlineStr"/>
      <c r="L91" t="inlineStr"/>
    </row>
    <row r="92">
      <c r="A92" t="n">
        <v>91</v>
      </c>
      <c r="B92" t="inlineStr"/>
      <c r="C92" t="inlineStr"/>
      <c r="D92" t="inlineStr"/>
      <c r="E92" t="inlineStr"/>
      <c r="F92" t="inlineStr"/>
      <c r="G92" t="inlineStr"/>
      <c r="H92" t="inlineStr"/>
      <c r="I92" t="inlineStr"/>
      <c r="J92" t="inlineStr"/>
      <c r="K92" t="inlineStr"/>
      <c r="L92" t="inlineStr"/>
    </row>
    <row r="93">
      <c r="A93" t="n">
        <v>92</v>
      </c>
      <c r="B93" t="inlineStr"/>
      <c r="C93" t="inlineStr"/>
      <c r="D93" t="inlineStr"/>
      <c r="E93" t="inlineStr"/>
      <c r="F93" t="inlineStr"/>
      <c r="G93" t="inlineStr"/>
      <c r="H93" t="inlineStr"/>
      <c r="I93" t="inlineStr"/>
      <c r="J93" t="inlineStr"/>
      <c r="K93" t="inlineStr"/>
      <c r="L93" t="inlineStr"/>
    </row>
    <row r="94">
      <c r="A94" t="n">
        <v>93</v>
      </c>
      <c r="B94" t="inlineStr"/>
      <c r="C94" t="inlineStr"/>
      <c r="D94" t="inlineStr"/>
      <c r="E94" t="inlineStr"/>
      <c r="F94" t="inlineStr"/>
      <c r="G94" t="inlineStr"/>
      <c r="H94" t="inlineStr"/>
      <c r="I94" t="inlineStr"/>
      <c r="J94" t="inlineStr"/>
      <c r="K94" t="inlineStr"/>
      <c r="L94" t="inlineStr"/>
    </row>
    <row r="95">
      <c r="A95" t="n">
        <v>94</v>
      </c>
      <c r="B95" t="inlineStr"/>
      <c r="C95" t="inlineStr"/>
      <c r="D95" t="inlineStr"/>
      <c r="E95" t="inlineStr"/>
      <c r="F95" t="inlineStr"/>
      <c r="G95" t="inlineStr"/>
      <c r="H95" t="inlineStr"/>
      <c r="I95" t="inlineStr"/>
      <c r="J95" t="inlineStr"/>
      <c r="K95" t="inlineStr"/>
      <c r="L95" t="inlineStr"/>
    </row>
    <row r="96">
      <c r="A96" t="n">
        <v>95</v>
      </c>
      <c r="B96" t="inlineStr"/>
      <c r="C96" t="inlineStr"/>
      <c r="D96" t="inlineStr"/>
      <c r="E96" t="inlineStr"/>
      <c r="F96" t="inlineStr"/>
      <c r="G96" t="inlineStr"/>
      <c r="H96" t="inlineStr"/>
      <c r="I96" t="inlineStr"/>
      <c r="J96" t="inlineStr"/>
      <c r="K96" t="inlineStr"/>
      <c r="L96" t="inlineStr"/>
    </row>
    <row r="97">
      <c r="A97" t="n">
        <v>96</v>
      </c>
      <c r="B97" t="inlineStr"/>
      <c r="C97" t="inlineStr"/>
      <c r="D97" t="inlineStr"/>
      <c r="E97" t="inlineStr"/>
      <c r="F97" t="inlineStr"/>
      <c r="G97" t="inlineStr"/>
      <c r="H97" t="inlineStr"/>
      <c r="I97" t="inlineStr"/>
      <c r="J97" t="inlineStr"/>
      <c r="K97" t="inlineStr"/>
      <c r="L97" t="inlineStr"/>
    </row>
    <row r="98">
      <c r="A98" t="n">
        <v>97</v>
      </c>
      <c r="B98" t="inlineStr"/>
      <c r="C98" t="inlineStr"/>
      <c r="D98" t="inlineStr"/>
      <c r="E98" t="inlineStr"/>
      <c r="F98" t="inlineStr"/>
      <c r="G98" t="inlineStr"/>
      <c r="H98" t="inlineStr"/>
      <c r="I98" t="inlineStr"/>
      <c r="J98" t="inlineStr"/>
      <c r="K98" t="inlineStr"/>
      <c r="L98" t="inlineStr"/>
    </row>
    <row r="99">
      <c r="A99" t="n">
        <v>98</v>
      </c>
      <c r="B99" t="inlineStr"/>
      <c r="C99" t="inlineStr"/>
      <c r="D99" t="inlineStr"/>
      <c r="E99" t="inlineStr"/>
      <c r="F99" t="inlineStr"/>
      <c r="G99" t="inlineStr"/>
      <c r="H99" t="inlineStr"/>
      <c r="I99" t="inlineStr"/>
      <c r="J99" t="inlineStr"/>
      <c r="K99" t="inlineStr"/>
      <c r="L99" t="inlineStr"/>
    </row>
    <row r="100">
      <c r="A100" t="n">
        <v>99</v>
      </c>
      <c r="B100" t="inlineStr"/>
      <c r="C100" t="inlineStr"/>
      <c r="D100" t="inlineStr"/>
      <c r="E100" t="inlineStr"/>
      <c r="F100" t="inlineStr"/>
      <c r="G100" t="inlineStr"/>
      <c r="H100" t="inlineStr"/>
      <c r="I100" t="inlineStr"/>
      <c r="J100" t="inlineStr"/>
      <c r="K100" t="inlineStr"/>
      <c r="L100" t="inlineStr"/>
    </row>
    <row r="101">
      <c r="A101" t="n">
        <v>100</v>
      </c>
      <c r="B101" t="inlineStr"/>
      <c r="C101" t="inlineStr"/>
      <c r="D101" t="inlineStr"/>
      <c r="E101" t="inlineStr"/>
      <c r="F101" t="inlineStr"/>
      <c r="G101" t="inlineStr"/>
      <c r="H101" t="inlineStr"/>
      <c r="I101" t="inlineStr"/>
      <c r="J101" t="inlineStr"/>
      <c r="K101" t="inlineStr"/>
      <c r="L1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N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14" customWidth="1" min="11" max="11"/>
    <col width="27" customWidth="1" min="12" max="12"/>
    <col width="10" customWidth="1" min="13" max="13"/>
    <col width="90" customWidth="1" min="14" max="14"/>
  </cols>
  <sheetData>
    <row r="1">
      <c r="A1" s="3" t="inlineStr">
        <is>
          <t>Proliferate Council — Atraxa, Praetors' Voice</t>
        </is>
      </c>
    </row>
    <row r="2">
      <c r="A2" s="2" t="inlineStr">
        <is>
          <t>Deck slot 2 · variant 2c · 100 lineup slots</t>
        </is>
      </c>
    </row>
    <row r="4">
      <c r="B4" s="24" t="inlineStr">
        <is>
          <t>Site ladder — as published</t>
        </is>
      </c>
      <c r="F4" s="25" t="inlineStr">
        <is>
          <t>Simulation-improved (Monte Carlo)</t>
        </is>
      </c>
      <c r="I4" s="26" t="inlineStr">
        <is>
          <t>Fun-weighted engine v2.1</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FINAL PICK</t>
        </is>
      </c>
      <c r="L5" s="12" t="inlineStr">
        <is>
          <t>Final card</t>
        </is>
      </c>
      <c r="M5" s="12" t="inlineStr">
        <is>
          <t>Price</t>
        </is>
      </c>
      <c r="N5" s="12" t="inlineStr">
        <is>
          <t>Why this card moved</t>
        </is>
      </c>
    </row>
    <row r="6">
      <c r="A6" s="28" t="n">
        <v>1</v>
      </c>
      <c r="B6" s="13" t="inlineStr">
        <is>
          <t>Thrummingbird</t>
        </is>
      </c>
      <c r="C6" s="13" t="inlineStr">
        <is>
          <t>Thrummingbird</t>
        </is>
      </c>
      <c r="D6" s="13" t="inlineStr">
        <is>
          <t>Thrummingbird</t>
        </is>
      </c>
      <c r="E6" s="13" t="inlineStr">
        <is>
          <t>Thrummingbird</t>
        </is>
      </c>
      <c r="F6" s="13" t="inlineStr">
        <is>
          <t>Thrummingbird</t>
        </is>
      </c>
      <c r="G6" s="13" t="inlineStr">
        <is>
          <t>Thrummingbird</t>
        </is>
      </c>
      <c r="H6" s="13" t="inlineStr">
        <is>
          <t>Thrummingbird</t>
        </is>
      </c>
      <c r="I6" s="13" t="inlineStr">
        <is>
          <t>Thrummingbird</t>
        </is>
      </c>
      <c r="J6" s="13" t="inlineStr">
        <is>
          <t>Thrummingbird</t>
        </is>
      </c>
      <c r="K6" s="30" t="inlineStr">
        <is>
          <t>Fun Max</t>
        </is>
      </c>
      <c r="L6" s="31">
        <f>INDEX(B6:J6,MATCH(K6,$B$5:$J$5,0))</f>
        <v/>
      </c>
      <c r="M6" s="22">
        <f>IFERROR(VLOOKUP(L6,Prices!$A:$B,2,FALSE),0)</f>
        <v/>
      </c>
      <c r="N6" s="32">
        <f>IFERROR(INDEX('_why_2c'!$B2:$J2,MATCH(K6,$B$5:$J$5,0)),"")</f>
        <v/>
      </c>
    </row>
    <row r="7">
      <c r="A7" s="28" t="n">
        <v>2</v>
      </c>
      <c r="B7" s="33" t="inlineStr">
        <is>
          <t>Viral Drake</t>
        </is>
      </c>
      <c r="C7" s="33" t="inlineStr">
        <is>
          <t>Viral Drake</t>
        </is>
      </c>
      <c r="D7" s="33" t="inlineStr">
        <is>
          <t>Viral Drake</t>
        </is>
      </c>
      <c r="E7" s="33" t="inlineStr">
        <is>
          <t>Viral Drake</t>
        </is>
      </c>
      <c r="F7" s="33" t="inlineStr">
        <is>
          <t>Viral Drake</t>
        </is>
      </c>
      <c r="G7" s="33" t="inlineStr">
        <is>
          <t>Viral Drake</t>
        </is>
      </c>
      <c r="H7" s="33" t="inlineStr">
        <is>
          <t>Viral Drake</t>
        </is>
      </c>
      <c r="I7" s="33" t="inlineStr">
        <is>
          <t>Viral Drake</t>
        </is>
      </c>
      <c r="J7" s="33" t="inlineStr">
        <is>
          <t>Viral Drake</t>
        </is>
      </c>
      <c r="K7" s="30" t="inlineStr">
        <is>
          <t>Fun Max</t>
        </is>
      </c>
      <c r="L7" s="31">
        <f>INDEX(B7:J7,MATCH(K7,$B$5:$J$5,0))</f>
        <v/>
      </c>
      <c r="M7" s="22">
        <f>IFERROR(VLOOKUP(L7,Prices!$A:$B,2,FALSE),0)</f>
        <v/>
      </c>
      <c r="N7" s="32">
        <f>IFERROR(INDEX('_why_2c'!$B3:$J3,MATCH(K7,$B$5:$J$5,0)),"")</f>
        <v/>
      </c>
    </row>
    <row r="8">
      <c r="A8" s="28" t="n">
        <v>3</v>
      </c>
      <c r="B8" s="13" t="inlineStr">
        <is>
          <t>Evolution Sage</t>
        </is>
      </c>
      <c r="C8" s="13" t="inlineStr">
        <is>
          <t>Evolution Sage</t>
        </is>
      </c>
      <c r="D8" s="13" t="inlineStr">
        <is>
          <t>Evolution Sage</t>
        </is>
      </c>
      <c r="E8" s="13" t="inlineStr">
        <is>
          <t>Evolution Sage</t>
        </is>
      </c>
      <c r="F8" s="13" t="inlineStr">
        <is>
          <t>Evolution Sage</t>
        </is>
      </c>
      <c r="G8" s="13" t="inlineStr">
        <is>
          <t>Evolution Sage</t>
        </is>
      </c>
      <c r="H8" s="13" t="inlineStr">
        <is>
          <t>Evolution Sage</t>
        </is>
      </c>
      <c r="I8" s="13" t="inlineStr">
        <is>
          <t>Evolution Sage</t>
        </is>
      </c>
      <c r="J8" s="13" t="inlineStr">
        <is>
          <t>Evolution Sage</t>
        </is>
      </c>
      <c r="K8" s="30" t="inlineStr">
        <is>
          <t>Fun Max</t>
        </is>
      </c>
      <c r="L8" s="31">
        <f>INDEX(B8:J8,MATCH(K8,$B$5:$J$5,0))</f>
        <v/>
      </c>
      <c r="M8" s="22">
        <f>IFERROR(VLOOKUP(L8,Prices!$A:$B,2,FALSE),0)</f>
        <v/>
      </c>
      <c r="N8" s="32">
        <f>IFERROR(INDEX('_why_2c'!$B4:$J4,MATCH(K8,$B$5:$J$5,0)),"")</f>
        <v/>
      </c>
    </row>
    <row r="9">
      <c r="A9" s="28" t="n">
        <v>4</v>
      </c>
      <c r="B9" s="33" t="inlineStr">
        <is>
          <t>Contagion Clasp</t>
        </is>
      </c>
      <c r="C9" s="33" t="inlineStr">
        <is>
          <t>Contagion Clasp</t>
        </is>
      </c>
      <c r="D9" s="33" t="inlineStr">
        <is>
          <t>Contagion Clasp</t>
        </is>
      </c>
      <c r="E9" s="33" t="inlineStr">
        <is>
          <t>Contagion Clasp</t>
        </is>
      </c>
      <c r="F9" s="33" t="inlineStr">
        <is>
          <t>Contagion Clasp</t>
        </is>
      </c>
      <c r="G9" s="33" t="inlineStr">
        <is>
          <t>Contagion Clasp</t>
        </is>
      </c>
      <c r="H9" s="33" t="inlineStr">
        <is>
          <t>Contagion Clasp</t>
        </is>
      </c>
      <c r="I9" s="33" t="inlineStr">
        <is>
          <t>Contagion Clasp</t>
        </is>
      </c>
      <c r="J9" s="33" t="inlineStr">
        <is>
          <t>Contagion Clasp</t>
        </is>
      </c>
      <c r="K9" s="30" t="inlineStr">
        <is>
          <t>Fun Max</t>
        </is>
      </c>
      <c r="L9" s="31">
        <f>INDEX(B9:J9,MATCH(K9,$B$5:$J$5,0))</f>
        <v/>
      </c>
      <c r="M9" s="22">
        <f>IFERROR(VLOOKUP(L9,Prices!$A:$B,2,FALSE),0)</f>
        <v/>
      </c>
      <c r="N9" s="32">
        <f>IFERROR(INDEX('_why_2c'!$B5:$J5,MATCH(K9,$B$5:$J$5,0)),"")</f>
        <v/>
      </c>
    </row>
    <row r="10">
      <c r="A10" s="28" t="n">
        <v>5</v>
      </c>
      <c r="B10" s="13" t="inlineStr">
        <is>
          <t>Steady Progress</t>
        </is>
      </c>
      <c r="C10" s="13" t="inlineStr">
        <is>
          <t>Steady Progress</t>
        </is>
      </c>
      <c r="D10" s="13" t="inlineStr">
        <is>
          <t>Steady Progress</t>
        </is>
      </c>
      <c r="E10" s="13" t="inlineStr">
        <is>
          <t>Steady Progress</t>
        </is>
      </c>
      <c r="F10" s="13" t="inlineStr">
        <is>
          <t>Steady Progress</t>
        </is>
      </c>
      <c r="G10" s="13" t="inlineStr">
        <is>
          <t>Steady Progress</t>
        </is>
      </c>
      <c r="H10" s="13" t="inlineStr">
        <is>
          <t>Steady Progress</t>
        </is>
      </c>
      <c r="I10" s="13" t="inlineStr">
        <is>
          <t>Steady Progress</t>
        </is>
      </c>
      <c r="J10" s="13" t="inlineStr">
        <is>
          <t>Steady Progress</t>
        </is>
      </c>
      <c r="K10" s="30" t="inlineStr">
        <is>
          <t>Fun Max</t>
        </is>
      </c>
      <c r="L10" s="31">
        <f>INDEX(B10:J10,MATCH(K10,$B$5:$J$5,0))</f>
        <v/>
      </c>
      <c r="M10" s="22">
        <f>IFERROR(VLOOKUP(L10,Prices!$A:$B,2,FALSE),0)</f>
        <v/>
      </c>
      <c r="N10" s="32">
        <f>IFERROR(INDEX('_why_2c'!$B6:$J6,MATCH(K10,$B$5:$J$5,0)),"")</f>
        <v/>
      </c>
    </row>
    <row r="11">
      <c r="A11" s="28" t="n">
        <v>6</v>
      </c>
      <c r="B11" s="33" t="inlineStr">
        <is>
          <t>Tezzeret's Gambit</t>
        </is>
      </c>
      <c r="C11" s="33" t="inlineStr">
        <is>
          <t>Tezzeret's Gambit</t>
        </is>
      </c>
      <c r="D11" s="33" t="inlineStr">
        <is>
          <t>Tezzeret's Gambit</t>
        </is>
      </c>
      <c r="E11" s="33" t="inlineStr">
        <is>
          <t>Tezzeret's Gambit</t>
        </is>
      </c>
      <c r="F11" s="33" t="inlineStr">
        <is>
          <t>Tezzeret's Gambit</t>
        </is>
      </c>
      <c r="G11" s="33" t="inlineStr">
        <is>
          <t>Tezzeret's Gambit</t>
        </is>
      </c>
      <c r="H11" s="33" t="inlineStr">
        <is>
          <t>Tezzeret's Gambit</t>
        </is>
      </c>
      <c r="I11" s="33" t="inlineStr">
        <is>
          <t>Tezzeret's Gambit</t>
        </is>
      </c>
      <c r="J11" s="33" t="inlineStr">
        <is>
          <t>Tezzeret's Gambit</t>
        </is>
      </c>
      <c r="K11" s="30" t="inlineStr">
        <is>
          <t>Fun Max</t>
        </is>
      </c>
      <c r="L11" s="31">
        <f>INDEX(B11:J11,MATCH(K11,$B$5:$J$5,0))</f>
        <v/>
      </c>
      <c r="M11" s="22">
        <f>IFERROR(VLOOKUP(L11,Prices!$A:$B,2,FALSE),0)</f>
        <v/>
      </c>
      <c r="N11" s="32">
        <f>IFERROR(INDEX('_why_2c'!$B7:$J7,MATCH(K11,$B$5:$J$5,0)),"")</f>
        <v/>
      </c>
    </row>
    <row r="12">
      <c r="A12" s="28" t="n">
        <v>7</v>
      </c>
      <c r="B12" s="13" t="inlineStr">
        <is>
          <t>Grim Affliction</t>
        </is>
      </c>
      <c r="C12" s="13" t="inlineStr">
        <is>
          <t>Grim Affliction</t>
        </is>
      </c>
      <c r="D12" s="13" t="inlineStr">
        <is>
          <t>Grim Affliction</t>
        </is>
      </c>
      <c r="E12" s="13" t="inlineStr">
        <is>
          <t>Grim Affliction</t>
        </is>
      </c>
      <c r="F12" s="13" t="inlineStr">
        <is>
          <t>Grim Affliction</t>
        </is>
      </c>
      <c r="G12" s="13" t="inlineStr">
        <is>
          <t>Grim Affliction</t>
        </is>
      </c>
      <c r="H12" s="13" t="inlineStr">
        <is>
          <t>Grim Affliction</t>
        </is>
      </c>
      <c r="I12" s="13" t="inlineStr">
        <is>
          <t>Grim Affliction</t>
        </is>
      </c>
      <c r="J12" s="13" t="inlineStr">
        <is>
          <t>Grim Affliction</t>
        </is>
      </c>
      <c r="K12" s="30" t="inlineStr">
        <is>
          <t>Fun Max</t>
        </is>
      </c>
      <c r="L12" s="31">
        <f>INDEX(B12:J12,MATCH(K12,$B$5:$J$5,0))</f>
        <v/>
      </c>
      <c r="M12" s="22">
        <f>IFERROR(VLOOKUP(L12,Prices!$A:$B,2,FALSE),0)</f>
        <v/>
      </c>
      <c r="N12" s="32">
        <f>IFERROR(INDEX('_why_2c'!$B8:$J8,MATCH(K12,$B$5:$J$5,0)),"")</f>
        <v/>
      </c>
    </row>
    <row r="13">
      <c r="A13" s="28" t="n">
        <v>8</v>
      </c>
      <c r="B13" s="33" t="inlineStr">
        <is>
          <t>Throne of Geth</t>
        </is>
      </c>
      <c r="C13" s="33" t="inlineStr">
        <is>
          <t>Throne of Geth</t>
        </is>
      </c>
      <c r="D13" s="33" t="inlineStr">
        <is>
          <t>Throne of Geth</t>
        </is>
      </c>
      <c r="E13" s="33" t="inlineStr">
        <is>
          <t>Throne of Geth</t>
        </is>
      </c>
      <c r="F13" s="33" t="inlineStr">
        <is>
          <t>Throne of Geth</t>
        </is>
      </c>
      <c r="G13" s="33" t="inlineStr">
        <is>
          <t>Throne of Geth</t>
        </is>
      </c>
      <c r="H13" s="33" t="inlineStr">
        <is>
          <t>Throne of Geth</t>
        </is>
      </c>
      <c r="I13" s="33" t="inlineStr">
        <is>
          <t>Throne of Geth</t>
        </is>
      </c>
      <c r="J13" s="33" t="inlineStr">
        <is>
          <t>Throne of Geth</t>
        </is>
      </c>
      <c r="K13" s="30" t="inlineStr">
        <is>
          <t>Fun Max</t>
        </is>
      </c>
      <c r="L13" s="31">
        <f>INDEX(B13:J13,MATCH(K13,$B$5:$J$5,0))</f>
        <v/>
      </c>
      <c r="M13" s="22">
        <f>IFERROR(VLOOKUP(L13,Prices!$A:$B,2,FALSE),0)</f>
        <v/>
      </c>
      <c r="N13" s="32">
        <f>IFERROR(INDEX('_why_2c'!$B9:$J9,MATCH(K13,$B$5:$J$5,0)),"")</f>
        <v/>
      </c>
    </row>
    <row r="14">
      <c r="A14" s="28" t="n">
        <v>9</v>
      </c>
      <c r="B14" s="13" t="inlineStr">
        <is>
          <t>Conclave Mentor</t>
        </is>
      </c>
      <c r="C14" s="13" t="inlineStr">
        <is>
          <t>Conclave Mentor</t>
        </is>
      </c>
      <c r="D14" s="13" t="inlineStr">
        <is>
          <t>Conclave Mentor</t>
        </is>
      </c>
      <c r="E14" s="29" t="inlineStr">
        <is>
          <t>Teferi's Protection</t>
        </is>
      </c>
      <c r="F14" s="13" t="inlineStr">
        <is>
          <t>Conclave Mentor</t>
        </is>
      </c>
      <c r="G14" s="29" t="inlineStr">
        <is>
          <t>Doubling Season</t>
        </is>
      </c>
      <c r="H14" s="29" t="inlineStr">
        <is>
          <t>Doubling Season</t>
        </is>
      </c>
      <c r="I14" s="13" t="inlineStr">
        <is>
          <t>Conclave Mentor</t>
        </is>
      </c>
      <c r="J14" s="29" t="inlineStr">
        <is>
          <t>Portcullis Vine</t>
        </is>
      </c>
      <c r="K14" s="30" t="inlineStr">
        <is>
          <t>Fun Max</t>
        </is>
      </c>
      <c r="L14" s="31">
        <f>INDEX(B14:J14,MATCH(K14,$B$5:$J$5,0))</f>
        <v/>
      </c>
      <c r="M14" s="22">
        <f>IFERROR(VLOOKUP(L14,Prices!$A:$B,2,FALSE),0)</f>
        <v/>
      </c>
      <c r="N14" s="32">
        <f>IFERROR(INDEX('_why_2c'!$B10:$J10,MATCH(K14,$B$5:$J$5,0)),"")</f>
        <v/>
      </c>
    </row>
    <row r="15">
      <c r="A15" s="28" t="n">
        <v>10</v>
      </c>
      <c r="B15" s="33" t="inlineStr">
        <is>
          <t>Corpsejack Menace</t>
        </is>
      </c>
      <c r="C15" s="33" t="inlineStr">
        <is>
          <t>Corpsejack Menace</t>
        </is>
      </c>
      <c r="D15" s="33" t="inlineStr">
        <is>
          <t>Corpsejack Menace</t>
        </is>
      </c>
      <c r="E15" s="33" t="inlineStr">
        <is>
          <t>Corpsejack Menace</t>
        </is>
      </c>
      <c r="F15" s="33" t="inlineStr">
        <is>
          <t>Corpsejack Menace</t>
        </is>
      </c>
      <c r="G15" s="33" t="inlineStr">
        <is>
          <t>Corpsejack Menace</t>
        </is>
      </c>
      <c r="H15" s="33" t="inlineStr">
        <is>
          <t>Corpsejack Menace</t>
        </is>
      </c>
      <c r="I15" s="33" t="inlineStr">
        <is>
          <t>Corpsejack Menace</t>
        </is>
      </c>
      <c r="J15" s="33" t="inlineStr">
        <is>
          <t>Corpsejack Menace</t>
        </is>
      </c>
      <c r="K15" s="30" t="inlineStr">
        <is>
          <t>Fun Max</t>
        </is>
      </c>
      <c r="L15" s="31">
        <f>INDEX(B15:J15,MATCH(K15,$B$5:$J$5,0))</f>
        <v/>
      </c>
      <c r="M15" s="22">
        <f>IFERROR(VLOOKUP(L15,Prices!$A:$B,2,FALSE),0)</f>
        <v/>
      </c>
      <c r="N15" s="32">
        <f>IFERROR(INDEX('_why_2c'!$B11:$J11,MATCH(K15,$B$5:$J$5,0)),"")</f>
        <v/>
      </c>
    </row>
    <row r="16">
      <c r="A16" s="28" t="n">
        <v>11</v>
      </c>
      <c r="B16" s="13" t="inlineStr">
        <is>
          <t>Vorel of the Hull Clade</t>
        </is>
      </c>
      <c r="C16" s="13" t="inlineStr">
        <is>
          <t>Vorel of the Hull Clade</t>
        </is>
      </c>
      <c r="D16" s="13" t="inlineStr">
        <is>
          <t>Vorel of the Hull Clade</t>
        </is>
      </c>
      <c r="E16" s="13" t="inlineStr">
        <is>
          <t>Vorel of the Hull Clade</t>
        </is>
      </c>
      <c r="F16" s="13" t="inlineStr">
        <is>
          <t>Vorel of the Hull Clade</t>
        </is>
      </c>
      <c r="G16" s="13" t="inlineStr">
        <is>
          <t>Vorel of the Hull Clade</t>
        </is>
      </c>
      <c r="H16" s="13" t="inlineStr">
        <is>
          <t>Vorel of the Hull Clade</t>
        </is>
      </c>
      <c r="I16" s="13" t="inlineStr">
        <is>
          <t>Vorel of the Hull Clade</t>
        </is>
      </c>
      <c r="J16" s="13" t="inlineStr">
        <is>
          <t>Vorel of the Hull Clade</t>
        </is>
      </c>
      <c r="K16" s="30" t="inlineStr">
        <is>
          <t>Fun Max</t>
        </is>
      </c>
      <c r="L16" s="31">
        <f>INDEX(B16:J16,MATCH(K16,$B$5:$J$5,0))</f>
        <v/>
      </c>
      <c r="M16" s="22">
        <f>IFERROR(VLOOKUP(L16,Prices!$A:$B,2,FALSE),0)</f>
        <v/>
      </c>
      <c r="N16" s="32">
        <f>IFERROR(INDEX('_why_2c'!$B12:$J12,MATCH(K16,$B$5:$J$5,0)),"")</f>
        <v/>
      </c>
    </row>
    <row r="17">
      <c r="A17" s="28" t="n">
        <v>12</v>
      </c>
      <c r="B17" s="33" t="inlineStr">
        <is>
          <t>Forgotten Ancient</t>
        </is>
      </c>
      <c r="C17" s="33" t="inlineStr">
        <is>
          <t>Forgotten Ancient</t>
        </is>
      </c>
      <c r="D17" s="33" t="inlineStr">
        <is>
          <t>Forgotten Ancient</t>
        </is>
      </c>
      <c r="E17" s="33" t="inlineStr">
        <is>
          <t>Forgotten Ancient</t>
        </is>
      </c>
      <c r="F17" s="33" t="inlineStr">
        <is>
          <t>Forgotten Ancient</t>
        </is>
      </c>
      <c r="G17" s="33" t="inlineStr">
        <is>
          <t>Forgotten Ancient</t>
        </is>
      </c>
      <c r="H17" s="33" t="inlineStr">
        <is>
          <t>Forgotten Ancient</t>
        </is>
      </c>
      <c r="I17" s="33" t="inlineStr">
        <is>
          <t>Forgotten Ancient</t>
        </is>
      </c>
      <c r="J17" s="33" t="inlineStr">
        <is>
          <t>Forgotten Ancient</t>
        </is>
      </c>
      <c r="K17" s="30" t="inlineStr">
        <is>
          <t>Fun Max</t>
        </is>
      </c>
      <c r="L17" s="31">
        <f>INDEX(B17:J17,MATCH(K17,$B$5:$J$5,0))</f>
        <v/>
      </c>
      <c r="M17" s="22">
        <f>IFERROR(VLOOKUP(L17,Prices!$A:$B,2,FALSE),0)</f>
        <v/>
      </c>
      <c r="N17" s="32">
        <f>IFERROR(INDEX('_why_2c'!$B13:$J13,MATCH(K17,$B$5:$J$5,0)),"")</f>
        <v/>
      </c>
    </row>
    <row r="18">
      <c r="A18" s="28" t="n">
        <v>13</v>
      </c>
      <c r="B18" s="13" t="inlineStr">
        <is>
          <t>Fertilid</t>
        </is>
      </c>
      <c r="C18" s="13" t="inlineStr">
        <is>
          <t>Fertilid</t>
        </is>
      </c>
      <c r="D18" s="13" t="inlineStr">
        <is>
          <t>Fertilid</t>
        </is>
      </c>
      <c r="E18" s="13" t="inlineStr">
        <is>
          <t>Fertilid</t>
        </is>
      </c>
      <c r="F18" s="13" t="inlineStr">
        <is>
          <t>Fertilid</t>
        </is>
      </c>
      <c r="G18" s="13" t="inlineStr">
        <is>
          <t>Fertilid</t>
        </is>
      </c>
      <c r="H18" s="13" t="inlineStr">
        <is>
          <t>Fertilid</t>
        </is>
      </c>
      <c r="I18" s="13" t="inlineStr">
        <is>
          <t>Fertilid</t>
        </is>
      </c>
      <c r="J18" s="13" t="inlineStr">
        <is>
          <t>Fertilid</t>
        </is>
      </c>
      <c r="K18" s="30" t="inlineStr">
        <is>
          <t>Fun Max</t>
        </is>
      </c>
      <c r="L18" s="31">
        <f>INDEX(B18:J18,MATCH(K18,$B$5:$J$5,0))</f>
        <v/>
      </c>
      <c r="M18" s="22">
        <f>IFERROR(VLOOKUP(L18,Prices!$A:$B,2,FALSE),0)</f>
        <v/>
      </c>
      <c r="N18" s="32">
        <f>IFERROR(INDEX('_why_2c'!$B14:$J14,MATCH(K18,$B$5:$J$5,0)),"")</f>
        <v/>
      </c>
    </row>
    <row r="19">
      <c r="A19" s="28" t="n">
        <v>14</v>
      </c>
      <c r="B19" s="33" t="inlineStr">
        <is>
          <t>Nissa, Voice of Zendikar</t>
        </is>
      </c>
      <c r="C19" s="33" t="inlineStr">
        <is>
          <t>Nissa, Voice of Zendikar</t>
        </is>
      </c>
      <c r="D19" s="33" t="inlineStr">
        <is>
          <t>Nissa, Voice of Zendikar</t>
        </is>
      </c>
      <c r="E19" s="33" t="inlineStr">
        <is>
          <t>Nissa, Voice of Zendikar</t>
        </is>
      </c>
      <c r="F19" s="33" t="inlineStr">
        <is>
          <t>Nissa, Voice of Zendikar</t>
        </is>
      </c>
      <c r="G19" s="33" t="inlineStr">
        <is>
          <t>Nissa, Voice of Zendikar</t>
        </is>
      </c>
      <c r="H19" s="33" t="inlineStr">
        <is>
          <t>Nissa, Voice of Zendikar</t>
        </is>
      </c>
      <c r="I19" s="33" t="inlineStr">
        <is>
          <t>Nissa, Voice of Zendikar</t>
        </is>
      </c>
      <c r="J19" s="33" t="inlineStr">
        <is>
          <t>Nissa, Voice of Zendikar</t>
        </is>
      </c>
      <c r="K19" s="30" t="inlineStr">
        <is>
          <t>Fun Max</t>
        </is>
      </c>
      <c r="L19" s="31">
        <f>INDEX(B19:J19,MATCH(K19,$B$5:$J$5,0))</f>
        <v/>
      </c>
      <c r="M19" s="22">
        <f>IFERROR(VLOOKUP(L19,Prices!$A:$B,2,FALSE),0)</f>
        <v/>
      </c>
      <c r="N19" s="32">
        <f>IFERROR(INDEX('_why_2c'!$B15:$J15,MATCH(K19,$B$5:$J$5,0)),"")</f>
        <v/>
      </c>
    </row>
    <row r="20">
      <c r="A20" s="28" t="n">
        <v>15</v>
      </c>
      <c r="B20" s="13" t="inlineStr">
        <is>
          <t>Kasmina, Enigmatic Mentor</t>
        </is>
      </c>
      <c r="C20" s="13" t="inlineStr">
        <is>
          <t>Kasmina, Enigmatic Mentor</t>
        </is>
      </c>
      <c r="D20" s="13" t="inlineStr">
        <is>
          <t>Kasmina, Enigmatic Mentor</t>
        </is>
      </c>
      <c r="E20" s="13" t="inlineStr">
        <is>
          <t>Kasmina, Enigmatic Mentor</t>
        </is>
      </c>
      <c r="F20" s="13" t="inlineStr">
        <is>
          <t>Kasmina, Enigmatic Mentor</t>
        </is>
      </c>
      <c r="G20" s="13" t="inlineStr">
        <is>
          <t>Kasmina, Enigmatic Mentor</t>
        </is>
      </c>
      <c r="H20" s="13" t="inlineStr">
        <is>
          <t>Kasmina, Enigmatic Mentor</t>
        </is>
      </c>
      <c r="I20" s="13" t="inlineStr">
        <is>
          <t>Kasmina, Enigmatic Mentor</t>
        </is>
      </c>
      <c r="J20" s="13" t="inlineStr">
        <is>
          <t>Kasmina, Enigmatic Mentor</t>
        </is>
      </c>
      <c r="K20" s="30" t="inlineStr">
        <is>
          <t>Fun Max</t>
        </is>
      </c>
      <c r="L20" s="31">
        <f>INDEX(B20:J20,MATCH(K20,$B$5:$J$5,0))</f>
        <v/>
      </c>
      <c r="M20" s="22">
        <f>IFERROR(VLOOKUP(L20,Prices!$A:$B,2,FALSE),0)</f>
        <v/>
      </c>
      <c r="N20" s="32">
        <f>IFERROR(INDEX('_why_2c'!$B16:$J16,MATCH(K20,$B$5:$J$5,0)),"")</f>
        <v/>
      </c>
    </row>
    <row r="21">
      <c r="A21" s="28" t="n">
        <v>16</v>
      </c>
      <c r="B21" s="33" t="inlineStr">
        <is>
          <t>Teyo, the Shieldmage</t>
        </is>
      </c>
      <c r="C21" s="33" t="inlineStr">
        <is>
          <t>Teyo, the Shieldmage</t>
        </is>
      </c>
      <c r="D21" s="33" t="inlineStr">
        <is>
          <t>Teyo, the Shieldmage</t>
        </is>
      </c>
      <c r="E21" s="33" t="inlineStr">
        <is>
          <t>Teyo, the Shieldmage</t>
        </is>
      </c>
      <c r="F21" s="33" t="inlineStr">
        <is>
          <t>Teyo, the Shieldmage</t>
        </is>
      </c>
      <c r="G21" s="33" t="inlineStr">
        <is>
          <t>Teyo, the Shieldmage</t>
        </is>
      </c>
      <c r="H21" s="33" t="inlineStr">
        <is>
          <t>Teyo, the Shieldmage</t>
        </is>
      </c>
      <c r="I21" s="33" t="inlineStr">
        <is>
          <t>Teyo, the Shieldmage</t>
        </is>
      </c>
      <c r="J21" s="33" t="inlineStr">
        <is>
          <t>Teyo, the Shieldmage</t>
        </is>
      </c>
      <c r="K21" s="30" t="inlineStr">
        <is>
          <t>Fun Max</t>
        </is>
      </c>
      <c r="L21" s="31">
        <f>INDEX(B21:J21,MATCH(K21,$B$5:$J$5,0))</f>
        <v/>
      </c>
      <c r="M21" s="22">
        <f>IFERROR(VLOOKUP(L21,Prices!$A:$B,2,FALSE),0)</f>
        <v/>
      </c>
      <c r="N21" s="32">
        <f>IFERROR(INDEX('_why_2c'!$B17:$J17,MATCH(K21,$B$5:$J$5,0)),"")</f>
        <v/>
      </c>
    </row>
    <row r="22">
      <c r="A22" s="28" t="n">
        <v>17</v>
      </c>
      <c r="B22" s="13" t="inlineStr">
        <is>
          <t>Fog Bank</t>
        </is>
      </c>
      <c r="C22" s="13" t="inlineStr">
        <is>
          <t>Fog Bank</t>
        </is>
      </c>
      <c r="D22" s="13" t="inlineStr">
        <is>
          <t>Fog Bank</t>
        </is>
      </c>
      <c r="E22" s="13" t="inlineStr">
        <is>
          <t>Fog Bank</t>
        </is>
      </c>
      <c r="F22" s="13" t="inlineStr">
        <is>
          <t>Fog Bank</t>
        </is>
      </c>
      <c r="G22" s="13" t="inlineStr">
        <is>
          <t>Fog Bank</t>
        </is>
      </c>
      <c r="H22" s="13" t="inlineStr">
        <is>
          <t>Fog Bank</t>
        </is>
      </c>
      <c r="I22" s="13" t="inlineStr">
        <is>
          <t>Fog Bank</t>
        </is>
      </c>
      <c r="J22" s="13" t="inlineStr">
        <is>
          <t>Fog Bank</t>
        </is>
      </c>
      <c r="K22" s="30" t="inlineStr">
        <is>
          <t>Fun Max</t>
        </is>
      </c>
      <c r="L22" s="31">
        <f>INDEX(B22:J22,MATCH(K22,$B$5:$J$5,0))</f>
        <v/>
      </c>
      <c r="M22" s="22">
        <f>IFERROR(VLOOKUP(L22,Prices!$A:$B,2,FALSE),0)</f>
        <v/>
      </c>
      <c r="N22" s="32">
        <f>IFERROR(INDEX('_why_2c'!$B18:$J18,MATCH(K22,$B$5:$J$5,0)),"")</f>
        <v/>
      </c>
    </row>
    <row r="23">
      <c r="A23" s="28" t="n">
        <v>18</v>
      </c>
      <c r="B23" s="33" t="inlineStr">
        <is>
          <t>Sylvan Caryatid</t>
        </is>
      </c>
      <c r="C23" s="33" t="inlineStr">
        <is>
          <t>Sylvan Caryatid</t>
        </is>
      </c>
      <c r="D23" s="33" t="inlineStr">
        <is>
          <t>Sylvan Caryatid</t>
        </is>
      </c>
      <c r="E23" s="33" t="inlineStr">
        <is>
          <t>Sylvan Caryatid</t>
        </is>
      </c>
      <c r="F23" s="33" t="inlineStr">
        <is>
          <t>Sylvan Caryatid</t>
        </is>
      </c>
      <c r="G23" s="33" t="inlineStr">
        <is>
          <t>Sylvan Caryatid</t>
        </is>
      </c>
      <c r="H23" s="33" t="inlineStr">
        <is>
          <t>Sylvan Caryatid</t>
        </is>
      </c>
      <c r="I23" s="33" t="inlineStr">
        <is>
          <t>Sylvan Caryatid</t>
        </is>
      </c>
      <c r="J23" s="33" t="inlineStr">
        <is>
          <t>Sylvan Caryatid</t>
        </is>
      </c>
      <c r="K23" s="30" t="inlineStr">
        <is>
          <t>Fun Max</t>
        </is>
      </c>
      <c r="L23" s="31">
        <f>INDEX(B23:J23,MATCH(K23,$B$5:$J$5,0))</f>
        <v/>
      </c>
      <c r="M23" s="22">
        <f>IFERROR(VLOOKUP(L23,Prices!$A:$B,2,FALSE),0)</f>
        <v/>
      </c>
      <c r="N23" s="32">
        <f>IFERROR(INDEX('_why_2c'!$B19:$J19,MATCH(K23,$B$5:$J$5,0)),"")</f>
        <v/>
      </c>
    </row>
    <row r="24">
      <c r="A24" s="28" t="n">
        <v>19</v>
      </c>
      <c r="B24" s="13" t="inlineStr">
        <is>
          <t>Axebane Guardian</t>
        </is>
      </c>
      <c r="C24" s="29" t="inlineStr">
        <is>
          <t>Inexorable Tide</t>
        </is>
      </c>
      <c r="D24" s="29" t="inlineStr">
        <is>
          <t>Inexorable Tide</t>
        </is>
      </c>
      <c r="E24" s="29" t="inlineStr">
        <is>
          <t>Rhystic Study</t>
        </is>
      </c>
      <c r="F24" s="29" t="inlineStr">
        <is>
          <t>Deepglow Skate</t>
        </is>
      </c>
      <c r="G24" s="29" t="inlineStr">
        <is>
          <t>Consecrated Sphinx</t>
        </is>
      </c>
      <c r="H24" s="29" t="inlineStr">
        <is>
          <t>Consecrated Sphinx</t>
        </is>
      </c>
      <c r="I24" s="29" t="inlineStr">
        <is>
          <t>Gollum, Riddle Master</t>
        </is>
      </c>
      <c r="J24" s="29" t="inlineStr">
        <is>
          <t>Lake-town Lookout</t>
        </is>
      </c>
      <c r="K24" s="30" t="inlineStr">
        <is>
          <t>Fun Max</t>
        </is>
      </c>
      <c r="L24" s="31">
        <f>INDEX(B24:J24,MATCH(K24,$B$5:$J$5,0))</f>
        <v/>
      </c>
      <c r="M24" s="22">
        <f>IFERROR(VLOOKUP(L24,Prices!$A:$B,2,FALSE),0)</f>
        <v/>
      </c>
      <c r="N24" s="32">
        <f>IFERROR(INDEX('_why_2c'!$B20:$J20,MATCH(K24,$B$5:$J$5,0)),"")</f>
        <v/>
      </c>
    </row>
    <row r="25">
      <c r="A25" s="28" t="n">
        <v>20</v>
      </c>
      <c r="B25" s="33" t="inlineStr">
        <is>
          <t>Sol Ring</t>
        </is>
      </c>
      <c r="C25" s="33" t="inlineStr">
        <is>
          <t>Sol Ring</t>
        </is>
      </c>
      <c r="D25" s="33" t="inlineStr">
        <is>
          <t>Sol Ring</t>
        </is>
      </c>
      <c r="E25" s="33" t="inlineStr">
        <is>
          <t>Sol Ring</t>
        </is>
      </c>
      <c r="F25" s="33" t="inlineStr">
        <is>
          <t>Sol Ring</t>
        </is>
      </c>
      <c r="G25" s="33" t="inlineStr">
        <is>
          <t>Sol Ring</t>
        </is>
      </c>
      <c r="H25" s="33" t="inlineStr">
        <is>
          <t>Sol Ring</t>
        </is>
      </c>
      <c r="I25" s="33" t="inlineStr">
        <is>
          <t>Sol Ring</t>
        </is>
      </c>
      <c r="J25" s="33" t="inlineStr">
        <is>
          <t>Sol Ring</t>
        </is>
      </c>
      <c r="K25" s="30" t="inlineStr">
        <is>
          <t>Fun Max</t>
        </is>
      </c>
      <c r="L25" s="31">
        <f>INDEX(B25:J25,MATCH(K25,$B$5:$J$5,0))</f>
        <v/>
      </c>
      <c r="M25" s="22">
        <f>IFERROR(VLOOKUP(L25,Prices!$A:$B,2,FALSE),0)</f>
        <v/>
      </c>
      <c r="N25" s="32">
        <f>IFERROR(INDEX('_why_2c'!$B21:$J21,MATCH(K25,$B$5:$J$5,0)),"")</f>
        <v/>
      </c>
    </row>
    <row r="26">
      <c r="A26" s="28" t="n">
        <v>21</v>
      </c>
      <c r="B26" s="13" t="inlineStr">
        <is>
          <t>Arcane Signet</t>
        </is>
      </c>
      <c r="C26" s="13" t="inlineStr">
        <is>
          <t>Arcane Signet</t>
        </is>
      </c>
      <c r="D26" s="13" t="inlineStr">
        <is>
          <t>Arcane Signet</t>
        </is>
      </c>
      <c r="E26" s="13" t="inlineStr">
        <is>
          <t>Arcane Signet</t>
        </is>
      </c>
      <c r="F26" s="13" t="inlineStr">
        <is>
          <t>Arcane Signet</t>
        </is>
      </c>
      <c r="G26" s="13" t="inlineStr">
        <is>
          <t>Arcane Signet</t>
        </is>
      </c>
      <c r="H26" s="13" t="inlineStr">
        <is>
          <t>Arcane Signet</t>
        </is>
      </c>
      <c r="I26" s="13" t="inlineStr">
        <is>
          <t>Arcane Signet</t>
        </is>
      </c>
      <c r="J26" s="13" t="inlineStr">
        <is>
          <t>Arcane Signet</t>
        </is>
      </c>
      <c r="K26" s="30" t="inlineStr">
        <is>
          <t>Fun Max</t>
        </is>
      </c>
      <c r="L26" s="31">
        <f>INDEX(B26:J26,MATCH(K26,$B$5:$J$5,0))</f>
        <v/>
      </c>
      <c r="M26" s="22">
        <f>IFERROR(VLOOKUP(L26,Prices!$A:$B,2,FALSE),0)</f>
        <v/>
      </c>
      <c r="N26" s="32">
        <f>IFERROR(INDEX('_why_2c'!$B22:$J22,MATCH(K26,$B$5:$J$5,0)),"")</f>
        <v/>
      </c>
    </row>
    <row r="27">
      <c r="A27" s="28" t="n">
        <v>22</v>
      </c>
      <c r="B27" s="33" t="inlineStr">
        <is>
          <t>Fellwar Stone</t>
        </is>
      </c>
      <c r="C27" s="33" t="inlineStr">
        <is>
          <t>Fellwar Stone</t>
        </is>
      </c>
      <c r="D27" s="33" t="inlineStr">
        <is>
          <t>Fellwar Stone</t>
        </is>
      </c>
      <c r="E27" s="33" t="inlineStr">
        <is>
          <t>Fellwar Stone</t>
        </is>
      </c>
      <c r="F27" s="33" t="inlineStr">
        <is>
          <t>Fellwar Stone</t>
        </is>
      </c>
      <c r="G27" s="33" t="inlineStr">
        <is>
          <t>Fellwar Stone</t>
        </is>
      </c>
      <c r="H27" s="33" t="inlineStr">
        <is>
          <t>Fellwar Stone</t>
        </is>
      </c>
      <c r="I27" s="33" t="inlineStr">
        <is>
          <t>Fellwar Stone</t>
        </is>
      </c>
      <c r="J27" s="33" t="inlineStr">
        <is>
          <t>Fellwar Stone</t>
        </is>
      </c>
      <c r="K27" s="30" t="inlineStr">
        <is>
          <t>Fun Max</t>
        </is>
      </c>
      <c r="L27" s="31">
        <f>INDEX(B27:J27,MATCH(K27,$B$5:$J$5,0))</f>
        <v/>
      </c>
      <c r="M27" s="22">
        <f>IFERROR(VLOOKUP(L27,Prices!$A:$B,2,FALSE),0)</f>
        <v/>
      </c>
      <c r="N27" s="32">
        <f>IFERROR(INDEX('_why_2c'!$B23:$J23,MATCH(K27,$B$5:$J$5,0)),"")</f>
        <v/>
      </c>
    </row>
    <row r="28">
      <c r="A28" s="28" t="n">
        <v>23</v>
      </c>
      <c r="B28" s="13" t="inlineStr">
        <is>
          <t>Chromatic Lantern</t>
        </is>
      </c>
      <c r="C28" s="13" t="inlineStr">
        <is>
          <t>Chromatic Lantern</t>
        </is>
      </c>
      <c r="D28" s="29" t="inlineStr">
        <is>
          <t>Flux Channeler</t>
        </is>
      </c>
      <c r="E28" s="29" t="inlineStr">
        <is>
          <t>Consecrated Sphinx</t>
        </is>
      </c>
      <c r="F28" s="13" t="inlineStr">
        <is>
          <t>Chromatic Lantern</t>
        </is>
      </c>
      <c r="G28" s="29" t="inlineStr">
        <is>
          <t>Teferi's Protection</t>
        </is>
      </c>
      <c r="H28" s="29" t="inlineStr">
        <is>
          <t>Teferi's Protection</t>
        </is>
      </c>
      <c r="I28" s="13" t="inlineStr">
        <is>
          <t>Chromatic Lantern</t>
        </is>
      </c>
      <c r="J28" s="29" t="inlineStr">
        <is>
          <t>Gollum, Riddle Master</t>
        </is>
      </c>
      <c r="K28" s="30" t="inlineStr">
        <is>
          <t>Fun Max</t>
        </is>
      </c>
      <c r="L28" s="31">
        <f>INDEX(B28:J28,MATCH(K28,$B$5:$J$5,0))</f>
        <v/>
      </c>
      <c r="M28" s="22">
        <f>IFERROR(VLOOKUP(L28,Prices!$A:$B,2,FALSE),0)</f>
        <v/>
      </c>
      <c r="N28" s="32">
        <f>IFERROR(INDEX('_why_2c'!$B24:$J24,MATCH(K28,$B$5:$J$5,0)),"")</f>
        <v/>
      </c>
    </row>
    <row r="29">
      <c r="A29" s="28" t="n">
        <v>24</v>
      </c>
      <c r="B29" s="33" t="inlineStr">
        <is>
          <t>Talisman of Progress</t>
        </is>
      </c>
      <c r="C29" s="33" t="inlineStr">
        <is>
          <t>Talisman of Progress</t>
        </is>
      </c>
      <c r="D29" s="33" t="inlineStr">
        <is>
          <t>Talisman of Progress</t>
        </is>
      </c>
      <c r="E29" s="33" t="inlineStr">
        <is>
          <t>Talisman of Progress</t>
        </is>
      </c>
      <c r="F29" s="33" t="inlineStr">
        <is>
          <t>Talisman of Progress</t>
        </is>
      </c>
      <c r="G29" s="33" t="inlineStr">
        <is>
          <t>Talisman of Progress</t>
        </is>
      </c>
      <c r="H29" s="33" t="inlineStr">
        <is>
          <t>Talisman of Progress</t>
        </is>
      </c>
      <c r="I29" s="33" t="inlineStr">
        <is>
          <t>Talisman of Progress</t>
        </is>
      </c>
      <c r="J29" s="33" t="inlineStr">
        <is>
          <t>Talisman of Progress</t>
        </is>
      </c>
      <c r="K29" s="30" t="inlineStr">
        <is>
          <t>Fun Max</t>
        </is>
      </c>
      <c r="L29" s="31">
        <f>INDEX(B29:J29,MATCH(K29,$B$5:$J$5,0))</f>
        <v/>
      </c>
      <c r="M29" s="22">
        <f>IFERROR(VLOOKUP(L29,Prices!$A:$B,2,FALSE),0)</f>
        <v/>
      </c>
      <c r="N29" s="32">
        <f>IFERROR(INDEX('_why_2c'!$B25:$J25,MATCH(K29,$B$5:$J$5,0)),"")</f>
        <v/>
      </c>
    </row>
    <row r="30">
      <c r="A30" s="28" t="n">
        <v>25</v>
      </c>
      <c r="B30" s="13" t="inlineStr">
        <is>
          <t>Cultivate</t>
        </is>
      </c>
      <c r="C30" s="13" t="inlineStr">
        <is>
          <t>Cultivate</t>
        </is>
      </c>
      <c r="D30" s="13" t="inlineStr">
        <is>
          <t>Cultivate</t>
        </is>
      </c>
      <c r="E30" s="13" t="inlineStr">
        <is>
          <t>Cultivate</t>
        </is>
      </c>
      <c r="F30" s="13" t="inlineStr">
        <is>
          <t>Cultivate</t>
        </is>
      </c>
      <c r="G30" s="13" t="inlineStr">
        <is>
          <t>Cultivate</t>
        </is>
      </c>
      <c r="H30" s="13" t="inlineStr">
        <is>
          <t>Cultivate</t>
        </is>
      </c>
      <c r="I30" s="13" t="inlineStr">
        <is>
          <t>Cultivate</t>
        </is>
      </c>
      <c r="J30" s="13" t="inlineStr">
        <is>
          <t>Cultivate</t>
        </is>
      </c>
      <c r="K30" s="30" t="inlineStr">
        <is>
          <t>Fun Max</t>
        </is>
      </c>
      <c r="L30" s="31">
        <f>INDEX(B30:J30,MATCH(K30,$B$5:$J$5,0))</f>
        <v/>
      </c>
      <c r="M30" s="22">
        <f>IFERROR(VLOOKUP(L30,Prices!$A:$B,2,FALSE),0)</f>
        <v/>
      </c>
      <c r="N30" s="32">
        <f>IFERROR(INDEX('_why_2c'!$B26:$J26,MATCH(K30,$B$5:$J$5,0)),"")</f>
        <v/>
      </c>
    </row>
    <row r="31">
      <c r="A31" s="28" t="n">
        <v>26</v>
      </c>
      <c r="B31" s="33" t="inlineStr">
        <is>
          <t>Kodama's Reach</t>
        </is>
      </c>
      <c r="C31" s="33" t="inlineStr">
        <is>
          <t>Kodama's Reach</t>
        </is>
      </c>
      <c r="D31" s="33" t="inlineStr">
        <is>
          <t>Kodama's Reach</t>
        </is>
      </c>
      <c r="E31" s="33" t="inlineStr">
        <is>
          <t>Kodama's Reach</t>
        </is>
      </c>
      <c r="F31" s="34" t="inlineStr">
        <is>
          <t>Rapid Hybridization</t>
        </is>
      </c>
      <c r="G31" s="34" t="inlineStr">
        <is>
          <t>Rapid Hybridization</t>
        </is>
      </c>
      <c r="H31" s="34" t="inlineStr">
        <is>
          <t>Rapid Hybridization</t>
        </is>
      </c>
      <c r="I31" s="33" t="inlineStr">
        <is>
          <t>Kodama's Reach</t>
        </is>
      </c>
      <c r="J31" s="33" t="inlineStr">
        <is>
          <t>Kodama's Reach</t>
        </is>
      </c>
      <c r="K31" s="30" t="inlineStr">
        <is>
          <t>Fun Max</t>
        </is>
      </c>
      <c r="L31" s="31">
        <f>INDEX(B31:J31,MATCH(K31,$B$5:$J$5,0))</f>
        <v/>
      </c>
      <c r="M31" s="22">
        <f>IFERROR(VLOOKUP(L31,Prices!$A:$B,2,FALSE),0)</f>
        <v/>
      </c>
      <c r="N31" s="32">
        <f>IFERROR(INDEX('_why_2c'!$B27:$J27,MATCH(K31,$B$5:$J$5,0)),"")</f>
        <v/>
      </c>
    </row>
    <row r="32">
      <c r="A32" s="28" t="n">
        <v>27</v>
      </c>
      <c r="B32" s="13" t="inlineStr">
        <is>
          <t>Farseek</t>
        </is>
      </c>
      <c r="C32" s="13" t="inlineStr">
        <is>
          <t>Farseek</t>
        </is>
      </c>
      <c r="D32" s="13" t="inlineStr">
        <is>
          <t>Farseek</t>
        </is>
      </c>
      <c r="E32" s="13" t="inlineStr">
        <is>
          <t>Farseek</t>
        </is>
      </c>
      <c r="F32" s="13" t="inlineStr">
        <is>
          <t>Farseek</t>
        </is>
      </c>
      <c r="G32" s="13" t="inlineStr">
        <is>
          <t>Farseek</t>
        </is>
      </c>
      <c r="H32" s="13" t="inlineStr">
        <is>
          <t>Farseek</t>
        </is>
      </c>
      <c r="I32" s="13" t="inlineStr">
        <is>
          <t>Farseek</t>
        </is>
      </c>
      <c r="J32" s="13" t="inlineStr">
        <is>
          <t>Farseek</t>
        </is>
      </c>
      <c r="K32" s="30" t="inlineStr">
        <is>
          <t>Fun Max</t>
        </is>
      </c>
      <c r="L32" s="31">
        <f>INDEX(B32:J32,MATCH(K32,$B$5:$J$5,0))</f>
        <v/>
      </c>
      <c r="M32" s="22">
        <f>IFERROR(VLOOKUP(L32,Prices!$A:$B,2,FALSE),0)</f>
        <v/>
      </c>
      <c r="N32" s="32">
        <f>IFERROR(INDEX('_why_2c'!$B28:$J28,MATCH(K32,$B$5:$J$5,0)),"")</f>
        <v/>
      </c>
    </row>
    <row r="33">
      <c r="A33" s="28" t="n">
        <v>28</v>
      </c>
      <c r="B33" s="33" t="inlineStr">
        <is>
          <t>Swords to Plowshares</t>
        </is>
      </c>
      <c r="C33" s="33" t="inlineStr">
        <is>
          <t>Swords to Plowshares</t>
        </is>
      </c>
      <c r="D33" s="33" t="inlineStr">
        <is>
          <t>Swords to Plowshares</t>
        </is>
      </c>
      <c r="E33" s="33" t="inlineStr">
        <is>
          <t>Swords to Plowshares</t>
        </is>
      </c>
      <c r="F33" s="33" t="inlineStr">
        <is>
          <t>Swords to Plowshares</t>
        </is>
      </c>
      <c r="G33" s="33" t="inlineStr">
        <is>
          <t>Swords to Plowshares</t>
        </is>
      </c>
      <c r="H33" s="33" t="inlineStr">
        <is>
          <t>Swords to Plowshares</t>
        </is>
      </c>
      <c r="I33" s="33" t="inlineStr">
        <is>
          <t>Swords to Plowshares</t>
        </is>
      </c>
      <c r="J33" s="33" t="inlineStr">
        <is>
          <t>Swords to Plowshares</t>
        </is>
      </c>
      <c r="K33" s="30" t="inlineStr">
        <is>
          <t>Fun Max</t>
        </is>
      </c>
      <c r="L33" s="31">
        <f>INDEX(B33:J33,MATCH(K33,$B$5:$J$5,0))</f>
        <v/>
      </c>
      <c r="M33" s="22">
        <f>IFERROR(VLOOKUP(L33,Prices!$A:$B,2,FALSE),0)</f>
        <v/>
      </c>
      <c r="N33" s="32">
        <f>IFERROR(INDEX('_why_2c'!$B29:$J29,MATCH(K33,$B$5:$J$5,0)),"")</f>
        <v/>
      </c>
    </row>
    <row r="34">
      <c r="A34" s="28" t="n">
        <v>29</v>
      </c>
      <c r="B34" s="13" t="inlineStr">
        <is>
          <t>Path to Exile</t>
        </is>
      </c>
      <c r="C34" s="13" t="inlineStr">
        <is>
          <t>Path to Exile</t>
        </is>
      </c>
      <c r="D34" s="13" t="inlineStr">
        <is>
          <t>Path to Exile</t>
        </is>
      </c>
      <c r="E34" s="13" t="inlineStr">
        <is>
          <t>Path to Exile</t>
        </is>
      </c>
      <c r="F34" s="13" t="inlineStr">
        <is>
          <t>Path to Exile</t>
        </is>
      </c>
      <c r="G34" s="13" t="inlineStr">
        <is>
          <t>Path to Exile</t>
        </is>
      </c>
      <c r="H34" s="13" t="inlineStr">
        <is>
          <t>Path to Exile</t>
        </is>
      </c>
      <c r="I34" s="13" t="inlineStr">
        <is>
          <t>Path to Exile</t>
        </is>
      </c>
      <c r="J34" s="13" t="inlineStr">
        <is>
          <t>Path to Exile</t>
        </is>
      </c>
      <c r="K34" s="30" t="inlineStr">
        <is>
          <t>Fun Max</t>
        </is>
      </c>
      <c r="L34" s="31">
        <f>INDEX(B34:J34,MATCH(K34,$B$5:$J$5,0))</f>
        <v/>
      </c>
      <c r="M34" s="22">
        <f>IFERROR(VLOOKUP(L34,Prices!$A:$B,2,FALSE),0)</f>
        <v/>
      </c>
      <c r="N34" s="32">
        <f>IFERROR(INDEX('_why_2c'!$B30:$J30,MATCH(K34,$B$5:$J$5,0)),"")</f>
        <v/>
      </c>
    </row>
    <row r="35">
      <c r="A35" s="28" t="n">
        <v>30</v>
      </c>
      <c r="B35" s="33" t="inlineStr">
        <is>
          <t>Putrefy</t>
        </is>
      </c>
      <c r="C35" s="33" t="inlineStr">
        <is>
          <t>Putrefy</t>
        </is>
      </c>
      <c r="D35" s="33" t="inlineStr">
        <is>
          <t>Putrefy</t>
        </is>
      </c>
      <c r="E35" s="33" t="inlineStr">
        <is>
          <t>Putrefy</t>
        </is>
      </c>
      <c r="F35" s="34" t="inlineStr">
        <is>
          <t>Deathrite Shaman</t>
        </is>
      </c>
      <c r="G35" s="34" t="inlineStr">
        <is>
          <t>Deathrite Shaman</t>
        </is>
      </c>
      <c r="H35" s="34" t="inlineStr">
        <is>
          <t>Deathrite Shaman</t>
        </is>
      </c>
      <c r="I35" s="33" t="inlineStr">
        <is>
          <t>Putrefy</t>
        </is>
      </c>
      <c r="J35" s="33" t="inlineStr">
        <is>
          <t>Putrefy</t>
        </is>
      </c>
      <c r="K35" s="30" t="inlineStr">
        <is>
          <t>Fun Max</t>
        </is>
      </c>
      <c r="L35" s="31">
        <f>INDEX(B35:J35,MATCH(K35,$B$5:$J$5,0))</f>
        <v/>
      </c>
      <c r="M35" s="22">
        <f>IFERROR(VLOOKUP(L35,Prices!$A:$B,2,FALSE),0)</f>
        <v/>
      </c>
      <c r="N35" s="32">
        <f>IFERROR(INDEX('_why_2c'!$B31:$J31,MATCH(K35,$B$5:$J$5,0)),"")</f>
        <v/>
      </c>
    </row>
    <row r="36">
      <c r="A36" s="28" t="n">
        <v>31</v>
      </c>
      <c r="B36" s="13" t="inlineStr">
        <is>
          <t>Mortify</t>
        </is>
      </c>
      <c r="C36" s="13" t="inlineStr">
        <is>
          <t>Mortify</t>
        </is>
      </c>
      <c r="D36" s="13" t="inlineStr">
        <is>
          <t>Mortify</t>
        </is>
      </c>
      <c r="E36" s="13" t="inlineStr">
        <is>
          <t>Mortify</t>
        </is>
      </c>
      <c r="F36" s="29" t="inlineStr">
        <is>
          <t>Venat, Heart of Hydaelyn // Hydaelyn, the Mothercrystal</t>
        </is>
      </c>
      <c r="G36" s="29" t="inlineStr">
        <is>
          <t>Venat, Heart of Hydaelyn // Hydaelyn, the Mothercrystal</t>
        </is>
      </c>
      <c r="H36" s="29" t="inlineStr">
        <is>
          <t>Venat, Heart of Hydaelyn // Hydaelyn, the Mothercrystal</t>
        </is>
      </c>
      <c r="I36" s="13" t="inlineStr">
        <is>
          <t>Mortify</t>
        </is>
      </c>
      <c r="J36" s="13" t="inlineStr">
        <is>
          <t>Mortify</t>
        </is>
      </c>
      <c r="K36" s="30" t="inlineStr">
        <is>
          <t>Fun Max</t>
        </is>
      </c>
      <c r="L36" s="31">
        <f>INDEX(B36:J36,MATCH(K36,$B$5:$J$5,0))</f>
        <v/>
      </c>
      <c r="M36" s="22">
        <f>IFERROR(VLOOKUP(L36,Prices!$A:$B,2,FALSE),0)</f>
        <v/>
      </c>
      <c r="N36" s="32">
        <f>IFERROR(INDEX('_why_2c'!$B32:$J32,MATCH(K36,$B$5:$J$5,0)),"")</f>
        <v/>
      </c>
    </row>
    <row r="37">
      <c r="A37" s="28" t="n">
        <v>32</v>
      </c>
      <c r="B37" s="33" t="inlineStr">
        <is>
          <t>Utter End</t>
        </is>
      </c>
      <c r="C37" s="33" t="inlineStr">
        <is>
          <t>Utter End</t>
        </is>
      </c>
      <c r="D37" s="33" t="inlineStr">
        <is>
          <t>Utter End</t>
        </is>
      </c>
      <c r="E37" s="33" t="inlineStr">
        <is>
          <t>Utter End</t>
        </is>
      </c>
      <c r="F37" s="34" t="inlineStr">
        <is>
          <t>Zulaport Cutthroat</t>
        </is>
      </c>
      <c r="G37" s="34" t="inlineStr">
        <is>
          <t>Zulaport Cutthroat</t>
        </is>
      </c>
      <c r="H37" s="34" t="inlineStr">
        <is>
          <t>Zulaport Cutthroat</t>
        </is>
      </c>
      <c r="I37" s="33" t="inlineStr">
        <is>
          <t>Utter End</t>
        </is>
      </c>
      <c r="J37" s="33" t="inlineStr">
        <is>
          <t>Utter End</t>
        </is>
      </c>
      <c r="K37" s="30" t="inlineStr">
        <is>
          <t>Fun Max</t>
        </is>
      </c>
      <c r="L37" s="31">
        <f>INDEX(B37:J37,MATCH(K37,$B$5:$J$5,0))</f>
        <v/>
      </c>
      <c r="M37" s="22">
        <f>IFERROR(VLOOKUP(L37,Prices!$A:$B,2,FALSE),0)</f>
        <v/>
      </c>
      <c r="N37" s="32">
        <f>IFERROR(INDEX('_why_2c'!$B33:$J33,MATCH(K37,$B$5:$J$5,0)),"")</f>
        <v/>
      </c>
    </row>
    <row r="38">
      <c r="A38" s="28" t="n">
        <v>33</v>
      </c>
      <c r="B38" s="13" t="inlineStr">
        <is>
          <t>Vraska's Contempt</t>
        </is>
      </c>
      <c r="C38" s="13" t="inlineStr">
        <is>
          <t>Vraska's Contempt</t>
        </is>
      </c>
      <c r="D38" s="29" t="inlineStr">
        <is>
          <t>Deepglow Skate</t>
        </is>
      </c>
      <c r="E38" s="13" t="inlineStr">
        <is>
          <t>Vraska's Contempt</t>
        </is>
      </c>
      <c r="F38" s="29" t="inlineStr">
        <is>
          <t>Troll Negotiations</t>
        </is>
      </c>
      <c r="G38" s="29" t="inlineStr">
        <is>
          <t>Troll Negotiations</t>
        </is>
      </c>
      <c r="H38" s="29" t="inlineStr">
        <is>
          <t>Troll Negotiations</t>
        </is>
      </c>
      <c r="I38" s="13" t="inlineStr">
        <is>
          <t>Vraska's Contempt</t>
        </is>
      </c>
      <c r="J38" s="29" t="inlineStr">
        <is>
          <t>Yavimaya Elder</t>
        </is>
      </c>
      <c r="K38" s="30" t="inlineStr">
        <is>
          <t>Fun Max</t>
        </is>
      </c>
      <c r="L38" s="31">
        <f>INDEX(B38:J38,MATCH(K38,$B$5:$J$5,0))</f>
        <v/>
      </c>
      <c r="M38" s="22">
        <f>IFERROR(VLOOKUP(L38,Prices!$A:$B,2,FALSE),0)</f>
        <v/>
      </c>
      <c r="N38" s="32">
        <f>IFERROR(INDEX('_why_2c'!$B34:$J34,MATCH(K38,$B$5:$J$5,0)),"")</f>
        <v/>
      </c>
    </row>
    <row r="39">
      <c r="A39" s="28" t="n">
        <v>34</v>
      </c>
      <c r="B39" s="33" t="inlineStr">
        <is>
          <t>Despark</t>
        </is>
      </c>
      <c r="C39" s="33" t="inlineStr">
        <is>
          <t>Despark</t>
        </is>
      </c>
      <c r="D39" s="33" t="inlineStr">
        <is>
          <t>Despark</t>
        </is>
      </c>
      <c r="E39" s="33" t="inlineStr">
        <is>
          <t>Despark</t>
        </is>
      </c>
      <c r="F39" s="33" t="inlineStr">
        <is>
          <t>Despark</t>
        </is>
      </c>
      <c r="G39" s="33" t="inlineStr">
        <is>
          <t>Despark</t>
        </is>
      </c>
      <c r="H39" s="33" t="inlineStr">
        <is>
          <t>Despark</t>
        </is>
      </c>
      <c r="I39" s="33" t="inlineStr">
        <is>
          <t>Despark</t>
        </is>
      </c>
      <c r="J39" s="33" t="inlineStr">
        <is>
          <t>Despark</t>
        </is>
      </c>
      <c r="K39" s="30" t="inlineStr">
        <is>
          <t>Fun Max</t>
        </is>
      </c>
      <c r="L39" s="31">
        <f>INDEX(B39:J39,MATCH(K39,$B$5:$J$5,0))</f>
        <v/>
      </c>
      <c r="M39" s="22">
        <f>IFERROR(VLOOKUP(L39,Prices!$A:$B,2,FALSE),0)</f>
        <v/>
      </c>
      <c r="N39" s="32">
        <f>IFERROR(INDEX('_why_2c'!$B35:$J35,MATCH(K39,$B$5:$J$5,0)),"")</f>
        <v/>
      </c>
    </row>
    <row r="40">
      <c r="A40" s="28" t="n">
        <v>35</v>
      </c>
      <c r="B40" s="13" t="inlineStr">
        <is>
          <t>Ritual of Soot</t>
        </is>
      </c>
      <c r="C40" s="13" t="inlineStr">
        <is>
          <t>Ritual of Soot</t>
        </is>
      </c>
      <c r="D40" s="13" t="inlineStr">
        <is>
          <t>Ritual of Soot</t>
        </is>
      </c>
      <c r="E40" s="13" t="inlineStr">
        <is>
          <t>Ritual of Soot</t>
        </is>
      </c>
      <c r="F40" s="13" t="inlineStr">
        <is>
          <t>Ritual of Soot</t>
        </is>
      </c>
      <c r="G40" s="13" t="inlineStr">
        <is>
          <t>Ritual of Soot</t>
        </is>
      </c>
      <c r="H40" s="13" t="inlineStr">
        <is>
          <t>Ritual of Soot</t>
        </is>
      </c>
      <c r="I40" s="13" t="inlineStr">
        <is>
          <t>Ritual of Soot</t>
        </is>
      </c>
      <c r="J40" s="13" t="inlineStr">
        <is>
          <t>Ritual of Soot</t>
        </is>
      </c>
      <c r="K40" s="30" t="inlineStr">
        <is>
          <t>Fun Max</t>
        </is>
      </c>
      <c r="L40" s="31">
        <f>INDEX(B40:J40,MATCH(K40,$B$5:$J$5,0))</f>
        <v/>
      </c>
      <c r="M40" s="22">
        <f>IFERROR(VLOOKUP(L40,Prices!$A:$B,2,FALSE),0)</f>
        <v/>
      </c>
      <c r="N40" s="32">
        <f>IFERROR(INDEX('_why_2c'!$B36:$J36,MATCH(K40,$B$5:$J$5,0)),"")</f>
        <v/>
      </c>
    </row>
    <row r="41">
      <c r="A41" s="28" t="n">
        <v>36</v>
      </c>
      <c r="B41" s="33" t="inlineStr">
        <is>
          <t>Austere Command</t>
        </is>
      </c>
      <c r="C41" s="34" t="inlineStr">
        <is>
          <t>Flux Channeler</t>
        </is>
      </c>
      <c r="D41" s="34" t="inlineStr">
        <is>
          <t>Karn's Bastion</t>
        </is>
      </c>
      <c r="E41" s="34" t="inlineStr">
        <is>
          <t>Doubling Season</t>
        </is>
      </c>
      <c r="F41" s="34" t="inlineStr">
        <is>
          <t>Flux Channeler</t>
        </is>
      </c>
      <c r="G41" s="34" t="inlineStr">
        <is>
          <t>Vorinclex, Monstrous Raider</t>
        </is>
      </c>
      <c r="H41" s="34" t="inlineStr">
        <is>
          <t>Vorinclex, Monstrous Raider</t>
        </is>
      </c>
      <c r="I41" s="34" t="inlineStr">
        <is>
          <t>Lake-town Lookout</t>
        </is>
      </c>
      <c r="J41" s="34" t="inlineStr">
        <is>
          <t>Midnight Reaper</t>
        </is>
      </c>
      <c r="K41" s="30" t="inlineStr">
        <is>
          <t>Fun Max</t>
        </is>
      </c>
      <c r="L41" s="31">
        <f>INDEX(B41:J41,MATCH(K41,$B$5:$J$5,0))</f>
        <v/>
      </c>
      <c r="M41" s="22">
        <f>IFERROR(VLOOKUP(L41,Prices!$A:$B,2,FALSE),0)</f>
        <v/>
      </c>
      <c r="N41" s="32">
        <f>IFERROR(INDEX('_why_2c'!$B37:$J37,MATCH(K41,$B$5:$J$5,0)),"")</f>
        <v/>
      </c>
    </row>
    <row r="42">
      <c r="A42" s="28" t="n">
        <v>37</v>
      </c>
      <c r="B42" s="13" t="inlineStr">
        <is>
          <t>Read the Bones</t>
        </is>
      </c>
      <c r="C42" s="13" t="inlineStr">
        <is>
          <t>Read the Bones</t>
        </is>
      </c>
      <c r="D42" s="13" t="inlineStr">
        <is>
          <t>Read the Bones</t>
        </is>
      </c>
      <c r="E42" s="13" t="inlineStr">
        <is>
          <t>Read the Bones</t>
        </is>
      </c>
      <c r="F42" s="13" t="inlineStr">
        <is>
          <t>Read the Bones</t>
        </is>
      </c>
      <c r="G42" s="13" t="inlineStr">
        <is>
          <t>Read the Bones</t>
        </is>
      </c>
      <c r="H42" s="13" t="inlineStr">
        <is>
          <t>Read the Bones</t>
        </is>
      </c>
      <c r="I42" s="13" t="inlineStr">
        <is>
          <t>Read the Bones</t>
        </is>
      </c>
      <c r="J42" s="13" t="inlineStr">
        <is>
          <t>Read the Bones</t>
        </is>
      </c>
      <c r="K42" s="30" t="inlineStr">
        <is>
          <t>Fun Max</t>
        </is>
      </c>
      <c r="L42" s="31">
        <f>INDEX(B42:J42,MATCH(K42,$B$5:$J$5,0))</f>
        <v/>
      </c>
      <c r="M42" s="22">
        <f>IFERROR(VLOOKUP(L42,Prices!$A:$B,2,FALSE),0)</f>
        <v/>
      </c>
      <c r="N42" s="32">
        <f>IFERROR(INDEX('_why_2c'!$B38:$J38,MATCH(K42,$B$5:$J$5,0)),"")</f>
        <v/>
      </c>
    </row>
    <row r="43">
      <c r="A43" s="28" t="n">
        <v>38</v>
      </c>
      <c r="B43" s="33" t="inlineStr">
        <is>
          <t>Fact or Fiction</t>
        </is>
      </c>
      <c r="C43" s="33" t="inlineStr">
        <is>
          <t>Fact or Fiction</t>
        </is>
      </c>
      <c r="D43" s="33" t="inlineStr">
        <is>
          <t>Fact or Fiction</t>
        </is>
      </c>
      <c r="E43" s="33" t="inlineStr">
        <is>
          <t>Fact or Fiction</t>
        </is>
      </c>
      <c r="F43" s="34" t="inlineStr">
        <is>
          <t>Shield Sphere</t>
        </is>
      </c>
      <c r="G43" s="34" t="inlineStr">
        <is>
          <t>Shield Sphere</t>
        </is>
      </c>
      <c r="H43" s="34" t="inlineStr">
        <is>
          <t>Shield Sphere</t>
        </is>
      </c>
      <c r="I43" s="33" t="inlineStr">
        <is>
          <t>Fact or Fiction</t>
        </is>
      </c>
      <c r="J43" s="33" t="inlineStr">
        <is>
          <t>Fact or Fiction</t>
        </is>
      </c>
      <c r="K43" s="30" t="inlineStr">
        <is>
          <t>Fun Max</t>
        </is>
      </c>
      <c r="L43" s="31">
        <f>INDEX(B43:J43,MATCH(K43,$B$5:$J$5,0))</f>
        <v/>
      </c>
      <c r="M43" s="22">
        <f>IFERROR(VLOOKUP(L43,Prices!$A:$B,2,FALSE),0)</f>
        <v/>
      </c>
      <c r="N43" s="32">
        <f>IFERROR(INDEX('_why_2c'!$B39:$J39,MATCH(K43,$B$5:$J$5,0)),"")</f>
        <v/>
      </c>
    </row>
    <row r="44">
      <c r="A44" s="28" t="n">
        <v>39</v>
      </c>
      <c r="B44" s="13" t="inlineStr">
        <is>
          <t>Mulldrifter</t>
        </is>
      </c>
      <c r="C44" s="13" t="inlineStr">
        <is>
          <t>Mulldrifter</t>
        </is>
      </c>
      <c r="D44" s="13" t="inlineStr">
        <is>
          <t>Mulldrifter</t>
        </is>
      </c>
      <c r="E44" s="13" t="inlineStr">
        <is>
          <t>Mulldrifter</t>
        </is>
      </c>
      <c r="F44" s="13" t="inlineStr">
        <is>
          <t>Mulldrifter</t>
        </is>
      </c>
      <c r="G44" s="13" t="inlineStr">
        <is>
          <t>Mulldrifter</t>
        </is>
      </c>
      <c r="H44" s="13" t="inlineStr">
        <is>
          <t>Mulldrifter</t>
        </is>
      </c>
      <c r="I44" s="13" t="inlineStr">
        <is>
          <t>Mulldrifter</t>
        </is>
      </c>
      <c r="J44" s="13" t="inlineStr">
        <is>
          <t>Mulldrifter</t>
        </is>
      </c>
      <c r="K44" s="30" t="inlineStr">
        <is>
          <t>Fun Max</t>
        </is>
      </c>
      <c r="L44" s="31">
        <f>INDEX(B44:J44,MATCH(K44,$B$5:$J$5,0))</f>
        <v/>
      </c>
      <c r="M44" s="22">
        <f>IFERROR(VLOOKUP(L44,Prices!$A:$B,2,FALSE),0)</f>
        <v/>
      </c>
      <c r="N44" s="32">
        <f>IFERROR(INDEX('_why_2c'!$B40:$J40,MATCH(K44,$B$5:$J$5,0)),"")</f>
        <v/>
      </c>
    </row>
    <row r="45">
      <c r="A45" s="28" t="n">
        <v>40</v>
      </c>
      <c r="B45" s="33" t="inlineStr">
        <is>
          <t>Unbreakable Formation</t>
        </is>
      </c>
      <c r="C45" s="33" t="inlineStr">
        <is>
          <t>Unbreakable Formation</t>
        </is>
      </c>
      <c r="D45" s="33" t="inlineStr">
        <is>
          <t>Unbreakable Formation</t>
        </is>
      </c>
      <c r="E45" s="33" t="inlineStr">
        <is>
          <t>Unbreakable Formation</t>
        </is>
      </c>
      <c r="F45" s="34" t="inlineStr">
        <is>
          <t>Void Rend</t>
        </is>
      </c>
      <c r="G45" s="34" t="inlineStr">
        <is>
          <t>Void Rend</t>
        </is>
      </c>
      <c r="H45" s="34" t="inlineStr">
        <is>
          <t>Void Rend</t>
        </is>
      </c>
      <c r="I45" s="33" t="inlineStr">
        <is>
          <t>Unbreakable Formation</t>
        </is>
      </c>
      <c r="J45" s="33" t="inlineStr">
        <is>
          <t>Unbreakable Formation</t>
        </is>
      </c>
      <c r="K45" s="30" t="inlineStr">
        <is>
          <t>Fun Max</t>
        </is>
      </c>
      <c r="L45" s="31">
        <f>INDEX(B45:J45,MATCH(K45,$B$5:$J$5,0))</f>
        <v/>
      </c>
      <c r="M45" s="22">
        <f>IFERROR(VLOOKUP(L45,Prices!$A:$B,2,FALSE),0)</f>
        <v/>
      </c>
      <c r="N45" s="32">
        <f>IFERROR(INDEX('_why_2c'!$B41:$J41,MATCH(K45,$B$5:$J$5,0)),"")</f>
        <v/>
      </c>
    </row>
    <row r="46">
      <c r="A46" s="28" t="n">
        <v>41</v>
      </c>
      <c r="B46" s="13" t="inlineStr">
        <is>
          <t>Astral Cornucopia</t>
        </is>
      </c>
      <c r="C46" s="29" t="inlineStr">
        <is>
          <t>Deepglow Skate</t>
        </is>
      </c>
      <c r="D46" s="29" t="inlineStr">
        <is>
          <t>Giant's Boulder</t>
        </is>
      </c>
      <c r="E46" s="29" t="inlineStr">
        <is>
          <t>The Chain Veil</t>
        </is>
      </c>
      <c r="F46" s="29" t="inlineStr">
        <is>
          <t>Indulging Patrician</t>
        </is>
      </c>
      <c r="G46" s="29" t="inlineStr">
        <is>
          <t>Indulging Patrician</t>
        </is>
      </c>
      <c r="H46" s="29" t="inlineStr">
        <is>
          <t>Indulging Patrician</t>
        </is>
      </c>
      <c r="I46" s="29" t="inlineStr">
        <is>
          <t>Midnight Reaper</t>
        </is>
      </c>
      <c r="J46" s="29" t="inlineStr">
        <is>
          <t>Troll Negotiations</t>
        </is>
      </c>
      <c r="K46" s="30" t="inlineStr">
        <is>
          <t>Fun Max</t>
        </is>
      </c>
      <c r="L46" s="31">
        <f>INDEX(B46:J46,MATCH(K46,$B$5:$J$5,0))</f>
        <v/>
      </c>
      <c r="M46" s="22">
        <f>IFERROR(VLOOKUP(L46,Prices!$A:$B,2,FALSE),0)</f>
        <v/>
      </c>
      <c r="N46" s="32">
        <f>IFERROR(INDEX('_why_2c'!$B42:$J42,MATCH(K46,$B$5:$J$5,0)),"")</f>
        <v/>
      </c>
    </row>
    <row r="47">
      <c r="A47" s="28" t="n">
        <v>42</v>
      </c>
      <c r="B47" s="33" t="inlineStr">
        <is>
          <t>Everflowing Chalice</t>
        </is>
      </c>
      <c r="C47" s="33" t="inlineStr">
        <is>
          <t>Everflowing Chalice</t>
        </is>
      </c>
      <c r="D47" s="33" t="inlineStr">
        <is>
          <t>Everflowing Chalice</t>
        </is>
      </c>
      <c r="E47" s="33" t="inlineStr">
        <is>
          <t>Everflowing Chalice</t>
        </is>
      </c>
      <c r="F47" s="33" t="inlineStr">
        <is>
          <t>Everflowing Chalice</t>
        </is>
      </c>
      <c r="G47" s="33" t="inlineStr">
        <is>
          <t>Everflowing Chalice</t>
        </is>
      </c>
      <c r="H47" s="33" t="inlineStr">
        <is>
          <t>Everflowing Chalice</t>
        </is>
      </c>
      <c r="I47" s="33" t="inlineStr">
        <is>
          <t>Everflowing Chalice</t>
        </is>
      </c>
      <c r="J47" s="33" t="inlineStr">
        <is>
          <t>Everflowing Chalice</t>
        </is>
      </c>
      <c r="K47" s="30" t="inlineStr">
        <is>
          <t>Fun Max</t>
        </is>
      </c>
      <c r="L47" s="31">
        <f>INDEX(B47:J47,MATCH(K47,$B$5:$J$5,0))</f>
        <v/>
      </c>
      <c r="M47" s="22">
        <f>IFERROR(VLOOKUP(L47,Prices!$A:$B,2,FALSE),0)</f>
        <v/>
      </c>
      <c r="N47" s="32">
        <f>IFERROR(INDEX('_why_2c'!$B43:$J43,MATCH(K47,$B$5:$J$5,0)),"")</f>
        <v/>
      </c>
    </row>
    <row r="48">
      <c r="A48" s="28" t="n">
        <v>43</v>
      </c>
      <c r="B48" s="13" t="inlineStr">
        <is>
          <t>Skyclave Relic</t>
        </is>
      </c>
      <c r="C48" s="13" t="inlineStr">
        <is>
          <t>Skyclave Relic</t>
        </is>
      </c>
      <c r="D48" s="13" t="inlineStr">
        <is>
          <t>Skyclave Relic</t>
        </is>
      </c>
      <c r="E48" s="13" t="inlineStr">
        <is>
          <t>Skyclave Relic</t>
        </is>
      </c>
      <c r="F48" s="13" t="inlineStr">
        <is>
          <t>Skyclave Relic</t>
        </is>
      </c>
      <c r="G48" s="13" t="inlineStr">
        <is>
          <t>Skyclave Relic</t>
        </is>
      </c>
      <c r="H48" s="13" t="inlineStr">
        <is>
          <t>Skyclave Relic</t>
        </is>
      </c>
      <c r="I48" s="13" t="inlineStr">
        <is>
          <t>Skyclave Relic</t>
        </is>
      </c>
      <c r="J48" s="13" t="inlineStr">
        <is>
          <t>Skyclave Relic</t>
        </is>
      </c>
      <c r="K48" s="30" t="inlineStr">
        <is>
          <t>Fun Max</t>
        </is>
      </c>
      <c r="L48" s="31">
        <f>INDEX(B48:J48,MATCH(K48,$B$5:$J$5,0))</f>
        <v/>
      </c>
      <c r="M48" s="22">
        <f>IFERROR(VLOOKUP(L48,Prices!$A:$B,2,FALSE),0)</f>
        <v/>
      </c>
      <c r="N48" s="32">
        <f>IFERROR(INDEX('_why_2c'!$B44:$J44,MATCH(K48,$B$5:$J$5,0)),"")</f>
        <v/>
      </c>
    </row>
    <row r="49">
      <c r="A49" s="28" t="n">
        <v>44</v>
      </c>
      <c r="B49" s="33" t="inlineStr">
        <is>
          <t>Ichor Wellspring</t>
        </is>
      </c>
      <c r="C49" s="33" t="inlineStr">
        <is>
          <t>Ichor Wellspring</t>
        </is>
      </c>
      <c r="D49" s="33" t="inlineStr">
        <is>
          <t>Ichor Wellspring</t>
        </is>
      </c>
      <c r="E49" s="33" t="inlineStr">
        <is>
          <t>Ichor Wellspring</t>
        </is>
      </c>
      <c r="F49" s="33" t="inlineStr">
        <is>
          <t>Ichor Wellspring</t>
        </is>
      </c>
      <c r="G49" s="33" t="inlineStr">
        <is>
          <t>Ichor Wellspring</t>
        </is>
      </c>
      <c r="H49" s="33" t="inlineStr">
        <is>
          <t>Ichor Wellspring</t>
        </is>
      </c>
      <c r="I49" s="33" t="inlineStr">
        <is>
          <t>Ichor Wellspring</t>
        </is>
      </c>
      <c r="J49" s="33" t="inlineStr">
        <is>
          <t>Ichor Wellspring</t>
        </is>
      </c>
      <c r="K49" s="30" t="inlineStr">
        <is>
          <t>Fun Max</t>
        </is>
      </c>
      <c r="L49" s="31">
        <f>INDEX(B49:J49,MATCH(K49,$B$5:$J$5,0))</f>
        <v/>
      </c>
      <c r="M49" s="22">
        <f>IFERROR(VLOOKUP(L49,Prices!$A:$B,2,FALSE),0)</f>
        <v/>
      </c>
      <c r="N49" s="32">
        <f>IFERROR(INDEX('_why_2c'!$B45:$J45,MATCH(K49,$B$5:$J$5,0)),"")</f>
        <v/>
      </c>
    </row>
    <row r="50">
      <c r="A50" s="28" t="n">
        <v>45</v>
      </c>
      <c r="B50" s="13" t="inlineStr">
        <is>
          <t>Merfolk Skydiver</t>
        </is>
      </c>
      <c r="C50" s="13" t="inlineStr">
        <is>
          <t>Merfolk Skydiver</t>
        </is>
      </c>
      <c r="D50" s="13" t="inlineStr">
        <is>
          <t>Merfolk Skydiver</t>
        </is>
      </c>
      <c r="E50" s="13" t="inlineStr">
        <is>
          <t>Merfolk Skydiver</t>
        </is>
      </c>
      <c r="F50" s="13" t="inlineStr">
        <is>
          <t>Merfolk Skydiver</t>
        </is>
      </c>
      <c r="G50" s="13" t="inlineStr">
        <is>
          <t>Merfolk Skydiver</t>
        </is>
      </c>
      <c r="H50" s="13" t="inlineStr">
        <is>
          <t>Merfolk Skydiver</t>
        </is>
      </c>
      <c r="I50" s="13" t="inlineStr">
        <is>
          <t>Merfolk Skydiver</t>
        </is>
      </c>
      <c r="J50" s="13" t="inlineStr">
        <is>
          <t>Merfolk Skydiver</t>
        </is>
      </c>
      <c r="K50" s="30" t="inlineStr">
        <is>
          <t>Fun Max</t>
        </is>
      </c>
      <c r="L50" s="31">
        <f>INDEX(B50:J50,MATCH(K50,$B$5:$J$5,0))</f>
        <v/>
      </c>
      <c r="M50" s="22">
        <f>IFERROR(VLOOKUP(L50,Prices!$A:$B,2,FALSE),0)</f>
        <v/>
      </c>
      <c r="N50" s="32">
        <f>IFERROR(INDEX('_why_2c'!$B46:$J46,MATCH(K50,$B$5:$J$5,0)),"")</f>
        <v/>
      </c>
    </row>
    <row r="51">
      <c r="A51" s="28" t="n">
        <v>46</v>
      </c>
      <c r="B51" s="33" t="inlineStr">
        <is>
          <t>Fuel for the Cause</t>
        </is>
      </c>
      <c r="C51" s="33" t="inlineStr">
        <is>
          <t>Fuel for the Cause</t>
        </is>
      </c>
      <c r="D51" s="33" t="inlineStr">
        <is>
          <t>Fuel for the Cause</t>
        </is>
      </c>
      <c r="E51" s="33" t="inlineStr">
        <is>
          <t>Fuel for the Cause</t>
        </is>
      </c>
      <c r="F51" s="34" t="inlineStr">
        <is>
          <t>Marauding Blight-Priest</t>
        </is>
      </c>
      <c r="G51" s="34" t="inlineStr">
        <is>
          <t>Marauding Blight-Priest</t>
        </is>
      </c>
      <c r="H51" s="34" t="inlineStr">
        <is>
          <t>Marauding Blight-Priest</t>
        </is>
      </c>
      <c r="I51" s="33" t="inlineStr">
        <is>
          <t>Fuel for the Cause</t>
        </is>
      </c>
      <c r="J51" s="33" t="inlineStr">
        <is>
          <t>Fuel for the Cause</t>
        </is>
      </c>
      <c r="K51" s="30" t="inlineStr">
        <is>
          <t>Fun Max</t>
        </is>
      </c>
      <c r="L51" s="31">
        <f>INDEX(B51:J51,MATCH(K51,$B$5:$J$5,0))</f>
        <v/>
      </c>
      <c r="M51" s="22">
        <f>IFERROR(VLOOKUP(L51,Prices!$A:$B,2,FALSE),0)</f>
        <v/>
      </c>
      <c r="N51" s="32">
        <f>IFERROR(INDEX('_why_2c'!$B47:$J47,MATCH(K51,$B$5:$J$5,0)),"")</f>
        <v/>
      </c>
    </row>
    <row r="52">
      <c r="A52" s="28" t="n">
        <v>47</v>
      </c>
      <c r="B52" s="13" t="inlineStr">
        <is>
          <t>Contentious Plan</t>
        </is>
      </c>
      <c r="C52" s="13" t="inlineStr">
        <is>
          <t>Contentious Plan</t>
        </is>
      </c>
      <c r="D52" s="13" t="inlineStr">
        <is>
          <t>Contentious Plan</t>
        </is>
      </c>
      <c r="E52" s="13" t="inlineStr">
        <is>
          <t>Contentious Plan</t>
        </is>
      </c>
      <c r="F52" s="13" t="inlineStr">
        <is>
          <t>Contentious Plan</t>
        </is>
      </c>
      <c r="G52" s="13" t="inlineStr">
        <is>
          <t>Contentious Plan</t>
        </is>
      </c>
      <c r="H52" s="13" t="inlineStr">
        <is>
          <t>Contentious Plan</t>
        </is>
      </c>
      <c r="I52" s="13" t="inlineStr">
        <is>
          <t>Contentious Plan</t>
        </is>
      </c>
      <c r="J52" s="13" t="inlineStr">
        <is>
          <t>Contentious Plan</t>
        </is>
      </c>
      <c r="K52" s="30" t="inlineStr">
        <is>
          <t>Fun Max</t>
        </is>
      </c>
      <c r="L52" s="31">
        <f>INDEX(B52:J52,MATCH(K52,$B$5:$J$5,0))</f>
        <v/>
      </c>
      <c r="M52" s="22">
        <f>IFERROR(VLOOKUP(L52,Prices!$A:$B,2,FALSE),0)</f>
        <v/>
      </c>
      <c r="N52" s="32">
        <f>IFERROR(INDEX('_why_2c'!$B48:$J48,MATCH(K52,$B$5:$J$5,0)),"")</f>
        <v/>
      </c>
    </row>
    <row r="53">
      <c r="A53" s="28" t="n">
        <v>48</v>
      </c>
      <c r="B53" s="33" t="inlineStr">
        <is>
          <t>Plaguemaw Beast</t>
        </is>
      </c>
      <c r="C53" s="33" t="inlineStr">
        <is>
          <t>Plaguemaw Beast</t>
        </is>
      </c>
      <c r="D53" s="33" t="inlineStr">
        <is>
          <t>Plaguemaw Beast</t>
        </is>
      </c>
      <c r="E53" s="33" t="inlineStr">
        <is>
          <t>Plaguemaw Beast</t>
        </is>
      </c>
      <c r="F53" s="33" t="inlineStr">
        <is>
          <t>Plaguemaw Beast</t>
        </is>
      </c>
      <c r="G53" s="33" t="inlineStr">
        <is>
          <t>Plaguemaw Beast</t>
        </is>
      </c>
      <c r="H53" s="33" t="inlineStr">
        <is>
          <t>Plaguemaw Beast</t>
        </is>
      </c>
      <c r="I53" s="33" t="inlineStr">
        <is>
          <t>Plaguemaw Beast</t>
        </is>
      </c>
      <c r="J53" s="33" t="inlineStr">
        <is>
          <t>Plaguemaw Beast</t>
        </is>
      </c>
      <c r="K53" s="30" t="inlineStr">
        <is>
          <t>Fun Max</t>
        </is>
      </c>
      <c r="L53" s="31">
        <f>INDEX(B53:J53,MATCH(K53,$B$5:$J$5,0))</f>
        <v/>
      </c>
      <c r="M53" s="22">
        <f>IFERROR(VLOOKUP(L53,Prices!$A:$B,2,FALSE),0)</f>
        <v/>
      </c>
      <c r="N53" s="32">
        <f>IFERROR(INDEX('_why_2c'!$B49:$J49,MATCH(K53,$B$5:$J$5,0)),"")</f>
        <v/>
      </c>
    </row>
    <row r="54">
      <c r="A54" s="28" t="n">
        <v>49</v>
      </c>
      <c r="B54" s="13" t="inlineStr">
        <is>
          <t>Wall of Roots</t>
        </is>
      </c>
      <c r="C54" s="13" t="inlineStr">
        <is>
          <t>Wall of Roots</t>
        </is>
      </c>
      <c r="D54" s="13" t="inlineStr">
        <is>
          <t>Wall of Roots</t>
        </is>
      </c>
      <c r="E54" s="13" t="inlineStr">
        <is>
          <t>Wall of Roots</t>
        </is>
      </c>
      <c r="F54" s="13" t="inlineStr">
        <is>
          <t>Wall of Roots</t>
        </is>
      </c>
      <c r="G54" s="13" t="inlineStr">
        <is>
          <t>Wall of Roots</t>
        </is>
      </c>
      <c r="H54" s="13" t="inlineStr">
        <is>
          <t>Wall of Roots</t>
        </is>
      </c>
      <c r="I54" s="13" t="inlineStr">
        <is>
          <t>Wall of Roots</t>
        </is>
      </c>
      <c r="J54" s="13" t="inlineStr">
        <is>
          <t>Wall of Roots</t>
        </is>
      </c>
      <c r="K54" s="30" t="inlineStr">
        <is>
          <t>Fun Max</t>
        </is>
      </c>
      <c r="L54" s="31">
        <f>INDEX(B54:J54,MATCH(K54,$B$5:$J$5,0))</f>
        <v/>
      </c>
      <c r="M54" s="22">
        <f>IFERROR(VLOOKUP(L54,Prices!$A:$B,2,FALSE),0)</f>
        <v/>
      </c>
      <c r="N54" s="32">
        <f>IFERROR(INDEX('_why_2c'!$B50:$J50,MATCH(K54,$B$5:$J$5,0)),"")</f>
        <v/>
      </c>
    </row>
    <row r="55">
      <c r="A55" s="28" t="n">
        <v>50</v>
      </c>
      <c r="B55" s="33" t="inlineStr">
        <is>
          <t>Filigree Familiar</t>
        </is>
      </c>
      <c r="C55" s="33" t="inlineStr">
        <is>
          <t>Filigree Familiar</t>
        </is>
      </c>
      <c r="D55" s="33" t="inlineStr">
        <is>
          <t>Filigree Familiar</t>
        </is>
      </c>
      <c r="E55" s="33" t="inlineStr">
        <is>
          <t>Filigree Familiar</t>
        </is>
      </c>
      <c r="F55" s="33" t="inlineStr">
        <is>
          <t>Filigree Familiar</t>
        </is>
      </c>
      <c r="G55" s="33" t="inlineStr">
        <is>
          <t>Filigree Familiar</t>
        </is>
      </c>
      <c r="H55" s="33" t="inlineStr">
        <is>
          <t>Filigree Familiar</t>
        </is>
      </c>
      <c r="I55" s="33" t="inlineStr">
        <is>
          <t>Filigree Familiar</t>
        </is>
      </c>
      <c r="J55" s="33" t="inlineStr">
        <is>
          <t>Filigree Familiar</t>
        </is>
      </c>
      <c r="K55" s="30" t="inlineStr">
        <is>
          <t>Fun Max</t>
        </is>
      </c>
      <c r="L55" s="31">
        <f>INDEX(B55:J55,MATCH(K55,$B$5:$J$5,0))</f>
        <v/>
      </c>
      <c r="M55" s="22">
        <f>IFERROR(VLOOKUP(L55,Prices!$A:$B,2,FALSE),0)</f>
        <v/>
      </c>
      <c r="N55" s="32">
        <f>IFERROR(INDEX('_why_2c'!$B51:$J51,MATCH(K55,$B$5:$J$5,0)),"")</f>
        <v/>
      </c>
    </row>
    <row r="56">
      <c r="A56" s="28" t="n">
        <v>51</v>
      </c>
      <c r="B56" s="13" t="inlineStr">
        <is>
          <t>Pilgrim's Eye</t>
        </is>
      </c>
      <c r="C56" s="13" t="inlineStr">
        <is>
          <t>Pilgrim's Eye</t>
        </is>
      </c>
      <c r="D56" s="13" t="inlineStr">
        <is>
          <t>Pilgrim's Eye</t>
        </is>
      </c>
      <c r="E56" s="13" t="inlineStr">
        <is>
          <t>Pilgrim's Eye</t>
        </is>
      </c>
      <c r="F56" s="13" t="inlineStr">
        <is>
          <t>Pilgrim's Eye</t>
        </is>
      </c>
      <c r="G56" s="13" t="inlineStr">
        <is>
          <t>Pilgrim's Eye</t>
        </is>
      </c>
      <c r="H56" s="13" t="inlineStr">
        <is>
          <t>Pilgrim's Eye</t>
        </is>
      </c>
      <c r="I56" s="13" t="inlineStr">
        <is>
          <t>Pilgrim's Eye</t>
        </is>
      </c>
      <c r="J56" s="13" t="inlineStr">
        <is>
          <t>Pilgrim's Eye</t>
        </is>
      </c>
      <c r="K56" s="30" t="inlineStr">
        <is>
          <t>Fun Max</t>
        </is>
      </c>
      <c r="L56" s="31">
        <f>INDEX(B56:J56,MATCH(K56,$B$5:$J$5,0))</f>
        <v/>
      </c>
      <c r="M56" s="22">
        <f>IFERROR(VLOOKUP(L56,Prices!$A:$B,2,FALSE),0)</f>
        <v/>
      </c>
      <c r="N56" s="32">
        <f>IFERROR(INDEX('_why_2c'!$B52:$J52,MATCH(K56,$B$5:$J$5,0)),"")</f>
        <v/>
      </c>
    </row>
    <row r="57">
      <c r="A57" s="28" t="n">
        <v>52</v>
      </c>
      <c r="B57" s="33" t="inlineStr">
        <is>
          <t>Burnished Hart</t>
        </is>
      </c>
      <c r="C57" s="34" t="inlineStr">
        <is>
          <t>Karn's Bastion</t>
        </is>
      </c>
      <c r="D57" s="34" t="inlineStr">
        <is>
          <t>Troll Negotiations</t>
        </is>
      </c>
      <c r="E57" s="34" t="inlineStr">
        <is>
          <t>Vorinclex, Monstrous Raider</t>
        </is>
      </c>
      <c r="F57" s="34" t="inlineStr">
        <is>
          <t>Tatyova, Benthic Druid</t>
        </is>
      </c>
      <c r="G57" s="34" t="inlineStr">
        <is>
          <t>Tatyova, Benthic Druid</t>
        </is>
      </c>
      <c r="H57" s="34" t="inlineStr">
        <is>
          <t>Tatyova, Benthic Druid</t>
        </is>
      </c>
      <c r="I57" s="34" t="inlineStr">
        <is>
          <t>Portcullis Vine</t>
        </is>
      </c>
      <c r="J57" s="34" t="inlineStr">
        <is>
          <t>Teferi's Protection</t>
        </is>
      </c>
      <c r="K57" s="30" t="inlineStr">
        <is>
          <t>Fun Max</t>
        </is>
      </c>
      <c r="L57" s="31">
        <f>INDEX(B57:J57,MATCH(K57,$B$5:$J$5,0))</f>
        <v/>
      </c>
      <c r="M57" s="22">
        <f>IFERROR(VLOOKUP(L57,Prices!$A:$B,2,FALSE),0)</f>
        <v/>
      </c>
      <c r="N57" s="32">
        <f>IFERROR(INDEX('_why_2c'!$B53:$J53,MATCH(K57,$B$5:$J$5,0)),"")</f>
        <v/>
      </c>
    </row>
    <row r="58">
      <c r="A58" s="28" t="n">
        <v>53</v>
      </c>
      <c r="B58" s="13" t="inlineStr">
        <is>
          <t>Forest</t>
        </is>
      </c>
      <c r="C58" s="13" t="inlineStr">
        <is>
          <t>Forest</t>
        </is>
      </c>
      <c r="D58" s="13" t="inlineStr">
        <is>
          <t>Forest</t>
        </is>
      </c>
      <c r="E58" s="13" t="inlineStr">
        <is>
          <t>Forest</t>
        </is>
      </c>
      <c r="F58" s="13" t="inlineStr">
        <is>
          <t>Forest</t>
        </is>
      </c>
      <c r="G58" s="13" t="inlineStr">
        <is>
          <t>Forest</t>
        </is>
      </c>
      <c r="H58" s="13" t="inlineStr">
        <is>
          <t>Forest</t>
        </is>
      </c>
      <c r="I58" s="13" t="inlineStr">
        <is>
          <t>Forest</t>
        </is>
      </c>
      <c r="J58" s="13" t="inlineStr">
        <is>
          <t>Forest</t>
        </is>
      </c>
      <c r="K58" s="30" t="inlineStr">
        <is>
          <t>Fun Max</t>
        </is>
      </c>
      <c r="L58" s="31">
        <f>INDEX(B58:J58,MATCH(K58,$B$5:$J$5,0))</f>
        <v/>
      </c>
      <c r="M58" s="22">
        <f>IFERROR(VLOOKUP(L58,Prices!$A:$B,2,FALSE),0)</f>
        <v/>
      </c>
      <c r="N58" s="32">
        <f>IFERROR(INDEX('_why_2c'!$B54:$J54,MATCH(K58,$B$5:$J$5,0)),"")</f>
        <v/>
      </c>
    </row>
    <row r="59">
      <c r="A59" s="28" t="n">
        <v>54</v>
      </c>
      <c r="B59" s="33" t="inlineStr">
        <is>
          <t>Forest</t>
        </is>
      </c>
      <c r="C59" s="33" t="inlineStr">
        <is>
          <t>Forest</t>
        </is>
      </c>
      <c r="D59" s="33" t="inlineStr">
        <is>
          <t>Forest</t>
        </is>
      </c>
      <c r="E59" s="33" t="inlineStr">
        <is>
          <t>Forest</t>
        </is>
      </c>
      <c r="F59" s="33" t="inlineStr">
        <is>
          <t>Forest</t>
        </is>
      </c>
      <c r="G59" s="33" t="inlineStr">
        <is>
          <t>Forest</t>
        </is>
      </c>
      <c r="H59" s="33" t="inlineStr">
        <is>
          <t>Forest</t>
        </is>
      </c>
      <c r="I59" s="33" t="inlineStr">
        <is>
          <t>Forest</t>
        </is>
      </c>
      <c r="J59" s="33" t="inlineStr">
        <is>
          <t>Forest</t>
        </is>
      </c>
      <c r="K59" s="30" t="inlineStr">
        <is>
          <t>Fun Max</t>
        </is>
      </c>
      <c r="L59" s="31">
        <f>INDEX(B59:J59,MATCH(K59,$B$5:$J$5,0))</f>
        <v/>
      </c>
      <c r="M59" s="22">
        <f>IFERROR(VLOOKUP(L59,Prices!$A:$B,2,FALSE),0)</f>
        <v/>
      </c>
      <c r="N59" s="32">
        <f>IFERROR(INDEX('_why_2c'!$B55:$J55,MATCH(K59,$B$5:$J$5,0)),"")</f>
        <v/>
      </c>
    </row>
    <row r="60">
      <c r="A60" s="28" t="n">
        <v>55</v>
      </c>
      <c r="B60" s="13" t="inlineStr">
        <is>
          <t>Forest</t>
        </is>
      </c>
      <c r="C60" s="13" t="inlineStr">
        <is>
          <t>Forest</t>
        </is>
      </c>
      <c r="D60" s="13" t="inlineStr">
        <is>
          <t>Forest</t>
        </is>
      </c>
      <c r="E60" s="13" t="inlineStr">
        <is>
          <t>Forest</t>
        </is>
      </c>
      <c r="F60" s="13" t="inlineStr">
        <is>
          <t>Forest</t>
        </is>
      </c>
      <c r="G60" s="13" t="inlineStr">
        <is>
          <t>Forest</t>
        </is>
      </c>
      <c r="H60" s="13" t="inlineStr">
        <is>
          <t>Forest</t>
        </is>
      </c>
      <c r="I60" s="13" t="inlineStr">
        <is>
          <t>Forest</t>
        </is>
      </c>
      <c r="J60" s="13" t="inlineStr">
        <is>
          <t>Forest</t>
        </is>
      </c>
      <c r="K60" s="30" t="inlineStr">
        <is>
          <t>Fun Max</t>
        </is>
      </c>
      <c r="L60" s="31">
        <f>INDEX(B60:J60,MATCH(K60,$B$5:$J$5,0))</f>
        <v/>
      </c>
      <c r="M60" s="22">
        <f>IFERROR(VLOOKUP(L60,Prices!$A:$B,2,FALSE),0)</f>
        <v/>
      </c>
      <c r="N60" s="32">
        <f>IFERROR(INDEX('_why_2c'!$B56:$J56,MATCH(K60,$B$5:$J$5,0)),"")</f>
        <v/>
      </c>
    </row>
    <row r="61">
      <c r="A61" s="28" t="n">
        <v>56</v>
      </c>
      <c r="B61" s="33" t="inlineStr">
        <is>
          <t>Forest</t>
        </is>
      </c>
      <c r="C61" s="33" t="inlineStr">
        <is>
          <t>Forest</t>
        </is>
      </c>
      <c r="D61" s="33" t="inlineStr">
        <is>
          <t>Forest</t>
        </is>
      </c>
      <c r="E61" s="33" t="inlineStr">
        <is>
          <t>Forest</t>
        </is>
      </c>
      <c r="F61" s="33" t="inlineStr">
        <is>
          <t>Forest</t>
        </is>
      </c>
      <c r="G61" s="33" t="inlineStr">
        <is>
          <t>Forest</t>
        </is>
      </c>
      <c r="H61" s="33" t="inlineStr">
        <is>
          <t>Forest</t>
        </is>
      </c>
      <c r="I61" s="33" t="inlineStr">
        <is>
          <t>Forest</t>
        </is>
      </c>
      <c r="J61" s="33" t="inlineStr">
        <is>
          <t>Forest</t>
        </is>
      </c>
      <c r="K61" s="30" t="inlineStr">
        <is>
          <t>Fun Max</t>
        </is>
      </c>
      <c r="L61" s="31">
        <f>INDEX(B61:J61,MATCH(K61,$B$5:$J$5,0))</f>
        <v/>
      </c>
      <c r="M61" s="22">
        <f>IFERROR(VLOOKUP(L61,Prices!$A:$B,2,FALSE),0)</f>
        <v/>
      </c>
      <c r="N61" s="32">
        <f>IFERROR(INDEX('_why_2c'!$B57:$J57,MATCH(K61,$B$5:$J$5,0)),"")</f>
        <v/>
      </c>
    </row>
    <row r="62">
      <c r="A62" s="28" t="n">
        <v>57</v>
      </c>
      <c r="B62" s="13" t="inlineStr">
        <is>
          <t>Plains</t>
        </is>
      </c>
      <c r="C62" s="13" t="inlineStr">
        <is>
          <t>Plains</t>
        </is>
      </c>
      <c r="D62" s="13" t="inlineStr">
        <is>
          <t>Plains</t>
        </is>
      </c>
      <c r="E62" s="13" t="inlineStr">
        <is>
          <t>Plains</t>
        </is>
      </c>
      <c r="F62" s="13" t="inlineStr">
        <is>
          <t>Plains</t>
        </is>
      </c>
      <c r="G62" s="13" t="inlineStr">
        <is>
          <t>Plains</t>
        </is>
      </c>
      <c r="H62" s="13" t="inlineStr">
        <is>
          <t>Plains</t>
        </is>
      </c>
      <c r="I62" s="13" t="inlineStr">
        <is>
          <t>Plains</t>
        </is>
      </c>
      <c r="J62" s="13" t="inlineStr">
        <is>
          <t>Plains</t>
        </is>
      </c>
      <c r="K62" s="30" t="inlineStr">
        <is>
          <t>Fun Max</t>
        </is>
      </c>
      <c r="L62" s="31">
        <f>INDEX(B62:J62,MATCH(K62,$B$5:$J$5,0))</f>
        <v/>
      </c>
      <c r="M62" s="22">
        <f>IFERROR(VLOOKUP(L62,Prices!$A:$B,2,FALSE),0)</f>
        <v/>
      </c>
      <c r="N62" s="32">
        <f>IFERROR(INDEX('_why_2c'!$B58:$J58,MATCH(K62,$B$5:$J$5,0)),"")</f>
        <v/>
      </c>
    </row>
    <row r="63">
      <c r="A63" s="28" t="n">
        <v>58</v>
      </c>
      <c r="B63" s="33" t="inlineStr">
        <is>
          <t>Plains</t>
        </is>
      </c>
      <c r="C63" s="33" t="inlineStr">
        <is>
          <t>Plains</t>
        </is>
      </c>
      <c r="D63" s="33" t="inlineStr">
        <is>
          <t>Plains</t>
        </is>
      </c>
      <c r="E63" s="33" t="inlineStr">
        <is>
          <t>Plains</t>
        </is>
      </c>
      <c r="F63" s="33" t="inlineStr">
        <is>
          <t>Plains</t>
        </is>
      </c>
      <c r="G63" s="33" t="inlineStr">
        <is>
          <t>Plains</t>
        </is>
      </c>
      <c r="H63" s="33" t="inlineStr">
        <is>
          <t>Plains</t>
        </is>
      </c>
      <c r="I63" s="33" t="inlineStr">
        <is>
          <t>Plains</t>
        </is>
      </c>
      <c r="J63" s="33" t="inlineStr">
        <is>
          <t>Plains</t>
        </is>
      </c>
      <c r="K63" s="30" t="inlineStr">
        <is>
          <t>Fun Max</t>
        </is>
      </c>
      <c r="L63" s="31">
        <f>INDEX(B63:J63,MATCH(K63,$B$5:$J$5,0))</f>
        <v/>
      </c>
      <c r="M63" s="22">
        <f>IFERROR(VLOOKUP(L63,Prices!$A:$B,2,FALSE),0)</f>
        <v/>
      </c>
      <c r="N63" s="32">
        <f>IFERROR(INDEX('_why_2c'!$B59:$J59,MATCH(K63,$B$5:$J$5,0)),"")</f>
        <v/>
      </c>
    </row>
    <row r="64">
      <c r="A64" s="28" t="n">
        <v>59</v>
      </c>
      <c r="B64" s="13" t="inlineStr">
        <is>
          <t>Plains</t>
        </is>
      </c>
      <c r="C64" s="13" t="inlineStr">
        <is>
          <t>Plains</t>
        </is>
      </c>
      <c r="D64" s="13" t="inlineStr">
        <is>
          <t>Plains</t>
        </is>
      </c>
      <c r="E64" s="13" t="inlineStr">
        <is>
          <t>Plains</t>
        </is>
      </c>
      <c r="F64" s="13" t="inlineStr">
        <is>
          <t>Plains</t>
        </is>
      </c>
      <c r="G64" s="13" t="inlineStr">
        <is>
          <t>Plains</t>
        </is>
      </c>
      <c r="H64" s="13" t="inlineStr">
        <is>
          <t>Plains</t>
        </is>
      </c>
      <c r="I64" s="13" t="inlineStr">
        <is>
          <t>Plains</t>
        </is>
      </c>
      <c r="J64" s="13" t="inlineStr">
        <is>
          <t>Plains</t>
        </is>
      </c>
      <c r="K64" s="30" t="inlineStr">
        <is>
          <t>Fun Max</t>
        </is>
      </c>
      <c r="L64" s="31">
        <f>INDEX(B64:J64,MATCH(K64,$B$5:$J$5,0))</f>
        <v/>
      </c>
      <c r="M64" s="22">
        <f>IFERROR(VLOOKUP(L64,Prices!$A:$B,2,FALSE),0)</f>
        <v/>
      </c>
      <c r="N64" s="32">
        <f>IFERROR(INDEX('_why_2c'!$B60:$J60,MATCH(K64,$B$5:$J$5,0)),"")</f>
        <v/>
      </c>
    </row>
    <row r="65">
      <c r="A65" s="28" t="n">
        <v>60</v>
      </c>
      <c r="B65" s="33" t="inlineStr">
        <is>
          <t>Island</t>
        </is>
      </c>
      <c r="C65" s="33" t="inlineStr">
        <is>
          <t>Island</t>
        </is>
      </c>
      <c r="D65" s="33" t="inlineStr">
        <is>
          <t>Island</t>
        </is>
      </c>
      <c r="E65" s="33" t="inlineStr">
        <is>
          <t>Island</t>
        </is>
      </c>
      <c r="F65" s="33" t="inlineStr">
        <is>
          <t>Island</t>
        </is>
      </c>
      <c r="G65" s="33" t="inlineStr">
        <is>
          <t>Island</t>
        </is>
      </c>
      <c r="H65" s="33" t="inlineStr">
        <is>
          <t>Island</t>
        </is>
      </c>
      <c r="I65" s="33" t="inlineStr">
        <is>
          <t>Island</t>
        </is>
      </c>
      <c r="J65" s="33" t="inlineStr">
        <is>
          <t>Island</t>
        </is>
      </c>
      <c r="K65" s="30" t="inlineStr">
        <is>
          <t>Fun Max</t>
        </is>
      </c>
      <c r="L65" s="31">
        <f>INDEX(B65:J65,MATCH(K65,$B$5:$J$5,0))</f>
        <v/>
      </c>
      <c r="M65" s="22">
        <f>IFERROR(VLOOKUP(L65,Prices!$A:$B,2,FALSE),0)</f>
        <v/>
      </c>
      <c r="N65" s="32">
        <f>IFERROR(INDEX('_why_2c'!$B61:$J61,MATCH(K65,$B$5:$J$5,0)),"")</f>
        <v/>
      </c>
    </row>
    <row r="66">
      <c r="A66" s="28" t="n">
        <v>61</v>
      </c>
      <c r="B66" s="13" t="inlineStr">
        <is>
          <t>Island</t>
        </is>
      </c>
      <c r="C66" s="13" t="inlineStr">
        <is>
          <t>Island</t>
        </is>
      </c>
      <c r="D66" s="13" t="inlineStr">
        <is>
          <t>Island</t>
        </is>
      </c>
      <c r="E66" s="13" t="inlineStr">
        <is>
          <t>Island</t>
        </is>
      </c>
      <c r="F66" s="13" t="inlineStr">
        <is>
          <t>Island</t>
        </is>
      </c>
      <c r="G66" s="13" t="inlineStr">
        <is>
          <t>Island</t>
        </is>
      </c>
      <c r="H66" s="13" t="inlineStr">
        <is>
          <t>Island</t>
        </is>
      </c>
      <c r="I66" s="13" t="inlineStr">
        <is>
          <t>Island</t>
        </is>
      </c>
      <c r="J66" s="13" t="inlineStr">
        <is>
          <t>Island</t>
        </is>
      </c>
      <c r="K66" s="30" t="inlineStr">
        <is>
          <t>Fun Max</t>
        </is>
      </c>
      <c r="L66" s="31">
        <f>INDEX(B66:J66,MATCH(K66,$B$5:$J$5,0))</f>
        <v/>
      </c>
      <c r="M66" s="22">
        <f>IFERROR(VLOOKUP(L66,Prices!$A:$B,2,FALSE),0)</f>
        <v/>
      </c>
      <c r="N66" s="32">
        <f>IFERROR(INDEX('_why_2c'!$B62:$J62,MATCH(K66,$B$5:$J$5,0)),"")</f>
        <v/>
      </c>
    </row>
    <row r="67">
      <c r="A67" s="28" t="n">
        <v>62</v>
      </c>
      <c r="B67" s="33" t="inlineStr">
        <is>
          <t>Swamp</t>
        </is>
      </c>
      <c r="C67" s="33" t="inlineStr">
        <is>
          <t>Swamp</t>
        </is>
      </c>
      <c r="D67" s="33" t="inlineStr">
        <is>
          <t>Swamp</t>
        </is>
      </c>
      <c r="E67" s="33" t="inlineStr">
        <is>
          <t>Swamp</t>
        </is>
      </c>
      <c r="F67" s="33" t="inlineStr">
        <is>
          <t>Swamp</t>
        </is>
      </c>
      <c r="G67" s="33" t="inlineStr">
        <is>
          <t>Swamp</t>
        </is>
      </c>
      <c r="H67" s="33" t="inlineStr">
        <is>
          <t>Swamp</t>
        </is>
      </c>
      <c r="I67" s="33" t="inlineStr">
        <is>
          <t>Swamp</t>
        </is>
      </c>
      <c r="J67" s="33" t="inlineStr">
        <is>
          <t>Swamp</t>
        </is>
      </c>
      <c r="K67" s="30" t="inlineStr">
        <is>
          <t>Fun Max</t>
        </is>
      </c>
      <c r="L67" s="31">
        <f>INDEX(B67:J67,MATCH(K67,$B$5:$J$5,0))</f>
        <v/>
      </c>
      <c r="M67" s="22">
        <f>IFERROR(VLOOKUP(L67,Prices!$A:$B,2,FALSE),0)</f>
        <v/>
      </c>
      <c r="N67" s="32">
        <f>IFERROR(INDEX('_why_2c'!$B63:$J63,MATCH(K67,$B$5:$J$5,0)),"")</f>
        <v/>
      </c>
    </row>
    <row r="68">
      <c r="A68" s="28" t="n">
        <v>63</v>
      </c>
      <c r="B68" s="13" t="inlineStr">
        <is>
          <t>Swamp</t>
        </is>
      </c>
      <c r="C68" s="13" t="inlineStr">
        <is>
          <t>Swamp</t>
        </is>
      </c>
      <c r="D68" s="13" t="inlineStr">
        <is>
          <t>Swamp</t>
        </is>
      </c>
      <c r="E68" s="13" t="inlineStr">
        <is>
          <t>Swamp</t>
        </is>
      </c>
      <c r="F68" s="13" t="inlineStr">
        <is>
          <t>Swamp</t>
        </is>
      </c>
      <c r="G68" s="13" t="inlineStr">
        <is>
          <t>Swamp</t>
        </is>
      </c>
      <c r="H68" s="13" t="inlineStr">
        <is>
          <t>Swamp</t>
        </is>
      </c>
      <c r="I68" s="13" t="inlineStr">
        <is>
          <t>Swamp</t>
        </is>
      </c>
      <c r="J68" s="13" t="inlineStr">
        <is>
          <t>Swamp</t>
        </is>
      </c>
      <c r="K68" s="30" t="inlineStr">
        <is>
          <t>Fun Max</t>
        </is>
      </c>
      <c r="L68" s="31">
        <f>INDEX(B68:J68,MATCH(K68,$B$5:$J$5,0))</f>
        <v/>
      </c>
      <c r="M68" s="22">
        <f>IFERROR(VLOOKUP(L68,Prices!$A:$B,2,FALSE),0)</f>
        <v/>
      </c>
      <c r="N68" s="32">
        <f>IFERROR(INDEX('_why_2c'!$B64:$J64,MATCH(K68,$B$5:$J$5,0)),"")</f>
        <v/>
      </c>
    </row>
    <row r="69">
      <c r="A69" s="28" t="n">
        <v>64</v>
      </c>
      <c r="B69" s="33" t="inlineStr">
        <is>
          <t>Command Tower</t>
        </is>
      </c>
      <c r="C69" s="33" t="inlineStr">
        <is>
          <t>Command Tower</t>
        </is>
      </c>
      <c r="D69" s="33" t="inlineStr">
        <is>
          <t>Command Tower</t>
        </is>
      </c>
      <c r="E69" s="33" t="inlineStr">
        <is>
          <t>Command Tower</t>
        </is>
      </c>
      <c r="F69" s="33" t="inlineStr">
        <is>
          <t>Command Tower</t>
        </is>
      </c>
      <c r="G69" s="33" t="inlineStr">
        <is>
          <t>Command Tower</t>
        </is>
      </c>
      <c r="H69" s="33" t="inlineStr">
        <is>
          <t>Command Tower</t>
        </is>
      </c>
      <c r="I69" s="34" t="inlineStr">
        <is>
          <t>Yavimaya Elder</t>
        </is>
      </c>
      <c r="J69" s="33" t="inlineStr">
        <is>
          <t>Command Tower</t>
        </is>
      </c>
      <c r="K69" s="30" t="inlineStr">
        <is>
          <t>Fun Max</t>
        </is>
      </c>
      <c r="L69" s="31">
        <f>INDEX(B69:J69,MATCH(K69,$B$5:$J$5,0))</f>
        <v/>
      </c>
      <c r="M69" s="22">
        <f>IFERROR(VLOOKUP(L69,Prices!$A:$B,2,FALSE),0)</f>
        <v/>
      </c>
      <c r="N69" s="32">
        <f>IFERROR(INDEX('_why_2c'!$B65:$J65,MATCH(K69,$B$5:$J$5,0)),"")</f>
        <v/>
      </c>
    </row>
    <row r="70">
      <c r="A70" s="28" t="n">
        <v>65</v>
      </c>
      <c r="B70" s="13" t="inlineStr">
        <is>
          <t>Exotic Orchard</t>
        </is>
      </c>
      <c r="C70" s="13" t="inlineStr">
        <is>
          <t>Exotic Orchard</t>
        </is>
      </c>
      <c r="D70" s="13" t="inlineStr">
        <is>
          <t>Exotic Orchard</t>
        </is>
      </c>
      <c r="E70" s="13" t="inlineStr">
        <is>
          <t>Exotic Orchard</t>
        </is>
      </c>
      <c r="F70" s="13" t="inlineStr">
        <is>
          <t>Exotic Orchard</t>
        </is>
      </c>
      <c r="G70" s="13" t="inlineStr">
        <is>
          <t>Exotic Orchard</t>
        </is>
      </c>
      <c r="H70" s="13" t="inlineStr">
        <is>
          <t>Exotic Orchard</t>
        </is>
      </c>
      <c r="I70" s="13" t="inlineStr">
        <is>
          <t>Exotic Orchard</t>
        </is>
      </c>
      <c r="J70" s="13" t="inlineStr">
        <is>
          <t>Exotic Orchard</t>
        </is>
      </c>
      <c r="K70" s="30" t="inlineStr">
        <is>
          <t>Fun Max</t>
        </is>
      </c>
      <c r="L70" s="31">
        <f>INDEX(B70:J70,MATCH(K70,$B$5:$J$5,0))</f>
        <v/>
      </c>
      <c r="M70" s="22">
        <f>IFERROR(VLOOKUP(L70,Prices!$A:$B,2,FALSE),0)</f>
        <v/>
      </c>
      <c r="N70" s="32">
        <f>IFERROR(INDEX('_why_2c'!$B66:$J66,MATCH(K70,$B$5:$J$5,0)),"")</f>
        <v/>
      </c>
    </row>
    <row r="71">
      <c r="A71" s="28" t="n">
        <v>66</v>
      </c>
      <c r="B71" s="33" t="inlineStr">
        <is>
          <t>Path of Ancestry</t>
        </is>
      </c>
      <c r="C71" s="33" t="inlineStr">
        <is>
          <t>Path of Ancestry</t>
        </is>
      </c>
      <c r="D71" s="33" t="inlineStr">
        <is>
          <t>Path of Ancestry</t>
        </is>
      </c>
      <c r="E71" s="33" t="inlineStr">
        <is>
          <t>Path of Ancestry</t>
        </is>
      </c>
      <c r="F71" s="33" t="inlineStr">
        <is>
          <t>Path of Ancestry</t>
        </is>
      </c>
      <c r="G71" s="33" t="inlineStr">
        <is>
          <t>Path of Ancestry</t>
        </is>
      </c>
      <c r="H71" s="33" t="inlineStr">
        <is>
          <t>Path of Ancestry</t>
        </is>
      </c>
      <c r="I71" s="33" t="inlineStr">
        <is>
          <t>Path of Ancestry</t>
        </is>
      </c>
      <c r="J71" s="33" t="inlineStr">
        <is>
          <t>Path of Ancestry</t>
        </is>
      </c>
      <c r="K71" s="30" t="inlineStr">
        <is>
          <t>Fun Max</t>
        </is>
      </c>
      <c r="L71" s="31">
        <f>INDEX(B71:J71,MATCH(K71,$B$5:$J$5,0))</f>
        <v/>
      </c>
      <c r="M71" s="22">
        <f>IFERROR(VLOOKUP(L71,Prices!$A:$B,2,FALSE),0)</f>
        <v/>
      </c>
      <c r="N71" s="32">
        <f>IFERROR(INDEX('_why_2c'!$B67:$J67,MATCH(K71,$B$5:$J$5,0)),"")</f>
        <v/>
      </c>
    </row>
    <row r="72">
      <c r="A72" s="28" t="n">
        <v>67</v>
      </c>
      <c r="B72" s="13" t="inlineStr">
        <is>
          <t>Opulent Palace</t>
        </is>
      </c>
      <c r="C72" s="13" t="inlineStr">
        <is>
          <t>Opulent Palace</t>
        </is>
      </c>
      <c r="D72" s="13" t="inlineStr">
        <is>
          <t>Opulent Palace</t>
        </is>
      </c>
      <c r="E72" s="13" t="inlineStr">
        <is>
          <t>Opulent Palace</t>
        </is>
      </c>
      <c r="F72" s="13" t="inlineStr">
        <is>
          <t>Opulent Palace</t>
        </is>
      </c>
      <c r="G72" s="13" t="inlineStr">
        <is>
          <t>Opulent Palace</t>
        </is>
      </c>
      <c r="H72" s="13" t="inlineStr">
        <is>
          <t>Opulent Palace</t>
        </is>
      </c>
      <c r="I72" s="13" t="inlineStr">
        <is>
          <t>Opulent Palace</t>
        </is>
      </c>
      <c r="J72" s="13" t="inlineStr">
        <is>
          <t>Opulent Palace</t>
        </is>
      </c>
      <c r="K72" s="30" t="inlineStr">
        <is>
          <t>Fun Max</t>
        </is>
      </c>
      <c r="L72" s="31">
        <f>INDEX(B72:J72,MATCH(K72,$B$5:$J$5,0))</f>
        <v/>
      </c>
      <c r="M72" s="22">
        <f>IFERROR(VLOOKUP(L72,Prices!$A:$B,2,FALSE),0)</f>
        <v/>
      </c>
      <c r="N72" s="32">
        <f>IFERROR(INDEX('_why_2c'!$B68:$J68,MATCH(K72,$B$5:$J$5,0)),"")</f>
        <v/>
      </c>
    </row>
    <row r="73">
      <c r="A73" s="28" t="n">
        <v>68</v>
      </c>
      <c r="B73" s="33" t="inlineStr">
        <is>
          <t>Sandsteppe Citadel</t>
        </is>
      </c>
      <c r="C73" s="33" t="inlineStr">
        <is>
          <t>Sandsteppe Citadel</t>
        </is>
      </c>
      <c r="D73" s="33" t="inlineStr">
        <is>
          <t>Sandsteppe Citadel</t>
        </is>
      </c>
      <c r="E73" s="33" t="inlineStr">
        <is>
          <t>Sandsteppe Citadel</t>
        </is>
      </c>
      <c r="F73" s="33" t="inlineStr">
        <is>
          <t>Sandsteppe Citadel</t>
        </is>
      </c>
      <c r="G73" s="33" t="inlineStr">
        <is>
          <t>Sandsteppe Citadel</t>
        </is>
      </c>
      <c r="H73" s="33" t="inlineStr">
        <is>
          <t>Sandsteppe Citadel</t>
        </is>
      </c>
      <c r="I73" s="34" t="inlineStr">
        <is>
          <t>Inexorable Tide</t>
        </is>
      </c>
      <c r="J73" s="33" t="inlineStr">
        <is>
          <t>Sandsteppe Citadel</t>
        </is>
      </c>
      <c r="K73" s="30" t="inlineStr">
        <is>
          <t>Fun Max</t>
        </is>
      </c>
      <c r="L73" s="31">
        <f>INDEX(B73:J73,MATCH(K73,$B$5:$J$5,0))</f>
        <v/>
      </c>
      <c r="M73" s="22">
        <f>IFERROR(VLOOKUP(L73,Prices!$A:$B,2,FALSE),0)</f>
        <v/>
      </c>
      <c r="N73" s="32">
        <f>IFERROR(INDEX('_why_2c'!$B69:$J69,MATCH(K73,$B$5:$J$5,0)),"")</f>
        <v/>
      </c>
    </row>
    <row r="74">
      <c r="A74" s="28" t="n">
        <v>69</v>
      </c>
      <c r="B74" s="13" t="inlineStr">
        <is>
          <t>Seaside Citadel</t>
        </is>
      </c>
      <c r="C74" s="13" t="inlineStr">
        <is>
          <t>Seaside Citadel</t>
        </is>
      </c>
      <c r="D74" s="13" t="inlineStr">
        <is>
          <t>Seaside Citadel</t>
        </is>
      </c>
      <c r="E74" s="13" t="inlineStr">
        <is>
          <t>Seaside Citadel</t>
        </is>
      </c>
      <c r="F74" s="13" t="inlineStr">
        <is>
          <t>Seaside Citadel</t>
        </is>
      </c>
      <c r="G74" s="13" t="inlineStr">
        <is>
          <t>Seaside Citadel</t>
        </is>
      </c>
      <c r="H74" s="13" t="inlineStr">
        <is>
          <t>Seaside Citadel</t>
        </is>
      </c>
      <c r="I74" s="29" t="inlineStr">
        <is>
          <t>Flux Channeler</t>
        </is>
      </c>
      <c r="J74" s="13" t="inlineStr">
        <is>
          <t>Seaside Citadel</t>
        </is>
      </c>
      <c r="K74" s="30" t="inlineStr">
        <is>
          <t>Fun Max</t>
        </is>
      </c>
      <c r="L74" s="31">
        <f>INDEX(B74:J74,MATCH(K74,$B$5:$J$5,0))</f>
        <v/>
      </c>
      <c r="M74" s="22">
        <f>IFERROR(VLOOKUP(L74,Prices!$A:$B,2,FALSE),0)</f>
        <v/>
      </c>
      <c r="N74" s="32">
        <f>IFERROR(INDEX('_why_2c'!$B70:$J70,MATCH(K74,$B$5:$J$5,0)),"")</f>
        <v/>
      </c>
    </row>
    <row r="75">
      <c r="A75" s="28" t="n">
        <v>70</v>
      </c>
      <c r="B75" s="33" t="inlineStr">
        <is>
          <t>Arcane Sanctum</t>
        </is>
      </c>
      <c r="C75" s="33" t="inlineStr">
        <is>
          <t>Arcane Sanctum</t>
        </is>
      </c>
      <c r="D75" s="33" t="inlineStr">
        <is>
          <t>Arcane Sanctum</t>
        </is>
      </c>
      <c r="E75" s="33" t="inlineStr">
        <is>
          <t>Arcane Sanctum</t>
        </is>
      </c>
      <c r="F75" s="33" t="inlineStr">
        <is>
          <t>Arcane Sanctum</t>
        </is>
      </c>
      <c r="G75" s="33" t="inlineStr">
        <is>
          <t>Arcane Sanctum</t>
        </is>
      </c>
      <c r="H75" s="33" t="inlineStr">
        <is>
          <t>Arcane Sanctum</t>
        </is>
      </c>
      <c r="I75" s="33" t="inlineStr">
        <is>
          <t>Arcane Sanctum</t>
        </is>
      </c>
      <c r="J75" s="33" t="inlineStr">
        <is>
          <t>Arcane Sanctum</t>
        </is>
      </c>
      <c r="K75" s="30" t="inlineStr">
        <is>
          <t>Fun Max</t>
        </is>
      </c>
      <c r="L75" s="31">
        <f>INDEX(B75:J75,MATCH(K75,$B$5:$J$5,0))</f>
        <v/>
      </c>
      <c r="M75" s="22">
        <f>IFERROR(VLOOKUP(L75,Prices!$A:$B,2,FALSE),0)</f>
        <v/>
      </c>
      <c r="N75" s="32">
        <f>IFERROR(INDEX('_why_2c'!$B71:$J71,MATCH(K75,$B$5:$J$5,0)),"")</f>
        <v/>
      </c>
    </row>
    <row r="76">
      <c r="A76" s="28" t="n">
        <v>71</v>
      </c>
      <c r="B76" s="13" t="inlineStr">
        <is>
          <t>Temple of Malady</t>
        </is>
      </c>
      <c r="C76" s="13" t="inlineStr">
        <is>
          <t>Temple of Malady</t>
        </is>
      </c>
      <c r="D76" s="13" t="inlineStr">
        <is>
          <t>Temple of Malady</t>
        </is>
      </c>
      <c r="E76" s="13" t="inlineStr">
        <is>
          <t>Temple of Malady</t>
        </is>
      </c>
      <c r="F76" s="13" t="inlineStr">
        <is>
          <t>Temple of Malady</t>
        </is>
      </c>
      <c r="G76" s="13" t="inlineStr">
        <is>
          <t>Temple of Malady</t>
        </is>
      </c>
      <c r="H76" s="13" t="inlineStr">
        <is>
          <t>Temple of Malady</t>
        </is>
      </c>
      <c r="I76" s="13" t="inlineStr">
        <is>
          <t>Temple of Malady</t>
        </is>
      </c>
      <c r="J76" s="13" t="inlineStr">
        <is>
          <t>Temple of Malady</t>
        </is>
      </c>
      <c r="K76" s="30" t="inlineStr">
        <is>
          <t>Fun Max</t>
        </is>
      </c>
      <c r="L76" s="31">
        <f>INDEX(B76:J76,MATCH(K76,$B$5:$J$5,0))</f>
        <v/>
      </c>
      <c r="M76" s="22">
        <f>IFERROR(VLOOKUP(L76,Prices!$A:$B,2,FALSE),0)</f>
        <v/>
      </c>
      <c r="N76" s="32">
        <f>IFERROR(INDEX('_why_2c'!$B72:$J72,MATCH(K76,$B$5:$J$5,0)),"")</f>
        <v/>
      </c>
    </row>
    <row r="77">
      <c r="A77" s="28" t="n">
        <v>72</v>
      </c>
      <c r="B77" s="33" t="inlineStr">
        <is>
          <t>Temple of Enlightenment</t>
        </is>
      </c>
      <c r="C77" s="33" t="inlineStr">
        <is>
          <t>Temple of Enlightenment</t>
        </is>
      </c>
      <c r="D77" s="33" t="inlineStr">
        <is>
          <t>Temple of Enlightenment</t>
        </is>
      </c>
      <c r="E77" s="33" t="inlineStr">
        <is>
          <t>Temple of Enlightenment</t>
        </is>
      </c>
      <c r="F77" s="33" t="inlineStr">
        <is>
          <t>Temple of Enlightenment</t>
        </is>
      </c>
      <c r="G77" s="33" t="inlineStr">
        <is>
          <t>Temple of Enlightenment</t>
        </is>
      </c>
      <c r="H77" s="33" t="inlineStr">
        <is>
          <t>Temple of Enlightenment</t>
        </is>
      </c>
      <c r="I77" s="33" t="inlineStr">
        <is>
          <t>Temple of Enlightenment</t>
        </is>
      </c>
      <c r="J77" s="33" t="inlineStr">
        <is>
          <t>Temple of Enlightenment</t>
        </is>
      </c>
      <c r="K77" s="30" t="inlineStr">
        <is>
          <t>Fun Max</t>
        </is>
      </c>
      <c r="L77" s="31">
        <f>INDEX(B77:J77,MATCH(K77,$B$5:$J$5,0))</f>
        <v/>
      </c>
      <c r="M77" s="22">
        <f>IFERROR(VLOOKUP(L77,Prices!$A:$B,2,FALSE),0)</f>
        <v/>
      </c>
      <c r="N77" s="32">
        <f>IFERROR(INDEX('_why_2c'!$B73:$J73,MATCH(K77,$B$5:$J$5,0)),"")</f>
        <v/>
      </c>
    </row>
    <row r="78">
      <c r="A78" s="28" t="n">
        <v>73</v>
      </c>
      <c r="B78" s="13" t="inlineStr">
        <is>
          <t>Bant Panorama</t>
        </is>
      </c>
      <c r="C78" s="13" t="inlineStr">
        <is>
          <t>Bant Panorama</t>
        </is>
      </c>
      <c r="D78" s="13" t="inlineStr">
        <is>
          <t>Bant Panorama</t>
        </is>
      </c>
      <c r="E78" s="13" t="inlineStr">
        <is>
          <t>Bant Panorama</t>
        </is>
      </c>
      <c r="F78" s="13" t="inlineStr">
        <is>
          <t>Bant Panorama</t>
        </is>
      </c>
      <c r="G78" s="13" t="inlineStr">
        <is>
          <t>Bant Panorama</t>
        </is>
      </c>
      <c r="H78" s="13" t="inlineStr">
        <is>
          <t>Bant Panorama</t>
        </is>
      </c>
      <c r="I78" s="13" t="inlineStr">
        <is>
          <t>Bant Panorama</t>
        </is>
      </c>
      <c r="J78" s="13" t="inlineStr">
        <is>
          <t>Bant Panorama</t>
        </is>
      </c>
      <c r="K78" s="30" t="inlineStr">
        <is>
          <t>Fun Max</t>
        </is>
      </c>
      <c r="L78" s="31">
        <f>INDEX(B78:J78,MATCH(K78,$B$5:$J$5,0))</f>
        <v/>
      </c>
      <c r="M78" s="22">
        <f>IFERROR(VLOOKUP(L78,Prices!$A:$B,2,FALSE),0)</f>
        <v/>
      </c>
      <c r="N78" s="32">
        <f>IFERROR(INDEX('_why_2c'!$B74:$J74,MATCH(K78,$B$5:$J$5,0)),"")</f>
        <v/>
      </c>
    </row>
    <row r="79">
      <c r="A79" s="28" t="n">
        <v>74</v>
      </c>
      <c r="B79" s="33" t="inlineStr">
        <is>
          <t>Esper Panorama</t>
        </is>
      </c>
      <c r="C79" s="33" t="inlineStr">
        <is>
          <t>Esper Panorama</t>
        </is>
      </c>
      <c r="D79" s="33" t="inlineStr">
        <is>
          <t>Esper Panorama</t>
        </is>
      </c>
      <c r="E79" s="33" t="inlineStr">
        <is>
          <t>Esper Panorama</t>
        </is>
      </c>
      <c r="F79" s="34" t="inlineStr">
        <is>
          <t>Cloudblazer</t>
        </is>
      </c>
      <c r="G79" s="34" t="inlineStr">
        <is>
          <t>Cloudblazer</t>
        </is>
      </c>
      <c r="H79" s="34" t="inlineStr">
        <is>
          <t>Cloudblazer</t>
        </is>
      </c>
      <c r="I79" s="34" t="inlineStr">
        <is>
          <t>Deepglow Skate</t>
        </is>
      </c>
      <c r="J79" s="34" t="inlineStr">
        <is>
          <t>Rhystic Study</t>
        </is>
      </c>
      <c r="K79" s="30" t="inlineStr">
        <is>
          <t>Fun Max</t>
        </is>
      </c>
      <c r="L79" s="31">
        <f>INDEX(B79:J79,MATCH(K79,$B$5:$J$5,0))</f>
        <v/>
      </c>
      <c r="M79" s="22">
        <f>IFERROR(VLOOKUP(L79,Prices!$A:$B,2,FALSE),0)</f>
        <v/>
      </c>
      <c r="N79" s="32">
        <f>IFERROR(INDEX('_why_2c'!$B75:$J75,MATCH(K79,$B$5:$J$5,0)),"")</f>
        <v/>
      </c>
    </row>
    <row r="80">
      <c r="A80" s="28" t="n">
        <v>75</v>
      </c>
      <c r="B80" s="13" t="inlineStr">
        <is>
          <t>Naya Panorama</t>
        </is>
      </c>
      <c r="C80" s="13" t="inlineStr">
        <is>
          <t>Naya Panorama</t>
        </is>
      </c>
      <c r="D80" s="13" t="inlineStr">
        <is>
          <t>Naya Panorama</t>
        </is>
      </c>
      <c r="E80" s="13" t="inlineStr">
        <is>
          <t>Naya Panorama</t>
        </is>
      </c>
      <c r="F80" s="29" t="inlineStr">
        <is>
          <t>Archfiend of Ifnir</t>
        </is>
      </c>
      <c r="G80" s="29" t="inlineStr">
        <is>
          <t>Archfiend of Ifnir</t>
        </is>
      </c>
      <c r="H80" s="29" t="inlineStr">
        <is>
          <t>Archfiend of Ifnir</t>
        </is>
      </c>
      <c r="I80" s="29" t="inlineStr">
        <is>
          <t>Karn's Bastion</t>
        </is>
      </c>
      <c r="J80" s="13" t="inlineStr">
        <is>
          <t>Naya Panorama</t>
        </is>
      </c>
      <c r="K80" s="30" t="inlineStr">
        <is>
          <t>Fun Max</t>
        </is>
      </c>
      <c r="L80" s="31">
        <f>INDEX(B80:J80,MATCH(K80,$B$5:$J$5,0))</f>
        <v/>
      </c>
      <c r="M80" s="22">
        <f>IFERROR(VLOOKUP(L80,Prices!$A:$B,2,FALSE),0)</f>
        <v/>
      </c>
      <c r="N80" s="32">
        <f>IFERROR(INDEX('_why_2c'!$B76:$J76,MATCH(K80,$B$5:$J$5,0)),"")</f>
        <v/>
      </c>
    </row>
    <row r="81">
      <c r="A81" s="28" t="n">
        <v>76</v>
      </c>
      <c r="B81" s="33" t="inlineStr">
        <is>
          <t>Terramorphic Expanse</t>
        </is>
      </c>
      <c r="C81" s="33" t="inlineStr">
        <is>
          <t>Terramorphic Expanse</t>
        </is>
      </c>
      <c r="D81" s="33" t="inlineStr">
        <is>
          <t>Terramorphic Expanse</t>
        </is>
      </c>
      <c r="E81" s="33" t="inlineStr">
        <is>
          <t>Terramorphic Expanse</t>
        </is>
      </c>
      <c r="F81" s="33" t="inlineStr">
        <is>
          <t>Terramorphic Expanse</t>
        </is>
      </c>
      <c r="G81" s="33" t="inlineStr">
        <is>
          <t>Terramorphic Expanse</t>
        </is>
      </c>
      <c r="H81" s="33" t="inlineStr">
        <is>
          <t>Terramorphic Expanse</t>
        </is>
      </c>
      <c r="I81" s="33" t="inlineStr">
        <is>
          <t>Terramorphic Expanse</t>
        </is>
      </c>
      <c r="J81" s="34" t="inlineStr">
        <is>
          <t>Consecrated Sphinx</t>
        </is>
      </c>
      <c r="K81" s="30" t="inlineStr">
        <is>
          <t>Fun Max</t>
        </is>
      </c>
      <c r="L81" s="31">
        <f>INDEX(B81:J81,MATCH(K81,$B$5:$J$5,0))</f>
        <v/>
      </c>
      <c r="M81" s="22">
        <f>IFERROR(VLOOKUP(L81,Prices!$A:$B,2,FALSE),0)</f>
        <v/>
      </c>
      <c r="N81" s="32">
        <f>IFERROR(INDEX('_why_2c'!$B77:$J77,MATCH(K81,$B$5:$J$5,0)),"")</f>
        <v/>
      </c>
    </row>
    <row r="82">
      <c r="A82" s="28" t="n">
        <v>77</v>
      </c>
      <c r="B82" s="13" t="inlineStr">
        <is>
          <t>Evolving Wilds</t>
        </is>
      </c>
      <c r="C82" s="13" t="inlineStr">
        <is>
          <t>Evolving Wilds</t>
        </is>
      </c>
      <c r="D82" s="13" t="inlineStr">
        <is>
          <t>Evolving Wilds</t>
        </is>
      </c>
      <c r="E82" s="13" t="inlineStr">
        <is>
          <t>Evolving Wilds</t>
        </is>
      </c>
      <c r="F82" s="13" t="inlineStr">
        <is>
          <t>Evolving Wilds</t>
        </is>
      </c>
      <c r="G82" s="13" t="inlineStr">
        <is>
          <t>Evolving Wilds</t>
        </is>
      </c>
      <c r="H82" s="13" t="inlineStr">
        <is>
          <t>Evolving Wilds</t>
        </is>
      </c>
      <c r="I82" s="13" t="inlineStr">
        <is>
          <t>Evolving Wilds</t>
        </is>
      </c>
      <c r="J82" s="13" t="inlineStr">
        <is>
          <t>Evolving Wilds</t>
        </is>
      </c>
      <c r="K82" s="30" t="inlineStr">
        <is>
          <t>Fun Max</t>
        </is>
      </c>
      <c r="L82" s="31">
        <f>INDEX(B82:J82,MATCH(K82,$B$5:$J$5,0))</f>
        <v/>
      </c>
      <c r="M82" s="22">
        <f>IFERROR(VLOOKUP(L82,Prices!$A:$B,2,FALSE),0)</f>
        <v/>
      </c>
      <c r="N82" s="32">
        <f>IFERROR(INDEX('_why_2c'!$B78:$J78,MATCH(K82,$B$5:$J$5,0)),"")</f>
        <v/>
      </c>
    </row>
    <row r="83">
      <c r="A83" s="28" t="n">
        <v>78</v>
      </c>
      <c r="B83" s="33" t="inlineStr">
        <is>
          <t>Bojuka Bog</t>
        </is>
      </c>
      <c r="C83" s="33" t="inlineStr">
        <is>
          <t>Bojuka Bog</t>
        </is>
      </c>
      <c r="D83" s="33" t="inlineStr">
        <is>
          <t>Bojuka Bog</t>
        </is>
      </c>
      <c r="E83" s="33" t="inlineStr">
        <is>
          <t>Bojuka Bog</t>
        </is>
      </c>
      <c r="F83" s="33" t="inlineStr">
        <is>
          <t>Bojuka Bog</t>
        </is>
      </c>
      <c r="G83" s="33" t="inlineStr">
        <is>
          <t>Bojuka Bog</t>
        </is>
      </c>
      <c r="H83" s="33" t="inlineStr">
        <is>
          <t>Bojuka Bog</t>
        </is>
      </c>
      <c r="I83" s="33" t="inlineStr">
        <is>
          <t>Bojuka Bog</t>
        </is>
      </c>
      <c r="J83" s="33" t="inlineStr">
        <is>
          <t>Bojuka Bog</t>
        </is>
      </c>
      <c r="K83" s="30" t="inlineStr">
        <is>
          <t>Fun Max</t>
        </is>
      </c>
      <c r="L83" s="31">
        <f>INDEX(B83:J83,MATCH(K83,$B$5:$J$5,0))</f>
        <v/>
      </c>
      <c r="M83" s="22">
        <f>IFERROR(VLOOKUP(L83,Prices!$A:$B,2,FALSE),0)</f>
        <v/>
      </c>
      <c r="N83" s="32">
        <f>IFERROR(INDEX('_why_2c'!$B79:$J79,MATCH(K83,$B$5:$J$5,0)),"")</f>
        <v/>
      </c>
    </row>
    <row r="84">
      <c r="A84" s="28" t="n">
        <v>79</v>
      </c>
      <c r="B84" s="13" t="inlineStr">
        <is>
          <t>Krosan Verge</t>
        </is>
      </c>
      <c r="C84" s="13" t="inlineStr">
        <is>
          <t>Krosan Verge</t>
        </is>
      </c>
      <c r="D84" s="13" t="inlineStr">
        <is>
          <t>Krosan Verge</t>
        </is>
      </c>
      <c r="E84" s="13" t="inlineStr">
        <is>
          <t>Krosan Verge</t>
        </is>
      </c>
      <c r="F84" s="13" t="inlineStr">
        <is>
          <t>Krosan Verge</t>
        </is>
      </c>
      <c r="G84" s="13" t="inlineStr">
        <is>
          <t>Krosan Verge</t>
        </is>
      </c>
      <c r="H84" s="13" t="inlineStr">
        <is>
          <t>Krosan Verge</t>
        </is>
      </c>
      <c r="I84" s="13" t="inlineStr">
        <is>
          <t>Krosan Verge</t>
        </is>
      </c>
      <c r="J84" s="13" t="inlineStr">
        <is>
          <t>Krosan Verge</t>
        </is>
      </c>
      <c r="K84" s="30" t="inlineStr">
        <is>
          <t>Fun Max</t>
        </is>
      </c>
      <c r="L84" s="31">
        <f>INDEX(B84:J84,MATCH(K84,$B$5:$J$5,0))</f>
        <v/>
      </c>
      <c r="M84" s="22">
        <f>IFERROR(VLOOKUP(L84,Prices!$A:$B,2,FALSE),0)</f>
        <v/>
      </c>
      <c r="N84" s="32">
        <f>IFERROR(INDEX('_why_2c'!$B80:$J80,MATCH(K84,$B$5:$J$5,0)),"")</f>
        <v/>
      </c>
    </row>
    <row r="85">
      <c r="A85" s="28" t="n">
        <v>80</v>
      </c>
      <c r="B85" s="33" t="inlineStr">
        <is>
          <t>Thornwood Falls</t>
        </is>
      </c>
      <c r="C85" s="33" t="inlineStr">
        <is>
          <t>Thornwood Falls</t>
        </is>
      </c>
      <c r="D85" s="33" t="inlineStr">
        <is>
          <t>Thornwood Falls</t>
        </is>
      </c>
      <c r="E85" s="33" t="inlineStr">
        <is>
          <t>Thornwood Falls</t>
        </is>
      </c>
      <c r="F85" s="33" t="inlineStr">
        <is>
          <t>Thornwood Falls</t>
        </is>
      </c>
      <c r="G85" s="33" t="inlineStr">
        <is>
          <t>Thornwood Falls</t>
        </is>
      </c>
      <c r="H85" s="33" t="inlineStr">
        <is>
          <t>Thornwood Falls</t>
        </is>
      </c>
      <c r="I85" s="33" t="inlineStr">
        <is>
          <t>Thornwood Falls</t>
        </is>
      </c>
      <c r="J85" s="33" t="inlineStr">
        <is>
          <t>Thornwood Falls</t>
        </is>
      </c>
      <c r="K85" s="30" t="inlineStr">
        <is>
          <t>Fun Max</t>
        </is>
      </c>
      <c r="L85" s="31">
        <f>INDEX(B85:J85,MATCH(K85,$B$5:$J$5,0))</f>
        <v/>
      </c>
      <c r="M85" s="22">
        <f>IFERROR(VLOOKUP(L85,Prices!$A:$B,2,FALSE),0)</f>
        <v/>
      </c>
      <c r="N85" s="32">
        <f>IFERROR(INDEX('_why_2c'!$B81:$J81,MATCH(K85,$B$5:$J$5,0)),"")</f>
        <v/>
      </c>
    </row>
    <row r="86">
      <c r="A86" s="28" t="n">
        <v>81</v>
      </c>
      <c r="B86" s="13" t="inlineStr">
        <is>
          <t>Dismal Backwater</t>
        </is>
      </c>
      <c r="C86" s="13" t="inlineStr">
        <is>
          <t>Dismal Backwater</t>
        </is>
      </c>
      <c r="D86" s="13" t="inlineStr">
        <is>
          <t>Dismal Backwater</t>
        </is>
      </c>
      <c r="E86" s="13" t="inlineStr">
        <is>
          <t>Dismal Backwater</t>
        </is>
      </c>
      <c r="F86" s="13" t="inlineStr">
        <is>
          <t>Dismal Backwater</t>
        </is>
      </c>
      <c r="G86" s="13" t="inlineStr">
        <is>
          <t>Dismal Backwater</t>
        </is>
      </c>
      <c r="H86" s="13" t="inlineStr">
        <is>
          <t>Dismal Backwater</t>
        </is>
      </c>
      <c r="I86" s="13" t="inlineStr">
        <is>
          <t>Dismal Backwater</t>
        </is>
      </c>
      <c r="J86" s="13" t="inlineStr">
        <is>
          <t>Dismal Backwater</t>
        </is>
      </c>
      <c r="K86" s="30" t="inlineStr">
        <is>
          <t>Fun Max</t>
        </is>
      </c>
      <c r="L86" s="31">
        <f>INDEX(B86:J86,MATCH(K86,$B$5:$J$5,0))</f>
        <v/>
      </c>
      <c r="M86" s="22">
        <f>IFERROR(VLOOKUP(L86,Prices!$A:$B,2,FALSE),0)</f>
        <v/>
      </c>
      <c r="N86" s="32">
        <f>IFERROR(INDEX('_why_2c'!$B82:$J82,MATCH(K86,$B$5:$J$5,0)),"")</f>
        <v/>
      </c>
    </row>
    <row r="87">
      <c r="A87" s="28" t="n">
        <v>82</v>
      </c>
      <c r="B87" s="33" t="inlineStr">
        <is>
          <t>Blossoming Sands</t>
        </is>
      </c>
      <c r="C87" s="33" t="inlineStr">
        <is>
          <t>Blossoming Sands</t>
        </is>
      </c>
      <c r="D87" s="33" t="inlineStr">
        <is>
          <t>Blossoming Sands</t>
        </is>
      </c>
      <c r="E87" s="33" t="inlineStr">
        <is>
          <t>Blossoming Sands</t>
        </is>
      </c>
      <c r="F87" s="33" t="inlineStr">
        <is>
          <t>Blossoming Sands</t>
        </is>
      </c>
      <c r="G87" s="33" t="inlineStr">
        <is>
          <t>Blossoming Sands</t>
        </is>
      </c>
      <c r="H87" s="33" t="inlineStr">
        <is>
          <t>Blossoming Sands</t>
        </is>
      </c>
      <c r="I87" s="33" t="inlineStr">
        <is>
          <t>Blossoming Sands</t>
        </is>
      </c>
      <c r="J87" s="33" t="inlineStr">
        <is>
          <t>Blossoming Sands</t>
        </is>
      </c>
      <c r="K87" s="30" t="inlineStr">
        <is>
          <t>Fun Max</t>
        </is>
      </c>
      <c r="L87" s="31">
        <f>INDEX(B87:J87,MATCH(K87,$B$5:$J$5,0))</f>
        <v/>
      </c>
      <c r="M87" s="22">
        <f>IFERROR(VLOOKUP(L87,Prices!$A:$B,2,FALSE),0)</f>
        <v/>
      </c>
      <c r="N87" s="32">
        <f>IFERROR(INDEX('_why_2c'!$B83:$J83,MATCH(K87,$B$5:$J$5,0)),"")</f>
        <v/>
      </c>
    </row>
    <row r="88">
      <c r="A88" s="28" t="n">
        <v>83</v>
      </c>
      <c r="B88" s="13" t="inlineStr">
        <is>
          <t>Jungle Hollow</t>
        </is>
      </c>
      <c r="C88" s="13" t="inlineStr">
        <is>
          <t>Jungle Hollow</t>
        </is>
      </c>
      <c r="D88" s="13" t="inlineStr">
        <is>
          <t>Jungle Hollow</t>
        </is>
      </c>
      <c r="E88" s="13" t="inlineStr">
        <is>
          <t>Jungle Hollow</t>
        </is>
      </c>
      <c r="F88" s="13" t="inlineStr">
        <is>
          <t>Jungle Hollow</t>
        </is>
      </c>
      <c r="G88" s="13" t="inlineStr">
        <is>
          <t>Jungle Hollow</t>
        </is>
      </c>
      <c r="H88" s="13" t="inlineStr">
        <is>
          <t>Jungle Hollow</t>
        </is>
      </c>
      <c r="I88" s="13" t="inlineStr">
        <is>
          <t>Jungle Hollow</t>
        </is>
      </c>
      <c r="J88" s="13" t="inlineStr">
        <is>
          <t>Jungle Hollow</t>
        </is>
      </c>
      <c r="K88" s="30" t="inlineStr">
        <is>
          <t>Fun Max</t>
        </is>
      </c>
      <c r="L88" s="31">
        <f>INDEX(B88:J88,MATCH(K88,$B$5:$J$5,0))</f>
        <v/>
      </c>
      <c r="M88" s="22">
        <f>IFERROR(VLOOKUP(L88,Prices!$A:$B,2,FALSE),0)</f>
        <v/>
      </c>
      <c r="N88" s="32">
        <f>IFERROR(INDEX('_why_2c'!$B84:$J84,MATCH(K88,$B$5:$J$5,0)),"")</f>
        <v/>
      </c>
    </row>
    <row r="89">
      <c r="A89" s="28" t="n">
        <v>84</v>
      </c>
      <c r="B89" s="33" t="inlineStr">
        <is>
          <t>Scoured Barrens</t>
        </is>
      </c>
      <c r="C89" s="33" t="inlineStr">
        <is>
          <t>Scoured Barrens</t>
        </is>
      </c>
      <c r="D89" s="33" t="inlineStr">
        <is>
          <t>Scoured Barrens</t>
        </is>
      </c>
      <c r="E89" s="33" t="inlineStr">
        <is>
          <t>Scoured Barrens</t>
        </is>
      </c>
      <c r="F89" s="33" t="inlineStr">
        <is>
          <t>Scoured Barrens</t>
        </is>
      </c>
      <c r="G89" s="33" t="inlineStr">
        <is>
          <t>Scoured Barrens</t>
        </is>
      </c>
      <c r="H89" s="33" t="inlineStr">
        <is>
          <t>Scoured Barrens</t>
        </is>
      </c>
      <c r="I89" s="33" t="inlineStr">
        <is>
          <t>Scoured Barrens</t>
        </is>
      </c>
      <c r="J89" s="34" t="inlineStr">
        <is>
          <t>Doubling Season</t>
        </is>
      </c>
      <c r="K89" s="30" t="inlineStr">
        <is>
          <t>Fun Max</t>
        </is>
      </c>
      <c r="L89" s="31">
        <f>INDEX(B89:J89,MATCH(K89,$B$5:$J$5,0))</f>
        <v/>
      </c>
      <c r="M89" s="22">
        <f>IFERROR(VLOOKUP(L89,Prices!$A:$B,2,FALSE),0)</f>
        <v/>
      </c>
      <c r="N89" s="32">
        <f>IFERROR(INDEX('_why_2c'!$B85:$J85,MATCH(K89,$B$5:$J$5,0)),"")</f>
        <v/>
      </c>
    </row>
    <row r="90">
      <c r="A90" s="28" t="n">
        <v>85</v>
      </c>
      <c r="B90" s="13" t="inlineStr">
        <is>
          <t>Simic Growth Chamber</t>
        </is>
      </c>
      <c r="C90" s="13" t="inlineStr">
        <is>
          <t>Simic Growth Chamber</t>
        </is>
      </c>
      <c r="D90" s="13" t="inlineStr">
        <is>
          <t>Simic Growth Chamber</t>
        </is>
      </c>
      <c r="E90" s="13" t="inlineStr">
        <is>
          <t>Simic Growth Chamber</t>
        </is>
      </c>
      <c r="F90" s="29" t="inlineStr">
        <is>
          <t>Wavesifter</t>
        </is>
      </c>
      <c r="G90" s="29" t="inlineStr">
        <is>
          <t>Wavesifter</t>
        </is>
      </c>
      <c r="H90" s="29" t="inlineStr">
        <is>
          <t>Wavesifter</t>
        </is>
      </c>
      <c r="I90" s="13" t="inlineStr">
        <is>
          <t>Simic Growth Chamber</t>
        </is>
      </c>
      <c r="J90" s="13" t="inlineStr">
        <is>
          <t>Simic Growth Chamber</t>
        </is>
      </c>
      <c r="K90" s="30" t="inlineStr">
        <is>
          <t>Fun Max</t>
        </is>
      </c>
      <c r="L90" s="31">
        <f>INDEX(B90:J90,MATCH(K90,$B$5:$J$5,0))</f>
        <v/>
      </c>
      <c r="M90" s="22">
        <f>IFERROR(VLOOKUP(L90,Prices!$A:$B,2,FALSE),0)</f>
        <v/>
      </c>
      <c r="N90" s="32">
        <f>IFERROR(INDEX('_why_2c'!$B86:$J86,MATCH(K90,$B$5:$J$5,0)),"")</f>
        <v/>
      </c>
    </row>
    <row r="91">
      <c r="A91" s="28" t="n">
        <v>86</v>
      </c>
      <c r="B91" s="33" t="inlineStr">
        <is>
          <t>Golgari Rot Farm</t>
        </is>
      </c>
      <c r="C91" s="33" t="inlineStr">
        <is>
          <t>Golgari Rot Farm</t>
        </is>
      </c>
      <c r="D91" s="33" t="inlineStr">
        <is>
          <t>Golgari Rot Farm</t>
        </is>
      </c>
      <c r="E91" s="33" t="inlineStr">
        <is>
          <t>Golgari Rot Farm</t>
        </is>
      </c>
      <c r="F91" s="33" t="inlineStr">
        <is>
          <t>Golgari Rot Farm</t>
        </is>
      </c>
      <c r="G91" s="33" t="inlineStr">
        <is>
          <t>Golgari Rot Farm</t>
        </is>
      </c>
      <c r="H91" s="33" t="inlineStr">
        <is>
          <t>Golgari Rot Farm</t>
        </is>
      </c>
      <c r="I91" s="33" t="inlineStr">
        <is>
          <t>Golgari Rot Farm</t>
        </is>
      </c>
      <c r="J91" s="33" t="inlineStr">
        <is>
          <t>Golgari Rot Farm</t>
        </is>
      </c>
      <c r="K91" s="30" t="inlineStr">
        <is>
          <t>Fun Max</t>
        </is>
      </c>
      <c r="L91" s="31">
        <f>INDEX(B91:J91,MATCH(K91,$B$5:$J$5,0))</f>
        <v/>
      </c>
      <c r="M91" s="22">
        <f>IFERROR(VLOOKUP(L91,Prices!$A:$B,2,FALSE),0)</f>
        <v/>
      </c>
      <c r="N91" s="32">
        <f>IFERROR(INDEX('_why_2c'!$B87:$J87,MATCH(K91,$B$5:$J$5,0)),"")</f>
        <v/>
      </c>
    </row>
    <row r="92">
      <c r="A92" s="28" t="n">
        <v>87</v>
      </c>
      <c r="B92" s="13" t="inlineStr">
        <is>
          <t>Azorius Chancery</t>
        </is>
      </c>
      <c r="C92" s="13" t="inlineStr">
        <is>
          <t>Azorius Chancery</t>
        </is>
      </c>
      <c r="D92" s="13" t="inlineStr">
        <is>
          <t>Azorius Chancery</t>
        </is>
      </c>
      <c r="E92" s="13" t="inlineStr">
        <is>
          <t>Azorius Chancery</t>
        </is>
      </c>
      <c r="F92" s="13" t="inlineStr">
        <is>
          <t>Azorius Chancery</t>
        </is>
      </c>
      <c r="G92" s="13" t="inlineStr">
        <is>
          <t>Azorius Chancery</t>
        </is>
      </c>
      <c r="H92" s="13" t="inlineStr">
        <is>
          <t>Azorius Chancery</t>
        </is>
      </c>
      <c r="I92" s="13" t="inlineStr">
        <is>
          <t>Azorius Chancery</t>
        </is>
      </c>
      <c r="J92" s="13" t="inlineStr">
        <is>
          <t>Azorius Chancery</t>
        </is>
      </c>
      <c r="K92" s="30" t="inlineStr">
        <is>
          <t>Fun Max</t>
        </is>
      </c>
      <c r="L92" s="31">
        <f>INDEX(B92:J92,MATCH(K92,$B$5:$J$5,0))</f>
        <v/>
      </c>
      <c r="M92" s="22">
        <f>IFERROR(VLOOKUP(L92,Prices!$A:$B,2,FALSE),0)</f>
        <v/>
      </c>
      <c r="N92" s="32">
        <f>IFERROR(INDEX('_why_2c'!$B88:$J88,MATCH(K92,$B$5:$J$5,0)),"")</f>
        <v/>
      </c>
    </row>
    <row r="93">
      <c r="A93" s="28" t="n">
        <v>88</v>
      </c>
      <c r="B93" s="33" t="inlineStr">
        <is>
          <t>Orzhov Basilica</t>
        </is>
      </c>
      <c r="C93" s="33" t="inlineStr">
        <is>
          <t>Orzhov Basilica</t>
        </is>
      </c>
      <c r="D93" s="33" t="inlineStr">
        <is>
          <t>Orzhov Basilica</t>
        </is>
      </c>
      <c r="E93" s="33" t="inlineStr">
        <is>
          <t>Orzhov Basilica</t>
        </is>
      </c>
      <c r="F93" s="33" t="inlineStr">
        <is>
          <t>Orzhov Basilica</t>
        </is>
      </c>
      <c r="G93" s="33" t="inlineStr">
        <is>
          <t>Orzhov Basilica</t>
        </is>
      </c>
      <c r="H93" s="33" t="inlineStr">
        <is>
          <t>Orzhov Basilica</t>
        </is>
      </c>
      <c r="I93" s="33" t="inlineStr">
        <is>
          <t>Orzhov Basilica</t>
        </is>
      </c>
      <c r="J93" s="34" t="inlineStr">
        <is>
          <t>The Chain Veil</t>
        </is>
      </c>
      <c r="K93" s="30" t="inlineStr">
        <is>
          <t>Fun Max</t>
        </is>
      </c>
      <c r="L93" s="31">
        <f>INDEX(B93:J93,MATCH(K93,$B$5:$J$5,0))</f>
        <v/>
      </c>
      <c r="M93" s="22">
        <f>IFERROR(VLOOKUP(L93,Prices!$A:$B,2,FALSE),0)</f>
        <v/>
      </c>
      <c r="N93" s="32">
        <f>IFERROR(INDEX('_why_2c'!$B89:$J89,MATCH(K93,$B$5:$J$5,0)),"")</f>
        <v/>
      </c>
    </row>
    <row r="94">
      <c r="A94" s="28" t="n">
        <v>89</v>
      </c>
      <c r="B94" s="13" t="inlineStr">
        <is>
          <t>Woodland Cemetery</t>
        </is>
      </c>
      <c r="C94" s="13" t="inlineStr">
        <is>
          <t>Woodland Cemetery</t>
        </is>
      </c>
      <c r="D94" s="13" t="inlineStr">
        <is>
          <t>Woodland Cemetery</t>
        </is>
      </c>
      <c r="E94" s="13" t="inlineStr">
        <is>
          <t>Woodland Cemetery</t>
        </is>
      </c>
      <c r="F94" s="29" t="inlineStr">
        <is>
          <t>Gollum, Riddle Master</t>
        </is>
      </c>
      <c r="G94" s="29" t="inlineStr">
        <is>
          <t>Gollum, Riddle Master</t>
        </is>
      </c>
      <c r="H94" s="29" t="inlineStr">
        <is>
          <t>Gollum, Riddle Master</t>
        </is>
      </c>
      <c r="I94" s="13" t="inlineStr">
        <is>
          <t>Woodland Cemetery</t>
        </is>
      </c>
      <c r="J94" s="13" t="inlineStr">
        <is>
          <t>Woodland Cemetery</t>
        </is>
      </c>
      <c r="K94" s="30" t="inlineStr">
        <is>
          <t>Fun Max</t>
        </is>
      </c>
      <c r="L94" s="31">
        <f>INDEX(B94:J94,MATCH(K94,$B$5:$J$5,0))</f>
        <v/>
      </c>
      <c r="M94" s="22">
        <f>IFERROR(VLOOKUP(L94,Prices!$A:$B,2,FALSE),0)</f>
        <v/>
      </c>
      <c r="N94" s="32">
        <f>IFERROR(INDEX('_why_2c'!$B90:$J90,MATCH(K94,$B$5:$J$5,0)),"")</f>
        <v/>
      </c>
    </row>
    <row r="95">
      <c r="A95" s="28" t="n">
        <v>90</v>
      </c>
      <c r="B95" s="33" t="inlineStr">
        <is>
          <t>Hinterland Harbor</t>
        </is>
      </c>
      <c r="C95" s="33" t="inlineStr">
        <is>
          <t>Hinterland Harbor</t>
        </is>
      </c>
      <c r="D95" s="33" t="inlineStr">
        <is>
          <t>Hinterland Harbor</t>
        </is>
      </c>
      <c r="E95" s="33" t="inlineStr">
        <is>
          <t>Hinterland Harbor</t>
        </is>
      </c>
      <c r="F95" s="33" t="inlineStr">
        <is>
          <t>Hinterland Harbor</t>
        </is>
      </c>
      <c r="G95" s="33" t="inlineStr">
        <is>
          <t>Hinterland Harbor</t>
        </is>
      </c>
      <c r="H95" s="33" t="inlineStr">
        <is>
          <t>Hinterland Harbor</t>
        </is>
      </c>
      <c r="I95" s="33" t="inlineStr">
        <is>
          <t>Hinterland Harbor</t>
        </is>
      </c>
      <c r="J95" s="33" t="inlineStr">
        <is>
          <t>Hinterland Harbor</t>
        </is>
      </c>
      <c r="K95" s="30" t="inlineStr">
        <is>
          <t>Fun Max</t>
        </is>
      </c>
      <c r="L95" s="31">
        <f>INDEX(B95:J95,MATCH(K95,$B$5:$J$5,0))</f>
        <v/>
      </c>
      <c r="M95" s="22">
        <f>IFERROR(VLOOKUP(L95,Prices!$A:$B,2,FALSE),0)</f>
        <v/>
      </c>
      <c r="N95" s="32">
        <f>IFERROR(INDEX('_why_2c'!$B91:$J91,MATCH(K95,$B$5:$J$5,0)),"")</f>
        <v/>
      </c>
    </row>
    <row r="96">
      <c r="A96" s="28" t="n">
        <v>91</v>
      </c>
      <c r="B96" s="13" t="inlineStr">
        <is>
          <t>Isolated Chapel</t>
        </is>
      </c>
      <c r="C96" s="13" t="inlineStr">
        <is>
          <t>Isolated Chapel</t>
        </is>
      </c>
      <c r="D96" s="13" t="inlineStr">
        <is>
          <t>Isolated Chapel</t>
        </is>
      </c>
      <c r="E96" s="13" t="inlineStr">
        <is>
          <t>Isolated Chapel</t>
        </is>
      </c>
      <c r="F96" s="13" t="inlineStr">
        <is>
          <t>Isolated Chapel</t>
        </is>
      </c>
      <c r="G96" s="13" t="inlineStr">
        <is>
          <t>Isolated Chapel</t>
        </is>
      </c>
      <c r="H96" s="13" t="inlineStr">
        <is>
          <t>Isolated Chapel</t>
        </is>
      </c>
      <c r="I96" s="13" t="inlineStr">
        <is>
          <t>Isolated Chapel</t>
        </is>
      </c>
      <c r="J96" s="13" t="inlineStr">
        <is>
          <t>Isolated Chapel</t>
        </is>
      </c>
      <c r="K96" s="30" t="inlineStr">
        <is>
          <t>Fun Max</t>
        </is>
      </c>
      <c r="L96" s="31">
        <f>INDEX(B96:J96,MATCH(K96,$B$5:$J$5,0))</f>
        <v/>
      </c>
      <c r="M96" s="22">
        <f>IFERROR(VLOOKUP(L96,Prices!$A:$B,2,FALSE),0)</f>
        <v/>
      </c>
      <c r="N96" s="32">
        <f>IFERROR(INDEX('_why_2c'!$B92:$J92,MATCH(K96,$B$5:$J$5,0)),"")</f>
        <v/>
      </c>
    </row>
    <row r="97">
      <c r="A97" s="28" t="n">
        <v>92</v>
      </c>
      <c r="B97" s="33" t="inlineStr">
        <is>
          <t>Sunpetal Grove</t>
        </is>
      </c>
      <c r="C97" s="33" t="inlineStr">
        <is>
          <t>Sunpetal Grove</t>
        </is>
      </c>
      <c r="D97" s="33" t="inlineStr">
        <is>
          <t>Sunpetal Grove</t>
        </is>
      </c>
      <c r="E97" s="33" t="inlineStr">
        <is>
          <t>Sunpetal Grove</t>
        </is>
      </c>
      <c r="F97" s="33" t="inlineStr">
        <is>
          <t>Sunpetal Grove</t>
        </is>
      </c>
      <c r="G97" s="33" t="inlineStr">
        <is>
          <t>Sunpetal Grove</t>
        </is>
      </c>
      <c r="H97" s="33" t="inlineStr">
        <is>
          <t>Sunpetal Grove</t>
        </is>
      </c>
      <c r="I97" s="33" t="inlineStr">
        <is>
          <t>Sunpetal Grove</t>
        </is>
      </c>
      <c r="J97" s="34" t="inlineStr">
        <is>
          <t>Vorinclex, Monstrous Raider</t>
        </is>
      </c>
      <c r="K97" s="30" t="inlineStr">
        <is>
          <t>Fun Max</t>
        </is>
      </c>
      <c r="L97" s="31">
        <f>INDEX(B97:J97,MATCH(K97,$B$5:$J$5,0))</f>
        <v/>
      </c>
      <c r="M97" s="22">
        <f>IFERROR(VLOOKUP(L97,Prices!$A:$B,2,FALSE),0)</f>
        <v/>
      </c>
      <c r="N97" s="32">
        <f>IFERROR(INDEX('_why_2c'!$B93:$J93,MATCH(K97,$B$5:$J$5,0)),"")</f>
        <v/>
      </c>
    </row>
    <row r="98">
      <c r="A98" s="28" t="n">
        <v>93</v>
      </c>
      <c r="B98" s="13" t="inlineStr">
        <is>
          <t>Drowned Catacomb</t>
        </is>
      </c>
      <c r="C98" s="13" t="inlineStr">
        <is>
          <t>Drowned Catacomb</t>
        </is>
      </c>
      <c r="D98" s="13" t="inlineStr">
        <is>
          <t>Drowned Catacomb</t>
        </is>
      </c>
      <c r="E98" s="13" t="inlineStr">
        <is>
          <t>Drowned Catacomb</t>
        </is>
      </c>
      <c r="F98" s="13" t="inlineStr">
        <is>
          <t>Drowned Catacomb</t>
        </is>
      </c>
      <c r="G98" s="13" t="inlineStr">
        <is>
          <t>Drowned Catacomb</t>
        </is>
      </c>
      <c r="H98" s="13" t="inlineStr">
        <is>
          <t>Drowned Catacomb</t>
        </is>
      </c>
      <c r="I98" s="13" t="inlineStr">
        <is>
          <t>Drowned Catacomb</t>
        </is>
      </c>
      <c r="J98" s="13" t="inlineStr">
        <is>
          <t>Drowned Catacomb</t>
        </is>
      </c>
      <c r="K98" s="30" t="inlineStr">
        <is>
          <t>Fun Max</t>
        </is>
      </c>
      <c r="L98" s="31">
        <f>INDEX(B98:J98,MATCH(K98,$B$5:$J$5,0))</f>
        <v/>
      </c>
      <c r="M98" s="22">
        <f>IFERROR(VLOOKUP(L98,Prices!$A:$B,2,FALSE),0)</f>
        <v/>
      </c>
      <c r="N98" s="32">
        <f>IFERROR(INDEX('_why_2c'!$B94:$J94,MATCH(K98,$B$5:$J$5,0)),"")</f>
        <v/>
      </c>
    </row>
    <row r="99">
      <c r="A99" s="28" t="n">
        <v>94</v>
      </c>
      <c r="B99" s="33" t="inlineStr">
        <is>
          <t>Atraxa, Praetors' Voice</t>
        </is>
      </c>
      <c r="C99" s="33" t="inlineStr">
        <is>
          <t>Atraxa, Praetors' Voice</t>
        </is>
      </c>
      <c r="D99" s="33" t="inlineStr">
        <is>
          <t>Atraxa, Praetors' Voice</t>
        </is>
      </c>
      <c r="E99" s="33" t="inlineStr">
        <is>
          <t>Atraxa, Praetors' Voice</t>
        </is>
      </c>
      <c r="F99" s="33" t="inlineStr">
        <is>
          <t>Atraxa, Praetors' Voice</t>
        </is>
      </c>
      <c r="G99" s="33" t="inlineStr">
        <is>
          <t>Atraxa, Praetors' Voice</t>
        </is>
      </c>
      <c r="H99" s="33" t="inlineStr">
        <is>
          <t>Atraxa, Praetors' Voice</t>
        </is>
      </c>
      <c r="I99" s="33" t="inlineStr">
        <is>
          <t>Atraxa, Praetors' Voice</t>
        </is>
      </c>
      <c r="J99" s="33" t="inlineStr">
        <is>
          <t>Atraxa, Praetors' Voice</t>
        </is>
      </c>
      <c r="K99" s="30" t="inlineStr">
        <is>
          <t>Fun Max</t>
        </is>
      </c>
      <c r="L99" s="31">
        <f>INDEX(B99:J99,MATCH(K99,$B$5:$J$5,0))</f>
        <v/>
      </c>
      <c r="M99" s="22">
        <f>IFERROR(VLOOKUP(L99,Prices!$A:$B,2,FALSE),0)</f>
        <v/>
      </c>
      <c r="N99" s="32">
        <f>IFERROR(INDEX('_why_2c'!$B95:$J95,MATCH(K99,$B$5:$J$5,0)),"")</f>
        <v/>
      </c>
    </row>
    <row r="100">
      <c r="A100" s="28" t="n">
        <v>95</v>
      </c>
      <c r="B100" s="13" t="inlineStr">
        <is>
          <t>Hardened Scales</t>
        </is>
      </c>
      <c r="C100" s="13" t="inlineStr">
        <is>
          <t>Hardened Scales</t>
        </is>
      </c>
      <c r="D100" s="13" t="inlineStr">
        <is>
          <t>Hardened Scales</t>
        </is>
      </c>
      <c r="E100" s="13" t="inlineStr">
        <is>
          <t>Hardened Scales</t>
        </is>
      </c>
      <c r="F100" s="13" t="inlineStr">
        <is>
          <t>Hardened Scales</t>
        </is>
      </c>
      <c r="G100" s="13" t="inlineStr">
        <is>
          <t>Hardened Scales</t>
        </is>
      </c>
      <c r="H100" s="13" t="inlineStr">
        <is>
          <t>Hardened Scales</t>
        </is>
      </c>
      <c r="I100" s="13" t="inlineStr">
        <is>
          <t>Hardened Scales</t>
        </is>
      </c>
      <c r="J100" s="13" t="inlineStr">
        <is>
          <t>Hardened Scales</t>
        </is>
      </c>
      <c r="K100" s="30" t="inlineStr">
        <is>
          <t>Fun Max</t>
        </is>
      </c>
      <c r="L100" s="31">
        <f>INDEX(B100:J100,MATCH(K100,$B$5:$J$5,0))</f>
        <v/>
      </c>
      <c r="M100" s="22">
        <f>IFERROR(VLOOKUP(L100,Prices!$A:$B,2,FALSE),0)</f>
        <v/>
      </c>
      <c r="N100" s="32">
        <f>IFERROR(INDEX('_why_2c'!$B96:$J96,MATCH(K100,$B$5:$J$5,0)),"")</f>
        <v/>
      </c>
    </row>
    <row r="101">
      <c r="A101" s="28" t="n">
        <v>96</v>
      </c>
      <c r="B101" s="33" t="inlineStr">
        <is>
          <t>Kami of Whispered Hopes</t>
        </is>
      </c>
      <c r="C101" s="33" t="inlineStr">
        <is>
          <t>Kami of Whispered Hopes</t>
        </is>
      </c>
      <c r="D101" s="33" t="inlineStr">
        <is>
          <t>Kami of Whispered Hopes</t>
        </is>
      </c>
      <c r="E101" s="33" t="inlineStr">
        <is>
          <t>Kami of Whispered Hopes</t>
        </is>
      </c>
      <c r="F101" s="33" t="inlineStr">
        <is>
          <t>Kami of Whispered Hopes</t>
        </is>
      </c>
      <c r="G101" s="33" t="inlineStr">
        <is>
          <t>Kami of Whispered Hopes</t>
        </is>
      </c>
      <c r="H101" s="33" t="inlineStr">
        <is>
          <t>Kami of Whispered Hopes</t>
        </is>
      </c>
      <c r="I101" s="33" t="inlineStr">
        <is>
          <t>Kami of Whispered Hopes</t>
        </is>
      </c>
      <c r="J101" s="33" t="inlineStr">
        <is>
          <t>Kami of Whispered Hopes</t>
        </is>
      </c>
      <c r="K101" s="30" t="inlineStr">
        <is>
          <t>Fun Max</t>
        </is>
      </c>
      <c r="L101" s="31">
        <f>INDEX(B101:J101,MATCH(K101,$B$5:$J$5,0))</f>
        <v/>
      </c>
      <c r="M101" s="22">
        <f>IFERROR(VLOOKUP(L101,Prices!$A:$B,2,FALSE),0)</f>
        <v/>
      </c>
      <c r="N101" s="32">
        <f>IFERROR(INDEX('_why_2c'!$B97:$J97,MATCH(K101,$B$5:$J$5,0)),"")</f>
        <v/>
      </c>
    </row>
    <row r="102">
      <c r="A102" s="28" t="n">
        <v>97</v>
      </c>
      <c r="B102" s="13" t="inlineStr">
        <is>
          <t>Ozolith, the Shattered Spire</t>
        </is>
      </c>
      <c r="C102" s="13" t="inlineStr">
        <is>
          <t>Ozolith, the Shattered Spire</t>
        </is>
      </c>
      <c r="D102" s="13" t="inlineStr">
        <is>
          <t>Ozolith, the Shattered Spire</t>
        </is>
      </c>
      <c r="E102" s="13" t="inlineStr">
        <is>
          <t>Ozolith, the Shattered Spire</t>
        </is>
      </c>
      <c r="F102" s="13" t="inlineStr">
        <is>
          <t>Ozolith, the Shattered Spire</t>
        </is>
      </c>
      <c r="G102" s="13" t="inlineStr">
        <is>
          <t>Ozolith, the Shattered Spire</t>
        </is>
      </c>
      <c r="H102" s="13" t="inlineStr">
        <is>
          <t>Ozolith, the Shattered Spire</t>
        </is>
      </c>
      <c r="I102" s="13" t="inlineStr">
        <is>
          <t>Ozolith, the Shattered Spire</t>
        </is>
      </c>
      <c r="J102" s="13" t="inlineStr">
        <is>
          <t>Ozolith, the Shattered Spire</t>
        </is>
      </c>
      <c r="K102" s="30" t="inlineStr">
        <is>
          <t>Fun Max</t>
        </is>
      </c>
      <c r="L102" s="31">
        <f>INDEX(B102:J102,MATCH(K102,$B$5:$J$5,0))</f>
        <v/>
      </c>
      <c r="M102" s="22">
        <f>IFERROR(VLOOKUP(L102,Prices!$A:$B,2,FALSE),0)</f>
        <v/>
      </c>
      <c r="N102" s="32">
        <f>IFERROR(INDEX('_why_2c'!$B98:$J98,MATCH(K102,$B$5:$J$5,0)),"")</f>
        <v/>
      </c>
    </row>
    <row r="103">
      <c r="A103" s="28" t="n">
        <v>98</v>
      </c>
      <c r="B103" s="33" t="inlineStr">
        <is>
          <t>Inspiring Call</t>
        </is>
      </c>
      <c r="C103" s="33" t="inlineStr">
        <is>
          <t>Inspiring Call</t>
        </is>
      </c>
      <c r="D103" s="33" t="inlineStr">
        <is>
          <t>Inspiring Call</t>
        </is>
      </c>
      <c r="E103" s="33" t="inlineStr">
        <is>
          <t>Inspiring Call</t>
        </is>
      </c>
      <c r="F103" s="33" t="inlineStr">
        <is>
          <t>Inspiring Call</t>
        </is>
      </c>
      <c r="G103" s="33" t="inlineStr">
        <is>
          <t>Inspiring Call</t>
        </is>
      </c>
      <c r="H103" s="33" t="inlineStr">
        <is>
          <t>Inspiring Call</t>
        </is>
      </c>
      <c r="I103" s="33" t="inlineStr">
        <is>
          <t>Inspiring Call</t>
        </is>
      </c>
      <c r="J103" s="33" t="inlineStr">
        <is>
          <t>Inspiring Call</t>
        </is>
      </c>
      <c r="K103" s="30" t="inlineStr">
        <is>
          <t>Fun Max</t>
        </is>
      </c>
      <c r="L103" s="31">
        <f>INDEX(B103:J103,MATCH(K103,$B$5:$J$5,0))</f>
        <v/>
      </c>
      <c r="M103" s="22">
        <f>IFERROR(VLOOKUP(L103,Prices!$A:$B,2,FALSE),0)</f>
        <v/>
      </c>
      <c r="N103" s="32">
        <f>IFERROR(INDEX('_why_2c'!$B99:$J99,MATCH(K103,$B$5:$J$5,0)),"")</f>
        <v/>
      </c>
    </row>
    <row r="104">
      <c r="A104" s="28" t="n">
        <v>99</v>
      </c>
      <c r="B104" s="13" t="inlineStr">
        <is>
          <t>Staff of Compleation</t>
        </is>
      </c>
      <c r="C104" s="13" t="inlineStr">
        <is>
          <t>Staff of Compleation</t>
        </is>
      </c>
      <c r="D104" s="13" t="inlineStr">
        <is>
          <t>Staff of Compleation</t>
        </is>
      </c>
      <c r="E104" s="13" t="inlineStr">
        <is>
          <t>Staff of Compleation</t>
        </is>
      </c>
      <c r="F104" s="13" t="inlineStr">
        <is>
          <t>Staff of Compleation</t>
        </is>
      </c>
      <c r="G104" s="13" t="inlineStr">
        <is>
          <t>Staff of Compleation</t>
        </is>
      </c>
      <c r="H104" s="13" t="inlineStr">
        <is>
          <t>Staff of Compleation</t>
        </is>
      </c>
      <c r="I104" s="13" t="inlineStr">
        <is>
          <t>Staff of Compleation</t>
        </is>
      </c>
      <c r="J104" s="13" t="inlineStr">
        <is>
          <t>Staff of Compleation</t>
        </is>
      </c>
      <c r="K104" s="30" t="inlineStr">
        <is>
          <t>Fun Max</t>
        </is>
      </c>
      <c r="L104" s="31">
        <f>INDEX(B104:J104,MATCH(K104,$B$5:$J$5,0))</f>
        <v/>
      </c>
      <c r="M104" s="22">
        <f>IFERROR(VLOOKUP(L104,Prices!$A:$B,2,FALSE),0)</f>
        <v/>
      </c>
      <c r="N104" s="32">
        <f>IFERROR(INDEX('_why_2c'!$B100:$J100,MATCH(K104,$B$5:$J$5,0)),"")</f>
        <v/>
      </c>
    </row>
    <row r="105">
      <c r="A105" s="28" t="n">
        <v>100</v>
      </c>
      <c r="B105" s="33" t="inlineStr">
        <is>
          <t>The Ozolith</t>
        </is>
      </c>
      <c r="C105" s="33" t="inlineStr">
        <is>
          <t>The Ozolith</t>
        </is>
      </c>
      <c r="D105" s="33" t="inlineStr">
        <is>
          <t>The Ozolith</t>
        </is>
      </c>
      <c r="E105" s="33" t="inlineStr">
        <is>
          <t>The Ozolith</t>
        </is>
      </c>
      <c r="F105" s="33" t="inlineStr">
        <is>
          <t>The Ozolith</t>
        </is>
      </c>
      <c r="G105" s="33" t="inlineStr">
        <is>
          <t>The Ozolith</t>
        </is>
      </c>
      <c r="H105" s="33" t="inlineStr">
        <is>
          <t>The Ozolith</t>
        </is>
      </c>
      <c r="I105" s="33" t="inlineStr">
        <is>
          <t>The Ozolith</t>
        </is>
      </c>
      <c r="J105" s="33" t="inlineStr">
        <is>
          <t>The Ozolith</t>
        </is>
      </c>
      <c r="K105" s="30" t="inlineStr">
        <is>
          <t>Fun Max</t>
        </is>
      </c>
      <c r="L105" s="31">
        <f>INDEX(B105:J105,MATCH(K105,$B$5:$J$5,0))</f>
        <v/>
      </c>
      <c r="M105" s="22">
        <f>IFERROR(VLOOKUP(L105,Prices!$A:$B,2,FALSE),0)</f>
        <v/>
      </c>
      <c r="N105" s="32">
        <f>IFERROR(INDEX('_why_2c'!$B101:$J101,MATCH(K105,$B$5:$J$5,0)),"")</f>
        <v/>
      </c>
    </row>
    <row r="106">
      <c r="A106" s="9" t="inlineStr">
        <is>
          <t>TOTALS</t>
        </is>
      </c>
      <c r="B106" s="35" t="n">
        <v>158.43</v>
      </c>
      <c r="C106" s="35" t="n">
        <v>167.25</v>
      </c>
      <c r="D106" s="35" t="n">
        <v>166.24</v>
      </c>
      <c r="E106" s="35" t="n">
        <v>401.89</v>
      </c>
      <c r="F106" s="35" t="n">
        <v>181.97</v>
      </c>
      <c r="G106" s="35" t="n">
        <v>346.92</v>
      </c>
      <c r="H106" s="35" t="n">
        <v>346.92</v>
      </c>
      <c r="I106" s="35" t="n">
        <v>168.86</v>
      </c>
      <c r="J106" s="35" t="n">
        <v>403.57</v>
      </c>
      <c r="L106" s="9" t="inlineStr">
        <is>
          <t>Your selection →</t>
        </is>
      </c>
      <c r="M106" s="35">
        <f>SUM(M6:M105)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6">
    <mergeCell ref="I4:J4"/>
    <mergeCell ref="B4:E4"/>
    <mergeCell ref="A2:N2"/>
    <mergeCell ref="F4:H4"/>
    <mergeCell ref="A108:N108"/>
    <mergeCell ref="A1:N1"/>
  </mergeCells>
  <dataValidations count="1">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"Base,Tuned,Enhance,Max,Tuned-2,Enhance-2,Max-2,Fun Tuned,Fun Max"</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J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row>
    <row r="2">
      <c r="A2" t="n">
        <v>1</v>
      </c>
      <c r="B2" t="inlineStr"/>
      <c r="C2" t="inlineStr"/>
      <c r="D2" t="inlineStr"/>
      <c r="E2" t="inlineStr"/>
      <c r="F2" t="inlineStr"/>
      <c r="G2" t="inlineStr"/>
      <c r="H2" t="inlineStr"/>
      <c r="I2" t="inlineStr"/>
      <c r="J2" t="inlineStr"/>
    </row>
    <row r="3">
      <c r="A3" t="n">
        <v>2</v>
      </c>
      <c r="B3" t="inlineStr"/>
      <c r="C3" t="inlineStr"/>
      <c r="D3" t="inlineStr"/>
      <c r="E3" t="inlineStr"/>
      <c r="F3" t="inlineStr"/>
      <c r="G3" t="inlineStr"/>
      <c r="H3" t="inlineStr"/>
      <c r="I3" t="inlineStr"/>
      <c r="J3" t="inlineStr"/>
    </row>
    <row r="4">
      <c r="A4" t="n">
        <v>3</v>
      </c>
      <c r="B4" t="inlineStr"/>
      <c r="C4" t="inlineStr"/>
      <c r="D4" t="inlineStr"/>
      <c r="E4" t="inlineStr"/>
      <c r="F4" t="inlineStr"/>
      <c r="G4" t="inlineStr"/>
      <c r="H4" t="inlineStr"/>
      <c r="I4" t="inlineStr"/>
      <c r="J4" t="inlineStr"/>
    </row>
    <row r="5">
      <c r="A5" t="n">
        <v>4</v>
      </c>
      <c r="B5" t="inlineStr"/>
      <c r="C5" t="inlineStr"/>
      <c r="D5" t="inlineStr"/>
      <c r="E5" t="inlineStr"/>
      <c r="F5" t="inlineStr"/>
      <c r="G5" t="inlineStr"/>
      <c r="H5" t="inlineStr"/>
      <c r="I5" t="inlineStr"/>
      <c r="J5" t="inlineStr"/>
    </row>
    <row r="6">
      <c r="A6" t="n">
        <v>5</v>
      </c>
      <c r="B6" t="inlineStr"/>
      <c r="C6" t="inlineStr"/>
      <c r="D6" t="inlineStr"/>
      <c r="E6" t="inlineStr"/>
      <c r="F6" t="inlineStr"/>
      <c r="G6" t="inlineStr"/>
      <c r="H6" t="inlineStr"/>
      <c r="I6" t="inlineStr"/>
      <c r="J6" t="inlineStr"/>
    </row>
    <row r="7">
      <c r="A7" t="n">
        <v>6</v>
      </c>
      <c r="B7" t="inlineStr"/>
      <c r="C7" t="inlineStr"/>
      <c r="D7" t="inlineStr"/>
      <c r="E7" t="inlineStr"/>
      <c r="F7" t="inlineStr"/>
      <c r="G7" t="inlineStr"/>
      <c r="H7" t="inlineStr"/>
      <c r="I7" t="inlineStr"/>
      <c r="J7" t="inlineStr"/>
    </row>
    <row r="8">
      <c r="A8" t="n">
        <v>7</v>
      </c>
      <c r="B8" t="inlineStr"/>
      <c r="C8" t="inlineStr"/>
      <c r="D8" t="inlineStr"/>
      <c r="E8" t="inlineStr"/>
      <c r="F8" t="inlineStr"/>
      <c r="G8" t="inlineStr"/>
      <c r="H8" t="inlineStr"/>
      <c r="I8" t="inlineStr"/>
      <c r="J8" t="inlineStr"/>
    </row>
    <row r="9">
      <c r="A9" t="n">
        <v>8</v>
      </c>
      <c r="B9" t="inlineStr"/>
      <c r="C9" t="inlineStr"/>
      <c r="D9" t="inlineStr"/>
      <c r="E9" t="inlineStr"/>
      <c r="F9" t="inlineStr"/>
      <c r="G9" t="inlineStr"/>
      <c r="H9" t="inlineStr"/>
      <c r="I9" t="inlineStr"/>
      <c r="J9" t="inlineStr"/>
    </row>
    <row r="10">
      <c r="A10" t="n">
        <v>9</v>
      </c>
      <c r="B10" t="inlineStr"/>
      <c r="C10" t="inlineStr"/>
      <c r="D10" t="inlineStr"/>
      <c r="E10" t="inlineStr"/>
      <c r="F10" t="inlineStr"/>
      <c r="G10" t="inlineStr"/>
      <c r="H10" t="inlineStr"/>
      <c r="I10" t="inlineStr"/>
      <c r="J10" t="inlineStr">
        <is>
          <t>Replaces Esper Panorama (adds draw/threat). Evidence: the land it replaces carried no spell effect the model could use; it was drawn in 21% of games; the deck stayed inside its land floor after the cut.</t>
        </is>
      </c>
    </row>
    <row r="11">
      <c r="A11" t="n">
        <v>10</v>
      </c>
      <c r="B11" t="inlineStr"/>
      <c r="C11" t="inlineStr"/>
      <c r="D11" t="inlineStr"/>
      <c r="E11" t="inlineStr"/>
      <c r="F11" t="inlineStr"/>
      <c r="G11" t="inlineStr"/>
      <c r="H11" t="inlineStr"/>
      <c r="I11" t="inlineStr"/>
      <c r="J11" t="inlineStr"/>
    </row>
    <row r="12">
      <c r="A12" t="n">
        <v>11</v>
      </c>
      <c r="B12" t="inlineStr"/>
      <c r="C12" t="inlineStr"/>
      <c r="D12" t="inlineStr"/>
      <c r="E12" t="inlineStr"/>
      <c r="F12" t="inlineStr"/>
      <c r="G12" t="inlineStr"/>
      <c r="H12" t="inlineStr"/>
      <c r="I12" t="inlineStr"/>
      <c r="J12" t="inlineStr"/>
    </row>
    <row r="13">
      <c r="A13" t="n">
        <v>12</v>
      </c>
      <c r="B13" t="inlineStr"/>
      <c r="C13" t="inlineStr"/>
      <c r="D13" t="inlineStr"/>
      <c r="E13" t="inlineStr"/>
      <c r="F13" t="inlineStr"/>
      <c r="G13" t="inlineStr"/>
      <c r="H13" t="inlineStr"/>
      <c r="I13" t="inlineStr"/>
      <c r="J13" t="inlineStr"/>
    </row>
    <row r="14">
      <c r="A14" t="n">
        <v>13</v>
      </c>
      <c r="B14" t="inlineStr"/>
      <c r="C14" t="inlineStr"/>
      <c r="D14" t="inlineStr"/>
      <c r="E14" t="inlineStr"/>
      <c r="F14" t="inlineStr"/>
      <c r="G14" t="inlineStr"/>
      <c r="H14" t="inlineStr"/>
      <c r="I14" t="inlineStr"/>
      <c r="J14" t="inlineStr"/>
    </row>
    <row r="15">
      <c r="A15" t="n">
        <v>14</v>
      </c>
      <c r="B15" t="inlineStr"/>
      <c r="C15" t="inlineStr"/>
      <c r="D15" t="inlineStr"/>
      <c r="E15" t="inlineStr"/>
      <c r="F15" t="inlineStr"/>
      <c r="G15" t="inlineStr"/>
      <c r="H15" t="inlineStr"/>
      <c r="I15" t="inlineStr"/>
      <c r="J15" t="inlineStr"/>
    </row>
    <row r="16">
      <c r="A16" t="n">
        <v>15</v>
      </c>
      <c r="B16" t="inlineStr"/>
      <c r="C16" t="inlineStr"/>
      <c r="D16" t="inlineStr"/>
      <c r="E16" t="inlineStr"/>
      <c r="F16" t="inlineStr"/>
      <c r="G16" t="inlineStr"/>
      <c r="H16" t="inlineStr"/>
      <c r="I16" t="inlineStr"/>
      <c r="J16" t="inlineStr"/>
    </row>
    <row r="17">
      <c r="A17" t="n">
        <v>16</v>
      </c>
      <c r="B17" t="inlineStr"/>
      <c r="C17" t="inlineStr"/>
      <c r="D17" t="inlineStr"/>
      <c r="E17" t="inlineStr"/>
      <c r="F17" t="inlineStr"/>
      <c r="G17" t="inlineStr"/>
      <c r="H17" t="inlineStr"/>
      <c r="I17" t="inlineStr"/>
      <c r="J17" t="inlineStr"/>
    </row>
    <row r="18">
      <c r="A18" t="n">
        <v>17</v>
      </c>
      <c r="B18" t="inlineStr"/>
      <c r="C18" t="inlineStr"/>
      <c r="D18" t="inlineStr"/>
      <c r="E18" t="inlineStr"/>
      <c r="F18" t="inlineStr"/>
      <c r="G18" t="inlineStr"/>
      <c r="H18" t="inlineStr"/>
      <c r="I18" t="inlineStr"/>
      <c r="J18" t="inlineStr"/>
    </row>
    <row r="19">
      <c r="A19" t="n">
        <v>18</v>
      </c>
      <c r="B19" t="inlineStr"/>
      <c r="C19" t="inlineStr"/>
      <c r="D19" t="inlineStr"/>
      <c r="E19" t="inlineStr"/>
      <c r="F19" t="inlineStr"/>
      <c r="G19" t="inlineStr"/>
      <c r="H19" t="inlineStr"/>
      <c r="I19" t="inlineStr"/>
      <c r="J19" t="inlineStr"/>
    </row>
    <row r="20">
      <c r="A20" t="n">
        <v>19</v>
      </c>
      <c r="B20" t="inlineStr"/>
      <c r="C20" t="inlineStr"/>
      <c r="D20" t="inlineStr"/>
      <c r="E20" t="inlineStr"/>
      <c r="F20" t="inlineStr"/>
      <c r="G20" t="inlineStr"/>
      <c r="H20" t="inlineStr"/>
      <c r="I20" t="inlineStr">
        <is>
          <t>Replaces Command Tower (adds draw/finisher/threat). Evidence: the land it replaces carried no spell effect the model could use; it was drawn in 21% of games; the deck stayed inside its land floor after the cut.</t>
        </is>
      </c>
      <c r="J20" t="inlineStr">
        <is>
          <t>Replaces Terramorphic Expanse (adds draw/threat). Evidence: the land it replaces carried no spell effect the model could use; it was drawn in 20% of games; the deck stayed inside its land floor after the cut.</t>
        </is>
      </c>
    </row>
    <row r="21">
      <c r="A21" t="n">
        <v>20</v>
      </c>
      <c r="B21" t="inlineStr"/>
      <c r="C21" t="inlineStr"/>
      <c r="D21" t="inlineStr"/>
      <c r="E21" t="inlineStr"/>
      <c r="F21" t="inlineStr"/>
      <c r="G21" t="inlineStr"/>
      <c r="H21" t="inlineStr"/>
      <c r="I21" t="inlineStr"/>
      <c r="J21" t="inlineStr"/>
    </row>
    <row r="22">
      <c r="A22" t="n">
        <v>21</v>
      </c>
      <c r="B22" t="inlineStr"/>
      <c r="C22" t="inlineStr"/>
      <c r="D22" t="inlineStr"/>
      <c r="E22" t="inlineStr"/>
      <c r="F22" t="inlineStr"/>
      <c r="G22" t="inlineStr"/>
      <c r="H22" t="inlineStr"/>
      <c r="I22" t="inlineStr"/>
      <c r="J22" t="inlineStr"/>
    </row>
    <row r="23">
      <c r="A23" t="n">
        <v>22</v>
      </c>
      <c r="B23" t="inlineStr"/>
      <c r="C23" t="inlineStr"/>
      <c r="D23" t="inlineStr"/>
      <c r="E23" t="inlineStr"/>
      <c r="F23" t="inlineStr"/>
      <c r="G23" t="inlineStr"/>
      <c r="H23" t="inlineStr"/>
      <c r="I23" t="inlineStr"/>
      <c r="J23" t="inlineStr"/>
    </row>
    <row r="24">
      <c r="A24" t="n">
        <v>23</v>
      </c>
      <c r="B24" t="inlineStr"/>
      <c r="C24" t="inlineStr"/>
      <c r="D24" t="inlineStr"/>
      <c r="E24" t="inlineStr"/>
      <c r="F24" t="inlineStr"/>
      <c r="G24" t="inlineStr"/>
      <c r="H24" t="inlineStr"/>
      <c r="I24" t="inlineStr"/>
      <c r="J24" t="inlineStr">
        <is>
          <t>Replaces Scoured Barrens (adds draw/finisher/threat). Evidence: the land it replaces carried no spell effect the model could use; it was drawn in 21% of games; the deck stayed inside its land floor after the cut.</t>
        </is>
      </c>
    </row>
    <row r="25">
      <c r="A25" t="n">
        <v>24</v>
      </c>
      <c r="B25" t="inlineStr"/>
      <c r="C25" t="inlineStr"/>
      <c r="D25" t="inlineStr"/>
      <c r="E25" t="inlineStr"/>
      <c r="F25" t="inlineStr"/>
      <c r="G25" t="inlineStr"/>
      <c r="H25" t="inlineStr"/>
      <c r="I25" t="inlineStr"/>
      <c r="J25" t="inlineStr"/>
    </row>
    <row r="26">
      <c r="A26" t="n">
        <v>25</v>
      </c>
      <c r="B26" t="inlineStr"/>
      <c r="C26" t="inlineStr"/>
      <c r="D26" t="inlineStr"/>
      <c r="E26" t="inlineStr"/>
      <c r="F26" t="inlineStr"/>
      <c r="G26" t="inlineStr"/>
      <c r="H26" t="inlineStr"/>
      <c r="I26" t="inlineStr"/>
      <c r="J26" t="inlineStr"/>
    </row>
    <row r="27">
      <c r="A27" t="n">
        <v>26</v>
      </c>
      <c r="B27" t="inlineStr"/>
      <c r="C27" t="inlineStr"/>
      <c r="D27" t="inlineStr"/>
      <c r="E27" t="inlineStr"/>
      <c r="F27" t="inlineStr"/>
      <c r="G27" t="inlineStr"/>
      <c r="H27" t="inlineStr"/>
      <c r="I27" t="inlineStr"/>
      <c r="J27" t="inlineStr"/>
    </row>
    <row r="28">
      <c r="A28" t="n">
        <v>27</v>
      </c>
      <c r="B28" t="inlineStr"/>
      <c r="C28" t="inlineStr"/>
      <c r="D28" t="inlineStr"/>
      <c r="E28" t="inlineStr"/>
      <c r="F28" t="inlineStr"/>
      <c r="G28" t="inlineStr"/>
      <c r="H28" t="inlineStr"/>
      <c r="I28" t="inlineStr"/>
      <c r="J28" t="inlineStr"/>
    </row>
    <row r="29">
      <c r="A29" t="n">
        <v>28</v>
      </c>
      <c r="B29" t="inlineStr"/>
      <c r="C29" t="inlineStr"/>
      <c r="D29" t="inlineStr"/>
      <c r="E29" t="inlineStr"/>
      <c r="F29" t="inlineStr"/>
      <c r="G29" t="inlineStr"/>
      <c r="H29" t="inlineStr"/>
      <c r="I29" t="inlineStr"/>
      <c r="J29" t="inlineStr"/>
    </row>
    <row r="30">
      <c r="A30" t="n">
        <v>29</v>
      </c>
      <c r="B30" t="inlineStr"/>
      <c r="C30" t="inlineStr"/>
      <c r="D30" t="inlineStr"/>
      <c r="E30" t="inlineStr"/>
      <c r="F30" t="inlineStr"/>
      <c r="G30" t="inlineStr"/>
      <c r="H30" t="inlineStr"/>
      <c r="I30" t="inlineStr"/>
      <c r="J30" t="inlineStr"/>
    </row>
    <row r="31">
      <c r="A31" t="n">
        <v>30</v>
      </c>
      <c r="B31" t="inlineStr"/>
      <c r="C31" t="inlineStr"/>
      <c r="D31" t="inlineStr"/>
      <c r="E31" t="inlineStr"/>
      <c r="F31" t="inlineStr">
        <is>
          <t>Replaces Putrefy (adds removal/finisher/threat). Evidence: the card it replaces was cast in 89% of the games it was drawn; sat dead in hand 11% of the time; landed on turn 8.2 on average; the deck won 28% of games it was cast in.</t>
        </is>
      </c>
      <c r="G31" t="inlineStr"/>
      <c r="H31" t="inlineStr"/>
      <c r="I31" t="inlineStr"/>
      <c r="J31" t="inlineStr"/>
    </row>
    <row r="32">
      <c r="A32" t="n">
        <v>31</v>
      </c>
      <c r="B32" t="inlineStr"/>
      <c r="C32" t="inlineStr"/>
      <c r="D32" t="inlineStr"/>
      <c r="E32" t="inlineStr"/>
      <c r="F32" t="inlineStr"/>
      <c r="G32" t="inlineStr"/>
      <c r="H32" t="inlineStr"/>
      <c r="I32" t="inlineStr"/>
      <c r="J32" t="inlineStr"/>
    </row>
    <row r="33">
      <c r="A33" t="n">
        <v>32</v>
      </c>
      <c r="B33" t="inlineStr"/>
      <c r="C33" t="inlineStr"/>
      <c r="D33" t="inlineStr"/>
      <c r="E33" t="inlineStr"/>
      <c r="F33" t="inlineStr">
        <is>
          <t>Replaces Utter End (adds finisher/threat). Evidence: the card it replaces was cast in 92% of the games it was drawn; sat dead in hand 8% of the time; landed on turn 8.7 on average; the deck won 26% of games it was cast in.</t>
        </is>
      </c>
      <c r="G33" t="inlineStr"/>
      <c r="H33" t="inlineStr"/>
      <c r="I33" t="inlineStr"/>
      <c r="J33" t="inlineStr"/>
    </row>
    <row r="34">
      <c r="A34" t="n">
        <v>33</v>
      </c>
      <c r="B34" t="inlineStr"/>
      <c r="C34" t="inlineStr"/>
      <c r="D34" t="inlineStr"/>
      <c r="E34" t="inlineStr"/>
      <c r="F34" t="inlineStr"/>
      <c r="G34" t="inlineStr"/>
      <c r="H34" t="inlineStr"/>
      <c r="I34" t="inlineStr"/>
      <c r="J34" t="inlineStr">
        <is>
          <t>Replaces Orzhov Basilica (adds draw/threat). Evidence: the land it replaces carried no spell effect the model could use; it was drawn in 22% of games; the deck stayed inside its land floor after the cut.</t>
        </is>
      </c>
    </row>
    <row r="35">
      <c r="A35" t="n">
        <v>34</v>
      </c>
      <c r="B35" t="inlineStr"/>
      <c r="C35" t="inlineStr"/>
      <c r="D35" t="inlineStr"/>
      <c r="E35" t="inlineStr"/>
      <c r="F35" t="inlineStr"/>
      <c r="G35" t="inlineStr"/>
      <c r="H35" t="inlineStr"/>
      <c r="I35" t="inlineStr"/>
      <c r="J35" t="inlineStr"/>
    </row>
    <row r="36">
      <c r="A36" t="n">
        <v>35</v>
      </c>
      <c r="B36" t="inlineStr"/>
      <c r="C36" t="inlineStr"/>
      <c r="D36" t="inlineStr"/>
      <c r="E36" t="inlineStr"/>
      <c r="F36" t="inlineStr"/>
      <c r="G36" t="inlineStr"/>
      <c r="H36" t="inlineStr"/>
      <c r="I36" t="inlineStr"/>
      <c r="J36" t="inlineStr"/>
    </row>
    <row r="37">
      <c r="A37" t="n">
        <v>36</v>
      </c>
      <c r="B37" t="inlineStr"/>
      <c r="C37" t="inlineStr"/>
      <c r="D37" t="inlineStr"/>
      <c r="E37" t="inlineStr"/>
      <c r="F37" t="inlineStr"/>
      <c r="G37" t="inlineStr"/>
      <c r="H37" t="inlineStr"/>
      <c r="I37" t="inlineStr">
        <is>
          <t>Replaces Sandsteppe Citadel (adds draw/threat). Evidence: the land it replaces carried no spell effect the model could use; it was drawn in 21% of games; the deck stayed inside its land floor after the cut.</t>
        </is>
      </c>
      <c r="J37" t="inlineStr">
        <is>
          <t>Replaces Sunpetal Grove (adds draw/threat). Evidence: the land it replaces carried no spell effect the model could use; it was drawn in 22% of games; the deck stayed inside its land floor after the cut.</t>
        </is>
      </c>
    </row>
    <row r="38">
      <c r="A38" t="n">
        <v>37</v>
      </c>
      <c r="B38" t="inlineStr"/>
      <c r="C38" t="inlineStr"/>
      <c r="D38" t="inlineStr"/>
      <c r="E38" t="inlineStr"/>
      <c r="F38" t="inlineStr"/>
      <c r="G38" t="inlineStr"/>
      <c r="H38" t="inlineStr"/>
      <c r="I38" t="inlineStr"/>
      <c r="J38" t="inlineStr"/>
    </row>
    <row r="39">
      <c r="A39" t="n">
        <v>38</v>
      </c>
      <c r="B39" t="inlineStr"/>
      <c r="C39" t="inlineStr"/>
      <c r="D39" t="inlineStr"/>
      <c r="E39" t="inlineStr"/>
      <c r="F39" t="inlineStr">
        <is>
          <t>Replaces Fact or Fiction (adds threat). Evidence: the card it replaces was cast in 92% of the games it was drawn; sat dead in hand 8% of the time; landed on turn 8.3 on average; the deck won 25% of games it was cast in.</t>
        </is>
      </c>
      <c r="G39" t="inlineStr"/>
      <c r="H39" t="inlineStr"/>
      <c r="I39" t="inlineStr"/>
      <c r="J39" t="inlineStr"/>
    </row>
    <row r="40">
      <c r="A40" t="n">
        <v>39</v>
      </c>
      <c r="B40" t="inlineStr"/>
      <c r="C40" t="inlineStr"/>
      <c r="D40" t="inlineStr"/>
      <c r="E40" t="inlineStr"/>
      <c r="F40" t="inlineStr"/>
      <c r="G40" t="inlineStr"/>
      <c r="H40" t="inlineStr"/>
      <c r="I40" t="inlineStr"/>
      <c r="J40" t="inlineStr"/>
    </row>
    <row r="41">
      <c r="A41" t="n">
        <v>40</v>
      </c>
      <c r="B41" t="inlineStr"/>
      <c r="C41" t="inlineStr"/>
      <c r="D41" t="inlineStr"/>
      <c r="E41" t="inlineStr"/>
      <c r="F41" t="inlineStr"/>
      <c r="G41" t="inlineStr"/>
      <c r="H41" t="inlineStr"/>
      <c r="I41" t="inlineStr"/>
      <c r="J41" t="inlineStr"/>
    </row>
    <row r="42">
      <c r="A42" t="n">
        <v>41</v>
      </c>
      <c r="B42" t="inlineStr"/>
      <c r="C42" t="inlineStr"/>
      <c r="D42" t="inlineStr"/>
      <c r="E42" t="inlineStr"/>
      <c r="F42" t="inlineStr">
        <is>
          <t>Replaces Inexorable Tide (adds finisher/threat). Evidence: the card it replaces was cast in 76% of the games it was drawn; sat dead in hand 24% of the time; landed on turn 8.8 on average; the deck won 27% of games it was cast in.</t>
        </is>
      </c>
      <c r="G42" t="inlineStr"/>
      <c r="H42" t="inlineStr"/>
      <c r="I42" t="inlineStr">
        <is>
          <t>Replaces Seaside Citadel (adds draw/threat). Evidence: the land it replaces carried no spell effect the model could use; it was drawn in 22% of games; the deck stayed inside its land floor after the cut.</t>
        </is>
      </c>
      <c r="J42" t="inlineStr"/>
    </row>
    <row r="43">
      <c r="A43" t="n">
        <v>42</v>
      </c>
      <c r="B43" t="inlineStr"/>
      <c r="C43" t="inlineStr"/>
      <c r="D43" t="inlineStr"/>
      <c r="E43" t="inlineStr"/>
      <c r="F43" t="inlineStr"/>
      <c r="G43" t="inlineStr"/>
      <c r="H43" t="inlineStr"/>
      <c r="I43" t="inlineStr"/>
      <c r="J43" t="inlineStr"/>
    </row>
    <row r="44">
      <c r="A44" t="n">
        <v>43</v>
      </c>
      <c r="B44" t="inlineStr"/>
      <c r="C44" t="inlineStr"/>
      <c r="D44" t="inlineStr"/>
      <c r="E44" t="inlineStr"/>
      <c r="F44" t="inlineStr"/>
      <c r="G44" t="inlineStr"/>
      <c r="H44" t="inlineStr"/>
      <c r="I44" t="inlineStr"/>
      <c r="J44" t="inlineStr"/>
    </row>
    <row r="45">
      <c r="A45" t="n">
        <v>44</v>
      </c>
      <c r="B45" t="inlineStr"/>
      <c r="C45" t="inlineStr"/>
      <c r="D45" t="inlineStr"/>
      <c r="E45" t="inlineStr"/>
      <c r="F45" t="inlineStr"/>
      <c r="G45" t="inlineStr"/>
      <c r="H45" t="inlineStr"/>
      <c r="I45" t="inlineStr"/>
      <c r="J45" t="inlineStr"/>
    </row>
    <row r="46">
      <c r="A46" t="n">
        <v>45</v>
      </c>
      <c r="B46" t="inlineStr"/>
      <c r="C46" t="inlineStr"/>
      <c r="D46" t="inlineStr"/>
      <c r="E46" t="inlineStr"/>
      <c r="F46" t="inlineStr"/>
      <c r="G46" t="inlineStr"/>
      <c r="H46" t="inlineStr"/>
      <c r="I46" t="inlineStr"/>
      <c r="J46" t="inlineStr"/>
    </row>
    <row r="47">
      <c r="A47" t="n">
        <v>46</v>
      </c>
      <c r="B47" t="inlineStr"/>
      <c r="C47" t="inlineStr"/>
      <c r="D47" t="inlineStr"/>
      <c r="E47" t="inlineStr"/>
      <c r="F47" t="inlineStr">
        <is>
          <t>Replaces Fuel for the Cause (adds finisher/threat). Evidence: the card it replaces was cast in 78% of the games it was drawn; sat dead in hand 22% of the time; landed on turn 9.3 on average; the deck won 32% of games it was cast in.</t>
        </is>
      </c>
      <c r="G47" t="inlineStr"/>
      <c r="H47" t="inlineStr"/>
      <c r="I47" t="inlineStr"/>
      <c r="J47" t="inlineStr"/>
    </row>
    <row r="48">
      <c r="A48" t="n">
        <v>47</v>
      </c>
      <c r="B48" t="inlineStr"/>
      <c r="C48" t="inlineStr"/>
      <c r="D48" t="inlineStr"/>
      <c r="E48" t="inlineStr"/>
      <c r="F48" t="inlineStr"/>
      <c r="G48" t="inlineStr"/>
      <c r="H48" t="inlineStr"/>
      <c r="I48" t="inlineStr"/>
      <c r="J48" t="inlineStr"/>
    </row>
    <row r="49">
      <c r="A49" t="n">
        <v>48</v>
      </c>
      <c r="B49" t="inlineStr"/>
      <c r="C49" t="inlineStr"/>
      <c r="D49" t="inlineStr"/>
      <c r="E49" t="inlineStr"/>
      <c r="F49" t="inlineStr"/>
      <c r="G49" t="inlineStr"/>
      <c r="H49" t="inlineStr"/>
      <c r="I49" t="inlineStr"/>
      <c r="J49" t="inlineStr"/>
    </row>
    <row r="50">
      <c r="A50" t="n">
        <v>49</v>
      </c>
      <c r="B50" t="inlineStr"/>
      <c r="C50" t="inlineStr"/>
      <c r="D50" t="inlineStr"/>
      <c r="E50" t="inlineStr"/>
      <c r="F50" t="inlineStr"/>
      <c r="G50" t="inlineStr"/>
      <c r="H50" t="inlineStr"/>
      <c r="I50" t="inlineStr"/>
      <c r="J50" t="inlineStr"/>
    </row>
    <row r="51">
      <c r="A51" t="n">
        <v>50</v>
      </c>
      <c r="B51" t="inlineStr"/>
      <c r="C51" t="inlineStr"/>
      <c r="D51" t="inlineStr"/>
      <c r="E51" t="inlineStr"/>
      <c r="F51" t="inlineStr"/>
      <c r="G51" t="inlineStr"/>
      <c r="H51" t="inlineStr"/>
      <c r="I51" t="inlineStr"/>
      <c r="J51" t="inlineStr"/>
    </row>
    <row r="52">
      <c r="A52" t="n">
        <v>51</v>
      </c>
      <c r="B52" t="inlineStr"/>
      <c r="C52" t="inlineStr"/>
      <c r="D52" t="inlineStr"/>
      <c r="E52" t="inlineStr"/>
      <c r="F52" t="inlineStr"/>
      <c r="G52" t="inlineStr"/>
      <c r="H52" t="inlineStr"/>
      <c r="I52" t="inlineStr"/>
      <c r="J52" t="inlineStr"/>
    </row>
    <row r="53">
      <c r="A53" t="n">
        <v>52</v>
      </c>
      <c r="B53" t="inlineStr"/>
      <c r="C53" t="inlineStr"/>
      <c r="D53" t="inlineStr"/>
      <c r="E53" t="inlineStr"/>
      <c r="F53" t="inlineStr">
        <is>
          <t>Replaces Karn's Bastion (adds draw/finisher/threat). Evidence: the land it replaces carried no spell effect the model could use; it was drawn in 20% of games; the deck stayed inside its land floor after the cut.</t>
        </is>
      </c>
      <c r="G53" t="inlineStr"/>
      <c r="H53" t="inlineStr"/>
      <c r="I53" t="inlineStr">
        <is>
          <t>Replaces Esper Panorama (adds draw/threat). Evidence: the land it replaces carried no spell effect the model could use; it was drawn in 22% of games; the deck stayed inside its land floor after the cut.</t>
        </is>
      </c>
      <c r="J53" t="inlineStr"/>
    </row>
    <row r="54">
      <c r="A54" t="n">
        <v>53</v>
      </c>
      <c r="B54" t="inlineStr"/>
      <c r="C54" t="inlineStr"/>
      <c r="D54" t="inlineStr"/>
      <c r="E54" t="inlineStr"/>
      <c r="F54" t="inlineStr"/>
      <c r="G54" t="inlineStr"/>
      <c r="H54" t="inlineStr"/>
      <c r="I54" t="inlineStr"/>
      <c r="J54" t="inlineStr"/>
    </row>
    <row r="55">
      <c r="A55" t="n">
        <v>54</v>
      </c>
      <c r="B55" t="inlineStr"/>
      <c r="C55" t="inlineStr"/>
      <c r="D55" t="inlineStr"/>
      <c r="E55" t="inlineStr"/>
      <c r="F55" t="inlineStr"/>
      <c r="G55" t="inlineStr"/>
      <c r="H55" t="inlineStr"/>
      <c r="I55" t="inlineStr"/>
      <c r="J55" t="inlineStr"/>
    </row>
    <row r="56">
      <c r="A56" t="n">
        <v>55</v>
      </c>
      <c r="B56" t="inlineStr"/>
      <c r="C56" t="inlineStr"/>
      <c r="D56" t="inlineStr"/>
      <c r="E56" t="inlineStr"/>
      <c r="F56" t="inlineStr"/>
      <c r="G56" t="inlineStr"/>
      <c r="H56" t="inlineStr"/>
      <c r="I56" t="inlineStr"/>
      <c r="J56" t="inlineStr"/>
    </row>
    <row r="57">
      <c r="A57" t="n">
        <v>56</v>
      </c>
      <c r="B57" t="inlineStr"/>
      <c r="C57" t="inlineStr"/>
      <c r="D57" t="inlineStr"/>
      <c r="E57" t="inlineStr"/>
      <c r="F57" t="inlineStr"/>
      <c r="G57" t="inlineStr"/>
      <c r="H57" t="inlineStr"/>
      <c r="I57" t="inlineStr"/>
      <c r="J57" t="inlineStr"/>
    </row>
    <row r="58">
      <c r="A58" t="n">
        <v>57</v>
      </c>
      <c r="B58" t="inlineStr"/>
      <c r="C58" t="inlineStr"/>
      <c r="D58" t="inlineStr"/>
      <c r="E58" t="inlineStr"/>
      <c r="F58" t="inlineStr"/>
      <c r="G58" t="inlineStr"/>
      <c r="H58" t="inlineStr"/>
      <c r="I58" t="inlineStr"/>
      <c r="J58" t="inlineStr"/>
    </row>
    <row r="59">
      <c r="A59" t="n">
        <v>58</v>
      </c>
      <c r="B59" t="inlineStr"/>
      <c r="C59" t="inlineStr"/>
      <c r="D59" t="inlineStr"/>
      <c r="E59" t="inlineStr"/>
      <c r="F59" t="inlineStr"/>
      <c r="G59" t="inlineStr"/>
      <c r="H59" t="inlineStr"/>
      <c r="I59" t="inlineStr"/>
      <c r="J59" t="inlineStr"/>
    </row>
    <row r="60">
      <c r="A60" t="n">
        <v>59</v>
      </c>
      <c r="B60" t="inlineStr"/>
      <c r="C60" t="inlineStr"/>
      <c r="D60" t="inlineStr"/>
      <c r="E60" t="inlineStr"/>
      <c r="F60" t="inlineStr"/>
      <c r="G60" t="inlineStr"/>
      <c r="H60" t="inlineStr"/>
      <c r="I60" t="inlineStr"/>
      <c r="J60" t="inlineStr"/>
    </row>
    <row r="61">
      <c r="A61" t="n">
        <v>60</v>
      </c>
      <c r="B61" t="inlineStr"/>
      <c r="C61" t="inlineStr"/>
      <c r="D61" t="inlineStr"/>
      <c r="E61" t="inlineStr"/>
      <c r="F61" t="inlineStr"/>
      <c r="G61" t="inlineStr"/>
      <c r="H61" t="inlineStr"/>
      <c r="I61" t="inlineStr"/>
      <c r="J61" t="inlineStr"/>
    </row>
    <row r="62">
      <c r="A62" t="n">
        <v>61</v>
      </c>
      <c r="B62" t="inlineStr"/>
      <c r="C62" t="inlineStr"/>
      <c r="D62" t="inlineStr"/>
      <c r="E62" t="inlineStr"/>
      <c r="F62" t="inlineStr"/>
      <c r="G62" t="inlineStr"/>
      <c r="H62" t="inlineStr"/>
      <c r="I62" t="inlineStr"/>
      <c r="J62" t="inlineStr"/>
    </row>
    <row r="63">
      <c r="A63" t="n">
        <v>62</v>
      </c>
      <c r="B63" t="inlineStr"/>
      <c r="C63" t="inlineStr"/>
      <c r="D63" t="inlineStr"/>
      <c r="E63" t="inlineStr"/>
      <c r="F63" t="inlineStr"/>
      <c r="G63" t="inlineStr"/>
      <c r="H63" t="inlineStr"/>
      <c r="I63" t="inlineStr"/>
      <c r="J63" t="inlineStr"/>
    </row>
    <row r="64">
      <c r="A64" t="n">
        <v>63</v>
      </c>
      <c r="B64" t="inlineStr"/>
      <c r="C64" t="inlineStr"/>
      <c r="D64" t="inlineStr"/>
      <c r="E64" t="inlineStr"/>
      <c r="F64" t="inlineStr"/>
      <c r="G64" t="inlineStr"/>
      <c r="H64" t="inlineStr"/>
      <c r="I64" t="inlineStr"/>
      <c r="J64" t="inlineStr"/>
    </row>
    <row r="65">
      <c r="A65" t="n">
        <v>64</v>
      </c>
      <c r="B65" t="inlineStr"/>
      <c r="C65" t="inlineStr"/>
      <c r="D65" t="inlineStr"/>
      <c r="E65" t="inlineStr"/>
      <c r="F65" t="inlineStr"/>
      <c r="G65" t="inlineStr"/>
      <c r="H65" t="inlineStr"/>
      <c r="I65" t="inlineStr">
        <is>
          <t>Replaces Naya Panorama (adds draw/threat). Evidence: the land it replaces carried no spell effect the model could use; it was drawn in 21% of games; the deck stayed inside its land floor after the cut.</t>
        </is>
      </c>
      <c r="J65" t="inlineStr"/>
    </row>
    <row r="66">
      <c r="A66" t="n">
        <v>65</v>
      </c>
      <c r="B66" t="inlineStr"/>
      <c r="C66" t="inlineStr"/>
      <c r="D66" t="inlineStr"/>
      <c r="E66" t="inlineStr"/>
      <c r="F66" t="inlineStr"/>
      <c r="G66" t="inlineStr"/>
      <c r="H66" t="inlineStr"/>
      <c r="I66" t="inlineStr"/>
      <c r="J66" t="inlineStr"/>
    </row>
    <row r="67">
      <c r="A67" t="n">
        <v>66</v>
      </c>
      <c r="B67" t="inlineStr"/>
      <c r="C67" t="inlineStr"/>
      <c r="D67" t="inlineStr"/>
      <c r="E67" t="inlineStr"/>
      <c r="F67" t="inlineStr"/>
      <c r="G67" t="inlineStr"/>
      <c r="H67" t="inlineStr"/>
      <c r="I67" t="inlineStr"/>
      <c r="J67" t="inlineStr"/>
    </row>
    <row r="68">
      <c r="A68" t="n">
        <v>67</v>
      </c>
      <c r="B68" t="inlineStr"/>
      <c r="C68" t="inlineStr"/>
      <c r="D68" t="inlineStr"/>
      <c r="E68" t="inlineStr"/>
      <c r="F68" t="inlineStr"/>
      <c r="G68" t="inlineStr"/>
      <c r="H68" t="inlineStr"/>
      <c r="I68" t="inlineStr"/>
      <c r="J68" t="inlineStr"/>
    </row>
    <row r="69">
      <c r="A69" t="n">
        <v>68</v>
      </c>
      <c r="B69" t="inlineStr"/>
      <c r="C69" t="inlineStr"/>
      <c r="D69" t="inlineStr"/>
      <c r="E69" t="inlineStr"/>
      <c r="F69" t="inlineStr"/>
      <c r="G69" t="inlineStr"/>
      <c r="H69" t="inlineStr"/>
      <c r="I69" t="inlineStr"/>
      <c r="J69" t="inlineStr"/>
    </row>
    <row r="70">
      <c r="A70" t="n">
        <v>69</v>
      </c>
      <c r="B70" t="inlineStr"/>
      <c r="C70" t="inlineStr"/>
      <c r="D70" t="inlineStr"/>
      <c r="E70" t="inlineStr"/>
      <c r="F70" t="inlineStr"/>
      <c r="G70" t="inlineStr"/>
      <c r="H70" t="inlineStr"/>
      <c r="I70" t="inlineStr"/>
      <c r="J70" t="inlineStr"/>
    </row>
    <row r="71">
      <c r="A71" t="n">
        <v>70</v>
      </c>
      <c r="B71" t="inlineStr"/>
      <c r="C71" t="inlineStr"/>
      <c r="D71" t="inlineStr"/>
      <c r="E71" t="inlineStr"/>
      <c r="F71" t="inlineStr"/>
      <c r="G71" t="inlineStr"/>
      <c r="H71" t="inlineStr"/>
      <c r="I71" t="inlineStr"/>
      <c r="J71" t="inlineStr"/>
    </row>
    <row r="72">
      <c r="A72" t="n">
        <v>71</v>
      </c>
      <c r="B72" t="inlineStr"/>
      <c r="C72" t="inlineStr"/>
      <c r="D72" t="inlineStr"/>
      <c r="E72" t="inlineStr"/>
      <c r="F72" t="inlineStr"/>
      <c r="G72" t="inlineStr"/>
      <c r="H72" t="inlineStr"/>
      <c r="I72" t="inlineStr"/>
      <c r="J72" t="inlineStr"/>
    </row>
    <row r="73">
      <c r="A73" t="n">
        <v>72</v>
      </c>
      <c r="B73" t="inlineStr"/>
      <c r="C73" t="inlineStr"/>
      <c r="D73" t="inlineStr"/>
      <c r="E73" t="inlineStr"/>
      <c r="F73" t="inlineStr"/>
      <c r="G73" t="inlineStr"/>
      <c r="H73" t="inlineStr"/>
      <c r="I73" t="inlineStr"/>
      <c r="J73" t="inlineStr"/>
    </row>
    <row r="74">
      <c r="A74" t="n">
        <v>73</v>
      </c>
      <c r="B74" t="inlineStr"/>
      <c r="C74" t="inlineStr"/>
      <c r="D74" t="inlineStr"/>
      <c r="E74" t="inlineStr"/>
      <c r="F74" t="inlineStr"/>
      <c r="G74" t="inlineStr"/>
      <c r="H74" t="inlineStr"/>
      <c r="I74" t="inlineStr"/>
      <c r="J74" t="inlineStr"/>
    </row>
    <row r="75">
      <c r="A75" t="n">
        <v>74</v>
      </c>
      <c r="B75" t="inlineStr"/>
      <c r="C75" t="inlineStr"/>
      <c r="D75" t="inlineStr"/>
      <c r="E75" t="inlineStr"/>
      <c r="F75" t="inlineStr">
        <is>
          <t>Replaces Esper Panorama (adds draw/finisher/threat). Evidence: the land it replaces carried no spell effect the model could use; it was drawn in 23% of games; the deck stayed inside its land floor after the cut.</t>
        </is>
      </c>
      <c r="G75" t="inlineStr"/>
      <c r="H75" t="inlineStr"/>
      <c r="I75" t="inlineStr"/>
      <c r="J75" t="inlineStr"/>
    </row>
    <row r="76">
      <c r="A76" t="n">
        <v>75</v>
      </c>
      <c r="B76" t="inlineStr"/>
      <c r="C76" t="inlineStr"/>
      <c r="D76" t="inlineStr"/>
      <c r="E76" t="inlineStr"/>
      <c r="F76" t="inlineStr">
        <is>
          <t>Replaces Naya Panorama (adds draw/finisher/threat). Evidence: the land it replaces carried no spell effect the model could use; it was drawn in 21% of games; the deck stayed inside its land floor after the cut.</t>
        </is>
      </c>
      <c r="G76" t="inlineStr"/>
      <c r="H76" t="inlineStr"/>
      <c r="I76" t="inlineStr"/>
      <c r="J76" t="inlineStr"/>
    </row>
    <row r="77">
      <c r="A77" t="n">
        <v>76</v>
      </c>
      <c r="B77" t="inlineStr"/>
      <c r="C77" t="inlineStr"/>
      <c r="D77" t="inlineStr"/>
      <c r="E77" t="inlineStr"/>
      <c r="F77" t="inlineStr"/>
      <c r="G77" t="inlineStr"/>
      <c r="H77" t="inlineStr"/>
      <c r="I77" t="inlineStr"/>
      <c r="J77" t="inlineStr"/>
    </row>
    <row r="78">
      <c r="A78" t="n">
        <v>77</v>
      </c>
      <c r="B78" t="inlineStr"/>
      <c r="C78" t="inlineStr"/>
      <c r="D78" t="inlineStr"/>
      <c r="E78" t="inlineStr"/>
      <c r="F78" t="inlineStr"/>
      <c r="G78" t="inlineStr"/>
      <c r="H78" t="inlineStr"/>
      <c r="I78" t="inlineStr"/>
      <c r="J78" t="inlineStr"/>
    </row>
    <row r="79">
      <c r="A79" t="n">
        <v>78</v>
      </c>
      <c r="B79" t="inlineStr"/>
      <c r="C79" t="inlineStr"/>
      <c r="D79" t="inlineStr"/>
      <c r="E79" t="inlineStr"/>
      <c r="F79" t="inlineStr"/>
      <c r="G79" t="inlineStr"/>
      <c r="H79" t="inlineStr"/>
      <c r="I79" t="inlineStr"/>
      <c r="J79" t="inlineStr"/>
    </row>
    <row r="80">
      <c r="A80" t="n">
        <v>79</v>
      </c>
      <c r="B80" t="inlineStr"/>
      <c r="C80" t="inlineStr"/>
      <c r="D80" t="inlineStr"/>
      <c r="E80" t="inlineStr"/>
      <c r="F80" t="inlineStr"/>
      <c r="G80" t="inlineStr"/>
      <c r="H80" t="inlineStr"/>
      <c r="I80" t="inlineStr"/>
      <c r="J80" t="inlineStr"/>
    </row>
    <row r="81">
      <c r="A81" t="n">
        <v>80</v>
      </c>
      <c r="B81" t="inlineStr"/>
      <c r="C81" t="inlineStr"/>
      <c r="D81" t="inlineStr"/>
      <c r="E81" t="inlineStr"/>
      <c r="F81" t="inlineStr"/>
      <c r="G81" t="inlineStr"/>
      <c r="H81" t="inlineStr"/>
      <c r="I81" t="inlineStr"/>
      <c r="J81" t="inlineStr"/>
    </row>
    <row r="82">
      <c r="A82" t="n">
        <v>81</v>
      </c>
      <c r="B82" t="inlineStr"/>
      <c r="C82" t="inlineStr"/>
      <c r="D82" t="inlineStr"/>
      <c r="E82" t="inlineStr"/>
      <c r="F82" t="inlineStr"/>
      <c r="G82" t="inlineStr"/>
      <c r="H82" t="inlineStr"/>
      <c r="I82" t="inlineStr"/>
      <c r="J82" t="inlineStr"/>
    </row>
    <row r="83">
      <c r="A83" t="n">
        <v>82</v>
      </c>
      <c r="B83" t="inlineStr"/>
      <c r="C83" t="inlineStr"/>
      <c r="D83" t="inlineStr"/>
      <c r="E83" t="inlineStr"/>
      <c r="F83" t="inlineStr"/>
      <c r="G83" t="inlineStr"/>
      <c r="H83" t="inlineStr"/>
      <c r="I83" t="inlineStr"/>
      <c r="J83" t="inlineStr"/>
    </row>
    <row r="84">
      <c r="A84" t="n">
        <v>83</v>
      </c>
      <c r="B84" t="inlineStr"/>
      <c r="C84" t="inlineStr"/>
      <c r="D84" t="inlineStr"/>
      <c r="E84" t="inlineStr"/>
      <c r="F84" t="inlineStr"/>
      <c r="G84" t="inlineStr"/>
      <c r="H84" t="inlineStr"/>
      <c r="I84" t="inlineStr"/>
      <c r="J84" t="inlineStr"/>
    </row>
    <row r="85">
      <c r="A85" t="n">
        <v>84</v>
      </c>
      <c r="B85" t="inlineStr"/>
      <c r="C85" t="inlineStr"/>
      <c r="D85" t="inlineStr"/>
      <c r="E85" t="inlineStr"/>
      <c r="F85" t="inlineStr"/>
      <c r="G85" t="inlineStr"/>
      <c r="H85" t="inlineStr"/>
      <c r="I85" t="inlineStr"/>
      <c r="J85" t="inlineStr"/>
    </row>
    <row r="86">
      <c r="A86" t="n">
        <v>85</v>
      </c>
      <c r="B86" t="inlineStr"/>
      <c r="C86" t="inlineStr"/>
      <c r="D86" t="inlineStr"/>
      <c r="E86" t="inlineStr"/>
      <c r="F86" t="inlineStr">
        <is>
          <t>Replaces Simic Growth Chamber (adds draw/finisher/threat). Evidence: the land it replaces carried no spell effect the model could use; it was drawn in 22% of games; the deck stayed inside its land floor after the cut.</t>
        </is>
      </c>
      <c r="G86" t="inlineStr"/>
      <c r="H86" t="inlineStr"/>
      <c r="I86" t="inlineStr"/>
      <c r="J86" t="inlineStr"/>
    </row>
    <row r="87">
      <c r="A87" t="n">
        <v>86</v>
      </c>
      <c r="B87" t="inlineStr"/>
      <c r="C87" t="inlineStr"/>
      <c r="D87" t="inlineStr"/>
      <c r="E87" t="inlineStr"/>
      <c r="F87" t="inlineStr"/>
      <c r="G87" t="inlineStr"/>
      <c r="H87" t="inlineStr"/>
      <c r="I87" t="inlineStr"/>
      <c r="J87" t="inlineStr"/>
    </row>
    <row r="88">
      <c r="A88" t="n">
        <v>87</v>
      </c>
      <c r="B88" t="inlineStr"/>
      <c r="C88" t="inlineStr"/>
      <c r="D88" t="inlineStr"/>
      <c r="E88" t="inlineStr"/>
      <c r="F88" t="inlineStr"/>
      <c r="G88" t="inlineStr"/>
      <c r="H88" t="inlineStr"/>
      <c r="I88" t="inlineStr"/>
      <c r="J88" t="inlineStr"/>
    </row>
    <row r="89">
      <c r="A89" t="n">
        <v>88</v>
      </c>
      <c r="B89" t="inlineStr"/>
      <c r="C89" t="inlineStr"/>
      <c r="D89" t="inlineStr"/>
      <c r="E89" t="inlineStr"/>
      <c r="F89" t="inlineStr"/>
      <c r="G89" t="inlineStr"/>
      <c r="H89" t="inlineStr"/>
      <c r="I89" t="inlineStr"/>
      <c r="J89" t="inlineStr"/>
    </row>
    <row r="90">
      <c r="A90" t="n">
        <v>89</v>
      </c>
      <c r="B90" t="inlineStr"/>
      <c r="C90" t="inlineStr"/>
      <c r="D90" t="inlineStr"/>
      <c r="E90" t="inlineStr"/>
      <c r="F90" t="inlineStr">
        <is>
          <t>Replaces Woodland Cemetery (adds draw/finisher/threat). Evidence: the land it replaces carried no spell effect the model could use; it was drawn in 20% of games; the deck stayed inside its land floor after the cut.</t>
        </is>
      </c>
      <c r="G90" t="inlineStr"/>
      <c r="H90" t="inlineStr"/>
      <c r="I90" t="inlineStr"/>
      <c r="J90" t="inlineStr"/>
    </row>
    <row r="91">
      <c r="A91" t="n">
        <v>90</v>
      </c>
      <c r="B91" t="inlineStr"/>
      <c r="C91" t="inlineStr"/>
      <c r="D91" t="inlineStr"/>
      <c r="E91" t="inlineStr"/>
      <c r="F91" t="inlineStr"/>
      <c r="G91" t="inlineStr"/>
      <c r="H91" t="inlineStr"/>
      <c r="I91" t="inlineStr"/>
      <c r="J91" t="inlineStr"/>
    </row>
    <row r="92">
      <c r="A92" t="n">
        <v>91</v>
      </c>
      <c r="B92" t="inlineStr"/>
      <c r="C92" t="inlineStr"/>
      <c r="D92" t="inlineStr"/>
      <c r="E92" t="inlineStr"/>
      <c r="F92" t="inlineStr"/>
      <c r="G92" t="inlineStr"/>
      <c r="H92" t="inlineStr"/>
      <c r="I92" t="inlineStr"/>
      <c r="J92" t="inlineStr"/>
    </row>
    <row r="93">
      <c r="A93" t="n">
        <v>92</v>
      </c>
      <c r="B93" t="inlineStr"/>
      <c r="C93" t="inlineStr"/>
      <c r="D93" t="inlineStr"/>
      <c r="E93" t="inlineStr"/>
      <c r="F93" t="inlineStr"/>
      <c r="G93" t="inlineStr"/>
      <c r="H93" t="inlineStr"/>
      <c r="I93" t="inlineStr"/>
      <c r="J93" t="inlineStr"/>
    </row>
    <row r="94">
      <c r="A94" t="n">
        <v>93</v>
      </c>
      <c r="B94" t="inlineStr"/>
      <c r="C94" t="inlineStr"/>
      <c r="D94" t="inlineStr"/>
      <c r="E94" t="inlineStr"/>
      <c r="F94" t="inlineStr"/>
      <c r="G94" t="inlineStr"/>
      <c r="H94" t="inlineStr"/>
      <c r="I94" t="inlineStr"/>
      <c r="J94" t="inlineStr"/>
    </row>
    <row r="95">
      <c r="A95" t="n">
        <v>94</v>
      </c>
      <c r="B95" t="inlineStr"/>
      <c r="C95" t="inlineStr"/>
      <c r="D95" t="inlineStr"/>
      <c r="E95" t="inlineStr"/>
      <c r="F95" t="inlineStr"/>
      <c r="G95" t="inlineStr"/>
      <c r="H95" t="inlineStr"/>
      <c r="I95" t="inlineStr"/>
      <c r="J95" t="inlineStr"/>
    </row>
    <row r="96">
      <c r="A96" t="n">
        <v>95</v>
      </c>
      <c r="B96" t="inlineStr"/>
      <c r="C96" t="inlineStr"/>
      <c r="D96" t="inlineStr"/>
      <c r="E96" t="inlineStr"/>
      <c r="F96" t="inlineStr"/>
      <c r="G96" t="inlineStr"/>
      <c r="H96" t="inlineStr"/>
      <c r="I96" t="inlineStr"/>
      <c r="J96" t="inlineStr"/>
    </row>
    <row r="97">
      <c r="A97" t="n">
        <v>96</v>
      </c>
      <c r="B97" t="inlineStr"/>
      <c r="C97" t="inlineStr"/>
      <c r="D97" t="inlineStr"/>
      <c r="E97" t="inlineStr"/>
      <c r="F97" t="inlineStr"/>
      <c r="G97" t="inlineStr"/>
      <c r="H97" t="inlineStr"/>
      <c r="I97" t="inlineStr"/>
      <c r="J97" t="inlineStr"/>
    </row>
    <row r="98">
      <c r="A98" t="n">
        <v>97</v>
      </c>
      <c r="B98" t="inlineStr"/>
      <c r="C98" t="inlineStr"/>
      <c r="D98" t="inlineStr"/>
      <c r="E98" t="inlineStr"/>
      <c r="F98" t="inlineStr"/>
      <c r="G98" t="inlineStr"/>
      <c r="H98" t="inlineStr"/>
      <c r="I98" t="inlineStr"/>
      <c r="J98" t="inlineStr"/>
    </row>
    <row r="99">
      <c r="A99" t="n">
        <v>98</v>
      </c>
      <c r="B99" t="inlineStr"/>
      <c r="C99" t="inlineStr"/>
      <c r="D99" t="inlineStr"/>
      <c r="E99" t="inlineStr"/>
      <c r="F99" t="inlineStr"/>
      <c r="G99" t="inlineStr"/>
      <c r="H99" t="inlineStr"/>
      <c r="I99" t="inlineStr"/>
      <c r="J99" t="inlineStr"/>
    </row>
    <row r="100">
      <c r="A100" t="n">
        <v>99</v>
      </c>
      <c r="B100" t="inlineStr"/>
      <c r="C100" t="inlineStr"/>
      <c r="D100" t="inlineStr"/>
      <c r="E100" t="inlineStr"/>
      <c r="F100" t="inlineStr"/>
      <c r="G100" t="inlineStr"/>
      <c r="H100" t="inlineStr"/>
      <c r="I100" t="inlineStr"/>
      <c r="J100" t="inlineStr"/>
    </row>
    <row r="101">
      <c r="A101" t="n">
        <v>100</v>
      </c>
      <c r="B101" t="inlineStr"/>
      <c r="C101" t="inlineStr"/>
      <c r="D101" t="inlineStr"/>
      <c r="E101" t="inlineStr"/>
      <c r="F101" t="inlineStr"/>
      <c r="G101" t="inlineStr"/>
      <c r="H101" t="inlineStr"/>
      <c r="I101" t="inlineStr"/>
      <c r="J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P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14" customWidth="1" min="13" max="13"/>
    <col width="27" customWidth="1" min="14" max="14"/>
    <col width="10" customWidth="1" min="15" max="15"/>
    <col width="90" customWidth="1" min="16" max="16"/>
  </cols>
  <sheetData>
    <row r="1">
      <c r="A1" s="3" t="inlineStr">
        <is>
          <t>Golgari Land Engine — The Gitrog Monster</t>
        </is>
      </c>
    </row>
    <row r="2">
      <c r="A2" s="2" t="inlineStr">
        <is>
          <t>Deck slot 3 · variant 3e · 100 lineup slots · alternative commander tested: Hazel of the Rootbloom</t>
        </is>
      </c>
    </row>
    <row r="4">
      <c r="B4" s="24" t="inlineStr">
        <is>
          <t>Site ladder — as published</t>
        </is>
      </c>
      <c r="F4" s="25" t="inlineStr">
        <is>
          <t>Simulation-improved (Monte Carlo)</t>
        </is>
      </c>
      <c r="I4" s="26" t="inlineStr">
        <is>
          <t>Fun-weighted engine v2.1</t>
        </is>
      </c>
      <c r="K4" s="27" t="inlineStr">
        <is>
          <t>Alternative commander</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Alt Tuned</t>
        </is>
      </c>
      <c r="L5" s="12" t="inlineStr">
        <is>
          <t>Alt Max</t>
        </is>
      </c>
      <c r="M5" s="12" t="inlineStr">
        <is>
          <t>FINAL PICK</t>
        </is>
      </c>
      <c r="N5" s="12" t="inlineStr">
        <is>
          <t>Final card</t>
        </is>
      </c>
      <c r="O5" s="12" t="inlineStr">
        <is>
          <t>Price</t>
        </is>
      </c>
      <c r="P5" s="12" t="inlineStr">
        <is>
          <t>Why this card moved</t>
        </is>
      </c>
    </row>
    <row r="6">
      <c r="A6" s="28" t="n">
        <v>1</v>
      </c>
      <c r="B6" s="13" t="inlineStr">
        <is>
          <t>Sakura-Tribe Elder</t>
        </is>
      </c>
      <c r="C6" s="13" t="inlineStr">
        <is>
          <t>Sakura-Tribe Elder</t>
        </is>
      </c>
      <c r="D6" s="13" t="inlineStr">
        <is>
          <t>Sakura-Tribe Elder</t>
        </is>
      </c>
      <c r="E6" s="13" t="inlineStr">
        <is>
          <t>Sakura-Tribe Elder</t>
        </is>
      </c>
      <c r="F6" s="13" t="inlineStr">
        <is>
          <t>Sakura-Tribe Elder</t>
        </is>
      </c>
      <c r="G6" s="13" t="inlineStr">
        <is>
          <t>Sakura-Tribe Elder</t>
        </is>
      </c>
      <c r="H6" s="13" t="inlineStr">
        <is>
          <t>Sakura-Tribe Elder</t>
        </is>
      </c>
      <c r="I6" s="13" t="inlineStr">
        <is>
          <t>Sakura-Tribe Elder</t>
        </is>
      </c>
      <c r="J6" s="13" t="inlineStr">
        <is>
          <t>Sakura-Tribe Elder</t>
        </is>
      </c>
      <c r="K6" s="13" t="inlineStr">
        <is>
          <t>Sakura-Tribe Elder</t>
        </is>
      </c>
      <c r="L6" s="13" t="inlineStr">
        <is>
          <t>Sakura-Tribe Elder</t>
        </is>
      </c>
      <c r="M6" s="30" t="inlineStr">
        <is>
          <t>Fun Max</t>
        </is>
      </c>
      <c r="N6" s="31">
        <f>INDEX(B6:L6,MATCH(M6,$B$5:$L$5,0))</f>
        <v/>
      </c>
      <c r="O6" s="22">
        <f>IFERROR(VLOOKUP(N6,Prices!$A:$B,2,FALSE),0)</f>
        <v/>
      </c>
      <c r="P6" s="32">
        <f>IFERROR(INDEX('_why_3e'!$B2:$L2,MATCH(M6,$B$5:$L$5,0)),"")</f>
        <v/>
      </c>
    </row>
    <row r="7">
      <c r="A7" s="28" t="n">
        <v>2</v>
      </c>
      <c r="B7" s="33" t="inlineStr">
        <is>
          <t>Wood Elves</t>
        </is>
      </c>
      <c r="C7" s="33" t="inlineStr">
        <is>
          <t>Wood Elves</t>
        </is>
      </c>
      <c r="D7" s="33" t="inlineStr">
        <is>
          <t>Wood Elves</t>
        </is>
      </c>
      <c r="E7" s="33" t="inlineStr">
        <is>
          <t>Wood Elves</t>
        </is>
      </c>
      <c r="F7" s="33" t="inlineStr">
        <is>
          <t>Wood Elves</t>
        </is>
      </c>
      <c r="G7" s="33" t="inlineStr">
        <is>
          <t>Wood Elves</t>
        </is>
      </c>
      <c r="H7" s="33" t="inlineStr">
        <is>
          <t>Wood Elves</t>
        </is>
      </c>
      <c r="I7" s="33" t="inlineStr">
        <is>
          <t>Wood Elves</t>
        </is>
      </c>
      <c r="J7" s="33" t="inlineStr">
        <is>
          <t>Wood Elves</t>
        </is>
      </c>
      <c r="K7" s="33" t="inlineStr">
        <is>
          <t>Wood Elves</t>
        </is>
      </c>
      <c r="L7" s="33" t="inlineStr">
        <is>
          <t>Wood Elves</t>
        </is>
      </c>
      <c r="M7" s="30" t="inlineStr">
        <is>
          <t>Fun Max</t>
        </is>
      </c>
      <c r="N7" s="31">
        <f>INDEX(B7:L7,MATCH(M7,$B$5:$L$5,0))</f>
        <v/>
      </c>
      <c r="O7" s="22">
        <f>IFERROR(VLOOKUP(N7,Prices!$A:$B,2,FALSE),0)</f>
        <v/>
      </c>
      <c r="P7" s="32">
        <f>IFERROR(INDEX('_why_3e'!$B3:$L3,MATCH(M7,$B$5:$L$5,0)),"")</f>
        <v/>
      </c>
    </row>
    <row r="8">
      <c r="A8" s="28" t="n">
        <v>3</v>
      </c>
      <c r="B8" s="13" t="inlineStr">
        <is>
          <t>Yavimaya Elder</t>
        </is>
      </c>
      <c r="C8" s="13" t="inlineStr">
        <is>
          <t>Yavimaya Elder</t>
        </is>
      </c>
      <c r="D8" s="13" t="inlineStr">
        <is>
          <t>Yavimaya Elder</t>
        </is>
      </c>
      <c r="E8" s="13" t="inlineStr">
        <is>
          <t>Yavimaya Elder</t>
        </is>
      </c>
      <c r="F8" s="13" t="inlineStr">
        <is>
          <t>Yavimaya Elder</t>
        </is>
      </c>
      <c r="G8" s="13" t="inlineStr">
        <is>
          <t>Yavimaya Elder</t>
        </is>
      </c>
      <c r="H8" s="13" t="inlineStr">
        <is>
          <t>Yavimaya Elder</t>
        </is>
      </c>
      <c r="I8" s="13" t="inlineStr">
        <is>
          <t>Yavimaya Elder</t>
        </is>
      </c>
      <c r="J8" s="13" t="inlineStr">
        <is>
          <t>Yavimaya Elder</t>
        </is>
      </c>
      <c r="K8" s="13" t="inlineStr">
        <is>
          <t>Yavimaya Elder</t>
        </is>
      </c>
      <c r="L8" s="13" t="inlineStr">
        <is>
          <t>Yavimaya Elder</t>
        </is>
      </c>
      <c r="M8" s="30" t="inlineStr">
        <is>
          <t>Fun Max</t>
        </is>
      </c>
      <c r="N8" s="31">
        <f>INDEX(B8:L8,MATCH(M8,$B$5:$L$5,0))</f>
        <v/>
      </c>
      <c r="O8" s="22">
        <f>IFERROR(VLOOKUP(N8,Prices!$A:$B,2,FALSE),0)</f>
        <v/>
      </c>
      <c r="P8" s="32">
        <f>IFERROR(INDEX('_why_3e'!$B4:$L4,MATCH(M8,$B$5:$L$5,0)),"")</f>
        <v/>
      </c>
    </row>
    <row r="9">
      <c r="A9" s="28" t="n">
        <v>4</v>
      </c>
      <c r="B9" s="33" t="inlineStr">
        <is>
          <t>Solemn Simulacrum</t>
        </is>
      </c>
      <c r="C9" s="33" t="inlineStr">
        <is>
          <t>Solemn Simulacrum</t>
        </is>
      </c>
      <c r="D9" s="33" t="inlineStr">
        <is>
          <t>Solemn Simulacrum</t>
        </is>
      </c>
      <c r="E9" s="33" t="inlineStr">
        <is>
          <t>Solemn Simulacrum</t>
        </is>
      </c>
      <c r="F9" s="33" t="inlineStr">
        <is>
          <t>Solemn Simulacrum</t>
        </is>
      </c>
      <c r="G9" s="33" t="inlineStr">
        <is>
          <t>Solemn Simulacrum</t>
        </is>
      </c>
      <c r="H9" s="33" t="inlineStr">
        <is>
          <t>Solemn Simulacrum</t>
        </is>
      </c>
      <c r="I9" s="33" t="inlineStr">
        <is>
          <t>Solemn Simulacrum</t>
        </is>
      </c>
      <c r="J9" s="33" t="inlineStr">
        <is>
          <t>Solemn Simulacrum</t>
        </is>
      </c>
      <c r="K9" s="33" t="inlineStr">
        <is>
          <t>Solemn Simulacrum</t>
        </is>
      </c>
      <c r="L9" s="33" t="inlineStr">
        <is>
          <t>Solemn Simulacrum</t>
        </is>
      </c>
      <c r="M9" s="30" t="inlineStr">
        <is>
          <t>Fun Max</t>
        </is>
      </c>
      <c r="N9" s="31">
        <f>INDEX(B9:L9,MATCH(M9,$B$5:$L$5,0))</f>
        <v/>
      </c>
      <c r="O9" s="22">
        <f>IFERROR(VLOOKUP(N9,Prices!$A:$B,2,FALSE),0)</f>
        <v/>
      </c>
      <c r="P9" s="32">
        <f>IFERROR(INDEX('_why_3e'!$B5:$L5,MATCH(M9,$B$5:$L$5,0)),"")</f>
        <v/>
      </c>
    </row>
    <row r="10">
      <c r="A10" s="28" t="n">
        <v>5</v>
      </c>
      <c r="B10" s="13" t="inlineStr">
        <is>
          <t>Sylvan Ranger</t>
        </is>
      </c>
      <c r="C10" s="13" t="inlineStr">
        <is>
          <t>Sylvan Ranger</t>
        </is>
      </c>
      <c r="D10" s="13" t="inlineStr">
        <is>
          <t>Sylvan Ranger</t>
        </is>
      </c>
      <c r="E10" s="13" t="inlineStr">
        <is>
          <t>Sylvan Ranger</t>
        </is>
      </c>
      <c r="F10" s="13" t="inlineStr">
        <is>
          <t>Sylvan Ranger</t>
        </is>
      </c>
      <c r="G10" s="13" t="inlineStr">
        <is>
          <t>Sylvan Ranger</t>
        </is>
      </c>
      <c r="H10" s="13" t="inlineStr">
        <is>
          <t>Sylvan Ranger</t>
        </is>
      </c>
      <c r="I10" s="13" t="inlineStr">
        <is>
          <t>Sylvan Ranger</t>
        </is>
      </c>
      <c r="J10" s="13" t="inlineStr">
        <is>
          <t>Sylvan Ranger</t>
        </is>
      </c>
      <c r="K10" s="13" t="inlineStr">
        <is>
          <t>Sylvan Ranger</t>
        </is>
      </c>
      <c r="L10" s="13" t="inlineStr">
        <is>
          <t>Sylvan Ranger</t>
        </is>
      </c>
      <c r="M10" s="30" t="inlineStr">
        <is>
          <t>Fun Max</t>
        </is>
      </c>
      <c r="N10" s="31">
        <f>INDEX(B10:L10,MATCH(M10,$B$5:$L$5,0))</f>
        <v/>
      </c>
      <c r="O10" s="22">
        <f>IFERROR(VLOOKUP(N10,Prices!$A:$B,2,FALSE),0)</f>
        <v/>
      </c>
      <c r="P10" s="32">
        <f>IFERROR(INDEX('_why_3e'!$B6:$L6,MATCH(M10,$B$5:$L$5,0)),"")</f>
        <v/>
      </c>
    </row>
    <row r="11">
      <c r="A11" s="28" t="n">
        <v>6</v>
      </c>
      <c r="B11" s="33" t="inlineStr">
        <is>
          <t>Tireless Tracker</t>
        </is>
      </c>
      <c r="C11" s="33" t="inlineStr">
        <is>
          <t>Tireless Tracker</t>
        </is>
      </c>
      <c r="D11" s="33" t="inlineStr">
        <is>
          <t>Tireless Tracker</t>
        </is>
      </c>
      <c r="E11" s="33" t="inlineStr">
        <is>
          <t>Tireless Tracker</t>
        </is>
      </c>
      <c r="F11" s="33" t="inlineStr">
        <is>
          <t>Tireless Tracker</t>
        </is>
      </c>
      <c r="G11" s="33" t="inlineStr">
        <is>
          <t>Tireless Tracker</t>
        </is>
      </c>
      <c r="H11" s="33" t="inlineStr">
        <is>
          <t>Tireless Tracker</t>
        </is>
      </c>
      <c r="I11" s="33" t="inlineStr">
        <is>
          <t>Tireless Tracker</t>
        </is>
      </c>
      <c r="J11" s="33" t="inlineStr">
        <is>
          <t>Tireless Tracker</t>
        </is>
      </c>
      <c r="K11" s="33" t="inlineStr">
        <is>
          <t>Tireless Tracker</t>
        </is>
      </c>
      <c r="L11" s="33" t="inlineStr">
        <is>
          <t>Tireless Tracker</t>
        </is>
      </c>
      <c r="M11" s="30" t="inlineStr">
        <is>
          <t>Fun Max</t>
        </is>
      </c>
      <c r="N11" s="31">
        <f>INDEX(B11:L11,MATCH(M11,$B$5:$L$5,0))</f>
        <v/>
      </c>
      <c r="O11" s="22">
        <f>IFERROR(VLOOKUP(N11,Prices!$A:$B,2,FALSE),0)</f>
        <v/>
      </c>
      <c r="P11" s="32">
        <f>IFERROR(INDEX('_why_3e'!$B7:$L7,MATCH(M11,$B$5:$L$5,0)),"")</f>
        <v/>
      </c>
    </row>
    <row r="12">
      <c r="A12" s="28" t="n">
        <v>7</v>
      </c>
      <c r="B12" s="13" t="inlineStr">
        <is>
          <t>Perpetual Timepiece</t>
        </is>
      </c>
      <c r="C12" s="13" t="inlineStr">
        <is>
          <t>Perpetual Timepiece</t>
        </is>
      </c>
      <c r="D12" s="13" t="inlineStr">
        <is>
          <t>Perpetual Timepiece</t>
        </is>
      </c>
      <c r="E12" s="13" t="inlineStr">
        <is>
          <t>Perpetual Timepiece</t>
        </is>
      </c>
      <c r="F12" s="13" t="inlineStr">
        <is>
          <t>Perpetual Timepiece</t>
        </is>
      </c>
      <c r="G12" s="13" t="inlineStr">
        <is>
          <t>Perpetual Timepiece</t>
        </is>
      </c>
      <c r="H12" s="13" t="inlineStr">
        <is>
          <t>Perpetual Timepiece</t>
        </is>
      </c>
      <c r="I12" s="13" t="inlineStr">
        <is>
          <t>Perpetual Timepiece</t>
        </is>
      </c>
      <c r="J12" s="13" t="inlineStr">
        <is>
          <t>Perpetual Timepiece</t>
        </is>
      </c>
      <c r="K12" s="13" t="inlineStr">
        <is>
          <t>Perpetual Timepiece</t>
        </is>
      </c>
      <c r="L12" s="13" t="inlineStr">
        <is>
          <t>Perpetual Timepiece</t>
        </is>
      </c>
      <c r="M12" s="30" t="inlineStr">
        <is>
          <t>Fun Max</t>
        </is>
      </c>
      <c r="N12" s="31">
        <f>INDEX(B12:L12,MATCH(M12,$B$5:$L$5,0))</f>
        <v/>
      </c>
      <c r="O12" s="22">
        <f>IFERROR(VLOOKUP(N12,Prices!$A:$B,2,FALSE),0)</f>
        <v/>
      </c>
      <c r="P12" s="32">
        <f>IFERROR(INDEX('_why_3e'!$B8:$L8,MATCH(M12,$B$5:$L$5,0)),"")</f>
        <v/>
      </c>
    </row>
    <row r="13">
      <c r="A13" s="28" t="n">
        <v>8</v>
      </c>
      <c r="B13" s="33" t="inlineStr">
        <is>
          <t>Sol Ring</t>
        </is>
      </c>
      <c r="C13" s="33" t="inlineStr">
        <is>
          <t>Sol Ring</t>
        </is>
      </c>
      <c r="D13" s="33" t="inlineStr">
        <is>
          <t>Sol Ring</t>
        </is>
      </c>
      <c r="E13" s="33" t="inlineStr">
        <is>
          <t>Sol Ring</t>
        </is>
      </c>
      <c r="F13" s="33" t="inlineStr">
        <is>
          <t>Sol Ring</t>
        </is>
      </c>
      <c r="G13" s="33" t="inlineStr">
        <is>
          <t>Sol Ring</t>
        </is>
      </c>
      <c r="H13" s="33" t="inlineStr">
        <is>
          <t>Sol Ring</t>
        </is>
      </c>
      <c r="I13" s="33" t="inlineStr">
        <is>
          <t>Sol Ring</t>
        </is>
      </c>
      <c r="J13" s="33" t="inlineStr">
        <is>
          <t>Sol Ring</t>
        </is>
      </c>
      <c r="K13" s="33" t="inlineStr">
        <is>
          <t>Sol Ring</t>
        </is>
      </c>
      <c r="L13" s="33" t="inlineStr">
        <is>
          <t>Sol Ring</t>
        </is>
      </c>
      <c r="M13" s="30" t="inlineStr">
        <is>
          <t>Fun Max</t>
        </is>
      </c>
      <c r="N13" s="31">
        <f>INDEX(B13:L13,MATCH(M13,$B$5:$L$5,0))</f>
        <v/>
      </c>
      <c r="O13" s="22">
        <f>IFERROR(VLOOKUP(N13,Prices!$A:$B,2,FALSE),0)</f>
        <v/>
      </c>
      <c r="P13" s="32">
        <f>IFERROR(INDEX('_why_3e'!$B9:$L9,MATCH(M13,$B$5:$L$5,0)),"")</f>
        <v/>
      </c>
    </row>
    <row r="14">
      <c r="A14" s="28" t="n">
        <v>9</v>
      </c>
      <c r="B14" s="13" t="inlineStr">
        <is>
          <t>Arcane Signet</t>
        </is>
      </c>
      <c r="C14" s="29" t="inlineStr">
        <is>
          <t>Ramunap Excavator</t>
        </is>
      </c>
      <c r="D14" s="29" t="inlineStr">
        <is>
          <t>Ramunap Excavator</t>
        </is>
      </c>
      <c r="E14" s="29" t="inlineStr">
        <is>
          <t>Field of the Dead</t>
        </is>
      </c>
      <c r="F14" s="29" t="inlineStr">
        <is>
          <t>Ramunap Excavator</t>
        </is>
      </c>
      <c r="G14" s="29" t="inlineStr">
        <is>
          <t>Crucible of Worlds</t>
        </is>
      </c>
      <c r="H14" s="29" t="inlineStr">
        <is>
          <t>Crucible of Worlds</t>
        </is>
      </c>
      <c r="I14" s="29" t="inlineStr">
        <is>
          <t>Inspiring Call</t>
        </is>
      </c>
      <c r="J14" s="29" t="inlineStr">
        <is>
          <t>Heritage Reclamation</t>
        </is>
      </c>
      <c r="K14" s="29" t="inlineStr">
        <is>
          <t>Heritage Reclamation</t>
        </is>
      </c>
      <c r="L14" s="29" t="inlineStr">
        <is>
          <t>Snuff Out</t>
        </is>
      </c>
      <c r="M14" s="30" t="inlineStr">
        <is>
          <t>Fun Max</t>
        </is>
      </c>
      <c r="N14" s="31">
        <f>INDEX(B14:L14,MATCH(M14,$B$5:$L$5,0))</f>
        <v/>
      </c>
      <c r="O14" s="22">
        <f>IFERROR(VLOOKUP(N14,Prices!$A:$B,2,FALSE),0)</f>
        <v/>
      </c>
      <c r="P14" s="32">
        <f>IFERROR(INDEX('_why_3e'!$B10:$L10,MATCH(M14,$B$5:$L$5,0)),"")</f>
        <v/>
      </c>
    </row>
    <row r="15">
      <c r="A15" s="28" t="n">
        <v>10</v>
      </c>
      <c r="B15" s="33" t="inlineStr">
        <is>
          <t>Golgari Signet</t>
        </is>
      </c>
      <c r="C15" s="33" t="inlineStr">
        <is>
          <t>Golgari Signet</t>
        </is>
      </c>
      <c r="D15" s="33" t="inlineStr">
        <is>
          <t>Golgari Signet</t>
        </is>
      </c>
      <c r="E15" s="33" t="inlineStr">
        <is>
          <t>Golgari Signet</t>
        </is>
      </c>
      <c r="F15" s="33" t="inlineStr">
        <is>
          <t>Golgari Signet</t>
        </is>
      </c>
      <c r="G15" s="33" t="inlineStr">
        <is>
          <t>Golgari Signet</t>
        </is>
      </c>
      <c r="H15" s="33" t="inlineStr">
        <is>
          <t>Golgari Signet</t>
        </is>
      </c>
      <c r="I15" s="33" t="inlineStr">
        <is>
          <t>Golgari Signet</t>
        </is>
      </c>
      <c r="J15" s="33" t="inlineStr">
        <is>
          <t>Golgari Signet</t>
        </is>
      </c>
      <c r="K15" s="33" t="inlineStr">
        <is>
          <t>Golgari Signet</t>
        </is>
      </c>
      <c r="L15" s="33" t="inlineStr">
        <is>
          <t>Golgari Signet</t>
        </is>
      </c>
      <c r="M15" s="30" t="inlineStr">
        <is>
          <t>Fun Max</t>
        </is>
      </c>
      <c r="N15" s="31">
        <f>INDEX(B15:L15,MATCH(M15,$B$5:$L$5,0))</f>
        <v/>
      </c>
      <c r="O15" s="22">
        <f>IFERROR(VLOOKUP(N15,Prices!$A:$B,2,FALSE),0)</f>
        <v/>
      </c>
      <c r="P15" s="32">
        <f>IFERROR(INDEX('_why_3e'!$B11:$L11,MATCH(M15,$B$5:$L$5,0)),"")</f>
        <v/>
      </c>
    </row>
    <row r="16">
      <c r="A16" s="28" t="n">
        <v>11</v>
      </c>
      <c r="B16" s="13" t="inlineStr">
        <is>
          <t>Harrow</t>
        </is>
      </c>
      <c r="C16" s="13" t="inlineStr">
        <is>
          <t>Harrow</t>
        </is>
      </c>
      <c r="D16" s="13" t="inlineStr">
        <is>
          <t>Harrow</t>
        </is>
      </c>
      <c r="E16" s="13" t="inlineStr">
        <is>
          <t>Harrow</t>
        </is>
      </c>
      <c r="F16" s="13" t="inlineStr">
        <is>
          <t>Harrow</t>
        </is>
      </c>
      <c r="G16" s="13" t="inlineStr">
        <is>
          <t>Harrow</t>
        </is>
      </c>
      <c r="H16" s="13" t="inlineStr">
        <is>
          <t>Harrow</t>
        </is>
      </c>
      <c r="I16" s="13" t="inlineStr">
        <is>
          <t>Harrow</t>
        </is>
      </c>
      <c r="J16" s="13" t="inlineStr">
        <is>
          <t>Harrow</t>
        </is>
      </c>
      <c r="K16" s="13" t="inlineStr">
        <is>
          <t>Harrow</t>
        </is>
      </c>
      <c r="L16" s="13" t="inlineStr">
        <is>
          <t>Harrow</t>
        </is>
      </c>
      <c r="M16" s="30" t="inlineStr">
        <is>
          <t>Fun Max</t>
        </is>
      </c>
      <c r="N16" s="31">
        <f>INDEX(B16:L16,MATCH(M16,$B$5:$L$5,0))</f>
        <v/>
      </c>
      <c r="O16" s="22">
        <f>IFERROR(VLOOKUP(N16,Prices!$A:$B,2,FALSE),0)</f>
        <v/>
      </c>
      <c r="P16" s="32">
        <f>IFERROR(INDEX('_why_3e'!$B12:$L12,MATCH(M16,$B$5:$L$5,0)),"")</f>
        <v/>
      </c>
    </row>
    <row r="17">
      <c r="A17" s="28" t="n">
        <v>12</v>
      </c>
      <c r="B17" s="33" t="inlineStr">
        <is>
          <t>Cultivate</t>
        </is>
      </c>
      <c r="C17" s="33" t="inlineStr">
        <is>
          <t>Cultivate</t>
        </is>
      </c>
      <c r="D17" s="33" t="inlineStr">
        <is>
          <t>Cultivate</t>
        </is>
      </c>
      <c r="E17" s="33" t="inlineStr">
        <is>
          <t>Cultivate</t>
        </is>
      </c>
      <c r="F17" s="33" t="inlineStr">
        <is>
          <t>Cultivate</t>
        </is>
      </c>
      <c r="G17" s="33" t="inlineStr">
        <is>
          <t>Cultivate</t>
        </is>
      </c>
      <c r="H17" s="33" t="inlineStr">
        <is>
          <t>Cultivate</t>
        </is>
      </c>
      <c r="I17" s="33" t="inlineStr">
        <is>
          <t>Cultivate</t>
        </is>
      </c>
      <c r="J17" s="33" t="inlineStr">
        <is>
          <t>Cultivate</t>
        </is>
      </c>
      <c r="K17" s="33" t="inlineStr">
        <is>
          <t>Cultivate</t>
        </is>
      </c>
      <c r="L17" s="33" t="inlineStr">
        <is>
          <t>Cultivate</t>
        </is>
      </c>
      <c r="M17" s="30" t="inlineStr">
        <is>
          <t>Fun Max</t>
        </is>
      </c>
      <c r="N17" s="31">
        <f>INDEX(B17:L17,MATCH(M17,$B$5:$L$5,0))</f>
        <v/>
      </c>
      <c r="O17" s="22">
        <f>IFERROR(VLOOKUP(N17,Prices!$A:$B,2,FALSE),0)</f>
        <v/>
      </c>
      <c r="P17" s="32">
        <f>IFERROR(INDEX('_why_3e'!$B13:$L13,MATCH(M17,$B$5:$L$5,0)),"")</f>
        <v/>
      </c>
    </row>
    <row r="18">
      <c r="A18" s="28" t="n">
        <v>13</v>
      </c>
      <c r="B18" s="13" t="inlineStr">
        <is>
          <t>Kodama's Reach</t>
        </is>
      </c>
      <c r="C18" s="13" t="inlineStr">
        <is>
          <t>Kodama's Reach</t>
        </is>
      </c>
      <c r="D18" s="13" t="inlineStr">
        <is>
          <t>Kodama's Reach</t>
        </is>
      </c>
      <c r="E18" s="13" t="inlineStr">
        <is>
          <t>Kodama's Reach</t>
        </is>
      </c>
      <c r="F18" s="13" t="inlineStr">
        <is>
          <t>Kodama's Reach</t>
        </is>
      </c>
      <c r="G18" s="13" t="inlineStr">
        <is>
          <t>Kodama's Reach</t>
        </is>
      </c>
      <c r="H18" s="13" t="inlineStr">
        <is>
          <t>Kodama's Reach</t>
        </is>
      </c>
      <c r="I18" s="13" t="inlineStr">
        <is>
          <t>Kodama's Reach</t>
        </is>
      </c>
      <c r="J18" s="13" t="inlineStr">
        <is>
          <t>Kodama's Reach</t>
        </is>
      </c>
      <c r="K18" s="13" t="inlineStr">
        <is>
          <t>Kodama's Reach</t>
        </is>
      </c>
      <c r="L18" s="13" t="inlineStr">
        <is>
          <t>Kodama's Reach</t>
        </is>
      </c>
      <c r="M18" s="30" t="inlineStr">
        <is>
          <t>Fun Max</t>
        </is>
      </c>
      <c r="N18" s="31">
        <f>INDEX(B18:L18,MATCH(M18,$B$5:$L$5,0))</f>
        <v/>
      </c>
      <c r="O18" s="22">
        <f>IFERROR(VLOOKUP(N18,Prices!$A:$B,2,FALSE),0)</f>
        <v/>
      </c>
      <c r="P18" s="32">
        <f>IFERROR(INDEX('_why_3e'!$B14:$L14,MATCH(M18,$B$5:$L$5,0)),"")</f>
        <v/>
      </c>
    </row>
    <row r="19">
      <c r="A19" s="28" t="n">
        <v>14</v>
      </c>
      <c r="B19" s="33" t="inlineStr">
        <is>
          <t>Skyshroud Claim</t>
        </is>
      </c>
      <c r="C19" s="33" t="inlineStr">
        <is>
          <t>Skyshroud Claim</t>
        </is>
      </c>
      <c r="D19" s="33" t="inlineStr">
        <is>
          <t>Skyshroud Claim</t>
        </is>
      </c>
      <c r="E19" s="33" t="inlineStr">
        <is>
          <t>Skyshroud Claim</t>
        </is>
      </c>
      <c r="F19" s="33" t="inlineStr">
        <is>
          <t>Skyshroud Claim</t>
        </is>
      </c>
      <c r="G19" s="33" t="inlineStr">
        <is>
          <t>Skyshroud Claim</t>
        </is>
      </c>
      <c r="H19" s="33" t="inlineStr">
        <is>
          <t>Skyshroud Claim</t>
        </is>
      </c>
      <c r="I19" s="33" t="inlineStr">
        <is>
          <t>Skyshroud Claim</t>
        </is>
      </c>
      <c r="J19" s="33" t="inlineStr">
        <is>
          <t>Skyshroud Claim</t>
        </is>
      </c>
      <c r="K19" s="33" t="inlineStr">
        <is>
          <t>Skyshroud Claim</t>
        </is>
      </c>
      <c r="L19" s="33" t="inlineStr">
        <is>
          <t>Skyshroud Claim</t>
        </is>
      </c>
      <c r="M19" s="30" t="inlineStr">
        <is>
          <t>Fun Max</t>
        </is>
      </c>
      <c r="N19" s="31">
        <f>INDEX(B19:L19,MATCH(M19,$B$5:$L$5,0))</f>
        <v/>
      </c>
      <c r="O19" s="22">
        <f>IFERROR(VLOOKUP(N19,Prices!$A:$B,2,FALSE),0)</f>
        <v/>
      </c>
      <c r="P19" s="32">
        <f>IFERROR(INDEX('_why_3e'!$B15:$L15,MATCH(M19,$B$5:$L$5,0)),"")</f>
        <v/>
      </c>
    </row>
    <row r="20">
      <c r="A20" s="28" t="n">
        <v>15</v>
      </c>
      <c r="B20" s="13" t="inlineStr">
        <is>
          <t>Grisly Salvage</t>
        </is>
      </c>
      <c r="C20" s="13" t="inlineStr">
        <is>
          <t>Grisly Salvage</t>
        </is>
      </c>
      <c r="D20" s="13" t="inlineStr">
        <is>
          <t>Grisly Salvage</t>
        </is>
      </c>
      <c r="E20" s="13" t="inlineStr">
        <is>
          <t>Grisly Salvage</t>
        </is>
      </c>
      <c r="F20" s="13" t="inlineStr">
        <is>
          <t>Grisly Salvage</t>
        </is>
      </c>
      <c r="G20" s="13" t="inlineStr">
        <is>
          <t>Grisly Salvage</t>
        </is>
      </c>
      <c r="H20" s="13" t="inlineStr">
        <is>
          <t>Grisly Salvage</t>
        </is>
      </c>
      <c r="I20" s="13" t="inlineStr">
        <is>
          <t>Grisly Salvage</t>
        </is>
      </c>
      <c r="J20" s="13" t="inlineStr">
        <is>
          <t>Grisly Salvage</t>
        </is>
      </c>
      <c r="K20" s="13" t="inlineStr">
        <is>
          <t>Grisly Salvage</t>
        </is>
      </c>
      <c r="L20" s="13" t="inlineStr">
        <is>
          <t>Grisly Salvage</t>
        </is>
      </c>
      <c r="M20" s="30" t="inlineStr">
        <is>
          <t>Fun Max</t>
        </is>
      </c>
      <c r="N20" s="31">
        <f>INDEX(B20:L20,MATCH(M20,$B$5:$L$5,0))</f>
        <v/>
      </c>
      <c r="O20" s="22">
        <f>IFERROR(VLOOKUP(N20,Prices!$A:$B,2,FALSE),0)</f>
        <v/>
      </c>
      <c r="P20" s="32">
        <f>IFERROR(INDEX('_why_3e'!$B16:$L16,MATCH(M20,$B$5:$L$5,0)),"")</f>
        <v/>
      </c>
    </row>
    <row r="21">
      <c r="A21" s="28" t="n">
        <v>16</v>
      </c>
      <c r="B21" s="33" t="inlineStr">
        <is>
          <t>Satyr Wayfinder</t>
        </is>
      </c>
      <c r="C21" s="33" t="inlineStr">
        <is>
          <t>Satyr Wayfinder</t>
        </is>
      </c>
      <c r="D21" s="33" t="inlineStr">
        <is>
          <t>Satyr Wayfinder</t>
        </is>
      </c>
      <c r="E21" s="33" t="inlineStr">
        <is>
          <t>Satyr Wayfinder</t>
        </is>
      </c>
      <c r="F21" s="33" t="inlineStr">
        <is>
          <t>Satyr Wayfinder</t>
        </is>
      </c>
      <c r="G21" s="33" t="inlineStr">
        <is>
          <t>Satyr Wayfinder</t>
        </is>
      </c>
      <c r="H21" s="33" t="inlineStr">
        <is>
          <t>Satyr Wayfinder</t>
        </is>
      </c>
      <c r="I21" s="33" t="inlineStr">
        <is>
          <t>Satyr Wayfinder</t>
        </is>
      </c>
      <c r="J21" s="33" t="inlineStr">
        <is>
          <t>Satyr Wayfinder</t>
        </is>
      </c>
      <c r="K21" s="33" t="inlineStr">
        <is>
          <t>Satyr Wayfinder</t>
        </is>
      </c>
      <c r="L21" s="33" t="inlineStr">
        <is>
          <t>Satyr Wayfinder</t>
        </is>
      </c>
      <c r="M21" s="30" t="inlineStr">
        <is>
          <t>Fun Max</t>
        </is>
      </c>
      <c r="N21" s="31">
        <f>INDEX(B21:L21,MATCH(M21,$B$5:$L$5,0))</f>
        <v/>
      </c>
      <c r="O21" s="22">
        <f>IFERROR(VLOOKUP(N21,Prices!$A:$B,2,FALSE),0)</f>
        <v/>
      </c>
      <c r="P21" s="32">
        <f>IFERROR(INDEX('_why_3e'!$B17:$L17,MATCH(M21,$B$5:$L$5,0)),"")</f>
        <v/>
      </c>
    </row>
    <row r="22">
      <c r="A22" s="28" t="n">
        <v>17</v>
      </c>
      <c r="B22" s="13" t="inlineStr">
        <is>
          <t>Stitcher's Supplier</t>
        </is>
      </c>
      <c r="C22" s="13" t="inlineStr">
        <is>
          <t>Stitcher's Supplier</t>
        </is>
      </c>
      <c r="D22" s="13" t="inlineStr">
        <is>
          <t>Stitcher's Supplier</t>
        </is>
      </c>
      <c r="E22" s="13" t="inlineStr">
        <is>
          <t>Stitcher's Supplier</t>
        </is>
      </c>
      <c r="F22" s="13" t="inlineStr">
        <is>
          <t>Stitcher's Supplier</t>
        </is>
      </c>
      <c r="G22" s="13" t="inlineStr">
        <is>
          <t>Stitcher's Supplier</t>
        </is>
      </c>
      <c r="H22" s="13" t="inlineStr">
        <is>
          <t>Stitcher's Supplier</t>
        </is>
      </c>
      <c r="I22" s="13" t="inlineStr">
        <is>
          <t>Stitcher's Supplier</t>
        </is>
      </c>
      <c r="J22" s="13" t="inlineStr">
        <is>
          <t>Stitcher's Supplier</t>
        </is>
      </c>
      <c r="K22" s="13" t="inlineStr">
        <is>
          <t>Stitcher's Supplier</t>
        </is>
      </c>
      <c r="L22" s="13" t="inlineStr">
        <is>
          <t>Stitcher's Supplier</t>
        </is>
      </c>
      <c r="M22" s="30" t="inlineStr">
        <is>
          <t>Fun Max</t>
        </is>
      </c>
      <c r="N22" s="31">
        <f>INDEX(B22:L22,MATCH(M22,$B$5:$L$5,0))</f>
        <v/>
      </c>
      <c r="O22" s="22">
        <f>IFERROR(VLOOKUP(N22,Prices!$A:$B,2,FALSE),0)</f>
        <v/>
      </c>
      <c r="P22" s="32">
        <f>IFERROR(INDEX('_why_3e'!$B18:$L18,MATCH(M22,$B$5:$L$5,0)),"")</f>
        <v/>
      </c>
    </row>
    <row r="23">
      <c r="A23" s="28" t="n">
        <v>18</v>
      </c>
      <c r="B23" s="33" t="inlineStr">
        <is>
          <t>Mulch</t>
        </is>
      </c>
      <c r="C23" s="33" t="inlineStr">
        <is>
          <t>Mulch</t>
        </is>
      </c>
      <c r="D23" s="33" t="inlineStr">
        <is>
          <t>Mulch</t>
        </is>
      </c>
      <c r="E23" s="33" t="inlineStr">
        <is>
          <t>Mulch</t>
        </is>
      </c>
      <c r="F23" s="33" t="inlineStr">
        <is>
          <t>Mulch</t>
        </is>
      </c>
      <c r="G23" s="33" t="inlineStr">
        <is>
          <t>Mulch</t>
        </is>
      </c>
      <c r="H23" s="33" t="inlineStr">
        <is>
          <t>Mulch</t>
        </is>
      </c>
      <c r="I23" s="33" t="inlineStr">
        <is>
          <t>Mulch</t>
        </is>
      </c>
      <c r="J23" s="33" t="inlineStr">
        <is>
          <t>Mulch</t>
        </is>
      </c>
      <c r="K23" s="33" t="inlineStr">
        <is>
          <t>Mulch</t>
        </is>
      </c>
      <c r="L23" s="33" t="inlineStr">
        <is>
          <t>Mulch</t>
        </is>
      </c>
      <c r="M23" s="30" t="inlineStr">
        <is>
          <t>Fun Max</t>
        </is>
      </c>
      <c r="N23" s="31">
        <f>INDEX(B23:L23,MATCH(M23,$B$5:$L$5,0))</f>
        <v/>
      </c>
      <c r="O23" s="22">
        <f>IFERROR(VLOOKUP(N23,Prices!$A:$B,2,FALSE),0)</f>
        <v/>
      </c>
      <c r="P23" s="32">
        <f>IFERROR(INDEX('_why_3e'!$B19:$L19,MATCH(M23,$B$5:$L$5,0)),"")</f>
        <v/>
      </c>
    </row>
    <row r="24">
      <c r="A24" s="28" t="n">
        <v>19</v>
      </c>
      <c r="B24" s="13" t="inlineStr">
        <is>
          <t>Dredge the Mire</t>
        </is>
      </c>
      <c r="C24" s="13" t="inlineStr">
        <is>
          <t>Dredge the Mire</t>
        </is>
      </c>
      <c r="D24" s="13" t="inlineStr">
        <is>
          <t>Dredge the Mire</t>
        </is>
      </c>
      <c r="E24" s="13" t="inlineStr">
        <is>
          <t>Dredge the Mire</t>
        </is>
      </c>
      <c r="F24" s="13" t="inlineStr">
        <is>
          <t>Dredge the Mire</t>
        </is>
      </c>
      <c r="G24" s="13" t="inlineStr">
        <is>
          <t>Dredge the Mire</t>
        </is>
      </c>
      <c r="H24" s="13" t="inlineStr">
        <is>
          <t>Dredge the Mire</t>
        </is>
      </c>
      <c r="I24" s="13" t="inlineStr">
        <is>
          <t>Dredge the Mire</t>
        </is>
      </c>
      <c r="J24" s="13" t="inlineStr">
        <is>
          <t>Dredge the Mire</t>
        </is>
      </c>
      <c r="K24" s="13" t="inlineStr">
        <is>
          <t>Dredge the Mire</t>
        </is>
      </c>
      <c r="L24" s="13" t="inlineStr">
        <is>
          <t>Dredge the Mire</t>
        </is>
      </c>
      <c r="M24" s="30" t="inlineStr">
        <is>
          <t>Fun Max</t>
        </is>
      </c>
      <c r="N24" s="31">
        <f>INDEX(B24:L24,MATCH(M24,$B$5:$L$5,0))</f>
        <v/>
      </c>
      <c r="O24" s="22">
        <f>IFERROR(VLOOKUP(N24,Prices!$A:$B,2,FALSE),0)</f>
        <v/>
      </c>
      <c r="P24" s="32">
        <f>IFERROR(INDEX('_why_3e'!$B20:$L20,MATCH(M24,$B$5:$L$5,0)),"")</f>
        <v/>
      </c>
    </row>
    <row r="25">
      <c r="A25" s="28" t="n">
        <v>20</v>
      </c>
      <c r="B25" s="33" t="inlineStr">
        <is>
          <t>Putrefy</t>
        </is>
      </c>
      <c r="C25" s="33" t="inlineStr">
        <is>
          <t>Putrefy</t>
        </is>
      </c>
      <c r="D25" s="33" t="inlineStr">
        <is>
          <t>Putrefy</t>
        </is>
      </c>
      <c r="E25" s="33" t="inlineStr">
        <is>
          <t>Putrefy</t>
        </is>
      </c>
      <c r="F25" s="33" t="inlineStr">
        <is>
          <t>Putrefy</t>
        </is>
      </c>
      <c r="G25" s="33" t="inlineStr">
        <is>
          <t>Putrefy</t>
        </is>
      </c>
      <c r="H25" s="33" t="inlineStr">
        <is>
          <t>Putrefy</t>
        </is>
      </c>
      <c r="I25" s="33" t="inlineStr">
        <is>
          <t>Putrefy</t>
        </is>
      </c>
      <c r="J25" s="33" t="inlineStr">
        <is>
          <t>Putrefy</t>
        </is>
      </c>
      <c r="K25" s="33" t="inlineStr">
        <is>
          <t>Putrefy</t>
        </is>
      </c>
      <c r="L25" s="33" t="inlineStr">
        <is>
          <t>Putrefy</t>
        </is>
      </c>
      <c r="M25" s="30" t="inlineStr">
        <is>
          <t>Fun Max</t>
        </is>
      </c>
      <c r="N25" s="31">
        <f>INDEX(B25:L25,MATCH(M25,$B$5:$L$5,0))</f>
        <v/>
      </c>
      <c r="O25" s="22">
        <f>IFERROR(VLOOKUP(N25,Prices!$A:$B,2,FALSE),0)</f>
        <v/>
      </c>
      <c r="P25" s="32">
        <f>IFERROR(INDEX('_why_3e'!$B21:$L21,MATCH(M25,$B$5:$L$5,0)),"")</f>
        <v/>
      </c>
    </row>
    <row r="26">
      <c r="A26" s="28" t="n">
        <v>21</v>
      </c>
      <c r="B26" s="13" t="inlineStr">
        <is>
          <t>Maelstrom Pulse</t>
        </is>
      </c>
      <c r="C26" s="13" t="inlineStr">
        <is>
          <t>Maelstrom Pulse</t>
        </is>
      </c>
      <c r="D26" s="13" t="inlineStr">
        <is>
          <t>Maelstrom Pulse</t>
        </is>
      </c>
      <c r="E26" s="13" t="inlineStr">
        <is>
          <t>Maelstrom Pulse</t>
        </is>
      </c>
      <c r="F26" s="13" t="inlineStr">
        <is>
          <t>Maelstrom Pulse</t>
        </is>
      </c>
      <c r="G26" s="13" t="inlineStr">
        <is>
          <t>Maelstrom Pulse</t>
        </is>
      </c>
      <c r="H26" s="13" t="inlineStr">
        <is>
          <t>Maelstrom Pulse</t>
        </is>
      </c>
      <c r="I26" s="13" t="inlineStr">
        <is>
          <t>Maelstrom Pulse</t>
        </is>
      </c>
      <c r="J26" s="13" t="inlineStr">
        <is>
          <t>Maelstrom Pulse</t>
        </is>
      </c>
      <c r="K26" s="13" t="inlineStr">
        <is>
          <t>Maelstrom Pulse</t>
        </is>
      </c>
      <c r="L26" s="13" t="inlineStr">
        <is>
          <t>Maelstrom Pulse</t>
        </is>
      </c>
      <c r="M26" s="30" t="inlineStr">
        <is>
          <t>Fun Max</t>
        </is>
      </c>
      <c r="N26" s="31">
        <f>INDEX(B26:L26,MATCH(M26,$B$5:$L$5,0))</f>
        <v/>
      </c>
      <c r="O26" s="22">
        <f>IFERROR(VLOOKUP(N26,Prices!$A:$B,2,FALSE),0)</f>
        <v/>
      </c>
      <c r="P26" s="32">
        <f>IFERROR(INDEX('_why_3e'!$B22:$L22,MATCH(M26,$B$5:$L$5,0)),"")</f>
        <v/>
      </c>
    </row>
    <row r="27">
      <c r="A27" s="28" t="n">
        <v>22</v>
      </c>
      <c r="B27" s="33" t="inlineStr">
        <is>
          <t>Assassin's Trophy</t>
        </is>
      </c>
      <c r="C27" s="34" t="inlineStr">
        <is>
          <t>Splendid Reclamation</t>
        </is>
      </c>
      <c r="D27" s="34" t="inlineStr">
        <is>
          <t>Splendid Reclamation</t>
        </is>
      </c>
      <c r="E27" s="34" t="inlineStr">
        <is>
          <t>Crop Rotation</t>
        </is>
      </c>
      <c r="F27" s="34" t="inlineStr">
        <is>
          <t>Field of the Dead</t>
        </is>
      </c>
      <c r="G27" s="34" t="inlineStr">
        <is>
          <t>Field of the Dead</t>
        </is>
      </c>
      <c r="H27" s="34" t="inlineStr">
        <is>
          <t>Field of the Dead</t>
        </is>
      </c>
      <c r="I27" s="34" t="inlineStr">
        <is>
          <t>Glissa Sunslayer</t>
        </is>
      </c>
      <c r="J27" s="34" t="inlineStr">
        <is>
          <t>Inspiring Call</t>
        </is>
      </c>
      <c r="K27" s="34" t="inlineStr">
        <is>
          <t>Inspiring Call</t>
        </is>
      </c>
      <c r="L27" s="34" t="inlineStr">
        <is>
          <t>Heritage Reclamation</t>
        </is>
      </c>
      <c r="M27" s="30" t="inlineStr">
        <is>
          <t>Fun Max</t>
        </is>
      </c>
      <c r="N27" s="31">
        <f>INDEX(B27:L27,MATCH(M27,$B$5:$L$5,0))</f>
        <v/>
      </c>
      <c r="O27" s="22">
        <f>IFERROR(VLOOKUP(N27,Prices!$A:$B,2,FALSE),0)</f>
        <v/>
      </c>
      <c r="P27" s="32">
        <f>IFERROR(INDEX('_why_3e'!$B23:$L23,MATCH(M27,$B$5:$L$5,0)),"")</f>
        <v/>
      </c>
    </row>
    <row r="28">
      <c r="A28" s="28" t="n">
        <v>23</v>
      </c>
      <c r="B28" s="13" t="inlineStr">
        <is>
          <t>Bloodchief's Thirst</t>
        </is>
      </c>
      <c r="C28" s="29" t="inlineStr">
        <is>
          <t>Life from the Loam</t>
        </is>
      </c>
      <c r="D28" s="29" t="inlineStr">
        <is>
          <t>Life from the Loam</t>
        </is>
      </c>
      <c r="E28" s="29" t="inlineStr">
        <is>
          <t>Necropotence</t>
        </is>
      </c>
      <c r="F28" s="29" t="inlineStr">
        <is>
          <t>Life from the Loam</t>
        </is>
      </c>
      <c r="G28" s="29" t="inlineStr">
        <is>
          <t>Necropotence</t>
        </is>
      </c>
      <c r="H28" s="29" t="inlineStr">
        <is>
          <t>Necropotence</t>
        </is>
      </c>
      <c r="I28" s="29" t="inlineStr">
        <is>
          <t>Origin of Metalbending</t>
        </is>
      </c>
      <c r="J28" s="29" t="inlineStr">
        <is>
          <t>Wear Down</t>
        </is>
      </c>
      <c r="K28" s="29" t="inlineStr">
        <is>
          <t>Abrupt Decay</t>
        </is>
      </c>
      <c r="L28" s="29" t="inlineStr">
        <is>
          <t>Abrupt Decay</t>
        </is>
      </c>
      <c r="M28" s="30" t="inlineStr">
        <is>
          <t>Fun Max</t>
        </is>
      </c>
      <c r="N28" s="31">
        <f>INDEX(B28:L28,MATCH(M28,$B$5:$L$5,0))</f>
        <v/>
      </c>
      <c r="O28" s="22">
        <f>IFERROR(VLOOKUP(N28,Prices!$A:$B,2,FALSE),0)</f>
        <v/>
      </c>
      <c r="P28" s="32">
        <f>IFERROR(INDEX('_why_3e'!$B24:$L24,MATCH(M28,$B$5:$L$5,0)),"")</f>
        <v/>
      </c>
    </row>
    <row r="29">
      <c r="A29" s="28" t="n">
        <v>24</v>
      </c>
      <c r="B29" s="33" t="inlineStr">
        <is>
          <t>Go for the Throat</t>
        </is>
      </c>
      <c r="C29" s="33" t="inlineStr">
        <is>
          <t>Go for the Throat</t>
        </is>
      </c>
      <c r="D29" s="33" t="inlineStr">
        <is>
          <t>Go for the Throat</t>
        </is>
      </c>
      <c r="E29" s="33" t="inlineStr">
        <is>
          <t>Go for the Throat</t>
        </is>
      </c>
      <c r="F29" s="33" t="inlineStr">
        <is>
          <t>Go for the Throat</t>
        </is>
      </c>
      <c r="G29" s="33" t="inlineStr">
        <is>
          <t>Go for the Throat</t>
        </is>
      </c>
      <c r="H29" s="33" t="inlineStr">
        <is>
          <t>Go for the Throat</t>
        </is>
      </c>
      <c r="I29" s="33" t="inlineStr">
        <is>
          <t>Go for the Throat</t>
        </is>
      </c>
      <c r="J29" s="33" t="inlineStr">
        <is>
          <t>Go for the Throat</t>
        </is>
      </c>
      <c r="K29" s="33" t="inlineStr">
        <is>
          <t>Go for the Throat</t>
        </is>
      </c>
      <c r="L29" s="33" t="inlineStr">
        <is>
          <t>Go for the Throat</t>
        </is>
      </c>
      <c r="M29" s="30" t="inlineStr">
        <is>
          <t>Fun Max</t>
        </is>
      </c>
      <c r="N29" s="31">
        <f>INDEX(B29:L29,MATCH(M29,$B$5:$L$5,0))</f>
        <v/>
      </c>
      <c r="O29" s="22">
        <f>IFERROR(VLOOKUP(N29,Prices!$A:$B,2,FALSE),0)</f>
        <v/>
      </c>
      <c r="P29" s="32">
        <f>IFERROR(INDEX('_why_3e'!$B25:$L25,MATCH(M29,$B$5:$L$5,0)),"")</f>
        <v/>
      </c>
    </row>
    <row r="30">
      <c r="A30" s="28" t="n">
        <v>25</v>
      </c>
      <c r="B30" s="13" t="inlineStr">
        <is>
          <t>Casualties of War</t>
        </is>
      </c>
      <c r="C30" s="13" t="inlineStr">
        <is>
          <t>Casualties of War</t>
        </is>
      </c>
      <c r="D30" s="13" t="inlineStr">
        <is>
          <t>Casualties of War</t>
        </is>
      </c>
      <c r="E30" s="13" t="inlineStr">
        <is>
          <t>Casualties of War</t>
        </is>
      </c>
      <c r="F30" s="29" t="inlineStr">
        <is>
          <t>Abrupt Decay</t>
        </is>
      </c>
      <c r="G30" s="29" t="inlineStr">
        <is>
          <t>Abrupt Decay</t>
        </is>
      </c>
      <c r="H30" s="29" t="inlineStr">
        <is>
          <t>Abrupt Decay</t>
        </is>
      </c>
      <c r="I30" s="13" t="inlineStr">
        <is>
          <t>Casualties of War</t>
        </is>
      </c>
      <c r="J30" s="13" t="inlineStr">
        <is>
          <t>Casualties of War</t>
        </is>
      </c>
      <c r="K30" s="13" t="inlineStr">
        <is>
          <t>Casualties of War</t>
        </is>
      </c>
      <c r="L30" s="29" t="inlineStr">
        <is>
          <t>Wear Down</t>
        </is>
      </c>
      <c r="M30" s="30" t="inlineStr">
        <is>
          <t>Fun Max</t>
        </is>
      </c>
      <c r="N30" s="31">
        <f>INDEX(B30:L30,MATCH(M30,$B$5:$L$5,0))</f>
        <v/>
      </c>
      <c r="O30" s="22">
        <f>IFERROR(VLOOKUP(N30,Prices!$A:$B,2,FALSE),0)</f>
        <v/>
      </c>
      <c r="P30" s="32">
        <f>IFERROR(INDEX('_why_3e'!$B26:$L26,MATCH(M30,$B$5:$L$5,0)),"")</f>
        <v/>
      </c>
    </row>
    <row r="31">
      <c r="A31" s="28" t="n">
        <v>26</v>
      </c>
      <c r="B31" s="33" t="inlineStr">
        <is>
          <t>Reclamation Sage</t>
        </is>
      </c>
      <c r="C31" s="33" t="inlineStr">
        <is>
          <t>Reclamation Sage</t>
        </is>
      </c>
      <c r="D31" s="33" t="inlineStr">
        <is>
          <t>Reclamation Sage</t>
        </is>
      </c>
      <c r="E31" s="33" t="inlineStr">
        <is>
          <t>Reclamation Sage</t>
        </is>
      </c>
      <c r="F31" s="33" t="inlineStr">
        <is>
          <t>Reclamation Sage</t>
        </is>
      </c>
      <c r="G31" s="33" t="inlineStr">
        <is>
          <t>Reclamation Sage</t>
        </is>
      </c>
      <c r="H31" s="33" t="inlineStr">
        <is>
          <t>Reclamation Sage</t>
        </is>
      </c>
      <c r="I31" s="33" t="inlineStr">
        <is>
          <t>Reclamation Sage</t>
        </is>
      </c>
      <c r="J31" s="33" t="inlineStr">
        <is>
          <t>Reclamation Sage</t>
        </is>
      </c>
      <c r="K31" s="33" t="inlineStr">
        <is>
          <t>Reclamation Sage</t>
        </is>
      </c>
      <c r="L31" s="33" t="inlineStr">
        <is>
          <t>Reclamation Sage</t>
        </is>
      </c>
      <c r="M31" s="30" t="inlineStr">
        <is>
          <t>Fun Max</t>
        </is>
      </c>
      <c r="N31" s="31">
        <f>INDEX(B31:L31,MATCH(M31,$B$5:$L$5,0))</f>
        <v/>
      </c>
      <c r="O31" s="22">
        <f>IFERROR(VLOOKUP(N31,Prices!$A:$B,2,FALSE),0)</f>
        <v/>
      </c>
      <c r="P31" s="32">
        <f>IFERROR(INDEX('_why_3e'!$B27:$L27,MATCH(M31,$B$5:$L$5,0)),"")</f>
        <v/>
      </c>
    </row>
    <row r="32">
      <c r="A32" s="28" t="n">
        <v>27</v>
      </c>
      <c r="B32" s="13" t="inlineStr">
        <is>
          <t>Acidic Slime</t>
        </is>
      </c>
      <c r="C32" s="13" t="inlineStr">
        <is>
          <t>Acidic Slime</t>
        </is>
      </c>
      <c r="D32" s="13" t="inlineStr">
        <is>
          <t>Acidic Slime</t>
        </is>
      </c>
      <c r="E32" s="13" t="inlineStr">
        <is>
          <t>Acidic Slime</t>
        </is>
      </c>
      <c r="F32" s="13" t="inlineStr">
        <is>
          <t>Acidic Slime</t>
        </is>
      </c>
      <c r="G32" s="13" t="inlineStr">
        <is>
          <t>Acidic Slime</t>
        </is>
      </c>
      <c r="H32" s="13" t="inlineStr">
        <is>
          <t>Acidic Slime</t>
        </is>
      </c>
      <c r="I32" s="13" t="inlineStr">
        <is>
          <t>Acidic Slime</t>
        </is>
      </c>
      <c r="J32" s="13" t="inlineStr">
        <is>
          <t>Acidic Slime</t>
        </is>
      </c>
      <c r="K32" s="13" t="inlineStr">
        <is>
          <t>Acidic Slime</t>
        </is>
      </c>
      <c r="L32" s="13" t="inlineStr">
        <is>
          <t>Acidic Slime</t>
        </is>
      </c>
      <c r="M32" s="30" t="inlineStr">
        <is>
          <t>Fun Max</t>
        </is>
      </c>
      <c r="N32" s="31">
        <f>INDEX(B32:L32,MATCH(M32,$B$5:$L$5,0))</f>
        <v/>
      </c>
      <c r="O32" s="22">
        <f>IFERROR(VLOOKUP(N32,Prices!$A:$B,2,FALSE),0)</f>
        <v/>
      </c>
      <c r="P32" s="32">
        <f>IFERROR(INDEX('_why_3e'!$B28:$L28,MATCH(M32,$B$5:$L$5,0)),"")</f>
        <v/>
      </c>
    </row>
    <row r="33">
      <c r="A33" s="28" t="n">
        <v>28</v>
      </c>
      <c r="B33" s="33" t="inlineStr">
        <is>
          <t>Eternal Witness</t>
        </is>
      </c>
      <c r="C33" s="33" t="inlineStr">
        <is>
          <t>Eternal Witness</t>
        </is>
      </c>
      <c r="D33" s="33" t="inlineStr">
        <is>
          <t>Eternal Witness</t>
        </is>
      </c>
      <c r="E33" s="33" t="inlineStr">
        <is>
          <t>Eternal Witness</t>
        </is>
      </c>
      <c r="F33" s="33" t="inlineStr">
        <is>
          <t>Eternal Witness</t>
        </is>
      </c>
      <c r="G33" s="33" t="inlineStr">
        <is>
          <t>Eternal Witness</t>
        </is>
      </c>
      <c r="H33" s="33" t="inlineStr">
        <is>
          <t>Eternal Witness</t>
        </is>
      </c>
      <c r="I33" s="33" t="inlineStr">
        <is>
          <t>Eternal Witness</t>
        </is>
      </c>
      <c r="J33" s="33" t="inlineStr">
        <is>
          <t>Eternal Witness</t>
        </is>
      </c>
      <c r="K33" s="33" t="inlineStr">
        <is>
          <t>Eternal Witness</t>
        </is>
      </c>
      <c r="L33" s="33" t="inlineStr">
        <is>
          <t>Eternal Witness</t>
        </is>
      </c>
      <c r="M33" s="30" t="inlineStr">
        <is>
          <t>Fun Max</t>
        </is>
      </c>
      <c r="N33" s="31">
        <f>INDEX(B33:L33,MATCH(M33,$B$5:$L$5,0))</f>
        <v/>
      </c>
      <c r="O33" s="22">
        <f>IFERROR(VLOOKUP(N33,Prices!$A:$B,2,FALSE),0)</f>
        <v/>
      </c>
      <c r="P33" s="32">
        <f>IFERROR(INDEX('_why_3e'!$B29:$L29,MATCH(M33,$B$5:$L$5,0)),"")</f>
        <v/>
      </c>
    </row>
    <row r="34">
      <c r="A34" s="28" t="n">
        <v>29</v>
      </c>
      <c r="B34" s="13" t="inlineStr">
        <is>
          <t>Wall of Roots</t>
        </is>
      </c>
      <c r="C34" s="13" t="inlineStr">
        <is>
          <t>Wall of Roots</t>
        </is>
      </c>
      <c r="D34" s="13" t="inlineStr">
        <is>
          <t>Wall of Roots</t>
        </is>
      </c>
      <c r="E34" s="13" t="inlineStr">
        <is>
          <t>Wall of Roots</t>
        </is>
      </c>
      <c r="F34" s="13" t="inlineStr">
        <is>
          <t>Wall of Roots</t>
        </is>
      </c>
      <c r="G34" s="13" t="inlineStr">
        <is>
          <t>Wall of Roots</t>
        </is>
      </c>
      <c r="H34" s="13" t="inlineStr">
        <is>
          <t>Wall of Roots</t>
        </is>
      </c>
      <c r="I34" s="13" t="inlineStr">
        <is>
          <t>Wall of Roots</t>
        </is>
      </c>
      <c r="J34" s="13" t="inlineStr">
        <is>
          <t>Wall of Roots</t>
        </is>
      </c>
      <c r="K34" s="13" t="inlineStr">
        <is>
          <t>Wall of Roots</t>
        </is>
      </c>
      <c r="L34" s="13" t="inlineStr">
        <is>
          <t>Wall of Roots</t>
        </is>
      </c>
      <c r="M34" s="30" t="inlineStr">
        <is>
          <t>Fun Max</t>
        </is>
      </c>
      <c r="N34" s="31">
        <f>INDEX(B34:L34,MATCH(M34,$B$5:$L$5,0))</f>
        <v/>
      </c>
      <c r="O34" s="22">
        <f>IFERROR(VLOOKUP(N34,Prices!$A:$B,2,FALSE),0)</f>
        <v/>
      </c>
      <c r="P34" s="32">
        <f>IFERROR(INDEX('_why_3e'!$B30:$L30,MATCH(M34,$B$5:$L$5,0)),"")</f>
        <v/>
      </c>
    </row>
    <row r="35">
      <c r="A35" s="28" t="n">
        <v>30</v>
      </c>
      <c r="B35" s="33" t="inlineStr">
        <is>
          <t>Feed the Swarm</t>
        </is>
      </c>
      <c r="C35" s="33" t="inlineStr">
        <is>
          <t>Feed the Swarm</t>
        </is>
      </c>
      <c r="D35" s="33" t="inlineStr">
        <is>
          <t>Feed the Swarm</t>
        </is>
      </c>
      <c r="E35" s="33" t="inlineStr">
        <is>
          <t>Feed the Swarm</t>
        </is>
      </c>
      <c r="F35" s="33" t="inlineStr">
        <is>
          <t>Feed the Swarm</t>
        </is>
      </c>
      <c r="G35" s="33" t="inlineStr">
        <is>
          <t>Feed the Swarm</t>
        </is>
      </c>
      <c r="H35" s="33" t="inlineStr">
        <is>
          <t>Feed the Swarm</t>
        </is>
      </c>
      <c r="I35" s="33" t="inlineStr">
        <is>
          <t>Feed the Swarm</t>
        </is>
      </c>
      <c r="J35" s="33" t="inlineStr">
        <is>
          <t>Feed the Swarm</t>
        </is>
      </c>
      <c r="K35" s="33" t="inlineStr">
        <is>
          <t>Feed the Swarm</t>
        </is>
      </c>
      <c r="L35" s="33" t="inlineStr">
        <is>
          <t>Feed the Swarm</t>
        </is>
      </c>
      <c r="M35" s="30" t="inlineStr">
        <is>
          <t>Fun Max</t>
        </is>
      </c>
      <c r="N35" s="31">
        <f>INDEX(B35:L35,MATCH(M35,$B$5:$L$5,0))</f>
        <v/>
      </c>
      <c r="O35" s="22">
        <f>IFERROR(VLOOKUP(N35,Prices!$A:$B,2,FALSE),0)</f>
        <v/>
      </c>
      <c r="P35" s="32">
        <f>IFERROR(INDEX('_why_3e'!$B31:$L31,MATCH(M35,$B$5:$L$5,0)),"")</f>
        <v/>
      </c>
    </row>
    <row r="36">
      <c r="A36" s="28" t="n">
        <v>31</v>
      </c>
      <c r="B36" s="13" t="inlineStr">
        <is>
          <t>Llanowar Scout</t>
        </is>
      </c>
      <c r="C36" s="13" t="inlineStr">
        <is>
          <t>Llanowar Scout</t>
        </is>
      </c>
      <c r="D36" s="13" t="inlineStr">
        <is>
          <t>Llanowar Scout</t>
        </is>
      </c>
      <c r="E36" s="13" t="inlineStr">
        <is>
          <t>Llanowar Scout</t>
        </is>
      </c>
      <c r="F36" s="13" t="inlineStr">
        <is>
          <t>Llanowar Scout</t>
        </is>
      </c>
      <c r="G36" s="13" t="inlineStr">
        <is>
          <t>Llanowar Scout</t>
        </is>
      </c>
      <c r="H36" s="13" t="inlineStr">
        <is>
          <t>Llanowar Scout</t>
        </is>
      </c>
      <c r="I36" s="13" t="inlineStr">
        <is>
          <t>Llanowar Scout</t>
        </is>
      </c>
      <c r="J36" s="13" t="inlineStr">
        <is>
          <t>Llanowar Scout</t>
        </is>
      </c>
      <c r="K36" s="13" t="inlineStr">
        <is>
          <t>Llanowar Scout</t>
        </is>
      </c>
      <c r="L36" s="13" t="inlineStr">
        <is>
          <t>Llanowar Scout</t>
        </is>
      </c>
      <c r="M36" s="30" t="inlineStr">
        <is>
          <t>Fun Max</t>
        </is>
      </c>
      <c r="N36" s="31">
        <f>INDEX(B36:L36,MATCH(M36,$B$5:$L$5,0))</f>
        <v/>
      </c>
      <c r="O36" s="22">
        <f>IFERROR(VLOOKUP(N36,Prices!$A:$B,2,FALSE),0)</f>
        <v/>
      </c>
      <c r="P36" s="32">
        <f>IFERROR(INDEX('_why_3e'!$B32:$L32,MATCH(M36,$B$5:$L$5,0)),"")</f>
        <v/>
      </c>
    </row>
    <row r="37">
      <c r="A37" s="28" t="n">
        <v>32</v>
      </c>
      <c r="B37" s="33" t="inlineStr">
        <is>
          <t>Khalni Heart Expedition</t>
        </is>
      </c>
      <c r="C37" s="33" t="inlineStr">
        <is>
          <t>Khalni Heart Expedition</t>
        </is>
      </c>
      <c r="D37" s="33" t="inlineStr">
        <is>
          <t>Khalni Heart Expedition</t>
        </is>
      </c>
      <c r="E37" s="33" t="inlineStr">
        <is>
          <t>Khalni Heart Expedition</t>
        </is>
      </c>
      <c r="F37" s="33" t="inlineStr">
        <is>
          <t>Khalni Heart Expedition</t>
        </is>
      </c>
      <c r="G37" s="33" t="inlineStr">
        <is>
          <t>Khalni Heart Expedition</t>
        </is>
      </c>
      <c r="H37" s="33" t="inlineStr">
        <is>
          <t>Khalni Heart Expedition</t>
        </is>
      </c>
      <c r="I37" s="33" t="inlineStr">
        <is>
          <t>Khalni Heart Expedition</t>
        </is>
      </c>
      <c r="J37" s="33" t="inlineStr">
        <is>
          <t>Khalni Heart Expedition</t>
        </is>
      </c>
      <c r="K37" s="33" t="inlineStr">
        <is>
          <t>Khalni Heart Expedition</t>
        </is>
      </c>
      <c r="L37" s="33" t="inlineStr">
        <is>
          <t>Khalni Heart Expedition</t>
        </is>
      </c>
      <c r="M37" s="30" t="inlineStr">
        <is>
          <t>Fun Max</t>
        </is>
      </c>
      <c r="N37" s="31">
        <f>INDEX(B37:L37,MATCH(M37,$B$5:$L$5,0))</f>
        <v/>
      </c>
      <c r="O37" s="22">
        <f>IFERROR(VLOOKUP(N37,Prices!$A:$B,2,FALSE),0)</f>
        <v/>
      </c>
      <c r="P37" s="32">
        <f>IFERROR(INDEX('_why_3e'!$B33:$L33,MATCH(M37,$B$5:$L$5,0)),"")</f>
        <v/>
      </c>
    </row>
    <row r="38">
      <c r="A38" s="28" t="n">
        <v>33</v>
      </c>
      <c r="B38" s="13" t="inlineStr">
        <is>
          <t>Splinterfright</t>
        </is>
      </c>
      <c r="C38" s="13" t="inlineStr">
        <is>
          <t>Splinterfright</t>
        </is>
      </c>
      <c r="D38" s="13" t="inlineStr">
        <is>
          <t>Splinterfright</t>
        </is>
      </c>
      <c r="E38" s="13" t="inlineStr">
        <is>
          <t>Splinterfright</t>
        </is>
      </c>
      <c r="F38" s="13" t="inlineStr">
        <is>
          <t>Splinterfright</t>
        </is>
      </c>
      <c r="G38" s="13" t="inlineStr">
        <is>
          <t>Splinterfright</t>
        </is>
      </c>
      <c r="H38" s="13" t="inlineStr">
        <is>
          <t>Splinterfright</t>
        </is>
      </c>
      <c r="I38" s="13" t="inlineStr">
        <is>
          <t>Splinterfright</t>
        </is>
      </c>
      <c r="J38" s="13" t="inlineStr">
        <is>
          <t>Splinterfright</t>
        </is>
      </c>
      <c r="K38" s="13" t="inlineStr">
        <is>
          <t>Splinterfright</t>
        </is>
      </c>
      <c r="L38" s="13" t="inlineStr">
        <is>
          <t>Splinterfright</t>
        </is>
      </c>
      <c r="M38" s="30" t="inlineStr">
        <is>
          <t>Fun Max</t>
        </is>
      </c>
      <c r="N38" s="31">
        <f>INDEX(B38:L38,MATCH(M38,$B$5:$L$5,0))</f>
        <v/>
      </c>
      <c r="O38" s="22">
        <f>IFERROR(VLOOKUP(N38,Prices!$A:$B,2,FALSE),0)</f>
        <v/>
      </c>
      <c r="P38" s="32">
        <f>IFERROR(INDEX('_why_3e'!$B34:$L34,MATCH(M38,$B$5:$L$5,0)),"")</f>
        <v/>
      </c>
    </row>
    <row r="39">
      <c r="A39" s="28" t="n">
        <v>34</v>
      </c>
      <c r="B39" s="33" t="inlineStr">
        <is>
          <t>Zendikar's Roil</t>
        </is>
      </c>
      <c r="C39" s="33" t="inlineStr">
        <is>
          <t>Zendikar's Roil</t>
        </is>
      </c>
      <c r="D39" s="33" t="inlineStr">
        <is>
          <t>Zendikar's Roil</t>
        </is>
      </c>
      <c r="E39" s="33" t="inlineStr">
        <is>
          <t>Zendikar's Roil</t>
        </is>
      </c>
      <c r="F39" s="33" t="inlineStr">
        <is>
          <t>Zendikar's Roil</t>
        </is>
      </c>
      <c r="G39" s="33" t="inlineStr">
        <is>
          <t>Zendikar's Roil</t>
        </is>
      </c>
      <c r="H39" s="33" t="inlineStr">
        <is>
          <t>Zendikar's Roil</t>
        </is>
      </c>
      <c r="I39" s="33" t="inlineStr">
        <is>
          <t>Zendikar's Roil</t>
        </is>
      </c>
      <c r="J39" s="33" t="inlineStr">
        <is>
          <t>Zendikar's Roil</t>
        </is>
      </c>
      <c r="K39" s="33" t="inlineStr">
        <is>
          <t>Zendikar's Roil</t>
        </is>
      </c>
      <c r="L39" s="33" t="inlineStr">
        <is>
          <t>Zendikar's Roil</t>
        </is>
      </c>
      <c r="M39" s="30" t="inlineStr">
        <is>
          <t>Fun Max</t>
        </is>
      </c>
      <c r="N39" s="31">
        <f>INDEX(B39:L39,MATCH(M39,$B$5:$L$5,0))</f>
        <v/>
      </c>
      <c r="O39" s="22">
        <f>IFERROR(VLOOKUP(N39,Prices!$A:$B,2,FALSE),0)</f>
        <v/>
      </c>
      <c r="P39" s="32">
        <f>IFERROR(INDEX('_why_3e'!$B35:$L35,MATCH(M39,$B$5:$L$5,0)),"")</f>
        <v/>
      </c>
    </row>
    <row r="40">
      <c r="A40" s="28" t="n">
        <v>35</v>
      </c>
      <c r="B40" s="13" t="inlineStr">
        <is>
          <t>Rampant Growth</t>
        </is>
      </c>
      <c r="C40" s="13" t="inlineStr">
        <is>
          <t>Rampant Growth</t>
        </is>
      </c>
      <c r="D40" s="13" t="inlineStr">
        <is>
          <t>Rampant Growth</t>
        </is>
      </c>
      <c r="E40" s="13" t="inlineStr">
        <is>
          <t>Rampant Growth</t>
        </is>
      </c>
      <c r="F40" s="13" t="inlineStr">
        <is>
          <t>Rampant Growth</t>
        </is>
      </c>
      <c r="G40" s="13" t="inlineStr">
        <is>
          <t>Rampant Growth</t>
        </is>
      </c>
      <c r="H40" s="13" t="inlineStr">
        <is>
          <t>Rampant Growth</t>
        </is>
      </c>
      <c r="I40" s="13" t="inlineStr">
        <is>
          <t>Rampant Growth</t>
        </is>
      </c>
      <c r="J40" s="13" t="inlineStr">
        <is>
          <t>Rampant Growth</t>
        </is>
      </c>
      <c r="K40" s="13" t="inlineStr">
        <is>
          <t>Rampant Growth</t>
        </is>
      </c>
      <c r="L40" s="13" t="inlineStr">
        <is>
          <t>Rampant Growth</t>
        </is>
      </c>
      <c r="M40" s="30" t="inlineStr">
        <is>
          <t>Fun Max</t>
        </is>
      </c>
      <c r="N40" s="31">
        <f>INDEX(B40:L40,MATCH(M40,$B$5:$L$5,0))</f>
        <v/>
      </c>
      <c r="O40" s="22">
        <f>IFERROR(VLOOKUP(N40,Prices!$A:$B,2,FALSE),0)</f>
        <v/>
      </c>
      <c r="P40" s="32">
        <f>IFERROR(INDEX('_why_3e'!$B36:$L36,MATCH(M40,$B$5:$L$5,0)),"")</f>
        <v/>
      </c>
    </row>
    <row r="41">
      <c r="A41" s="28" t="n">
        <v>36</v>
      </c>
      <c r="B41" s="33" t="inlineStr">
        <is>
          <t>Wanderer's Twig</t>
        </is>
      </c>
      <c r="C41" s="33" t="inlineStr">
        <is>
          <t>Wanderer's Twig</t>
        </is>
      </c>
      <c r="D41" s="33" t="inlineStr">
        <is>
          <t>Wanderer's Twig</t>
        </is>
      </c>
      <c r="E41" s="33" t="inlineStr">
        <is>
          <t>Wanderer's Twig</t>
        </is>
      </c>
      <c r="F41" s="33" t="inlineStr">
        <is>
          <t>Wanderer's Twig</t>
        </is>
      </c>
      <c r="G41" s="33" t="inlineStr">
        <is>
          <t>Wanderer's Twig</t>
        </is>
      </c>
      <c r="H41" s="33" t="inlineStr">
        <is>
          <t>Wanderer's Twig</t>
        </is>
      </c>
      <c r="I41" s="33" t="inlineStr">
        <is>
          <t>Wanderer's Twig</t>
        </is>
      </c>
      <c r="J41" s="33" t="inlineStr">
        <is>
          <t>Wanderer's Twig</t>
        </is>
      </c>
      <c r="K41" s="33" t="inlineStr">
        <is>
          <t>Wanderer's Twig</t>
        </is>
      </c>
      <c r="L41" s="33" t="inlineStr">
        <is>
          <t>Wanderer's Twig</t>
        </is>
      </c>
      <c r="M41" s="30" t="inlineStr">
        <is>
          <t>Fun Max</t>
        </is>
      </c>
      <c r="N41" s="31">
        <f>INDEX(B41:L41,MATCH(M41,$B$5:$L$5,0))</f>
        <v/>
      </c>
      <c r="O41" s="22">
        <f>IFERROR(VLOOKUP(N41,Prices!$A:$B,2,FALSE),0)</f>
        <v/>
      </c>
      <c r="P41" s="32">
        <f>IFERROR(INDEX('_why_3e'!$B37:$L37,MATCH(M41,$B$5:$L$5,0)),"")</f>
        <v/>
      </c>
    </row>
    <row r="42">
      <c r="A42" s="28" t="n">
        <v>37</v>
      </c>
      <c r="B42" s="13" t="inlineStr">
        <is>
          <t>Blighted Woodland</t>
        </is>
      </c>
      <c r="C42" s="13" t="inlineStr">
        <is>
          <t>Blighted Woodland</t>
        </is>
      </c>
      <c r="D42" s="13" t="inlineStr">
        <is>
          <t>Blighted Woodland</t>
        </is>
      </c>
      <c r="E42" s="13" t="inlineStr">
        <is>
          <t>Blighted Woodland</t>
        </is>
      </c>
      <c r="F42" s="13" t="inlineStr">
        <is>
          <t>Blighted Woodland</t>
        </is>
      </c>
      <c r="G42" s="13" t="inlineStr">
        <is>
          <t>Blighted Woodland</t>
        </is>
      </c>
      <c r="H42" s="13" t="inlineStr">
        <is>
          <t>Blighted Woodland</t>
        </is>
      </c>
      <c r="I42" s="29" t="inlineStr">
        <is>
          <t>Abrupt Decay</t>
        </is>
      </c>
      <c r="J42" s="13" t="inlineStr">
        <is>
          <t>Blighted Woodland</t>
        </is>
      </c>
      <c r="K42" s="13" t="inlineStr">
        <is>
          <t>Blighted Woodland</t>
        </is>
      </c>
      <c r="L42" s="13" t="inlineStr">
        <is>
          <t>Blighted Woodland</t>
        </is>
      </c>
      <c r="M42" s="30" t="inlineStr">
        <is>
          <t>Fun Max</t>
        </is>
      </c>
      <c r="N42" s="31">
        <f>INDEX(B42:L42,MATCH(M42,$B$5:$L$5,0))</f>
        <v/>
      </c>
      <c r="O42" s="22">
        <f>IFERROR(VLOOKUP(N42,Prices!$A:$B,2,FALSE),0)</f>
        <v/>
      </c>
      <c r="P42" s="32">
        <f>IFERROR(INDEX('_why_3e'!$B38:$L38,MATCH(M42,$B$5:$L$5,0)),"")</f>
        <v/>
      </c>
    </row>
    <row r="43">
      <c r="A43" s="28" t="n">
        <v>38</v>
      </c>
      <c r="B43" s="33" t="inlineStr">
        <is>
          <t>Tilling Treefolk</t>
        </is>
      </c>
      <c r="C43" s="33" t="inlineStr">
        <is>
          <t>Tilling Treefolk</t>
        </is>
      </c>
      <c r="D43" s="33" t="inlineStr">
        <is>
          <t>Tilling Treefolk</t>
        </is>
      </c>
      <c r="E43" s="33" t="inlineStr">
        <is>
          <t>Tilling Treefolk</t>
        </is>
      </c>
      <c r="F43" s="33" t="inlineStr">
        <is>
          <t>Tilling Treefolk</t>
        </is>
      </c>
      <c r="G43" s="33" t="inlineStr">
        <is>
          <t>Tilling Treefolk</t>
        </is>
      </c>
      <c r="H43" s="33" t="inlineStr">
        <is>
          <t>Tilling Treefolk</t>
        </is>
      </c>
      <c r="I43" s="33" t="inlineStr">
        <is>
          <t>Tilling Treefolk</t>
        </is>
      </c>
      <c r="J43" s="33" t="inlineStr">
        <is>
          <t>Tilling Treefolk</t>
        </is>
      </c>
      <c r="K43" s="33" t="inlineStr">
        <is>
          <t>Tilling Treefolk</t>
        </is>
      </c>
      <c r="L43" s="33" t="inlineStr">
        <is>
          <t>Tilling Treefolk</t>
        </is>
      </c>
      <c r="M43" s="30" t="inlineStr">
        <is>
          <t>Fun Max</t>
        </is>
      </c>
      <c r="N43" s="31">
        <f>INDEX(B43:L43,MATCH(M43,$B$5:$L$5,0))</f>
        <v/>
      </c>
      <c r="O43" s="22">
        <f>IFERROR(VLOOKUP(N43,Prices!$A:$B,2,FALSE),0)</f>
        <v/>
      </c>
      <c r="P43" s="32">
        <f>IFERROR(INDEX('_why_3e'!$B39:$L39,MATCH(M43,$B$5:$L$5,0)),"")</f>
        <v/>
      </c>
    </row>
    <row r="44">
      <c r="A44" s="28" t="n">
        <v>39</v>
      </c>
      <c r="B44" s="13" t="inlineStr">
        <is>
          <t>Sakura-Tribe Scout</t>
        </is>
      </c>
      <c r="C44" s="13" t="inlineStr">
        <is>
          <t>Sakura-Tribe Scout</t>
        </is>
      </c>
      <c r="D44" s="13" t="inlineStr">
        <is>
          <t>Sakura-Tribe Scout</t>
        </is>
      </c>
      <c r="E44" s="13" t="inlineStr">
        <is>
          <t>Sakura-Tribe Scout</t>
        </is>
      </c>
      <c r="F44" s="13" t="inlineStr">
        <is>
          <t>Sakura-Tribe Scout</t>
        </is>
      </c>
      <c r="G44" s="13" t="inlineStr">
        <is>
          <t>Sakura-Tribe Scout</t>
        </is>
      </c>
      <c r="H44" s="13" t="inlineStr">
        <is>
          <t>Sakura-Tribe Scout</t>
        </is>
      </c>
      <c r="I44" s="13" t="inlineStr">
        <is>
          <t>Sakura-Tribe Scout</t>
        </is>
      </c>
      <c r="J44" s="13" t="inlineStr">
        <is>
          <t>Sakura-Tribe Scout</t>
        </is>
      </c>
      <c r="K44" s="13" t="inlineStr">
        <is>
          <t>Sakura-Tribe Scout</t>
        </is>
      </c>
      <c r="L44" s="13" t="inlineStr">
        <is>
          <t>Sakura-Tribe Scout</t>
        </is>
      </c>
      <c r="M44" s="30" t="inlineStr">
        <is>
          <t>Fun Max</t>
        </is>
      </c>
      <c r="N44" s="31">
        <f>INDEX(B44:L44,MATCH(M44,$B$5:$L$5,0))</f>
        <v/>
      </c>
      <c r="O44" s="22">
        <f>IFERROR(VLOOKUP(N44,Prices!$A:$B,2,FALSE),0)</f>
        <v/>
      </c>
      <c r="P44" s="32">
        <f>IFERROR(INDEX('_why_3e'!$B40:$L40,MATCH(M44,$B$5:$L$5,0)),"")</f>
        <v/>
      </c>
    </row>
    <row r="45">
      <c r="A45" s="28" t="n">
        <v>40</v>
      </c>
      <c r="B45" s="33" t="inlineStr">
        <is>
          <t>Nissa's Pilgrimage</t>
        </is>
      </c>
      <c r="C45" s="33" t="inlineStr">
        <is>
          <t>Nissa's Pilgrimage</t>
        </is>
      </c>
      <c r="D45" s="33" t="inlineStr">
        <is>
          <t>Nissa's Pilgrimage</t>
        </is>
      </c>
      <c r="E45" s="33" t="inlineStr">
        <is>
          <t>Nissa's Pilgrimage</t>
        </is>
      </c>
      <c r="F45" s="33" t="inlineStr">
        <is>
          <t>Nissa's Pilgrimage</t>
        </is>
      </c>
      <c r="G45" s="33" t="inlineStr">
        <is>
          <t>Nissa's Pilgrimage</t>
        </is>
      </c>
      <c r="H45" s="33" t="inlineStr">
        <is>
          <t>Nissa's Pilgrimage</t>
        </is>
      </c>
      <c r="I45" s="33" t="inlineStr">
        <is>
          <t>Nissa's Pilgrimage</t>
        </is>
      </c>
      <c r="J45" s="33" t="inlineStr">
        <is>
          <t>Nissa's Pilgrimage</t>
        </is>
      </c>
      <c r="K45" s="33" t="inlineStr">
        <is>
          <t>Nissa's Pilgrimage</t>
        </is>
      </c>
      <c r="L45" s="33" t="inlineStr">
        <is>
          <t>Nissa's Pilgrimage</t>
        </is>
      </c>
      <c r="M45" s="30" t="inlineStr">
        <is>
          <t>Fun Max</t>
        </is>
      </c>
      <c r="N45" s="31">
        <f>INDEX(B45:L45,MATCH(M45,$B$5:$L$5,0))</f>
        <v/>
      </c>
      <c r="O45" s="22">
        <f>IFERROR(VLOOKUP(N45,Prices!$A:$B,2,FALSE),0)</f>
        <v/>
      </c>
      <c r="P45" s="32">
        <f>IFERROR(INDEX('_why_3e'!$B41:$L41,MATCH(M45,$B$5:$L$5,0)),"")</f>
        <v/>
      </c>
    </row>
    <row r="46">
      <c r="A46" s="28" t="n">
        <v>41</v>
      </c>
      <c r="B46" s="13" t="inlineStr">
        <is>
          <t>Roiling Regrowth</t>
        </is>
      </c>
      <c r="C46" s="13" t="inlineStr">
        <is>
          <t>Roiling Regrowth</t>
        </is>
      </c>
      <c r="D46" s="13" t="inlineStr">
        <is>
          <t>Roiling Regrowth</t>
        </is>
      </c>
      <c r="E46" s="13" t="inlineStr">
        <is>
          <t>Roiling Regrowth</t>
        </is>
      </c>
      <c r="F46" s="13" t="inlineStr">
        <is>
          <t>Roiling Regrowth</t>
        </is>
      </c>
      <c r="G46" s="13" t="inlineStr">
        <is>
          <t>Roiling Regrowth</t>
        </is>
      </c>
      <c r="H46" s="13" t="inlineStr">
        <is>
          <t>Roiling Regrowth</t>
        </is>
      </c>
      <c r="I46" s="13" t="inlineStr">
        <is>
          <t>Roiling Regrowth</t>
        </is>
      </c>
      <c r="J46" s="13" t="inlineStr">
        <is>
          <t>Roiling Regrowth</t>
        </is>
      </c>
      <c r="K46" s="13" t="inlineStr">
        <is>
          <t>Roiling Regrowth</t>
        </is>
      </c>
      <c r="L46" s="13" t="inlineStr">
        <is>
          <t>Roiling Regrowth</t>
        </is>
      </c>
      <c r="M46" s="30" t="inlineStr">
        <is>
          <t>Fun Max</t>
        </is>
      </c>
      <c r="N46" s="31">
        <f>INDEX(B46:L46,MATCH(M46,$B$5:$L$5,0))</f>
        <v/>
      </c>
      <c r="O46" s="22">
        <f>IFERROR(VLOOKUP(N46,Prices!$A:$B,2,FALSE),0)</f>
        <v/>
      </c>
      <c r="P46" s="32">
        <f>IFERROR(INDEX('_why_3e'!$B42:$L42,MATCH(M46,$B$5:$L$5,0)),"")</f>
        <v/>
      </c>
    </row>
    <row r="47">
      <c r="A47" s="28" t="n">
        <v>42</v>
      </c>
      <c r="B47" s="33" t="inlineStr">
        <is>
          <t>Turntimber Sower</t>
        </is>
      </c>
      <c r="C47" s="33" t="inlineStr">
        <is>
          <t>Turntimber Sower</t>
        </is>
      </c>
      <c r="D47" s="33" t="inlineStr">
        <is>
          <t>Turntimber Sower</t>
        </is>
      </c>
      <c r="E47" s="33" t="inlineStr">
        <is>
          <t>Turntimber Sower</t>
        </is>
      </c>
      <c r="F47" s="33" t="inlineStr">
        <is>
          <t>Turntimber Sower</t>
        </is>
      </c>
      <c r="G47" s="33" t="inlineStr">
        <is>
          <t>Turntimber Sower</t>
        </is>
      </c>
      <c r="H47" s="33" t="inlineStr">
        <is>
          <t>Turntimber Sower</t>
        </is>
      </c>
      <c r="I47" s="33" t="inlineStr">
        <is>
          <t>Turntimber Sower</t>
        </is>
      </c>
      <c r="J47" s="33" t="inlineStr">
        <is>
          <t>Turntimber Sower</t>
        </is>
      </c>
      <c r="K47" s="33" t="inlineStr">
        <is>
          <t>Turntimber Sower</t>
        </is>
      </c>
      <c r="L47" s="33" t="inlineStr">
        <is>
          <t>Turntimber Sower</t>
        </is>
      </c>
      <c r="M47" s="30" t="inlineStr">
        <is>
          <t>Fun Max</t>
        </is>
      </c>
      <c r="N47" s="31">
        <f>INDEX(B47:L47,MATCH(M47,$B$5:$L$5,0))</f>
        <v/>
      </c>
      <c r="O47" s="22">
        <f>IFERROR(VLOOKUP(N47,Prices!$A:$B,2,FALSE),0)</f>
        <v/>
      </c>
      <c r="P47" s="32">
        <f>IFERROR(INDEX('_why_3e'!$B43:$L43,MATCH(M47,$B$5:$L$5,0)),"")</f>
        <v/>
      </c>
    </row>
    <row r="48">
      <c r="A48" s="28" t="n">
        <v>43</v>
      </c>
      <c r="B48" s="13" t="inlineStr">
        <is>
          <t>Ordeal of Nylea</t>
        </is>
      </c>
      <c r="C48" s="13" t="inlineStr">
        <is>
          <t>Ordeal of Nylea</t>
        </is>
      </c>
      <c r="D48" s="13" t="inlineStr">
        <is>
          <t>Ordeal of Nylea</t>
        </is>
      </c>
      <c r="E48" s="13" t="inlineStr">
        <is>
          <t>Ordeal of Nylea</t>
        </is>
      </c>
      <c r="F48" s="13" t="inlineStr">
        <is>
          <t>Ordeal of Nylea</t>
        </is>
      </c>
      <c r="G48" s="13" t="inlineStr">
        <is>
          <t>Ordeal of Nylea</t>
        </is>
      </c>
      <c r="H48" s="13" t="inlineStr">
        <is>
          <t>Ordeal of Nylea</t>
        </is>
      </c>
      <c r="I48" s="13" t="inlineStr">
        <is>
          <t>Ordeal of Nylea</t>
        </is>
      </c>
      <c r="J48" s="13" t="inlineStr">
        <is>
          <t>Ordeal of Nylea</t>
        </is>
      </c>
      <c r="K48" s="13" t="inlineStr">
        <is>
          <t>Ordeal of Nylea</t>
        </is>
      </c>
      <c r="L48" s="13" t="inlineStr">
        <is>
          <t>Ordeal of Nylea</t>
        </is>
      </c>
      <c r="M48" s="30" t="inlineStr">
        <is>
          <t>Fun Max</t>
        </is>
      </c>
      <c r="N48" s="31">
        <f>INDEX(B48:L48,MATCH(M48,$B$5:$L$5,0))</f>
        <v/>
      </c>
      <c r="O48" s="22">
        <f>IFERROR(VLOOKUP(N48,Prices!$A:$B,2,FALSE),0)</f>
        <v/>
      </c>
      <c r="P48" s="32">
        <f>IFERROR(INDEX('_why_3e'!$B44:$L44,MATCH(M48,$B$5:$L$5,0)),"")</f>
        <v/>
      </c>
    </row>
    <row r="49">
      <c r="A49" s="28" t="n">
        <v>44</v>
      </c>
      <c r="B49" s="33" t="inlineStr">
        <is>
          <t>Titania, Protector of Argoth</t>
        </is>
      </c>
      <c r="C49" s="33" t="inlineStr">
        <is>
          <t>Titania, Protector of Argoth</t>
        </is>
      </c>
      <c r="D49" s="33" t="inlineStr">
        <is>
          <t>Titania, Protector of Argoth</t>
        </is>
      </c>
      <c r="E49" s="33" t="inlineStr">
        <is>
          <t>Titania, Protector of Argoth</t>
        </is>
      </c>
      <c r="F49" s="33" t="inlineStr">
        <is>
          <t>Titania, Protector of Argoth</t>
        </is>
      </c>
      <c r="G49" s="33" t="inlineStr">
        <is>
          <t>Titania, Protector of Argoth</t>
        </is>
      </c>
      <c r="H49" s="33" t="inlineStr">
        <is>
          <t>Titania, Protector of Argoth</t>
        </is>
      </c>
      <c r="I49" s="33" t="inlineStr">
        <is>
          <t>Titania, Protector of Argoth</t>
        </is>
      </c>
      <c r="J49" s="33" t="inlineStr">
        <is>
          <t>Titania, Protector of Argoth</t>
        </is>
      </c>
      <c r="K49" s="33" t="inlineStr">
        <is>
          <t>Titania, Protector of Argoth</t>
        </is>
      </c>
      <c r="L49" s="33" t="inlineStr">
        <is>
          <t>Titania, Protector of Argoth</t>
        </is>
      </c>
      <c r="M49" s="30" t="inlineStr">
        <is>
          <t>Fun Max</t>
        </is>
      </c>
      <c r="N49" s="31">
        <f>INDEX(B49:L49,MATCH(M49,$B$5:$L$5,0))</f>
        <v/>
      </c>
      <c r="O49" s="22">
        <f>IFERROR(VLOOKUP(N49,Prices!$A:$B,2,FALSE),0)</f>
        <v/>
      </c>
      <c r="P49" s="32">
        <f>IFERROR(INDEX('_why_3e'!$B45:$L45,MATCH(M49,$B$5:$L$5,0)),"")</f>
        <v/>
      </c>
    </row>
    <row r="50">
      <c r="A50" s="28" t="n">
        <v>45</v>
      </c>
      <c r="B50" s="13" t="inlineStr">
        <is>
          <t>Rampaging Baloths</t>
        </is>
      </c>
      <c r="C50" s="13" t="inlineStr">
        <is>
          <t>Rampaging Baloths</t>
        </is>
      </c>
      <c r="D50" s="13" t="inlineStr">
        <is>
          <t>Rampaging Baloths</t>
        </is>
      </c>
      <c r="E50" s="13" t="inlineStr">
        <is>
          <t>Rampaging Baloths</t>
        </is>
      </c>
      <c r="F50" s="13" t="inlineStr">
        <is>
          <t>Rampaging Baloths</t>
        </is>
      </c>
      <c r="G50" s="13" t="inlineStr">
        <is>
          <t>Rampaging Baloths</t>
        </is>
      </c>
      <c r="H50" s="13" t="inlineStr">
        <is>
          <t>Rampaging Baloths</t>
        </is>
      </c>
      <c r="I50" s="13" t="inlineStr">
        <is>
          <t>Rampaging Baloths</t>
        </is>
      </c>
      <c r="J50" s="13" t="inlineStr">
        <is>
          <t>Rampaging Baloths</t>
        </is>
      </c>
      <c r="K50" s="13" t="inlineStr">
        <is>
          <t>Rampaging Baloths</t>
        </is>
      </c>
      <c r="L50" s="13" t="inlineStr">
        <is>
          <t>Rampaging Baloths</t>
        </is>
      </c>
      <c r="M50" s="30" t="inlineStr">
        <is>
          <t>Fun Max</t>
        </is>
      </c>
      <c r="N50" s="31">
        <f>INDEX(B50:L50,MATCH(M50,$B$5:$L$5,0))</f>
        <v/>
      </c>
      <c r="O50" s="22">
        <f>IFERROR(VLOOKUP(N50,Prices!$A:$B,2,FALSE),0)</f>
        <v/>
      </c>
      <c r="P50" s="32">
        <f>IFERROR(INDEX('_why_3e'!$B46:$L46,MATCH(M50,$B$5:$L$5,0)),"")</f>
        <v/>
      </c>
    </row>
    <row r="51">
      <c r="A51" s="28" t="n">
        <v>46</v>
      </c>
      <c r="B51" s="33" t="inlineStr">
        <is>
          <t>Cast Down</t>
        </is>
      </c>
      <c r="C51" s="33" t="inlineStr">
        <is>
          <t>Cast Down</t>
        </is>
      </c>
      <c r="D51" s="34" t="inlineStr">
        <is>
          <t>Wall of Blossoms</t>
        </is>
      </c>
      <c r="E51" s="33" t="inlineStr">
        <is>
          <t>Cast Down</t>
        </is>
      </c>
      <c r="F51" s="34" t="inlineStr">
        <is>
          <t>Avenger of Zendikar</t>
        </is>
      </c>
      <c r="G51" s="34" t="inlineStr">
        <is>
          <t>Avenger of Zendikar</t>
        </is>
      </c>
      <c r="H51" s="34" t="inlineStr">
        <is>
          <t>Avenger of Zendikar</t>
        </is>
      </c>
      <c r="I51" s="33" t="inlineStr">
        <is>
          <t>Cast Down</t>
        </is>
      </c>
      <c r="J51" s="34" t="inlineStr">
        <is>
          <t>Abrupt Decay</t>
        </is>
      </c>
      <c r="K51" s="33" t="inlineStr">
        <is>
          <t>Cast Down</t>
        </is>
      </c>
      <c r="L51" s="34" t="inlineStr">
        <is>
          <t>Origin of Metalbending</t>
        </is>
      </c>
      <c r="M51" s="30" t="inlineStr">
        <is>
          <t>Fun Max</t>
        </is>
      </c>
      <c r="N51" s="31">
        <f>INDEX(B51:L51,MATCH(M51,$B$5:$L$5,0))</f>
        <v/>
      </c>
      <c r="O51" s="22">
        <f>IFERROR(VLOOKUP(N51,Prices!$A:$B,2,FALSE),0)</f>
        <v/>
      </c>
      <c r="P51" s="32">
        <f>IFERROR(INDEX('_why_3e'!$B47:$L47,MATCH(M51,$B$5:$L$5,0)),"")</f>
        <v/>
      </c>
    </row>
    <row r="52">
      <c r="A52" s="28" t="n">
        <v>47</v>
      </c>
      <c r="B52" s="13" t="inlineStr">
        <is>
          <t>Morbid Opportunist</t>
        </is>
      </c>
      <c r="C52" s="13" t="inlineStr">
        <is>
          <t>Morbid Opportunist</t>
        </is>
      </c>
      <c r="D52" s="13" t="inlineStr">
        <is>
          <t>Morbid Opportunist</t>
        </is>
      </c>
      <c r="E52" s="13" t="inlineStr">
        <is>
          <t>Morbid Opportunist</t>
        </is>
      </c>
      <c r="F52" s="13" t="inlineStr">
        <is>
          <t>Morbid Opportunist</t>
        </is>
      </c>
      <c r="G52" s="13" t="inlineStr">
        <is>
          <t>Morbid Opportunist</t>
        </is>
      </c>
      <c r="H52" s="13" t="inlineStr">
        <is>
          <t>Morbid Opportunist</t>
        </is>
      </c>
      <c r="I52" s="13" t="inlineStr">
        <is>
          <t>Morbid Opportunist</t>
        </is>
      </c>
      <c r="J52" s="13" t="inlineStr">
        <is>
          <t>Morbid Opportunist</t>
        </is>
      </c>
      <c r="K52" s="13" t="inlineStr">
        <is>
          <t>Morbid Opportunist</t>
        </is>
      </c>
      <c r="L52" s="13" t="inlineStr">
        <is>
          <t>Morbid Opportunist</t>
        </is>
      </c>
      <c r="M52" s="30" t="inlineStr">
        <is>
          <t>Fun Max</t>
        </is>
      </c>
      <c r="N52" s="31">
        <f>INDEX(B52:L52,MATCH(M52,$B$5:$L$5,0))</f>
        <v/>
      </c>
      <c r="O52" s="22">
        <f>IFERROR(VLOOKUP(N52,Prices!$A:$B,2,FALSE),0)</f>
        <v/>
      </c>
      <c r="P52" s="32">
        <f>IFERROR(INDEX('_why_3e'!$B48:$L48,MATCH(M52,$B$5:$L$5,0)),"")</f>
        <v/>
      </c>
    </row>
    <row r="53">
      <c r="A53" s="28" t="n">
        <v>48</v>
      </c>
      <c r="B53" s="33" t="inlineStr">
        <is>
          <t>Village Rites</t>
        </is>
      </c>
      <c r="C53" s="33" t="inlineStr">
        <is>
          <t>Village Rites</t>
        </is>
      </c>
      <c r="D53" s="33" t="inlineStr">
        <is>
          <t>Village Rites</t>
        </is>
      </c>
      <c r="E53" s="33" t="inlineStr">
        <is>
          <t>Village Rites</t>
        </is>
      </c>
      <c r="F53" s="33" t="inlineStr">
        <is>
          <t>Village Rites</t>
        </is>
      </c>
      <c r="G53" s="33" t="inlineStr">
        <is>
          <t>Village Rites</t>
        </is>
      </c>
      <c r="H53" s="33" t="inlineStr">
        <is>
          <t>Village Rites</t>
        </is>
      </c>
      <c r="I53" s="33" t="inlineStr">
        <is>
          <t>Village Rites</t>
        </is>
      </c>
      <c r="J53" s="33" t="inlineStr">
        <is>
          <t>Village Rites</t>
        </is>
      </c>
      <c r="K53" s="33" t="inlineStr">
        <is>
          <t>Village Rites</t>
        </is>
      </c>
      <c r="L53" s="33" t="inlineStr">
        <is>
          <t>Village Rites</t>
        </is>
      </c>
      <c r="M53" s="30" t="inlineStr">
        <is>
          <t>Fun Max</t>
        </is>
      </c>
      <c r="N53" s="31">
        <f>INDEX(B53:L53,MATCH(M53,$B$5:$L$5,0))</f>
        <v/>
      </c>
      <c r="O53" s="22">
        <f>IFERROR(VLOOKUP(N53,Prices!$A:$B,2,FALSE),0)</f>
        <v/>
      </c>
      <c r="P53" s="32">
        <f>IFERROR(INDEX('_why_3e'!$B49:$L49,MATCH(M53,$B$5:$L$5,0)),"")</f>
        <v/>
      </c>
    </row>
    <row r="54">
      <c r="A54" s="28" t="n">
        <v>49</v>
      </c>
      <c r="B54" s="13" t="inlineStr">
        <is>
          <t>Bone Shards</t>
        </is>
      </c>
      <c r="C54" s="13" t="inlineStr">
        <is>
          <t>Bone Shards</t>
        </is>
      </c>
      <c r="D54" s="29" t="inlineStr">
        <is>
          <t>Avenger of Zendikar</t>
        </is>
      </c>
      <c r="E54" s="29" t="inlineStr">
        <is>
          <t>Crucible of Worlds</t>
        </is>
      </c>
      <c r="F54" s="29" t="inlineStr">
        <is>
          <t>Crop Rotation</t>
        </is>
      </c>
      <c r="G54" s="29" t="inlineStr">
        <is>
          <t>Crop Rotation</t>
        </is>
      </c>
      <c r="H54" s="29" t="inlineStr">
        <is>
          <t>Crop Rotation</t>
        </is>
      </c>
      <c r="I54" s="13" t="inlineStr">
        <is>
          <t>Bone Shards</t>
        </is>
      </c>
      <c r="J54" s="29" t="inlineStr">
        <is>
          <t>Sword of Fire and Ice</t>
        </is>
      </c>
      <c r="K54" s="13" t="inlineStr">
        <is>
          <t>Bone Shards</t>
        </is>
      </c>
      <c r="L54" s="29" t="inlineStr">
        <is>
          <t>Collective Resistance</t>
        </is>
      </c>
      <c r="M54" s="30" t="inlineStr">
        <is>
          <t>Fun Max</t>
        </is>
      </c>
      <c r="N54" s="31">
        <f>INDEX(B54:L54,MATCH(M54,$B$5:$L$5,0))</f>
        <v/>
      </c>
      <c r="O54" s="22">
        <f>IFERROR(VLOOKUP(N54,Prices!$A:$B,2,FALSE),0)</f>
        <v/>
      </c>
      <c r="P54" s="32">
        <f>IFERROR(INDEX('_why_3e'!$B50:$L50,MATCH(M54,$B$5:$L$5,0)),"")</f>
        <v/>
      </c>
    </row>
    <row r="55">
      <c r="A55" s="28" t="n">
        <v>50</v>
      </c>
      <c r="B55" s="33" t="inlineStr">
        <is>
          <t>Forest</t>
        </is>
      </c>
      <c r="C55" s="33" t="inlineStr">
        <is>
          <t>Forest</t>
        </is>
      </c>
      <c r="D55" s="33" t="inlineStr">
        <is>
          <t>Forest</t>
        </is>
      </c>
      <c r="E55" s="33" t="inlineStr">
        <is>
          <t>Forest</t>
        </is>
      </c>
      <c r="F55" s="33" t="inlineStr">
        <is>
          <t>Forest</t>
        </is>
      </c>
      <c r="G55" s="33" t="inlineStr">
        <is>
          <t>Forest</t>
        </is>
      </c>
      <c r="H55" s="33" t="inlineStr">
        <is>
          <t>Forest</t>
        </is>
      </c>
      <c r="I55" s="33" t="inlineStr">
        <is>
          <t>Forest</t>
        </is>
      </c>
      <c r="J55" s="33" t="inlineStr">
        <is>
          <t>Forest</t>
        </is>
      </c>
      <c r="K55" s="33" t="inlineStr">
        <is>
          <t>Forest</t>
        </is>
      </c>
      <c r="L55" s="33" t="inlineStr">
        <is>
          <t>Forest</t>
        </is>
      </c>
      <c r="M55" s="30" t="inlineStr">
        <is>
          <t>Fun Max</t>
        </is>
      </c>
      <c r="N55" s="31">
        <f>INDEX(B55:L55,MATCH(M55,$B$5:$L$5,0))</f>
        <v/>
      </c>
      <c r="O55" s="22">
        <f>IFERROR(VLOOKUP(N55,Prices!$A:$B,2,FALSE),0)</f>
        <v/>
      </c>
      <c r="P55" s="32">
        <f>IFERROR(INDEX('_why_3e'!$B51:$L51,MATCH(M55,$B$5:$L$5,0)),"")</f>
        <v/>
      </c>
    </row>
    <row r="56">
      <c r="A56" s="28" t="n">
        <v>51</v>
      </c>
      <c r="B56" s="13" t="inlineStr">
        <is>
          <t>Forest</t>
        </is>
      </c>
      <c r="C56" s="13" t="inlineStr">
        <is>
          <t>Forest</t>
        </is>
      </c>
      <c r="D56" s="13" t="inlineStr">
        <is>
          <t>Forest</t>
        </is>
      </c>
      <c r="E56" s="13" t="inlineStr">
        <is>
          <t>Forest</t>
        </is>
      </c>
      <c r="F56" s="13" t="inlineStr">
        <is>
          <t>Forest</t>
        </is>
      </c>
      <c r="G56" s="13" t="inlineStr">
        <is>
          <t>Forest</t>
        </is>
      </c>
      <c r="H56" s="13" t="inlineStr">
        <is>
          <t>Forest</t>
        </is>
      </c>
      <c r="I56" s="13" t="inlineStr">
        <is>
          <t>Forest</t>
        </is>
      </c>
      <c r="J56" s="13" t="inlineStr">
        <is>
          <t>Forest</t>
        </is>
      </c>
      <c r="K56" s="13" t="inlineStr">
        <is>
          <t>Forest</t>
        </is>
      </c>
      <c r="L56" s="13" t="inlineStr">
        <is>
          <t>Forest</t>
        </is>
      </c>
      <c r="M56" s="30" t="inlineStr">
        <is>
          <t>Fun Max</t>
        </is>
      </c>
      <c r="N56" s="31">
        <f>INDEX(B56:L56,MATCH(M56,$B$5:$L$5,0))</f>
        <v/>
      </c>
      <c r="O56" s="22">
        <f>IFERROR(VLOOKUP(N56,Prices!$A:$B,2,FALSE),0)</f>
        <v/>
      </c>
      <c r="P56" s="32">
        <f>IFERROR(INDEX('_why_3e'!$B52:$L52,MATCH(M56,$B$5:$L$5,0)),"")</f>
        <v/>
      </c>
    </row>
    <row r="57">
      <c r="A57" s="28" t="n">
        <v>52</v>
      </c>
      <c r="B57" s="33" t="inlineStr">
        <is>
          <t>Forest</t>
        </is>
      </c>
      <c r="C57" s="33" t="inlineStr">
        <is>
          <t>Forest</t>
        </is>
      </c>
      <c r="D57" s="33" t="inlineStr">
        <is>
          <t>Forest</t>
        </is>
      </c>
      <c r="E57" s="33" t="inlineStr">
        <is>
          <t>Forest</t>
        </is>
      </c>
      <c r="F57" s="33" t="inlineStr">
        <is>
          <t>Forest</t>
        </is>
      </c>
      <c r="G57" s="33" t="inlineStr">
        <is>
          <t>Forest</t>
        </is>
      </c>
      <c r="H57" s="33" t="inlineStr">
        <is>
          <t>Forest</t>
        </is>
      </c>
      <c r="I57" s="33" t="inlineStr">
        <is>
          <t>Forest</t>
        </is>
      </c>
      <c r="J57" s="33" t="inlineStr">
        <is>
          <t>Forest</t>
        </is>
      </c>
      <c r="K57" s="33" t="inlineStr">
        <is>
          <t>Forest</t>
        </is>
      </c>
      <c r="L57" s="33" t="inlineStr">
        <is>
          <t>Forest</t>
        </is>
      </c>
      <c r="M57" s="30" t="inlineStr">
        <is>
          <t>Fun Max</t>
        </is>
      </c>
      <c r="N57" s="31">
        <f>INDEX(B57:L57,MATCH(M57,$B$5:$L$5,0))</f>
        <v/>
      </c>
      <c r="O57" s="22">
        <f>IFERROR(VLOOKUP(N57,Prices!$A:$B,2,FALSE),0)</f>
        <v/>
      </c>
      <c r="P57" s="32">
        <f>IFERROR(INDEX('_why_3e'!$B53:$L53,MATCH(M57,$B$5:$L$5,0)),"")</f>
        <v/>
      </c>
    </row>
    <row r="58">
      <c r="A58" s="28" t="n">
        <v>53</v>
      </c>
      <c r="B58" s="13" t="inlineStr">
        <is>
          <t>Forest</t>
        </is>
      </c>
      <c r="C58" s="13" t="inlineStr">
        <is>
          <t>Forest</t>
        </is>
      </c>
      <c r="D58" s="13" t="inlineStr">
        <is>
          <t>Forest</t>
        </is>
      </c>
      <c r="E58" s="13" t="inlineStr">
        <is>
          <t>Forest</t>
        </is>
      </c>
      <c r="F58" s="13" t="inlineStr">
        <is>
          <t>Forest</t>
        </is>
      </c>
      <c r="G58" s="13" t="inlineStr">
        <is>
          <t>Forest</t>
        </is>
      </c>
      <c r="H58" s="13" t="inlineStr">
        <is>
          <t>Forest</t>
        </is>
      </c>
      <c r="I58" s="13" t="inlineStr">
        <is>
          <t>Forest</t>
        </is>
      </c>
      <c r="J58" s="13" t="inlineStr">
        <is>
          <t>Forest</t>
        </is>
      </c>
      <c r="K58" s="13" t="inlineStr">
        <is>
          <t>Forest</t>
        </is>
      </c>
      <c r="L58" s="13" t="inlineStr">
        <is>
          <t>Forest</t>
        </is>
      </c>
      <c r="M58" s="30" t="inlineStr">
        <is>
          <t>Fun Max</t>
        </is>
      </c>
      <c r="N58" s="31">
        <f>INDEX(B58:L58,MATCH(M58,$B$5:$L$5,0))</f>
        <v/>
      </c>
      <c r="O58" s="22">
        <f>IFERROR(VLOOKUP(N58,Prices!$A:$B,2,FALSE),0)</f>
        <v/>
      </c>
      <c r="P58" s="32">
        <f>IFERROR(INDEX('_why_3e'!$B54:$L54,MATCH(M58,$B$5:$L$5,0)),"")</f>
        <v/>
      </c>
    </row>
    <row r="59">
      <c r="A59" s="28" t="n">
        <v>54</v>
      </c>
      <c r="B59" s="33" t="inlineStr">
        <is>
          <t>Forest</t>
        </is>
      </c>
      <c r="C59" s="33" t="inlineStr">
        <is>
          <t>Forest</t>
        </is>
      </c>
      <c r="D59" s="33" t="inlineStr">
        <is>
          <t>Forest</t>
        </is>
      </c>
      <c r="E59" s="33" t="inlineStr">
        <is>
          <t>Forest</t>
        </is>
      </c>
      <c r="F59" s="33" t="inlineStr">
        <is>
          <t>Forest</t>
        </is>
      </c>
      <c r="G59" s="33" t="inlineStr">
        <is>
          <t>Forest</t>
        </is>
      </c>
      <c r="H59" s="33" t="inlineStr">
        <is>
          <t>Forest</t>
        </is>
      </c>
      <c r="I59" s="33" t="inlineStr">
        <is>
          <t>Forest</t>
        </is>
      </c>
      <c r="J59" s="33" t="inlineStr">
        <is>
          <t>Forest</t>
        </is>
      </c>
      <c r="K59" s="33" t="inlineStr">
        <is>
          <t>Forest</t>
        </is>
      </c>
      <c r="L59" s="33" t="inlineStr">
        <is>
          <t>Forest</t>
        </is>
      </c>
      <c r="M59" s="30" t="inlineStr">
        <is>
          <t>Fun Max</t>
        </is>
      </c>
      <c r="N59" s="31">
        <f>INDEX(B59:L59,MATCH(M59,$B$5:$L$5,0))</f>
        <v/>
      </c>
      <c r="O59" s="22">
        <f>IFERROR(VLOOKUP(N59,Prices!$A:$B,2,FALSE),0)</f>
        <v/>
      </c>
      <c r="P59" s="32">
        <f>IFERROR(INDEX('_why_3e'!$B55:$L55,MATCH(M59,$B$5:$L$5,0)),"")</f>
        <v/>
      </c>
    </row>
    <row r="60">
      <c r="A60" s="28" t="n">
        <v>55</v>
      </c>
      <c r="B60" s="13" t="inlineStr">
        <is>
          <t>Forest</t>
        </is>
      </c>
      <c r="C60" s="13" t="inlineStr">
        <is>
          <t>Forest</t>
        </is>
      </c>
      <c r="D60" s="13" t="inlineStr">
        <is>
          <t>Forest</t>
        </is>
      </c>
      <c r="E60" s="13" t="inlineStr">
        <is>
          <t>Forest</t>
        </is>
      </c>
      <c r="F60" s="13" t="inlineStr">
        <is>
          <t>Forest</t>
        </is>
      </c>
      <c r="G60" s="13" t="inlineStr">
        <is>
          <t>Forest</t>
        </is>
      </c>
      <c r="H60" s="13" t="inlineStr">
        <is>
          <t>Forest</t>
        </is>
      </c>
      <c r="I60" s="13" t="inlineStr">
        <is>
          <t>Forest</t>
        </is>
      </c>
      <c r="J60" s="13" t="inlineStr">
        <is>
          <t>Forest</t>
        </is>
      </c>
      <c r="K60" s="13" t="inlineStr">
        <is>
          <t>Forest</t>
        </is>
      </c>
      <c r="L60" s="13" t="inlineStr">
        <is>
          <t>Forest</t>
        </is>
      </c>
      <c r="M60" s="30" t="inlineStr">
        <is>
          <t>Fun Max</t>
        </is>
      </c>
      <c r="N60" s="31">
        <f>INDEX(B60:L60,MATCH(M60,$B$5:$L$5,0))</f>
        <v/>
      </c>
      <c r="O60" s="22">
        <f>IFERROR(VLOOKUP(N60,Prices!$A:$B,2,FALSE),0)</f>
        <v/>
      </c>
      <c r="P60" s="32">
        <f>IFERROR(INDEX('_why_3e'!$B56:$L56,MATCH(M60,$B$5:$L$5,0)),"")</f>
        <v/>
      </c>
    </row>
    <row r="61">
      <c r="A61" s="28" t="n">
        <v>56</v>
      </c>
      <c r="B61" s="33" t="inlineStr">
        <is>
          <t>Forest</t>
        </is>
      </c>
      <c r="C61" s="33" t="inlineStr">
        <is>
          <t>Forest</t>
        </is>
      </c>
      <c r="D61" s="33" t="inlineStr">
        <is>
          <t>Forest</t>
        </is>
      </c>
      <c r="E61" s="33" t="inlineStr">
        <is>
          <t>Forest</t>
        </is>
      </c>
      <c r="F61" s="33" t="inlineStr">
        <is>
          <t>Forest</t>
        </is>
      </c>
      <c r="G61" s="33" t="inlineStr">
        <is>
          <t>Forest</t>
        </is>
      </c>
      <c r="H61" s="33" t="inlineStr">
        <is>
          <t>Forest</t>
        </is>
      </c>
      <c r="I61" s="33" t="inlineStr">
        <is>
          <t>Forest</t>
        </is>
      </c>
      <c r="J61" s="33" t="inlineStr">
        <is>
          <t>Forest</t>
        </is>
      </c>
      <c r="K61" s="33" t="inlineStr">
        <is>
          <t>Forest</t>
        </is>
      </c>
      <c r="L61" s="33" t="inlineStr">
        <is>
          <t>Forest</t>
        </is>
      </c>
      <c r="M61" s="30" t="inlineStr">
        <is>
          <t>Fun Max</t>
        </is>
      </c>
      <c r="N61" s="31">
        <f>INDEX(B61:L61,MATCH(M61,$B$5:$L$5,0))</f>
        <v/>
      </c>
      <c r="O61" s="22">
        <f>IFERROR(VLOOKUP(N61,Prices!$A:$B,2,FALSE),0)</f>
        <v/>
      </c>
      <c r="P61" s="32">
        <f>IFERROR(INDEX('_why_3e'!$B57:$L57,MATCH(M61,$B$5:$L$5,0)),"")</f>
        <v/>
      </c>
    </row>
    <row r="62">
      <c r="A62" s="28" t="n">
        <v>57</v>
      </c>
      <c r="B62" s="13" t="inlineStr">
        <is>
          <t>Forest</t>
        </is>
      </c>
      <c r="C62" s="13" t="inlineStr">
        <is>
          <t>Forest</t>
        </is>
      </c>
      <c r="D62" s="13" t="inlineStr">
        <is>
          <t>Forest</t>
        </is>
      </c>
      <c r="E62" s="13" t="inlineStr">
        <is>
          <t>Forest</t>
        </is>
      </c>
      <c r="F62" s="13" t="inlineStr">
        <is>
          <t>Forest</t>
        </is>
      </c>
      <c r="G62" s="13" t="inlineStr">
        <is>
          <t>Forest</t>
        </is>
      </c>
      <c r="H62" s="13" t="inlineStr">
        <is>
          <t>Forest</t>
        </is>
      </c>
      <c r="I62" s="13" t="inlineStr">
        <is>
          <t>Forest</t>
        </is>
      </c>
      <c r="J62" s="13" t="inlineStr">
        <is>
          <t>Forest</t>
        </is>
      </c>
      <c r="K62" s="13" t="inlineStr">
        <is>
          <t>Forest</t>
        </is>
      </c>
      <c r="L62" s="13" t="inlineStr">
        <is>
          <t>Forest</t>
        </is>
      </c>
      <c r="M62" s="30" t="inlineStr">
        <is>
          <t>Fun Max</t>
        </is>
      </c>
      <c r="N62" s="31">
        <f>INDEX(B62:L62,MATCH(M62,$B$5:$L$5,0))</f>
        <v/>
      </c>
      <c r="O62" s="22">
        <f>IFERROR(VLOOKUP(N62,Prices!$A:$B,2,FALSE),0)</f>
        <v/>
      </c>
      <c r="P62" s="32">
        <f>IFERROR(INDEX('_why_3e'!$B58:$L58,MATCH(M62,$B$5:$L$5,0)),"")</f>
        <v/>
      </c>
    </row>
    <row r="63">
      <c r="A63" s="28" t="n">
        <v>58</v>
      </c>
      <c r="B63" s="33" t="inlineStr">
        <is>
          <t>Forest</t>
        </is>
      </c>
      <c r="C63" s="33" t="inlineStr">
        <is>
          <t>Forest</t>
        </is>
      </c>
      <c r="D63" s="33" t="inlineStr">
        <is>
          <t>Forest</t>
        </is>
      </c>
      <c r="E63" s="33" t="inlineStr">
        <is>
          <t>Forest</t>
        </is>
      </c>
      <c r="F63" s="33" t="inlineStr">
        <is>
          <t>Forest</t>
        </is>
      </c>
      <c r="G63" s="33" t="inlineStr">
        <is>
          <t>Forest</t>
        </is>
      </c>
      <c r="H63" s="33" t="inlineStr">
        <is>
          <t>Forest</t>
        </is>
      </c>
      <c r="I63" s="33" t="inlineStr">
        <is>
          <t>Forest</t>
        </is>
      </c>
      <c r="J63" s="33" t="inlineStr">
        <is>
          <t>Forest</t>
        </is>
      </c>
      <c r="K63" s="33" t="inlineStr">
        <is>
          <t>Forest</t>
        </is>
      </c>
      <c r="L63" s="33" t="inlineStr">
        <is>
          <t>Forest</t>
        </is>
      </c>
      <c r="M63" s="30" t="inlineStr">
        <is>
          <t>Fun Max</t>
        </is>
      </c>
      <c r="N63" s="31">
        <f>INDEX(B63:L63,MATCH(M63,$B$5:$L$5,0))</f>
        <v/>
      </c>
      <c r="O63" s="22">
        <f>IFERROR(VLOOKUP(N63,Prices!$A:$B,2,FALSE),0)</f>
        <v/>
      </c>
      <c r="P63" s="32">
        <f>IFERROR(INDEX('_why_3e'!$B59:$L59,MATCH(M63,$B$5:$L$5,0)),"")</f>
        <v/>
      </c>
    </row>
    <row r="64">
      <c r="A64" s="28" t="n">
        <v>59</v>
      </c>
      <c r="B64" s="13" t="inlineStr">
        <is>
          <t>Forest</t>
        </is>
      </c>
      <c r="C64" s="13" t="inlineStr">
        <is>
          <t>Forest</t>
        </is>
      </c>
      <c r="D64" s="13" t="inlineStr">
        <is>
          <t>Forest</t>
        </is>
      </c>
      <c r="E64" s="13" t="inlineStr">
        <is>
          <t>Forest</t>
        </is>
      </c>
      <c r="F64" s="13" t="inlineStr">
        <is>
          <t>Forest</t>
        </is>
      </c>
      <c r="G64" s="13" t="inlineStr">
        <is>
          <t>Forest</t>
        </is>
      </c>
      <c r="H64" s="13" t="inlineStr">
        <is>
          <t>Forest</t>
        </is>
      </c>
      <c r="I64" s="13" t="inlineStr">
        <is>
          <t>Forest</t>
        </is>
      </c>
      <c r="J64" s="13" t="inlineStr">
        <is>
          <t>Forest</t>
        </is>
      </c>
      <c r="K64" s="13" t="inlineStr">
        <is>
          <t>Forest</t>
        </is>
      </c>
      <c r="L64" s="13" t="inlineStr">
        <is>
          <t>Forest</t>
        </is>
      </c>
      <c r="M64" s="30" t="inlineStr">
        <is>
          <t>Fun Max</t>
        </is>
      </c>
      <c r="N64" s="31">
        <f>INDEX(B64:L64,MATCH(M64,$B$5:$L$5,0))</f>
        <v/>
      </c>
      <c r="O64" s="22">
        <f>IFERROR(VLOOKUP(N64,Prices!$A:$B,2,FALSE),0)</f>
        <v/>
      </c>
      <c r="P64" s="32">
        <f>IFERROR(INDEX('_why_3e'!$B60:$L60,MATCH(M64,$B$5:$L$5,0)),"")</f>
        <v/>
      </c>
    </row>
    <row r="65">
      <c r="A65" s="28" t="n">
        <v>60</v>
      </c>
      <c r="B65" s="33" t="inlineStr">
        <is>
          <t>Forest</t>
        </is>
      </c>
      <c r="C65" s="33" t="inlineStr">
        <is>
          <t>Forest</t>
        </is>
      </c>
      <c r="D65" s="33" t="inlineStr">
        <is>
          <t>Forest</t>
        </is>
      </c>
      <c r="E65" s="33" t="inlineStr">
        <is>
          <t>Forest</t>
        </is>
      </c>
      <c r="F65" s="33" t="inlineStr">
        <is>
          <t>Forest</t>
        </is>
      </c>
      <c r="G65" s="33" t="inlineStr">
        <is>
          <t>Forest</t>
        </is>
      </c>
      <c r="H65" s="33" t="inlineStr">
        <is>
          <t>Forest</t>
        </is>
      </c>
      <c r="I65" s="33" t="inlineStr">
        <is>
          <t>Forest</t>
        </is>
      </c>
      <c r="J65" s="33" t="inlineStr">
        <is>
          <t>Forest</t>
        </is>
      </c>
      <c r="K65" s="33" t="inlineStr">
        <is>
          <t>Forest</t>
        </is>
      </c>
      <c r="L65" s="33" t="inlineStr">
        <is>
          <t>Forest</t>
        </is>
      </c>
      <c r="M65" s="30" t="inlineStr">
        <is>
          <t>Fun Max</t>
        </is>
      </c>
      <c r="N65" s="31">
        <f>INDEX(B65:L65,MATCH(M65,$B$5:$L$5,0))</f>
        <v/>
      </c>
      <c r="O65" s="22">
        <f>IFERROR(VLOOKUP(N65,Prices!$A:$B,2,FALSE),0)</f>
        <v/>
      </c>
      <c r="P65" s="32">
        <f>IFERROR(INDEX('_why_3e'!$B61:$L61,MATCH(M65,$B$5:$L$5,0)),"")</f>
        <v/>
      </c>
    </row>
    <row r="66">
      <c r="A66" s="28" t="n">
        <v>61</v>
      </c>
      <c r="B66" s="13" t="inlineStr">
        <is>
          <t>Forest</t>
        </is>
      </c>
      <c r="C66" s="13" t="inlineStr">
        <is>
          <t>Forest</t>
        </is>
      </c>
      <c r="D66" s="13" t="inlineStr">
        <is>
          <t>Forest</t>
        </is>
      </c>
      <c r="E66" s="13" t="inlineStr">
        <is>
          <t>Forest</t>
        </is>
      </c>
      <c r="F66" s="13" t="inlineStr">
        <is>
          <t>Forest</t>
        </is>
      </c>
      <c r="G66" s="13" t="inlineStr">
        <is>
          <t>Forest</t>
        </is>
      </c>
      <c r="H66" s="13" t="inlineStr">
        <is>
          <t>Forest</t>
        </is>
      </c>
      <c r="I66" s="13" t="inlineStr">
        <is>
          <t>Forest</t>
        </is>
      </c>
      <c r="J66" s="13" t="inlineStr">
        <is>
          <t>Forest</t>
        </is>
      </c>
      <c r="K66" s="13" t="inlineStr">
        <is>
          <t>Forest</t>
        </is>
      </c>
      <c r="L66" s="13" t="inlineStr">
        <is>
          <t>Forest</t>
        </is>
      </c>
      <c r="M66" s="30" t="inlineStr">
        <is>
          <t>Fun Max</t>
        </is>
      </c>
      <c r="N66" s="31">
        <f>INDEX(B66:L66,MATCH(M66,$B$5:$L$5,0))</f>
        <v/>
      </c>
      <c r="O66" s="22">
        <f>IFERROR(VLOOKUP(N66,Prices!$A:$B,2,FALSE),0)</f>
        <v/>
      </c>
      <c r="P66" s="32">
        <f>IFERROR(INDEX('_why_3e'!$B62:$L62,MATCH(M66,$B$5:$L$5,0)),"")</f>
        <v/>
      </c>
    </row>
    <row r="67">
      <c r="A67" s="28" t="n">
        <v>62</v>
      </c>
      <c r="B67" s="33" t="inlineStr">
        <is>
          <t>Swamp</t>
        </is>
      </c>
      <c r="C67" s="33" t="inlineStr">
        <is>
          <t>Swamp</t>
        </is>
      </c>
      <c r="D67" s="33" t="inlineStr">
        <is>
          <t>Swamp</t>
        </is>
      </c>
      <c r="E67" s="33" t="inlineStr">
        <is>
          <t>Swamp</t>
        </is>
      </c>
      <c r="F67" s="33" t="inlineStr">
        <is>
          <t>Swamp</t>
        </is>
      </c>
      <c r="G67" s="33" t="inlineStr">
        <is>
          <t>Swamp</t>
        </is>
      </c>
      <c r="H67" s="33" t="inlineStr">
        <is>
          <t>Swamp</t>
        </is>
      </c>
      <c r="I67" s="33" t="inlineStr">
        <is>
          <t>Swamp</t>
        </is>
      </c>
      <c r="J67" s="33" t="inlineStr">
        <is>
          <t>Swamp</t>
        </is>
      </c>
      <c r="K67" s="33" t="inlineStr">
        <is>
          <t>Swamp</t>
        </is>
      </c>
      <c r="L67" s="33" t="inlineStr">
        <is>
          <t>Swamp</t>
        </is>
      </c>
      <c r="M67" s="30" t="inlineStr">
        <is>
          <t>Fun Max</t>
        </is>
      </c>
      <c r="N67" s="31">
        <f>INDEX(B67:L67,MATCH(M67,$B$5:$L$5,0))</f>
        <v/>
      </c>
      <c r="O67" s="22">
        <f>IFERROR(VLOOKUP(N67,Prices!$A:$B,2,FALSE),0)</f>
        <v/>
      </c>
      <c r="P67" s="32">
        <f>IFERROR(INDEX('_why_3e'!$B63:$L63,MATCH(M67,$B$5:$L$5,0)),"")</f>
        <v/>
      </c>
    </row>
    <row r="68">
      <c r="A68" s="28" t="n">
        <v>63</v>
      </c>
      <c r="B68" s="13" t="inlineStr">
        <is>
          <t>Swamp</t>
        </is>
      </c>
      <c r="C68" s="13" t="inlineStr">
        <is>
          <t>Swamp</t>
        </is>
      </c>
      <c r="D68" s="13" t="inlineStr">
        <is>
          <t>Swamp</t>
        </is>
      </c>
      <c r="E68" s="13" t="inlineStr">
        <is>
          <t>Swamp</t>
        </is>
      </c>
      <c r="F68" s="13" t="inlineStr">
        <is>
          <t>Swamp</t>
        </is>
      </c>
      <c r="G68" s="13" t="inlineStr">
        <is>
          <t>Swamp</t>
        </is>
      </c>
      <c r="H68" s="13" t="inlineStr">
        <is>
          <t>Swamp</t>
        </is>
      </c>
      <c r="I68" s="13" t="inlineStr">
        <is>
          <t>Swamp</t>
        </is>
      </c>
      <c r="J68" s="13" t="inlineStr">
        <is>
          <t>Swamp</t>
        </is>
      </c>
      <c r="K68" s="13" t="inlineStr">
        <is>
          <t>Swamp</t>
        </is>
      </c>
      <c r="L68" s="13" t="inlineStr">
        <is>
          <t>Swamp</t>
        </is>
      </c>
      <c r="M68" s="30" t="inlineStr">
        <is>
          <t>Fun Max</t>
        </is>
      </c>
      <c r="N68" s="31">
        <f>INDEX(B68:L68,MATCH(M68,$B$5:$L$5,0))</f>
        <v/>
      </c>
      <c r="O68" s="22">
        <f>IFERROR(VLOOKUP(N68,Prices!$A:$B,2,FALSE),0)</f>
        <v/>
      </c>
      <c r="P68" s="32">
        <f>IFERROR(INDEX('_why_3e'!$B64:$L64,MATCH(M68,$B$5:$L$5,0)),"")</f>
        <v/>
      </c>
    </row>
    <row r="69">
      <c r="A69" s="28" t="n">
        <v>64</v>
      </c>
      <c r="B69" s="33" t="inlineStr">
        <is>
          <t>Swamp</t>
        </is>
      </c>
      <c r="C69" s="33" t="inlineStr">
        <is>
          <t>Swamp</t>
        </is>
      </c>
      <c r="D69" s="33" t="inlineStr">
        <is>
          <t>Swamp</t>
        </is>
      </c>
      <c r="E69" s="33" t="inlineStr">
        <is>
          <t>Swamp</t>
        </is>
      </c>
      <c r="F69" s="33" t="inlineStr">
        <is>
          <t>Swamp</t>
        </is>
      </c>
      <c r="G69" s="33" t="inlineStr">
        <is>
          <t>Swamp</t>
        </is>
      </c>
      <c r="H69" s="33" t="inlineStr">
        <is>
          <t>Swamp</t>
        </is>
      </c>
      <c r="I69" s="33" t="inlineStr">
        <is>
          <t>Swamp</t>
        </is>
      </c>
      <c r="J69" s="33" t="inlineStr">
        <is>
          <t>Swamp</t>
        </is>
      </c>
      <c r="K69" s="33" t="inlineStr">
        <is>
          <t>Swamp</t>
        </is>
      </c>
      <c r="L69" s="33" t="inlineStr">
        <is>
          <t>Swamp</t>
        </is>
      </c>
      <c r="M69" s="30" t="inlineStr">
        <is>
          <t>Fun Max</t>
        </is>
      </c>
      <c r="N69" s="31">
        <f>INDEX(B69:L69,MATCH(M69,$B$5:$L$5,0))</f>
        <v/>
      </c>
      <c r="O69" s="22">
        <f>IFERROR(VLOOKUP(N69,Prices!$A:$B,2,FALSE),0)</f>
        <v/>
      </c>
      <c r="P69" s="32">
        <f>IFERROR(INDEX('_why_3e'!$B65:$L65,MATCH(M69,$B$5:$L$5,0)),"")</f>
        <v/>
      </c>
    </row>
    <row r="70">
      <c r="A70" s="28" t="n">
        <v>65</v>
      </c>
      <c r="B70" s="13" t="inlineStr">
        <is>
          <t>Swamp</t>
        </is>
      </c>
      <c r="C70" s="13" t="inlineStr">
        <is>
          <t>Swamp</t>
        </is>
      </c>
      <c r="D70" s="13" t="inlineStr">
        <is>
          <t>Swamp</t>
        </is>
      </c>
      <c r="E70" s="13" t="inlineStr">
        <is>
          <t>Swamp</t>
        </is>
      </c>
      <c r="F70" s="13" t="inlineStr">
        <is>
          <t>Swamp</t>
        </is>
      </c>
      <c r="G70" s="13" t="inlineStr">
        <is>
          <t>Swamp</t>
        </is>
      </c>
      <c r="H70" s="13" t="inlineStr">
        <is>
          <t>Swamp</t>
        </is>
      </c>
      <c r="I70" s="13" t="inlineStr">
        <is>
          <t>Swamp</t>
        </is>
      </c>
      <c r="J70" s="13" t="inlineStr">
        <is>
          <t>Swamp</t>
        </is>
      </c>
      <c r="K70" s="13" t="inlineStr">
        <is>
          <t>Swamp</t>
        </is>
      </c>
      <c r="L70" s="13" t="inlineStr">
        <is>
          <t>Swamp</t>
        </is>
      </c>
      <c r="M70" s="30" t="inlineStr">
        <is>
          <t>Fun Max</t>
        </is>
      </c>
      <c r="N70" s="31">
        <f>INDEX(B70:L70,MATCH(M70,$B$5:$L$5,0))</f>
        <v/>
      </c>
      <c r="O70" s="22">
        <f>IFERROR(VLOOKUP(N70,Prices!$A:$B,2,FALSE),0)</f>
        <v/>
      </c>
      <c r="P70" s="32">
        <f>IFERROR(INDEX('_why_3e'!$B66:$L66,MATCH(M70,$B$5:$L$5,0)),"")</f>
        <v/>
      </c>
    </row>
    <row r="71">
      <c r="A71" s="28" t="n">
        <v>66</v>
      </c>
      <c r="B71" s="33" t="inlineStr">
        <is>
          <t>Swamp</t>
        </is>
      </c>
      <c r="C71" s="33" t="inlineStr">
        <is>
          <t>Swamp</t>
        </is>
      </c>
      <c r="D71" s="33" t="inlineStr">
        <is>
          <t>Swamp</t>
        </is>
      </c>
      <c r="E71" s="33" t="inlineStr">
        <is>
          <t>Swamp</t>
        </is>
      </c>
      <c r="F71" s="33" t="inlineStr">
        <is>
          <t>Swamp</t>
        </is>
      </c>
      <c r="G71" s="33" t="inlineStr">
        <is>
          <t>Swamp</t>
        </is>
      </c>
      <c r="H71" s="33" t="inlineStr">
        <is>
          <t>Swamp</t>
        </is>
      </c>
      <c r="I71" s="33" t="inlineStr">
        <is>
          <t>Swamp</t>
        </is>
      </c>
      <c r="J71" s="33" t="inlineStr">
        <is>
          <t>Swamp</t>
        </is>
      </c>
      <c r="K71" s="33" t="inlineStr">
        <is>
          <t>Swamp</t>
        </is>
      </c>
      <c r="L71" s="33" t="inlineStr">
        <is>
          <t>Swamp</t>
        </is>
      </c>
      <c r="M71" s="30" t="inlineStr">
        <is>
          <t>Fun Max</t>
        </is>
      </c>
      <c r="N71" s="31">
        <f>INDEX(B71:L71,MATCH(M71,$B$5:$L$5,0))</f>
        <v/>
      </c>
      <c r="O71" s="22">
        <f>IFERROR(VLOOKUP(N71,Prices!$A:$B,2,FALSE),0)</f>
        <v/>
      </c>
      <c r="P71" s="32">
        <f>IFERROR(INDEX('_why_3e'!$B67:$L67,MATCH(M71,$B$5:$L$5,0)),"")</f>
        <v/>
      </c>
    </row>
    <row r="72">
      <c r="A72" s="28" t="n">
        <v>67</v>
      </c>
      <c r="B72" s="13" t="inlineStr">
        <is>
          <t>Swamp</t>
        </is>
      </c>
      <c r="C72" s="13" t="inlineStr">
        <is>
          <t>Swamp</t>
        </is>
      </c>
      <c r="D72" s="13" t="inlineStr">
        <is>
          <t>Swamp</t>
        </is>
      </c>
      <c r="E72" s="13" t="inlineStr">
        <is>
          <t>Swamp</t>
        </is>
      </c>
      <c r="F72" s="13" t="inlineStr">
        <is>
          <t>Swamp</t>
        </is>
      </c>
      <c r="G72" s="13" t="inlineStr">
        <is>
          <t>Swamp</t>
        </is>
      </c>
      <c r="H72" s="13" t="inlineStr">
        <is>
          <t>Swamp</t>
        </is>
      </c>
      <c r="I72" s="13" t="inlineStr">
        <is>
          <t>Swamp</t>
        </is>
      </c>
      <c r="J72" s="13" t="inlineStr">
        <is>
          <t>Swamp</t>
        </is>
      </c>
      <c r="K72" s="13" t="inlineStr">
        <is>
          <t>Swamp</t>
        </is>
      </c>
      <c r="L72" s="13" t="inlineStr">
        <is>
          <t>Swamp</t>
        </is>
      </c>
      <c r="M72" s="30" t="inlineStr">
        <is>
          <t>Fun Max</t>
        </is>
      </c>
      <c r="N72" s="31">
        <f>INDEX(B72:L72,MATCH(M72,$B$5:$L$5,0))</f>
        <v/>
      </c>
      <c r="O72" s="22">
        <f>IFERROR(VLOOKUP(N72,Prices!$A:$B,2,FALSE),0)</f>
        <v/>
      </c>
      <c r="P72" s="32">
        <f>IFERROR(INDEX('_why_3e'!$B68:$L68,MATCH(M72,$B$5:$L$5,0)),"")</f>
        <v/>
      </c>
    </row>
    <row r="73">
      <c r="A73" s="28" t="n">
        <v>68</v>
      </c>
      <c r="B73" s="33" t="inlineStr">
        <is>
          <t>Swamp</t>
        </is>
      </c>
      <c r="C73" s="33" t="inlineStr">
        <is>
          <t>Swamp</t>
        </is>
      </c>
      <c r="D73" s="33" t="inlineStr">
        <is>
          <t>Swamp</t>
        </is>
      </c>
      <c r="E73" s="33" t="inlineStr">
        <is>
          <t>Swamp</t>
        </is>
      </c>
      <c r="F73" s="33" t="inlineStr">
        <is>
          <t>Swamp</t>
        </is>
      </c>
      <c r="G73" s="33" t="inlineStr">
        <is>
          <t>Swamp</t>
        </is>
      </c>
      <c r="H73" s="33" t="inlineStr">
        <is>
          <t>Swamp</t>
        </is>
      </c>
      <c r="I73" s="33" t="inlineStr">
        <is>
          <t>Swamp</t>
        </is>
      </c>
      <c r="J73" s="33" t="inlineStr">
        <is>
          <t>Swamp</t>
        </is>
      </c>
      <c r="K73" s="33" t="inlineStr">
        <is>
          <t>Swamp</t>
        </is>
      </c>
      <c r="L73" s="33" t="inlineStr">
        <is>
          <t>Swamp</t>
        </is>
      </c>
      <c r="M73" s="30" t="inlineStr">
        <is>
          <t>Fun Max</t>
        </is>
      </c>
      <c r="N73" s="31">
        <f>INDEX(B73:L73,MATCH(M73,$B$5:$L$5,0))</f>
        <v/>
      </c>
      <c r="O73" s="22">
        <f>IFERROR(VLOOKUP(N73,Prices!$A:$B,2,FALSE),0)</f>
        <v/>
      </c>
      <c r="P73" s="32">
        <f>IFERROR(INDEX('_why_3e'!$B69:$L69,MATCH(M73,$B$5:$L$5,0)),"")</f>
        <v/>
      </c>
    </row>
    <row r="74">
      <c r="A74" s="28" t="n">
        <v>69</v>
      </c>
      <c r="B74" s="13" t="inlineStr">
        <is>
          <t>Swamp</t>
        </is>
      </c>
      <c r="C74" s="13" t="inlineStr">
        <is>
          <t>Swamp</t>
        </is>
      </c>
      <c r="D74" s="13" t="inlineStr">
        <is>
          <t>Swamp</t>
        </is>
      </c>
      <c r="E74" s="13" t="inlineStr">
        <is>
          <t>Swamp</t>
        </is>
      </c>
      <c r="F74" s="13" t="inlineStr">
        <is>
          <t>Swamp</t>
        </is>
      </c>
      <c r="G74" s="13" t="inlineStr">
        <is>
          <t>Swamp</t>
        </is>
      </c>
      <c r="H74" s="13" t="inlineStr">
        <is>
          <t>Swamp</t>
        </is>
      </c>
      <c r="I74" s="13" t="inlineStr">
        <is>
          <t>Swamp</t>
        </is>
      </c>
      <c r="J74" s="13" t="inlineStr">
        <is>
          <t>Swamp</t>
        </is>
      </c>
      <c r="K74" s="13" t="inlineStr">
        <is>
          <t>Swamp</t>
        </is>
      </c>
      <c r="L74" s="13" t="inlineStr">
        <is>
          <t>Swamp</t>
        </is>
      </c>
      <c r="M74" s="30" t="inlineStr">
        <is>
          <t>Fun Max</t>
        </is>
      </c>
      <c r="N74" s="31">
        <f>INDEX(B74:L74,MATCH(M74,$B$5:$L$5,0))</f>
        <v/>
      </c>
      <c r="O74" s="22">
        <f>IFERROR(VLOOKUP(N74,Prices!$A:$B,2,FALSE),0)</f>
        <v/>
      </c>
      <c r="P74" s="32">
        <f>IFERROR(INDEX('_why_3e'!$B70:$L70,MATCH(M74,$B$5:$L$5,0)),"")</f>
        <v/>
      </c>
    </row>
    <row r="75">
      <c r="A75" s="28" t="n">
        <v>70</v>
      </c>
      <c r="B75" s="33" t="inlineStr">
        <is>
          <t>Swamp</t>
        </is>
      </c>
      <c r="C75" s="33" t="inlineStr">
        <is>
          <t>Swamp</t>
        </is>
      </c>
      <c r="D75" s="33" t="inlineStr">
        <is>
          <t>Swamp</t>
        </is>
      </c>
      <c r="E75" s="33" t="inlineStr">
        <is>
          <t>Swamp</t>
        </is>
      </c>
      <c r="F75" s="33" t="inlineStr">
        <is>
          <t>Swamp</t>
        </is>
      </c>
      <c r="G75" s="33" t="inlineStr">
        <is>
          <t>Swamp</t>
        </is>
      </c>
      <c r="H75" s="33" t="inlineStr">
        <is>
          <t>Swamp</t>
        </is>
      </c>
      <c r="I75" s="33" t="inlineStr">
        <is>
          <t>Swamp</t>
        </is>
      </c>
      <c r="J75" s="33" t="inlineStr">
        <is>
          <t>Swamp</t>
        </is>
      </c>
      <c r="K75" s="33" t="inlineStr">
        <is>
          <t>Swamp</t>
        </is>
      </c>
      <c r="L75" s="33" t="inlineStr">
        <is>
          <t>Swamp</t>
        </is>
      </c>
      <c r="M75" s="30" t="inlineStr">
        <is>
          <t>Fun Max</t>
        </is>
      </c>
      <c r="N75" s="31">
        <f>INDEX(B75:L75,MATCH(M75,$B$5:$L$5,0))</f>
        <v/>
      </c>
      <c r="O75" s="22">
        <f>IFERROR(VLOOKUP(N75,Prices!$A:$B,2,FALSE),0)</f>
        <v/>
      </c>
      <c r="P75" s="32">
        <f>IFERROR(INDEX('_why_3e'!$B71:$L71,MATCH(M75,$B$5:$L$5,0)),"")</f>
        <v/>
      </c>
    </row>
    <row r="76">
      <c r="A76" s="28" t="n">
        <v>71</v>
      </c>
      <c r="B76" s="13" t="inlineStr">
        <is>
          <t>Swamp</t>
        </is>
      </c>
      <c r="C76" s="13" t="inlineStr">
        <is>
          <t>Swamp</t>
        </is>
      </c>
      <c r="D76" s="13" t="inlineStr">
        <is>
          <t>Swamp</t>
        </is>
      </c>
      <c r="E76" s="13" t="inlineStr">
        <is>
          <t>Swamp</t>
        </is>
      </c>
      <c r="F76" s="13" t="inlineStr">
        <is>
          <t>Swamp</t>
        </is>
      </c>
      <c r="G76" s="13" t="inlineStr">
        <is>
          <t>Swamp</t>
        </is>
      </c>
      <c r="H76" s="13" t="inlineStr">
        <is>
          <t>Swamp</t>
        </is>
      </c>
      <c r="I76" s="13" t="inlineStr">
        <is>
          <t>Swamp</t>
        </is>
      </c>
      <c r="J76" s="13" t="inlineStr">
        <is>
          <t>Swamp</t>
        </is>
      </c>
      <c r="K76" s="13" t="inlineStr">
        <is>
          <t>Swamp</t>
        </is>
      </c>
      <c r="L76" s="13" t="inlineStr">
        <is>
          <t>Swamp</t>
        </is>
      </c>
      <c r="M76" s="30" t="inlineStr">
        <is>
          <t>Fun Max</t>
        </is>
      </c>
      <c r="N76" s="31">
        <f>INDEX(B76:L76,MATCH(M76,$B$5:$L$5,0))</f>
        <v/>
      </c>
      <c r="O76" s="22">
        <f>IFERROR(VLOOKUP(N76,Prices!$A:$B,2,FALSE),0)</f>
        <v/>
      </c>
      <c r="P76" s="32">
        <f>IFERROR(INDEX('_why_3e'!$B72:$L72,MATCH(M76,$B$5:$L$5,0)),"")</f>
        <v/>
      </c>
    </row>
    <row r="77">
      <c r="A77" s="28" t="n">
        <v>72</v>
      </c>
      <c r="B77" s="33" t="inlineStr">
        <is>
          <t>Swamp</t>
        </is>
      </c>
      <c r="C77" s="33" t="inlineStr">
        <is>
          <t>Swamp</t>
        </is>
      </c>
      <c r="D77" s="33" t="inlineStr">
        <is>
          <t>Swamp</t>
        </is>
      </c>
      <c r="E77" s="33" t="inlineStr">
        <is>
          <t>Swamp</t>
        </is>
      </c>
      <c r="F77" s="33" t="inlineStr">
        <is>
          <t>Swamp</t>
        </is>
      </c>
      <c r="G77" s="33" t="inlineStr">
        <is>
          <t>Swamp</t>
        </is>
      </c>
      <c r="H77" s="33" t="inlineStr">
        <is>
          <t>Swamp</t>
        </is>
      </c>
      <c r="I77" s="33" t="inlineStr">
        <is>
          <t>Swamp</t>
        </is>
      </c>
      <c r="J77" s="33" t="inlineStr">
        <is>
          <t>Swamp</t>
        </is>
      </c>
      <c r="K77" s="33" t="inlineStr">
        <is>
          <t>Swamp</t>
        </is>
      </c>
      <c r="L77" s="33" t="inlineStr">
        <is>
          <t>Swamp</t>
        </is>
      </c>
      <c r="M77" s="30" t="inlineStr">
        <is>
          <t>Fun Max</t>
        </is>
      </c>
      <c r="N77" s="31">
        <f>INDEX(B77:L77,MATCH(M77,$B$5:$L$5,0))</f>
        <v/>
      </c>
      <c r="O77" s="22">
        <f>IFERROR(VLOOKUP(N77,Prices!$A:$B,2,FALSE),0)</f>
        <v/>
      </c>
      <c r="P77" s="32">
        <f>IFERROR(INDEX('_why_3e'!$B73:$L73,MATCH(M77,$B$5:$L$5,0)),"")</f>
        <v/>
      </c>
    </row>
    <row r="78">
      <c r="A78" s="28" t="n">
        <v>73</v>
      </c>
      <c r="B78" s="13" t="inlineStr">
        <is>
          <t>Swamp</t>
        </is>
      </c>
      <c r="C78" s="13" t="inlineStr">
        <is>
          <t>Swamp</t>
        </is>
      </c>
      <c r="D78" s="13" t="inlineStr">
        <is>
          <t>Swamp</t>
        </is>
      </c>
      <c r="E78" s="13" t="inlineStr">
        <is>
          <t>Swamp</t>
        </is>
      </c>
      <c r="F78" s="13" t="inlineStr">
        <is>
          <t>Swamp</t>
        </is>
      </c>
      <c r="G78" s="13" t="inlineStr">
        <is>
          <t>Swamp</t>
        </is>
      </c>
      <c r="H78" s="13" t="inlineStr">
        <is>
          <t>Swamp</t>
        </is>
      </c>
      <c r="I78" s="13" t="inlineStr">
        <is>
          <t>Swamp</t>
        </is>
      </c>
      <c r="J78" s="13" t="inlineStr">
        <is>
          <t>Swamp</t>
        </is>
      </c>
      <c r="K78" s="13" t="inlineStr">
        <is>
          <t>Swamp</t>
        </is>
      </c>
      <c r="L78" s="13" t="inlineStr">
        <is>
          <t>Swamp</t>
        </is>
      </c>
      <c r="M78" s="30" t="inlineStr">
        <is>
          <t>Fun Max</t>
        </is>
      </c>
      <c r="N78" s="31">
        <f>INDEX(B78:L78,MATCH(M78,$B$5:$L$5,0))</f>
        <v/>
      </c>
      <c r="O78" s="22">
        <f>IFERROR(VLOOKUP(N78,Prices!$A:$B,2,FALSE),0)</f>
        <v/>
      </c>
      <c r="P78" s="32">
        <f>IFERROR(INDEX('_why_3e'!$B74:$L74,MATCH(M78,$B$5:$L$5,0)),"")</f>
        <v/>
      </c>
    </row>
    <row r="79">
      <c r="A79" s="28" t="n">
        <v>74</v>
      </c>
      <c r="B79" s="33" t="inlineStr">
        <is>
          <t>Swamp</t>
        </is>
      </c>
      <c r="C79" s="33" t="inlineStr">
        <is>
          <t>Swamp</t>
        </is>
      </c>
      <c r="D79" s="33" t="inlineStr">
        <is>
          <t>Swamp</t>
        </is>
      </c>
      <c r="E79" s="33" t="inlineStr">
        <is>
          <t>Swamp</t>
        </is>
      </c>
      <c r="F79" s="33" t="inlineStr">
        <is>
          <t>Swamp</t>
        </is>
      </c>
      <c r="G79" s="33" t="inlineStr">
        <is>
          <t>Swamp</t>
        </is>
      </c>
      <c r="H79" s="33" t="inlineStr">
        <is>
          <t>Swamp</t>
        </is>
      </c>
      <c r="I79" s="33" t="inlineStr">
        <is>
          <t>Swamp</t>
        </is>
      </c>
      <c r="J79" s="33" t="inlineStr">
        <is>
          <t>Swamp</t>
        </is>
      </c>
      <c r="K79" s="33" t="inlineStr">
        <is>
          <t>Swamp</t>
        </is>
      </c>
      <c r="L79" s="33" t="inlineStr">
        <is>
          <t>Swamp</t>
        </is>
      </c>
      <c r="M79" s="30" t="inlineStr">
        <is>
          <t>Fun Max</t>
        </is>
      </c>
      <c r="N79" s="31">
        <f>INDEX(B79:L79,MATCH(M79,$B$5:$L$5,0))</f>
        <v/>
      </c>
      <c r="O79" s="22">
        <f>IFERROR(VLOOKUP(N79,Prices!$A:$B,2,FALSE),0)</f>
        <v/>
      </c>
      <c r="P79" s="32">
        <f>IFERROR(INDEX('_why_3e'!$B75:$L75,MATCH(M79,$B$5:$L$5,0)),"")</f>
        <v/>
      </c>
    </row>
    <row r="80">
      <c r="A80" s="28" t="n">
        <v>75</v>
      </c>
      <c r="B80" s="13" t="inlineStr">
        <is>
          <t>Swamp</t>
        </is>
      </c>
      <c r="C80" s="13" t="inlineStr">
        <is>
          <t>Swamp</t>
        </is>
      </c>
      <c r="D80" s="13" t="inlineStr">
        <is>
          <t>Swamp</t>
        </is>
      </c>
      <c r="E80" s="13" t="inlineStr">
        <is>
          <t>Swamp</t>
        </is>
      </c>
      <c r="F80" s="13" t="inlineStr">
        <is>
          <t>Swamp</t>
        </is>
      </c>
      <c r="G80" s="13" t="inlineStr">
        <is>
          <t>Swamp</t>
        </is>
      </c>
      <c r="H80" s="13" t="inlineStr">
        <is>
          <t>Swamp</t>
        </is>
      </c>
      <c r="I80" s="13" t="inlineStr">
        <is>
          <t>Swamp</t>
        </is>
      </c>
      <c r="J80" s="13" t="inlineStr">
        <is>
          <t>Swamp</t>
        </is>
      </c>
      <c r="K80" s="13" t="inlineStr">
        <is>
          <t>Swamp</t>
        </is>
      </c>
      <c r="L80" s="13" t="inlineStr">
        <is>
          <t>Swamp</t>
        </is>
      </c>
      <c r="M80" s="30" t="inlineStr">
        <is>
          <t>Fun Max</t>
        </is>
      </c>
      <c r="N80" s="31">
        <f>INDEX(B80:L80,MATCH(M80,$B$5:$L$5,0))</f>
        <v/>
      </c>
      <c r="O80" s="22">
        <f>IFERROR(VLOOKUP(N80,Prices!$A:$B,2,FALSE),0)</f>
        <v/>
      </c>
      <c r="P80" s="32">
        <f>IFERROR(INDEX('_why_3e'!$B76:$L76,MATCH(M80,$B$5:$L$5,0)),"")</f>
        <v/>
      </c>
    </row>
    <row r="81">
      <c r="A81" s="28" t="n">
        <v>76</v>
      </c>
      <c r="B81" s="33" t="inlineStr">
        <is>
          <t>Command Tower</t>
        </is>
      </c>
      <c r="C81" s="33" t="inlineStr">
        <is>
          <t>Command Tower</t>
        </is>
      </c>
      <c r="D81" s="33" t="inlineStr">
        <is>
          <t>Command Tower</t>
        </is>
      </c>
      <c r="E81" s="33" t="inlineStr">
        <is>
          <t>Command Tower</t>
        </is>
      </c>
      <c r="F81" s="34" t="inlineStr">
        <is>
          <t>Marauding Blight-Priest</t>
        </is>
      </c>
      <c r="G81" s="34" t="inlineStr">
        <is>
          <t>Marauding Blight-Priest</t>
        </is>
      </c>
      <c r="H81" s="34" t="inlineStr">
        <is>
          <t>Marauding Blight-Priest</t>
        </is>
      </c>
      <c r="I81" s="33" t="inlineStr">
        <is>
          <t>Command Tower</t>
        </is>
      </c>
      <c r="J81" s="34" t="inlineStr">
        <is>
          <t>Glissa Sunslayer</t>
        </is>
      </c>
      <c r="K81" s="33" t="inlineStr">
        <is>
          <t>Command Tower</t>
        </is>
      </c>
      <c r="L81" s="34" t="inlineStr">
        <is>
          <t>Inspiring Call</t>
        </is>
      </c>
      <c r="M81" s="30" t="inlineStr">
        <is>
          <t>Fun Max</t>
        </is>
      </c>
      <c r="N81" s="31">
        <f>INDEX(B81:L81,MATCH(M81,$B$5:$L$5,0))</f>
        <v/>
      </c>
      <c r="O81" s="22">
        <f>IFERROR(VLOOKUP(N81,Prices!$A:$B,2,FALSE),0)</f>
        <v/>
      </c>
      <c r="P81" s="32">
        <f>IFERROR(INDEX('_why_3e'!$B77:$L77,MATCH(M81,$B$5:$L$5,0)),"")</f>
        <v/>
      </c>
    </row>
    <row r="82">
      <c r="A82" s="28" t="n">
        <v>77</v>
      </c>
      <c r="B82" s="13" t="inlineStr">
        <is>
          <t>Woodland Cemetery</t>
        </is>
      </c>
      <c r="C82" s="13" t="inlineStr">
        <is>
          <t>Woodland Cemetery</t>
        </is>
      </c>
      <c r="D82" s="13" t="inlineStr">
        <is>
          <t>Woodland Cemetery</t>
        </is>
      </c>
      <c r="E82" s="13" t="inlineStr">
        <is>
          <t>Woodland Cemetery</t>
        </is>
      </c>
      <c r="F82" s="29" t="inlineStr">
        <is>
          <t>Kogla, the Titan Ape</t>
        </is>
      </c>
      <c r="G82" s="29" t="inlineStr">
        <is>
          <t>Kogla, the Titan Ape</t>
        </is>
      </c>
      <c r="H82" s="29" t="inlineStr">
        <is>
          <t>Kogla, the Titan Ape</t>
        </is>
      </c>
      <c r="I82" s="13" t="inlineStr">
        <is>
          <t>Woodland Cemetery</t>
        </is>
      </c>
      <c r="J82" s="29" t="inlineStr">
        <is>
          <t>Insidious Fungus</t>
        </is>
      </c>
      <c r="K82" s="13" t="inlineStr">
        <is>
          <t>Woodland Cemetery</t>
        </is>
      </c>
      <c r="L82" s="29" t="inlineStr">
        <is>
          <t>Glissa Sunslayer</t>
        </is>
      </c>
      <c r="M82" s="30" t="inlineStr">
        <is>
          <t>Fun Max</t>
        </is>
      </c>
      <c r="N82" s="31">
        <f>INDEX(B82:L82,MATCH(M82,$B$5:$L$5,0))</f>
        <v/>
      </c>
      <c r="O82" s="22">
        <f>IFERROR(VLOOKUP(N82,Prices!$A:$B,2,FALSE),0)</f>
        <v/>
      </c>
      <c r="P82" s="32">
        <f>IFERROR(INDEX('_why_3e'!$B78:$L78,MATCH(M82,$B$5:$L$5,0)),"")</f>
        <v/>
      </c>
    </row>
    <row r="83">
      <c r="A83" s="28" t="n">
        <v>78</v>
      </c>
      <c r="B83" s="33" t="inlineStr">
        <is>
          <t>Llanowar Wastes</t>
        </is>
      </c>
      <c r="C83" s="33" t="inlineStr">
        <is>
          <t>Llanowar Wastes</t>
        </is>
      </c>
      <c r="D83" s="33" t="inlineStr">
        <is>
          <t>Llanowar Wastes</t>
        </is>
      </c>
      <c r="E83" s="33" t="inlineStr">
        <is>
          <t>Llanowar Wastes</t>
        </is>
      </c>
      <c r="F83" s="34" t="inlineStr">
        <is>
          <t>Snuff Out</t>
        </is>
      </c>
      <c r="G83" s="34" t="inlineStr">
        <is>
          <t>Snuff Out</t>
        </is>
      </c>
      <c r="H83" s="34" t="inlineStr">
        <is>
          <t>Snuff Out</t>
        </is>
      </c>
      <c r="I83" s="34" t="inlineStr">
        <is>
          <t>Golgari Charm</t>
        </is>
      </c>
      <c r="J83" s="33" t="inlineStr">
        <is>
          <t>Llanowar Wastes</t>
        </is>
      </c>
      <c r="K83" s="34" t="inlineStr">
        <is>
          <t>Wear Down</t>
        </is>
      </c>
      <c r="L83" s="33" t="inlineStr">
        <is>
          <t>Llanowar Wastes</t>
        </is>
      </c>
      <c r="M83" s="30" t="inlineStr">
        <is>
          <t>Fun Max</t>
        </is>
      </c>
      <c r="N83" s="31">
        <f>INDEX(B83:L83,MATCH(M83,$B$5:$L$5,0))</f>
        <v/>
      </c>
      <c r="O83" s="22">
        <f>IFERROR(VLOOKUP(N83,Prices!$A:$B,2,FALSE),0)</f>
        <v/>
      </c>
      <c r="P83" s="32">
        <f>IFERROR(INDEX('_why_3e'!$B79:$L79,MATCH(M83,$B$5:$L$5,0)),"")</f>
        <v/>
      </c>
    </row>
    <row r="84">
      <c r="A84" s="28" t="n">
        <v>79</v>
      </c>
      <c r="B84" s="13" t="inlineStr">
        <is>
          <t>Golgari Rot Farm</t>
        </is>
      </c>
      <c r="C84" s="13" t="inlineStr">
        <is>
          <t>Golgari Rot Farm</t>
        </is>
      </c>
      <c r="D84" s="13" t="inlineStr">
        <is>
          <t>Golgari Rot Farm</t>
        </is>
      </c>
      <c r="E84" s="13" t="inlineStr">
        <is>
          <t>Golgari Rot Farm</t>
        </is>
      </c>
      <c r="F84" s="29" t="inlineStr">
        <is>
          <t>Zodiark, Umbral God</t>
        </is>
      </c>
      <c r="G84" s="29" t="inlineStr">
        <is>
          <t>Zodiark, Umbral God</t>
        </is>
      </c>
      <c r="H84" s="29" t="inlineStr">
        <is>
          <t>Zodiark, Umbral God</t>
        </is>
      </c>
      <c r="I84" s="29" t="inlineStr">
        <is>
          <t>Sword of Fire and Ice</t>
        </is>
      </c>
      <c r="J84" s="13" t="inlineStr">
        <is>
          <t>Golgari Rot Farm</t>
        </is>
      </c>
      <c r="K84" s="29" t="inlineStr">
        <is>
          <t>Sword of Fire and Ice</t>
        </is>
      </c>
      <c r="L84" s="13" t="inlineStr">
        <is>
          <t>Golgari Rot Farm</t>
        </is>
      </c>
      <c r="M84" s="30" t="inlineStr">
        <is>
          <t>Fun Max</t>
        </is>
      </c>
      <c r="N84" s="31">
        <f>INDEX(B84:L84,MATCH(M84,$B$5:$L$5,0))</f>
        <v/>
      </c>
      <c r="O84" s="22">
        <f>IFERROR(VLOOKUP(N84,Prices!$A:$B,2,FALSE),0)</f>
        <v/>
      </c>
      <c r="P84" s="32">
        <f>IFERROR(INDEX('_why_3e'!$B80:$L80,MATCH(M84,$B$5:$L$5,0)),"")</f>
        <v/>
      </c>
    </row>
    <row r="85">
      <c r="A85" s="28" t="n">
        <v>80</v>
      </c>
      <c r="B85" s="33" t="inlineStr">
        <is>
          <t>Jungle Hollow</t>
        </is>
      </c>
      <c r="C85" s="33" t="inlineStr">
        <is>
          <t>Jungle Hollow</t>
        </is>
      </c>
      <c r="D85" s="33" t="inlineStr">
        <is>
          <t>Jungle Hollow</t>
        </is>
      </c>
      <c r="E85" s="33" t="inlineStr">
        <is>
          <t>Jungle Hollow</t>
        </is>
      </c>
      <c r="F85" s="33" t="inlineStr">
        <is>
          <t>Jungle Hollow</t>
        </is>
      </c>
      <c r="G85" s="33" t="inlineStr">
        <is>
          <t>Jungle Hollow</t>
        </is>
      </c>
      <c r="H85" s="33" t="inlineStr">
        <is>
          <t>Jungle Hollow</t>
        </is>
      </c>
      <c r="I85" s="33" t="inlineStr">
        <is>
          <t>Jungle Hollow</t>
        </is>
      </c>
      <c r="J85" s="33" t="inlineStr">
        <is>
          <t>Jungle Hollow</t>
        </is>
      </c>
      <c r="K85" s="33" t="inlineStr">
        <is>
          <t>Jungle Hollow</t>
        </is>
      </c>
      <c r="L85" s="33" t="inlineStr">
        <is>
          <t>Jungle Hollow</t>
        </is>
      </c>
      <c r="M85" s="30" t="inlineStr">
        <is>
          <t>Fun Max</t>
        </is>
      </c>
      <c r="N85" s="31">
        <f>INDEX(B85:L85,MATCH(M85,$B$5:$L$5,0))</f>
        <v/>
      </c>
      <c r="O85" s="22">
        <f>IFERROR(VLOOKUP(N85,Prices!$A:$B,2,FALSE),0)</f>
        <v/>
      </c>
      <c r="P85" s="32">
        <f>IFERROR(INDEX('_why_3e'!$B81:$L81,MATCH(M85,$B$5:$L$5,0)),"")</f>
        <v/>
      </c>
    </row>
    <row r="86">
      <c r="A86" s="28" t="n">
        <v>81</v>
      </c>
      <c r="B86" s="13" t="inlineStr">
        <is>
          <t>Bojuka Bog</t>
        </is>
      </c>
      <c r="C86" s="13" t="inlineStr">
        <is>
          <t>Bojuka Bog</t>
        </is>
      </c>
      <c r="D86" s="13" t="inlineStr">
        <is>
          <t>Bojuka Bog</t>
        </is>
      </c>
      <c r="E86" s="13" t="inlineStr">
        <is>
          <t>Bojuka Bog</t>
        </is>
      </c>
      <c r="F86" s="13" t="inlineStr">
        <is>
          <t>Bojuka Bog</t>
        </is>
      </c>
      <c r="G86" s="13" t="inlineStr">
        <is>
          <t>Bojuka Bog</t>
        </is>
      </c>
      <c r="H86" s="13" t="inlineStr">
        <is>
          <t>Bojuka Bog</t>
        </is>
      </c>
      <c r="I86" s="29" t="inlineStr">
        <is>
          <t>Collective Resistance</t>
        </is>
      </c>
      <c r="J86" s="29" t="inlineStr">
        <is>
          <t>Origin of Metalbending</t>
        </is>
      </c>
      <c r="K86" s="29" t="inlineStr">
        <is>
          <t>Insidious Fungus</t>
        </is>
      </c>
      <c r="L86" s="29" t="inlineStr">
        <is>
          <t>Hazel of the Rootbloom</t>
        </is>
      </c>
      <c r="M86" s="30" t="inlineStr">
        <is>
          <t>Fun Max</t>
        </is>
      </c>
      <c r="N86" s="31">
        <f>INDEX(B86:L86,MATCH(M86,$B$5:$L$5,0))</f>
        <v/>
      </c>
      <c r="O86" s="22">
        <f>IFERROR(VLOOKUP(N86,Prices!$A:$B,2,FALSE),0)</f>
        <v/>
      </c>
      <c r="P86" s="32">
        <f>IFERROR(INDEX('_why_3e'!$B82:$L82,MATCH(M86,$B$5:$L$5,0)),"")</f>
        <v/>
      </c>
    </row>
    <row r="87">
      <c r="A87" s="28" t="n">
        <v>82</v>
      </c>
      <c r="B87" s="33" t="inlineStr">
        <is>
          <t>Dakmor Salvage</t>
        </is>
      </c>
      <c r="C87" s="33" t="inlineStr">
        <is>
          <t>Dakmor Salvage</t>
        </is>
      </c>
      <c r="D87" s="33" t="inlineStr">
        <is>
          <t>Dakmor Salvage</t>
        </is>
      </c>
      <c r="E87" s="33" t="inlineStr">
        <is>
          <t>Dakmor Salvage</t>
        </is>
      </c>
      <c r="F87" s="34" t="inlineStr">
        <is>
          <t>Sword of Fire and Ice</t>
        </is>
      </c>
      <c r="G87" s="34" t="inlineStr">
        <is>
          <t>Sword of Fire and Ice</t>
        </is>
      </c>
      <c r="H87" s="34" t="inlineStr">
        <is>
          <t>Sword of Fire and Ice</t>
        </is>
      </c>
      <c r="I87" s="34" t="inlineStr">
        <is>
          <t>Wear Down</t>
        </is>
      </c>
      <c r="J87" s="33" t="inlineStr">
        <is>
          <t>Dakmor Salvage</t>
        </is>
      </c>
      <c r="K87" s="34" t="inlineStr">
        <is>
          <t>Origin of Metalbending</t>
        </is>
      </c>
      <c r="L87" s="33" t="inlineStr">
        <is>
          <t>Dakmor Salvage</t>
        </is>
      </c>
      <c r="M87" s="30" t="inlineStr">
        <is>
          <t>Fun Max</t>
        </is>
      </c>
      <c r="N87" s="31">
        <f>INDEX(B87:L87,MATCH(M87,$B$5:$L$5,0))</f>
        <v/>
      </c>
      <c r="O87" s="22">
        <f>IFERROR(VLOOKUP(N87,Prices!$A:$B,2,FALSE),0)</f>
        <v/>
      </c>
      <c r="P87" s="32">
        <f>IFERROR(INDEX('_why_3e'!$B83:$L83,MATCH(M87,$B$5:$L$5,0)),"")</f>
        <v/>
      </c>
    </row>
    <row r="88">
      <c r="A88" s="28" t="n">
        <v>83</v>
      </c>
      <c r="B88" s="13" t="inlineStr">
        <is>
          <t>Ghost Quarter</t>
        </is>
      </c>
      <c r="C88" s="13" t="inlineStr">
        <is>
          <t>Ghost Quarter</t>
        </is>
      </c>
      <c r="D88" s="13" t="inlineStr">
        <is>
          <t>Ghost Quarter</t>
        </is>
      </c>
      <c r="E88" s="13" t="inlineStr">
        <is>
          <t>Ghost Quarter</t>
        </is>
      </c>
      <c r="F88" s="13" t="inlineStr">
        <is>
          <t>Ghost Quarter</t>
        </is>
      </c>
      <c r="G88" s="13" t="inlineStr">
        <is>
          <t>Ghost Quarter</t>
        </is>
      </c>
      <c r="H88" s="13" t="inlineStr">
        <is>
          <t>Ghost Quarter</t>
        </is>
      </c>
      <c r="I88" s="13" t="inlineStr">
        <is>
          <t>Ghost Quarter</t>
        </is>
      </c>
      <c r="J88" s="29" t="inlineStr">
        <is>
          <t>Avenger of Zendikar</t>
        </is>
      </c>
      <c r="K88" s="13" t="inlineStr">
        <is>
          <t>Ghost Quarter</t>
        </is>
      </c>
      <c r="L88" s="13" t="inlineStr">
        <is>
          <t>Ghost Quarter</t>
        </is>
      </c>
      <c r="M88" s="30" t="inlineStr">
        <is>
          <t>Fun Max</t>
        </is>
      </c>
      <c r="N88" s="31">
        <f>INDEX(B88:L88,MATCH(M88,$B$5:$L$5,0))</f>
        <v/>
      </c>
      <c r="O88" s="22">
        <f>IFERROR(VLOOKUP(N88,Prices!$A:$B,2,FALSE),0)</f>
        <v/>
      </c>
      <c r="P88" s="32">
        <f>IFERROR(INDEX('_why_3e'!$B84:$L84,MATCH(M88,$B$5:$L$5,0)),"")</f>
        <v/>
      </c>
    </row>
    <row r="89">
      <c r="A89" s="28" t="n">
        <v>84</v>
      </c>
      <c r="B89" s="33" t="inlineStr">
        <is>
          <t>Blast Zone</t>
        </is>
      </c>
      <c r="C89" s="33" t="inlineStr">
        <is>
          <t>Blast Zone</t>
        </is>
      </c>
      <c r="D89" s="33" t="inlineStr">
        <is>
          <t>Blast Zone</t>
        </is>
      </c>
      <c r="E89" s="33" t="inlineStr">
        <is>
          <t>Blast Zone</t>
        </is>
      </c>
      <c r="F89" s="34" t="inlineStr">
        <is>
          <t>Rise of the Eldrazi</t>
        </is>
      </c>
      <c r="G89" s="34" t="inlineStr">
        <is>
          <t>Rise of the Eldrazi</t>
        </is>
      </c>
      <c r="H89" s="34" t="inlineStr">
        <is>
          <t>Rise of the Eldrazi</t>
        </is>
      </c>
      <c r="I89" s="33" t="inlineStr">
        <is>
          <t>Blast Zone</t>
        </is>
      </c>
      <c r="J89" s="33" t="inlineStr">
        <is>
          <t>Blast Zone</t>
        </is>
      </c>
      <c r="K89" s="33" t="inlineStr">
        <is>
          <t>Blast Zone</t>
        </is>
      </c>
      <c r="L89" s="34" t="inlineStr">
        <is>
          <t>Sword of Fire and Ice</t>
        </is>
      </c>
      <c r="M89" s="30" t="inlineStr">
        <is>
          <t>Fun Max</t>
        </is>
      </c>
      <c r="N89" s="31">
        <f>INDEX(B89:L89,MATCH(M89,$B$5:$L$5,0))</f>
        <v/>
      </c>
      <c r="O89" s="22">
        <f>IFERROR(VLOOKUP(N89,Prices!$A:$B,2,FALSE),0)</f>
        <v/>
      </c>
      <c r="P89" s="32">
        <f>IFERROR(INDEX('_why_3e'!$B85:$L85,MATCH(M89,$B$5:$L$5,0)),"")</f>
        <v/>
      </c>
    </row>
    <row r="90">
      <c r="A90" s="28" t="n">
        <v>85</v>
      </c>
      <c r="B90" s="13" t="inlineStr">
        <is>
          <t>Evolving Wilds</t>
        </is>
      </c>
      <c r="C90" s="13" t="inlineStr">
        <is>
          <t>Evolving Wilds</t>
        </is>
      </c>
      <c r="D90" s="13" t="inlineStr">
        <is>
          <t>Evolving Wilds</t>
        </is>
      </c>
      <c r="E90" s="13" t="inlineStr">
        <is>
          <t>Evolving Wilds</t>
        </is>
      </c>
      <c r="F90" s="29" t="inlineStr">
        <is>
          <t>Origin of Metalbending</t>
        </is>
      </c>
      <c r="G90" s="29" t="inlineStr">
        <is>
          <t>Origin of Metalbending</t>
        </is>
      </c>
      <c r="H90" s="29" t="inlineStr">
        <is>
          <t>Origin of Metalbending</t>
        </is>
      </c>
      <c r="I90" s="29" t="inlineStr">
        <is>
          <t>Altar of the Wretched // Wretched Bonemass</t>
        </is>
      </c>
      <c r="J90" s="13" t="inlineStr">
        <is>
          <t>Evolving Wilds</t>
        </is>
      </c>
      <c r="K90" s="29" t="inlineStr">
        <is>
          <t>Collective Resistance</t>
        </is>
      </c>
      <c r="L90" s="13" t="inlineStr">
        <is>
          <t>Evolving Wilds</t>
        </is>
      </c>
      <c r="M90" s="30" t="inlineStr">
        <is>
          <t>Fun Max</t>
        </is>
      </c>
      <c r="N90" s="31">
        <f>INDEX(B90:L90,MATCH(M90,$B$5:$L$5,0))</f>
        <v/>
      </c>
      <c r="O90" s="22">
        <f>IFERROR(VLOOKUP(N90,Prices!$A:$B,2,FALSE),0)</f>
        <v/>
      </c>
      <c r="P90" s="32">
        <f>IFERROR(INDEX('_why_3e'!$B86:$L86,MATCH(M90,$B$5:$L$5,0)),"")</f>
        <v/>
      </c>
    </row>
    <row r="91">
      <c r="A91" s="28" t="n">
        <v>86</v>
      </c>
      <c r="B91" s="33" t="inlineStr">
        <is>
          <t>Terramorphic Expanse</t>
        </is>
      </c>
      <c r="C91" s="33" t="inlineStr">
        <is>
          <t>Terramorphic Expanse</t>
        </is>
      </c>
      <c r="D91" s="33" t="inlineStr">
        <is>
          <t>Terramorphic Expanse</t>
        </is>
      </c>
      <c r="E91" s="33" t="inlineStr">
        <is>
          <t>Terramorphic Expanse</t>
        </is>
      </c>
      <c r="F91" s="33" t="inlineStr">
        <is>
          <t>Terramorphic Expanse</t>
        </is>
      </c>
      <c r="G91" s="33" t="inlineStr">
        <is>
          <t>Terramorphic Expanse</t>
        </is>
      </c>
      <c r="H91" s="33" t="inlineStr">
        <is>
          <t>Terramorphic Expanse</t>
        </is>
      </c>
      <c r="I91" s="33" t="inlineStr">
        <is>
          <t>Terramorphic Expanse</t>
        </is>
      </c>
      <c r="J91" s="33" t="inlineStr">
        <is>
          <t>Terramorphic Expanse</t>
        </is>
      </c>
      <c r="K91" s="34" t="inlineStr">
        <is>
          <t>Golgari Charm</t>
        </is>
      </c>
      <c r="L91" s="33" t="inlineStr">
        <is>
          <t>Terramorphic Expanse</t>
        </is>
      </c>
      <c r="M91" s="30" t="inlineStr">
        <is>
          <t>Fun Max</t>
        </is>
      </c>
      <c r="N91" s="31">
        <f>INDEX(B91:L91,MATCH(M91,$B$5:$L$5,0))</f>
        <v/>
      </c>
      <c r="O91" s="22">
        <f>IFERROR(VLOOKUP(N91,Prices!$A:$B,2,FALSE),0)</f>
        <v/>
      </c>
      <c r="P91" s="32">
        <f>IFERROR(INDEX('_why_3e'!$B87:$L87,MATCH(M91,$B$5:$L$5,0)),"")</f>
        <v/>
      </c>
    </row>
    <row r="92">
      <c r="A92" s="28" t="n">
        <v>87</v>
      </c>
      <c r="B92" s="13" t="inlineStr">
        <is>
          <t>Myriad Landscape</t>
        </is>
      </c>
      <c r="C92" s="13" t="inlineStr">
        <is>
          <t>Myriad Landscape</t>
        </is>
      </c>
      <c r="D92" s="13" t="inlineStr">
        <is>
          <t>Myriad Landscape</t>
        </is>
      </c>
      <c r="E92" s="13" t="inlineStr">
        <is>
          <t>Myriad Landscape</t>
        </is>
      </c>
      <c r="F92" s="29" t="inlineStr">
        <is>
          <t>Deathrite Shaman</t>
        </is>
      </c>
      <c r="G92" s="29" t="inlineStr">
        <is>
          <t>Deathrite Shaman</t>
        </is>
      </c>
      <c r="H92" s="29" t="inlineStr">
        <is>
          <t>Deathrite Shaman</t>
        </is>
      </c>
      <c r="I92" s="13" t="inlineStr">
        <is>
          <t>Myriad Landscape</t>
        </is>
      </c>
      <c r="J92" s="29" t="inlineStr">
        <is>
          <t>Golgari Charm</t>
        </is>
      </c>
      <c r="K92" s="13" t="inlineStr">
        <is>
          <t>Myriad Landscape</t>
        </is>
      </c>
      <c r="L92" s="29" t="inlineStr">
        <is>
          <t>Avenger of Zendikar</t>
        </is>
      </c>
      <c r="M92" s="30" t="inlineStr">
        <is>
          <t>Fun Max</t>
        </is>
      </c>
      <c r="N92" s="31">
        <f>INDEX(B92:L92,MATCH(M92,$B$5:$L$5,0))</f>
        <v/>
      </c>
      <c r="O92" s="22">
        <f>IFERROR(VLOOKUP(N92,Prices!$A:$B,2,FALSE),0)</f>
        <v/>
      </c>
      <c r="P92" s="32">
        <f>IFERROR(INDEX('_why_3e'!$B88:$L88,MATCH(M92,$B$5:$L$5,0)),"")</f>
        <v/>
      </c>
    </row>
    <row r="93">
      <c r="A93" s="28" t="n">
        <v>88</v>
      </c>
      <c r="B93" s="33" t="inlineStr">
        <is>
          <t>Barren Moor</t>
        </is>
      </c>
      <c r="C93" s="33" t="inlineStr">
        <is>
          <t>Barren Moor</t>
        </is>
      </c>
      <c r="D93" s="33" t="inlineStr">
        <is>
          <t>Barren Moor</t>
        </is>
      </c>
      <c r="E93" s="33" t="inlineStr">
        <is>
          <t>Barren Moor</t>
        </is>
      </c>
      <c r="F93" s="33" t="inlineStr">
        <is>
          <t>Barren Moor</t>
        </is>
      </c>
      <c r="G93" s="33" t="inlineStr">
        <is>
          <t>Barren Moor</t>
        </is>
      </c>
      <c r="H93" s="33" t="inlineStr">
        <is>
          <t>Barren Moor</t>
        </is>
      </c>
      <c r="I93" s="34" t="inlineStr">
        <is>
          <t>Insidious Fungus</t>
        </is>
      </c>
      <c r="J93" s="34" t="inlineStr">
        <is>
          <t>Collective Resistance</t>
        </is>
      </c>
      <c r="K93" s="34" t="inlineStr">
        <is>
          <t>Hazel of the Rootbloom</t>
        </is>
      </c>
      <c r="L93" s="34" t="inlineStr">
        <is>
          <t>Swift Demise</t>
        </is>
      </c>
      <c r="M93" s="30" t="inlineStr">
        <is>
          <t>Fun Max</t>
        </is>
      </c>
      <c r="N93" s="31">
        <f>INDEX(B93:L93,MATCH(M93,$B$5:$L$5,0))</f>
        <v/>
      </c>
      <c r="O93" s="22">
        <f>IFERROR(VLOOKUP(N93,Prices!$A:$B,2,FALSE),0)</f>
        <v/>
      </c>
      <c r="P93" s="32">
        <f>IFERROR(INDEX('_why_3e'!$B89:$L89,MATCH(M93,$B$5:$L$5,0)),"")</f>
        <v/>
      </c>
    </row>
    <row r="94">
      <c r="A94" s="28" t="n">
        <v>89</v>
      </c>
      <c r="B94" s="13" t="inlineStr">
        <is>
          <t>Tranquil Thicket</t>
        </is>
      </c>
      <c r="C94" s="13" t="inlineStr">
        <is>
          <t>Tranquil Thicket</t>
        </is>
      </c>
      <c r="D94" s="13" t="inlineStr">
        <is>
          <t>Tranquil Thicket</t>
        </is>
      </c>
      <c r="E94" s="13" t="inlineStr">
        <is>
          <t>Tranquil Thicket</t>
        </is>
      </c>
      <c r="F94" s="13" t="inlineStr">
        <is>
          <t>Tranquil Thicket</t>
        </is>
      </c>
      <c r="G94" s="13" t="inlineStr">
        <is>
          <t>Tranquil Thicket</t>
        </is>
      </c>
      <c r="H94" s="13" t="inlineStr">
        <is>
          <t>Tranquil Thicket</t>
        </is>
      </c>
      <c r="I94" s="29" t="inlineStr">
        <is>
          <t>Ramunap Excavator</t>
        </is>
      </c>
      <c r="J94" s="13" t="inlineStr">
        <is>
          <t>Tranquil Thicket</t>
        </is>
      </c>
      <c r="K94" s="13" t="inlineStr">
        <is>
          <t>Tranquil Thicket</t>
        </is>
      </c>
      <c r="L94" s="13" t="inlineStr">
        <is>
          <t>Tranquil Thicket</t>
        </is>
      </c>
      <c r="M94" s="30" t="inlineStr">
        <is>
          <t>Fun Max</t>
        </is>
      </c>
      <c r="N94" s="31">
        <f>INDEX(B94:L94,MATCH(M94,$B$5:$L$5,0))</f>
        <v/>
      </c>
      <c r="O94" s="22">
        <f>IFERROR(VLOOKUP(N94,Prices!$A:$B,2,FALSE),0)</f>
        <v/>
      </c>
      <c r="P94" s="32">
        <f>IFERROR(INDEX('_why_3e'!$B90:$L90,MATCH(M94,$B$5:$L$5,0)),"")</f>
        <v/>
      </c>
    </row>
    <row r="95">
      <c r="A95" s="28" t="n">
        <v>90</v>
      </c>
      <c r="B95" s="33" t="inlineStr">
        <is>
          <t>Grim Backwoods</t>
        </is>
      </c>
      <c r="C95" s="33" t="inlineStr">
        <is>
          <t>Grim Backwoods</t>
        </is>
      </c>
      <c r="D95" s="33" t="inlineStr">
        <is>
          <t>Grim Backwoods</t>
        </is>
      </c>
      <c r="E95" s="33" t="inlineStr">
        <is>
          <t>Grim Backwoods</t>
        </is>
      </c>
      <c r="F95" s="33" t="inlineStr">
        <is>
          <t>Grim Backwoods</t>
        </is>
      </c>
      <c r="G95" s="33" t="inlineStr">
        <is>
          <t>Grim Backwoods</t>
        </is>
      </c>
      <c r="H95" s="33" t="inlineStr">
        <is>
          <t>Grim Backwoods</t>
        </is>
      </c>
      <c r="I95" s="33" t="inlineStr">
        <is>
          <t>Grim Backwoods</t>
        </is>
      </c>
      <c r="J95" s="34" t="inlineStr">
        <is>
          <t>Crop Rotation</t>
        </is>
      </c>
      <c r="K95" s="33" t="inlineStr">
        <is>
          <t>Grim Backwoods</t>
        </is>
      </c>
      <c r="L95" s="34" t="inlineStr">
        <is>
          <t>Vivien Reid</t>
        </is>
      </c>
      <c r="M95" s="30" t="inlineStr">
        <is>
          <t>Fun Max</t>
        </is>
      </c>
      <c r="N95" s="31">
        <f>INDEX(B95:L95,MATCH(M95,$B$5:$L$5,0))</f>
        <v/>
      </c>
      <c r="O95" s="22">
        <f>IFERROR(VLOOKUP(N95,Prices!$A:$B,2,FALSE),0)</f>
        <v/>
      </c>
      <c r="P95" s="32">
        <f>IFERROR(INDEX('_why_3e'!$B91:$L91,MATCH(M95,$B$5:$L$5,0)),"")</f>
        <v/>
      </c>
    </row>
    <row r="96">
      <c r="A96" s="28" t="n">
        <v>91</v>
      </c>
      <c r="B96" s="13" t="inlineStr">
        <is>
          <t>Hissing Quagmire</t>
        </is>
      </c>
      <c r="C96" s="13" t="inlineStr">
        <is>
          <t>Hissing Quagmire</t>
        </is>
      </c>
      <c r="D96" s="13" t="inlineStr">
        <is>
          <t>Hissing Quagmire</t>
        </is>
      </c>
      <c r="E96" s="13" t="inlineStr">
        <is>
          <t>Hissing Quagmire</t>
        </is>
      </c>
      <c r="F96" s="13" t="inlineStr">
        <is>
          <t>Hissing Quagmire</t>
        </is>
      </c>
      <c r="G96" s="13" t="inlineStr">
        <is>
          <t>Hissing Quagmire</t>
        </is>
      </c>
      <c r="H96" s="13" t="inlineStr">
        <is>
          <t>Hissing Quagmire</t>
        </is>
      </c>
      <c r="I96" s="13" t="inlineStr">
        <is>
          <t>Hissing Quagmire</t>
        </is>
      </c>
      <c r="J96" s="13" t="inlineStr">
        <is>
          <t>Hissing Quagmire</t>
        </is>
      </c>
      <c r="K96" s="13" t="inlineStr">
        <is>
          <t>Hissing Quagmire</t>
        </is>
      </c>
      <c r="L96" s="13" t="inlineStr">
        <is>
          <t>Hissing Quagmire</t>
        </is>
      </c>
      <c r="M96" s="30" t="inlineStr">
        <is>
          <t>Fun Max</t>
        </is>
      </c>
      <c r="N96" s="31">
        <f>INDEX(B96:L96,MATCH(M96,$B$5:$L$5,0))</f>
        <v/>
      </c>
      <c r="O96" s="22">
        <f>IFERROR(VLOOKUP(N96,Prices!$A:$B,2,FALSE),0)</f>
        <v/>
      </c>
      <c r="P96" s="32">
        <f>IFERROR(INDEX('_why_3e'!$B92:$L92,MATCH(M96,$B$5:$L$5,0)),"")</f>
        <v/>
      </c>
    </row>
    <row r="97">
      <c r="A97" s="28" t="n">
        <v>92</v>
      </c>
      <c r="B97" s="33" t="inlineStr">
        <is>
          <t>Golgari Guildgate</t>
        </is>
      </c>
      <c r="C97" s="33" t="inlineStr">
        <is>
          <t>Golgari Guildgate</t>
        </is>
      </c>
      <c r="D97" s="33" t="inlineStr">
        <is>
          <t>Golgari Guildgate</t>
        </is>
      </c>
      <c r="E97" s="33" t="inlineStr">
        <is>
          <t>Golgari Guildgate</t>
        </is>
      </c>
      <c r="F97" s="33" t="inlineStr">
        <is>
          <t>Golgari Guildgate</t>
        </is>
      </c>
      <c r="G97" s="33" t="inlineStr">
        <is>
          <t>Golgari Guildgate</t>
        </is>
      </c>
      <c r="H97" s="33" t="inlineStr">
        <is>
          <t>Golgari Guildgate</t>
        </is>
      </c>
      <c r="I97" s="34" t="inlineStr">
        <is>
          <t>Splendid Reclamation</t>
        </is>
      </c>
      <c r="J97" s="33" t="inlineStr">
        <is>
          <t>Golgari Guildgate</t>
        </is>
      </c>
      <c r="K97" s="33" t="inlineStr">
        <is>
          <t>Golgari Guildgate</t>
        </is>
      </c>
      <c r="L97" s="33" t="inlineStr">
        <is>
          <t>Golgari Guildgate</t>
        </is>
      </c>
      <c r="M97" s="30" t="inlineStr">
        <is>
          <t>Fun Max</t>
        </is>
      </c>
      <c r="N97" s="31">
        <f>INDEX(B97:L97,MATCH(M97,$B$5:$L$5,0))</f>
        <v/>
      </c>
      <c r="O97" s="22">
        <f>IFERROR(VLOOKUP(N97,Prices!$A:$B,2,FALSE),0)</f>
        <v/>
      </c>
      <c r="P97" s="32">
        <f>IFERROR(INDEX('_why_3e'!$B93:$L93,MATCH(M97,$B$5:$L$5,0)),"")</f>
        <v/>
      </c>
    </row>
    <row r="98">
      <c r="A98" s="28" t="n">
        <v>93</v>
      </c>
      <c r="B98" s="13" t="inlineStr">
        <is>
          <t>Foul Orchard</t>
        </is>
      </c>
      <c r="C98" s="13" t="inlineStr">
        <is>
          <t>Foul Orchard</t>
        </is>
      </c>
      <c r="D98" s="29" t="inlineStr">
        <is>
          <t>Mirkwood</t>
        </is>
      </c>
      <c r="E98" s="13" t="inlineStr">
        <is>
          <t>Foul Orchard</t>
        </is>
      </c>
      <c r="F98" s="29" t="inlineStr">
        <is>
          <t>Collective Resistance</t>
        </is>
      </c>
      <c r="G98" s="29" t="inlineStr">
        <is>
          <t>Collective Resistance</t>
        </is>
      </c>
      <c r="H98" s="29" t="inlineStr">
        <is>
          <t>Collective Resistance</t>
        </is>
      </c>
      <c r="I98" s="29" t="inlineStr">
        <is>
          <t>Life from the Loam</t>
        </is>
      </c>
      <c r="J98" s="29" t="inlineStr">
        <is>
          <t>Necropotence</t>
        </is>
      </c>
      <c r="K98" s="29" t="inlineStr">
        <is>
          <t>Glissa Sunslayer</t>
        </is>
      </c>
      <c r="L98" s="29" t="inlineStr">
        <is>
          <t>Crop Rotation</t>
        </is>
      </c>
      <c r="M98" s="30" t="inlineStr">
        <is>
          <t>Fun Max</t>
        </is>
      </c>
      <c r="N98" s="31">
        <f>INDEX(B98:L98,MATCH(M98,$B$5:$L$5,0))</f>
        <v/>
      </c>
      <c r="O98" s="22">
        <f>IFERROR(VLOOKUP(N98,Prices!$A:$B,2,FALSE),0)</f>
        <v/>
      </c>
      <c r="P98" s="32">
        <f>IFERROR(INDEX('_why_3e'!$B94:$L94,MATCH(M98,$B$5:$L$5,0)),"")</f>
        <v/>
      </c>
    </row>
    <row r="99">
      <c r="A99" s="28" t="n">
        <v>94</v>
      </c>
      <c r="B99" s="33" t="inlineStr">
        <is>
          <t>Slippery Karst</t>
        </is>
      </c>
      <c r="C99" s="33" t="inlineStr">
        <is>
          <t>Slippery Karst</t>
        </is>
      </c>
      <c r="D99" s="33" t="inlineStr">
        <is>
          <t>Slippery Karst</t>
        </is>
      </c>
      <c r="E99" s="33" t="inlineStr">
        <is>
          <t>Slippery Karst</t>
        </is>
      </c>
      <c r="F99" s="34" t="inlineStr">
        <is>
          <t>Vivien Reid</t>
        </is>
      </c>
      <c r="G99" s="34" t="inlineStr">
        <is>
          <t>Vivien Reid</t>
        </is>
      </c>
      <c r="H99" s="34" t="inlineStr">
        <is>
          <t>Vivien Reid</t>
        </is>
      </c>
      <c r="I99" s="33" t="inlineStr">
        <is>
          <t>Slippery Karst</t>
        </is>
      </c>
      <c r="J99" s="33" t="inlineStr">
        <is>
          <t>Slippery Karst</t>
        </is>
      </c>
      <c r="K99" s="34" t="inlineStr">
        <is>
          <t>Ramunap Excavator</t>
        </is>
      </c>
      <c r="L99" s="33" t="inlineStr">
        <is>
          <t>Slippery Karst</t>
        </is>
      </c>
      <c r="M99" s="30" t="inlineStr">
        <is>
          <t>Fun Max</t>
        </is>
      </c>
      <c r="N99" s="31">
        <f>INDEX(B99:L99,MATCH(M99,$B$5:$L$5,0))</f>
        <v/>
      </c>
      <c r="O99" s="22">
        <f>IFERROR(VLOOKUP(N99,Prices!$A:$B,2,FALSE),0)</f>
        <v/>
      </c>
      <c r="P99" s="32">
        <f>IFERROR(INDEX('_why_3e'!$B95:$L95,MATCH(M99,$B$5:$L$5,0)),"")</f>
        <v/>
      </c>
    </row>
    <row r="100">
      <c r="A100" s="28" t="n">
        <v>95</v>
      </c>
      <c r="B100" s="13" t="inlineStr">
        <is>
          <t>Khalni Garden</t>
        </is>
      </c>
      <c r="C100" s="13" t="inlineStr">
        <is>
          <t>Khalni Garden</t>
        </is>
      </c>
      <c r="D100" s="13" t="inlineStr">
        <is>
          <t>Khalni Garden</t>
        </is>
      </c>
      <c r="E100" s="13" t="inlineStr">
        <is>
          <t>Khalni Garden</t>
        </is>
      </c>
      <c r="F100" s="13" t="inlineStr">
        <is>
          <t>Khalni Garden</t>
        </is>
      </c>
      <c r="G100" s="13" t="inlineStr">
        <is>
          <t>Khalni Garden</t>
        </is>
      </c>
      <c r="H100" s="13" t="inlineStr">
        <is>
          <t>Khalni Garden</t>
        </is>
      </c>
      <c r="I100" s="13" t="inlineStr">
        <is>
          <t>Khalni Garden</t>
        </is>
      </c>
      <c r="J100" s="13" t="inlineStr">
        <is>
          <t>Khalni Garden</t>
        </is>
      </c>
      <c r="K100" s="13" t="inlineStr">
        <is>
          <t>Khalni Garden</t>
        </is>
      </c>
      <c r="L100" s="13" t="inlineStr">
        <is>
          <t>Khalni Garden</t>
        </is>
      </c>
      <c r="M100" s="30" t="inlineStr">
        <is>
          <t>Fun Max</t>
        </is>
      </c>
      <c r="N100" s="31">
        <f>INDEX(B100:L100,MATCH(M100,$B$5:$L$5,0))</f>
        <v/>
      </c>
      <c r="O100" s="22">
        <f>IFERROR(VLOOKUP(N100,Prices!$A:$B,2,FALSE),0)</f>
        <v/>
      </c>
      <c r="P100" s="32">
        <f>IFERROR(INDEX('_why_3e'!$B96:$L96,MATCH(M100,$B$5:$L$5,0)),"")</f>
        <v/>
      </c>
    </row>
    <row r="101">
      <c r="A101" s="28" t="n">
        <v>96</v>
      </c>
      <c r="B101" s="33" t="inlineStr">
        <is>
          <t>The Gitrog Monster</t>
        </is>
      </c>
      <c r="C101" s="33" t="inlineStr">
        <is>
          <t>The Gitrog Monster</t>
        </is>
      </c>
      <c r="D101" s="33" t="inlineStr">
        <is>
          <t>The Gitrog Monster</t>
        </is>
      </c>
      <c r="E101" s="33" t="inlineStr">
        <is>
          <t>The Gitrog Monster</t>
        </is>
      </c>
      <c r="F101" s="33" t="inlineStr">
        <is>
          <t>The Gitrog Monster</t>
        </is>
      </c>
      <c r="G101" s="33" t="inlineStr">
        <is>
          <t>The Gitrog Monster</t>
        </is>
      </c>
      <c r="H101" s="33" t="inlineStr">
        <is>
          <t>The Gitrog Monster</t>
        </is>
      </c>
      <c r="I101" s="33" t="inlineStr">
        <is>
          <t>The Gitrog Monster</t>
        </is>
      </c>
      <c r="J101" s="33" t="inlineStr">
        <is>
          <t>The Gitrog Monster</t>
        </is>
      </c>
      <c r="K101" s="34" t="inlineStr">
        <is>
          <t>Splendid Reclamation</t>
        </is>
      </c>
      <c r="L101" s="34" t="inlineStr">
        <is>
          <t>Necropotence</t>
        </is>
      </c>
      <c r="M101" s="30" t="inlineStr">
        <is>
          <t>Fun Max</t>
        </is>
      </c>
      <c r="N101" s="31">
        <f>INDEX(B101:L101,MATCH(M101,$B$5:$L$5,0))</f>
        <v/>
      </c>
      <c r="O101" s="22">
        <f>IFERROR(VLOOKUP(N101,Prices!$A:$B,2,FALSE),0)</f>
        <v/>
      </c>
      <c r="P101" s="32">
        <f>IFERROR(INDEX('_why_3e'!$B97:$L97,MATCH(M101,$B$5:$L$5,0)),"")</f>
        <v/>
      </c>
    </row>
    <row r="102">
      <c r="A102" s="28" t="n">
        <v>97</v>
      </c>
      <c r="B102" s="13" t="inlineStr">
        <is>
          <t>Fabled Passage</t>
        </is>
      </c>
      <c r="C102" s="13" t="inlineStr">
        <is>
          <t>Fabled Passage</t>
        </is>
      </c>
      <c r="D102" s="13" t="inlineStr">
        <is>
          <t>Fabled Passage</t>
        </is>
      </c>
      <c r="E102" s="13" t="inlineStr">
        <is>
          <t>Fabled Passage</t>
        </is>
      </c>
      <c r="F102" s="29" t="inlineStr">
        <is>
          <t>Ulamog, the Infinite Gyre</t>
        </is>
      </c>
      <c r="G102" s="29" t="inlineStr">
        <is>
          <t>Ulamog, the Infinite Gyre</t>
        </is>
      </c>
      <c r="H102" s="29" t="inlineStr">
        <is>
          <t>Ulamog, the Infinite Gyre</t>
        </is>
      </c>
      <c r="I102" s="13" t="inlineStr">
        <is>
          <t>Fabled Passage</t>
        </is>
      </c>
      <c r="J102" s="29" t="inlineStr">
        <is>
          <t>Crucible of Worlds</t>
        </is>
      </c>
      <c r="K102" s="29" t="inlineStr">
        <is>
          <t>Life from the Loam</t>
        </is>
      </c>
      <c r="L102" s="29" t="inlineStr">
        <is>
          <t>Crucible of Worlds</t>
        </is>
      </c>
      <c r="M102" s="30" t="inlineStr">
        <is>
          <t>Fun Max</t>
        </is>
      </c>
      <c r="N102" s="31">
        <f>INDEX(B102:L102,MATCH(M102,$B$5:$L$5,0))</f>
        <v/>
      </c>
      <c r="O102" s="22">
        <f>IFERROR(VLOOKUP(N102,Prices!$A:$B,2,FALSE),0)</f>
        <v/>
      </c>
      <c r="P102" s="32">
        <f>IFERROR(INDEX('_why_3e'!$B98:$L98,MATCH(M102,$B$5:$L$5,0)),"")</f>
        <v/>
      </c>
    </row>
    <row r="103">
      <c r="A103" s="28" t="n">
        <v>98</v>
      </c>
      <c r="B103" s="33" t="inlineStr">
        <is>
          <t>World Shaper</t>
        </is>
      </c>
      <c r="C103" s="33" t="inlineStr">
        <is>
          <t>World Shaper</t>
        </is>
      </c>
      <c r="D103" s="33" t="inlineStr">
        <is>
          <t>World Shaper</t>
        </is>
      </c>
      <c r="E103" s="33" t="inlineStr">
        <is>
          <t>World Shaper</t>
        </is>
      </c>
      <c r="F103" s="33" t="inlineStr">
        <is>
          <t>World Shaper</t>
        </is>
      </c>
      <c r="G103" s="33" t="inlineStr">
        <is>
          <t>World Shaper</t>
        </is>
      </c>
      <c r="H103" s="33" t="inlineStr">
        <is>
          <t>World Shaper</t>
        </is>
      </c>
      <c r="I103" s="33" t="inlineStr">
        <is>
          <t>World Shaper</t>
        </is>
      </c>
      <c r="J103" s="33" t="inlineStr">
        <is>
          <t>World Shaper</t>
        </is>
      </c>
      <c r="K103" s="33" t="inlineStr">
        <is>
          <t>World Shaper</t>
        </is>
      </c>
      <c r="L103" s="33" t="inlineStr">
        <is>
          <t>World Shaper</t>
        </is>
      </c>
      <c r="M103" s="30" t="inlineStr">
        <is>
          <t>Fun Max</t>
        </is>
      </c>
      <c r="N103" s="31">
        <f>INDEX(B103:L103,MATCH(M103,$B$5:$L$5,0))</f>
        <v/>
      </c>
      <c r="O103" s="22">
        <f>IFERROR(VLOOKUP(N103,Prices!$A:$B,2,FALSE),0)</f>
        <v/>
      </c>
      <c r="P103" s="32">
        <f>IFERROR(INDEX('_why_3e'!$B99:$L99,MATCH(M103,$B$5:$L$5,0)),"")</f>
        <v/>
      </c>
    </row>
    <row r="104">
      <c r="A104" s="28" t="n">
        <v>99</v>
      </c>
      <c r="B104" s="13" t="inlineStr">
        <is>
          <t>Scute Swarm</t>
        </is>
      </c>
      <c r="C104" s="13" t="inlineStr">
        <is>
          <t>Scute Swarm</t>
        </is>
      </c>
      <c r="D104" s="13" t="inlineStr">
        <is>
          <t>Scute Swarm</t>
        </is>
      </c>
      <c r="E104" s="13" t="inlineStr">
        <is>
          <t>Scute Swarm</t>
        </is>
      </c>
      <c r="F104" s="13" t="inlineStr">
        <is>
          <t>Scute Swarm</t>
        </is>
      </c>
      <c r="G104" s="13" t="inlineStr">
        <is>
          <t>Scute Swarm</t>
        </is>
      </c>
      <c r="H104" s="13" t="inlineStr">
        <is>
          <t>Scute Swarm</t>
        </is>
      </c>
      <c r="I104" s="13" t="inlineStr">
        <is>
          <t>Scute Swarm</t>
        </is>
      </c>
      <c r="J104" s="13" t="inlineStr">
        <is>
          <t>Scute Swarm</t>
        </is>
      </c>
      <c r="K104" s="13" t="inlineStr">
        <is>
          <t>Scute Swarm</t>
        </is>
      </c>
      <c r="L104" s="13" t="inlineStr">
        <is>
          <t>Scute Swarm</t>
        </is>
      </c>
      <c r="M104" s="30" t="inlineStr">
        <is>
          <t>Fun Max</t>
        </is>
      </c>
      <c r="N104" s="31">
        <f>INDEX(B104:L104,MATCH(M104,$B$5:$L$5,0))</f>
        <v/>
      </c>
      <c r="O104" s="22">
        <f>IFERROR(VLOOKUP(N104,Prices!$A:$B,2,FALSE),0)</f>
        <v/>
      </c>
      <c r="P104" s="32">
        <f>IFERROR(INDEX('_why_3e'!$B100:$L100,MATCH(M104,$B$5:$L$5,0)),"")</f>
        <v/>
      </c>
    </row>
    <row r="105">
      <c r="A105" s="28" t="n">
        <v>100</v>
      </c>
      <c r="B105" s="33" t="inlineStr">
        <is>
          <t>Currency Converter</t>
        </is>
      </c>
      <c r="C105" s="33" t="inlineStr">
        <is>
          <t>Currency Converter</t>
        </is>
      </c>
      <c r="D105" s="33" t="inlineStr">
        <is>
          <t>Currency Converter</t>
        </is>
      </c>
      <c r="E105" s="33" t="inlineStr">
        <is>
          <t>Currency Converter</t>
        </is>
      </c>
      <c r="F105" s="33" t="inlineStr">
        <is>
          <t>Currency Converter</t>
        </is>
      </c>
      <c r="G105" s="33" t="inlineStr">
        <is>
          <t>Currency Converter</t>
        </is>
      </c>
      <c r="H105" s="33" t="inlineStr">
        <is>
          <t>Currency Converter</t>
        </is>
      </c>
      <c r="I105" s="33" t="inlineStr">
        <is>
          <t>Currency Converter</t>
        </is>
      </c>
      <c r="J105" s="33" t="inlineStr">
        <is>
          <t>Currency Converter</t>
        </is>
      </c>
      <c r="K105" s="33" t="inlineStr">
        <is>
          <t>Currency Converter</t>
        </is>
      </c>
      <c r="L105" s="33" t="inlineStr">
        <is>
          <t>Currency Converter</t>
        </is>
      </c>
      <c r="M105" s="30" t="inlineStr">
        <is>
          <t>Fun Max</t>
        </is>
      </c>
      <c r="N105" s="31">
        <f>INDEX(B105:L105,MATCH(M105,$B$5:$L$5,0))</f>
        <v/>
      </c>
      <c r="O105" s="22">
        <f>IFERROR(VLOOKUP(N105,Prices!$A:$B,2,FALSE),0)</f>
        <v/>
      </c>
      <c r="P105" s="32">
        <f>IFERROR(INDEX('_why_3e'!$B101:$L101,MATCH(M105,$B$5:$L$5,0)),"")</f>
        <v/>
      </c>
    </row>
    <row r="106">
      <c r="A106" s="9" t="inlineStr">
        <is>
          <t>TOTALS</t>
        </is>
      </c>
      <c r="B106" s="35" t="n">
        <v>54.81</v>
      </c>
      <c r="C106" s="35" t="n">
        <v>64.41</v>
      </c>
      <c r="D106" s="35" t="n">
        <v>64.3</v>
      </c>
      <c r="E106" s="35" t="n">
        <v>154.99</v>
      </c>
      <c r="F106" s="35" t="n">
        <v>230.36</v>
      </c>
      <c r="G106" s="35" t="n">
        <v>290.78</v>
      </c>
      <c r="H106" s="35" t="n">
        <v>290.78</v>
      </c>
      <c r="I106" s="35" t="n">
        <v>118.97</v>
      </c>
      <c r="J106" s="35" t="n">
        <v>179.51</v>
      </c>
      <c r="K106" s="35" t="n">
        <v>122.96</v>
      </c>
      <c r="L106" s="35" t="n">
        <v>194.4</v>
      </c>
      <c r="N106" s="9" t="inlineStr">
        <is>
          <t>Your selection →</t>
        </is>
      </c>
      <c r="O106" s="35">
        <f>SUM(O6:O105)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7">
    <mergeCell ref="I4:J4"/>
    <mergeCell ref="A108:P108"/>
    <mergeCell ref="B4:E4"/>
    <mergeCell ref="A1:P1"/>
    <mergeCell ref="F4:H4"/>
    <mergeCell ref="K4:L4"/>
    <mergeCell ref="A2:P2"/>
  </mergeCells>
  <dataValidations count="1">
    <dataValidation sqref="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showDropDown="0" showInputMessage="0" showErrorMessage="0" allowBlank="0" type="list">
      <formula1>"Base,Tuned,Enhance,Max,Tuned-2,Enhance-2,Max-2,Fun Tuned,Fun Max,Alt Tuned,Alt Max"</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c r="K1" t="inlineStr">
        <is>
          <t>Alt Tuned</t>
        </is>
      </c>
      <c r="L1" t="inlineStr">
        <is>
          <t>Alt Max</t>
        </is>
      </c>
    </row>
    <row r="2">
      <c r="A2" t="n">
        <v>1</v>
      </c>
      <c r="B2" t="inlineStr"/>
      <c r="C2" t="inlineStr"/>
      <c r="D2" t="inlineStr"/>
      <c r="E2" t="inlineStr"/>
      <c r="F2" t="inlineStr"/>
      <c r="G2" t="inlineStr"/>
      <c r="H2" t="inlineStr"/>
      <c r="I2" t="inlineStr"/>
      <c r="J2" t="inlineStr"/>
      <c r="K2" t="inlineStr"/>
      <c r="L2" t="inlineStr"/>
    </row>
    <row r="3">
      <c r="A3" t="n">
        <v>2</v>
      </c>
      <c r="B3" t="inlineStr"/>
      <c r="C3" t="inlineStr"/>
      <c r="D3" t="inlineStr"/>
      <c r="E3" t="inlineStr"/>
      <c r="F3" t="inlineStr"/>
      <c r="G3" t="inlineStr"/>
      <c r="H3" t="inlineStr"/>
      <c r="I3" t="inlineStr"/>
      <c r="J3" t="inlineStr"/>
      <c r="K3" t="inlineStr"/>
      <c r="L3" t="inlineStr"/>
    </row>
    <row r="4">
      <c r="A4" t="n">
        <v>3</v>
      </c>
      <c r="B4" t="inlineStr"/>
      <c r="C4" t="inlineStr"/>
      <c r="D4" t="inlineStr"/>
      <c r="E4" t="inlineStr"/>
      <c r="F4" t="inlineStr"/>
      <c r="G4" t="inlineStr"/>
      <c r="H4" t="inlineStr"/>
      <c r="I4" t="inlineStr"/>
      <c r="J4" t="inlineStr"/>
      <c r="K4" t="inlineStr"/>
      <c r="L4" t="inlineStr"/>
    </row>
    <row r="5">
      <c r="A5" t="n">
        <v>4</v>
      </c>
      <c r="B5" t="inlineStr"/>
      <c r="C5" t="inlineStr"/>
      <c r="D5" t="inlineStr"/>
      <c r="E5" t="inlineStr"/>
      <c r="F5" t="inlineStr"/>
      <c r="G5" t="inlineStr"/>
      <c r="H5" t="inlineStr"/>
      <c r="I5" t="inlineStr"/>
      <c r="J5" t="inlineStr"/>
      <c r="K5" t="inlineStr"/>
      <c r="L5" t="inlineStr"/>
    </row>
    <row r="6">
      <c r="A6" t="n">
        <v>5</v>
      </c>
      <c r="B6" t="inlineStr"/>
      <c r="C6" t="inlineStr"/>
      <c r="D6" t="inlineStr"/>
      <c r="E6" t="inlineStr"/>
      <c r="F6" t="inlineStr"/>
      <c r="G6" t="inlineStr"/>
      <c r="H6" t="inlineStr"/>
      <c r="I6" t="inlineStr"/>
      <c r="J6" t="inlineStr"/>
      <c r="K6" t="inlineStr"/>
      <c r="L6" t="inlineStr"/>
    </row>
    <row r="7">
      <c r="A7" t="n">
        <v>6</v>
      </c>
      <c r="B7" t="inlineStr"/>
      <c r="C7" t="inlineStr"/>
      <c r="D7" t="inlineStr"/>
      <c r="E7" t="inlineStr"/>
      <c r="F7" t="inlineStr"/>
      <c r="G7" t="inlineStr"/>
      <c r="H7" t="inlineStr"/>
      <c r="I7" t="inlineStr"/>
      <c r="J7" t="inlineStr"/>
      <c r="K7" t="inlineStr"/>
      <c r="L7" t="inlineStr"/>
    </row>
    <row r="8">
      <c r="A8" t="n">
        <v>7</v>
      </c>
      <c r="B8" t="inlineStr"/>
      <c r="C8" t="inlineStr"/>
      <c r="D8" t="inlineStr"/>
      <c r="E8" t="inlineStr"/>
      <c r="F8" t="inlineStr"/>
      <c r="G8" t="inlineStr"/>
      <c r="H8" t="inlineStr"/>
      <c r="I8" t="inlineStr"/>
      <c r="J8" t="inlineStr"/>
      <c r="K8" t="inlineStr"/>
      <c r="L8" t="inlineStr"/>
    </row>
    <row r="9">
      <c r="A9" t="n">
        <v>8</v>
      </c>
      <c r="B9" t="inlineStr"/>
      <c r="C9" t="inlineStr"/>
      <c r="D9" t="inlineStr"/>
      <c r="E9" t="inlineStr"/>
      <c r="F9" t="inlineStr"/>
      <c r="G9" t="inlineStr"/>
      <c r="H9" t="inlineStr"/>
      <c r="I9" t="inlineStr"/>
      <c r="J9" t="inlineStr"/>
      <c r="K9" t="inlineStr"/>
      <c r="L9" t="inlineStr"/>
    </row>
    <row r="10">
      <c r="A10" t="n">
        <v>9</v>
      </c>
      <c r="B10" t="inlineStr"/>
      <c r="C10" t="inlineStr"/>
      <c r="D10" t="inlineStr"/>
      <c r="E10" t="inlineStr"/>
      <c r="F10" t="inlineStr"/>
      <c r="G10" t="inlineStr"/>
      <c r="H10" t="inlineStr"/>
      <c r="I10" t="inlineStr">
        <is>
          <t>Replaces Blighted Woodland (adds draw/protection). Evidence: the land it replaces carried no spell effect the model could use; it was drawn in 18% of games; the deck stayed inside its land floor after the cut.</t>
        </is>
      </c>
      <c r="J10" t="inlineStr">
        <is>
          <t>Replaces Command Tower (adds draw/removal). Evidence: the land it replaces carried no spell effect the model could use; it was drawn in 18% of games; the deck stayed inside its land floor after the cut.</t>
        </is>
      </c>
      <c r="K10" t="inlineStr">
        <is>
          <t>Replaces Llanowar Wastes (adds draw/removal). Evidence: the land it replaces carried no spell effect the model could use; it was drawn in 19% of games; the deck stayed inside its land floor after the cut.</t>
        </is>
      </c>
      <c r="L10" t="inlineStr">
        <is>
          <t>Replaces Casualties of War (adds removal/protection). Evidence: the card it replaces was cast in 96% of the games it was drawn; sat dead in hand 4% of the time; landed on turn 7.5 on average; the deck won 35% of games it was cast in.</t>
        </is>
      </c>
    </row>
    <row r="11">
      <c r="A11" t="n">
        <v>10</v>
      </c>
      <c r="B11" t="inlineStr"/>
      <c r="C11" t="inlineStr"/>
      <c r="D11" t="inlineStr"/>
      <c r="E11" t="inlineStr"/>
      <c r="F11" t="inlineStr"/>
      <c r="G11" t="inlineStr"/>
      <c r="H11" t="inlineStr"/>
      <c r="I11" t="inlineStr"/>
      <c r="J11" t="inlineStr"/>
      <c r="K11" t="inlineStr"/>
      <c r="L11" t="inlineStr"/>
    </row>
    <row r="12">
      <c r="A12" t="n">
        <v>11</v>
      </c>
      <c r="B12" t="inlineStr"/>
      <c r="C12" t="inlineStr"/>
      <c r="D12" t="inlineStr"/>
      <c r="E12" t="inlineStr"/>
      <c r="F12" t="inlineStr"/>
      <c r="G12" t="inlineStr"/>
      <c r="H12" t="inlineStr"/>
      <c r="I12" t="inlineStr"/>
      <c r="J12" t="inlineStr"/>
      <c r="K12" t="inlineStr"/>
      <c r="L12" t="inlineStr"/>
    </row>
    <row r="13">
      <c r="A13" t="n">
        <v>12</v>
      </c>
      <c r="B13" t="inlineStr"/>
      <c r="C13" t="inlineStr"/>
      <c r="D13" t="inlineStr"/>
      <c r="E13" t="inlineStr"/>
      <c r="F13" t="inlineStr"/>
      <c r="G13" t="inlineStr"/>
      <c r="H13" t="inlineStr"/>
      <c r="I13" t="inlineStr"/>
      <c r="J13" t="inlineStr"/>
      <c r="K13" t="inlineStr"/>
      <c r="L13" t="inlineStr"/>
    </row>
    <row r="14">
      <c r="A14" t="n">
        <v>13</v>
      </c>
      <c r="B14" t="inlineStr"/>
      <c r="C14" t="inlineStr"/>
      <c r="D14" t="inlineStr"/>
      <c r="E14" t="inlineStr"/>
      <c r="F14" t="inlineStr"/>
      <c r="G14" t="inlineStr"/>
      <c r="H14" t="inlineStr"/>
      <c r="I14" t="inlineStr"/>
      <c r="J14" t="inlineStr"/>
      <c r="K14" t="inlineStr"/>
      <c r="L14" t="inlineStr"/>
    </row>
    <row r="15">
      <c r="A15" t="n">
        <v>14</v>
      </c>
      <c r="B15" t="inlineStr"/>
      <c r="C15" t="inlineStr"/>
      <c r="D15" t="inlineStr"/>
      <c r="E15" t="inlineStr"/>
      <c r="F15" t="inlineStr"/>
      <c r="G15" t="inlineStr"/>
      <c r="H15" t="inlineStr"/>
      <c r="I15" t="inlineStr"/>
      <c r="J15" t="inlineStr"/>
      <c r="K15" t="inlineStr"/>
      <c r="L15" t="inlineStr"/>
    </row>
    <row r="16">
      <c r="A16" t="n">
        <v>15</v>
      </c>
      <c r="B16" t="inlineStr"/>
      <c r="C16" t="inlineStr"/>
      <c r="D16" t="inlineStr"/>
      <c r="E16" t="inlineStr"/>
      <c r="F16" t="inlineStr"/>
      <c r="G16" t="inlineStr"/>
      <c r="H16" t="inlineStr"/>
      <c r="I16" t="inlineStr"/>
      <c r="J16" t="inlineStr"/>
      <c r="K16" t="inlineStr"/>
      <c r="L16" t="inlineStr"/>
    </row>
    <row r="17">
      <c r="A17" t="n">
        <v>16</v>
      </c>
      <c r="B17" t="inlineStr"/>
      <c r="C17" t="inlineStr"/>
      <c r="D17" t="inlineStr"/>
      <c r="E17" t="inlineStr"/>
      <c r="F17" t="inlineStr"/>
      <c r="G17" t="inlineStr"/>
      <c r="H17" t="inlineStr"/>
      <c r="I17" t="inlineStr"/>
      <c r="J17" t="inlineStr"/>
      <c r="K17" t="inlineStr"/>
      <c r="L17" t="inlineStr"/>
    </row>
    <row r="18">
      <c r="A18" t="n">
        <v>17</v>
      </c>
      <c r="B18" t="inlineStr"/>
      <c r="C18" t="inlineStr"/>
      <c r="D18" t="inlineStr"/>
      <c r="E18" t="inlineStr"/>
      <c r="F18" t="inlineStr"/>
      <c r="G18" t="inlineStr"/>
      <c r="H18" t="inlineStr"/>
      <c r="I18" t="inlineStr"/>
      <c r="J18" t="inlineStr"/>
      <c r="K18" t="inlineStr"/>
      <c r="L18" t="inlineStr"/>
    </row>
    <row r="19">
      <c r="A19" t="n">
        <v>18</v>
      </c>
      <c r="B19" t="inlineStr"/>
      <c r="C19" t="inlineStr"/>
      <c r="D19" t="inlineStr"/>
      <c r="E19" t="inlineStr"/>
      <c r="F19" t="inlineStr"/>
      <c r="G19" t="inlineStr"/>
      <c r="H19" t="inlineStr"/>
      <c r="I19" t="inlineStr"/>
      <c r="J19" t="inlineStr"/>
      <c r="K19" t="inlineStr"/>
      <c r="L19" t="inlineStr"/>
    </row>
    <row r="20">
      <c r="A20" t="n">
        <v>19</v>
      </c>
      <c r="B20" t="inlineStr"/>
      <c r="C20" t="inlineStr"/>
      <c r="D20" t="inlineStr"/>
      <c r="E20" t="inlineStr"/>
      <c r="F20" t="inlineStr"/>
      <c r="G20" t="inlineStr"/>
      <c r="H20" t="inlineStr"/>
      <c r="I20" t="inlineStr"/>
      <c r="J20" t="inlineStr"/>
      <c r="K20" t="inlineStr"/>
      <c r="L20" t="inlineStr"/>
    </row>
    <row r="21">
      <c r="A21" t="n">
        <v>20</v>
      </c>
      <c r="B21" t="inlineStr"/>
      <c r="C21" t="inlineStr"/>
      <c r="D21" t="inlineStr"/>
      <c r="E21" t="inlineStr"/>
      <c r="F21" t="inlineStr"/>
      <c r="G21" t="inlineStr"/>
      <c r="H21" t="inlineStr"/>
      <c r="I21" t="inlineStr"/>
      <c r="J21" t="inlineStr"/>
      <c r="K21" t="inlineStr"/>
      <c r="L21" t="inlineStr"/>
    </row>
    <row r="22">
      <c r="A22" t="n">
        <v>21</v>
      </c>
      <c r="B22" t="inlineStr"/>
      <c r="C22" t="inlineStr"/>
      <c r="D22" t="inlineStr"/>
      <c r="E22" t="inlineStr"/>
      <c r="F22" t="inlineStr"/>
      <c r="G22" t="inlineStr"/>
      <c r="H22" t="inlineStr"/>
      <c r="I22" t="inlineStr"/>
      <c r="J22" t="inlineStr"/>
      <c r="K22" t="inlineStr"/>
      <c r="L22" t="inlineStr"/>
    </row>
    <row r="23">
      <c r="A23" t="n">
        <v>22</v>
      </c>
      <c r="B23" t="inlineStr"/>
      <c r="C23" t="inlineStr"/>
      <c r="D23" t="inlineStr"/>
      <c r="E23" t="inlineStr"/>
      <c r="F23" t="inlineStr"/>
      <c r="G23" t="inlineStr"/>
      <c r="H23" t="inlineStr"/>
      <c r="I23" t="inlineStr">
        <is>
          <t>Replaces Llanowar Wastes (adds draw/removal/threat). Evidence: the land it replaces carried no spell effect the model could use; it was drawn in 19% of games; the deck stayed inside its land floor after the cut.</t>
        </is>
      </c>
      <c r="J23" t="inlineStr">
        <is>
          <t>Replaces Woodland Cemetery (adds draw/protection). Evidence: the land it replaces carried no spell effect the model could use; it was drawn in 17% of games; the deck stayed inside its land floor after the cut.</t>
        </is>
      </c>
      <c r="K23" t="inlineStr">
        <is>
          <t>Replaces Golgari Rot Farm (adds draw/protection). Evidence: the land it replaces carried no spell effect the model could use; it was drawn in 19% of games; the deck stayed inside its land floor after the cut.</t>
        </is>
      </c>
      <c r="L23" t="inlineStr">
        <is>
          <t>Replaces Command Tower (adds draw/removal). Evidence: the land it replaces carried no spell effect the model could use; it was drawn in 18% of games; the deck stayed inside its land floor after the cut.</t>
        </is>
      </c>
    </row>
    <row r="24">
      <c r="A24" t="n">
        <v>23</v>
      </c>
      <c r="B24" t="inlineStr"/>
      <c r="C24" t="inlineStr"/>
      <c r="D24" t="inlineStr"/>
      <c r="E24" t="inlineStr"/>
      <c r="F24" t="inlineStr"/>
      <c r="G24" t="inlineStr"/>
      <c r="H24" t="inlineStr"/>
      <c r="I24" t="inlineStr">
        <is>
          <t>Replaces Golgari Rot Farm (adds removal/protection). Evidence: the land it replaces carried no spell effect the model could use; it was drawn in 20% of games; the deck stayed inside its land floor after the cut.</t>
        </is>
      </c>
      <c r="J24" t="inlineStr">
        <is>
          <t>Replaces Bojuka Bog (adds draw/removal). Evidence: the land it replaces carried no spell effect the model could use; it was drawn in 19% of games; the deck stayed inside its land floor after the cut.</t>
        </is>
      </c>
      <c r="K24" t="inlineStr">
        <is>
          <t>Replaces Bojuka Bog (adds removal/protection). Evidence: the land it replaces carried no spell effect the model could use; it was drawn in 20% of games; the deck stayed inside its land floor after the cut.</t>
        </is>
      </c>
      <c r="L24" t="inlineStr">
        <is>
          <t>Replaces Woodland Cemetery (adds removal/protection). Evidence: the land it replaces carried no spell effect the model could use; it was drawn in 17% of games; the deck stayed inside its land floor after the cut.</t>
        </is>
      </c>
    </row>
    <row r="25">
      <c r="A25" t="n">
        <v>24</v>
      </c>
      <c r="B25" t="inlineStr"/>
      <c r="C25" t="inlineStr"/>
      <c r="D25" t="inlineStr"/>
      <c r="E25" t="inlineStr"/>
      <c r="F25" t="inlineStr"/>
      <c r="G25" t="inlineStr"/>
      <c r="H25" t="inlineStr"/>
      <c r="I25" t="inlineStr"/>
      <c r="J25" t="inlineStr"/>
      <c r="K25" t="inlineStr"/>
      <c r="L25" t="inlineStr"/>
    </row>
    <row r="26">
      <c r="A26" t="n">
        <v>25</v>
      </c>
      <c r="B26" t="inlineStr"/>
      <c r="C26" t="inlineStr"/>
      <c r="D26" t="inlineStr"/>
      <c r="E26" t="inlineStr"/>
      <c r="F26" t="inlineStr">
        <is>
          <t>Replaces Casualties of War (adds removal/protection). Evidence: the card it replaces was cast in 93% of the games it was drawn; sat dead in hand 7% of the time; landed on turn 8.0 on average; the deck won 37% of games it was cast in.</t>
        </is>
      </c>
      <c r="G26" t="inlineStr"/>
      <c r="H26" t="inlineStr"/>
      <c r="I26" t="inlineStr"/>
      <c r="J26" t="inlineStr"/>
      <c r="K26" t="inlineStr"/>
      <c r="L26" t="inlineStr">
        <is>
          <t>Replaces Bojuka Bog (adds draw/removal). Evidence: the land it replaces carried no spell effect the model could use; it was drawn in 19% of games; the deck stayed inside its land floor after the cut.</t>
        </is>
      </c>
    </row>
    <row r="27">
      <c r="A27" t="n">
        <v>26</v>
      </c>
      <c r="B27" t="inlineStr"/>
      <c r="C27" t="inlineStr"/>
      <c r="D27" t="inlineStr"/>
      <c r="E27" t="inlineStr"/>
      <c r="F27" t="inlineStr"/>
      <c r="G27" t="inlineStr"/>
      <c r="H27" t="inlineStr"/>
      <c r="I27" t="inlineStr"/>
      <c r="J27" t="inlineStr"/>
      <c r="K27" t="inlineStr"/>
      <c r="L27" t="inlineStr"/>
    </row>
    <row r="28">
      <c r="A28" t="n">
        <v>27</v>
      </c>
      <c r="B28" t="inlineStr"/>
      <c r="C28" t="inlineStr"/>
      <c r="D28" t="inlineStr"/>
      <c r="E28" t="inlineStr"/>
      <c r="F28" t="inlineStr"/>
      <c r="G28" t="inlineStr"/>
      <c r="H28" t="inlineStr"/>
      <c r="I28" t="inlineStr"/>
      <c r="J28" t="inlineStr"/>
      <c r="K28" t="inlineStr"/>
      <c r="L28" t="inlineStr"/>
    </row>
    <row r="29">
      <c r="A29" t="n">
        <v>28</v>
      </c>
      <c r="B29" t="inlineStr"/>
      <c r="C29" t="inlineStr"/>
      <c r="D29" t="inlineStr"/>
      <c r="E29" t="inlineStr"/>
      <c r="F29" t="inlineStr"/>
      <c r="G29" t="inlineStr"/>
      <c r="H29" t="inlineStr"/>
      <c r="I29" t="inlineStr"/>
      <c r="J29" t="inlineStr"/>
      <c r="K29" t="inlineStr"/>
      <c r="L29" t="inlineStr"/>
    </row>
    <row r="30">
      <c r="A30" t="n">
        <v>29</v>
      </c>
      <c r="B30" t="inlineStr"/>
      <c r="C30" t="inlineStr"/>
      <c r="D30" t="inlineStr"/>
      <c r="E30" t="inlineStr"/>
      <c r="F30" t="inlineStr"/>
      <c r="G30" t="inlineStr"/>
      <c r="H30" t="inlineStr"/>
      <c r="I30" t="inlineStr"/>
      <c r="J30" t="inlineStr"/>
      <c r="K30" t="inlineStr"/>
      <c r="L30" t="inlineStr"/>
    </row>
    <row r="31">
      <c r="A31" t="n">
        <v>30</v>
      </c>
      <c r="B31" t="inlineStr"/>
      <c r="C31" t="inlineStr"/>
      <c r="D31" t="inlineStr"/>
      <c r="E31" t="inlineStr"/>
      <c r="F31" t="inlineStr"/>
      <c r="G31" t="inlineStr"/>
      <c r="H31" t="inlineStr"/>
      <c r="I31" t="inlineStr"/>
      <c r="J31" t="inlineStr"/>
      <c r="K31" t="inlineStr"/>
      <c r="L31" t="inlineStr"/>
    </row>
    <row r="32">
      <c r="A32" t="n">
        <v>31</v>
      </c>
      <c r="B32" t="inlineStr"/>
      <c r="C32" t="inlineStr"/>
      <c r="D32" t="inlineStr"/>
      <c r="E32" t="inlineStr"/>
      <c r="F32" t="inlineStr"/>
      <c r="G32" t="inlineStr"/>
      <c r="H32" t="inlineStr"/>
      <c r="I32" t="inlineStr"/>
      <c r="J32" t="inlineStr"/>
      <c r="K32" t="inlineStr"/>
      <c r="L32" t="inlineStr"/>
    </row>
    <row r="33">
      <c r="A33" t="n">
        <v>32</v>
      </c>
      <c r="B33" t="inlineStr"/>
      <c r="C33" t="inlineStr"/>
      <c r="D33" t="inlineStr"/>
      <c r="E33" t="inlineStr"/>
      <c r="F33" t="inlineStr"/>
      <c r="G33" t="inlineStr"/>
      <c r="H33" t="inlineStr"/>
      <c r="I33" t="inlineStr"/>
      <c r="J33" t="inlineStr"/>
      <c r="K33" t="inlineStr"/>
      <c r="L33" t="inlineStr"/>
    </row>
    <row r="34">
      <c r="A34" t="n">
        <v>33</v>
      </c>
      <c r="B34" t="inlineStr"/>
      <c r="C34" t="inlineStr"/>
      <c r="D34" t="inlineStr"/>
      <c r="E34" t="inlineStr"/>
      <c r="F34" t="inlineStr"/>
      <c r="G34" t="inlineStr"/>
      <c r="H34" t="inlineStr"/>
      <c r="I34" t="inlineStr"/>
      <c r="J34" t="inlineStr"/>
      <c r="K34" t="inlineStr"/>
      <c r="L34" t="inlineStr"/>
    </row>
    <row r="35">
      <c r="A35" t="n">
        <v>34</v>
      </c>
      <c r="B35" t="inlineStr"/>
      <c r="C35" t="inlineStr"/>
      <c r="D35" t="inlineStr"/>
      <c r="E35" t="inlineStr"/>
      <c r="F35" t="inlineStr"/>
      <c r="G35" t="inlineStr"/>
      <c r="H35" t="inlineStr"/>
      <c r="I35" t="inlineStr"/>
      <c r="J35" t="inlineStr"/>
      <c r="K35" t="inlineStr"/>
      <c r="L35" t="inlineStr"/>
    </row>
    <row r="36">
      <c r="A36" t="n">
        <v>35</v>
      </c>
      <c r="B36" t="inlineStr"/>
      <c r="C36" t="inlineStr"/>
      <c r="D36" t="inlineStr"/>
      <c r="E36" t="inlineStr"/>
      <c r="F36" t="inlineStr"/>
      <c r="G36" t="inlineStr"/>
      <c r="H36" t="inlineStr"/>
      <c r="I36" t="inlineStr"/>
      <c r="J36" t="inlineStr"/>
      <c r="K36" t="inlineStr"/>
      <c r="L36" t="inlineStr"/>
    </row>
    <row r="37">
      <c r="A37" t="n">
        <v>36</v>
      </c>
      <c r="B37" t="inlineStr"/>
      <c r="C37" t="inlineStr"/>
      <c r="D37" t="inlineStr"/>
      <c r="E37" t="inlineStr"/>
      <c r="F37" t="inlineStr"/>
      <c r="G37" t="inlineStr"/>
      <c r="H37" t="inlineStr"/>
      <c r="I37" t="inlineStr"/>
      <c r="J37" t="inlineStr"/>
      <c r="K37" t="inlineStr"/>
      <c r="L37" t="inlineStr"/>
    </row>
    <row r="38">
      <c r="A38" t="n">
        <v>37</v>
      </c>
      <c r="B38" t="inlineStr"/>
      <c r="C38" t="inlineStr"/>
      <c r="D38" t="inlineStr"/>
      <c r="E38" t="inlineStr"/>
      <c r="F38" t="inlineStr"/>
      <c r="G38" t="inlineStr"/>
      <c r="H38" t="inlineStr"/>
      <c r="I38" t="inlineStr">
        <is>
          <t>Replaces Bojuka Bog (adds removal/protection). Evidence: the land it replaces carried no spell effect the model could use; it was drawn in 20% of games; the deck stayed inside its land floor after the cut.</t>
        </is>
      </c>
      <c r="J38" t="inlineStr"/>
      <c r="K38" t="inlineStr"/>
      <c r="L38" t="inlineStr"/>
    </row>
    <row r="39">
      <c r="A39" t="n">
        <v>38</v>
      </c>
      <c r="B39" t="inlineStr"/>
      <c r="C39" t="inlineStr"/>
      <c r="D39" t="inlineStr"/>
      <c r="E39" t="inlineStr"/>
      <c r="F39" t="inlineStr"/>
      <c r="G39" t="inlineStr"/>
      <c r="H39" t="inlineStr"/>
      <c r="I39" t="inlineStr"/>
      <c r="J39" t="inlineStr"/>
      <c r="K39" t="inlineStr"/>
      <c r="L39" t="inlineStr"/>
    </row>
    <row r="40">
      <c r="A40" t="n">
        <v>39</v>
      </c>
      <c r="B40" t="inlineStr"/>
      <c r="C40" t="inlineStr"/>
      <c r="D40" t="inlineStr"/>
      <c r="E40" t="inlineStr"/>
      <c r="F40" t="inlineStr"/>
      <c r="G40" t="inlineStr"/>
      <c r="H40" t="inlineStr"/>
      <c r="I40" t="inlineStr"/>
      <c r="J40" t="inlineStr"/>
      <c r="K40" t="inlineStr"/>
      <c r="L40" t="inlineStr"/>
    </row>
    <row r="41">
      <c r="A41" t="n">
        <v>40</v>
      </c>
      <c r="B41" t="inlineStr"/>
      <c r="C41" t="inlineStr"/>
      <c r="D41" t="inlineStr"/>
      <c r="E41" t="inlineStr"/>
      <c r="F41" t="inlineStr"/>
      <c r="G41" t="inlineStr"/>
      <c r="H41" t="inlineStr"/>
      <c r="I41" t="inlineStr"/>
      <c r="J41" t="inlineStr"/>
      <c r="K41" t="inlineStr"/>
      <c r="L41" t="inlineStr"/>
    </row>
    <row r="42">
      <c r="A42" t="n">
        <v>41</v>
      </c>
      <c r="B42" t="inlineStr"/>
      <c r="C42" t="inlineStr"/>
      <c r="D42" t="inlineStr"/>
      <c r="E42" t="inlineStr"/>
      <c r="F42" t="inlineStr"/>
      <c r="G42" t="inlineStr"/>
      <c r="H42" t="inlineStr"/>
      <c r="I42" t="inlineStr"/>
      <c r="J42" t="inlineStr"/>
      <c r="K42" t="inlineStr"/>
      <c r="L42" t="inlineStr"/>
    </row>
    <row r="43">
      <c r="A43" t="n">
        <v>42</v>
      </c>
      <c r="B43" t="inlineStr"/>
      <c r="C43" t="inlineStr"/>
      <c r="D43" t="inlineStr"/>
      <c r="E43" t="inlineStr"/>
      <c r="F43" t="inlineStr"/>
      <c r="G43" t="inlineStr"/>
      <c r="H43" t="inlineStr"/>
      <c r="I43" t="inlineStr"/>
      <c r="J43" t="inlineStr"/>
      <c r="K43" t="inlineStr"/>
      <c r="L43" t="inlineStr"/>
    </row>
    <row r="44">
      <c r="A44" t="n">
        <v>43</v>
      </c>
      <c r="B44" t="inlineStr"/>
      <c r="C44" t="inlineStr"/>
      <c r="D44" t="inlineStr"/>
      <c r="E44" t="inlineStr"/>
      <c r="F44" t="inlineStr"/>
      <c r="G44" t="inlineStr"/>
      <c r="H44" t="inlineStr"/>
      <c r="I44" t="inlineStr"/>
      <c r="J44" t="inlineStr"/>
      <c r="K44" t="inlineStr"/>
      <c r="L44" t="inlineStr"/>
    </row>
    <row r="45">
      <c r="A45" t="n">
        <v>44</v>
      </c>
      <c r="B45" t="inlineStr"/>
      <c r="C45" t="inlineStr"/>
      <c r="D45" t="inlineStr"/>
      <c r="E45" t="inlineStr"/>
      <c r="F45" t="inlineStr"/>
      <c r="G45" t="inlineStr"/>
      <c r="H45" t="inlineStr"/>
      <c r="I45" t="inlineStr"/>
      <c r="J45" t="inlineStr"/>
      <c r="K45" t="inlineStr"/>
      <c r="L45" t="inlineStr"/>
    </row>
    <row r="46">
      <c r="A46" t="n">
        <v>45</v>
      </c>
      <c r="B46" t="inlineStr"/>
      <c r="C46" t="inlineStr"/>
      <c r="D46" t="inlineStr"/>
      <c r="E46" t="inlineStr"/>
      <c r="F46" t="inlineStr"/>
      <c r="G46" t="inlineStr"/>
      <c r="H46" t="inlineStr"/>
      <c r="I46" t="inlineStr"/>
      <c r="J46" t="inlineStr"/>
      <c r="K46" t="inlineStr"/>
      <c r="L46" t="inlineStr"/>
    </row>
    <row r="47">
      <c r="A47" t="n">
        <v>46</v>
      </c>
      <c r="B47" t="inlineStr"/>
      <c r="C47" t="inlineStr"/>
      <c r="D47" t="inlineStr"/>
      <c r="E47" t="inlineStr"/>
      <c r="F47" t="inlineStr"/>
      <c r="G47" t="inlineStr"/>
      <c r="H47" t="inlineStr"/>
      <c r="I47" t="inlineStr"/>
      <c r="J47" t="inlineStr">
        <is>
          <t>Replaces Ghost Quarter (adds removal/protection). Evidence: the land it replaces carried no spell effect the model could use; it was drawn in 19% of games; the deck stayed inside its land floor after the cut.</t>
        </is>
      </c>
      <c r="K47" t="inlineStr"/>
      <c r="L47" t="inlineStr">
        <is>
          <t>Replaces Blast Zone (adds removal/protection). Evidence: the land it replaces carried no spell effect the model could use; it was drawn in 18% of games; the deck stayed inside its land floor after the cut.</t>
        </is>
      </c>
    </row>
    <row r="48">
      <c r="A48" t="n">
        <v>47</v>
      </c>
      <c r="B48" t="inlineStr"/>
      <c r="C48" t="inlineStr"/>
      <c r="D48" t="inlineStr"/>
      <c r="E48" t="inlineStr"/>
      <c r="F48" t="inlineStr"/>
      <c r="G48" t="inlineStr"/>
      <c r="H48" t="inlineStr"/>
      <c r="I48" t="inlineStr"/>
      <c r="J48" t="inlineStr"/>
      <c r="K48" t="inlineStr"/>
      <c r="L48" t="inlineStr"/>
    </row>
    <row r="49">
      <c r="A49" t="n">
        <v>48</v>
      </c>
      <c r="B49" t="inlineStr"/>
      <c r="C49" t="inlineStr"/>
      <c r="D49" t="inlineStr"/>
      <c r="E49" t="inlineStr"/>
      <c r="F49" t="inlineStr"/>
      <c r="G49" t="inlineStr"/>
      <c r="H49" t="inlineStr"/>
      <c r="I49" t="inlineStr"/>
      <c r="J49" t="inlineStr"/>
      <c r="K49" t="inlineStr"/>
      <c r="L49" t="inlineStr"/>
    </row>
    <row r="50">
      <c r="A50" t="n">
        <v>49</v>
      </c>
      <c r="B50" t="inlineStr"/>
      <c r="C50" t="inlineStr"/>
      <c r="D50" t="inlineStr"/>
      <c r="E50" t="inlineStr"/>
      <c r="F50" t="inlineStr"/>
      <c r="G50" t="inlineStr"/>
      <c r="H50" t="inlineStr"/>
      <c r="I50" t="inlineStr"/>
      <c r="J50" t="inlineStr">
        <is>
          <t>Replaces Myriad Landscape (adds draw/removal/protection). Evidence: the land it replaces carried no spell effect the model could use; it was drawn in 18% of games; the deck stayed inside its land floor after the cut.</t>
        </is>
      </c>
      <c r="K50" t="inlineStr"/>
      <c r="L50" t="inlineStr">
        <is>
          <t>Replaces Myriad Landscape (adds removal/protection). Evidence: the land it replaces carried no spell effect the model could use; it was drawn in 17% of games; the deck stayed inside its land floor after the cut.</t>
        </is>
      </c>
    </row>
    <row r="51">
      <c r="A51" t="n">
        <v>50</v>
      </c>
      <c r="B51" t="inlineStr"/>
      <c r="C51" t="inlineStr"/>
      <c r="D51" t="inlineStr"/>
      <c r="E51" t="inlineStr"/>
      <c r="F51" t="inlineStr"/>
      <c r="G51" t="inlineStr"/>
      <c r="H51" t="inlineStr"/>
      <c r="I51" t="inlineStr"/>
      <c r="J51" t="inlineStr"/>
      <c r="K51" t="inlineStr"/>
      <c r="L51" t="inlineStr"/>
    </row>
    <row r="52">
      <c r="A52" t="n">
        <v>51</v>
      </c>
      <c r="B52" t="inlineStr"/>
      <c r="C52" t="inlineStr"/>
      <c r="D52" t="inlineStr"/>
      <c r="E52" t="inlineStr"/>
      <c r="F52" t="inlineStr"/>
      <c r="G52" t="inlineStr"/>
      <c r="H52" t="inlineStr"/>
      <c r="I52" t="inlineStr"/>
      <c r="J52" t="inlineStr"/>
      <c r="K52" t="inlineStr"/>
      <c r="L52" t="inlineStr"/>
    </row>
    <row r="53">
      <c r="A53" t="n">
        <v>52</v>
      </c>
      <c r="B53" t="inlineStr"/>
      <c r="C53" t="inlineStr"/>
      <c r="D53" t="inlineStr"/>
      <c r="E53" t="inlineStr"/>
      <c r="F53" t="inlineStr"/>
      <c r="G53" t="inlineStr"/>
      <c r="H53" t="inlineStr"/>
      <c r="I53" t="inlineStr"/>
      <c r="J53" t="inlineStr"/>
      <c r="K53" t="inlineStr"/>
      <c r="L53" t="inlineStr"/>
    </row>
    <row r="54">
      <c r="A54" t="n">
        <v>53</v>
      </c>
      <c r="B54" t="inlineStr"/>
      <c r="C54" t="inlineStr"/>
      <c r="D54" t="inlineStr"/>
      <c r="E54" t="inlineStr"/>
      <c r="F54" t="inlineStr"/>
      <c r="G54" t="inlineStr"/>
      <c r="H54" t="inlineStr"/>
      <c r="I54" t="inlineStr"/>
      <c r="J54" t="inlineStr"/>
      <c r="K54" t="inlineStr"/>
      <c r="L54" t="inlineStr"/>
    </row>
    <row r="55">
      <c r="A55" t="n">
        <v>54</v>
      </c>
      <c r="B55" t="inlineStr"/>
      <c r="C55" t="inlineStr"/>
      <c r="D55" t="inlineStr"/>
      <c r="E55" t="inlineStr"/>
      <c r="F55" t="inlineStr"/>
      <c r="G55" t="inlineStr"/>
      <c r="H55" t="inlineStr"/>
      <c r="I55" t="inlineStr"/>
      <c r="J55" t="inlineStr"/>
      <c r="K55" t="inlineStr"/>
      <c r="L55" t="inlineStr"/>
    </row>
    <row r="56">
      <c r="A56" t="n">
        <v>55</v>
      </c>
      <c r="B56" t="inlineStr"/>
      <c r="C56" t="inlineStr"/>
      <c r="D56" t="inlineStr"/>
      <c r="E56" t="inlineStr"/>
      <c r="F56" t="inlineStr"/>
      <c r="G56" t="inlineStr"/>
      <c r="H56" t="inlineStr"/>
      <c r="I56" t="inlineStr"/>
      <c r="J56" t="inlineStr"/>
      <c r="K56" t="inlineStr"/>
      <c r="L56" t="inlineStr"/>
    </row>
    <row r="57">
      <c r="A57" t="n">
        <v>56</v>
      </c>
      <c r="B57" t="inlineStr"/>
      <c r="C57" t="inlineStr"/>
      <c r="D57" t="inlineStr"/>
      <c r="E57" t="inlineStr"/>
      <c r="F57" t="inlineStr"/>
      <c r="G57" t="inlineStr"/>
      <c r="H57" t="inlineStr"/>
      <c r="I57" t="inlineStr"/>
      <c r="J57" t="inlineStr"/>
      <c r="K57" t="inlineStr"/>
      <c r="L57" t="inlineStr"/>
    </row>
    <row r="58">
      <c r="A58" t="n">
        <v>57</v>
      </c>
      <c r="B58" t="inlineStr"/>
      <c r="C58" t="inlineStr"/>
      <c r="D58" t="inlineStr"/>
      <c r="E58" t="inlineStr"/>
      <c r="F58" t="inlineStr"/>
      <c r="G58" t="inlineStr"/>
      <c r="H58" t="inlineStr"/>
      <c r="I58" t="inlineStr"/>
      <c r="J58" t="inlineStr"/>
      <c r="K58" t="inlineStr"/>
      <c r="L58" t="inlineStr"/>
    </row>
    <row r="59">
      <c r="A59" t="n">
        <v>58</v>
      </c>
      <c r="B59" t="inlineStr"/>
      <c r="C59" t="inlineStr"/>
      <c r="D59" t="inlineStr"/>
      <c r="E59" t="inlineStr"/>
      <c r="F59" t="inlineStr"/>
      <c r="G59" t="inlineStr"/>
      <c r="H59" t="inlineStr"/>
      <c r="I59" t="inlineStr"/>
      <c r="J59" t="inlineStr"/>
      <c r="K59" t="inlineStr"/>
      <c r="L59" t="inlineStr"/>
    </row>
    <row r="60">
      <c r="A60" t="n">
        <v>59</v>
      </c>
      <c r="B60" t="inlineStr"/>
      <c r="C60" t="inlineStr"/>
      <c r="D60" t="inlineStr"/>
      <c r="E60" t="inlineStr"/>
      <c r="F60" t="inlineStr"/>
      <c r="G60" t="inlineStr"/>
      <c r="H60" t="inlineStr"/>
      <c r="I60" t="inlineStr"/>
      <c r="J60" t="inlineStr"/>
      <c r="K60" t="inlineStr"/>
      <c r="L60" t="inlineStr"/>
    </row>
    <row r="61">
      <c r="A61" t="n">
        <v>60</v>
      </c>
      <c r="B61" t="inlineStr"/>
      <c r="C61" t="inlineStr"/>
      <c r="D61" t="inlineStr"/>
      <c r="E61" t="inlineStr"/>
      <c r="F61" t="inlineStr"/>
      <c r="G61" t="inlineStr"/>
      <c r="H61" t="inlineStr"/>
      <c r="I61" t="inlineStr"/>
      <c r="J61" t="inlineStr"/>
      <c r="K61" t="inlineStr"/>
      <c r="L61" t="inlineStr"/>
    </row>
    <row r="62">
      <c r="A62" t="n">
        <v>61</v>
      </c>
      <c r="B62" t="inlineStr"/>
      <c r="C62" t="inlineStr"/>
      <c r="D62" t="inlineStr"/>
      <c r="E62" t="inlineStr"/>
      <c r="F62" t="inlineStr"/>
      <c r="G62" t="inlineStr"/>
      <c r="H62" t="inlineStr"/>
      <c r="I62" t="inlineStr"/>
      <c r="J62" t="inlineStr"/>
      <c r="K62" t="inlineStr"/>
      <c r="L62" t="inlineStr"/>
    </row>
    <row r="63">
      <c r="A63" t="n">
        <v>62</v>
      </c>
      <c r="B63" t="inlineStr"/>
      <c r="C63" t="inlineStr"/>
      <c r="D63" t="inlineStr"/>
      <c r="E63" t="inlineStr"/>
      <c r="F63" t="inlineStr"/>
      <c r="G63" t="inlineStr"/>
      <c r="H63" t="inlineStr"/>
      <c r="I63" t="inlineStr"/>
      <c r="J63" t="inlineStr"/>
      <c r="K63" t="inlineStr"/>
      <c r="L63" t="inlineStr"/>
    </row>
    <row r="64">
      <c r="A64" t="n">
        <v>63</v>
      </c>
      <c r="B64" t="inlineStr"/>
      <c r="C64" t="inlineStr"/>
      <c r="D64" t="inlineStr"/>
      <c r="E64" t="inlineStr"/>
      <c r="F64" t="inlineStr"/>
      <c r="G64" t="inlineStr"/>
      <c r="H64" t="inlineStr"/>
      <c r="I64" t="inlineStr"/>
      <c r="J64" t="inlineStr"/>
      <c r="K64" t="inlineStr"/>
      <c r="L64" t="inlineStr"/>
    </row>
    <row r="65">
      <c r="A65" t="n">
        <v>64</v>
      </c>
      <c r="B65" t="inlineStr"/>
      <c r="C65" t="inlineStr"/>
      <c r="D65" t="inlineStr"/>
      <c r="E65" t="inlineStr"/>
      <c r="F65" t="inlineStr"/>
      <c r="G65" t="inlineStr"/>
      <c r="H65" t="inlineStr"/>
      <c r="I65" t="inlineStr"/>
      <c r="J65" t="inlineStr"/>
      <c r="K65" t="inlineStr"/>
      <c r="L65" t="inlineStr"/>
    </row>
    <row r="66">
      <c r="A66" t="n">
        <v>65</v>
      </c>
      <c r="B66" t="inlineStr"/>
      <c r="C66" t="inlineStr"/>
      <c r="D66" t="inlineStr"/>
      <c r="E66" t="inlineStr"/>
      <c r="F66" t="inlineStr"/>
      <c r="G66" t="inlineStr"/>
      <c r="H66" t="inlineStr"/>
      <c r="I66" t="inlineStr"/>
      <c r="J66" t="inlineStr"/>
      <c r="K66" t="inlineStr"/>
      <c r="L66" t="inlineStr"/>
    </row>
    <row r="67">
      <c r="A67" t="n">
        <v>66</v>
      </c>
      <c r="B67" t="inlineStr"/>
      <c r="C67" t="inlineStr"/>
      <c r="D67" t="inlineStr"/>
      <c r="E67" t="inlineStr"/>
      <c r="F67" t="inlineStr"/>
      <c r="G67" t="inlineStr"/>
      <c r="H67" t="inlineStr"/>
      <c r="I67" t="inlineStr"/>
      <c r="J67" t="inlineStr"/>
      <c r="K67" t="inlineStr"/>
      <c r="L67" t="inlineStr"/>
    </row>
    <row r="68">
      <c r="A68" t="n">
        <v>67</v>
      </c>
      <c r="B68" t="inlineStr"/>
      <c r="C68" t="inlineStr"/>
      <c r="D68" t="inlineStr"/>
      <c r="E68" t="inlineStr"/>
      <c r="F68" t="inlineStr"/>
      <c r="G68" t="inlineStr"/>
      <c r="H68" t="inlineStr"/>
      <c r="I68" t="inlineStr"/>
      <c r="J68" t="inlineStr"/>
      <c r="K68" t="inlineStr"/>
      <c r="L68" t="inlineStr"/>
    </row>
    <row r="69">
      <c r="A69" t="n">
        <v>68</v>
      </c>
      <c r="B69" t="inlineStr"/>
      <c r="C69" t="inlineStr"/>
      <c r="D69" t="inlineStr"/>
      <c r="E69" t="inlineStr"/>
      <c r="F69" t="inlineStr"/>
      <c r="G69" t="inlineStr"/>
      <c r="H69" t="inlineStr"/>
      <c r="I69" t="inlineStr"/>
      <c r="J69" t="inlineStr"/>
      <c r="K69" t="inlineStr"/>
      <c r="L69" t="inlineStr"/>
    </row>
    <row r="70">
      <c r="A70" t="n">
        <v>69</v>
      </c>
      <c r="B70" t="inlineStr"/>
      <c r="C70" t="inlineStr"/>
      <c r="D70" t="inlineStr"/>
      <c r="E70" t="inlineStr"/>
      <c r="F70" t="inlineStr"/>
      <c r="G70" t="inlineStr"/>
      <c r="H70" t="inlineStr"/>
      <c r="I70" t="inlineStr"/>
      <c r="J70" t="inlineStr"/>
      <c r="K70" t="inlineStr"/>
      <c r="L70" t="inlineStr"/>
    </row>
    <row r="71">
      <c r="A71" t="n">
        <v>70</v>
      </c>
      <c r="B71" t="inlineStr"/>
      <c r="C71" t="inlineStr"/>
      <c r="D71" t="inlineStr"/>
      <c r="E71" t="inlineStr"/>
      <c r="F71" t="inlineStr"/>
      <c r="G71" t="inlineStr"/>
      <c r="H71" t="inlineStr"/>
      <c r="I71" t="inlineStr"/>
      <c r="J71" t="inlineStr"/>
      <c r="K71" t="inlineStr"/>
      <c r="L71" t="inlineStr"/>
    </row>
    <row r="72">
      <c r="A72" t="n">
        <v>71</v>
      </c>
      <c r="B72" t="inlineStr"/>
      <c r="C72" t="inlineStr"/>
      <c r="D72" t="inlineStr"/>
      <c r="E72" t="inlineStr"/>
      <c r="F72" t="inlineStr"/>
      <c r="G72" t="inlineStr"/>
      <c r="H72" t="inlineStr"/>
      <c r="I72" t="inlineStr"/>
      <c r="J72" t="inlineStr"/>
      <c r="K72" t="inlineStr"/>
      <c r="L72" t="inlineStr"/>
    </row>
    <row r="73">
      <c r="A73" t="n">
        <v>72</v>
      </c>
      <c r="B73" t="inlineStr"/>
      <c r="C73" t="inlineStr"/>
      <c r="D73" t="inlineStr"/>
      <c r="E73" t="inlineStr"/>
      <c r="F73" t="inlineStr"/>
      <c r="G73" t="inlineStr"/>
      <c r="H73" t="inlineStr"/>
      <c r="I73" t="inlineStr"/>
      <c r="J73" t="inlineStr"/>
      <c r="K73" t="inlineStr"/>
      <c r="L73" t="inlineStr"/>
    </row>
    <row r="74">
      <c r="A74" t="n">
        <v>73</v>
      </c>
      <c r="B74" t="inlineStr"/>
      <c r="C74" t="inlineStr"/>
      <c r="D74" t="inlineStr"/>
      <c r="E74" t="inlineStr"/>
      <c r="F74" t="inlineStr"/>
      <c r="G74" t="inlineStr"/>
      <c r="H74" t="inlineStr"/>
      <c r="I74" t="inlineStr"/>
      <c r="J74" t="inlineStr"/>
      <c r="K74" t="inlineStr"/>
      <c r="L74" t="inlineStr"/>
    </row>
    <row r="75">
      <c r="A75" t="n">
        <v>74</v>
      </c>
      <c r="B75" t="inlineStr"/>
      <c r="C75" t="inlineStr"/>
      <c r="D75" t="inlineStr"/>
      <c r="E75" t="inlineStr"/>
      <c r="F75" t="inlineStr"/>
      <c r="G75" t="inlineStr"/>
      <c r="H75" t="inlineStr"/>
      <c r="I75" t="inlineStr"/>
      <c r="J75" t="inlineStr"/>
      <c r="K75" t="inlineStr"/>
      <c r="L75" t="inlineStr"/>
    </row>
    <row r="76">
      <c r="A76" t="n">
        <v>75</v>
      </c>
      <c r="B76" t="inlineStr"/>
      <c r="C76" t="inlineStr"/>
      <c r="D76" t="inlineStr"/>
      <c r="E76" t="inlineStr"/>
      <c r="F76" t="inlineStr"/>
      <c r="G76" t="inlineStr"/>
      <c r="H76" t="inlineStr"/>
      <c r="I76" t="inlineStr"/>
      <c r="J76" t="inlineStr"/>
      <c r="K76" t="inlineStr"/>
      <c r="L76" t="inlineStr"/>
    </row>
    <row r="77">
      <c r="A77" t="n">
        <v>76</v>
      </c>
      <c r="B77" t="inlineStr"/>
      <c r="C77" t="inlineStr"/>
      <c r="D77" t="inlineStr"/>
      <c r="E77" t="inlineStr"/>
      <c r="F77" t="inlineStr">
        <is>
          <t>Replaces Command Tower (adds finisher/threat). Evidence: the land it replaces carried no spell effect the model could use; it was drawn in 20% of games; the deck stayed inside its land floor after the cut.</t>
        </is>
      </c>
      <c r="G77" t="inlineStr"/>
      <c r="H77" t="inlineStr"/>
      <c r="I77" t="inlineStr"/>
      <c r="J77" t="inlineStr">
        <is>
          <t>Replaces Barren Moor (adds draw/removal/threat). Evidence: the land it replaces carried no spell effect the model could use; it was drawn in 19% of games; the deck stayed inside its land floor after the cut.</t>
        </is>
      </c>
      <c r="K77" t="inlineStr"/>
      <c r="L77" t="inlineStr">
        <is>
          <t>Replaces Barren Moor (adds draw/protection). Evidence: the land it replaces carried no spell effect the model could use; it was drawn in 19% of games; the deck stayed inside its land floor after the cut.</t>
        </is>
      </c>
    </row>
    <row r="78">
      <c r="A78" t="n">
        <v>77</v>
      </c>
      <c r="B78" t="inlineStr"/>
      <c r="C78" t="inlineStr"/>
      <c r="D78" t="inlineStr"/>
      <c r="E78" t="inlineStr"/>
      <c r="F78" t="inlineStr">
        <is>
          <t>Replaces Woodland Cemetery (adds removal/protection/finisher/threat). Evidence: the land it replaces carried no spell effect the model could use; it was drawn in 20% of games; the deck stayed inside its land floor after the cut.</t>
        </is>
      </c>
      <c r="G78" t="inlineStr"/>
      <c r="H78" t="inlineStr"/>
      <c r="I78" t="inlineStr"/>
      <c r="J78" t="inlineStr">
        <is>
          <t>Replaces Grim Backwoods (adds draw/removal/threat). Evidence: the land it replaces carried no spell effect the model could use; it was drawn in 19% of games; the deck stayed inside its land floor after the cut.</t>
        </is>
      </c>
      <c r="K78" t="inlineStr"/>
      <c r="L78" t="inlineStr">
        <is>
          <t>Replaces Grim Backwoods (adds draw/removal/threat). Evidence: the land it replaces carried no spell effect the model could use; it was drawn in 19% of games; the deck stayed inside its land floor after the cut.</t>
        </is>
      </c>
    </row>
    <row r="79">
      <c r="A79" t="n">
        <v>78</v>
      </c>
      <c r="B79" t="inlineStr"/>
      <c r="C79" t="inlineStr"/>
      <c r="D79" t="inlineStr"/>
      <c r="E79" t="inlineStr"/>
      <c r="F79" t="inlineStr">
        <is>
          <t>Replaces Llanowar Wastes (adds removal/protection). Evidence: the land it replaces carried no spell effect the model could use; it was drawn in 20% of games; the deck stayed inside its land floor after the cut.</t>
        </is>
      </c>
      <c r="G79" t="inlineStr"/>
      <c r="H79" t="inlineStr"/>
      <c r="I79" t="inlineStr">
        <is>
          <t>Replaces Evolving Wilds (adds removal/wipe/protection). Evidence: the land it replaces carried no spell effect the model could use; it was drawn in 18% of games; the deck stayed inside its land floor after the cut.</t>
        </is>
      </c>
      <c r="J79" t="inlineStr"/>
      <c r="K79" t="inlineStr">
        <is>
          <t>Replaces Dakmor Salvage (adds draw/removal). Evidence: the land it replaces carried no spell effect the model could use; it was drawn in 18% of games; the deck stayed inside its land floor after the cut.</t>
        </is>
      </c>
      <c r="L79" t="inlineStr"/>
    </row>
    <row r="80">
      <c r="A80" t="n">
        <v>79</v>
      </c>
      <c r="B80" t="inlineStr"/>
      <c r="C80" t="inlineStr"/>
      <c r="D80" t="inlineStr"/>
      <c r="E80" t="inlineStr"/>
      <c r="F80" t="inlineStr">
        <is>
          <t>Replaces Golgari Rot Farm (adds wipe/protection/finisher/threat). Evidence: the land it replaces carried no spell effect the model could use; it was drawn in 20% of games; the deck stayed inside its land floor after the cut.</t>
        </is>
      </c>
      <c r="G80" t="inlineStr"/>
      <c r="H80" t="inlineStr"/>
      <c r="I80" t="inlineStr">
        <is>
          <t>Replaces Dakmor Salvage (adds draw/removal/protection). Evidence: the land it replaces carried no spell effect the model could use; it was drawn in 18% of games; the deck stayed inside its land floor after the cut.</t>
        </is>
      </c>
      <c r="J80" t="inlineStr"/>
      <c r="K80" t="inlineStr">
        <is>
          <t>Replaces Evolving Wilds (adds draw/removal/protection). Evidence: the land it replaces carried no spell effect the model could use; it was drawn in 18% of games; the deck stayed inside its land floor after the cut.</t>
        </is>
      </c>
      <c r="L80" t="inlineStr"/>
    </row>
    <row r="81">
      <c r="A81" t="n">
        <v>80</v>
      </c>
      <c r="B81" t="inlineStr"/>
      <c r="C81" t="inlineStr"/>
      <c r="D81" t="inlineStr"/>
      <c r="E81" t="inlineStr"/>
      <c r="F81" t="inlineStr"/>
      <c r="G81" t="inlineStr"/>
      <c r="H81" t="inlineStr"/>
      <c r="I81" t="inlineStr"/>
      <c r="J81" t="inlineStr"/>
      <c r="K81" t="inlineStr"/>
      <c r="L81" t="inlineStr"/>
    </row>
    <row r="82">
      <c r="A82" t="n">
        <v>81</v>
      </c>
      <c r="B82" t="inlineStr"/>
      <c r="C82" t="inlineStr"/>
      <c r="D82" t="inlineStr"/>
      <c r="E82" t="inlineStr"/>
      <c r="F82" t="inlineStr"/>
      <c r="G82" t="inlineStr"/>
      <c r="H82" t="inlineStr"/>
      <c r="I82" t="inlineStr">
        <is>
          <t>Replaces Golgari Guildgate (adds removal/protection). Evidence: the land it replaces carried no spell effect the model could use; it was drawn in 20% of games; the deck stayed inside its land floor after the cut.</t>
        </is>
      </c>
      <c r="J82" t="inlineStr">
        <is>
          <t>Replaces Fabled Passage (adds removal/protection). Evidence: the land it replaces carried no spell effect the model could use; it was drawn in 19% of games; the deck stayed inside its land floor after the cut.</t>
        </is>
      </c>
      <c r="K82" t="inlineStr">
        <is>
          <t>Replaces Terramorphic Expanse (adds draw/removal/threat). Evidence: the land it replaces carried no spell effect the model could use; it was drawn in 19% of games; the deck stayed inside its land floor after the cut.</t>
        </is>
      </c>
      <c r="L82" t="inlineStr"/>
    </row>
    <row r="83">
      <c r="A83" t="n">
        <v>82</v>
      </c>
      <c r="B83" t="inlineStr"/>
      <c r="C83" t="inlineStr"/>
      <c r="D83" t="inlineStr"/>
      <c r="E83" t="inlineStr"/>
      <c r="F83" t="inlineStr">
        <is>
          <t>Replaces Dakmor Salvage (adds draw/removal/protection). Evidence: the land it replaces carried no spell effect the model could use; it was drawn in 19% of games; the deck stayed inside its land floor after the cut.</t>
        </is>
      </c>
      <c r="G83" t="inlineStr"/>
      <c r="H83" t="inlineStr"/>
      <c r="I83" t="inlineStr">
        <is>
          <t>Replaces Barren Moor (adds draw/removal). Evidence: the land it replaces carried no spell effect the model could use; it was drawn in 19% of games; the deck stayed inside its land floor after the cut.</t>
        </is>
      </c>
      <c r="J83" t="inlineStr"/>
      <c r="K83" t="inlineStr">
        <is>
          <t>Replaces Foul Orchard (adds removal/protection). Evidence: the land it replaces carried no spell effect the model could use; it was drawn in 19% of games; the deck stayed inside its land floor after the cut.</t>
        </is>
      </c>
      <c r="L83" t="inlineStr"/>
    </row>
    <row r="84">
      <c r="A84" t="n">
        <v>83</v>
      </c>
      <c r="B84" t="inlineStr"/>
      <c r="C84" t="inlineStr"/>
      <c r="D84" t="inlineStr"/>
      <c r="E84" t="inlineStr"/>
      <c r="F84" t="inlineStr"/>
      <c r="G84" t="inlineStr"/>
      <c r="H84" t="inlineStr"/>
      <c r="I84" t="inlineStr"/>
      <c r="J84" t="inlineStr"/>
      <c r="K84" t="inlineStr"/>
      <c r="L84" t="inlineStr"/>
    </row>
    <row r="85">
      <c r="A85" t="n">
        <v>84</v>
      </c>
      <c r="B85" t="inlineStr"/>
      <c r="C85" t="inlineStr"/>
      <c r="D85" t="inlineStr"/>
      <c r="E85" t="inlineStr"/>
      <c r="F85" t="inlineStr"/>
      <c r="G85" t="inlineStr"/>
      <c r="H85" t="inlineStr"/>
      <c r="I85" t="inlineStr"/>
      <c r="J85" t="inlineStr"/>
      <c r="K85" t="inlineStr"/>
      <c r="L85" t="inlineStr">
        <is>
          <t>Replaces Fabled Passage (adds draw/removal/protection). Evidence: the land it replaces carried no spell effect the model could use; it was drawn in 18% of games; the deck stayed inside its land floor after the cut.</t>
        </is>
      </c>
    </row>
    <row r="86">
      <c r="A86" t="n">
        <v>85</v>
      </c>
      <c r="B86" t="inlineStr"/>
      <c r="C86" t="inlineStr"/>
      <c r="D86" t="inlineStr"/>
      <c r="E86" t="inlineStr"/>
      <c r="F86" t="inlineStr">
        <is>
          <t>Replaces Evolving Wilds (adds removal/protection). Evidence: the land it replaces carried no spell effect the model could use; it was drawn in 19% of games; the deck stayed inside its land floor after the cut.</t>
        </is>
      </c>
      <c r="G86" t="inlineStr"/>
      <c r="H86" t="inlineStr"/>
      <c r="I86" t="inlineStr">
        <is>
          <t>Replaces Tranquil Thicket (adds draw/protection/threat). Evidence: the land it replaces carried no spell effect the model could use; it was drawn in 17% of games; the deck stayed inside its land floor after the cut.</t>
        </is>
      </c>
      <c r="J86" t="inlineStr"/>
      <c r="K86" t="inlineStr">
        <is>
          <t>Replaces Slippery Karst (adds removal/protection). Evidence: the land it replaces carried no spell effect the model could use; it was drawn in 19% of games; the deck stayed inside its land floor after the cut.</t>
        </is>
      </c>
      <c r="L86" t="inlineStr"/>
    </row>
    <row r="87">
      <c r="A87" t="n">
        <v>86</v>
      </c>
      <c r="B87" t="inlineStr"/>
      <c r="C87" t="inlineStr"/>
      <c r="D87" t="inlineStr"/>
      <c r="E87" t="inlineStr"/>
      <c r="F87" t="inlineStr"/>
      <c r="G87" t="inlineStr"/>
      <c r="H87" t="inlineStr"/>
      <c r="I87" t="inlineStr"/>
      <c r="J87" t="inlineStr"/>
      <c r="K87" t="inlineStr">
        <is>
          <t>Replaces Fabled Passage (adds removal/wipe/protection). Evidence: the land it replaces carried no spell effect the model could use; it was drawn in 18% of games; the deck stayed inside its land floor after the cut.</t>
        </is>
      </c>
      <c r="L87" t="inlineStr"/>
    </row>
    <row r="88">
      <c r="A88" t="n">
        <v>87</v>
      </c>
      <c r="B88" t="inlineStr"/>
      <c r="C88" t="inlineStr"/>
      <c r="D88" t="inlineStr"/>
      <c r="E88" t="inlineStr"/>
      <c r="F88" t="inlineStr">
        <is>
          <t>Replaces Myriad Landscape (adds removal/finisher/threat). Evidence: the land it replaces carried no spell effect the model could use; it was drawn in 19% of games; the deck stayed inside its land floor after the cut.</t>
        </is>
      </c>
      <c r="G88" t="inlineStr"/>
      <c r="H88" t="inlineStr"/>
      <c r="I88" t="inlineStr"/>
      <c r="J88" t="inlineStr">
        <is>
          <t>Replaces Mirkwood (adds removal/wipe/protection). Evidence: the land it replaces carried no spell effect the model could use; it was drawn in 18% of games; the deck stayed inside its land floor after the cut.</t>
        </is>
      </c>
      <c r="K88" t="inlineStr"/>
      <c r="L88" t="inlineStr"/>
    </row>
    <row r="89">
      <c r="A89" t="n">
        <v>88</v>
      </c>
      <c r="B89" t="inlineStr"/>
      <c r="C89" t="inlineStr"/>
      <c r="D89" t="inlineStr"/>
      <c r="E89" t="inlineStr"/>
      <c r="F89" t="inlineStr"/>
      <c r="G89" t="inlineStr"/>
      <c r="H89" t="inlineStr"/>
      <c r="I89" t="inlineStr">
        <is>
          <t>Replaces Foul Orchard (adds draw/removal/threat). Evidence: the land it replaces carried no spell effect the model could use; it was drawn in 20% of games; the deck stayed inside its land floor after the cut.</t>
        </is>
      </c>
      <c r="J89" t="inlineStr">
        <is>
          <t>Replaces Field of the Dead (adds removal/protection). Evidence: the land it replaces carried no spell effect the model could use; it was drawn in 19% of games; the deck stayed inside its land floor after the cut.</t>
        </is>
      </c>
      <c r="K89" t="inlineStr"/>
      <c r="L89" t="inlineStr">
        <is>
          <t>Replaces Mirkwood (adds removal/wipe). Evidence: the land it replaces carried no spell effect the model could use; it was drawn in 18% of games; the deck stayed inside its land floor after the cut.</t>
        </is>
      </c>
    </row>
    <row r="90">
      <c r="A90" t="n">
        <v>89</v>
      </c>
      <c r="B90" t="inlineStr"/>
      <c r="C90" t="inlineStr"/>
      <c r="D90" t="inlineStr"/>
      <c r="E90" t="inlineStr"/>
      <c r="F90" t="inlineStr"/>
      <c r="G90" t="inlineStr"/>
      <c r="H90" t="inlineStr"/>
      <c r="I90" t="inlineStr"/>
      <c r="J90" t="inlineStr"/>
      <c r="K90" t="inlineStr"/>
      <c r="L90" t="inlineStr"/>
    </row>
    <row r="91">
      <c r="A91" t="n">
        <v>90</v>
      </c>
      <c r="B91" t="inlineStr"/>
      <c r="C91" t="inlineStr"/>
      <c r="D91" t="inlineStr"/>
      <c r="E91" t="inlineStr"/>
      <c r="F91" t="inlineStr"/>
      <c r="G91" t="inlineStr"/>
      <c r="H91" t="inlineStr"/>
      <c r="I91" t="inlineStr"/>
      <c r="J91" t="inlineStr"/>
      <c r="K91" t="inlineStr"/>
      <c r="L91" t="inlineStr">
        <is>
          <t>Replaces Field of the Dead (adds removal/protection). Evidence: the land it replaces carried no spell effect the model could use; it was drawn in 19% of games; the deck stayed inside its land floor after the cut.</t>
        </is>
      </c>
    </row>
    <row r="92">
      <c r="A92" t="n">
        <v>91</v>
      </c>
      <c r="B92" t="inlineStr"/>
      <c r="C92" t="inlineStr"/>
      <c r="D92" t="inlineStr"/>
      <c r="E92" t="inlineStr"/>
      <c r="F92" t="inlineStr"/>
      <c r="G92" t="inlineStr"/>
      <c r="H92" t="inlineStr"/>
      <c r="I92" t="inlineStr"/>
      <c r="J92" t="inlineStr"/>
      <c r="K92" t="inlineStr"/>
      <c r="L92" t="inlineStr"/>
    </row>
    <row r="93">
      <c r="A93" t="n">
        <v>92</v>
      </c>
      <c r="B93" t="inlineStr"/>
      <c r="C93" t="inlineStr"/>
      <c r="D93" t="inlineStr"/>
      <c r="E93" t="inlineStr"/>
      <c r="F93" t="inlineStr"/>
      <c r="G93" t="inlineStr"/>
      <c r="H93" t="inlineStr"/>
      <c r="I93" t="inlineStr"/>
      <c r="J93" t="inlineStr"/>
      <c r="K93" t="inlineStr"/>
      <c r="L93" t="inlineStr"/>
    </row>
    <row r="94">
      <c r="A94" t="n">
        <v>93</v>
      </c>
      <c r="B94" t="inlineStr"/>
      <c r="C94" t="inlineStr"/>
      <c r="D94" t="inlineStr"/>
      <c r="E94" t="inlineStr"/>
      <c r="F94" t="inlineStr">
        <is>
          <t>Replaces Foul Orchard (adds removal/protection). Evidence: the land it replaces carried no spell effect the model could use; it was drawn in 20% of games; the deck stayed inside its land floor after the cut.</t>
        </is>
      </c>
      <c r="G94" t="inlineStr"/>
      <c r="H94" t="inlineStr"/>
      <c r="I94" t="inlineStr"/>
      <c r="J94" t="inlineStr"/>
      <c r="K94" t="inlineStr">
        <is>
          <t>Replaces Barren Moor (adds draw/removal/threat). Evidence: the land it replaces carried no spell effect the model could use; it was drawn in 19% of games; the deck stayed inside its land floor after the cut.</t>
        </is>
      </c>
      <c r="L94" t="inlineStr"/>
    </row>
    <row r="95">
      <c r="A95" t="n">
        <v>94</v>
      </c>
      <c r="B95" t="inlineStr"/>
      <c r="C95" t="inlineStr"/>
      <c r="D95" t="inlineStr"/>
      <c r="E95" t="inlineStr"/>
      <c r="F95" t="inlineStr">
        <is>
          <t>Replaces Slippery Karst (adds removal/protection). Evidence: the land it replaces carried no spell effect the model could use; it was drawn in 20% of games; the deck stayed inside its land floor after the cut.</t>
        </is>
      </c>
      <c r="G95" t="inlineStr"/>
      <c r="H95" t="inlineStr"/>
      <c r="I95" t="inlineStr"/>
      <c r="J95" t="inlineStr"/>
      <c r="K95" t="inlineStr"/>
      <c r="L95" t="inlineStr"/>
    </row>
    <row r="96">
      <c r="A96" t="n">
        <v>95</v>
      </c>
      <c r="B96" t="inlineStr"/>
      <c r="C96" t="inlineStr"/>
      <c r="D96" t="inlineStr"/>
      <c r="E96" t="inlineStr"/>
      <c r="F96" t="inlineStr"/>
      <c r="G96" t="inlineStr"/>
      <c r="H96" t="inlineStr"/>
      <c r="I96" t="inlineStr"/>
      <c r="J96" t="inlineStr"/>
      <c r="K96" t="inlineStr"/>
      <c r="L96" t="inlineStr"/>
    </row>
    <row r="97">
      <c r="A97" t="n">
        <v>96</v>
      </c>
      <c r="B97" t="inlineStr"/>
      <c r="C97" t="inlineStr"/>
      <c r="D97" t="inlineStr"/>
      <c r="E97" t="inlineStr"/>
      <c r="F97" t="inlineStr"/>
      <c r="G97" t="inlineStr"/>
      <c r="H97" t="inlineStr"/>
      <c r="I97" t="inlineStr"/>
      <c r="J97" t="inlineStr"/>
      <c r="K97" t="inlineStr"/>
      <c r="L97" t="inlineStr"/>
    </row>
    <row r="98">
      <c r="A98" t="n">
        <v>97</v>
      </c>
      <c r="B98" t="inlineStr"/>
      <c r="C98" t="inlineStr"/>
      <c r="D98" t="inlineStr"/>
      <c r="E98" t="inlineStr"/>
      <c r="F98" t="inlineStr">
        <is>
          <t>Replaces Fabled Passage (adds removal/protection/finisher/threat). Evidence: the land it replaces carried no spell effect the model could use; it was drawn in 19% of games; the deck stayed inside its land floor after the cut.</t>
        </is>
      </c>
      <c r="G98" t="inlineStr"/>
      <c r="H98" t="inlineStr"/>
      <c r="I98" t="inlineStr"/>
      <c r="J98" t="inlineStr"/>
      <c r="K98" t="inlineStr"/>
      <c r="L98" t="inlineStr"/>
    </row>
    <row r="99">
      <c r="A99" t="n">
        <v>98</v>
      </c>
      <c r="B99" t="inlineStr"/>
      <c r="C99" t="inlineStr"/>
      <c r="D99" t="inlineStr"/>
      <c r="E99" t="inlineStr"/>
      <c r="F99" t="inlineStr"/>
      <c r="G99" t="inlineStr"/>
      <c r="H99" t="inlineStr"/>
      <c r="I99" t="inlineStr"/>
      <c r="J99" t="inlineStr"/>
      <c r="K99" t="inlineStr"/>
      <c r="L99" t="inlineStr"/>
    </row>
    <row r="100">
      <c r="A100" t="n">
        <v>99</v>
      </c>
      <c r="B100" t="inlineStr"/>
      <c r="C100" t="inlineStr"/>
      <c r="D100" t="inlineStr"/>
      <c r="E100" t="inlineStr"/>
      <c r="F100" t="inlineStr"/>
      <c r="G100" t="inlineStr"/>
      <c r="H100" t="inlineStr"/>
      <c r="I100" t="inlineStr"/>
      <c r="J100" t="inlineStr"/>
      <c r="K100" t="inlineStr"/>
      <c r="L100" t="inlineStr"/>
    </row>
    <row r="101">
      <c r="A101" t="n">
        <v>100</v>
      </c>
      <c r="B101" t="inlineStr"/>
      <c r="C101" t="inlineStr"/>
      <c r="D101" t="inlineStr"/>
      <c r="E101" t="inlineStr"/>
      <c r="F101" t="inlineStr"/>
      <c r="G101" t="inlineStr"/>
      <c r="H101" t="inlineStr"/>
      <c r="I101" t="inlineStr"/>
      <c r="J101" t="inlineStr"/>
      <c r="K101" t="inlineStr"/>
      <c r="L10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N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14" customWidth="1" min="11" max="11"/>
    <col width="27" customWidth="1" min="12" max="12"/>
    <col width="10" customWidth="1" min="13" max="13"/>
    <col width="90" customWidth="1" min="14" max="14"/>
  </cols>
  <sheetData>
    <row r="1">
      <c r="A1" s="3" t="inlineStr">
        <is>
          <t>Bant Walls — Arcades, the Strategist</t>
        </is>
      </c>
    </row>
    <row r="2">
      <c r="A2" s="2" t="inlineStr">
        <is>
          <t>Deck slot 4 · variant 4c · 100 lineup slots</t>
        </is>
      </c>
    </row>
    <row r="4">
      <c r="B4" s="24" t="inlineStr">
        <is>
          <t>Site ladder — as published</t>
        </is>
      </c>
      <c r="F4" s="25" t="inlineStr">
        <is>
          <t>Simulation-improved (Monte Carlo)</t>
        </is>
      </c>
      <c r="I4" s="26" t="inlineStr">
        <is>
          <t>Fun-weighted engine v2.1</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FINAL PICK</t>
        </is>
      </c>
      <c r="L5" s="12" t="inlineStr">
        <is>
          <t>Final card</t>
        </is>
      </c>
      <c r="M5" s="12" t="inlineStr">
        <is>
          <t>Price</t>
        </is>
      </c>
      <c r="N5" s="12" t="inlineStr">
        <is>
          <t>Why this card moved</t>
        </is>
      </c>
    </row>
    <row r="6">
      <c r="A6" s="28" t="n">
        <v>1</v>
      </c>
      <c r="B6" s="13" t="inlineStr">
        <is>
          <t>Wall of Denial</t>
        </is>
      </c>
      <c r="C6" s="13" t="inlineStr">
        <is>
          <t>Wall of Denial</t>
        </is>
      </c>
      <c r="D6" s="13" t="inlineStr">
        <is>
          <t>Wall of Denial</t>
        </is>
      </c>
      <c r="E6" s="13" t="inlineStr">
        <is>
          <t>Wall of Denial</t>
        </is>
      </c>
      <c r="F6" s="13" t="inlineStr">
        <is>
          <t>Wall of Denial</t>
        </is>
      </c>
      <c r="G6" s="13" t="inlineStr">
        <is>
          <t>Wall of Denial</t>
        </is>
      </c>
      <c r="H6" s="13" t="inlineStr">
        <is>
          <t>Wall of Denial</t>
        </is>
      </c>
      <c r="I6" s="13" t="inlineStr">
        <is>
          <t>Wall of Denial</t>
        </is>
      </c>
      <c r="J6" s="13" t="inlineStr">
        <is>
          <t>Wall of Denial</t>
        </is>
      </c>
      <c r="K6" s="30" t="inlineStr">
        <is>
          <t>Fun Max</t>
        </is>
      </c>
      <c r="L6" s="31">
        <f>INDEX(B6:J6,MATCH(K6,$B$5:$J$5,0))</f>
        <v/>
      </c>
      <c r="M6" s="22">
        <f>IFERROR(VLOOKUP(L6,Prices!$A:$B,2,FALSE),0)</f>
        <v/>
      </c>
      <c r="N6" s="32">
        <f>IFERROR(INDEX('_why_4c'!$B2:$J2,MATCH(K6,$B$5:$J$5,0)),"")</f>
        <v/>
      </c>
    </row>
    <row r="7">
      <c r="A7" s="28" t="n">
        <v>2</v>
      </c>
      <c r="B7" s="33" t="inlineStr">
        <is>
          <t>Fog Bank</t>
        </is>
      </c>
      <c r="C7" s="33" t="inlineStr">
        <is>
          <t>Fog Bank</t>
        </is>
      </c>
      <c r="D7" s="33" t="inlineStr">
        <is>
          <t>Fog Bank</t>
        </is>
      </c>
      <c r="E7" s="33" t="inlineStr">
        <is>
          <t>Fog Bank</t>
        </is>
      </c>
      <c r="F7" s="33" t="inlineStr">
        <is>
          <t>Fog Bank</t>
        </is>
      </c>
      <c r="G7" s="33" t="inlineStr">
        <is>
          <t>Fog Bank</t>
        </is>
      </c>
      <c r="H7" s="33" t="inlineStr">
        <is>
          <t>Fog Bank</t>
        </is>
      </c>
      <c r="I7" s="33" t="inlineStr">
        <is>
          <t>Fog Bank</t>
        </is>
      </c>
      <c r="J7" s="33" t="inlineStr">
        <is>
          <t>Fog Bank</t>
        </is>
      </c>
      <c r="K7" s="30" t="inlineStr">
        <is>
          <t>Fun Max</t>
        </is>
      </c>
      <c r="L7" s="31">
        <f>INDEX(B7:J7,MATCH(K7,$B$5:$J$5,0))</f>
        <v/>
      </c>
      <c r="M7" s="22">
        <f>IFERROR(VLOOKUP(L7,Prices!$A:$B,2,FALSE),0)</f>
        <v/>
      </c>
      <c r="N7" s="32">
        <f>IFERROR(INDEX('_why_4c'!$B3:$J3,MATCH(K7,$B$5:$J$5,0)),"")</f>
        <v/>
      </c>
    </row>
    <row r="8">
      <c r="A8" s="28" t="n">
        <v>3</v>
      </c>
      <c r="B8" s="13" t="inlineStr">
        <is>
          <t>Wall of Junk</t>
        </is>
      </c>
      <c r="C8" s="13" t="inlineStr">
        <is>
          <t>Wall of Junk</t>
        </is>
      </c>
      <c r="D8" s="13" t="inlineStr">
        <is>
          <t>Wall of Junk</t>
        </is>
      </c>
      <c r="E8" s="13" t="inlineStr">
        <is>
          <t>Wall of Junk</t>
        </is>
      </c>
      <c r="F8" s="13" t="inlineStr">
        <is>
          <t>Wall of Junk</t>
        </is>
      </c>
      <c r="G8" s="13" t="inlineStr">
        <is>
          <t>Wall of Junk</t>
        </is>
      </c>
      <c r="H8" s="13" t="inlineStr">
        <is>
          <t>Wall of Junk</t>
        </is>
      </c>
      <c r="I8" s="13" t="inlineStr">
        <is>
          <t>Wall of Junk</t>
        </is>
      </c>
      <c r="J8" s="13" t="inlineStr">
        <is>
          <t>Wall of Junk</t>
        </is>
      </c>
      <c r="K8" s="30" t="inlineStr">
        <is>
          <t>Fun Max</t>
        </is>
      </c>
      <c r="L8" s="31">
        <f>INDEX(B8:J8,MATCH(K8,$B$5:$J$5,0))</f>
        <v/>
      </c>
      <c r="M8" s="22">
        <f>IFERROR(VLOOKUP(L8,Prices!$A:$B,2,FALSE),0)</f>
        <v/>
      </c>
      <c r="N8" s="32">
        <f>IFERROR(INDEX('_why_4c'!$B4:$J4,MATCH(K8,$B$5:$J$5,0)),"")</f>
        <v/>
      </c>
    </row>
    <row r="9">
      <c r="A9" s="28" t="n">
        <v>4</v>
      </c>
      <c r="B9" s="33" t="inlineStr">
        <is>
          <t>Perimeter Captain</t>
        </is>
      </c>
      <c r="C9" s="33" t="inlineStr">
        <is>
          <t>Perimeter Captain</t>
        </is>
      </c>
      <c r="D9" s="33" t="inlineStr">
        <is>
          <t>Perimeter Captain</t>
        </is>
      </c>
      <c r="E9" s="33" t="inlineStr">
        <is>
          <t>Perimeter Captain</t>
        </is>
      </c>
      <c r="F9" s="33" t="inlineStr">
        <is>
          <t>Perimeter Captain</t>
        </is>
      </c>
      <c r="G9" s="33" t="inlineStr">
        <is>
          <t>Perimeter Captain</t>
        </is>
      </c>
      <c r="H9" s="33" t="inlineStr">
        <is>
          <t>Perimeter Captain</t>
        </is>
      </c>
      <c r="I9" s="33" t="inlineStr">
        <is>
          <t>Perimeter Captain</t>
        </is>
      </c>
      <c r="J9" s="33" t="inlineStr">
        <is>
          <t>Perimeter Captain</t>
        </is>
      </c>
      <c r="K9" s="30" t="inlineStr">
        <is>
          <t>Fun Max</t>
        </is>
      </c>
      <c r="L9" s="31">
        <f>INDEX(B9:J9,MATCH(K9,$B$5:$J$5,0))</f>
        <v/>
      </c>
      <c r="M9" s="22">
        <f>IFERROR(VLOOKUP(L9,Prices!$A:$B,2,FALSE),0)</f>
        <v/>
      </c>
      <c r="N9" s="32">
        <f>IFERROR(INDEX('_why_4c'!$B5:$J5,MATCH(K9,$B$5:$J$5,0)),"")</f>
        <v/>
      </c>
    </row>
    <row r="10">
      <c r="A10" s="28" t="n">
        <v>5</v>
      </c>
      <c r="B10" s="13" t="inlineStr">
        <is>
          <t>Shield Sphere</t>
        </is>
      </c>
      <c r="C10" s="13" t="inlineStr">
        <is>
          <t>Shield Sphere</t>
        </is>
      </c>
      <c r="D10" s="13" t="inlineStr">
        <is>
          <t>Shield Sphere</t>
        </is>
      </c>
      <c r="E10" s="13" t="inlineStr">
        <is>
          <t>Shield Sphere</t>
        </is>
      </c>
      <c r="F10" s="13" t="inlineStr">
        <is>
          <t>Shield Sphere</t>
        </is>
      </c>
      <c r="G10" s="13" t="inlineStr">
        <is>
          <t>Shield Sphere</t>
        </is>
      </c>
      <c r="H10" s="13" t="inlineStr">
        <is>
          <t>Shield Sphere</t>
        </is>
      </c>
      <c r="I10" s="13" t="inlineStr">
        <is>
          <t>Shield Sphere</t>
        </is>
      </c>
      <c r="J10" s="13" t="inlineStr">
        <is>
          <t>Shield Sphere</t>
        </is>
      </c>
      <c r="K10" s="30" t="inlineStr">
        <is>
          <t>Fun Max</t>
        </is>
      </c>
      <c r="L10" s="31">
        <f>INDEX(B10:J10,MATCH(K10,$B$5:$J$5,0))</f>
        <v/>
      </c>
      <c r="M10" s="22">
        <f>IFERROR(VLOOKUP(L10,Prices!$A:$B,2,FALSE),0)</f>
        <v/>
      </c>
      <c r="N10" s="32">
        <f>IFERROR(INDEX('_why_4c'!$B6:$J6,MATCH(K10,$B$5:$J$5,0)),"")</f>
        <v/>
      </c>
    </row>
    <row r="11">
      <c r="A11" s="28" t="n">
        <v>6</v>
      </c>
      <c r="B11" s="33" t="inlineStr">
        <is>
          <t>Steel Wall</t>
        </is>
      </c>
      <c r="C11" s="33" t="inlineStr">
        <is>
          <t>Steel Wall</t>
        </is>
      </c>
      <c r="D11" s="33" t="inlineStr">
        <is>
          <t>Steel Wall</t>
        </is>
      </c>
      <c r="E11" s="33" t="inlineStr">
        <is>
          <t>Steel Wall</t>
        </is>
      </c>
      <c r="F11" s="33" t="inlineStr">
        <is>
          <t>Steel Wall</t>
        </is>
      </c>
      <c r="G11" s="33" t="inlineStr">
        <is>
          <t>Steel Wall</t>
        </is>
      </c>
      <c r="H11" s="33" t="inlineStr">
        <is>
          <t>Steel Wall</t>
        </is>
      </c>
      <c r="I11" s="33" t="inlineStr">
        <is>
          <t>Steel Wall</t>
        </is>
      </c>
      <c r="J11" s="33" t="inlineStr">
        <is>
          <t>Steel Wall</t>
        </is>
      </c>
      <c r="K11" s="30" t="inlineStr">
        <is>
          <t>Fun Max</t>
        </is>
      </c>
      <c r="L11" s="31">
        <f>INDEX(B11:J11,MATCH(K11,$B$5:$J$5,0))</f>
        <v/>
      </c>
      <c r="M11" s="22">
        <f>IFERROR(VLOOKUP(L11,Prices!$A:$B,2,FALSE),0)</f>
        <v/>
      </c>
      <c r="N11" s="32">
        <f>IFERROR(INDEX('_why_4c'!$B7:$J7,MATCH(K11,$B$5:$J$5,0)),"")</f>
        <v/>
      </c>
    </row>
    <row r="12">
      <c r="A12" s="28" t="n">
        <v>7</v>
      </c>
      <c r="B12" s="13" t="inlineStr">
        <is>
          <t>Wall of Frost</t>
        </is>
      </c>
      <c r="C12" s="13" t="inlineStr">
        <is>
          <t>Wall of Frost</t>
        </is>
      </c>
      <c r="D12" s="13" t="inlineStr">
        <is>
          <t>Wall of Frost</t>
        </is>
      </c>
      <c r="E12" s="13" t="inlineStr">
        <is>
          <t>Wall of Frost</t>
        </is>
      </c>
      <c r="F12" s="29" t="inlineStr">
        <is>
          <t>Aesi, Tyrant of Gyre Strait</t>
        </is>
      </c>
      <c r="G12" s="29" t="inlineStr">
        <is>
          <t>Aesi, Tyrant of Gyre Strait</t>
        </is>
      </c>
      <c r="H12" s="29" t="inlineStr">
        <is>
          <t>Aesi, Tyrant of Gyre Strait</t>
        </is>
      </c>
      <c r="I12" s="13" t="inlineStr">
        <is>
          <t>Wall of Frost</t>
        </is>
      </c>
      <c r="J12" s="13" t="inlineStr">
        <is>
          <t>Wall of Frost</t>
        </is>
      </c>
      <c r="K12" s="30" t="inlineStr">
        <is>
          <t>Fun Max</t>
        </is>
      </c>
      <c r="L12" s="31">
        <f>INDEX(B12:J12,MATCH(K12,$B$5:$J$5,0))</f>
        <v/>
      </c>
      <c r="M12" s="22">
        <f>IFERROR(VLOOKUP(L12,Prices!$A:$B,2,FALSE),0)</f>
        <v/>
      </c>
      <c r="N12" s="32">
        <f>IFERROR(INDEX('_why_4c'!$B8:$J8,MATCH(K12,$B$5:$J$5,0)),"")</f>
        <v/>
      </c>
    </row>
    <row r="13">
      <c r="A13" s="28" t="n">
        <v>8</v>
      </c>
      <c r="B13" s="33" t="inlineStr">
        <is>
          <t>Glacial Wall</t>
        </is>
      </c>
      <c r="C13" s="33" t="inlineStr">
        <is>
          <t>Glacial Wall</t>
        </is>
      </c>
      <c r="D13" s="33" t="inlineStr">
        <is>
          <t>Glacial Wall</t>
        </is>
      </c>
      <c r="E13" s="33" t="inlineStr">
        <is>
          <t>Glacial Wall</t>
        </is>
      </c>
      <c r="F13" s="34" t="inlineStr">
        <is>
          <t>Kruphix, God of Horizons</t>
        </is>
      </c>
      <c r="G13" s="34" t="inlineStr">
        <is>
          <t>Kruphix, God of Horizons</t>
        </is>
      </c>
      <c r="H13" s="34" t="inlineStr">
        <is>
          <t>Kruphix, God of Horizons</t>
        </is>
      </c>
      <c r="I13" s="33" t="inlineStr">
        <is>
          <t>Glacial Wall</t>
        </is>
      </c>
      <c r="J13" s="33" t="inlineStr">
        <is>
          <t>Glacial Wall</t>
        </is>
      </c>
      <c r="K13" s="30" t="inlineStr">
        <is>
          <t>Fun Max</t>
        </is>
      </c>
      <c r="L13" s="31">
        <f>INDEX(B13:J13,MATCH(K13,$B$5:$J$5,0))</f>
        <v/>
      </c>
      <c r="M13" s="22">
        <f>IFERROR(VLOOKUP(L13,Prices!$A:$B,2,FALSE),0)</f>
        <v/>
      </c>
      <c r="N13" s="32">
        <f>IFERROR(INDEX('_why_4c'!$B9:$J9,MATCH(K13,$B$5:$J$5,0)),"")</f>
        <v/>
      </c>
    </row>
    <row r="14">
      <c r="A14" s="28" t="n">
        <v>9</v>
      </c>
      <c r="B14" s="13" t="inlineStr">
        <is>
          <t>Overgrown Battlement</t>
        </is>
      </c>
      <c r="C14" s="13" t="inlineStr">
        <is>
          <t>Overgrown Battlement</t>
        </is>
      </c>
      <c r="D14" s="13" t="inlineStr">
        <is>
          <t>Overgrown Battlement</t>
        </is>
      </c>
      <c r="E14" s="13" t="inlineStr">
        <is>
          <t>Overgrown Battlement</t>
        </is>
      </c>
      <c r="F14" s="13" t="inlineStr">
        <is>
          <t>Overgrown Battlement</t>
        </is>
      </c>
      <c r="G14" s="13" t="inlineStr">
        <is>
          <t>Overgrown Battlement</t>
        </is>
      </c>
      <c r="H14" s="13" t="inlineStr">
        <is>
          <t>Overgrown Battlement</t>
        </is>
      </c>
      <c r="I14" s="13" t="inlineStr">
        <is>
          <t>Overgrown Battlement</t>
        </is>
      </c>
      <c r="J14" s="13" t="inlineStr">
        <is>
          <t>Overgrown Battlement</t>
        </is>
      </c>
      <c r="K14" s="30" t="inlineStr">
        <is>
          <t>Fun Max</t>
        </is>
      </c>
      <c r="L14" s="31">
        <f>INDEX(B14:J14,MATCH(K14,$B$5:$J$5,0))</f>
        <v/>
      </c>
      <c r="M14" s="22">
        <f>IFERROR(VLOOKUP(L14,Prices!$A:$B,2,FALSE),0)</f>
        <v/>
      </c>
      <c r="N14" s="32">
        <f>IFERROR(INDEX('_why_4c'!$B10:$J10,MATCH(K14,$B$5:$J$5,0)),"")</f>
        <v/>
      </c>
    </row>
    <row r="15">
      <c r="A15" s="28" t="n">
        <v>10</v>
      </c>
      <c r="B15" s="33" t="inlineStr">
        <is>
          <t>Vine Trellis</t>
        </is>
      </c>
      <c r="C15" s="33" t="inlineStr">
        <is>
          <t>Vine Trellis</t>
        </is>
      </c>
      <c r="D15" s="33" t="inlineStr">
        <is>
          <t>Vine Trellis</t>
        </is>
      </c>
      <c r="E15" s="33" t="inlineStr">
        <is>
          <t>Vine Trellis</t>
        </is>
      </c>
      <c r="F15" s="33" t="inlineStr">
        <is>
          <t>Vine Trellis</t>
        </is>
      </c>
      <c r="G15" s="33" t="inlineStr">
        <is>
          <t>Vine Trellis</t>
        </is>
      </c>
      <c r="H15" s="33" t="inlineStr">
        <is>
          <t>Vine Trellis</t>
        </is>
      </c>
      <c r="I15" s="33" t="inlineStr">
        <is>
          <t>Vine Trellis</t>
        </is>
      </c>
      <c r="J15" s="33" t="inlineStr">
        <is>
          <t>Vine Trellis</t>
        </is>
      </c>
      <c r="K15" s="30" t="inlineStr">
        <is>
          <t>Fun Max</t>
        </is>
      </c>
      <c r="L15" s="31">
        <f>INDEX(B15:J15,MATCH(K15,$B$5:$J$5,0))</f>
        <v/>
      </c>
      <c r="M15" s="22">
        <f>IFERROR(VLOOKUP(L15,Prices!$A:$B,2,FALSE),0)</f>
        <v/>
      </c>
      <c r="N15" s="32">
        <f>IFERROR(INDEX('_why_4c'!$B11:$J11,MATCH(K15,$B$5:$J$5,0)),"")</f>
        <v/>
      </c>
    </row>
    <row r="16">
      <c r="A16" s="28" t="n">
        <v>11</v>
      </c>
      <c r="B16" s="13" t="inlineStr">
        <is>
          <t>Wall of Tanglecord</t>
        </is>
      </c>
      <c r="C16" s="13" t="inlineStr">
        <is>
          <t>Wall of Tanglecord</t>
        </is>
      </c>
      <c r="D16" s="13" t="inlineStr">
        <is>
          <t>Wall of Tanglecord</t>
        </is>
      </c>
      <c r="E16" s="13" t="inlineStr">
        <is>
          <t>Wall of Tanglecord</t>
        </is>
      </c>
      <c r="F16" s="13" t="inlineStr">
        <is>
          <t>Wall of Tanglecord</t>
        </is>
      </c>
      <c r="G16" s="13" t="inlineStr">
        <is>
          <t>Wall of Tanglecord</t>
        </is>
      </c>
      <c r="H16" s="13" t="inlineStr">
        <is>
          <t>Wall of Tanglecord</t>
        </is>
      </c>
      <c r="I16" s="13" t="inlineStr">
        <is>
          <t>Wall of Tanglecord</t>
        </is>
      </c>
      <c r="J16" s="13" t="inlineStr">
        <is>
          <t>Wall of Tanglecord</t>
        </is>
      </c>
      <c r="K16" s="30" t="inlineStr">
        <is>
          <t>Fun Max</t>
        </is>
      </c>
      <c r="L16" s="31">
        <f>INDEX(B16:J16,MATCH(K16,$B$5:$J$5,0))</f>
        <v/>
      </c>
      <c r="M16" s="22">
        <f>IFERROR(VLOOKUP(L16,Prices!$A:$B,2,FALSE),0)</f>
        <v/>
      </c>
      <c r="N16" s="32">
        <f>IFERROR(INDEX('_why_4c'!$B12:$J12,MATCH(K16,$B$5:$J$5,0)),"")</f>
        <v/>
      </c>
    </row>
    <row r="17">
      <c r="A17" s="28" t="n">
        <v>12</v>
      </c>
      <c r="B17" s="33" t="inlineStr">
        <is>
          <t>Wall of Kelp</t>
        </is>
      </c>
      <c r="C17" s="33" t="inlineStr">
        <is>
          <t>Wall of Kelp</t>
        </is>
      </c>
      <c r="D17" s="33" t="inlineStr">
        <is>
          <t>Wall of Kelp</t>
        </is>
      </c>
      <c r="E17" s="33" t="inlineStr">
        <is>
          <t>Wall of Kelp</t>
        </is>
      </c>
      <c r="F17" s="33" t="inlineStr">
        <is>
          <t>Wall of Kelp</t>
        </is>
      </c>
      <c r="G17" s="33" t="inlineStr">
        <is>
          <t>Wall of Kelp</t>
        </is>
      </c>
      <c r="H17" s="33" t="inlineStr">
        <is>
          <t>Wall of Kelp</t>
        </is>
      </c>
      <c r="I17" s="33" t="inlineStr">
        <is>
          <t>Wall of Kelp</t>
        </is>
      </c>
      <c r="J17" s="33" t="inlineStr">
        <is>
          <t>Wall of Kelp</t>
        </is>
      </c>
      <c r="K17" s="30" t="inlineStr">
        <is>
          <t>Fun Max</t>
        </is>
      </c>
      <c r="L17" s="31">
        <f>INDEX(B17:J17,MATCH(K17,$B$5:$J$5,0))</f>
        <v/>
      </c>
      <c r="M17" s="22">
        <f>IFERROR(VLOOKUP(L17,Prices!$A:$B,2,FALSE),0)</f>
        <v/>
      </c>
      <c r="N17" s="32">
        <f>IFERROR(INDEX('_why_4c'!$B13:$J13,MATCH(K17,$B$5:$J$5,0)),"")</f>
        <v/>
      </c>
    </row>
    <row r="18">
      <c r="A18" s="28" t="n">
        <v>13</v>
      </c>
      <c r="B18" s="13" t="inlineStr">
        <is>
          <t>Colossus of Akros</t>
        </is>
      </c>
      <c r="C18" s="29" t="inlineStr">
        <is>
          <t>Wall of Omens</t>
        </is>
      </c>
      <c r="D18" s="29" t="inlineStr">
        <is>
          <t>Wall of Omens</t>
        </is>
      </c>
      <c r="E18" s="29" t="inlineStr">
        <is>
          <t>Wall of Omens</t>
        </is>
      </c>
      <c r="F18" s="29" t="inlineStr">
        <is>
          <t>Karmic Guide</t>
        </is>
      </c>
      <c r="G18" s="29" t="inlineStr">
        <is>
          <t>Karmic Guide</t>
        </is>
      </c>
      <c r="H18" s="29" t="inlineStr">
        <is>
          <t>Karmic Guide</t>
        </is>
      </c>
      <c r="I18" s="29" t="inlineStr">
        <is>
          <t>Venat, Heart of Hydaelyn // Hydaelyn, the Mothercrystal</t>
        </is>
      </c>
      <c r="J18" s="29" t="inlineStr">
        <is>
          <t>Collective Resistance</t>
        </is>
      </c>
      <c r="K18" s="30" t="inlineStr">
        <is>
          <t>Fun Max</t>
        </is>
      </c>
      <c r="L18" s="31">
        <f>INDEX(B18:J18,MATCH(K18,$B$5:$J$5,0))</f>
        <v/>
      </c>
      <c r="M18" s="22">
        <f>IFERROR(VLOOKUP(L18,Prices!$A:$B,2,FALSE),0)</f>
        <v/>
      </c>
      <c r="N18" s="32">
        <f>IFERROR(INDEX('_why_4c'!$B14:$J14,MATCH(K18,$B$5:$J$5,0)),"")</f>
        <v/>
      </c>
    </row>
    <row r="19">
      <c r="A19" s="28" t="n">
        <v>14</v>
      </c>
      <c r="B19" s="33" t="inlineStr">
        <is>
          <t>Tetsuko Umezawa, Fugitive</t>
        </is>
      </c>
      <c r="C19" s="33" t="inlineStr">
        <is>
          <t>Tetsuko Umezawa, Fugitive</t>
        </is>
      </c>
      <c r="D19" s="33" t="inlineStr">
        <is>
          <t>Tetsuko Umezawa, Fugitive</t>
        </is>
      </c>
      <c r="E19" s="33" t="inlineStr">
        <is>
          <t>Tetsuko Umezawa, Fugitive</t>
        </is>
      </c>
      <c r="F19" s="33" t="inlineStr">
        <is>
          <t>Tetsuko Umezawa, Fugitive</t>
        </is>
      </c>
      <c r="G19" s="33" t="inlineStr">
        <is>
          <t>Tetsuko Umezawa, Fugitive</t>
        </is>
      </c>
      <c r="H19" s="33" t="inlineStr">
        <is>
          <t>Tetsuko Umezawa, Fugitive</t>
        </is>
      </c>
      <c r="I19" s="33" t="inlineStr">
        <is>
          <t>Tetsuko Umezawa, Fugitive</t>
        </is>
      </c>
      <c r="J19" s="33" t="inlineStr">
        <is>
          <t>Tetsuko Umezawa, Fugitive</t>
        </is>
      </c>
      <c r="K19" s="30" t="inlineStr">
        <is>
          <t>Fun Max</t>
        </is>
      </c>
      <c r="L19" s="31">
        <f>INDEX(B19:J19,MATCH(K19,$B$5:$J$5,0))</f>
        <v/>
      </c>
      <c r="M19" s="22">
        <f>IFERROR(VLOOKUP(L19,Prices!$A:$B,2,FALSE),0)</f>
        <v/>
      </c>
      <c r="N19" s="32">
        <f>IFERROR(INDEX('_why_4c'!$B15:$J15,MATCH(K19,$B$5:$J$5,0)),"")</f>
        <v/>
      </c>
    </row>
    <row r="20">
      <c r="A20" s="28" t="n">
        <v>15</v>
      </c>
      <c r="B20" s="13" t="inlineStr">
        <is>
          <t>Huatli, the Sun's Heart</t>
        </is>
      </c>
      <c r="C20" s="13" t="inlineStr">
        <is>
          <t>Huatli, the Sun's Heart</t>
        </is>
      </c>
      <c r="D20" s="13" t="inlineStr">
        <is>
          <t>Huatli, the Sun's Heart</t>
        </is>
      </c>
      <c r="E20" s="13" t="inlineStr">
        <is>
          <t>Huatli, the Sun's Heart</t>
        </is>
      </c>
      <c r="F20" s="13" t="inlineStr">
        <is>
          <t>Huatli, the Sun's Heart</t>
        </is>
      </c>
      <c r="G20" s="13" t="inlineStr">
        <is>
          <t>Huatli, the Sun's Heart</t>
        </is>
      </c>
      <c r="H20" s="13" t="inlineStr">
        <is>
          <t>Huatli, the Sun's Heart</t>
        </is>
      </c>
      <c r="I20" s="13" t="inlineStr">
        <is>
          <t>Huatli, the Sun's Heart</t>
        </is>
      </c>
      <c r="J20" s="13" t="inlineStr">
        <is>
          <t>Huatli, the Sun's Heart</t>
        </is>
      </c>
      <c r="K20" s="30" t="inlineStr">
        <is>
          <t>Fun Max</t>
        </is>
      </c>
      <c r="L20" s="31">
        <f>INDEX(B20:J20,MATCH(K20,$B$5:$J$5,0))</f>
        <v/>
      </c>
      <c r="M20" s="22">
        <f>IFERROR(VLOOKUP(L20,Prices!$A:$B,2,FALSE),0)</f>
        <v/>
      </c>
      <c r="N20" s="32">
        <f>IFERROR(INDEX('_why_4c'!$B16:$J16,MATCH(K20,$B$5:$J$5,0)),"")</f>
        <v/>
      </c>
    </row>
    <row r="21">
      <c r="A21" s="28" t="n">
        <v>16</v>
      </c>
      <c r="B21" s="33" t="inlineStr">
        <is>
          <t>Rolling Stones</t>
        </is>
      </c>
      <c r="C21" s="33" t="inlineStr">
        <is>
          <t>Rolling Stones</t>
        </is>
      </c>
      <c r="D21" s="33" t="inlineStr">
        <is>
          <t>Rolling Stones</t>
        </is>
      </c>
      <c r="E21" s="33" t="inlineStr">
        <is>
          <t>Rolling Stones</t>
        </is>
      </c>
      <c r="F21" s="33" t="inlineStr">
        <is>
          <t>Rolling Stones</t>
        </is>
      </c>
      <c r="G21" s="33" t="inlineStr">
        <is>
          <t>Rolling Stones</t>
        </is>
      </c>
      <c r="H21" s="33" t="inlineStr">
        <is>
          <t>Rolling Stones</t>
        </is>
      </c>
      <c r="I21" s="33" t="inlineStr">
        <is>
          <t>Rolling Stones</t>
        </is>
      </c>
      <c r="J21" s="33" t="inlineStr">
        <is>
          <t>Rolling Stones</t>
        </is>
      </c>
      <c r="K21" s="30" t="inlineStr">
        <is>
          <t>Fun Max</t>
        </is>
      </c>
      <c r="L21" s="31">
        <f>INDEX(B21:J21,MATCH(K21,$B$5:$J$5,0))</f>
        <v/>
      </c>
      <c r="M21" s="22">
        <f>IFERROR(VLOOKUP(L21,Prices!$A:$B,2,FALSE),0)</f>
        <v/>
      </c>
      <c r="N21" s="32">
        <f>IFERROR(INDEX('_why_4c'!$B17:$J17,MATCH(K21,$B$5:$J$5,0)),"")</f>
        <v/>
      </c>
    </row>
    <row r="22">
      <c r="A22" s="28" t="n">
        <v>17</v>
      </c>
      <c r="B22" s="13" t="inlineStr">
        <is>
          <t>Wakestone Gargoyle</t>
        </is>
      </c>
      <c r="C22" s="13" t="inlineStr">
        <is>
          <t>Wakestone Gargoyle</t>
        </is>
      </c>
      <c r="D22" s="13" t="inlineStr">
        <is>
          <t>Wakestone Gargoyle</t>
        </is>
      </c>
      <c r="E22" s="13" t="inlineStr">
        <is>
          <t>Wakestone Gargoyle</t>
        </is>
      </c>
      <c r="F22" s="13" t="inlineStr">
        <is>
          <t>Wakestone Gargoyle</t>
        </is>
      </c>
      <c r="G22" s="13" t="inlineStr">
        <is>
          <t>Wakestone Gargoyle</t>
        </is>
      </c>
      <c r="H22" s="13" t="inlineStr">
        <is>
          <t>Wakestone Gargoyle</t>
        </is>
      </c>
      <c r="I22" s="13" t="inlineStr">
        <is>
          <t>Wakestone Gargoyle</t>
        </is>
      </c>
      <c r="J22" s="13" t="inlineStr">
        <is>
          <t>Wakestone Gargoyle</t>
        </is>
      </c>
      <c r="K22" s="30" t="inlineStr">
        <is>
          <t>Fun Max</t>
        </is>
      </c>
      <c r="L22" s="31">
        <f>INDEX(B22:J22,MATCH(K22,$B$5:$J$5,0))</f>
        <v/>
      </c>
      <c r="M22" s="22">
        <f>IFERROR(VLOOKUP(L22,Prices!$A:$B,2,FALSE),0)</f>
        <v/>
      </c>
      <c r="N22" s="32">
        <f>IFERROR(INDEX('_why_4c'!$B18:$J18,MATCH(K22,$B$5:$J$5,0)),"")</f>
        <v/>
      </c>
    </row>
    <row r="23">
      <c r="A23" s="28" t="n">
        <v>18</v>
      </c>
      <c r="B23" s="33" t="inlineStr">
        <is>
          <t>Wall of Resurgence</t>
        </is>
      </c>
      <c r="C23" s="33" t="inlineStr">
        <is>
          <t>Wall of Resurgence</t>
        </is>
      </c>
      <c r="D23" s="33" t="inlineStr">
        <is>
          <t>Wall of Resurgence</t>
        </is>
      </c>
      <c r="E23" s="33" t="inlineStr">
        <is>
          <t>Wall of Resurgence</t>
        </is>
      </c>
      <c r="F23" s="33" t="inlineStr">
        <is>
          <t>Wall of Resurgence</t>
        </is>
      </c>
      <c r="G23" s="33" t="inlineStr">
        <is>
          <t>Wall of Resurgence</t>
        </is>
      </c>
      <c r="H23" s="33" t="inlineStr">
        <is>
          <t>Wall of Resurgence</t>
        </is>
      </c>
      <c r="I23" s="33" t="inlineStr">
        <is>
          <t>Wall of Resurgence</t>
        </is>
      </c>
      <c r="J23" s="33" t="inlineStr">
        <is>
          <t>Wall of Resurgence</t>
        </is>
      </c>
      <c r="K23" s="30" t="inlineStr">
        <is>
          <t>Fun Max</t>
        </is>
      </c>
      <c r="L23" s="31">
        <f>INDEX(B23:J23,MATCH(K23,$B$5:$J$5,0))</f>
        <v/>
      </c>
      <c r="M23" s="22">
        <f>IFERROR(VLOOKUP(L23,Prices!$A:$B,2,FALSE),0)</f>
        <v/>
      </c>
      <c r="N23" s="32">
        <f>IFERROR(INDEX('_why_4c'!$B19:$J19,MATCH(K23,$B$5:$J$5,0)),"")</f>
        <v/>
      </c>
    </row>
    <row r="24">
      <c r="A24" s="28" t="n">
        <v>19</v>
      </c>
      <c r="B24" s="13" t="inlineStr">
        <is>
          <t>Slagwurm Armor</t>
        </is>
      </c>
      <c r="C24" s="13" t="inlineStr">
        <is>
          <t>Slagwurm Armor</t>
        </is>
      </c>
      <c r="D24" s="13" t="inlineStr">
        <is>
          <t>Slagwurm Armor</t>
        </is>
      </c>
      <c r="E24" s="13" t="inlineStr">
        <is>
          <t>Slagwurm Armor</t>
        </is>
      </c>
      <c r="F24" s="13" t="inlineStr">
        <is>
          <t>Slagwurm Armor</t>
        </is>
      </c>
      <c r="G24" s="13" t="inlineStr">
        <is>
          <t>Slagwurm Armor</t>
        </is>
      </c>
      <c r="H24" s="13" t="inlineStr">
        <is>
          <t>Slagwurm Armor</t>
        </is>
      </c>
      <c r="I24" s="13" t="inlineStr">
        <is>
          <t>Slagwurm Armor</t>
        </is>
      </c>
      <c r="J24" s="13" t="inlineStr">
        <is>
          <t>Slagwurm Armor</t>
        </is>
      </c>
      <c r="K24" s="30" t="inlineStr">
        <is>
          <t>Fun Max</t>
        </is>
      </c>
      <c r="L24" s="31">
        <f>INDEX(B24:J24,MATCH(K24,$B$5:$J$5,0))</f>
        <v/>
      </c>
      <c r="M24" s="22">
        <f>IFERROR(VLOOKUP(L24,Prices!$A:$B,2,FALSE),0)</f>
        <v/>
      </c>
      <c r="N24" s="32">
        <f>IFERROR(INDEX('_why_4c'!$B20:$J20,MATCH(K24,$B$5:$J$5,0)),"")</f>
        <v/>
      </c>
    </row>
    <row r="25">
      <c r="A25" s="28" t="n">
        <v>20</v>
      </c>
      <c r="B25" s="33" t="inlineStr">
        <is>
          <t>Sol Ring</t>
        </is>
      </c>
      <c r="C25" s="33" t="inlineStr">
        <is>
          <t>Sol Ring</t>
        </is>
      </c>
      <c r="D25" s="33" t="inlineStr">
        <is>
          <t>Sol Ring</t>
        </is>
      </c>
      <c r="E25" s="33" t="inlineStr">
        <is>
          <t>Sol Ring</t>
        </is>
      </c>
      <c r="F25" s="33" t="inlineStr">
        <is>
          <t>Sol Ring</t>
        </is>
      </c>
      <c r="G25" s="33" t="inlineStr">
        <is>
          <t>Sol Ring</t>
        </is>
      </c>
      <c r="H25" s="33" t="inlineStr">
        <is>
          <t>Sol Ring</t>
        </is>
      </c>
      <c r="I25" s="33" t="inlineStr">
        <is>
          <t>Sol Ring</t>
        </is>
      </c>
      <c r="J25" s="33" t="inlineStr">
        <is>
          <t>Sol Ring</t>
        </is>
      </c>
      <c r="K25" s="30" t="inlineStr">
        <is>
          <t>Fun Max</t>
        </is>
      </c>
      <c r="L25" s="31">
        <f>INDEX(B25:J25,MATCH(K25,$B$5:$J$5,0))</f>
        <v/>
      </c>
      <c r="M25" s="22">
        <f>IFERROR(VLOOKUP(L25,Prices!$A:$B,2,FALSE),0)</f>
        <v/>
      </c>
      <c r="N25" s="32">
        <f>IFERROR(INDEX('_why_4c'!$B21:$J21,MATCH(K25,$B$5:$J$5,0)),"")</f>
        <v/>
      </c>
    </row>
    <row r="26">
      <c r="A26" s="28" t="n">
        <v>21</v>
      </c>
      <c r="B26" s="13" t="inlineStr">
        <is>
          <t>Arcane Signet</t>
        </is>
      </c>
      <c r="C26" s="29" t="inlineStr">
        <is>
          <t>Wall of Blossoms</t>
        </is>
      </c>
      <c r="D26" s="29" t="inlineStr">
        <is>
          <t>Wall of Blossoms</t>
        </is>
      </c>
      <c r="E26" s="29" t="inlineStr">
        <is>
          <t>Wall of Blossoms</t>
        </is>
      </c>
      <c r="F26" s="29" t="inlineStr">
        <is>
          <t>Wall of Omens</t>
        </is>
      </c>
      <c r="G26" s="29" t="inlineStr">
        <is>
          <t>Wall of Omens</t>
        </is>
      </c>
      <c r="H26" s="29" t="inlineStr">
        <is>
          <t>Wall of Omens</t>
        </is>
      </c>
      <c r="I26" s="29" t="inlineStr">
        <is>
          <t>Cryptic Command</t>
        </is>
      </c>
      <c r="J26" s="29" t="inlineStr">
        <is>
          <t>Simic Charm</t>
        </is>
      </c>
      <c r="K26" s="30" t="inlineStr">
        <is>
          <t>Fun Max</t>
        </is>
      </c>
      <c r="L26" s="31">
        <f>INDEX(B26:J26,MATCH(K26,$B$5:$J$5,0))</f>
        <v/>
      </c>
      <c r="M26" s="22">
        <f>IFERROR(VLOOKUP(L26,Prices!$A:$B,2,FALSE),0)</f>
        <v/>
      </c>
      <c r="N26" s="32">
        <f>IFERROR(INDEX('_why_4c'!$B22:$J22,MATCH(K26,$B$5:$J$5,0)),"")</f>
        <v/>
      </c>
    </row>
    <row r="27">
      <c r="A27" s="28" t="n">
        <v>22</v>
      </c>
      <c r="B27" s="33" t="inlineStr">
        <is>
          <t>Talisman of Progress</t>
        </is>
      </c>
      <c r="C27" s="33" t="inlineStr">
        <is>
          <t>Talisman of Progress</t>
        </is>
      </c>
      <c r="D27" s="33" t="inlineStr">
        <is>
          <t>Talisman of Progress</t>
        </is>
      </c>
      <c r="E27" s="33" t="inlineStr">
        <is>
          <t>Talisman of Progress</t>
        </is>
      </c>
      <c r="F27" s="33" t="inlineStr">
        <is>
          <t>Talisman of Progress</t>
        </is>
      </c>
      <c r="G27" s="33" t="inlineStr">
        <is>
          <t>Talisman of Progress</t>
        </is>
      </c>
      <c r="H27" s="33" t="inlineStr">
        <is>
          <t>Talisman of Progress</t>
        </is>
      </c>
      <c r="I27" s="33" t="inlineStr">
        <is>
          <t>Talisman of Progress</t>
        </is>
      </c>
      <c r="J27" s="33" t="inlineStr">
        <is>
          <t>Talisman of Progress</t>
        </is>
      </c>
      <c r="K27" s="30" t="inlineStr">
        <is>
          <t>Fun Max</t>
        </is>
      </c>
      <c r="L27" s="31">
        <f>INDEX(B27:J27,MATCH(K27,$B$5:$J$5,0))</f>
        <v/>
      </c>
      <c r="M27" s="22">
        <f>IFERROR(VLOOKUP(L27,Prices!$A:$B,2,FALSE),0)</f>
        <v/>
      </c>
      <c r="N27" s="32">
        <f>IFERROR(INDEX('_why_4c'!$B23:$J23,MATCH(K27,$B$5:$J$5,0)),"")</f>
        <v/>
      </c>
    </row>
    <row r="28">
      <c r="A28" s="28" t="n">
        <v>23</v>
      </c>
      <c r="B28" s="13" t="inlineStr">
        <is>
          <t>Fellwar Stone</t>
        </is>
      </c>
      <c r="C28" s="13" t="inlineStr">
        <is>
          <t>Fellwar Stone</t>
        </is>
      </c>
      <c r="D28" s="13" t="inlineStr">
        <is>
          <t>Fellwar Stone</t>
        </is>
      </c>
      <c r="E28" s="13" t="inlineStr">
        <is>
          <t>Fellwar Stone</t>
        </is>
      </c>
      <c r="F28" s="13" t="inlineStr">
        <is>
          <t>Fellwar Stone</t>
        </is>
      </c>
      <c r="G28" s="13" t="inlineStr">
        <is>
          <t>Fellwar Stone</t>
        </is>
      </c>
      <c r="H28" s="13" t="inlineStr">
        <is>
          <t>Fellwar Stone</t>
        </is>
      </c>
      <c r="I28" s="13" t="inlineStr">
        <is>
          <t>Fellwar Stone</t>
        </is>
      </c>
      <c r="J28" s="13" t="inlineStr">
        <is>
          <t>Fellwar Stone</t>
        </is>
      </c>
      <c r="K28" s="30" t="inlineStr">
        <is>
          <t>Fun Max</t>
        </is>
      </c>
      <c r="L28" s="31">
        <f>INDEX(B28:J28,MATCH(K28,$B$5:$J$5,0))</f>
        <v/>
      </c>
      <c r="M28" s="22">
        <f>IFERROR(VLOOKUP(L28,Prices!$A:$B,2,FALSE),0)</f>
        <v/>
      </c>
      <c r="N28" s="32">
        <f>IFERROR(INDEX('_why_4c'!$B24:$J24,MATCH(K28,$B$5:$J$5,0)),"")</f>
        <v/>
      </c>
    </row>
    <row r="29">
      <c r="A29" s="28" t="n">
        <v>24</v>
      </c>
      <c r="B29" s="33" t="inlineStr">
        <is>
          <t>Farseek</t>
        </is>
      </c>
      <c r="C29" s="33" t="inlineStr">
        <is>
          <t>Farseek</t>
        </is>
      </c>
      <c r="D29" s="33" t="inlineStr">
        <is>
          <t>Farseek</t>
        </is>
      </c>
      <c r="E29" s="33" t="inlineStr">
        <is>
          <t>Farseek</t>
        </is>
      </c>
      <c r="F29" s="33" t="inlineStr">
        <is>
          <t>Farseek</t>
        </is>
      </c>
      <c r="G29" s="33" t="inlineStr">
        <is>
          <t>Farseek</t>
        </is>
      </c>
      <c r="H29" s="33" t="inlineStr">
        <is>
          <t>Farseek</t>
        </is>
      </c>
      <c r="I29" s="33" t="inlineStr">
        <is>
          <t>Farseek</t>
        </is>
      </c>
      <c r="J29" s="33" t="inlineStr">
        <is>
          <t>Farseek</t>
        </is>
      </c>
      <c r="K29" s="30" t="inlineStr">
        <is>
          <t>Fun Max</t>
        </is>
      </c>
      <c r="L29" s="31">
        <f>INDEX(B29:J29,MATCH(K29,$B$5:$J$5,0))</f>
        <v/>
      </c>
      <c r="M29" s="22">
        <f>IFERROR(VLOOKUP(L29,Prices!$A:$B,2,FALSE),0)</f>
        <v/>
      </c>
      <c r="N29" s="32">
        <f>IFERROR(INDEX('_why_4c'!$B25:$J25,MATCH(K29,$B$5:$J$5,0)),"")</f>
        <v/>
      </c>
    </row>
    <row r="30">
      <c r="A30" s="28" t="n">
        <v>25</v>
      </c>
      <c r="B30" s="13" t="inlineStr">
        <is>
          <t>Cultivate</t>
        </is>
      </c>
      <c r="C30" s="13" t="inlineStr">
        <is>
          <t>Cultivate</t>
        </is>
      </c>
      <c r="D30" s="29" t="inlineStr">
        <is>
          <t>Axebane Guardian</t>
        </is>
      </c>
      <c r="E30" s="29" t="inlineStr">
        <is>
          <t>Dovin's Veto</t>
        </is>
      </c>
      <c r="F30" s="29" t="inlineStr">
        <is>
          <t>Millikin</t>
        </is>
      </c>
      <c r="G30" s="29" t="inlineStr">
        <is>
          <t>Millikin</t>
        </is>
      </c>
      <c r="H30" s="29" t="inlineStr">
        <is>
          <t>Millikin</t>
        </is>
      </c>
      <c r="I30" s="13" t="inlineStr">
        <is>
          <t>Cultivate</t>
        </is>
      </c>
      <c r="J30" s="29" t="inlineStr">
        <is>
          <t>Wall of Omens</t>
        </is>
      </c>
      <c r="K30" s="30" t="inlineStr">
        <is>
          <t>Fun Max</t>
        </is>
      </c>
      <c r="L30" s="31">
        <f>INDEX(B30:J30,MATCH(K30,$B$5:$J$5,0))</f>
        <v/>
      </c>
      <c r="M30" s="22">
        <f>IFERROR(VLOOKUP(L30,Prices!$A:$B,2,FALSE),0)</f>
        <v/>
      </c>
      <c r="N30" s="32">
        <f>IFERROR(INDEX('_why_4c'!$B26:$J26,MATCH(K30,$B$5:$J$5,0)),"")</f>
        <v/>
      </c>
    </row>
    <row r="31">
      <c r="A31" s="28" t="n">
        <v>26</v>
      </c>
      <c r="B31" s="33" t="inlineStr">
        <is>
          <t>Kodama's Reach</t>
        </is>
      </c>
      <c r="C31" s="33" t="inlineStr">
        <is>
          <t>Kodama's Reach</t>
        </is>
      </c>
      <c r="D31" s="33" t="inlineStr">
        <is>
          <t>Kodama's Reach</t>
        </is>
      </c>
      <c r="E31" s="33" t="inlineStr">
        <is>
          <t>Kodama's Reach</t>
        </is>
      </c>
      <c r="F31" s="33" t="inlineStr">
        <is>
          <t>Kodama's Reach</t>
        </is>
      </c>
      <c r="G31" s="33" t="inlineStr">
        <is>
          <t>Kodama's Reach</t>
        </is>
      </c>
      <c r="H31" s="33" t="inlineStr">
        <is>
          <t>Kodama's Reach</t>
        </is>
      </c>
      <c r="I31" s="33" t="inlineStr">
        <is>
          <t>Kodama's Reach</t>
        </is>
      </c>
      <c r="J31" s="33" t="inlineStr">
        <is>
          <t>Kodama's Reach</t>
        </is>
      </c>
      <c r="K31" s="30" t="inlineStr">
        <is>
          <t>Fun Max</t>
        </is>
      </c>
      <c r="L31" s="31">
        <f>INDEX(B31:J31,MATCH(K31,$B$5:$J$5,0))</f>
        <v/>
      </c>
      <c r="M31" s="22">
        <f>IFERROR(VLOOKUP(L31,Prices!$A:$B,2,FALSE),0)</f>
        <v/>
      </c>
      <c r="N31" s="32">
        <f>IFERROR(INDEX('_why_4c'!$B27:$J27,MATCH(K31,$B$5:$J$5,0)),"")</f>
        <v/>
      </c>
    </row>
    <row r="32">
      <c r="A32" s="28" t="n">
        <v>27</v>
      </c>
      <c r="B32" s="13" t="inlineStr">
        <is>
          <t>Nature's Lore</t>
        </is>
      </c>
      <c r="C32" s="13" t="inlineStr">
        <is>
          <t>Nature's Lore</t>
        </is>
      </c>
      <c r="D32" s="13" t="inlineStr">
        <is>
          <t>Nature's Lore</t>
        </is>
      </c>
      <c r="E32" s="13" t="inlineStr">
        <is>
          <t>Nature's Lore</t>
        </is>
      </c>
      <c r="F32" s="13" t="inlineStr">
        <is>
          <t>Nature's Lore</t>
        </is>
      </c>
      <c r="G32" s="13" t="inlineStr">
        <is>
          <t>Nature's Lore</t>
        </is>
      </c>
      <c r="H32" s="13" t="inlineStr">
        <is>
          <t>Nature's Lore</t>
        </is>
      </c>
      <c r="I32" s="13" t="inlineStr">
        <is>
          <t>Nature's Lore</t>
        </is>
      </c>
      <c r="J32" s="13" t="inlineStr">
        <is>
          <t>Nature's Lore</t>
        </is>
      </c>
      <c r="K32" s="30" t="inlineStr">
        <is>
          <t>Fun Max</t>
        </is>
      </c>
      <c r="L32" s="31">
        <f>INDEX(B32:J32,MATCH(K32,$B$5:$J$5,0))</f>
        <v/>
      </c>
      <c r="M32" s="22">
        <f>IFERROR(VLOOKUP(L32,Prices!$A:$B,2,FALSE),0)</f>
        <v/>
      </c>
      <c r="N32" s="32">
        <f>IFERROR(INDEX('_why_4c'!$B28:$J28,MATCH(K32,$B$5:$J$5,0)),"")</f>
        <v/>
      </c>
    </row>
    <row r="33">
      <c r="A33" s="28" t="n">
        <v>28</v>
      </c>
      <c r="B33" s="33" t="inlineStr">
        <is>
          <t>Swords to Plowshares</t>
        </is>
      </c>
      <c r="C33" s="33" t="inlineStr">
        <is>
          <t>Swords to Plowshares</t>
        </is>
      </c>
      <c r="D33" s="33" t="inlineStr">
        <is>
          <t>Swords to Plowshares</t>
        </is>
      </c>
      <c r="E33" s="33" t="inlineStr">
        <is>
          <t>Swords to Plowshares</t>
        </is>
      </c>
      <c r="F33" s="33" t="inlineStr">
        <is>
          <t>Swords to Plowshares</t>
        </is>
      </c>
      <c r="G33" s="33" t="inlineStr">
        <is>
          <t>Swords to Plowshares</t>
        </is>
      </c>
      <c r="H33" s="33" t="inlineStr">
        <is>
          <t>Swords to Plowshares</t>
        </is>
      </c>
      <c r="I33" s="33" t="inlineStr">
        <is>
          <t>Swords to Plowshares</t>
        </is>
      </c>
      <c r="J33" s="33" t="inlineStr">
        <is>
          <t>Swords to Plowshares</t>
        </is>
      </c>
      <c r="K33" s="30" t="inlineStr">
        <is>
          <t>Fun Max</t>
        </is>
      </c>
      <c r="L33" s="31">
        <f>INDEX(B33:J33,MATCH(K33,$B$5:$J$5,0))</f>
        <v/>
      </c>
      <c r="M33" s="22">
        <f>IFERROR(VLOOKUP(L33,Prices!$A:$B,2,FALSE),0)</f>
        <v/>
      </c>
      <c r="N33" s="32">
        <f>IFERROR(INDEX('_why_4c'!$B29:$J29,MATCH(K33,$B$5:$J$5,0)),"")</f>
        <v/>
      </c>
    </row>
    <row r="34">
      <c r="A34" s="28" t="n">
        <v>29</v>
      </c>
      <c r="B34" s="13" t="inlineStr">
        <is>
          <t>Path to Exile</t>
        </is>
      </c>
      <c r="C34" s="13" t="inlineStr">
        <is>
          <t>Path to Exile</t>
        </is>
      </c>
      <c r="D34" s="13" t="inlineStr">
        <is>
          <t>Path to Exile</t>
        </is>
      </c>
      <c r="E34" s="13" t="inlineStr">
        <is>
          <t>Path to Exile</t>
        </is>
      </c>
      <c r="F34" s="13" t="inlineStr">
        <is>
          <t>Path to Exile</t>
        </is>
      </c>
      <c r="G34" s="13" t="inlineStr">
        <is>
          <t>Path to Exile</t>
        </is>
      </c>
      <c r="H34" s="13" t="inlineStr">
        <is>
          <t>Path to Exile</t>
        </is>
      </c>
      <c r="I34" s="13" t="inlineStr">
        <is>
          <t>Path to Exile</t>
        </is>
      </c>
      <c r="J34" s="13" t="inlineStr">
        <is>
          <t>Path to Exile</t>
        </is>
      </c>
      <c r="K34" s="30" t="inlineStr">
        <is>
          <t>Fun Max</t>
        </is>
      </c>
      <c r="L34" s="31">
        <f>INDEX(B34:J34,MATCH(K34,$B$5:$J$5,0))</f>
        <v/>
      </c>
      <c r="M34" s="22">
        <f>IFERROR(VLOOKUP(L34,Prices!$A:$B,2,FALSE),0)</f>
        <v/>
      </c>
      <c r="N34" s="32">
        <f>IFERROR(INDEX('_why_4c'!$B30:$J30,MATCH(K34,$B$5:$J$5,0)),"")</f>
        <v/>
      </c>
    </row>
    <row r="35">
      <c r="A35" s="28" t="n">
        <v>30</v>
      </c>
      <c r="B35" s="33" t="inlineStr">
        <is>
          <t>Generous Gift</t>
        </is>
      </c>
      <c r="C35" s="33" t="inlineStr">
        <is>
          <t>Generous Gift</t>
        </is>
      </c>
      <c r="D35" s="33" t="inlineStr">
        <is>
          <t>Generous Gift</t>
        </is>
      </c>
      <c r="E35" s="33" t="inlineStr">
        <is>
          <t>Generous Gift</t>
        </is>
      </c>
      <c r="F35" s="33" t="inlineStr">
        <is>
          <t>Generous Gift</t>
        </is>
      </c>
      <c r="G35" s="33" t="inlineStr">
        <is>
          <t>Generous Gift</t>
        </is>
      </c>
      <c r="H35" s="33" t="inlineStr">
        <is>
          <t>Generous Gift</t>
        </is>
      </c>
      <c r="I35" s="33" t="inlineStr">
        <is>
          <t>Generous Gift</t>
        </is>
      </c>
      <c r="J35" s="33" t="inlineStr">
        <is>
          <t>Generous Gift</t>
        </is>
      </c>
      <c r="K35" s="30" t="inlineStr">
        <is>
          <t>Fun Max</t>
        </is>
      </c>
      <c r="L35" s="31">
        <f>INDEX(B35:J35,MATCH(K35,$B$5:$J$5,0))</f>
        <v/>
      </c>
      <c r="M35" s="22">
        <f>IFERROR(VLOOKUP(L35,Prices!$A:$B,2,FALSE),0)</f>
        <v/>
      </c>
      <c r="N35" s="32">
        <f>IFERROR(INDEX('_why_4c'!$B31:$J31,MATCH(K35,$B$5:$J$5,0)),"")</f>
        <v/>
      </c>
    </row>
    <row r="36">
      <c r="A36" s="28" t="n">
        <v>31</v>
      </c>
      <c r="B36" s="13" t="inlineStr">
        <is>
          <t>Reflector Mage</t>
        </is>
      </c>
      <c r="C36" s="13" t="inlineStr">
        <is>
          <t>Reflector Mage</t>
        </is>
      </c>
      <c r="D36" s="13" t="inlineStr">
        <is>
          <t>Reflector Mage</t>
        </is>
      </c>
      <c r="E36" s="13" t="inlineStr">
        <is>
          <t>Reflector Mage</t>
        </is>
      </c>
      <c r="F36" s="13" t="inlineStr">
        <is>
          <t>Reflector Mage</t>
        </is>
      </c>
      <c r="G36" s="13" t="inlineStr">
        <is>
          <t>Reflector Mage</t>
        </is>
      </c>
      <c r="H36" s="13" t="inlineStr">
        <is>
          <t>Reflector Mage</t>
        </is>
      </c>
      <c r="I36" s="13" t="inlineStr">
        <is>
          <t>Reflector Mage</t>
        </is>
      </c>
      <c r="J36" s="13" t="inlineStr">
        <is>
          <t>Reflector Mage</t>
        </is>
      </c>
      <c r="K36" s="30" t="inlineStr">
        <is>
          <t>Fun Max</t>
        </is>
      </c>
      <c r="L36" s="31">
        <f>INDEX(B36:J36,MATCH(K36,$B$5:$J$5,0))</f>
        <v/>
      </c>
      <c r="M36" s="22">
        <f>IFERROR(VLOOKUP(L36,Prices!$A:$B,2,FALSE),0)</f>
        <v/>
      </c>
      <c r="N36" s="32">
        <f>IFERROR(INDEX('_why_4c'!$B32:$J32,MATCH(K36,$B$5:$J$5,0)),"")</f>
        <v/>
      </c>
    </row>
    <row r="37">
      <c r="A37" s="28" t="n">
        <v>32</v>
      </c>
      <c r="B37" s="33" t="inlineStr">
        <is>
          <t>Return to Dust</t>
        </is>
      </c>
      <c r="C37" s="33" t="inlineStr">
        <is>
          <t>Return to Dust</t>
        </is>
      </c>
      <c r="D37" s="33" t="inlineStr">
        <is>
          <t>Return to Dust</t>
        </is>
      </c>
      <c r="E37" s="33" t="inlineStr">
        <is>
          <t>Return to Dust</t>
        </is>
      </c>
      <c r="F37" s="34" t="inlineStr">
        <is>
          <t>Acidic Slime</t>
        </is>
      </c>
      <c r="G37" s="34" t="inlineStr">
        <is>
          <t>Acidic Slime</t>
        </is>
      </c>
      <c r="H37" s="34" t="inlineStr">
        <is>
          <t>Acidic Slime</t>
        </is>
      </c>
      <c r="I37" s="33" t="inlineStr">
        <is>
          <t>Return to Dust</t>
        </is>
      </c>
      <c r="J37" s="33" t="inlineStr">
        <is>
          <t>Return to Dust</t>
        </is>
      </c>
      <c r="K37" s="30" t="inlineStr">
        <is>
          <t>Fun Max</t>
        </is>
      </c>
      <c r="L37" s="31">
        <f>INDEX(B37:J37,MATCH(K37,$B$5:$J$5,0))</f>
        <v/>
      </c>
      <c r="M37" s="22">
        <f>IFERROR(VLOOKUP(L37,Prices!$A:$B,2,FALSE),0)</f>
        <v/>
      </c>
      <c r="N37" s="32">
        <f>IFERROR(INDEX('_why_4c'!$B33:$J33,MATCH(K37,$B$5:$J$5,0)),"")</f>
        <v/>
      </c>
    </row>
    <row r="38">
      <c r="A38" s="28" t="n">
        <v>33</v>
      </c>
      <c r="B38" s="13" t="inlineStr">
        <is>
          <t>Sylvan Caryatid</t>
        </is>
      </c>
      <c r="C38" s="13" t="inlineStr">
        <is>
          <t>Sylvan Caryatid</t>
        </is>
      </c>
      <c r="D38" s="13" t="inlineStr">
        <is>
          <t>Sylvan Caryatid</t>
        </is>
      </c>
      <c r="E38" s="13" t="inlineStr">
        <is>
          <t>Sylvan Caryatid</t>
        </is>
      </c>
      <c r="F38" s="13" t="inlineStr">
        <is>
          <t>Sylvan Caryatid</t>
        </is>
      </c>
      <c r="G38" s="13" t="inlineStr">
        <is>
          <t>Sylvan Caryatid</t>
        </is>
      </c>
      <c r="H38" s="13" t="inlineStr">
        <is>
          <t>Sylvan Caryatid</t>
        </is>
      </c>
      <c r="I38" s="13" t="inlineStr">
        <is>
          <t>Sylvan Caryatid</t>
        </is>
      </c>
      <c r="J38" s="13" t="inlineStr">
        <is>
          <t>Sylvan Caryatid</t>
        </is>
      </c>
      <c r="K38" s="30" t="inlineStr">
        <is>
          <t>Fun Max</t>
        </is>
      </c>
      <c r="L38" s="31">
        <f>INDEX(B38:J38,MATCH(K38,$B$5:$J$5,0))</f>
        <v/>
      </c>
      <c r="M38" s="22">
        <f>IFERROR(VLOOKUP(L38,Prices!$A:$B,2,FALSE),0)</f>
        <v/>
      </c>
      <c r="N38" s="32">
        <f>IFERROR(INDEX('_why_4c'!$B34:$J34,MATCH(K38,$B$5:$J$5,0)),"")</f>
        <v/>
      </c>
    </row>
    <row r="39">
      <c r="A39" s="28" t="n">
        <v>34</v>
      </c>
      <c r="B39" s="33" t="inlineStr">
        <is>
          <t>Shalai, Voice of Plenty</t>
        </is>
      </c>
      <c r="C39" s="33" t="inlineStr">
        <is>
          <t>Shalai, Voice of Plenty</t>
        </is>
      </c>
      <c r="D39" s="33" t="inlineStr">
        <is>
          <t>Shalai, Voice of Plenty</t>
        </is>
      </c>
      <c r="E39" s="33" t="inlineStr">
        <is>
          <t>Shalai, Voice of Plenty</t>
        </is>
      </c>
      <c r="F39" s="33" t="inlineStr">
        <is>
          <t>Shalai, Voice of Plenty</t>
        </is>
      </c>
      <c r="G39" s="33" t="inlineStr">
        <is>
          <t>Shalai, Voice of Plenty</t>
        </is>
      </c>
      <c r="H39" s="33" t="inlineStr">
        <is>
          <t>Shalai, Voice of Plenty</t>
        </is>
      </c>
      <c r="I39" s="33" t="inlineStr">
        <is>
          <t>Shalai, Voice of Plenty</t>
        </is>
      </c>
      <c r="J39" s="33" t="inlineStr">
        <is>
          <t>Shalai, Voice of Plenty</t>
        </is>
      </c>
      <c r="K39" s="30" t="inlineStr">
        <is>
          <t>Fun Max</t>
        </is>
      </c>
      <c r="L39" s="31">
        <f>INDEX(B39:J39,MATCH(K39,$B$5:$J$5,0))</f>
        <v/>
      </c>
      <c r="M39" s="22">
        <f>IFERROR(VLOOKUP(L39,Prices!$A:$B,2,FALSE),0)</f>
        <v/>
      </c>
      <c r="N39" s="32">
        <f>IFERROR(INDEX('_why_4c'!$B35:$J35,MATCH(K39,$B$5:$J$5,0)),"")</f>
        <v/>
      </c>
    </row>
    <row r="40">
      <c r="A40" s="28" t="n">
        <v>35</v>
      </c>
      <c r="B40" s="13" t="inlineStr">
        <is>
          <t>Bant Charm</t>
        </is>
      </c>
      <c r="C40" s="29" t="inlineStr">
        <is>
          <t>Axebane Guardian</t>
        </is>
      </c>
      <c r="D40" s="29" t="inlineStr">
        <is>
          <t>High Alert</t>
        </is>
      </c>
      <c r="E40" s="29" t="inlineStr">
        <is>
          <t>Wall of Nets</t>
        </is>
      </c>
      <c r="F40" s="29" t="inlineStr">
        <is>
          <t>Wall of Blossoms</t>
        </is>
      </c>
      <c r="G40" s="29" t="inlineStr">
        <is>
          <t>Wall of Blossoms</t>
        </is>
      </c>
      <c r="H40" s="29" t="inlineStr">
        <is>
          <t>Wall of Blossoms</t>
        </is>
      </c>
      <c r="I40" s="29" t="inlineStr">
        <is>
          <t>Rapid Hybridization</t>
        </is>
      </c>
      <c r="J40" s="29" t="inlineStr">
        <is>
          <t>Wall of Blossoms</t>
        </is>
      </c>
      <c r="K40" s="30" t="inlineStr">
        <is>
          <t>Fun Max</t>
        </is>
      </c>
      <c r="L40" s="31">
        <f>INDEX(B40:J40,MATCH(K40,$B$5:$J$5,0))</f>
        <v/>
      </c>
      <c r="M40" s="22">
        <f>IFERROR(VLOOKUP(L40,Prices!$A:$B,2,FALSE),0)</f>
        <v/>
      </c>
      <c r="N40" s="32">
        <f>IFERROR(INDEX('_why_4c'!$B36:$J36,MATCH(K40,$B$5:$J$5,0)),"")</f>
        <v/>
      </c>
    </row>
    <row r="41">
      <c r="A41" s="28" t="n">
        <v>36</v>
      </c>
      <c r="B41" s="33" t="inlineStr">
        <is>
          <t>Mystic Confluence</t>
        </is>
      </c>
      <c r="C41" s="33" t="inlineStr">
        <is>
          <t>Mystic Confluence</t>
        </is>
      </c>
      <c r="D41" s="33" t="inlineStr">
        <is>
          <t>Mystic Confluence</t>
        </is>
      </c>
      <c r="E41" s="33" t="inlineStr">
        <is>
          <t>Mystic Confluence</t>
        </is>
      </c>
      <c r="F41" s="34" t="inlineStr">
        <is>
          <t>Golgari Grave-Troll</t>
        </is>
      </c>
      <c r="G41" s="34" t="inlineStr">
        <is>
          <t>Golgari Grave-Troll</t>
        </is>
      </c>
      <c r="H41" s="34" t="inlineStr">
        <is>
          <t>Golgari Grave-Troll</t>
        </is>
      </c>
      <c r="I41" s="33" t="inlineStr">
        <is>
          <t>Mystic Confluence</t>
        </is>
      </c>
      <c r="J41" s="33" t="inlineStr">
        <is>
          <t>Mystic Confluence</t>
        </is>
      </c>
      <c r="K41" s="30" t="inlineStr">
        <is>
          <t>Fun Max</t>
        </is>
      </c>
      <c r="L41" s="31">
        <f>INDEX(B41:J41,MATCH(K41,$B$5:$J$5,0))</f>
        <v/>
      </c>
      <c r="M41" s="22">
        <f>IFERROR(VLOOKUP(L41,Prices!$A:$B,2,FALSE),0)</f>
        <v/>
      </c>
      <c r="N41" s="32">
        <f>IFERROR(INDEX('_why_4c'!$B37:$J37,MATCH(K41,$B$5:$J$5,0)),"")</f>
        <v/>
      </c>
    </row>
    <row r="42">
      <c r="A42" s="28" t="n">
        <v>37</v>
      </c>
      <c r="B42" s="13" t="inlineStr">
        <is>
          <t>Sun Titan</t>
        </is>
      </c>
      <c r="C42" s="13" t="inlineStr">
        <is>
          <t>Sun Titan</t>
        </is>
      </c>
      <c r="D42" s="13" t="inlineStr">
        <is>
          <t>Sun Titan</t>
        </is>
      </c>
      <c r="E42" s="13" t="inlineStr">
        <is>
          <t>Sun Titan</t>
        </is>
      </c>
      <c r="F42" s="13" t="inlineStr">
        <is>
          <t>Sun Titan</t>
        </is>
      </c>
      <c r="G42" s="13" t="inlineStr">
        <is>
          <t>Sun Titan</t>
        </is>
      </c>
      <c r="H42" s="13" t="inlineStr">
        <is>
          <t>Sun Titan</t>
        </is>
      </c>
      <c r="I42" s="13" t="inlineStr">
        <is>
          <t>Sun Titan</t>
        </is>
      </c>
      <c r="J42" s="13" t="inlineStr">
        <is>
          <t>Sun Titan</t>
        </is>
      </c>
      <c r="K42" s="30" t="inlineStr">
        <is>
          <t>Fun Max</t>
        </is>
      </c>
      <c r="L42" s="31">
        <f>INDEX(B42:J42,MATCH(K42,$B$5:$J$5,0))</f>
        <v/>
      </c>
      <c r="M42" s="22">
        <f>IFERROR(VLOOKUP(L42,Prices!$A:$B,2,FALSE),0)</f>
        <v/>
      </c>
      <c r="N42" s="32">
        <f>IFERROR(INDEX('_why_4c'!$B38:$J38,MATCH(K42,$B$5:$J$5,0)),"")</f>
        <v/>
      </c>
    </row>
    <row r="43">
      <c r="A43" s="28" t="n">
        <v>38</v>
      </c>
      <c r="B43" s="33" t="inlineStr">
        <is>
          <t>Wall of Mulch</t>
        </is>
      </c>
      <c r="C43" s="33" t="inlineStr">
        <is>
          <t>Wall of Mulch</t>
        </is>
      </c>
      <c r="D43" s="33" t="inlineStr">
        <is>
          <t>Wall of Mulch</t>
        </is>
      </c>
      <c r="E43" s="33" t="inlineStr">
        <is>
          <t>Wall of Mulch</t>
        </is>
      </c>
      <c r="F43" s="33" t="inlineStr">
        <is>
          <t>Wall of Mulch</t>
        </is>
      </c>
      <c r="G43" s="33" t="inlineStr">
        <is>
          <t>Wall of Mulch</t>
        </is>
      </c>
      <c r="H43" s="33" t="inlineStr">
        <is>
          <t>Wall of Mulch</t>
        </is>
      </c>
      <c r="I43" s="33" t="inlineStr">
        <is>
          <t>Wall of Mulch</t>
        </is>
      </c>
      <c r="J43" s="33" t="inlineStr">
        <is>
          <t>Wall of Mulch</t>
        </is>
      </c>
      <c r="K43" s="30" t="inlineStr">
        <is>
          <t>Fun Max</t>
        </is>
      </c>
      <c r="L43" s="31">
        <f>INDEX(B43:J43,MATCH(K43,$B$5:$J$5,0))</f>
        <v/>
      </c>
      <c r="M43" s="22">
        <f>IFERROR(VLOOKUP(L43,Prices!$A:$B,2,FALSE),0)</f>
        <v/>
      </c>
      <c r="N43" s="32">
        <f>IFERROR(INDEX('_why_4c'!$B39:$J39,MATCH(K43,$B$5:$J$5,0)),"")</f>
        <v/>
      </c>
    </row>
    <row r="44">
      <c r="A44" s="28" t="n">
        <v>39</v>
      </c>
      <c r="B44" s="13" t="inlineStr">
        <is>
          <t>Angelic Wall</t>
        </is>
      </c>
      <c r="C44" s="13" t="inlineStr">
        <is>
          <t>Angelic Wall</t>
        </is>
      </c>
      <c r="D44" s="13" t="inlineStr">
        <is>
          <t>Angelic Wall</t>
        </is>
      </c>
      <c r="E44" s="13" t="inlineStr">
        <is>
          <t>Angelic Wall</t>
        </is>
      </c>
      <c r="F44" s="13" t="inlineStr">
        <is>
          <t>Angelic Wall</t>
        </is>
      </c>
      <c r="G44" s="13" t="inlineStr">
        <is>
          <t>Angelic Wall</t>
        </is>
      </c>
      <c r="H44" s="13" t="inlineStr">
        <is>
          <t>Angelic Wall</t>
        </is>
      </c>
      <c r="I44" s="13" t="inlineStr">
        <is>
          <t>Angelic Wall</t>
        </is>
      </c>
      <c r="J44" s="13" t="inlineStr">
        <is>
          <t>Angelic Wall</t>
        </is>
      </c>
      <c r="K44" s="30" t="inlineStr">
        <is>
          <t>Fun Max</t>
        </is>
      </c>
      <c r="L44" s="31">
        <f>INDEX(B44:J44,MATCH(K44,$B$5:$J$5,0))</f>
        <v/>
      </c>
      <c r="M44" s="22">
        <f>IFERROR(VLOOKUP(L44,Prices!$A:$B,2,FALSE),0)</f>
        <v/>
      </c>
      <c r="N44" s="32">
        <f>IFERROR(INDEX('_why_4c'!$B40:$J40,MATCH(K44,$B$5:$J$5,0)),"")</f>
        <v/>
      </c>
    </row>
    <row r="45">
      <c r="A45" s="28" t="n">
        <v>40</v>
      </c>
      <c r="B45" s="33" t="inlineStr">
        <is>
          <t>Meandering Towershell</t>
        </is>
      </c>
      <c r="C45" s="33" t="inlineStr">
        <is>
          <t>Meandering Towershell</t>
        </is>
      </c>
      <c r="D45" s="33" t="inlineStr">
        <is>
          <t>Meandering Towershell</t>
        </is>
      </c>
      <c r="E45" s="33" t="inlineStr">
        <is>
          <t>Meandering Towershell</t>
        </is>
      </c>
      <c r="F45" s="33" t="inlineStr">
        <is>
          <t>Meandering Towershell</t>
        </is>
      </c>
      <c r="G45" s="33" t="inlineStr">
        <is>
          <t>Meandering Towershell</t>
        </is>
      </c>
      <c r="H45" s="33" t="inlineStr">
        <is>
          <t>Meandering Towershell</t>
        </is>
      </c>
      <c r="I45" s="33" t="inlineStr">
        <is>
          <t>Meandering Towershell</t>
        </is>
      </c>
      <c r="J45" s="33" t="inlineStr">
        <is>
          <t>Meandering Towershell</t>
        </is>
      </c>
      <c r="K45" s="30" t="inlineStr">
        <is>
          <t>Fun Max</t>
        </is>
      </c>
      <c r="L45" s="31">
        <f>INDEX(B45:J45,MATCH(K45,$B$5:$J$5,0))</f>
        <v/>
      </c>
      <c r="M45" s="22">
        <f>IFERROR(VLOOKUP(L45,Prices!$A:$B,2,FALSE),0)</f>
        <v/>
      </c>
      <c r="N45" s="32">
        <f>IFERROR(INDEX('_why_4c'!$B41:$J41,MATCH(K45,$B$5:$J$5,0)),"")</f>
        <v/>
      </c>
    </row>
    <row r="46">
      <c r="A46" s="28" t="n">
        <v>41</v>
      </c>
      <c r="B46" s="13" t="inlineStr">
        <is>
          <t>Hover Barrier</t>
        </is>
      </c>
      <c r="C46" s="13" t="inlineStr">
        <is>
          <t>Hover Barrier</t>
        </is>
      </c>
      <c r="D46" s="13" t="inlineStr">
        <is>
          <t>Hover Barrier</t>
        </is>
      </c>
      <c r="E46" s="13" t="inlineStr">
        <is>
          <t>Hover Barrier</t>
        </is>
      </c>
      <c r="F46" s="13" t="inlineStr">
        <is>
          <t>Hover Barrier</t>
        </is>
      </c>
      <c r="G46" s="13" t="inlineStr">
        <is>
          <t>Hover Barrier</t>
        </is>
      </c>
      <c r="H46" s="13" t="inlineStr">
        <is>
          <t>Hover Barrier</t>
        </is>
      </c>
      <c r="I46" s="13" t="inlineStr">
        <is>
          <t>Hover Barrier</t>
        </is>
      </c>
      <c r="J46" s="13" t="inlineStr">
        <is>
          <t>Hover Barrier</t>
        </is>
      </c>
      <c r="K46" s="30" t="inlineStr">
        <is>
          <t>Fun Max</t>
        </is>
      </c>
      <c r="L46" s="31">
        <f>INDEX(B46:J46,MATCH(K46,$B$5:$J$5,0))</f>
        <v/>
      </c>
      <c r="M46" s="22">
        <f>IFERROR(VLOOKUP(L46,Prices!$A:$B,2,FALSE),0)</f>
        <v/>
      </c>
      <c r="N46" s="32">
        <f>IFERROR(INDEX('_why_4c'!$B42:$J42,MATCH(K46,$B$5:$J$5,0)),"")</f>
        <v/>
      </c>
    </row>
    <row r="47">
      <c r="A47" s="28" t="n">
        <v>42</v>
      </c>
      <c r="B47" s="33" t="inlineStr">
        <is>
          <t>Stonework Puma</t>
        </is>
      </c>
      <c r="C47" s="33" t="inlineStr">
        <is>
          <t>Stonework Puma</t>
        </is>
      </c>
      <c r="D47" s="33" t="inlineStr">
        <is>
          <t>Stonework Puma</t>
        </is>
      </c>
      <c r="E47" s="33" t="inlineStr">
        <is>
          <t>Stonework Puma</t>
        </is>
      </c>
      <c r="F47" s="33" t="inlineStr">
        <is>
          <t>Stonework Puma</t>
        </is>
      </c>
      <c r="G47" s="33" t="inlineStr">
        <is>
          <t>Stonework Puma</t>
        </is>
      </c>
      <c r="H47" s="33" t="inlineStr">
        <is>
          <t>Stonework Puma</t>
        </is>
      </c>
      <c r="I47" s="33" t="inlineStr">
        <is>
          <t>Stonework Puma</t>
        </is>
      </c>
      <c r="J47" s="33" t="inlineStr">
        <is>
          <t>Stonework Puma</t>
        </is>
      </c>
      <c r="K47" s="30" t="inlineStr">
        <is>
          <t>Fun Max</t>
        </is>
      </c>
      <c r="L47" s="31">
        <f>INDEX(B47:J47,MATCH(K47,$B$5:$J$5,0))</f>
        <v/>
      </c>
      <c r="M47" s="22">
        <f>IFERROR(VLOOKUP(L47,Prices!$A:$B,2,FALSE),0)</f>
        <v/>
      </c>
      <c r="N47" s="32">
        <f>IFERROR(INDEX('_why_4c'!$B43:$J43,MATCH(K47,$B$5:$J$5,0)),"")</f>
        <v/>
      </c>
    </row>
    <row r="48">
      <c r="A48" s="28" t="n">
        <v>43</v>
      </c>
      <c r="B48" s="13" t="inlineStr">
        <is>
          <t>Wall of Vines</t>
        </is>
      </c>
      <c r="C48" s="13" t="inlineStr">
        <is>
          <t>Wall of Vines</t>
        </is>
      </c>
      <c r="D48" s="13" t="inlineStr">
        <is>
          <t>Wall of Vines</t>
        </is>
      </c>
      <c r="E48" s="13" t="inlineStr">
        <is>
          <t>Wall of Vines</t>
        </is>
      </c>
      <c r="F48" s="13" t="inlineStr">
        <is>
          <t>Wall of Vines</t>
        </is>
      </c>
      <c r="G48" s="13" t="inlineStr">
        <is>
          <t>Wall of Vines</t>
        </is>
      </c>
      <c r="H48" s="13" t="inlineStr">
        <is>
          <t>Wall of Vines</t>
        </is>
      </c>
      <c r="I48" s="13" t="inlineStr">
        <is>
          <t>Wall of Vines</t>
        </is>
      </c>
      <c r="J48" s="13" t="inlineStr">
        <is>
          <t>Wall of Vines</t>
        </is>
      </c>
      <c r="K48" s="30" t="inlineStr">
        <is>
          <t>Fun Max</t>
        </is>
      </c>
      <c r="L48" s="31">
        <f>INDEX(B48:J48,MATCH(K48,$B$5:$J$5,0))</f>
        <v/>
      </c>
      <c r="M48" s="22">
        <f>IFERROR(VLOOKUP(L48,Prices!$A:$B,2,FALSE),0)</f>
        <v/>
      </c>
      <c r="N48" s="32">
        <f>IFERROR(INDEX('_why_4c'!$B44:$J44,MATCH(K48,$B$5:$J$5,0)),"")</f>
        <v/>
      </c>
    </row>
    <row r="49">
      <c r="A49" s="28" t="n">
        <v>44</v>
      </c>
      <c r="B49" s="33" t="inlineStr">
        <is>
          <t>Wall of Air</t>
        </is>
      </c>
      <c r="C49" s="33" t="inlineStr">
        <is>
          <t>Wall of Air</t>
        </is>
      </c>
      <c r="D49" s="33" t="inlineStr">
        <is>
          <t>Wall of Air</t>
        </is>
      </c>
      <c r="E49" s="33" t="inlineStr">
        <is>
          <t>Wall of Air</t>
        </is>
      </c>
      <c r="F49" s="34" t="inlineStr">
        <is>
          <t>Rishkar, Peema Renegade</t>
        </is>
      </c>
      <c r="G49" s="34" t="inlineStr">
        <is>
          <t>Rishkar, Peema Renegade</t>
        </is>
      </c>
      <c r="H49" s="34" t="inlineStr">
        <is>
          <t>Rishkar, Peema Renegade</t>
        </is>
      </c>
      <c r="I49" s="33" t="inlineStr">
        <is>
          <t>Wall of Air</t>
        </is>
      </c>
      <c r="J49" s="33" t="inlineStr">
        <is>
          <t>Wall of Air</t>
        </is>
      </c>
      <c r="K49" s="30" t="inlineStr">
        <is>
          <t>Fun Max</t>
        </is>
      </c>
      <c r="L49" s="31">
        <f>INDEX(B49:J49,MATCH(K49,$B$5:$J$5,0))</f>
        <v/>
      </c>
      <c r="M49" s="22">
        <f>IFERROR(VLOOKUP(L49,Prices!$A:$B,2,FALSE),0)</f>
        <v/>
      </c>
      <c r="N49" s="32">
        <f>IFERROR(INDEX('_why_4c'!$B45:$J45,MATCH(K49,$B$5:$J$5,0)),"")</f>
        <v/>
      </c>
    </row>
    <row r="50">
      <c r="A50" s="28" t="n">
        <v>45</v>
      </c>
      <c r="B50" s="13" t="inlineStr">
        <is>
          <t>Fortified Rampart</t>
        </is>
      </c>
      <c r="C50" s="13" t="inlineStr">
        <is>
          <t>Fortified Rampart</t>
        </is>
      </c>
      <c r="D50" s="13" t="inlineStr">
        <is>
          <t>Fortified Rampart</t>
        </is>
      </c>
      <c r="E50" s="13" t="inlineStr">
        <is>
          <t>Fortified Rampart</t>
        </is>
      </c>
      <c r="F50" s="13" t="inlineStr">
        <is>
          <t>Fortified Rampart</t>
        </is>
      </c>
      <c r="G50" s="13" t="inlineStr">
        <is>
          <t>Fortified Rampart</t>
        </is>
      </c>
      <c r="H50" s="13" t="inlineStr">
        <is>
          <t>Fortified Rampart</t>
        </is>
      </c>
      <c r="I50" s="13" t="inlineStr">
        <is>
          <t>Fortified Rampart</t>
        </is>
      </c>
      <c r="J50" s="13" t="inlineStr">
        <is>
          <t>Fortified Rampart</t>
        </is>
      </c>
      <c r="K50" s="30" t="inlineStr">
        <is>
          <t>Fun Max</t>
        </is>
      </c>
      <c r="L50" s="31">
        <f>INDEX(B50:J50,MATCH(K50,$B$5:$J$5,0))</f>
        <v/>
      </c>
      <c r="M50" s="22">
        <f>IFERROR(VLOOKUP(L50,Prices!$A:$B,2,FALSE),0)</f>
        <v/>
      </c>
      <c r="N50" s="32">
        <f>IFERROR(INDEX('_why_4c'!$B46:$J46,MATCH(K50,$B$5:$J$5,0)),"")</f>
        <v/>
      </c>
    </row>
    <row r="51">
      <c r="A51" s="28" t="n">
        <v>46</v>
      </c>
      <c r="B51" s="33" t="inlineStr">
        <is>
          <t>Carven Caryatid</t>
        </is>
      </c>
      <c r="C51" s="34" t="inlineStr">
        <is>
          <t>High Alert</t>
        </is>
      </c>
      <c r="D51" s="34" t="inlineStr">
        <is>
          <t>Assault Formation</t>
        </is>
      </c>
      <c r="E51" s="34" t="inlineStr">
        <is>
          <t>Smothering Tithe</t>
        </is>
      </c>
      <c r="F51" s="34" t="inlineStr">
        <is>
          <t>Axebane Guardian</t>
        </is>
      </c>
      <c r="G51" s="34" t="inlineStr">
        <is>
          <t>Smothering Tithe</t>
        </is>
      </c>
      <c r="H51" s="34" t="inlineStr">
        <is>
          <t>Smothering Tithe</t>
        </is>
      </c>
      <c r="I51" s="34" t="inlineStr">
        <is>
          <t>Valorous Stance</t>
        </is>
      </c>
      <c r="J51" s="34" t="inlineStr">
        <is>
          <t>Dovin's Veto</t>
        </is>
      </c>
      <c r="K51" s="30" t="inlineStr">
        <is>
          <t>Fun Max</t>
        </is>
      </c>
      <c r="L51" s="31">
        <f>INDEX(B51:J51,MATCH(K51,$B$5:$J$5,0))</f>
        <v/>
      </c>
      <c r="M51" s="22">
        <f>IFERROR(VLOOKUP(L51,Prices!$A:$B,2,FALSE),0)</f>
        <v/>
      </c>
      <c r="N51" s="32">
        <f>IFERROR(INDEX('_why_4c'!$B47:$J47,MATCH(K51,$B$5:$J$5,0)),"")</f>
        <v/>
      </c>
    </row>
    <row r="52">
      <c r="A52" s="28" t="n">
        <v>47</v>
      </c>
      <c r="B52" s="13" t="inlineStr">
        <is>
          <t>Jungle Barrier</t>
        </is>
      </c>
      <c r="C52" s="13" t="inlineStr">
        <is>
          <t>Jungle Barrier</t>
        </is>
      </c>
      <c r="D52" s="13" t="inlineStr">
        <is>
          <t>Jungle Barrier</t>
        </is>
      </c>
      <c r="E52" s="13" t="inlineStr">
        <is>
          <t>Jungle Barrier</t>
        </is>
      </c>
      <c r="F52" s="13" t="inlineStr">
        <is>
          <t>Jungle Barrier</t>
        </is>
      </c>
      <c r="G52" s="13" t="inlineStr">
        <is>
          <t>Jungle Barrier</t>
        </is>
      </c>
      <c r="H52" s="13" t="inlineStr">
        <is>
          <t>Jungle Barrier</t>
        </is>
      </c>
      <c r="I52" s="13" t="inlineStr">
        <is>
          <t>Jungle Barrier</t>
        </is>
      </c>
      <c r="J52" s="13" t="inlineStr">
        <is>
          <t>Jungle Barrier</t>
        </is>
      </c>
      <c r="K52" s="30" t="inlineStr">
        <is>
          <t>Fun Max</t>
        </is>
      </c>
      <c r="L52" s="31">
        <f>INDEX(B52:J52,MATCH(K52,$B$5:$J$5,0))</f>
        <v/>
      </c>
      <c r="M52" s="22">
        <f>IFERROR(VLOOKUP(L52,Prices!$A:$B,2,FALSE),0)</f>
        <v/>
      </c>
      <c r="N52" s="32">
        <f>IFERROR(INDEX('_why_4c'!$B48:$J48,MATCH(K52,$B$5:$J$5,0)),"")</f>
        <v/>
      </c>
    </row>
    <row r="53">
      <c r="A53" s="28" t="n">
        <v>48</v>
      </c>
      <c r="B53" s="33" t="inlineStr">
        <is>
          <t>Portcullis Vine</t>
        </is>
      </c>
      <c r="C53" s="33" t="inlineStr">
        <is>
          <t>Portcullis Vine</t>
        </is>
      </c>
      <c r="D53" s="33" t="inlineStr">
        <is>
          <t>Portcullis Vine</t>
        </is>
      </c>
      <c r="E53" s="33" t="inlineStr">
        <is>
          <t>Portcullis Vine</t>
        </is>
      </c>
      <c r="F53" s="33" t="inlineStr">
        <is>
          <t>Portcullis Vine</t>
        </is>
      </c>
      <c r="G53" s="33" t="inlineStr">
        <is>
          <t>Portcullis Vine</t>
        </is>
      </c>
      <c r="H53" s="33" t="inlineStr">
        <is>
          <t>Portcullis Vine</t>
        </is>
      </c>
      <c r="I53" s="33" t="inlineStr">
        <is>
          <t>Portcullis Vine</t>
        </is>
      </c>
      <c r="J53" s="33" t="inlineStr">
        <is>
          <t>Portcullis Vine</t>
        </is>
      </c>
      <c r="K53" s="30" t="inlineStr">
        <is>
          <t>Fun Max</t>
        </is>
      </c>
      <c r="L53" s="31">
        <f>INDEX(B53:J53,MATCH(K53,$B$5:$J$5,0))</f>
        <v/>
      </c>
      <c r="M53" s="22">
        <f>IFERROR(VLOOKUP(L53,Prices!$A:$B,2,FALSE),0)</f>
        <v/>
      </c>
      <c r="N53" s="32">
        <f>IFERROR(INDEX('_why_4c'!$B49:$J49,MATCH(K53,$B$5:$J$5,0)),"")</f>
        <v/>
      </c>
    </row>
    <row r="54">
      <c r="A54" s="28" t="n">
        <v>49</v>
      </c>
      <c r="B54" s="13" t="inlineStr">
        <is>
          <t>Negate</t>
        </is>
      </c>
      <c r="C54" s="13" t="inlineStr">
        <is>
          <t>Negate</t>
        </is>
      </c>
      <c r="D54" s="13" t="inlineStr">
        <is>
          <t>Negate</t>
        </is>
      </c>
      <c r="E54" s="13" t="inlineStr">
        <is>
          <t>Negate</t>
        </is>
      </c>
      <c r="F54" s="13" t="inlineStr">
        <is>
          <t>Negate</t>
        </is>
      </c>
      <c r="G54" s="13" t="inlineStr">
        <is>
          <t>Negate</t>
        </is>
      </c>
      <c r="H54" s="13" t="inlineStr">
        <is>
          <t>Negate</t>
        </is>
      </c>
      <c r="I54" s="13" t="inlineStr">
        <is>
          <t>Negate</t>
        </is>
      </c>
      <c r="J54" s="13" t="inlineStr">
        <is>
          <t>Negate</t>
        </is>
      </c>
      <c r="K54" s="30" t="inlineStr">
        <is>
          <t>Fun Max</t>
        </is>
      </c>
      <c r="L54" s="31">
        <f>INDEX(B54:J54,MATCH(K54,$B$5:$J$5,0))</f>
        <v/>
      </c>
      <c r="M54" s="22">
        <f>IFERROR(VLOOKUP(L54,Prices!$A:$B,2,FALSE),0)</f>
        <v/>
      </c>
      <c r="N54" s="32">
        <f>IFERROR(INDEX('_why_4c'!$B50:$J50,MATCH(K54,$B$5:$J$5,0)),"")</f>
        <v/>
      </c>
    </row>
    <row r="55">
      <c r="A55" s="28" t="n">
        <v>50</v>
      </c>
      <c r="B55" s="33" t="inlineStr">
        <is>
          <t>Dispel</t>
        </is>
      </c>
      <c r="C55" s="33" t="inlineStr">
        <is>
          <t>Dispel</t>
        </is>
      </c>
      <c r="D55" s="34" t="inlineStr">
        <is>
          <t>Unbreakable Formation</t>
        </is>
      </c>
      <c r="E55" s="34" t="inlineStr">
        <is>
          <t>Sight of the Scalelords</t>
        </is>
      </c>
      <c r="F55" s="34" t="inlineStr">
        <is>
          <t>Wall of Nets</t>
        </is>
      </c>
      <c r="G55" s="34" t="inlineStr">
        <is>
          <t>Wall of Nets</t>
        </is>
      </c>
      <c r="H55" s="34" t="inlineStr">
        <is>
          <t>Wall of Nets</t>
        </is>
      </c>
      <c r="I55" s="33" t="inlineStr">
        <is>
          <t>Dispel</t>
        </is>
      </c>
      <c r="J55" s="34" t="inlineStr">
        <is>
          <t>Wall of Nets</t>
        </is>
      </c>
      <c r="K55" s="30" t="inlineStr">
        <is>
          <t>Fun Max</t>
        </is>
      </c>
      <c r="L55" s="31">
        <f>INDEX(B55:J55,MATCH(K55,$B$5:$J$5,0))</f>
        <v/>
      </c>
      <c r="M55" s="22">
        <f>IFERROR(VLOOKUP(L55,Prices!$A:$B,2,FALSE),0)</f>
        <v/>
      </c>
      <c r="N55" s="32">
        <f>IFERROR(INDEX('_why_4c'!$B51:$J51,MATCH(K55,$B$5:$J$5,0)),"")</f>
        <v/>
      </c>
    </row>
    <row r="56">
      <c r="A56" s="28" t="n">
        <v>51</v>
      </c>
      <c r="B56" s="13" t="inlineStr">
        <is>
          <t>Rewind</t>
        </is>
      </c>
      <c r="C56" s="13" t="inlineStr">
        <is>
          <t>Rewind</t>
        </is>
      </c>
      <c r="D56" s="13" t="inlineStr">
        <is>
          <t>Rewind</t>
        </is>
      </c>
      <c r="E56" s="13" t="inlineStr">
        <is>
          <t>Rewind</t>
        </is>
      </c>
      <c r="F56" s="29" t="inlineStr">
        <is>
          <t>Kogla, the Titan Ape</t>
        </is>
      </c>
      <c r="G56" s="29" t="inlineStr">
        <is>
          <t>Kogla, the Titan Ape</t>
        </is>
      </c>
      <c r="H56" s="29" t="inlineStr">
        <is>
          <t>Kogla, the Titan Ape</t>
        </is>
      </c>
      <c r="I56" s="13" t="inlineStr">
        <is>
          <t>Rewind</t>
        </is>
      </c>
      <c r="J56" s="13" t="inlineStr">
        <is>
          <t>Rewind</t>
        </is>
      </c>
      <c r="K56" s="30" t="inlineStr">
        <is>
          <t>Fun Max</t>
        </is>
      </c>
      <c r="L56" s="31">
        <f>INDEX(B56:J56,MATCH(K56,$B$5:$J$5,0))</f>
        <v/>
      </c>
      <c r="M56" s="22">
        <f>IFERROR(VLOOKUP(L56,Prices!$A:$B,2,FALSE),0)</f>
        <v/>
      </c>
      <c r="N56" s="32">
        <f>IFERROR(INDEX('_why_4c'!$B52:$J52,MATCH(K56,$B$5:$J$5,0)),"")</f>
        <v/>
      </c>
    </row>
    <row r="57">
      <c r="A57" s="28" t="n">
        <v>52</v>
      </c>
      <c r="B57" s="33" t="inlineStr">
        <is>
          <t>Whirlwind Denial</t>
        </is>
      </c>
      <c r="C57" s="33" t="inlineStr">
        <is>
          <t>Whirlwind Denial</t>
        </is>
      </c>
      <c r="D57" s="33" t="inlineStr">
        <is>
          <t>Whirlwind Denial</t>
        </is>
      </c>
      <c r="E57" s="33" t="inlineStr">
        <is>
          <t>Whirlwind Denial</t>
        </is>
      </c>
      <c r="F57" s="34" t="inlineStr">
        <is>
          <t>Dragonlord Ojutai</t>
        </is>
      </c>
      <c r="G57" s="34" t="inlineStr">
        <is>
          <t>Dragonlord Ojutai</t>
        </is>
      </c>
      <c r="H57" s="34" t="inlineStr">
        <is>
          <t>Dragonlord Ojutai</t>
        </is>
      </c>
      <c r="I57" s="33" t="inlineStr">
        <is>
          <t>Whirlwind Denial</t>
        </is>
      </c>
      <c r="J57" s="33" t="inlineStr">
        <is>
          <t>Whirlwind Denial</t>
        </is>
      </c>
      <c r="K57" s="30" t="inlineStr">
        <is>
          <t>Fun Max</t>
        </is>
      </c>
      <c r="L57" s="31">
        <f>INDEX(B57:J57,MATCH(K57,$B$5:$J$5,0))</f>
        <v/>
      </c>
      <c r="M57" s="22">
        <f>IFERROR(VLOOKUP(L57,Prices!$A:$B,2,FALSE),0)</f>
        <v/>
      </c>
      <c r="N57" s="32">
        <f>IFERROR(INDEX('_why_4c'!$B53:$J53,MATCH(K57,$B$5:$J$5,0)),"")</f>
        <v/>
      </c>
    </row>
    <row r="58">
      <c r="A58" s="28" t="n">
        <v>53</v>
      </c>
      <c r="B58" s="13" t="inlineStr">
        <is>
          <t>Dragon's Eye Sentry</t>
        </is>
      </c>
      <c r="C58" s="13" t="inlineStr">
        <is>
          <t>Dragon's Eye Sentry</t>
        </is>
      </c>
      <c r="D58" s="13" t="inlineStr">
        <is>
          <t>Dragon's Eye Sentry</t>
        </is>
      </c>
      <c r="E58" s="13" t="inlineStr">
        <is>
          <t>Dragon's Eye Sentry</t>
        </is>
      </c>
      <c r="F58" s="13" t="inlineStr">
        <is>
          <t>Dragon's Eye Sentry</t>
        </is>
      </c>
      <c r="G58" s="13" t="inlineStr">
        <is>
          <t>Dragon's Eye Sentry</t>
        </is>
      </c>
      <c r="H58" s="13" t="inlineStr">
        <is>
          <t>Dragon's Eye Sentry</t>
        </is>
      </c>
      <c r="I58" s="13" t="inlineStr">
        <is>
          <t>Dragon's Eye Sentry</t>
        </is>
      </c>
      <c r="J58" s="13" t="inlineStr">
        <is>
          <t>Dragon's Eye Sentry</t>
        </is>
      </c>
      <c r="K58" s="30" t="inlineStr">
        <is>
          <t>Fun Max</t>
        </is>
      </c>
      <c r="L58" s="31">
        <f>INDEX(B58:J58,MATCH(K58,$B$5:$J$5,0))</f>
        <v/>
      </c>
      <c r="M58" s="22">
        <f>IFERROR(VLOOKUP(L58,Prices!$A:$B,2,FALSE),0)</f>
        <v/>
      </c>
      <c r="N58" s="32">
        <f>IFERROR(INDEX('_why_4c'!$B54:$J54,MATCH(K58,$B$5:$J$5,0)),"")</f>
        <v/>
      </c>
    </row>
    <row r="59">
      <c r="A59" s="28" t="n">
        <v>54</v>
      </c>
      <c r="B59" s="33" t="inlineStr">
        <is>
          <t>Wall of Reverence</t>
        </is>
      </c>
      <c r="C59" s="33" t="inlineStr">
        <is>
          <t>Wall of Reverence</t>
        </is>
      </c>
      <c r="D59" s="33" t="inlineStr">
        <is>
          <t>Wall of Reverence</t>
        </is>
      </c>
      <c r="E59" s="33" t="inlineStr">
        <is>
          <t>Wall of Reverence</t>
        </is>
      </c>
      <c r="F59" s="33" t="inlineStr">
        <is>
          <t>Wall of Reverence</t>
        </is>
      </c>
      <c r="G59" s="33" t="inlineStr">
        <is>
          <t>Wall of Reverence</t>
        </is>
      </c>
      <c r="H59" s="33" t="inlineStr">
        <is>
          <t>Wall of Reverence</t>
        </is>
      </c>
      <c r="I59" s="33" t="inlineStr">
        <is>
          <t>Wall of Reverence</t>
        </is>
      </c>
      <c r="J59" s="33" t="inlineStr">
        <is>
          <t>Wall of Reverence</t>
        </is>
      </c>
      <c r="K59" s="30" t="inlineStr">
        <is>
          <t>Fun Max</t>
        </is>
      </c>
      <c r="L59" s="31">
        <f>INDEX(B59:J59,MATCH(K59,$B$5:$J$5,0))</f>
        <v/>
      </c>
      <c r="M59" s="22">
        <f>IFERROR(VLOOKUP(L59,Prices!$A:$B,2,FALSE),0)</f>
        <v/>
      </c>
      <c r="N59" s="32">
        <f>IFERROR(INDEX('_why_4c'!$B55:$J55,MATCH(K59,$B$5:$J$5,0)),"")</f>
        <v/>
      </c>
    </row>
    <row r="60">
      <c r="A60" s="28" t="n">
        <v>55</v>
      </c>
      <c r="B60" s="13" t="inlineStr">
        <is>
          <t>Forest</t>
        </is>
      </c>
      <c r="C60" s="13" t="inlineStr">
        <is>
          <t>Forest</t>
        </is>
      </c>
      <c r="D60" s="13" t="inlineStr">
        <is>
          <t>Forest</t>
        </is>
      </c>
      <c r="E60" s="13" t="inlineStr">
        <is>
          <t>Forest</t>
        </is>
      </c>
      <c r="F60" s="13" t="inlineStr">
        <is>
          <t>Forest</t>
        </is>
      </c>
      <c r="G60" s="13" t="inlineStr">
        <is>
          <t>Forest</t>
        </is>
      </c>
      <c r="H60" s="13" t="inlineStr">
        <is>
          <t>Forest</t>
        </is>
      </c>
      <c r="I60" s="13" t="inlineStr">
        <is>
          <t>Forest</t>
        </is>
      </c>
      <c r="J60" s="13" t="inlineStr">
        <is>
          <t>Forest</t>
        </is>
      </c>
      <c r="K60" s="30" t="inlineStr">
        <is>
          <t>Fun Max</t>
        </is>
      </c>
      <c r="L60" s="31">
        <f>INDEX(B60:J60,MATCH(K60,$B$5:$J$5,0))</f>
        <v/>
      </c>
      <c r="M60" s="22">
        <f>IFERROR(VLOOKUP(L60,Prices!$A:$B,2,FALSE),0)</f>
        <v/>
      </c>
      <c r="N60" s="32">
        <f>IFERROR(INDEX('_why_4c'!$B56:$J56,MATCH(K60,$B$5:$J$5,0)),"")</f>
        <v/>
      </c>
    </row>
    <row r="61">
      <c r="A61" s="28" t="n">
        <v>56</v>
      </c>
      <c r="B61" s="33" t="inlineStr">
        <is>
          <t>Forest</t>
        </is>
      </c>
      <c r="C61" s="33" t="inlineStr">
        <is>
          <t>Forest</t>
        </is>
      </c>
      <c r="D61" s="33" t="inlineStr">
        <is>
          <t>Forest</t>
        </is>
      </c>
      <c r="E61" s="33" t="inlineStr">
        <is>
          <t>Forest</t>
        </is>
      </c>
      <c r="F61" s="33" t="inlineStr">
        <is>
          <t>Forest</t>
        </is>
      </c>
      <c r="G61" s="33" t="inlineStr">
        <is>
          <t>Forest</t>
        </is>
      </c>
      <c r="H61" s="33" t="inlineStr">
        <is>
          <t>Forest</t>
        </is>
      </c>
      <c r="I61" s="33" t="inlineStr">
        <is>
          <t>Forest</t>
        </is>
      </c>
      <c r="J61" s="33" t="inlineStr">
        <is>
          <t>Forest</t>
        </is>
      </c>
      <c r="K61" s="30" t="inlineStr">
        <is>
          <t>Fun Max</t>
        </is>
      </c>
      <c r="L61" s="31">
        <f>INDEX(B61:J61,MATCH(K61,$B$5:$J$5,0))</f>
        <v/>
      </c>
      <c r="M61" s="22">
        <f>IFERROR(VLOOKUP(L61,Prices!$A:$B,2,FALSE),0)</f>
        <v/>
      </c>
      <c r="N61" s="32">
        <f>IFERROR(INDEX('_why_4c'!$B57:$J57,MATCH(K61,$B$5:$J$5,0)),"")</f>
        <v/>
      </c>
    </row>
    <row r="62">
      <c r="A62" s="28" t="n">
        <v>57</v>
      </c>
      <c r="B62" s="13" t="inlineStr">
        <is>
          <t>Forest</t>
        </is>
      </c>
      <c r="C62" s="13" t="inlineStr">
        <is>
          <t>Forest</t>
        </is>
      </c>
      <c r="D62" s="13" t="inlineStr">
        <is>
          <t>Forest</t>
        </is>
      </c>
      <c r="E62" s="13" t="inlineStr">
        <is>
          <t>Forest</t>
        </is>
      </c>
      <c r="F62" s="13" t="inlineStr">
        <is>
          <t>Forest</t>
        </is>
      </c>
      <c r="G62" s="13" t="inlineStr">
        <is>
          <t>Forest</t>
        </is>
      </c>
      <c r="H62" s="13" t="inlineStr">
        <is>
          <t>Forest</t>
        </is>
      </c>
      <c r="I62" s="13" t="inlineStr">
        <is>
          <t>Forest</t>
        </is>
      </c>
      <c r="J62" s="13" t="inlineStr">
        <is>
          <t>Forest</t>
        </is>
      </c>
      <c r="K62" s="30" t="inlineStr">
        <is>
          <t>Fun Max</t>
        </is>
      </c>
      <c r="L62" s="31">
        <f>INDEX(B62:J62,MATCH(K62,$B$5:$J$5,0))</f>
        <v/>
      </c>
      <c r="M62" s="22">
        <f>IFERROR(VLOOKUP(L62,Prices!$A:$B,2,FALSE),0)</f>
        <v/>
      </c>
      <c r="N62" s="32">
        <f>IFERROR(INDEX('_why_4c'!$B58:$J58,MATCH(K62,$B$5:$J$5,0)),"")</f>
        <v/>
      </c>
    </row>
    <row r="63">
      <c r="A63" s="28" t="n">
        <v>58</v>
      </c>
      <c r="B63" s="33" t="inlineStr">
        <is>
          <t>Forest</t>
        </is>
      </c>
      <c r="C63" s="33" t="inlineStr">
        <is>
          <t>Forest</t>
        </is>
      </c>
      <c r="D63" s="33" t="inlineStr">
        <is>
          <t>Forest</t>
        </is>
      </c>
      <c r="E63" s="33" t="inlineStr">
        <is>
          <t>Forest</t>
        </is>
      </c>
      <c r="F63" s="33" t="inlineStr">
        <is>
          <t>Forest</t>
        </is>
      </c>
      <c r="G63" s="33" t="inlineStr">
        <is>
          <t>Forest</t>
        </is>
      </c>
      <c r="H63" s="33" t="inlineStr">
        <is>
          <t>Forest</t>
        </is>
      </c>
      <c r="I63" s="33" t="inlineStr">
        <is>
          <t>Forest</t>
        </is>
      </c>
      <c r="J63" s="33" t="inlineStr">
        <is>
          <t>Forest</t>
        </is>
      </c>
      <c r="K63" s="30" t="inlineStr">
        <is>
          <t>Fun Max</t>
        </is>
      </c>
      <c r="L63" s="31">
        <f>INDEX(B63:J63,MATCH(K63,$B$5:$J$5,0))</f>
        <v/>
      </c>
      <c r="M63" s="22">
        <f>IFERROR(VLOOKUP(L63,Prices!$A:$B,2,FALSE),0)</f>
        <v/>
      </c>
      <c r="N63" s="32">
        <f>IFERROR(INDEX('_why_4c'!$B59:$J59,MATCH(K63,$B$5:$J$5,0)),"")</f>
        <v/>
      </c>
    </row>
    <row r="64">
      <c r="A64" s="28" t="n">
        <v>59</v>
      </c>
      <c r="B64" s="13" t="inlineStr">
        <is>
          <t>Forest</t>
        </is>
      </c>
      <c r="C64" s="13" t="inlineStr">
        <is>
          <t>Forest</t>
        </is>
      </c>
      <c r="D64" s="13" t="inlineStr">
        <is>
          <t>Forest</t>
        </is>
      </c>
      <c r="E64" s="13" t="inlineStr">
        <is>
          <t>Forest</t>
        </is>
      </c>
      <c r="F64" s="13" t="inlineStr">
        <is>
          <t>Forest</t>
        </is>
      </c>
      <c r="G64" s="13" t="inlineStr">
        <is>
          <t>Forest</t>
        </is>
      </c>
      <c r="H64" s="13" t="inlineStr">
        <is>
          <t>Forest</t>
        </is>
      </c>
      <c r="I64" s="13" t="inlineStr">
        <is>
          <t>Forest</t>
        </is>
      </c>
      <c r="J64" s="13" t="inlineStr">
        <is>
          <t>Forest</t>
        </is>
      </c>
      <c r="K64" s="30" t="inlineStr">
        <is>
          <t>Fun Max</t>
        </is>
      </c>
      <c r="L64" s="31">
        <f>INDEX(B64:J64,MATCH(K64,$B$5:$J$5,0))</f>
        <v/>
      </c>
      <c r="M64" s="22">
        <f>IFERROR(VLOOKUP(L64,Prices!$A:$B,2,FALSE),0)</f>
        <v/>
      </c>
      <c r="N64" s="32">
        <f>IFERROR(INDEX('_why_4c'!$B60:$J60,MATCH(K64,$B$5:$J$5,0)),"")</f>
        <v/>
      </c>
    </row>
    <row r="65">
      <c r="A65" s="28" t="n">
        <v>60</v>
      </c>
      <c r="B65" s="33" t="inlineStr">
        <is>
          <t>Forest</t>
        </is>
      </c>
      <c r="C65" s="33" t="inlineStr">
        <is>
          <t>Forest</t>
        </is>
      </c>
      <c r="D65" s="33" t="inlineStr">
        <is>
          <t>Forest</t>
        </is>
      </c>
      <c r="E65" s="33" t="inlineStr">
        <is>
          <t>Forest</t>
        </is>
      </c>
      <c r="F65" s="33" t="inlineStr">
        <is>
          <t>Forest</t>
        </is>
      </c>
      <c r="G65" s="33" t="inlineStr">
        <is>
          <t>Forest</t>
        </is>
      </c>
      <c r="H65" s="33" t="inlineStr">
        <is>
          <t>Forest</t>
        </is>
      </c>
      <c r="I65" s="33" t="inlineStr">
        <is>
          <t>Forest</t>
        </is>
      </c>
      <c r="J65" s="33" t="inlineStr">
        <is>
          <t>Forest</t>
        </is>
      </c>
      <c r="K65" s="30" t="inlineStr">
        <is>
          <t>Fun Max</t>
        </is>
      </c>
      <c r="L65" s="31">
        <f>INDEX(B65:J65,MATCH(K65,$B$5:$J$5,0))</f>
        <v/>
      </c>
      <c r="M65" s="22">
        <f>IFERROR(VLOOKUP(L65,Prices!$A:$B,2,FALSE),0)</f>
        <v/>
      </c>
      <c r="N65" s="32">
        <f>IFERROR(INDEX('_why_4c'!$B61:$J61,MATCH(K65,$B$5:$J$5,0)),"")</f>
        <v/>
      </c>
    </row>
    <row r="66">
      <c r="A66" s="28" t="n">
        <v>61</v>
      </c>
      <c r="B66" s="13" t="inlineStr">
        <is>
          <t>Plains</t>
        </is>
      </c>
      <c r="C66" s="13" t="inlineStr">
        <is>
          <t>Plains</t>
        </is>
      </c>
      <c r="D66" s="13" t="inlineStr">
        <is>
          <t>Plains</t>
        </is>
      </c>
      <c r="E66" s="13" t="inlineStr">
        <is>
          <t>Plains</t>
        </is>
      </c>
      <c r="F66" s="13" t="inlineStr">
        <is>
          <t>Plains</t>
        </is>
      </c>
      <c r="G66" s="13" t="inlineStr">
        <is>
          <t>Plains</t>
        </is>
      </c>
      <c r="H66" s="13" t="inlineStr">
        <is>
          <t>Plains</t>
        </is>
      </c>
      <c r="I66" s="13" t="inlineStr">
        <is>
          <t>Plains</t>
        </is>
      </c>
      <c r="J66" s="13" t="inlineStr">
        <is>
          <t>Plains</t>
        </is>
      </c>
      <c r="K66" s="30" t="inlineStr">
        <is>
          <t>Fun Max</t>
        </is>
      </c>
      <c r="L66" s="31">
        <f>INDEX(B66:J66,MATCH(K66,$B$5:$J$5,0))</f>
        <v/>
      </c>
      <c r="M66" s="22">
        <f>IFERROR(VLOOKUP(L66,Prices!$A:$B,2,FALSE),0)</f>
        <v/>
      </c>
      <c r="N66" s="32">
        <f>IFERROR(INDEX('_why_4c'!$B62:$J62,MATCH(K66,$B$5:$J$5,0)),"")</f>
        <v/>
      </c>
    </row>
    <row r="67">
      <c r="A67" s="28" t="n">
        <v>62</v>
      </c>
      <c r="B67" s="33" t="inlineStr">
        <is>
          <t>Plains</t>
        </is>
      </c>
      <c r="C67" s="33" t="inlineStr">
        <is>
          <t>Plains</t>
        </is>
      </c>
      <c r="D67" s="33" t="inlineStr">
        <is>
          <t>Plains</t>
        </is>
      </c>
      <c r="E67" s="33" t="inlineStr">
        <is>
          <t>Plains</t>
        </is>
      </c>
      <c r="F67" s="33" t="inlineStr">
        <is>
          <t>Plains</t>
        </is>
      </c>
      <c r="G67" s="33" t="inlineStr">
        <is>
          <t>Plains</t>
        </is>
      </c>
      <c r="H67" s="33" t="inlineStr">
        <is>
          <t>Plains</t>
        </is>
      </c>
      <c r="I67" s="33" t="inlineStr">
        <is>
          <t>Plains</t>
        </is>
      </c>
      <c r="J67" s="33" t="inlineStr">
        <is>
          <t>Plains</t>
        </is>
      </c>
      <c r="K67" s="30" t="inlineStr">
        <is>
          <t>Fun Max</t>
        </is>
      </c>
      <c r="L67" s="31">
        <f>INDEX(B67:J67,MATCH(K67,$B$5:$J$5,0))</f>
        <v/>
      </c>
      <c r="M67" s="22">
        <f>IFERROR(VLOOKUP(L67,Prices!$A:$B,2,FALSE),0)</f>
        <v/>
      </c>
      <c r="N67" s="32">
        <f>IFERROR(INDEX('_why_4c'!$B63:$J63,MATCH(K67,$B$5:$J$5,0)),"")</f>
        <v/>
      </c>
    </row>
    <row r="68">
      <c r="A68" s="28" t="n">
        <v>63</v>
      </c>
      <c r="B68" s="13" t="inlineStr">
        <is>
          <t>Plains</t>
        </is>
      </c>
      <c r="C68" s="13" t="inlineStr">
        <is>
          <t>Plains</t>
        </is>
      </c>
      <c r="D68" s="13" t="inlineStr">
        <is>
          <t>Plains</t>
        </is>
      </c>
      <c r="E68" s="13" t="inlineStr">
        <is>
          <t>Plains</t>
        </is>
      </c>
      <c r="F68" s="13" t="inlineStr">
        <is>
          <t>Plains</t>
        </is>
      </c>
      <c r="G68" s="13" t="inlineStr">
        <is>
          <t>Plains</t>
        </is>
      </c>
      <c r="H68" s="13" t="inlineStr">
        <is>
          <t>Plains</t>
        </is>
      </c>
      <c r="I68" s="13" t="inlineStr">
        <is>
          <t>Plains</t>
        </is>
      </c>
      <c r="J68" s="13" t="inlineStr">
        <is>
          <t>Plains</t>
        </is>
      </c>
      <c r="K68" s="30" t="inlineStr">
        <is>
          <t>Fun Max</t>
        </is>
      </c>
      <c r="L68" s="31">
        <f>INDEX(B68:J68,MATCH(K68,$B$5:$J$5,0))</f>
        <v/>
      </c>
      <c r="M68" s="22">
        <f>IFERROR(VLOOKUP(L68,Prices!$A:$B,2,FALSE),0)</f>
        <v/>
      </c>
      <c r="N68" s="32">
        <f>IFERROR(INDEX('_why_4c'!$B64:$J64,MATCH(K68,$B$5:$J$5,0)),"")</f>
        <v/>
      </c>
    </row>
    <row r="69">
      <c r="A69" s="28" t="n">
        <v>64</v>
      </c>
      <c r="B69" s="33" t="inlineStr">
        <is>
          <t>Plains</t>
        </is>
      </c>
      <c r="C69" s="33" t="inlineStr">
        <is>
          <t>Plains</t>
        </is>
      </c>
      <c r="D69" s="33" t="inlineStr">
        <is>
          <t>Plains</t>
        </is>
      </c>
      <c r="E69" s="33" t="inlineStr">
        <is>
          <t>Plains</t>
        </is>
      </c>
      <c r="F69" s="33" t="inlineStr">
        <is>
          <t>Plains</t>
        </is>
      </c>
      <c r="G69" s="33" t="inlineStr">
        <is>
          <t>Plains</t>
        </is>
      </c>
      <c r="H69" s="33" t="inlineStr">
        <is>
          <t>Plains</t>
        </is>
      </c>
      <c r="I69" s="33" t="inlineStr">
        <is>
          <t>Plains</t>
        </is>
      </c>
      <c r="J69" s="33" t="inlineStr">
        <is>
          <t>Plains</t>
        </is>
      </c>
      <c r="K69" s="30" t="inlineStr">
        <is>
          <t>Fun Max</t>
        </is>
      </c>
      <c r="L69" s="31">
        <f>INDEX(B69:J69,MATCH(K69,$B$5:$J$5,0))</f>
        <v/>
      </c>
      <c r="M69" s="22">
        <f>IFERROR(VLOOKUP(L69,Prices!$A:$B,2,FALSE),0)</f>
        <v/>
      </c>
      <c r="N69" s="32">
        <f>IFERROR(INDEX('_why_4c'!$B65:$J65,MATCH(K69,$B$5:$J$5,0)),"")</f>
        <v/>
      </c>
    </row>
    <row r="70">
      <c r="A70" s="28" t="n">
        <v>65</v>
      </c>
      <c r="B70" s="13" t="inlineStr">
        <is>
          <t>Plains</t>
        </is>
      </c>
      <c r="C70" s="13" t="inlineStr">
        <is>
          <t>Plains</t>
        </is>
      </c>
      <c r="D70" s="13" t="inlineStr">
        <is>
          <t>Plains</t>
        </is>
      </c>
      <c r="E70" s="13" t="inlineStr">
        <is>
          <t>Plains</t>
        </is>
      </c>
      <c r="F70" s="13" t="inlineStr">
        <is>
          <t>Plains</t>
        </is>
      </c>
      <c r="G70" s="13" t="inlineStr">
        <is>
          <t>Plains</t>
        </is>
      </c>
      <c r="H70" s="13" t="inlineStr">
        <is>
          <t>Plains</t>
        </is>
      </c>
      <c r="I70" s="13" t="inlineStr">
        <is>
          <t>Plains</t>
        </is>
      </c>
      <c r="J70" s="13" t="inlineStr">
        <is>
          <t>Plains</t>
        </is>
      </c>
      <c r="K70" s="30" t="inlineStr">
        <is>
          <t>Fun Max</t>
        </is>
      </c>
      <c r="L70" s="31">
        <f>INDEX(B70:J70,MATCH(K70,$B$5:$J$5,0))</f>
        <v/>
      </c>
      <c r="M70" s="22">
        <f>IFERROR(VLOOKUP(L70,Prices!$A:$B,2,FALSE),0)</f>
        <v/>
      </c>
      <c r="N70" s="32">
        <f>IFERROR(INDEX('_why_4c'!$B66:$J66,MATCH(K70,$B$5:$J$5,0)),"")</f>
        <v/>
      </c>
    </row>
    <row r="71">
      <c r="A71" s="28" t="n">
        <v>66</v>
      </c>
      <c r="B71" s="33" t="inlineStr">
        <is>
          <t>Plains</t>
        </is>
      </c>
      <c r="C71" s="33" t="inlineStr">
        <is>
          <t>Plains</t>
        </is>
      </c>
      <c r="D71" s="33" t="inlineStr">
        <is>
          <t>Plains</t>
        </is>
      </c>
      <c r="E71" s="33" t="inlineStr">
        <is>
          <t>Plains</t>
        </is>
      </c>
      <c r="F71" s="33" t="inlineStr">
        <is>
          <t>Plains</t>
        </is>
      </c>
      <c r="G71" s="33" t="inlineStr">
        <is>
          <t>Plains</t>
        </is>
      </c>
      <c r="H71" s="33" t="inlineStr">
        <is>
          <t>Plains</t>
        </is>
      </c>
      <c r="I71" s="33" t="inlineStr">
        <is>
          <t>Plains</t>
        </is>
      </c>
      <c r="J71" s="33" t="inlineStr">
        <is>
          <t>Plains</t>
        </is>
      </c>
      <c r="K71" s="30" t="inlineStr">
        <is>
          <t>Fun Max</t>
        </is>
      </c>
      <c r="L71" s="31">
        <f>INDEX(B71:J71,MATCH(K71,$B$5:$J$5,0))</f>
        <v/>
      </c>
      <c r="M71" s="22">
        <f>IFERROR(VLOOKUP(L71,Prices!$A:$B,2,FALSE),0)</f>
        <v/>
      </c>
      <c r="N71" s="32">
        <f>IFERROR(INDEX('_why_4c'!$B67:$J67,MATCH(K71,$B$5:$J$5,0)),"")</f>
        <v/>
      </c>
    </row>
    <row r="72">
      <c r="A72" s="28" t="n">
        <v>67</v>
      </c>
      <c r="B72" s="13" t="inlineStr">
        <is>
          <t>Island</t>
        </is>
      </c>
      <c r="C72" s="13" t="inlineStr">
        <is>
          <t>Island</t>
        </is>
      </c>
      <c r="D72" s="13" t="inlineStr">
        <is>
          <t>Island</t>
        </is>
      </c>
      <c r="E72" s="13" t="inlineStr">
        <is>
          <t>Island</t>
        </is>
      </c>
      <c r="F72" s="13" t="inlineStr">
        <is>
          <t>Island</t>
        </is>
      </c>
      <c r="G72" s="13" t="inlineStr">
        <is>
          <t>Island</t>
        </is>
      </c>
      <c r="H72" s="13" t="inlineStr">
        <is>
          <t>Island</t>
        </is>
      </c>
      <c r="I72" s="13" t="inlineStr">
        <is>
          <t>Island</t>
        </is>
      </c>
      <c r="J72" s="13" t="inlineStr">
        <is>
          <t>Island</t>
        </is>
      </c>
      <c r="K72" s="30" t="inlineStr">
        <is>
          <t>Fun Max</t>
        </is>
      </c>
      <c r="L72" s="31">
        <f>INDEX(B72:J72,MATCH(K72,$B$5:$J$5,0))</f>
        <v/>
      </c>
      <c r="M72" s="22">
        <f>IFERROR(VLOOKUP(L72,Prices!$A:$B,2,FALSE),0)</f>
        <v/>
      </c>
      <c r="N72" s="32">
        <f>IFERROR(INDEX('_why_4c'!$B68:$J68,MATCH(K72,$B$5:$J$5,0)),"")</f>
        <v/>
      </c>
    </row>
    <row r="73">
      <c r="A73" s="28" t="n">
        <v>68</v>
      </c>
      <c r="B73" s="33" t="inlineStr">
        <is>
          <t>Island</t>
        </is>
      </c>
      <c r="C73" s="33" t="inlineStr">
        <is>
          <t>Island</t>
        </is>
      </c>
      <c r="D73" s="33" t="inlineStr">
        <is>
          <t>Island</t>
        </is>
      </c>
      <c r="E73" s="33" t="inlineStr">
        <is>
          <t>Island</t>
        </is>
      </c>
      <c r="F73" s="33" t="inlineStr">
        <is>
          <t>Island</t>
        </is>
      </c>
      <c r="G73" s="33" t="inlineStr">
        <is>
          <t>Island</t>
        </is>
      </c>
      <c r="H73" s="33" t="inlineStr">
        <is>
          <t>Island</t>
        </is>
      </c>
      <c r="I73" s="33" t="inlineStr">
        <is>
          <t>Island</t>
        </is>
      </c>
      <c r="J73" s="33" t="inlineStr">
        <is>
          <t>Island</t>
        </is>
      </c>
      <c r="K73" s="30" t="inlineStr">
        <is>
          <t>Fun Max</t>
        </is>
      </c>
      <c r="L73" s="31">
        <f>INDEX(B73:J73,MATCH(K73,$B$5:$J$5,0))</f>
        <v/>
      </c>
      <c r="M73" s="22">
        <f>IFERROR(VLOOKUP(L73,Prices!$A:$B,2,FALSE),0)</f>
        <v/>
      </c>
      <c r="N73" s="32">
        <f>IFERROR(INDEX('_why_4c'!$B69:$J69,MATCH(K73,$B$5:$J$5,0)),"")</f>
        <v/>
      </c>
    </row>
    <row r="74">
      <c r="A74" s="28" t="n">
        <v>69</v>
      </c>
      <c r="B74" s="13" t="inlineStr">
        <is>
          <t>Island</t>
        </is>
      </c>
      <c r="C74" s="13" t="inlineStr">
        <is>
          <t>Island</t>
        </is>
      </c>
      <c r="D74" s="13" t="inlineStr">
        <is>
          <t>Island</t>
        </is>
      </c>
      <c r="E74" s="13" t="inlineStr">
        <is>
          <t>Island</t>
        </is>
      </c>
      <c r="F74" s="13" t="inlineStr">
        <is>
          <t>Island</t>
        </is>
      </c>
      <c r="G74" s="13" t="inlineStr">
        <is>
          <t>Island</t>
        </is>
      </c>
      <c r="H74" s="13" t="inlineStr">
        <is>
          <t>Island</t>
        </is>
      </c>
      <c r="I74" s="13" t="inlineStr">
        <is>
          <t>Island</t>
        </is>
      </c>
      <c r="J74" s="13" t="inlineStr">
        <is>
          <t>Island</t>
        </is>
      </c>
      <c r="K74" s="30" t="inlineStr">
        <is>
          <t>Fun Max</t>
        </is>
      </c>
      <c r="L74" s="31">
        <f>INDEX(B74:J74,MATCH(K74,$B$5:$J$5,0))</f>
        <v/>
      </c>
      <c r="M74" s="22">
        <f>IFERROR(VLOOKUP(L74,Prices!$A:$B,2,FALSE),0)</f>
        <v/>
      </c>
      <c r="N74" s="32">
        <f>IFERROR(INDEX('_why_4c'!$B70:$J70,MATCH(K74,$B$5:$J$5,0)),"")</f>
        <v/>
      </c>
    </row>
    <row r="75">
      <c r="A75" s="28" t="n">
        <v>70</v>
      </c>
      <c r="B75" s="33" t="inlineStr">
        <is>
          <t>Island</t>
        </is>
      </c>
      <c r="C75" s="33" t="inlineStr">
        <is>
          <t>Island</t>
        </is>
      </c>
      <c r="D75" s="33" t="inlineStr">
        <is>
          <t>Island</t>
        </is>
      </c>
      <c r="E75" s="33" t="inlineStr">
        <is>
          <t>Island</t>
        </is>
      </c>
      <c r="F75" s="33" t="inlineStr">
        <is>
          <t>Island</t>
        </is>
      </c>
      <c r="G75" s="33" t="inlineStr">
        <is>
          <t>Island</t>
        </is>
      </c>
      <c r="H75" s="33" t="inlineStr">
        <is>
          <t>Island</t>
        </is>
      </c>
      <c r="I75" s="33" t="inlineStr">
        <is>
          <t>Island</t>
        </is>
      </c>
      <c r="J75" s="33" t="inlineStr">
        <is>
          <t>Island</t>
        </is>
      </c>
      <c r="K75" s="30" t="inlineStr">
        <is>
          <t>Fun Max</t>
        </is>
      </c>
      <c r="L75" s="31">
        <f>INDEX(B75:J75,MATCH(K75,$B$5:$J$5,0))</f>
        <v/>
      </c>
      <c r="M75" s="22">
        <f>IFERROR(VLOOKUP(L75,Prices!$A:$B,2,FALSE),0)</f>
        <v/>
      </c>
      <c r="N75" s="32">
        <f>IFERROR(INDEX('_why_4c'!$B71:$J71,MATCH(K75,$B$5:$J$5,0)),"")</f>
        <v/>
      </c>
    </row>
    <row r="76">
      <c r="A76" s="28" t="n">
        <v>71</v>
      </c>
      <c r="B76" s="13" t="inlineStr">
        <is>
          <t>Island</t>
        </is>
      </c>
      <c r="C76" s="13" t="inlineStr">
        <is>
          <t>Island</t>
        </is>
      </c>
      <c r="D76" s="13" t="inlineStr">
        <is>
          <t>Island</t>
        </is>
      </c>
      <c r="E76" s="13" t="inlineStr">
        <is>
          <t>Island</t>
        </is>
      </c>
      <c r="F76" s="13" t="inlineStr">
        <is>
          <t>Island</t>
        </is>
      </c>
      <c r="G76" s="13" t="inlineStr">
        <is>
          <t>Island</t>
        </is>
      </c>
      <c r="H76" s="13" t="inlineStr">
        <is>
          <t>Island</t>
        </is>
      </c>
      <c r="I76" s="13" t="inlineStr">
        <is>
          <t>Island</t>
        </is>
      </c>
      <c r="J76" s="13" t="inlineStr">
        <is>
          <t>Island</t>
        </is>
      </c>
      <c r="K76" s="30" t="inlineStr">
        <is>
          <t>Fun Max</t>
        </is>
      </c>
      <c r="L76" s="31">
        <f>INDEX(B76:J76,MATCH(K76,$B$5:$J$5,0))</f>
        <v/>
      </c>
      <c r="M76" s="22">
        <f>IFERROR(VLOOKUP(L76,Prices!$A:$B,2,FALSE),0)</f>
        <v/>
      </c>
      <c r="N76" s="32">
        <f>IFERROR(INDEX('_why_4c'!$B72:$J72,MATCH(K76,$B$5:$J$5,0)),"")</f>
        <v/>
      </c>
    </row>
    <row r="77">
      <c r="A77" s="28" t="n">
        <v>72</v>
      </c>
      <c r="B77" s="33" t="inlineStr">
        <is>
          <t>Island</t>
        </is>
      </c>
      <c r="C77" s="33" t="inlineStr">
        <is>
          <t>Island</t>
        </is>
      </c>
      <c r="D77" s="33" t="inlineStr">
        <is>
          <t>Island</t>
        </is>
      </c>
      <c r="E77" s="33" t="inlineStr">
        <is>
          <t>Island</t>
        </is>
      </c>
      <c r="F77" s="33" t="inlineStr">
        <is>
          <t>Island</t>
        </is>
      </c>
      <c r="G77" s="33" t="inlineStr">
        <is>
          <t>Island</t>
        </is>
      </c>
      <c r="H77" s="33" t="inlineStr">
        <is>
          <t>Island</t>
        </is>
      </c>
      <c r="I77" s="33" t="inlineStr">
        <is>
          <t>Island</t>
        </is>
      </c>
      <c r="J77" s="33" t="inlineStr">
        <is>
          <t>Island</t>
        </is>
      </c>
      <c r="K77" s="30" t="inlineStr">
        <is>
          <t>Fun Max</t>
        </is>
      </c>
      <c r="L77" s="31">
        <f>INDEX(B77:J77,MATCH(K77,$B$5:$J$5,0))</f>
        <v/>
      </c>
      <c r="M77" s="22">
        <f>IFERROR(VLOOKUP(L77,Prices!$A:$B,2,FALSE),0)</f>
        <v/>
      </c>
      <c r="N77" s="32">
        <f>IFERROR(INDEX('_why_4c'!$B73:$J73,MATCH(K77,$B$5:$J$5,0)),"")</f>
        <v/>
      </c>
    </row>
    <row r="78">
      <c r="A78" s="28" t="n">
        <v>73</v>
      </c>
      <c r="B78" s="13" t="inlineStr">
        <is>
          <t>Island</t>
        </is>
      </c>
      <c r="C78" s="13" t="inlineStr">
        <is>
          <t>Island</t>
        </is>
      </c>
      <c r="D78" s="13" t="inlineStr">
        <is>
          <t>Island</t>
        </is>
      </c>
      <c r="E78" s="13" t="inlineStr">
        <is>
          <t>Island</t>
        </is>
      </c>
      <c r="F78" s="13" t="inlineStr">
        <is>
          <t>Island</t>
        </is>
      </c>
      <c r="G78" s="13" t="inlineStr">
        <is>
          <t>Island</t>
        </is>
      </c>
      <c r="H78" s="13" t="inlineStr">
        <is>
          <t>Island</t>
        </is>
      </c>
      <c r="I78" s="13" t="inlineStr">
        <is>
          <t>Island</t>
        </is>
      </c>
      <c r="J78" s="13" t="inlineStr">
        <is>
          <t>Island</t>
        </is>
      </c>
      <c r="K78" s="30" t="inlineStr">
        <is>
          <t>Fun Max</t>
        </is>
      </c>
      <c r="L78" s="31">
        <f>INDEX(B78:J78,MATCH(K78,$B$5:$J$5,0))</f>
        <v/>
      </c>
      <c r="M78" s="22">
        <f>IFERROR(VLOOKUP(L78,Prices!$A:$B,2,FALSE),0)</f>
        <v/>
      </c>
      <c r="N78" s="32">
        <f>IFERROR(INDEX('_why_4c'!$B74:$J74,MATCH(K78,$B$5:$J$5,0)),"")</f>
        <v/>
      </c>
    </row>
    <row r="79">
      <c r="A79" s="28" t="n">
        <v>74</v>
      </c>
      <c r="B79" s="33" t="inlineStr">
        <is>
          <t>Command Tower</t>
        </is>
      </c>
      <c r="C79" s="33" t="inlineStr">
        <is>
          <t>Command Tower</t>
        </is>
      </c>
      <c r="D79" s="33" t="inlineStr">
        <is>
          <t>Command Tower</t>
        </is>
      </c>
      <c r="E79" s="33" t="inlineStr">
        <is>
          <t>Command Tower</t>
        </is>
      </c>
      <c r="F79" s="33" t="inlineStr">
        <is>
          <t>Command Tower</t>
        </is>
      </c>
      <c r="G79" s="33" t="inlineStr">
        <is>
          <t>Command Tower</t>
        </is>
      </c>
      <c r="H79" s="33" t="inlineStr">
        <is>
          <t>Command Tower</t>
        </is>
      </c>
      <c r="I79" s="33" t="inlineStr">
        <is>
          <t>Command Tower</t>
        </is>
      </c>
      <c r="J79" s="33" t="inlineStr">
        <is>
          <t>Command Tower</t>
        </is>
      </c>
      <c r="K79" s="30" t="inlineStr">
        <is>
          <t>Fun Max</t>
        </is>
      </c>
      <c r="L79" s="31">
        <f>INDEX(B79:J79,MATCH(K79,$B$5:$J$5,0))</f>
        <v/>
      </c>
      <c r="M79" s="22">
        <f>IFERROR(VLOOKUP(L79,Prices!$A:$B,2,FALSE),0)</f>
        <v/>
      </c>
      <c r="N79" s="32">
        <f>IFERROR(INDEX('_why_4c'!$B75:$J75,MATCH(K79,$B$5:$J$5,0)),"")</f>
        <v/>
      </c>
    </row>
    <row r="80">
      <c r="A80" s="28" t="n">
        <v>75</v>
      </c>
      <c r="B80" s="13" t="inlineStr">
        <is>
          <t>Seaside Citadel</t>
        </is>
      </c>
      <c r="C80" s="13" t="inlineStr">
        <is>
          <t>Seaside Citadel</t>
        </is>
      </c>
      <c r="D80" s="13" t="inlineStr">
        <is>
          <t>Seaside Citadel</t>
        </is>
      </c>
      <c r="E80" s="13" t="inlineStr">
        <is>
          <t>Seaside Citadel</t>
        </is>
      </c>
      <c r="F80" s="29" t="inlineStr">
        <is>
          <t>Ulamog, the Infinite Gyre</t>
        </is>
      </c>
      <c r="G80" s="29" t="inlineStr">
        <is>
          <t>Ulamog, the Infinite Gyre</t>
        </is>
      </c>
      <c r="H80" s="29" t="inlineStr">
        <is>
          <t>Ulamog, the Infinite Gyre</t>
        </is>
      </c>
      <c r="I80" s="29" t="inlineStr">
        <is>
          <t>Origin of Metalbending</t>
        </is>
      </c>
      <c r="J80" s="13" t="inlineStr">
        <is>
          <t>Seaside Citadel</t>
        </is>
      </c>
      <c r="K80" s="30" t="inlineStr">
        <is>
          <t>Fun Max</t>
        </is>
      </c>
      <c r="L80" s="31">
        <f>INDEX(B80:J80,MATCH(K80,$B$5:$J$5,0))</f>
        <v/>
      </c>
      <c r="M80" s="22">
        <f>IFERROR(VLOOKUP(L80,Prices!$A:$B,2,FALSE),0)</f>
        <v/>
      </c>
      <c r="N80" s="32">
        <f>IFERROR(INDEX('_why_4c'!$B76:$J76,MATCH(K80,$B$5:$J$5,0)),"")</f>
        <v/>
      </c>
    </row>
    <row r="81">
      <c r="A81" s="28" t="n">
        <v>76</v>
      </c>
      <c r="B81" s="33" t="inlineStr">
        <is>
          <t>Exotic Orchard</t>
        </is>
      </c>
      <c r="C81" s="33" t="inlineStr">
        <is>
          <t>Exotic Orchard</t>
        </is>
      </c>
      <c r="D81" s="33" t="inlineStr">
        <is>
          <t>Exotic Orchard</t>
        </is>
      </c>
      <c r="E81" s="33" t="inlineStr">
        <is>
          <t>Exotic Orchard</t>
        </is>
      </c>
      <c r="F81" s="33" t="inlineStr">
        <is>
          <t>Exotic Orchard</t>
        </is>
      </c>
      <c r="G81" s="33" t="inlineStr">
        <is>
          <t>Exotic Orchard</t>
        </is>
      </c>
      <c r="H81" s="33" t="inlineStr">
        <is>
          <t>Exotic Orchard</t>
        </is>
      </c>
      <c r="I81" s="33" t="inlineStr">
        <is>
          <t>Exotic Orchard</t>
        </is>
      </c>
      <c r="J81" s="33" t="inlineStr">
        <is>
          <t>Exotic Orchard</t>
        </is>
      </c>
      <c r="K81" s="30" t="inlineStr">
        <is>
          <t>Fun Max</t>
        </is>
      </c>
      <c r="L81" s="31">
        <f>INDEX(B81:J81,MATCH(K81,$B$5:$J$5,0))</f>
        <v/>
      </c>
      <c r="M81" s="22">
        <f>IFERROR(VLOOKUP(L81,Prices!$A:$B,2,FALSE),0)</f>
        <v/>
      </c>
      <c r="N81" s="32">
        <f>IFERROR(INDEX('_why_4c'!$B77:$J77,MATCH(K81,$B$5:$J$5,0)),"")</f>
        <v/>
      </c>
    </row>
    <row r="82">
      <c r="A82" s="28" t="n">
        <v>77</v>
      </c>
      <c r="B82" s="13" t="inlineStr">
        <is>
          <t>Path of Ancestry</t>
        </is>
      </c>
      <c r="C82" s="13" t="inlineStr">
        <is>
          <t>Path of Ancestry</t>
        </is>
      </c>
      <c r="D82" s="13" t="inlineStr">
        <is>
          <t>Path of Ancestry</t>
        </is>
      </c>
      <c r="E82" s="13" t="inlineStr">
        <is>
          <t>Path of Ancestry</t>
        </is>
      </c>
      <c r="F82" s="29" t="inlineStr">
        <is>
          <t>Paradise Druid</t>
        </is>
      </c>
      <c r="G82" s="29" t="inlineStr">
        <is>
          <t>Paradise Druid</t>
        </is>
      </c>
      <c r="H82" s="29" t="inlineStr">
        <is>
          <t>Paradise Druid</t>
        </is>
      </c>
      <c r="I82" s="13" t="inlineStr">
        <is>
          <t>Path of Ancestry</t>
        </is>
      </c>
      <c r="J82" s="13" t="inlineStr">
        <is>
          <t>Path of Ancestry</t>
        </is>
      </c>
      <c r="K82" s="30" t="inlineStr">
        <is>
          <t>Fun Max</t>
        </is>
      </c>
      <c r="L82" s="31">
        <f>INDEX(B82:J82,MATCH(K82,$B$5:$J$5,0))</f>
        <v/>
      </c>
      <c r="M82" s="22">
        <f>IFERROR(VLOOKUP(L82,Prices!$A:$B,2,FALSE),0)</f>
        <v/>
      </c>
      <c r="N82" s="32">
        <f>IFERROR(INDEX('_why_4c'!$B78:$J78,MATCH(K82,$B$5:$J$5,0)),"")</f>
        <v/>
      </c>
    </row>
    <row r="83">
      <c r="A83" s="28" t="n">
        <v>78</v>
      </c>
      <c r="B83" s="33" t="inlineStr">
        <is>
          <t>Bant Panorama</t>
        </is>
      </c>
      <c r="C83" s="33" t="inlineStr">
        <is>
          <t>Bant Panorama</t>
        </is>
      </c>
      <c r="D83" s="33" t="inlineStr">
        <is>
          <t>Bant Panorama</t>
        </is>
      </c>
      <c r="E83" s="33" t="inlineStr">
        <is>
          <t>Bant Panorama</t>
        </is>
      </c>
      <c r="F83" s="34" t="inlineStr">
        <is>
          <t>Valorous Stance</t>
        </is>
      </c>
      <c r="G83" s="34" t="inlineStr">
        <is>
          <t>Valorous Stance</t>
        </is>
      </c>
      <c r="H83" s="34" t="inlineStr">
        <is>
          <t>Valorous Stance</t>
        </is>
      </c>
      <c r="I83" s="33" t="inlineStr">
        <is>
          <t>Bant Panorama</t>
        </is>
      </c>
      <c r="J83" s="33" t="inlineStr">
        <is>
          <t>Bant Panorama</t>
        </is>
      </c>
      <c r="K83" s="30" t="inlineStr">
        <is>
          <t>Fun Max</t>
        </is>
      </c>
      <c r="L83" s="31">
        <f>INDEX(B83:J83,MATCH(K83,$B$5:$J$5,0))</f>
        <v/>
      </c>
      <c r="M83" s="22">
        <f>IFERROR(VLOOKUP(L83,Prices!$A:$B,2,FALSE),0)</f>
        <v/>
      </c>
      <c r="N83" s="32">
        <f>IFERROR(INDEX('_why_4c'!$B79:$J79,MATCH(K83,$B$5:$J$5,0)),"")</f>
        <v/>
      </c>
    </row>
    <row r="84">
      <c r="A84" s="28" t="n">
        <v>79</v>
      </c>
      <c r="B84" s="13" t="inlineStr">
        <is>
          <t>Thornwood Falls</t>
        </is>
      </c>
      <c r="C84" s="13" t="inlineStr">
        <is>
          <t>Thornwood Falls</t>
        </is>
      </c>
      <c r="D84" s="13" t="inlineStr">
        <is>
          <t>Thornwood Falls</t>
        </is>
      </c>
      <c r="E84" s="13" t="inlineStr">
        <is>
          <t>Thornwood Falls</t>
        </is>
      </c>
      <c r="F84" s="13" t="inlineStr">
        <is>
          <t>Thornwood Falls</t>
        </is>
      </c>
      <c r="G84" s="13" t="inlineStr">
        <is>
          <t>Thornwood Falls</t>
        </is>
      </c>
      <c r="H84" s="13" t="inlineStr">
        <is>
          <t>Thornwood Falls</t>
        </is>
      </c>
      <c r="I84" s="13" t="inlineStr">
        <is>
          <t>Thornwood Falls</t>
        </is>
      </c>
      <c r="J84" s="13" t="inlineStr">
        <is>
          <t>Thornwood Falls</t>
        </is>
      </c>
      <c r="K84" s="30" t="inlineStr">
        <is>
          <t>Fun Max</t>
        </is>
      </c>
      <c r="L84" s="31">
        <f>INDEX(B84:J84,MATCH(K84,$B$5:$J$5,0))</f>
        <v/>
      </c>
      <c r="M84" s="22">
        <f>IFERROR(VLOOKUP(L84,Prices!$A:$B,2,FALSE),0)</f>
        <v/>
      </c>
      <c r="N84" s="32">
        <f>IFERROR(INDEX('_why_4c'!$B80:$J80,MATCH(K84,$B$5:$J$5,0)),"")</f>
        <v/>
      </c>
    </row>
    <row r="85">
      <c r="A85" s="28" t="n">
        <v>80</v>
      </c>
      <c r="B85" s="33" t="inlineStr">
        <is>
          <t>Tranquil Cove</t>
        </is>
      </c>
      <c r="C85" s="33" t="inlineStr">
        <is>
          <t>Tranquil Cove</t>
        </is>
      </c>
      <c r="D85" s="33" t="inlineStr">
        <is>
          <t>Tranquil Cove</t>
        </is>
      </c>
      <c r="E85" s="33" t="inlineStr">
        <is>
          <t>Tranquil Cove</t>
        </is>
      </c>
      <c r="F85" s="33" t="inlineStr">
        <is>
          <t>Tranquil Cove</t>
        </is>
      </c>
      <c r="G85" s="33" t="inlineStr">
        <is>
          <t>Tranquil Cove</t>
        </is>
      </c>
      <c r="H85" s="33" t="inlineStr">
        <is>
          <t>Tranquil Cove</t>
        </is>
      </c>
      <c r="I85" s="33" t="inlineStr">
        <is>
          <t>Tranquil Cove</t>
        </is>
      </c>
      <c r="J85" s="33" t="inlineStr">
        <is>
          <t>Tranquil Cove</t>
        </is>
      </c>
      <c r="K85" s="30" t="inlineStr">
        <is>
          <t>Fun Max</t>
        </is>
      </c>
      <c r="L85" s="31">
        <f>INDEX(B85:J85,MATCH(K85,$B$5:$J$5,0))</f>
        <v/>
      </c>
      <c r="M85" s="22">
        <f>IFERROR(VLOOKUP(L85,Prices!$A:$B,2,FALSE),0)</f>
        <v/>
      </c>
      <c r="N85" s="32">
        <f>IFERROR(INDEX('_why_4c'!$B81:$J81,MATCH(K85,$B$5:$J$5,0)),"")</f>
        <v/>
      </c>
    </row>
    <row r="86">
      <c r="A86" s="28" t="n">
        <v>81</v>
      </c>
      <c r="B86" s="13" t="inlineStr">
        <is>
          <t>Blossoming Sands</t>
        </is>
      </c>
      <c r="C86" s="13" t="inlineStr">
        <is>
          <t>Blossoming Sands</t>
        </is>
      </c>
      <c r="D86" s="13" t="inlineStr">
        <is>
          <t>Blossoming Sands</t>
        </is>
      </c>
      <c r="E86" s="13" t="inlineStr">
        <is>
          <t>Blossoming Sands</t>
        </is>
      </c>
      <c r="F86" s="13" t="inlineStr">
        <is>
          <t>Blossoming Sands</t>
        </is>
      </c>
      <c r="G86" s="13" t="inlineStr">
        <is>
          <t>Blossoming Sands</t>
        </is>
      </c>
      <c r="H86" s="13" t="inlineStr">
        <is>
          <t>Blossoming Sands</t>
        </is>
      </c>
      <c r="I86" s="13" t="inlineStr">
        <is>
          <t>Blossoming Sands</t>
        </is>
      </c>
      <c r="J86" s="13" t="inlineStr">
        <is>
          <t>Blossoming Sands</t>
        </is>
      </c>
      <c r="K86" s="30" t="inlineStr">
        <is>
          <t>Fun Max</t>
        </is>
      </c>
      <c r="L86" s="31">
        <f>INDEX(B86:J86,MATCH(K86,$B$5:$J$5,0))</f>
        <v/>
      </c>
      <c r="M86" s="22">
        <f>IFERROR(VLOOKUP(L86,Prices!$A:$B,2,FALSE),0)</f>
        <v/>
      </c>
      <c r="N86" s="32">
        <f>IFERROR(INDEX('_why_4c'!$B82:$J82,MATCH(K86,$B$5:$J$5,0)),"")</f>
        <v/>
      </c>
    </row>
    <row r="87">
      <c r="A87" s="28" t="n">
        <v>82</v>
      </c>
      <c r="B87" s="33" t="inlineStr">
        <is>
          <t>Simic Growth Chamber</t>
        </is>
      </c>
      <c r="C87" s="33" t="inlineStr">
        <is>
          <t>Simic Growth Chamber</t>
        </is>
      </c>
      <c r="D87" s="33" t="inlineStr">
        <is>
          <t>Simic Growth Chamber</t>
        </is>
      </c>
      <c r="E87" s="33" t="inlineStr">
        <is>
          <t>Simic Growth Chamber</t>
        </is>
      </c>
      <c r="F87" s="33" t="inlineStr">
        <is>
          <t>Simic Growth Chamber</t>
        </is>
      </c>
      <c r="G87" s="33" t="inlineStr">
        <is>
          <t>Simic Growth Chamber</t>
        </is>
      </c>
      <c r="H87" s="33" t="inlineStr">
        <is>
          <t>Simic Growth Chamber</t>
        </is>
      </c>
      <c r="I87" s="33" t="inlineStr">
        <is>
          <t>Simic Growth Chamber</t>
        </is>
      </c>
      <c r="J87" s="33" t="inlineStr">
        <is>
          <t>Simic Growth Chamber</t>
        </is>
      </c>
      <c r="K87" s="30" t="inlineStr">
        <is>
          <t>Fun Max</t>
        </is>
      </c>
      <c r="L87" s="31">
        <f>INDEX(B87:J87,MATCH(K87,$B$5:$J$5,0))</f>
        <v/>
      </c>
      <c r="M87" s="22">
        <f>IFERROR(VLOOKUP(L87,Prices!$A:$B,2,FALSE),0)</f>
        <v/>
      </c>
      <c r="N87" s="32">
        <f>IFERROR(INDEX('_why_4c'!$B83:$J83,MATCH(K87,$B$5:$J$5,0)),"")</f>
        <v/>
      </c>
    </row>
    <row r="88">
      <c r="A88" s="28" t="n">
        <v>83</v>
      </c>
      <c r="B88" s="13" t="inlineStr">
        <is>
          <t>Azorius Chancery</t>
        </is>
      </c>
      <c r="C88" s="13" t="inlineStr">
        <is>
          <t>Azorius Chancery</t>
        </is>
      </c>
      <c r="D88" s="13" t="inlineStr">
        <is>
          <t>Azorius Chancery</t>
        </is>
      </c>
      <c r="E88" s="13" t="inlineStr">
        <is>
          <t>Azorius Chancery</t>
        </is>
      </c>
      <c r="F88" s="13" t="inlineStr">
        <is>
          <t>Azorius Chancery</t>
        </is>
      </c>
      <c r="G88" s="13" t="inlineStr">
        <is>
          <t>Azorius Chancery</t>
        </is>
      </c>
      <c r="H88" s="13" t="inlineStr">
        <is>
          <t>Azorius Chancery</t>
        </is>
      </c>
      <c r="I88" s="13" t="inlineStr">
        <is>
          <t>Azorius Chancery</t>
        </is>
      </c>
      <c r="J88" s="13" t="inlineStr">
        <is>
          <t>Azorius Chancery</t>
        </is>
      </c>
      <c r="K88" s="30" t="inlineStr">
        <is>
          <t>Fun Max</t>
        </is>
      </c>
      <c r="L88" s="31">
        <f>INDEX(B88:J88,MATCH(K88,$B$5:$J$5,0))</f>
        <v/>
      </c>
      <c r="M88" s="22">
        <f>IFERROR(VLOOKUP(L88,Prices!$A:$B,2,FALSE),0)</f>
        <v/>
      </c>
      <c r="N88" s="32">
        <f>IFERROR(INDEX('_why_4c'!$B84:$J84,MATCH(K88,$B$5:$J$5,0)),"")</f>
        <v/>
      </c>
    </row>
    <row r="89">
      <c r="A89" s="28" t="n">
        <v>84</v>
      </c>
      <c r="B89" s="33" t="inlineStr">
        <is>
          <t>Selesnya Sanctuary</t>
        </is>
      </c>
      <c r="C89" s="33" t="inlineStr">
        <is>
          <t>Selesnya Sanctuary</t>
        </is>
      </c>
      <c r="D89" s="33" t="inlineStr">
        <is>
          <t>Selesnya Sanctuary</t>
        </is>
      </c>
      <c r="E89" s="33" t="inlineStr">
        <is>
          <t>Selesnya Sanctuary</t>
        </is>
      </c>
      <c r="F89" s="33" t="inlineStr">
        <is>
          <t>Selesnya Sanctuary</t>
        </is>
      </c>
      <c r="G89" s="33" t="inlineStr">
        <is>
          <t>Selesnya Sanctuary</t>
        </is>
      </c>
      <c r="H89" s="33" t="inlineStr">
        <is>
          <t>Selesnya Sanctuary</t>
        </is>
      </c>
      <c r="I89" s="34" t="inlineStr">
        <is>
          <t>Wall of Omens</t>
        </is>
      </c>
      <c r="J89" s="33" t="inlineStr">
        <is>
          <t>Selesnya Sanctuary</t>
        </is>
      </c>
      <c r="K89" s="30" t="inlineStr">
        <is>
          <t>Fun Max</t>
        </is>
      </c>
      <c r="L89" s="31">
        <f>INDEX(B89:J89,MATCH(K89,$B$5:$J$5,0))</f>
        <v/>
      </c>
      <c r="M89" s="22">
        <f>IFERROR(VLOOKUP(L89,Prices!$A:$B,2,FALSE),0)</f>
        <v/>
      </c>
      <c r="N89" s="32">
        <f>IFERROR(INDEX('_why_4c'!$B85:$J85,MATCH(K89,$B$5:$J$5,0)),"")</f>
        <v/>
      </c>
    </row>
    <row r="90">
      <c r="A90" s="28" t="n">
        <v>85</v>
      </c>
      <c r="B90" s="13" t="inlineStr">
        <is>
          <t>Hinterland Harbor</t>
        </is>
      </c>
      <c r="C90" s="13" t="inlineStr">
        <is>
          <t>Hinterland Harbor</t>
        </is>
      </c>
      <c r="D90" s="13" t="inlineStr">
        <is>
          <t>Hinterland Harbor</t>
        </is>
      </c>
      <c r="E90" s="13" t="inlineStr">
        <is>
          <t>Hinterland Harbor</t>
        </is>
      </c>
      <c r="F90" s="13" t="inlineStr">
        <is>
          <t>Hinterland Harbor</t>
        </is>
      </c>
      <c r="G90" s="13" t="inlineStr">
        <is>
          <t>Hinterland Harbor</t>
        </is>
      </c>
      <c r="H90" s="13" t="inlineStr">
        <is>
          <t>Hinterland Harbor</t>
        </is>
      </c>
      <c r="I90" s="13" t="inlineStr">
        <is>
          <t>Hinterland Harbor</t>
        </is>
      </c>
      <c r="J90" s="13" t="inlineStr">
        <is>
          <t>Hinterland Harbor</t>
        </is>
      </c>
      <c r="K90" s="30" t="inlineStr">
        <is>
          <t>Fun Max</t>
        </is>
      </c>
      <c r="L90" s="31">
        <f>INDEX(B90:J90,MATCH(K90,$B$5:$J$5,0))</f>
        <v/>
      </c>
      <c r="M90" s="22">
        <f>IFERROR(VLOOKUP(L90,Prices!$A:$B,2,FALSE),0)</f>
        <v/>
      </c>
      <c r="N90" s="32">
        <f>IFERROR(INDEX('_why_4c'!$B86:$J86,MATCH(K90,$B$5:$J$5,0)),"")</f>
        <v/>
      </c>
    </row>
    <row r="91">
      <c r="A91" s="28" t="n">
        <v>86</v>
      </c>
      <c r="B91" s="33" t="inlineStr">
        <is>
          <t>Sunpetal Grove</t>
        </is>
      </c>
      <c r="C91" s="33" t="inlineStr">
        <is>
          <t>Sunpetal Grove</t>
        </is>
      </c>
      <c r="D91" s="33" t="inlineStr">
        <is>
          <t>Sunpetal Grove</t>
        </is>
      </c>
      <c r="E91" s="33" t="inlineStr">
        <is>
          <t>Sunpetal Grove</t>
        </is>
      </c>
      <c r="F91" s="33" t="inlineStr">
        <is>
          <t>Sunpetal Grove</t>
        </is>
      </c>
      <c r="G91" s="33" t="inlineStr">
        <is>
          <t>Sunpetal Grove</t>
        </is>
      </c>
      <c r="H91" s="33" t="inlineStr">
        <is>
          <t>Sunpetal Grove</t>
        </is>
      </c>
      <c r="I91" s="34" t="inlineStr">
        <is>
          <t>Wall of Blossoms</t>
        </is>
      </c>
      <c r="J91" s="33" t="inlineStr">
        <is>
          <t>Sunpetal Grove</t>
        </is>
      </c>
      <c r="K91" s="30" t="inlineStr">
        <is>
          <t>Fun Max</t>
        </is>
      </c>
      <c r="L91" s="31">
        <f>INDEX(B91:J91,MATCH(K91,$B$5:$J$5,0))</f>
        <v/>
      </c>
      <c r="M91" s="22">
        <f>IFERROR(VLOOKUP(L91,Prices!$A:$B,2,FALSE),0)</f>
        <v/>
      </c>
      <c r="N91" s="32">
        <f>IFERROR(INDEX('_why_4c'!$B87:$J87,MATCH(K91,$B$5:$J$5,0)),"")</f>
        <v/>
      </c>
    </row>
    <row r="92">
      <c r="A92" s="28" t="n">
        <v>87</v>
      </c>
      <c r="B92" s="13" t="inlineStr">
        <is>
          <t>Glacial Fortress</t>
        </is>
      </c>
      <c r="C92" s="13" t="inlineStr">
        <is>
          <t>Glacial Fortress</t>
        </is>
      </c>
      <c r="D92" s="13" t="inlineStr">
        <is>
          <t>Glacial Fortress</t>
        </is>
      </c>
      <c r="E92" s="13" t="inlineStr">
        <is>
          <t>Glacial Fortress</t>
        </is>
      </c>
      <c r="F92" s="13" t="inlineStr">
        <is>
          <t>Glacial Fortress</t>
        </is>
      </c>
      <c r="G92" s="13" t="inlineStr">
        <is>
          <t>Glacial Fortress</t>
        </is>
      </c>
      <c r="H92" s="13" t="inlineStr">
        <is>
          <t>Glacial Fortress</t>
        </is>
      </c>
      <c r="I92" s="13" t="inlineStr">
        <is>
          <t>Glacial Fortress</t>
        </is>
      </c>
      <c r="J92" s="13" t="inlineStr">
        <is>
          <t>Glacial Fortress</t>
        </is>
      </c>
      <c r="K92" s="30" t="inlineStr">
        <is>
          <t>Fun Max</t>
        </is>
      </c>
      <c r="L92" s="31">
        <f>INDEX(B92:J92,MATCH(K92,$B$5:$J$5,0))</f>
        <v/>
      </c>
      <c r="M92" s="22">
        <f>IFERROR(VLOOKUP(L92,Prices!$A:$B,2,FALSE),0)</f>
        <v/>
      </c>
      <c r="N92" s="32">
        <f>IFERROR(INDEX('_why_4c'!$B88:$J88,MATCH(K92,$B$5:$J$5,0)),"")</f>
        <v/>
      </c>
    </row>
    <row r="93">
      <c r="A93" s="28" t="n">
        <v>88</v>
      </c>
      <c r="B93" s="33" t="inlineStr">
        <is>
          <t>Evolving Wilds</t>
        </is>
      </c>
      <c r="C93" s="33" t="inlineStr">
        <is>
          <t>Evolving Wilds</t>
        </is>
      </c>
      <c r="D93" s="33" t="inlineStr">
        <is>
          <t>Evolving Wilds</t>
        </is>
      </c>
      <c r="E93" s="33" t="inlineStr">
        <is>
          <t>Evolving Wilds</t>
        </is>
      </c>
      <c r="F93" s="33" t="inlineStr">
        <is>
          <t>Evolving Wilds</t>
        </is>
      </c>
      <c r="G93" s="33" t="inlineStr">
        <is>
          <t>Evolving Wilds</t>
        </is>
      </c>
      <c r="H93" s="33" t="inlineStr">
        <is>
          <t>Evolving Wilds</t>
        </is>
      </c>
      <c r="I93" s="33" t="inlineStr">
        <is>
          <t>Evolving Wilds</t>
        </is>
      </c>
      <c r="J93" s="34" t="inlineStr">
        <is>
          <t>Smothering Tithe</t>
        </is>
      </c>
      <c r="K93" s="30" t="inlineStr">
        <is>
          <t>Fun Max</t>
        </is>
      </c>
      <c r="L93" s="31">
        <f>INDEX(B93:J93,MATCH(K93,$B$5:$J$5,0))</f>
        <v/>
      </c>
      <c r="M93" s="22">
        <f>IFERROR(VLOOKUP(L93,Prices!$A:$B,2,FALSE),0)</f>
        <v/>
      </c>
      <c r="N93" s="32">
        <f>IFERROR(INDEX('_why_4c'!$B89:$J89,MATCH(K93,$B$5:$J$5,0)),"")</f>
        <v/>
      </c>
    </row>
    <row r="94">
      <c r="A94" s="28" t="n">
        <v>89</v>
      </c>
      <c r="B94" s="13" t="inlineStr">
        <is>
          <t>Terramorphic Expanse</t>
        </is>
      </c>
      <c r="C94" s="13" t="inlineStr">
        <is>
          <t>Terramorphic Expanse</t>
        </is>
      </c>
      <c r="D94" s="13" t="inlineStr">
        <is>
          <t>Terramorphic Expanse</t>
        </is>
      </c>
      <c r="E94" s="13" t="inlineStr">
        <is>
          <t>Terramorphic Expanse</t>
        </is>
      </c>
      <c r="F94" s="29" t="inlineStr">
        <is>
          <t>Hullbreaker Horror</t>
        </is>
      </c>
      <c r="G94" s="29" t="inlineStr">
        <is>
          <t>Hullbreaker Horror</t>
        </is>
      </c>
      <c r="H94" s="29" t="inlineStr">
        <is>
          <t>Hullbreaker Horror</t>
        </is>
      </c>
      <c r="I94" s="29" t="inlineStr">
        <is>
          <t>Axebane Guardian</t>
        </is>
      </c>
      <c r="J94" s="13" t="inlineStr">
        <is>
          <t>Terramorphic Expanse</t>
        </is>
      </c>
      <c r="K94" s="30" t="inlineStr">
        <is>
          <t>Fun Max</t>
        </is>
      </c>
      <c r="L94" s="31">
        <f>INDEX(B94:J94,MATCH(K94,$B$5:$J$5,0))</f>
        <v/>
      </c>
      <c r="M94" s="22">
        <f>IFERROR(VLOOKUP(L94,Prices!$A:$B,2,FALSE),0)</f>
        <v/>
      </c>
      <c r="N94" s="32">
        <f>IFERROR(INDEX('_why_4c'!$B90:$J90,MATCH(K94,$B$5:$J$5,0)),"")</f>
        <v/>
      </c>
    </row>
    <row r="95">
      <c r="A95" s="28" t="n">
        <v>90</v>
      </c>
      <c r="B95" s="33" t="inlineStr">
        <is>
          <t>Myriad Landscape</t>
        </is>
      </c>
      <c r="C95" s="33" t="inlineStr">
        <is>
          <t>Myriad Landscape</t>
        </is>
      </c>
      <c r="D95" s="33" t="inlineStr">
        <is>
          <t>Myriad Landscape</t>
        </is>
      </c>
      <c r="E95" s="33" t="inlineStr">
        <is>
          <t>Myriad Landscape</t>
        </is>
      </c>
      <c r="F95" s="34" t="inlineStr">
        <is>
          <t>Venat, Heart of Hydaelyn // Hydaelyn, the Mothercrystal</t>
        </is>
      </c>
      <c r="G95" s="34" t="inlineStr">
        <is>
          <t>Venat, Heart of Hydaelyn // Hydaelyn, the Mothercrystal</t>
        </is>
      </c>
      <c r="H95" s="34" t="inlineStr">
        <is>
          <t>Venat, Heart of Hydaelyn // Hydaelyn, the Mothercrystal</t>
        </is>
      </c>
      <c r="I95" s="33" t="inlineStr">
        <is>
          <t>Myriad Landscape</t>
        </is>
      </c>
      <c r="J95" s="33" t="inlineStr">
        <is>
          <t>Myriad Landscape</t>
        </is>
      </c>
      <c r="K95" s="30" t="inlineStr">
        <is>
          <t>Fun Max</t>
        </is>
      </c>
      <c r="L95" s="31">
        <f>INDEX(B95:J95,MATCH(K95,$B$5:$J$5,0))</f>
        <v/>
      </c>
      <c r="M95" s="22">
        <f>IFERROR(VLOOKUP(L95,Prices!$A:$B,2,FALSE),0)</f>
        <v/>
      </c>
      <c r="N95" s="32">
        <f>IFERROR(INDEX('_why_4c'!$B91:$J91,MATCH(K95,$B$5:$J$5,0)),"")</f>
        <v/>
      </c>
    </row>
    <row r="96">
      <c r="A96" s="28" t="n">
        <v>91</v>
      </c>
      <c r="B96" s="13" t="inlineStr">
        <is>
          <t>Krosan Verge</t>
        </is>
      </c>
      <c r="C96" s="13" t="inlineStr">
        <is>
          <t>Krosan Verge</t>
        </is>
      </c>
      <c r="D96" s="13" t="inlineStr">
        <is>
          <t>Krosan Verge</t>
        </is>
      </c>
      <c r="E96" s="13" t="inlineStr">
        <is>
          <t>Krosan Verge</t>
        </is>
      </c>
      <c r="F96" s="13" t="inlineStr">
        <is>
          <t>Krosan Verge</t>
        </is>
      </c>
      <c r="G96" s="13" t="inlineStr">
        <is>
          <t>Krosan Verge</t>
        </is>
      </c>
      <c r="H96" s="13" t="inlineStr">
        <is>
          <t>Krosan Verge</t>
        </is>
      </c>
      <c r="I96" s="29" t="inlineStr">
        <is>
          <t>High Alert</t>
        </is>
      </c>
      <c r="J96" s="29" t="inlineStr">
        <is>
          <t>Sight of the Scalelords</t>
        </is>
      </c>
      <c r="K96" s="30" t="inlineStr">
        <is>
          <t>Fun Max</t>
        </is>
      </c>
      <c r="L96" s="31">
        <f>INDEX(B96:J96,MATCH(K96,$B$5:$J$5,0))</f>
        <v/>
      </c>
      <c r="M96" s="22">
        <f>IFERROR(VLOOKUP(L96,Prices!$A:$B,2,FALSE),0)</f>
        <v/>
      </c>
      <c r="N96" s="32">
        <f>IFERROR(INDEX('_why_4c'!$B92:$J92,MATCH(K96,$B$5:$J$5,0)),"")</f>
        <v/>
      </c>
    </row>
    <row r="97">
      <c r="A97" s="28" t="n">
        <v>92</v>
      </c>
      <c r="B97" s="33" t="inlineStr">
        <is>
          <t>Temple of Mystery</t>
        </is>
      </c>
      <c r="C97" s="33" t="inlineStr">
        <is>
          <t>Temple of Mystery</t>
        </is>
      </c>
      <c r="D97" s="33" t="inlineStr">
        <is>
          <t>Temple of Mystery</t>
        </is>
      </c>
      <c r="E97" s="33" t="inlineStr">
        <is>
          <t>Temple of Mystery</t>
        </is>
      </c>
      <c r="F97" s="33" t="inlineStr">
        <is>
          <t>Temple of Mystery</t>
        </is>
      </c>
      <c r="G97" s="33" t="inlineStr">
        <is>
          <t>Temple of Mystery</t>
        </is>
      </c>
      <c r="H97" s="33" t="inlineStr">
        <is>
          <t>Temple of Mystery</t>
        </is>
      </c>
      <c r="I97" s="33" t="inlineStr">
        <is>
          <t>Temple of Mystery</t>
        </is>
      </c>
      <c r="J97" s="33" t="inlineStr">
        <is>
          <t>Temple of Mystery</t>
        </is>
      </c>
      <c r="K97" s="30" t="inlineStr">
        <is>
          <t>Fun Max</t>
        </is>
      </c>
      <c r="L97" s="31">
        <f>INDEX(B97:J97,MATCH(K97,$B$5:$J$5,0))</f>
        <v/>
      </c>
      <c r="M97" s="22">
        <f>IFERROR(VLOOKUP(L97,Prices!$A:$B,2,FALSE),0)</f>
        <v/>
      </c>
      <c r="N97" s="32">
        <f>IFERROR(INDEX('_why_4c'!$B93:$J93,MATCH(K97,$B$5:$J$5,0)),"")</f>
        <v/>
      </c>
    </row>
    <row r="98">
      <c r="A98" s="28" t="n">
        <v>93</v>
      </c>
      <c r="B98" s="13" t="inlineStr">
        <is>
          <t>Temple of Plenty</t>
        </is>
      </c>
      <c r="C98" s="13" t="inlineStr">
        <is>
          <t>Temple of Plenty</t>
        </is>
      </c>
      <c r="D98" s="13" t="inlineStr">
        <is>
          <t>Temple of Plenty</t>
        </is>
      </c>
      <c r="E98" s="13" t="inlineStr">
        <is>
          <t>Temple of Plenty</t>
        </is>
      </c>
      <c r="F98" s="13" t="inlineStr">
        <is>
          <t>Temple of Plenty</t>
        </is>
      </c>
      <c r="G98" s="13" t="inlineStr">
        <is>
          <t>Temple of Plenty</t>
        </is>
      </c>
      <c r="H98" s="13" t="inlineStr">
        <is>
          <t>Temple of Plenty</t>
        </is>
      </c>
      <c r="I98" s="13" t="inlineStr">
        <is>
          <t>Temple of Plenty</t>
        </is>
      </c>
      <c r="J98" s="13" t="inlineStr">
        <is>
          <t>Temple of Plenty</t>
        </is>
      </c>
      <c r="K98" s="30" t="inlineStr">
        <is>
          <t>Fun Max</t>
        </is>
      </c>
      <c r="L98" s="31">
        <f>INDEX(B98:J98,MATCH(K98,$B$5:$J$5,0))</f>
        <v/>
      </c>
      <c r="M98" s="22">
        <f>IFERROR(VLOOKUP(L98,Prices!$A:$B,2,FALSE),0)</f>
        <v/>
      </c>
      <c r="N98" s="32">
        <f>IFERROR(INDEX('_why_4c'!$B94:$J94,MATCH(K98,$B$5:$J$5,0)),"")</f>
        <v/>
      </c>
    </row>
    <row r="99">
      <c r="A99" s="28" t="n">
        <v>94</v>
      </c>
      <c r="B99" s="33" t="inlineStr">
        <is>
          <t>Arcades, the Strategist</t>
        </is>
      </c>
      <c r="C99" s="33" t="inlineStr">
        <is>
          <t>Arcades, the Strategist</t>
        </is>
      </c>
      <c r="D99" s="33" t="inlineStr">
        <is>
          <t>Arcades, the Strategist</t>
        </is>
      </c>
      <c r="E99" s="33" t="inlineStr">
        <is>
          <t>Arcades, the Strategist</t>
        </is>
      </c>
      <c r="F99" s="33" t="inlineStr">
        <is>
          <t>Arcades, the Strategist</t>
        </is>
      </c>
      <c r="G99" s="33" t="inlineStr">
        <is>
          <t>Arcades, the Strategist</t>
        </is>
      </c>
      <c r="H99" s="33" t="inlineStr">
        <is>
          <t>Arcades, the Strategist</t>
        </is>
      </c>
      <c r="I99" s="33" t="inlineStr">
        <is>
          <t>Arcades, the Strategist</t>
        </is>
      </c>
      <c r="J99" s="33" t="inlineStr">
        <is>
          <t>Arcades, the Strategist</t>
        </is>
      </c>
      <c r="K99" s="30" t="inlineStr">
        <is>
          <t>Fun Max</t>
        </is>
      </c>
      <c r="L99" s="31">
        <f>INDEX(B99:J99,MATCH(K99,$B$5:$J$5,0))</f>
        <v/>
      </c>
      <c r="M99" s="22">
        <f>IFERROR(VLOOKUP(L99,Prices!$A:$B,2,FALSE),0)</f>
        <v/>
      </c>
      <c r="N99" s="32">
        <f>IFERROR(INDEX('_why_4c'!$B95:$J95,MATCH(K99,$B$5:$J$5,0)),"")</f>
        <v/>
      </c>
    </row>
    <row r="100">
      <c r="A100" s="28" t="n">
        <v>95</v>
      </c>
      <c r="B100" s="13" t="inlineStr">
        <is>
          <t>Wall of Roots</t>
        </is>
      </c>
      <c r="C100" s="13" t="inlineStr">
        <is>
          <t>Wall of Roots</t>
        </is>
      </c>
      <c r="D100" s="13" t="inlineStr">
        <is>
          <t>Wall of Roots</t>
        </is>
      </c>
      <c r="E100" s="13" t="inlineStr">
        <is>
          <t>Wall of Roots</t>
        </is>
      </c>
      <c r="F100" s="13" t="inlineStr">
        <is>
          <t>Wall of Roots</t>
        </is>
      </c>
      <c r="G100" s="13" t="inlineStr">
        <is>
          <t>Wall of Roots</t>
        </is>
      </c>
      <c r="H100" s="13" t="inlineStr">
        <is>
          <t>Wall of Roots</t>
        </is>
      </c>
      <c r="I100" s="13" t="inlineStr">
        <is>
          <t>Wall of Roots</t>
        </is>
      </c>
      <c r="J100" s="13" t="inlineStr">
        <is>
          <t>Wall of Roots</t>
        </is>
      </c>
      <c r="K100" s="30" t="inlineStr">
        <is>
          <t>Fun Max</t>
        </is>
      </c>
      <c r="L100" s="31">
        <f>INDEX(B100:J100,MATCH(K100,$B$5:$J$5,0))</f>
        <v/>
      </c>
      <c r="M100" s="22">
        <f>IFERROR(VLOOKUP(L100,Prices!$A:$B,2,FALSE),0)</f>
        <v/>
      </c>
      <c r="N100" s="32">
        <f>IFERROR(INDEX('_why_4c'!$B96:$J96,MATCH(K100,$B$5:$J$5,0)),"")</f>
        <v/>
      </c>
    </row>
    <row r="101">
      <c r="A101" s="28" t="n">
        <v>96</v>
      </c>
      <c r="B101" s="33" t="inlineStr">
        <is>
          <t>Crashing Drawbridge</t>
        </is>
      </c>
      <c r="C101" s="33" t="inlineStr">
        <is>
          <t>Crashing Drawbridge</t>
        </is>
      </c>
      <c r="D101" s="33" t="inlineStr">
        <is>
          <t>Crashing Drawbridge</t>
        </is>
      </c>
      <c r="E101" s="33" t="inlineStr">
        <is>
          <t>Crashing Drawbridge</t>
        </is>
      </c>
      <c r="F101" s="33" t="inlineStr">
        <is>
          <t>Crashing Drawbridge</t>
        </is>
      </c>
      <c r="G101" s="33" t="inlineStr">
        <is>
          <t>Crashing Drawbridge</t>
        </is>
      </c>
      <c r="H101" s="33" t="inlineStr">
        <is>
          <t>Crashing Drawbridge</t>
        </is>
      </c>
      <c r="I101" s="33" t="inlineStr">
        <is>
          <t>Crashing Drawbridge</t>
        </is>
      </c>
      <c r="J101" s="33" t="inlineStr">
        <is>
          <t>Crashing Drawbridge</t>
        </is>
      </c>
      <c r="K101" s="30" t="inlineStr">
        <is>
          <t>Fun Max</t>
        </is>
      </c>
      <c r="L101" s="31">
        <f>INDEX(B101:J101,MATCH(K101,$B$5:$J$5,0))</f>
        <v/>
      </c>
      <c r="M101" s="22">
        <f>IFERROR(VLOOKUP(L101,Prices!$A:$B,2,FALSE),0)</f>
        <v/>
      </c>
      <c r="N101" s="32">
        <f>IFERROR(INDEX('_why_4c'!$B97:$J97,MATCH(K101,$B$5:$J$5,0)),"")</f>
        <v/>
      </c>
    </row>
    <row r="102">
      <c r="A102" s="28" t="n">
        <v>97</v>
      </c>
      <c r="B102" s="13" t="inlineStr">
        <is>
          <t>Weathered Sentinels</t>
        </is>
      </c>
      <c r="C102" s="13" t="inlineStr">
        <is>
          <t>Weathered Sentinels</t>
        </is>
      </c>
      <c r="D102" s="13" t="inlineStr">
        <is>
          <t>Weathered Sentinels</t>
        </is>
      </c>
      <c r="E102" s="13" t="inlineStr">
        <is>
          <t>Weathered Sentinels</t>
        </is>
      </c>
      <c r="F102" s="13" t="inlineStr">
        <is>
          <t>Weathered Sentinels</t>
        </is>
      </c>
      <c r="G102" s="13" t="inlineStr">
        <is>
          <t>Weathered Sentinels</t>
        </is>
      </c>
      <c r="H102" s="13" t="inlineStr">
        <is>
          <t>Weathered Sentinels</t>
        </is>
      </c>
      <c r="I102" s="13" t="inlineStr">
        <is>
          <t>Weathered Sentinels</t>
        </is>
      </c>
      <c r="J102" s="13" t="inlineStr">
        <is>
          <t>Weathered Sentinels</t>
        </is>
      </c>
      <c r="K102" s="30" t="inlineStr">
        <is>
          <t>Fun Max</t>
        </is>
      </c>
      <c r="L102" s="31">
        <f>INDEX(B102:J102,MATCH(K102,$B$5:$J$5,0))</f>
        <v/>
      </c>
      <c r="M102" s="22">
        <f>IFERROR(VLOOKUP(L102,Prices!$A:$B,2,FALSE),0)</f>
        <v/>
      </c>
      <c r="N102" s="32">
        <f>IFERROR(INDEX('_why_4c'!$B98:$J98,MATCH(K102,$B$5:$J$5,0)),"")</f>
        <v/>
      </c>
    </row>
    <row r="103">
      <c r="A103" s="28" t="n">
        <v>98</v>
      </c>
      <c r="B103" s="33" t="inlineStr">
        <is>
          <t>Walking Bulwark</t>
        </is>
      </c>
      <c r="C103" s="33" t="inlineStr">
        <is>
          <t>Walking Bulwark</t>
        </is>
      </c>
      <c r="D103" s="33" t="inlineStr">
        <is>
          <t>Walking Bulwark</t>
        </is>
      </c>
      <c r="E103" s="33" t="inlineStr">
        <is>
          <t>Walking Bulwark</t>
        </is>
      </c>
      <c r="F103" s="33" t="inlineStr">
        <is>
          <t>Walking Bulwark</t>
        </is>
      </c>
      <c r="G103" s="33" t="inlineStr">
        <is>
          <t>Walking Bulwark</t>
        </is>
      </c>
      <c r="H103" s="33" t="inlineStr">
        <is>
          <t>Walking Bulwark</t>
        </is>
      </c>
      <c r="I103" s="33" t="inlineStr">
        <is>
          <t>Walking Bulwark</t>
        </is>
      </c>
      <c r="J103" s="33" t="inlineStr">
        <is>
          <t>Walking Bulwark</t>
        </is>
      </c>
      <c r="K103" s="30" t="inlineStr">
        <is>
          <t>Fun Max</t>
        </is>
      </c>
      <c r="L103" s="31">
        <f>INDEX(B103:J103,MATCH(K103,$B$5:$J$5,0))</f>
        <v/>
      </c>
      <c r="M103" s="22">
        <f>IFERROR(VLOOKUP(L103,Prices!$A:$B,2,FALSE),0)</f>
        <v/>
      </c>
      <c r="N103" s="32">
        <f>IFERROR(INDEX('_why_4c'!$B99:$J99,MATCH(K103,$B$5:$J$5,0)),"")</f>
        <v/>
      </c>
    </row>
    <row r="104">
      <c r="A104" s="28" t="n">
        <v>99</v>
      </c>
      <c r="B104" s="13" t="inlineStr">
        <is>
          <t>Tower Defense</t>
        </is>
      </c>
      <c r="C104" s="13" t="inlineStr">
        <is>
          <t>Tower Defense</t>
        </is>
      </c>
      <c r="D104" s="13" t="inlineStr">
        <is>
          <t>Tower Defense</t>
        </is>
      </c>
      <c r="E104" s="13" t="inlineStr">
        <is>
          <t>Tower Defense</t>
        </is>
      </c>
      <c r="F104" s="13" t="inlineStr">
        <is>
          <t>Tower Defense</t>
        </is>
      </c>
      <c r="G104" s="13" t="inlineStr">
        <is>
          <t>Tower Defense</t>
        </is>
      </c>
      <c r="H104" s="13" t="inlineStr">
        <is>
          <t>Tower Defense</t>
        </is>
      </c>
      <c r="I104" s="13" t="inlineStr">
        <is>
          <t>Tower Defense</t>
        </is>
      </c>
      <c r="J104" s="13" t="inlineStr">
        <is>
          <t>Tower Defense</t>
        </is>
      </c>
      <c r="K104" s="30" t="inlineStr">
        <is>
          <t>Fun Max</t>
        </is>
      </c>
      <c r="L104" s="31">
        <f>INDEX(B104:J104,MATCH(K104,$B$5:$J$5,0))</f>
        <v/>
      </c>
      <c r="M104" s="22">
        <f>IFERROR(VLOOKUP(L104,Prices!$A:$B,2,FALSE),0)</f>
        <v/>
      </c>
      <c r="N104" s="32">
        <f>IFERROR(INDEX('_why_4c'!$B100:$J100,MATCH(K104,$B$5:$J$5,0)),"")</f>
        <v/>
      </c>
    </row>
    <row r="105">
      <c r="A105" s="28" t="n">
        <v>100</v>
      </c>
      <c r="B105" s="33" t="inlineStr">
        <is>
          <t>Bedrock Tortoise</t>
        </is>
      </c>
      <c r="C105" s="33" t="inlineStr">
        <is>
          <t>Bedrock Tortoise</t>
        </is>
      </c>
      <c r="D105" s="33" t="inlineStr">
        <is>
          <t>Bedrock Tortoise</t>
        </is>
      </c>
      <c r="E105" s="33" t="inlineStr">
        <is>
          <t>Bedrock Tortoise</t>
        </is>
      </c>
      <c r="F105" s="33" t="inlineStr">
        <is>
          <t>Bedrock Tortoise</t>
        </is>
      </c>
      <c r="G105" s="33" t="inlineStr">
        <is>
          <t>Bedrock Tortoise</t>
        </is>
      </c>
      <c r="H105" s="33" t="inlineStr">
        <is>
          <t>Bedrock Tortoise</t>
        </is>
      </c>
      <c r="I105" s="33" t="inlineStr">
        <is>
          <t>Bedrock Tortoise</t>
        </is>
      </c>
      <c r="J105" s="33" t="inlineStr">
        <is>
          <t>Bedrock Tortoise</t>
        </is>
      </c>
      <c r="K105" s="30" t="inlineStr">
        <is>
          <t>Fun Max</t>
        </is>
      </c>
      <c r="L105" s="31">
        <f>INDEX(B105:J105,MATCH(K105,$B$5:$J$5,0))</f>
        <v/>
      </c>
      <c r="M105" s="22">
        <f>IFERROR(VLOOKUP(L105,Prices!$A:$B,2,FALSE),0)</f>
        <v/>
      </c>
      <c r="N105" s="32">
        <f>IFERROR(INDEX('_why_4c'!$B101:$J101,MATCH(K105,$B$5:$J$5,0)),"")</f>
        <v/>
      </c>
    </row>
    <row r="106">
      <c r="A106" s="9" t="inlineStr">
        <is>
          <t>TOTALS</t>
        </is>
      </c>
      <c r="B106" s="35" t="n">
        <v>57.94</v>
      </c>
      <c r="C106" s="35" t="n">
        <v>56.28</v>
      </c>
      <c r="D106" s="35" t="n">
        <v>57.29</v>
      </c>
      <c r="E106" s="35" t="n">
        <v>126.51</v>
      </c>
      <c r="F106" s="35" t="n">
        <v>124.43</v>
      </c>
      <c r="G106" s="35" t="n">
        <v>185.34</v>
      </c>
      <c r="H106" s="35" t="n">
        <v>185.34</v>
      </c>
      <c r="I106" s="35" t="n">
        <v>65.66</v>
      </c>
      <c r="J106" s="35" t="n">
        <v>131.47</v>
      </c>
      <c r="L106" s="9" t="inlineStr">
        <is>
          <t>Your selection →</t>
        </is>
      </c>
      <c r="M106" s="35">
        <f>SUM(M6:M105)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6">
    <mergeCell ref="I4:J4"/>
    <mergeCell ref="B4:E4"/>
    <mergeCell ref="A2:N2"/>
    <mergeCell ref="F4:H4"/>
    <mergeCell ref="A108:N108"/>
    <mergeCell ref="A1:N1"/>
  </mergeCells>
  <dataValidations count="1">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"Base,Tuned,Enhance,Max,Tuned-2,Enhance-2,Max-2,Fun Tuned,Fun Max"</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row>
    <row r="2">
      <c r="A2" t="n">
        <v>1</v>
      </c>
      <c r="B2" t="inlineStr"/>
      <c r="C2" t="inlineStr"/>
      <c r="D2" t="inlineStr"/>
      <c r="E2" t="inlineStr"/>
      <c r="F2" t="inlineStr"/>
      <c r="G2" t="inlineStr"/>
      <c r="H2" t="inlineStr"/>
      <c r="I2" t="inlineStr"/>
      <c r="J2" t="inlineStr"/>
    </row>
    <row r="3">
      <c r="A3" t="n">
        <v>2</v>
      </c>
      <c r="B3" t="inlineStr"/>
      <c r="C3" t="inlineStr"/>
      <c r="D3" t="inlineStr"/>
      <c r="E3" t="inlineStr"/>
      <c r="F3" t="inlineStr"/>
      <c r="G3" t="inlineStr"/>
      <c r="H3" t="inlineStr"/>
      <c r="I3" t="inlineStr"/>
      <c r="J3" t="inlineStr"/>
    </row>
    <row r="4">
      <c r="A4" t="n">
        <v>3</v>
      </c>
      <c r="B4" t="inlineStr"/>
      <c r="C4" t="inlineStr"/>
      <c r="D4" t="inlineStr"/>
      <c r="E4" t="inlineStr"/>
      <c r="F4" t="inlineStr"/>
      <c r="G4" t="inlineStr"/>
      <c r="H4" t="inlineStr"/>
      <c r="I4" t="inlineStr"/>
      <c r="J4" t="inlineStr"/>
    </row>
    <row r="5">
      <c r="A5" t="n">
        <v>4</v>
      </c>
      <c r="B5" t="inlineStr"/>
      <c r="C5" t="inlineStr"/>
      <c r="D5" t="inlineStr"/>
      <c r="E5" t="inlineStr"/>
      <c r="F5" t="inlineStr"/>
      <c r="G5" t="inlineStr"/>
      <c r="H5" t="inlineStr"/>
      <c r="I5" t="inlineStr"/>
      <c r="J5" t="inlineStr"/>
    </row>
    <row r="6">
      <c r="A6" t="n">
        <v>5</v>
      </c>
      <c r="B6" t="inlineStr"/>
      <c r="C6" t="inlineStr"/>
      <c r="D6" t="inlineStr"/>
      <c r="E6" t="inlineStr"/>
      <c r="F6" t="inlineStr"/>
      <c r="G6" t="inlineStr"/>
      <c r="H6" t="inlineStr"/>
      <c r="I6" t="inlineStr"/>
      <c r="J6" t="inlineStr"/>
    </row>
    <row r="7">
      <c r="A7" t="n">
        <v>6</v>
      </c>
      <c r="B7" t="inlineStr"/>
      <c r="C7" t="inlineStr"/>
      <c r="D7" t="inlineStr"/>
      <c r="E7" t="inlineStr"/>
      <c r="F7" t="inlineStr"/>
      <c r="G7" t="inlineStr"/>
      <c r="H7" t="inlineStr"/>
      <c r="I7" t="inlineStr"/>
      <c r="J7" t="inlineStr"/>
    </row>
    <row r="8">
      <c r="A8" t="n">
        <v>7</v>
      </c>
      <c r="B8" t="inlineStr"/>
      <c r="C8" t="inlineStr"/>
      <c r="D8" t="inlineStr"/>
      <c r="E8" t="inlineStr"/>
      <c r="F8" t="inlineStr"/>
      <c r="G8" t="inlineStr"/>
      <c r="H8" t="inlineStr"/>
      <c r="I8" t="inlineStr"/>
      <c r="J8" t="inlineStr"/>
    </row>
    <row r="9">
      <c r="A9" t="n">
        <v>8</v>
      </c>
      <c r="B9" t="inlineStr"/>
      <c r="C9" t="inlineStr"/>
      <c r="D9" t="inlineStr"/>
      <c r="E9" t="inlineStr"/>
      <c r="F9" t="inlineStr">
        <is>
          <t>Replaces Glacial Wall (adds protection/finisher/threat). Evidence: the card it replaces was cast in 90% of the games it was drawn; sat dead in hand 10% of the time; landed on turn 7.5 on average; the deck won 22% of games it was cast in.</t>
        </is>
      </c>
      <c r="G9" t="inlineStr"/>
      <c r="H9" t="inlineStr"/>
      <c r="I9" t="inlineStr"/>
      <c r="J9" t="inlineStr"/>
    </row>
    <row r="10">
      <c r="A10" t="n">
        <v>9</v>
      </c>
      <c r="B10" t="inlineStr"/>
      <c r="C10" t="inlineStr"/>
      <c r="D10" t="inlineStr"/>
      <c r="E10" t="inlineStr"/>
      <c r="F10" t="inlineStr"/>
      <c r="G10" t="inlineStr"/>
      <c r="H10" t="inlineStr"/>
      <c r="I10" t="inlineStr"/>
      <c r="J10" t="inlineStr"/>
    </row>
    <row r="11">
      <c r="A11" t="n">
        <v>10</v>
      </c>
      <c r="B11" t="inlineStr"/>
      <c r="C11" t="inlineStr"/>
      <c r="D11" t="inlineStr"/>
      <c r="E11" t="inlineStr"/>
      <c r="F11" t="inlineStr"/>
      <c r="G11" t="inlineStr"/>
      <c r="H11" t="inlineStr"/>
      <c r="I11" t="inlineStr"/>
      <c r="J11" t="inlineStr"/>
    </row>
    <row r="12">
      <c r="A12" t="n">
        <v>11</v>
      </c>
      <c r="B12" t="inlineStr"/>
      <c r="C12" t="inlineStr"/>
      <c r="D12" t="inlineStr"/>
      <c r="E12" t="inlineStr"/>
      <c r="F12" t="inlineStr"/>
      <c r="G12" t="inlineStr"/>
      <c r="H12" t="inlineStr"/>
      <c r="I12" t="inlineStr"/>
      <c r="J12" t="inlineStr"/>
    </row>
    <row r="13">
      <c r="A13" t="n">
        <v>12</v>
      </c>
      <c r="B13" t="inlineStr"/>
      <c r="C13" t="inlineStr"/>
      <c r="D13" t="inlineStr"/>
      <c r="E13" t="inlineStr"/>
      <c r="F13" t="inlineStr"/>
      <c r="G13" t="inlineStr"/>
      <c r="H13" t="inlineStr"/>
      <c r="I13" t="inlineStr"/>
      <c r="J13" t="inlineStr"/>
    </row>
    <row r="14">
      <c r="A14" t="n">
        <v>13</v>
      </c>
      <c r="B14" t="inlineStr"/>
      <c r="C14" t="inlineStr"/>
      <c r="D14" t="inlineStr"/>
      <c r="E14" t="inlineStr"/>
      <c r="F14" t="inlineStr">
        <is>
          <t>Replaces High Alert (adds protection/finisher/threat). Evidence: the card it replaces was cast in 89% of the games it was drawn; sat dead in hand 11% of the time; landed on turn 8.2 on average; the deck won 24% of games it was cast in.</t>
        </is>
      </c>
      <c r="G14" t="inlineStr"/>
      <c r="H14" t="inlineStr"/>
      <c r="I14" t="inlineStr">
        <is>
          <t>Replaces Seaside Citadel (adds draw/removal/protection/threat). Evidence: the land it replaces carried no spell effect the model could use; it was drawn in 19% of games; the deck stayed inside its land floor after the cut.</t>
        </is>
      </c>
      <c r="J14" t="inlineStr">
        <is>
          <t>Replaces Evolving Wilds (adds removal/protection). Evidence: the land it replaces carried no spell effect the model could use; it was drawn in 18% of games; the deck stayed inside its land floor after the cut.</t>
        </is>
      </c>
    </row>
    <row r="15">
      <c r="A15" t="n">
        <v>14</v>
      </c>
      <c r="B15" t="inlineStr"/>
      <c r="C15" t="inlineStr"/>
      <c r="D15" t="inlineStr"/>
      <c r="E15" t="inlineStr"/>
      <c r="F15" t="inlineStr"/>
      <c r="G15" t="inlineStr"/>
      <c r="H15" t="inlineStr"/>
      <c r="I15" t="inlineStr"/>
      <c r="J15" t="inlineStr"/>
    </row>
    <row r="16">
      <c r="A16" t="n">
        <v>15</v>
      </c>
      <c r="B16" t="inlineStr"/>
      <c r="C16" t="inlineStr"/>
      <c r="D16" t="inlineStr"/>
      <c r="E16" t="inlineStr"/>
      <c r="F16" t="inlineStr"/>
      <c r="G16" t="inlineStr"/>
      <c r="H16" t="inlineStr"/>
      <c r="I16" t="inlineStr"/>
      <c r="J16" t="inlineStr"/>
    </row>
    <row r="17">
      <c r="A17" t="n">
        <v>16</v>
      </c>
      <c r="B17" t="inlineStr"/>
      <c r="C17" t="inlineStr"/>
      <c r="D17" t="inlineStr"/>
      <c r="E17" t="inlineStr"/>
      <c r="F17" t="inlineStr"/>
      <c r="G17" t="inlineStr"/>
      <c r="H17" t="inlineStr"/>
      <c r="I17" t="inlineStr"/>
      <c r="J17" t="inlineStr"/>
    </row>
    <row r="18">
      <c r="A18" t="n">
        <v>17</v>
      </c>
      <c r="B18" t="inlineStr"/>
      <c r="C18" t="inlineStr"/>
      <c r="D18" t="inlineStr"/>
      <c r="E18" t="inlineStr"/>
      <c r="F18" t="inlineStr"/>
      <c r="G18" t="inlineStr"/>
      <c r="H18" t="inlineStr"/>
      <c r="I18" t="inlineStr"/>
      <c r="J18" t="inlineStr"/>
    </row>
    <row r="19">
      <c r="A19" t="n">
        <v>18</v>
      </c>
      <c r="B19" t="inlineStr"/>
      <c r="C19" t="inlineStr"/>
      <c r="D19" t="inlineStr"/>
      <c r="E19" t="inlineStr"/>
      <c r="F19" t="inlineStr"/>
      <c r="G19" t="inlineStr"/>
      <c r="H19" t="inlineStr"/>
      <c r="I19" t="inlineStr"/>
      <c r="J19" t="inlineStr"/>
    </row>
    <row r="20">
      <c r="A20" t="n">
        <v>19</v>
      </c>
      <c r="B20" t="inlineStr"/>
      <c r="C20" t="inlineStr"/>
      <c r="D20" t="inlineStr"/>
      <c r="E20" t="inlineStr"/>
      <c r="F20" t="inlineStr"/>
      <c r="G20" t="inlineStr"/>
      <c r="H20" t="inlineStr"/>
      <c r="I20" t="inlineStr"/>
      <c r="J20" t="inlineStr"/>
    </row>
    <row r="21">
      <c r="A21" t="n">
        <v>20</v>
      </c>
      <c r="B21" t="inlineStr"/>
      <c r="C21" t="inlineStr"/>
      <c r="D21" t="inlineStr"/>
      <c r="E21" t="inlineStr"/>
      <c r="F21" t="inlineStr"/>
      <c r="G21" t="inlineStr"/>
      <c r="H21" t="inlineStr"/>
      <c r="I21" t="inlineStr"/>
      <c r="J21" t="inlineStr"/>
    </row>
    <row r="22">
      <c r="A22" t="n">
        <v>21</v>
      </c>
      <c r="B22" t="inlineStr"/>
      <c r="C22" t="inlineStr"/>
      <c r="D22" t="inlineStr"/>
      <c r="E22" t="inlineStr"/>
      <c r="F22" t="inlineStr"/>
      <c r="G22" t="inlineStr"/>
      <c r="H22" t="inlineStr"/>
      <c r="I22" t="inlineStr">
        <is>
          <t>Replaces Selesnya Sanctuary (adds draw/removal/protection). Evidence: the land it replaces carried no spell effect the model could use; it was drawn in 19% of games; the deck stayed inside its land floor after the cut.</t>
        </is>
      </c>
      <c r="J22" t="inlineStr">
        <is>
          <t>Replaces Krosan Verge (adds removal/protection). Evidence: the land it replaces carried no spell effect the model could use; it was drawn in 19% of games; the deck stayed inside its land floor after the cut.</t>
        </is>
      </c>
    </row>
    <row r="23">
      <c r="A23" t="n">
        <v>22</v>
      </c>
      <c r="B23" t="inlineStr"/>
      <c r="C23" t="inlineStr"/>
      <c r="D23" t="inlineStr"/>
      <c r="E23" t="inlineStr"/>
      <c r="F23" t="inlineStr"/>
      <c r="G23" t="inlineStr"/>
      <c r="H23" t="inlineStr"/>
      <c r="I23" t="inlineStr"/>
      <c r="J23" t="inlineStr"/>
    </row>
    <row r="24">
      <c r="A24" t="n">
        <v>23</v>
      </c>
      <c r="B24" t="inlineStr"/>
      <c r="C24" t="inlineStr"/>
      <c r="D24" t="inlineStr"/>
      <c r="E24" t="inlineStr"/>
      <c r="F24" t="inlineStr"/>
      <c r="G24" t="inlineStr"/>
      <c r="H24" t="inlineStr"/>
      <c r="I24" t="inlineStr"/>
      <c r="J24" t="inlineStr"/>
    </row>
    <row r="25">
      <c r="A25" t="n">
        <v>24</v>
      </c>
      <c r="B25" t="inlineStr"/>
      <c r="C25" t="inlineStr"/>
      <c r="D25" t="inlineStr"/>
      <c r="E25" t="inlineStr"/>
      <c r="F25" t="inlineStr"/>
      <c r="G25" t="inlineStr"/>
      <c r="H25" t="inlineStr"/>
      <c r="I25" t="inlineStr"/>
      <c r="J25" t="inlineStr"/>
    </row>
    <row r="26">
      <c r="A26" t="n">
        <v>25</v>
      </c>
      <c r="B26" t="inlineStr"/>
      <c r="C26" t="inlineStr"/>
      <c r="D26" t="inlineStr"/>
      <c r="E26" t="inlineStr"/>
      <c r="F26" t="inlineStr"/>
      <c r="G26" t="inlineStr"/>
      <c r="H26" t="inlineStr"/>
      <c r="I26" t="inlineStr"/>
      <c r="J26" t="inlineStr"/>
    </row>
    <row r="27">
      <c r="A27" t="n">
        <v>26</v>
      </c>
      <c r="B27" t="inlineStr"/>
      <c r="C27" t="inlineStr"/>
      <c r="D27" t="inlineStr"/>
      <c r="E27" t="inlineStr"/>
      <c r="F27" t="inlineStr"/>
      <c r="G27" t="inlineStr"/>
      <c r="H27" t="inlineStr"/>
      <c r="I27" t="inlineStr"/>
      <c r="J27" t="inlineStr"/>
    </row>
    <row r="28">
      <c r="A28" t="n">
        <v>27</v>
      </c>
      <c r="B28" t="inlineStr"/>
      <c r="C28" t="inlineStr"/>
      <c r="D28" t="inlineStr"/>
      <c r="E28" t="inlineStr"/>
      <c r="F28" t="inlineStr"/>
      <c r="G28" t="inlineStr"/>
      <c r="H28" t="inlineStr"/>
      <c r="I28" t="inlineStr"/>
      <c r="J28" t="inlineStr"/>
    </row>
    <row r="29">
      <c r="A29" t="n">
        <v>28</v>
      </c>
      <c r="B29" t="inlineStr"/>
      <c r="C29" t="inlineStr"/>
      <c r="D29" t="inlineStr"/>
      <c r="E29" t="inlineStr"/>
      <c r="F29" t="inlineStr"/>
      <c r="G29" t="inlineStr"/>
      <c r="H29" t="inlineStr"/>
      <c r="I29" t="inlineStr"/>
      <c r="J29" t="inlineStr"/>
    </row>
    <row r="30">
      <c r="A30" t="n">
        <v>29</v>
      </c>
      <c r="B30" t="inlineStr"/>
      <c r="C30" t="inlineStr"/>
      <c r="D30" t="inlineStr"/>
      <c r="E30" t="inlineStr"/>
      <c r="F30" t="inlineStr"/>
      <c r="G30" t="inlineStr"/>
      <c r="H30" t="inlineStr"/>
      <c r="I30" t="inlineStr"/>
      <c r="J30" t="inlineStr"/>
    </row>
    <row r="31">
      <c r="A31" t="n">
        <v>30</v>
      </c>
      <c r="B31" t="inlineStr"/>
      <c r="C31" t="inlineStr"/>
      <c r="D31" t="inlineStr"/>
      <c r="E31" t="inlineStr"/>
      <c r="F31" t="inlineStr"/>
      <c r="G31" t="inlineStr"/>
      <c r="H31" t="inlineStr"/>
      <c r="I31" t="inlineStr"/>
      <c r="J31" t="inlineStr"/>
    </row>
    <row r="32">
      <c r="A32" t="n">
        <v>31</v>
      </c>
      <c r="B32" t="inlineStr"/>
      <c r="C32" t="inlineStr"/>
      <c r="D32" t="inlineStr"/>
      <c r="E32" t="inlineStr"/>
      <c r="F32" t="inlineStr"/>
      <c r="G32" t="inlineStr"/>
      <c r="H32" t="inlineStr"/>
      <c r="I32" t="inlineStr"/>
      <c r="J32" t="inlineStr"/>
    </row>
    <row r="33">
      <c r="A33" t="n">
        <v>32</v>
      </c>
      <c r="B33" t="inlineStr"/>
      <c r="C33" t="inlineStr"/>
      <c r="D33" t="inlineStr"/>
      <c r="E33" t="inlineStr"/>
      <c r="F33" t="inlineStr">
        <is>
          <t>Replaces Return to Dust (adds removal/finisher/threat). Evidence: the card it replaces was cast in 85% of the games it was drawn; sat dead in hand 15% of the time; landed on turn 8.6 on average; the deck won 22% of games it was cast in.</t>
        </is>
      </c>
      <c r="G33" t="inlineStr"/>
      <c r="H33" t="inlineStr"/>
      <c r="I33" t="inlineStr"/>
      <c r="J33" t="inlineStr"/>
    </row>
    <row r="34">
      <c r="A34" t="n">
        <v>33</v>
      </c>
      <c r="B34" t="inlineStr"/>
      <c r="C34" t="inlineStr"/>
      <c r="D34" t="inlineStr"/>
      <c r="E34" t="inlineStr"/>
      <c r="F34" t="inlineStr"/>
      <c r="G34" t="inlineStr"/>
      <c r="H34" t="inlineStr"/>
      <c r="I34" t="inlineStr"/>
      <c r="J34" t="inlineStr"/>
    </row>
    <row r="35">
      <c r="A35" t="n">
        <v>34</v>
      </c>
      <c r="B35" t="inlineStr"/>
      <c r="C35" t="inlineStr"/>
      <c r="D35" t="inlineStr"/>
      <c r="E35" t="inlineStr"/>
      <c r="F35" t="inlineStr"/>
      <c r="G35" t="inlineStr"/>
      <c r="H35" t="inlineStr"/>
      <c r="I35" t="inlineStr"/>
      <c r="J35" t="inlineStr"/>
    </row>
    <row r="36">
      <c r="A36" t="n">
        <v>35</v>
      </c>
      <c r="B36" t="inlineStr"/>
      <c r="C36" t="inlineStr"/>
      <c r="D36" t="inlineStr"/>
      <c r="E36" t="inlineStr"/>
      <c r="F36" t="inlineStr"/>
      <c r="G36" t="inlineStr"/>
      <c r="H36" t="inlineStr"/>
      <c r="I36" t="inlineStr">
        <is>
          <t>Replaces Sunpetal Grove (adds removal/protection). Evidence: the land it replaces carried no spell effect the model could use; it was drawn in 18% of games; the deck stayed inside its land floor after the cut.</t>
        </is>
      </c>
      <c r="J36" t="inlineStr"/>
    </row>
    <row r="37">
      <c r="A37" t="n">
        <v>36</v>
      </c>
      <c r="B37" t="inlineStr"/>
      <c r="C37" t="inlineStr"/>
      <c r="D37" t="inlineStr"/>
      <c r="E37" t="inlineStr"/>
      <c r="F37" t="inlineStr">
        <is>
          <t>Replaces Mystic Confluence (adds draw/protection/finisher/threat). Evidence: the card it replaces was cast in 78% of the games it was drawn; sat dead in hand 22% of the time; landed on turn 8.1 on average; the deck won 23% of games it was cast in.</t>
        </is>
      </c>
      <c r="G37" t="inlineStr"/>
      <c r="H37" t="inlineStr"/>
      <c r="I37" t="inlineStr"/>
      <c r="J37" t="inlineStr"/>
    </row>
    <row r="38">
      <c r="A38" t="n">
        <v>37</v>
      </c>
      <c r="B38" t="inlineStr"/>
      <c r="C38" t="inlineStr"/>
      <c r="D38" t="inlineStr"/>
      <c r="E38" t="inlineStr"/>
      <c r="F38" t="inlineStr"/>
      <c r="G38" t="inlineStr"/>
      <c r="H38" t="inlineStr"/>
      <c r="I38" t="inlineStr"/>
      <c r="J38" t="inlineStr"/>
    </row>
    <row r="39">
      <c r="A39" t="n">
        <v>38</v>
      </c>
      <c r="B39" t="inlineStr"/>
      <c r="C39" t="inlineStr"/>
      <c r="D39" t="inlineStr"/>
      <c r="E39" t="inlineStr"/>
      <c r="F39" t="inlineStr"/>
      <c r="G39" t="inlineStr"/>
      <c r="H39" t="inlineStr"/>
      <c r="I39" t="inlineStr"/>
      <c r="J39" t="inlineStr"/>
    </row>
    <row r="40">
      <c r="A40" t="n">
        <v>39</v>
      </c>
      <c r="B40" t="inlineStr"/>
      <c r="C40" t="inlineStr"/>
      <c r="D40" t="inlineStr"/>
      <c r="E40" t="inlineStr"/>
      <c r="F40" t="inlineStr"/>
      <c r="G40" t="inlineStr"/>
      <c r="H40" t="inlineStr"/>
      <c r="I40" t="inlineStr"/>
      <c r="J40" t="inlineStr"/>
    </row>
    <row r="41">
      <c r="A41" t="n">
        <v>40</v>
      </c>
      <c r="B41" t="inlineStr"/>
      <c r="C41" t="inlineStr"/>
      <c r="D41" t="inlineStr"/>
      <c r="E41" t="inlineStr"/>
      <c r="F41" t="inlineStr"/>
      <c r="G41" t="inlineStr"/>
      <c r="H41" t="inlineStr"/>
      <c r="I41" t="inlineStr"/>
      <c r="J41" t="inlineStr"/>
    </row>
    <row r="42">
      <c r="A42" t="n">
        <v>41</v>
      </c>
      <c r="B42" t="inlineStr"/>
      <c r="C42" t="inlineStr"/>
      <c r="D42" t="inlineStr"/>
      <c r="E42" t="inlineStr"/>
      <c r="F42" t="inlineStr"/>
      <c r="G42" t="inlineStr"/>
      <c r="H42" t="inlineStr"/>
      <c r="I42" t="inlineStr"/>
      <c r="J42" t="inlineStr"/>
    </row>
    <row r="43">
      <c r="A43" t="n">
        <v>42</v>
      </c>
      <c r="B43" t="inlineStr"/>
      <c r="C43" t="inlineStr"/>
      <c r="D43" t="inlineStr"/>
      <c r="E43" t="inlineStr"/>
      <c r="F43" t="inlineStr"/>
      <c r="G43" t="inlineStr"/>
      <c r="H43" t="inlineStr"/>
      <c r="I43" t="inlineStr"/>
      <c r="J43" t="inlineStr"/>
    </row>
    <row r="44">
      <c r="A44" t="n">
        <v>43</v>
      </c>
      <c r="B44" t="inlineStr"/>
      <c r="C44" t="inlineStr"/>
      <c r="D44" t="inlineStr"/>
      <c r="E44" t="inlineStr"/>
      <c r="F44" t="inlineStr"/>
      <c r="G44" t="inlineStr"/>
      <c r="H44" t="inlineStr"/>
      <c r="I44" t="inlineStr"/>
      <c r="J44" t="inlineStr"/>
    </row>
    <row r="45">
      <c r="A45" t="n">
        <v>44</v>
      </c>
      <c r="B45" t="inlineStr"/>
      <c r="C45" t="inlineStr"/>
      <c r="D45" t="inlineStr"/>
      <c r="E45" t="inlineStr"/>
      <c r="F45" t="inlineStr"/>
      <c r="G45" t="inlineStr"/>
      <c r="H45" t="inlineStr"/>
      <c r="I45" t="inlineStr"/>
      <c r="J45" t="inlineStr"/>
    </row>
    <row r="46">
      <c r="A46" t="n">
        <v>45</v>
      </c>
      <c r="B46" t="inlineStr"/>
      <c r="C46" t="inlineStr"/>
      <c r="D46" t="inlineStr"/>
      <c r="E46" t="inlineStr"/>
      <c r="F46" t="inlineStr"/>
      <c r="G46" t="inlineStr"/>
      <c r="H46" t="inlineStr"/>
      <c r="I46" t="inlineStr"/>
      <c r="J46" t="inlineStr"/>
    </row>
    <row r="47">
      <c r="A47" t="n">
        <v>46</v>
      </c>
      <c r="B47" t="inlineStr"/>
      <c r="C47" t="inlineStr"/>
      <c r="D47" t="inlineStr"/>
      <c r="E47" t="inlineStr"/>
      <c r="F47" t="inlineStr"/>
      <c r="G47" t="inlineStr"/>
      <c r="H47" t="inlineStr"/>
      <c r="I47" t="inlineStr">
        <is>
          <t>Replaces Terramorphic Expanse (adds removal/protection). Evidence: the land it replaces carried no spell effect the model could use; it was drawn in 18% of games; the deck stayed inside its land floor after the cut.</t>
        </is>
      </c>
      <c r="J47" t="inlineStr"/>
    </row>
    <row r="48">
      <c r="A48" t="n">
        <v>47</v>
      </c>
      <c r="B48" t="inlineStr"/>
      <c r="C48" t="inlineStr"/>
      <c r="D48" t="inlineStr"/>
      <c r="E48" t="inlineStr"/>
      <c r="F48" t="inlineStr"/>
      <c r="G48" t="inlineStr"/>
      <c r="H48" t="inlineStr"/>
      <c r="I48" t="inlineStr"/>
      <c r="J48" t="inlineStr"/>
    </row>
    <row r="49">
      <c r="A49" t="n">
        <v>48</v>
      </c>
      <c r="B49" t="inlineStr"/>
      <c r="C49" t="inlineStr"/>
      <c r="D49" t="inlineStr"/>
      <c r="E49" t="inlineStr"/>
      <c r="F49" t="inlineStr"/>
      <c r="G49" t="inlineStr"/>
      <c r="H49" t="inlineStr"/>
      <c r="I49" t="inlineStr"/>
      <c r="J49" t="inlineStr"/>
    </row>
    <row r="50">
      <c r="A50" t="n">
        <v>49</v>
      </c>
      <c r="B50" t="inlineStr"/>
      <c r="C50" t="inlineStr"/>
      <c r="D50" t="inlineStr"/>
      <c r="E50" t="inlineStr"/>
      <c r="F50" t="inlineStr"/>
      <c r="G50" t="inlineStr"/>
      <c r="H50" t="inlineStr"/>
      <c r="I50" t="inlineStr"/>
      <c r="J50" t="inlineStr"/>
    </row>
    <row r="51">
      <c r="A51" t="n">
        <v>50</v>
      </c>
      <c r="B51" t="inlineStr"/>
      <c r="C51" t="inlineStr"/>
      <c r="D51" t="inlineStr"/>
      <c r="E51" t="inlineStr"/>
      <c r="F51" t="inlineStr"/>
      <c r="G51" t="inlineStr"/>
      <c r="H51" t="inlineStr"/>
      <c r="I51" t="inlineStr"/>
      <c r="J51" t="inlineStr"/>
    </row>
    <row r="52">
      <c r="A52" t="n">
        <v>51</v>
      </c>
      <c r="B52" t="inlineStr"/>
      <c r="C52" t="inlineStr"/>
      <c r="D52" t="inlineStr"/>
      <c r="E52" t="inlineStr"/>
      <c r="F52" t="inlineStr">
        <is>
          <t>Replaces Rewind (adds removal/protection/finisher/threat). Evidence: the card it replaces was cast in 76% of the games it was drawn; sat dead in hand 24% of the time; landed on turn 9.4 on average; the deck won 23% of games it was cast in.</t>
        </is>
      </c>
      <c r="G52" t="inlineStr"/>
      <c r="H52" t="inlineStr"/>
      <c r="I52" t="inlineStr"/>
      <c r="J52" t="inlineStr"/>
    </row>
    <row r="53">
      <c r="A53" t="n">
        <v>52</v>
      </c>
      <c r="B53" t="inlineStr"/>
      <c r="C53" t="inlineStr"/>
      <c r="D53" t="inlineStr"/>
      <c r="E53" t="inlineStr"/>
      <c r="F53" t="inlineStr">
        <is>
          <t>Replaces Whirlwind Denial (adds protection/finisher/threat). Evidence: the card it replaces was cast in 90% of the games it was drawn; sat dead in hand 10% of the time; landed on turn 7.7 on average; the deck won 21% of games it was cast in.</t>
        </is>
      </c>
      <c r="G53" t="inlineStr"/>
      <c r="H53" t="inlineStr"/>
      <c r="I53" t="inlineStr"/>
      <c r="J53" t="inlineStr"/>
    </row>
    <row r="54">
      <c r="A54" t="n">
        <v>53</v>
      </c>
      <c r="B54" t="inlineStr"/>
      <c r="C54" t="inlineStr"/>
      <c r="D54" t="inlineStr"/>
      <c r="E54" t="inlineStr"/>
      <c r="F54" t="inlineStr"/>
      <c r="G54" t="inlineStr"/>
      <c r="H54" t="inlineStr"/>
      <c r="I54" t="inlineStr"/>
      <c r="J54" t="inlineStr"/>
    </row>
    <row r="55">
      <c r="A55" t="n">
        <v>54</v>
      </c>
      <c r="B55" t="inlineStr"/>
      <c r="C55" t="inlineStr"/>
      <c r="D55" t="inlineStr"/>
      <c r="E55" t="inlineStr"/>
      <c r="F55" t="inlineStr"/>
      <c r="G55" t="inlineStr"/>
      <c r="H55" t="inlineStr"/>
      <c r="I55" t="inlineStr"/>
      <c r="J55" t="inlineStr"/>
    </row>
    <row r="56">
      <c r="A56" t="n">
        <v>55</v>
      </c>
      <c r="B56" t="inlineStr"/>
      <c r="C56" t="inlineStr"/>
      <c r="D56" t="inlineStr"/>
      <c r="E56" t="inlineStr"/>
      <c r="F56" t="inlineStr"/>
      <c r="G56" t="inlineStr"/>
      <c r="H56" t="inlineStr"/>
      <c r="I56" t="inlineStr"/>
      <c r="J56" t="inlineStr"/>
    </row>
    <row r="57">
      <c r="A57" t="n">
        <v>56</v>
      </c>
      <c r="B57" t="inlineStr"/>
      <c r="C57" t="inlineStr"/>
      <c r="D57" t="inlineStr"/>
      <c r="E57" t="inlineStr"/>
      <c r="F57" t="inlineStr"/>
      <c r="G57" t="inlineStr"/>
      <c r="H57" t="inlineStr"/>
      <c r="I57" t="inlineStr"/>
      <c r="J57" t="inlineStr"/>
    </row>
    <row r="58">
      <c r="A58" t="n">
        <v>57</v>
      </c>
      <c r="B58" t="inlineStr"/>
      <c r="C58" t="inlineStr"/>
      <c r="D58" t="inlineStr"/>
      <c r="E58" t="inlineStr"/>
      <c r="F58" t="inlineStr"/>
      <c r="G58" t="inlineStr"/>
      <c r="H58" t="inlineStr"/>
      <c r="I58" t="inlineStr"/>
      <c r="J58" t="inlineStr"/>
    </row>
    <row r="59">
      <c r="A59" t="n">
        <v>58</v>
      </c>
      <c r="B59" t="inlineStr"/>
      <c r="C59" t="inlineStr"/>
      <c r="D59" t="inlineStr"/>
      <c r="E59" t="inlineStr"/>
      <c r="F59" t="inlineStr"/>
      <c r="G59" t="inlineStr"/>
      <c r="H59" t="inlineStr"/>
      <c r="I59" t="inlineStr"/>
      <c r="J59" t="inlineStr"/>
    </row>
    <row r="60">
      <c r="A60" t="n">
        <v>59</v>
      </c>
      <c r="B60" t="inlineStr"/>
      <c r="C60" t="inlineStr"/>
      <c r="D60" t="inlineStr"/>
      <c r="E60" t="inlineStr"/>
      <c r="F60" t="inlineStr"/>
      <c r="G60" t="inlineStr"/>
      <c r="H60" t="inlineStr"/>
      <c r="I60" t="inlineStr"/>
      <c r="J60" t="inlineStr"/>
    </row>
    <row r="61">
      <c r="A61" t="n">
        <v>60</v>
      </c>
      <c r="B61" t="inlineStr"/>
      <c r="C61" t="inlineStr"/>
      <c r="D61" t="inlineStr"/>
      <c r="E61" t="inlineStr"/>
      <c r="F61" t="inlineStr"/>
      <c r="G61" t="inlineStr"/>
      <c r="H61" t="inlineStr"/>
      <c r="I61" t="inlineStr"/>
      <c r="J61" t="inlineStr"/>
    </row>
    <row r="62">
      <c r="A62" t="n">
        <v>61</v>
      </c>
      <c r="B62" t="inlineStr"/>
      <c r="C62" t="inlineStr"/>
      <c r="D62" t="inlineStr"/>
      <c r="E62" t="inlineStr"/>
      <c r="F62" t="inlineStr"/>
      <c r="G62" t="inlineStr"/>
      <c r="H62" t="inlineStr"/>
      <c r="I62" t="inlineStr"/>
      <c r="J62" t="inlineStr"/>
    </row>
    <row r="63">
      <c r="A63" t="n">
        <v>62</v>
      </c>
      <c r="B63" t="inlineStr"/>
      <c r="C63" t="inlineStr"/>
      <c r="D63" t="inlineStr"/>
      <c r="E63" t="inlineStr"/>
      <c r="F63" t="inlineStr"/>
      <c r="G63" t="inlineStr"/>
      <c r="H63" t="inlineStr"/>
      <c r="I63" t="inlineStr"/>
      <c r="J63" t="inlineStr"/>
    </row>
    <row r="64">
      <c r="A64" t="n">
        <v>63</v>
      </c>
      <c r="B64" t="inlineStr"/>
      <c r="C64" t="inlineStr"/>
      <c r="D64" t="inlineStr"/>
      <c r="E64" t="inlineStr"/>
      <c r="F64" t="inlineStr"/>
      <c r="G64" t="inlineStr"/>
      <c r="H64" t="inlineStr"/>
      <c r="I64" t="inlineStr"/>
      <c r="J64" t="inlineStr"/>
    </row>
    <row r="65">
      <c r="A65" t="n">
        <v>64</v>
      </c>
      <c r="B65" t="inlineStr"/>
      <c r="C65" t="inlineStr"/>
      <c r="D65" t="inlineStr"/>
      <c r="E65" t="inlineStr"/>
      <c r="F65" t="inlineStr"/>
      <c r="G65" t="inlineStr"/>
      <c r="H65" t="inlineStr"/>
      <c r="I65" t="inlineStr"/>
      <c r="J65" t="inlineStr"/>
    </row>
    <row r="66">
      <c r="A66" t="n">
        <v>65</v>
      </c>
      <c r="B66" t="inlineStr"/>
      <c r="C66" t="inlineStr"/>
      <c r="D66" t="inlineStr"/>
      <c r="E66" t="inlineStr"/>
      <c r="F66" t="inlineStr"/>
      <c r="G66" t="inlineStr"/>
      <c r="H66" t="inlineStr"/>
      <c r="I66" t="inlineStr"/>
      <c r="J66" t="inlineStr"/>
    </row>
    <row r="67">
      <c r="A67" t="n">
        <v>66</v>
      </c>
      <c r="B67" t="inlineStr"/>
      <c r="C67" t="inlineStr"/>
      <c r="D67" t="inlineStr"/>
      <c r="E67" t="inlineStr"/>
      <c r="F67" t="inlineStr"/>
      <c r="G67" t="inlineStr"/>
      <c r="H67" t="inlineStr"/>
      <c r="I67" t="inlineStr"/>
      <c r="J67" t="inlineStr"/>
    </row>
    <row r="68">
      <c r="A68" t="n">
        <v>67</v>
      </c>
      <c r="B68" t="inlineStr"/>
      <c r="C68" t="inlineStr"/>
      <c r="D68" t="inlineStr"/>
      <c r="E68" t="inlineStr"/>
      <c r="F68" t="inlineStr"/>
      <c r="G68" t="inlineStr"/>
      <c r="H68" t="inlineStr"/>
      <c r="I68" t="inlineStr"/>
      <c r="J68" t="inlineStr"/>
    </row>
    <row r="69">
      <c r="A69" t="n">
        <v>68</v>
      </c>
      <c r="B69" t="inlineStr"/>
      <c r="C69" t="inlineStr"/>
      <c r="D69" t="inlineStr"/>
      <c r="E69" t="inlineStr"/>
      <c r="F69" t="inlineStr"/>
      <c r="G69" t="inlineStr"/>
      <c r="H69" t="inlineStr"/>
      <c r="I69" t="inlineStr"/>
      <c r="J69" t="inlineStr"/>
    </row>
    <row r="70">
      <c r="A70" t="n">
        <v>69</v>
      </c>
      <c r="B70" t="inlineStr"/>
      <c r="C70" t="inlineStr"/>
      <c r="D70" t="inlineStr"/>
      <c r="E70" t="inlineStr"/>
      <c r="F70" t="inlineStr"/>
      <c r="G70" t="inlineStr"/>
      <c r="H70" t="inlineStr"/>
      <c r="I70" t="inlineStr"/>
      <c r="J70" t="inlineStr"/>
    </row>
    <row r="71">
      <c r="A71" t="n">
        <v>70</v>
      </c>
      <c r="B71" t="inlineStr"/>
      <c r="C71" t="inlineStr"/>
      <c r="D71" t="inlineStr"/>
      <c r="E71" t="inlineStr"/>
      <c r="F71" t="inlineStr"/>
      <c r="G71" t="inlineStr"/>
      <c r="H71" t="inlineStr"/>
      <c r="I71" t="inlineStr"/>
      <c r="J71" t="inlineStr"/>
    </row>
    <row r="72">
      <c r="A72" t="n">
        <v>71</v>
      </c>
      <c r="B72" t="inlineStr"/>
      <c r="C72" t="inlineStr"/>
      <c r="D72" t="inlineStr"/>
      <c r="E72" t="inlineStr"/>
      <c r="F72" t="inlineStr"/>
      <c r="G72" t="inlineStr"/>
      <c r="H72" t="inlineStr"/>
      <c r="I72" t="inlineStr"/>
      <c r="J72" t="inlineStr"/>
    </row>
    <row r="73">
      <c r="A73" t="n">
        <v>72</v>
      </c>
      <c r="B73" t="inlineStr"/>
      <c r="C73" t="inlineStr"/>
      <c r="D73" t="inlineStr"/>
      <c r="E73" t="inlineStr"/>
      <c r="F73" t="inlineStr"/>
      <c r="G73" t="inlineStr"/>
      <c r="H73" t="inlineStr"/>
      <c r="I73" t="inlineStr"/>
      <c r="J73" t="inlineStr"/>
    </row>
    <row r="74">
      <c r="A74" t="n">
        <v>73</v>
      </c>
      <c r="B74" t="inlineStr"/>
      <c r="C74" t="inlineStr"/>
      <c r="D74" t="inlineStr"/>
      <c r="E74" t="inlineStr"/>
      <c r="F74" t="inlineStr"/>
      <c r="G74" t="inlineStr"/>
      <c r="H74" t="inlineStr"/>
      <c r="I74" t="inlineStr"/>
      <c r="J74" t="inlineStr"/>
    </row>
    <row r="75">
      <c r="A75" t="n">
        <v>74</v>
      </c>
      <c r="B75" t="inlineStr"/>
      <c r="C75" t="inlineStr"/>
      <c r="D75" t="inlineStr"/>
      <c r="E75" t="inlineStr"/>
      <c r="F75" t="inlineStr"/>
      <c r="G75" t="inlineStr"/>
      <c r="H75" t="inlineStr"/>
      <c r="I75" t="inlineStr"/>
      <c r="J75" t="inlineStr"/>
    </row>
    <row r="76">
      <c r="A76" t="n">
        <v>75</v>
      </c>
      <c r="B76" t="inlineStr"/>
      <c r="C76" t="inlineStr"/>
      <c r="D76" t="inlineStr"/>
      <c r="E76" t="inlineStr"/>
      <c r="F76" t="inlineStr">
        <is>
          <t>Replaces Seaside Citadel (adds removal/protection/finisher/threat). Evidence: the land it replaces carried no spell effect the model could use; it was drawn in 20% of games; the deck stayed inside its land floor after the cut.</t>
        </is>
      </c>
      <c r="G76" t="inlineStr"/>
      <c r="H76" t="inlineStr"/>
      <c r="I76" t="inlineStr">
        <is>
          <t>Replaces Krosan Verge (adds removal/protection). Evidence: the land it replaces carried no spell effect the model could use; it was drawn in 20% of games; the deck stayed inside its land floor after the cut.</t>
        </is>
      </c>
      <c r="J76" t="inlineStr"/>
    </row>
    <row r="77">
      <c r="A77" t="n">
        <v>76</v>
      </c>
      <c r="B77" t="inlineStr"/>
      <c r="C77" t="inlineStr"/>
      <c r="D77" t="inlineStr"/>
      <c r="E77" t="inlineStr"/>
      <c r="F77" t="inlineStr"/>
      <c r="G77" t="inlineStr"/>
      <c r="H77" t="inlineStr"/>
      <c r="I77" t="inlineStr"/>
      <c r="J77" t="inlineStr"/>
    </row>
    <row r="78">
      <c r="A78" t="n">
        <v>77</v>
      </c>
      <c r="B78" t="inlineStr"/>
      <c r="C78" t="inlineStr"/>
      <c r="D78" t="inlineStr"/>
      <c r="E78" t="inlineStr"/>
      <c r="F78" t="inlineStr"/>
      <c r="G78" t="inlineStr"/>
      <c r="H78" t="inlineStr"/>
      <c r="I78" t="inlineStr"/>
      <c r="J78" t="inlineStr"/>
    </row>
    <row r="79">
      <c r="A79" t="n">
        <v>78</v>
      </c>
      <c r="B79" t="inlineStr"/>
      <c r="C79" t="inlineStr"/>
      <c r="D79" t="inlineStr"/>
      <c r="E79" t="inlineStr"/>
      <c r="F79" t="inlineStr">
        <is>
          <t>Replaces Bant Panorama (adds removal/protection). Evidence: the land it replaces carried no spell effect the model could use; it was drawn in 20% of games; the deck stayed inside its land floor after the cut.</t>
        </is>
      </c>
      <c r="G79" t="inlineStr"/>
      <c r="H79" t="inlineStr"/>
      <c r="I79" t="inlineStr"/>
      <c r="J79" t="inlineStr"/>
    </row>
    <row r="80">
      <c r="A80" t="n">
        <v>79</v>
      </c>
      <c r="B80" t="inlineStr"/>
      <c r="C80" t="inlineStr"/>
      <c r="D80" t="inlineStr"/>
      <c r="E80" t="inlineStr"/>
      <c r="F80" t="inlineStr"/>
      <c r="G80" t="inlineStr"/>
      <c r="H80" t="inlineStr"/>
      <c r="I80" t="inlineStr"/>
      <c r="J80" t="inlineStr"/>
    </row>
    <row r="81">
      <c r="A81" t="n">
        <v>80</v>
      </c>
      <c r="B81" t="inlineStr"/>
      <c r="C81" t="inlineStr"/>
      <c r="D81" t="inlineStr"/>
      <c r="E81" t="inlineStr"/>
      <c r="F81" t="inlineStr"/>
      <c r="G81" t="inlineStr"/>
      <c r="H81" t="inlineStr"/>
      <c r="I81" t="inlineStr"/>
      <c r="J81" t="inlineStr"/>
    </row>
    <row r="82">
      <c r="A82" t="n">
        <v>81</v>
      </c>
      <c r="B82" t="inlineStr"/>
      <c r="C82" t="inlineStr"/>
      <c r="D82" t="inlineStr"/>
      <c r="E82" t="inlineStr"/>
      <c r="F82" t="inlineStr"/>
      <c r="G82" t="inlineStr"/>
      <c r="H82" t="inlineStr"/>
      <c r="I82" t="inlineStr"/>
      <c r="J82" t="inlineStr"/>
    </row>
    <row r="83">
      <c r="A83" t="n">
        <v>82</v>
      </c>
      <c r="B83" t="inlineStr"/>
      <c r="C83" t="inlineStr"/>
      <c r="D83" t="inlineStr"/>
      <c r="E83" t="inlineStr"/>
      <c r="F83" t="inlineStr"/>
      <c r="G83" t="inlineStr"/>
      <c r="H83" t="inlineStr"/>
      <c r="I83" t="inlineStr"/>
      <c r="J83" t="inlineStr"/>
    </row>
    <row r="84">
      <c r="A84" t="n">
        <v>83</v>
      </c>
      <c r="B84" t="inlineStr"/>
      <c r="C84" t="inlineStr"/>
      <c r="D84" t="inlineStr"/>
      <c r="E84" t="inlineStr"/>
      <c r="F84" t="inlineStr"/>
      <c r="G84" t="inlineStr"/>
      <c r="H84" t="inlineStr"/>
      <c r="I84" t="inlineStr"/>
      <c r="J84" t="inlineStr"/>
    </row>
    <row r="85">
      <c r="A85" t="n">
        <v>84</v>
      </c>
      <c r="B85" t="inlineStr"/>
      <c r="C85" t="inlineStr"/>
      <c r="D85" t="inlineStr"/>
      <c r="E85" t="inlineStr"/>
      <c r="F85" t="inlineStr"/>
      <c r="G85" t="inlineStr"/>
      <c r="H85" t="inlineStr"/>
      <c r="I85" t="inlineStr"/>
      <c r="J85" t="inlineStr"/>
    </row>
    <row r="86">
      <c r="A86" t="n">
        <v>85</v>
      </c>
      <c r="B86" t="inlineStr"/>
      <c r="C86" t="inlineStr"/>
      <c r="D86" t="inlineStr"/>
      <c r="E86" t="inlineStr"/>
      <c r="F86" t="inlineStr"/>
      <c r="G86" t="inlineStr"/>
      <c r="H86" t="inlineStr"/>
      <c r="I86" t="inlineStr"/>
      <c r="J86" t="inlineStr"/>
    </row>
    <row r="87">
      <c r="A87" t="n">
        <v>86</v>
      </c>
      <c r="B87" t="inlineStr"/>
      <c r="C87" t="inlineStr"/>
      <c r="D87" t="inlineStr"/>
      <c r="E87" t="inlineStr"/>
      <c r="F87" t="inlineStr"/>
      <c r="G87" t="inlineStr"/>
      <c r="H87" t="inlineStr"/>
      <c r="I87" t="inlineStr"/>
      <c r="J87" t="inlineStr"/>
    </row>
    <row r="88">
      <c r="A88" t="n">
        <v>87</v>
      </c>
      <c r="B88" t="inlineStr"/>
      <c r="C88" t="inlineStr"/>
      <c r="D88" t="inlineStr"/>
      <c r="E88" t="inlineStr"/>
      <c r="F88" t="inlineStr"/>
      <c r="G88" t="inlineStr"/>
      <c r="H88" t="inlineStr"/>
      <c r="I88" t="inlineStr"/>
      <c r="J88" t="inlineStr"/>
    </row>
    <row r="89">
      <c r="A89" t="n">
        <v>88</v>
      </c>
      <c r="B89" t="inlineStr"/>
      <c r="C89" t="inlineStr"/>
      <c r="D89" t="inlineStr"/>
      <c r="E89" t="inlineStr"/>
      <c r="F89" t="inlineStr"/>
      <c r="G89" t="inlineStr"/>
      <c r="H89" t="inlineStr"/>
      <c r="I89" t="inlineStr"/>
      <c r="J89" t="inlineStr"/>
    </row>
    <row r="90">
      <c r="A90" t="n">
        <v>89</v>
      </c>
      <c r="B90" t="inlineStr"/>
      <c r="C90" t="inlineStr"/>
      <c r="D90" t="inlineStr"/>
      <c r="E90" t="inlineStr"/>
      <c r="F90" t="inlineStr">
        <is>
          <t>Replaces Terramorphic Expanse (adds removal/protection/finisher/threat). Evidence: the land it replaces carried no spell effect the model could use; it was drawn in 19% of games; the deck stayed inside its land floor after the cut.</t>
        </is>
      </c>
      <c r="G90" t="inlineStr"/>
      <c r="H90" t="inlineStr"/>
      <c r="I90" t="inlineStr"/>
      <c r="J90" t="inlineStr"/>
    </row>
    <row r="91">
      <c r="A91" t="n">
        <v>90</v>
      </c>
      <c r="B91" t="inlineStr"/>
      <c r="C91" t="inlineStr"/>
      <c r="D91" t="inlineStr"/>
      <c r="E91" t="inlineStr"/>
      <c r="F91" t="inlineStr">
        <is>
          <t>Replaces Myriad Landscape (adds draw/removal/protection/threat). Evidence: the land it replaces carried no spell effect the model could use; it was drawn in 19% of games; the deck stayed inside its land floor after the cut.</t>
        </is>
      </c>
      <c r="G91" t="inlineStr"/>
      <c r="H91" t="inlineStr"/>
      <c r="I91" t="inlineStr"/>
      <c r="J91" t="inlineStr"/>
    </row>
    <row r="92">
      <c r="A92" t="n">
        <v>91</v>
      </c>
      <c r="B92" t="inlineStr"/>
      <c r="C92" t="inlineStr"/>
      <c r="D92" t="inlineStr"/>
      <c r="E92" t="inlineStr"/>
      <c r="F92" t="inlineStr"/>
      <c r="G92" t="inlineStr"/>
      <c r="H92" t="inlineStr"/>
      <c r="I92" t="inlineStr"/>
      <c r="J92" t="inlineStr"/>
    </row>
    <row r="93">
      <c r="A93" t="n">
        <v>92</v>
      </c>
      <c r="B93" t="inlineStr"/>
      <c r="C93" t="inlineStr"/>
      <c r="D93" t="inlineStr"/>
      <c r="E93" t="inlineStr"/>
      <c r="F93" t="inlineStr"/>
      <c r="G93" t="inlineStr"/>
      <c r="H93" t="inlineStr"/>
      <c r="I93" t="inlineStr"/>
      <c r="J93" t="inlineStr"/>
    </row>
    <row r="94">
      <c r="A94" t="n">
        <v>93</v>
      </c>
      <c r="B94" t="inlineStr"/>
      <c r="C94" t="inlineStr"/>
      <c r="D94" t="inlineStr"/>
      <c r="E94" t="inlineStr"/>
      <c r="F94" t="inlineStr"/>
      <c r="G94" t="inlineStr"/>
      <c r="H94" t="inlineStr"/>
      <c r="I94" t="inlineStr"/>
      <c r="J94" t="inlineStr"/>
    </row>
    <row r="95">
      <c r="A95" t="n">
        <v>94</v>
      </c>
      <c r="B95" t="inlineStr"/>
      <c r="C95" t="inlineStr"/>
      <c r="D95" t="inlineStr"/>
      <c r="E95" t="inlineStr"/>
      <c r="F95" t="inlineStr"/>
      <c r="G95" t="inlineStr"/>
      <c r="H95" t="inlineStr"/>
      <c r="I95" t="inlineStr"/>
      <c r="J95" t="inlineStr"/>
    </row>
    <row r="96">
      <c r="A96" t="n">
        <v>95</v>
      </c>
      <c r="B96" t="inlineStr"/>
      <c r="C96" t="inlineStr"/>
      <c r="D96" t="inlineStr"/>
      <c r="E96" t="inlineStr"/>
      <c r="F96" t="inlineStr"/>
      <c r="G96" t="inlineStr"/>
      <c r="H96" t="inlineStr"/>
      <c r="I96" t="inlineStr"/>
      <c r="J96" t="inlineStr"/>
    </row>
    <row r="97">
      <c r="A97" t="n">
        <v>96</v>
      </c>
      <c r="B97" t="inlineStr"/>
      <c r="C97" t="inlineStr"/>
      <c r="D97" t="inlineStr"/>
      <c r="E97" t="inlineStr"/>
      <c r="F97" t="inlineStr"/>
      <c r="G97" t="inlineStr"/>
      <c r="H97" t="inlineStr"/>
      <c r="I97" t="inlineStr"/>
      <c r="J97" t="inlineStr"/>
    </row>
    <row r="98">
      <c r="A98" t="n">
        <v>97</v>
      </c>
      <c r="B98" t="inlineStr"/>
      <c r="C98" t="inlineStr"/>
      <c r="D98" t="inlineStr"/>
      <c r="E98" t="inlineStr"/>
      <c r="F98" t="inlineStr"/>
      <c r="G98" t="inlineStr"/>
      <c r="H98" t="inlineStr"/>
      <c r="I98" t="inlineStr"/>
      <c r="J98" t="inlineStr"/>
    </row>
    <row r="99">
      <c r="A99" t="n">
        <v>98</v>
      </c>
      <c r="B99" t="inlineStr"/>
      <c r="C99" t="inlineStr"/>
      <c r="D99" t="inlineStr"/>
      <c r="E99" t="inlineStr"/>
      <c r="F99" t="inlineStr"/>
      <c r="G99" t="inlineStr"/>
      <c r="H99" t="inlineStr"/>
      <c r="I99" t="inlineStr"/>
      <c r="J99" t="inlineStr"/>
    </row>
    <row r="100">
      <c r="A100" t="n">
        <v>99</v>
      </c>
      <c r="B100" t="inlineStr"/>
      <c r="C100" t="inlineStr"/>
      <c r="D100" t="inlineStr"/>
      <c r="E100" t="inlineStr"/>
      <c r="F100" t="inlineStr"/>
      <c r="G100" t="inlineStr"/>
      <c r="H100" t="inlineStr"/>
      <c r="I100" t="inlineStr"/>
      <c r="J100" t="inlineStr"/>
    </row>
    <row r="101">
      <c r="A101" t="n">
        <v>100</v>
      </c>
      <c r="B101" t="inlineStr"/>
      <c r="C101" t="inlineStr"/>
      <c r="D101" t="inlineStr"/>
      <c r="E101" t="inlineStr"/>
      <c r="F101" t="inlineStr"/>
      <c r="G101" t="inlineStr"/>
      <c r="H101" t="inlineStr"/>
      <c r="I101" t="inlineStr"/>
      <c r="J10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P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14" customWidth="1" min="13" max="13"/>
    <col width="27" customWidth="1" min="14" max="14"/>
    <col width="10" customWidth="1" min="15" max="15"/>
    <col width="90" customWidth="1" min="16" max="16"/>
  </cols>
  <sheetData>
    <row r="1">
      <c r="A1" s="3" t="inlineStr">
        <is>
          <t>Lorehold Spirit — Quintorius, History Chaser</t>
        </is>
      </c>
    </row>
    <row r="2">
      <c r="A2" s="2" t="inlineStr">
        <is>
          <t>Deck slot 5 · variant 5o · 100 lineup slots · alternative commander tested: Iroas, God of Victory</t>
        </is>
      </c>
    </row>
    <row r="4">
      <c r="B4" s="24" t="inlineStr">
        <is>
          <t>Site ladder — as published</t>
        </is>
      </c>
      <c r="F4" s="25" t="inlineStr">
        <is>
          <t>Simulation-improved (Monte Carlo)</t>
        </is>
      </c>
      <c r="I4" s="26" t="inlineStr">
        <is>
          <t>Fun-weighted engine v2.1</t>
        </is>
      </c>
      <c r="K4" s="27" t="inlineStr">
        <is>
          <t>Alternative commander</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Alt Tuned</t>
        </is>
      </c>
      <c r="L5" s="12" t="inlineStr">
        <is>
          <t>Alt Max</t>
        </is>
      </c>
      <c r="M5" s="12" t="inlineStr">
        <is>
          <t>FINAL PICK</t>
        </is>
      </c>
      <c r="N5" s="12" t="inlineStr">
        <is>
          <t>Final card</t>
        </is>
      </c>
      <c r="O5" s="12" t="inlineStr">
        <is>
          <t>Price</t>
        </is>
      </c>
      <c r="P5" s="12" t="inlineStr">
        <is>
          <t>Why this card moved</t>
        </is>
      </c>
    </row>
    <row r="6">
      <c r="A6" s="28" t="n">
        <v>1</v>
      </c>
      <c r="B6" s="13" t="inlineStr">
        <is>
          <t>Quintorius, History Chaser</t>
        </is>
      </c>
      <c r="C6" s="13" t="inlineStr">
        <is>
          <t>Quintorius, History Chaser</t>
        </is>
      </c>
      <c r="D6" s="13" t="inlineStr">
        <is>
          <t>Quintorius, History Chaser</t>
        </is>
      </c>
      <c r="E6" s="13" t="inlineStr">
        <is>
          <t>Quintorius, History Chaser</t>
        </is>
      </c>
      <c r="F6" s="13" t="inlineStr">
        <is>
          <t>Quintorius, History Chaser</t>
        </is>
      </c>
      <c r="G6" s="13" t="inlineStr">
        <is>
          <t>Quintorius, History Chaser</t>
        </is>
      </c>
      <c r="H6" s="13" t="inlineStr">
        <is>
          <t>Quintorius, History Chaser</t>
        </is>
      </c>
      <c r="I6" s="13" t="inlineStr">
        <is>
          <t>Quintorius, History Chaser</t>
        </is>
      </c>
      <c r="J6" s="13" t="inlineStr">
        <is>
          <t>Quintorius, History Chaser</t>
        </is>
      </c>
      <c r="K6" s="29" t="inlineStr">
        <is>
          <t>Iroas, God of Victory</t>
        </is>
      </c>
      <c r="L6" s="29" t="inlineStr">
        <is>
          <t>Iroas, God of Victory</t>
        </is>
      </c>
      <c r="M6" s="30" t="inlineStr">
        <is>
          <t>Fun Max</t>
        </is>
      </c>
      <c r="N6" s="31">
        <f>INDEX(B6:L6,MATCH(M6,$B$5:$L$5,0))</f>
        <v/>
      </c>
      <c r="O6" s="22">
        <f>IFERROR(VLOOKUP(N6,Prices!$A:$B,2,FALSE),0)</f>
        <v/>
      </c>
      <c r="P6" s="32">
        <f>IFERROR(INDEX('_why_5o'!$B2:$L2,MATCH(M6,$B$5:$L$5,0)),"")</f>
        <v/>
      </c>
    </row>
    <row r="7">
      <c r="A7" s="28" t="n">
        <v>2</v>
      </c>
      <c r="B7" s="33" t="inlineStr">
        <is>
          <t>Excava, the Risen Past</t>
        </is>
      </c>
      <c r="C7" s="34" t="inlineStr">
        <is>
          <t>Cast Out</t>
        </is>
      </c>
      <c r="D7" s="34" t="inlineStr">
        <is>
          <t>Cast Out</t>
        </is>
      </c>
      <c r="E7" s="34" t="inlineStr">
        <is>
          <t>Cast Out</t>
        </is>
      </c>
      <c r="F7" s="34" t="inlineStr">
        <is>
          <t>Darksteel Plate</t>
        </is>
      </c>
      <c r="G7" s="34" t="inlineStr">
        <is>
          <t>Darksteel Plate</t>
        </is>
      </c>
      <c r="H7" s="34" t="inlineStr">
        <is>
          <t>Darksteel Plate</t>
        </is>
      </c>
      <c r="I7" s="34" t="inlineStr">
        <is>
          <t>Cloud's Limit Break</t>
        </is>
      </c>
      <c r="J7" s="34" t="inlineStr">
        <is>
          <t>Venat, Heart of Hydaelyn // Hydaelyn, the Mothercrystal</t>
        </is>
      </c>
      <c r="K7" s="34" t="inlineStr">
        <is>
          <t>Cloud's Limit Break</t>
        </is>
      </c>
      <c r="L7" s="34" t="inlineStr">
        <is>
          <t>Cloud's Limit Break</t>
        </is>
      </c>
      <c r="M7" s="30" t="inlineStr">
        <is>
          <t>Fun Max</t>
        </is>
      </c>
      <c r="N7" s="31">
        <f>INDEX(B7:L7,MATCH(M7,$B$5:$L$5,0))</f>
        <v/>
      </c>
      <c r="O7" s="22">
        <f>IFERROR(VLOOKUP(N7,Prices!$A:$B,2,FALSE),0)</f>
        <v/>
      </c>
      <c r="P7" s="32">
        <f>IFERROR(INDEX('_why_5o'!$B3:$L3,MATCH(M7,$B$5:$L$5,0)),"")</f>
        <v/>
      </c>
    </row>
    <row r="8">
      <c r="A8" s="28" t="n">
        <v>3</v>
      </c>
      <c r="B8" s="13" t="inlineStr">
        <is>
          <t>Lorehold Archivist // Restore Relic</t>
        </is>
      </c>
      <c r="C8" s="13" t="inlineStr">
        <is>
          <t>Lorehold Archivist // Restore Relic</t>
        </is>
      </c>
      <c r="D8" s="13" t="inlineStr">
        <is>
          <t>Lorehold Archivist // Restore Relic</t>
        </is>
      </c>
      <c r="E8" s="13" t="inlineStr">
        <is>
          <t>Lorehold Archivist // Restore Relic</t>
        </is>
      </c>
      <c r="F8" s="13" t="inlineStr">
        <is>
          <t>Lorehold Archivist // Restore Relic</t>
        </is>
      </c>
      <c r="G8" s="13" t="inlineStr">
        <is>
          <t>Lorehold Archivist // Restore Relic</t>
        </is>
      </c>
      <c r="H8" s="13" t="inlineStr">
        <is>
          <t>Lorehold Archivist // Restore Relic</t>
        </is>
      </c>
      <c r="I8" s="13" t="inlineStr">
        <is>
          <t>Lorehold Archivist // Restore Relic</t>
        </is>
      </c>
      <c r="J8" s="13" t="inlineStr">
        <is>
          <t>Lorehold Archivist // Restore Relic</t>
        </is>
      </c>
      <c r="K8" s="13" t="inlineStr">
        <is>
          <t>Lorehold Archivist // Restore Relic</t>
        </is>
      </c>
      <c r="L8" s="13" t="inlineStr">
        <is>
          <t>Lorehold Archivist // Restore Relic</t>
        </is>
      </c>
      <c r="M8" s="30" t="inlineStr">
        <is>
          <t>Fun Max</t>
        </is>
      </c>
      <c r="N8" s="31">
        <f>INDEX(B8:L8,MATCH(M8,$B$5:$L$5,0))</f>
        <v/>
      </c>
      <c r="O8" s="22">
        <f>IFERROR(VLOOKUP(N8,Prices!$A:$B,2,FALSE),0)</f>
        <v/>
      </c>
      <c r="P8" s="32">
        <f>IFERROR(INDEX('_why_5o'!$B4:$L4,MATCH(M8,$B$5:$L$5,0)),"")</f>
        <v/>
      </c>
    </row>
    <row r="9">
      <c r="A9" s="28" t="n">
        <v>4</v>
      </c>
      <c r="B9" s="33" t="inlineStr">
        <is>
          <t>Augusta, Order Returned</t>
        </is>
      </c>
      <c r="C9" s="33" t="inlineStr">
        <is>
          <t>Augusta, Order Returned</t>
        </is>
      </c>
      <c r="D9" s="33" t="inlineStr">
        <is>
          <t>Augusta, Order Returned</t>
        </is>
      </c>
      <c r="E9" s="33" t="inlineStr">
        <is>
          <t>Augusta, Order Returned</t>
        </is>
      </c>
      <c r="F9" s="33" t="inlineStr">
        <is>
          <t>Augusta, Order Returned</t>
        </is>
      </c>
      <c r="G9" s="33" t="inlineStr">
        <is>
          <t>Augusta, Order Returned</t>
        </is>
      </c>
      <c r="H9" s="33" t="inlineStr">
        <is>
          <t>Augusta, Order Returned</t>
        </is>
      </c>
      <c r="I9" s="33" t="inlineStr">
        <is>
          <t>Augusta, Order Returned</t>
        </is>
      </c>
      <c r="J9" s="33" t="inlineStr">
        <is>
          <t>Augusta, Order Returned</t>
        </is>
      </c>
      <c r="K9" s="33" t="inlineStr">
        <is>
          <t>Augusta, Order Returned</t>
        </is>
      </c>
      <c r="L9" s="33" t="inlineStr">
        <is>
          <t>Augusta, Order Returned</t>
        </is>
      </c>
      <c r="M9" s="30" t="inlineStr">
        <is>
          <t>Fun Max</t>
        </is>
      </c>
      <c r="N9" s="31">
        <f>INDEX(B9:L9,MATCH(M9,$B$5:$L$5,0))</f>
        <v/>
      </c>
      <c r="O9" s="22">
        <f>IFERROR(VLOOKUP(N9,Prices!$A:$B,2,FALSE),0)</f>
        <v/>
      </c>
      <c r="P9" s="32">
        <f>IFERROR(INDEX('_why_5o'!$B5:$L5,MATCH(M9,$B$5:$L$5,0)),"")</f>
        <v/>
      </c>
    </row>
    <row r="10">
      <c r="A10" s="28" t="n">
        <v>5</v>
      </c>
      <c r="B10" s="13" t="inlineStr">
        <is>
          <t>Ceaseless Conflict</t>
        </is>
      </c>
      <c r="C10" s="13" t="inlineStr">
        <is>
          <t>Ceaseless Conflict</t>
        </is>
      </c>
      <c r="D10" s="13" t="inlineStr">
        <is>
          <t>Ceaseless Conflict</t>
        </is>
      </c>
      <c r="E10" s="13" t="inlineStr">
        <is>
          <t>Ceaseless Conflict</t>
        </is>
      </c>
      <c r="F10" s="29" t="inlineStr">
        <is>
          <t>Cloud's Limit Break</t>
        </is>
      </c>
      <c r="G10" s="29" t="inlineStr">
        <is>
          <t>Cloud's Limit Break</t>
        </is>
      </c>
      <c r="H10" s="29" t="inlineStr">
        <is>
          <t>Cloud's Limit Break</t>
        </is>
      </c>
      <c r="I10" s="29" t="inlineStr">
        <is>
          <t>Season of the Burrow</t>
        </is>
      </c>
      <c r="J10" s="13" t="inlineStr">
        <is>
          <t>Ceaseless Conflict</t>
        </is>
      </c>
      <c r="K10" s="29" t="inlineStr">
        <is>
          <t>Venat, Heart of Hydaelyn // Hydaelyn, the Mothercrystal</t>
        </is>
      </c>
      <c r="L10" s="29" t="inlineStr">
        <is>
          <t>Venat, Heart of Hydaelyn // Hydaelyn, the Mothercrystal</t>
        </is>
      </c>
      <c r="M10" s="30" t="inlineStr">
        <is>
          <t>Fun Max</t>
        </is>
      </c>
      <c r="N10" s="31">
        <f>INDEX(B10:L10,MATCH(M10,$B$5:$L$5,0))</f>
        <v/>
      </c>
      <c r="O10" s="22">
        <f>IFERROR(VLOOKUP(N10,Prices!$A:$B,2,FALSE),0)</f>
        <v/>
      </c>
      <c r="P10" s="32">
        <f>IFERROR(INDEX('_why_5o'!$B6:$L6,MATCH(M10,$B$5:$L$5,0)),"")</f>
        <v/>
      </c>
    </row>
    <row r="11">
      <c r="A11" s="28" t="n">
        <v>6</v>
      </c>
      <c r="B11" s="33" t="inlineStr">
        <is>
          <t>Vanguard of the Restless</t>
        </is>
      </c>
      <c r="C11" s="33" t="inlineStr">
        <is>
          <t>Vanguard of the Restless</t>
        </is>
      </c>
      <c r="D11" s="33" t="inlineStr">
        <is>
          <t>Vanguard of the Restless</t>
        </is>
      </c>
      <c r="E11" s="33" t="inlineStr">
        <is>
          <t>Vanguard of the Restless</t>
        </is>
      </c>
      <c r="F11" s="33" t="inlineStr">
        <is>
          <t>Vanguard of the Restless</t>
        </is>
      </c>
      <c r="G11" s="33" t="inlineStr">
        <is>
          <t>Vanguard of the Restless</t>
        </is>
      </c>
      <c r="H11" s="33" t="inlineStr">
        <is>
          <t>Vanguard of the Restless</t>
        </is>
      </c>
      <c r="I11" s="33" t="inlineStr">
        <is>
          <t>Vanguard of the Restless</t>
        </is>
      </c>
      <c r="J11" s="33" t="inlineStr">
        <is>
          <t>Vanguard of the Restless</t>
        </is>
      </c>
      <c r="K11" s="33" t="inlineStr">
        <is>
          <t>Vanguard of the Restless</t>
        </is>
      </c>
      <c r="L11" s="33" t="inlineStr">
        <is>
          <t>Vanguard of the Restless</t>
        </is>
      </c>
      <c r="M11" s="30" t="inlineStr">
        <is>
          <t>Fun Max</t>
        </is>
      </c>
      <c r="N11" s="31">
        <f>INDEX(B11:L11,MATCH(M11,$B$5:$L$5,0))</f>
        <v/>
      </c>
      <c r="O11" s="22">
        <f>IFERROR(VLOOKUP(N11,Prices!$A:$B,2,FALSE),0)</f>
        <v/>
      </c>
      <c r="P11" s="32">
        <f>IFERROR(INDEX('_why_5o'!$B7:$L7,MATCH(M11,$B$5:$L$5,0)),"")</f>
        <v/>
      </c>
    </row>
    <row r="12">
      <c r="A12" s="28" t="n">
        <v>7</v>
      </c>
      <c r="B12" s="13" t="inlineStr">
        <is>
          <t>Advanced Reconstruction</t>
        </is>
      </c>
      <c r="C12" s="29" t="inlineStr">
        <is>
          <t>Portable Hole</t>
        </is>
      </c>
      <c r="D12" s="29" t="inlineStr">
        <is>
          <t>Portable Hole</t>
        </is>
      </c>
      <c r="E12" s="29" t="inlineStr">
        <is>
          <t>Portable Hole</t>
        </is>
      </c>
      <c r="F12" s="29" t="inlineStr">
        <is>
          <t>Cast Out</t>
        </is>
      </c>
      <c r="G12" s="29" t="inlineStr">
        <is>
          <t>Cast Out</t>
        </is>
      </c>
      <c r="H12" s="29" t="inlineStr">
        <is>
          <t>Cast Out</t>
        </is>
      </c>
      <c r="I12" s="29" t="inlineStr">
        <is>
          <t>Venat, Heart of Hydaelyn // Hydaelyn, the Mothercrystal</t>
        </is>
      </c>
      <c r="J12" s="29" t="inlineStr">
        <is>
          <t>Pyroblast</t>
        </is>
      </c>
      <c r="K12" s="29" t="inlineStr">
        <is>
          <t>Pyroblast</t>
        </is>
      </c>
      <c r="L12" s="29" t="inlineStr">
        <is>
          <t>Pyroblast</t>
        </is>
      </c>
      <c r="M12" s="30" t="inlineStr">
        <is>
          <t>Fun Max</t>
        </is>
      </c>
      <c r="N12" s="31">
        <f>INDEX(B12:L12,MATCH(M12,$B$5:$L$5,0))</f>
        <v/>
      </c>
      <c r="O12" s="22">
        <f>IFERROR(VLOOKUP(N12,Prices!$A:$B,2,FALSE),0)</f>
        <v/>
      </c>
      <c r="P12" s="32">
        <f>IFERROR(INDEX('_why_5o'!$B8:$L8,MATCH(M12,$B$5:$L$5,0)),"")</f>
        <v/>
      </c>
    </row>
    <row r="13">
      <c r="A13" s="28" t="n">
        <v>8</v>
      </c>
      <c r="B13" s="33" t="inlineStr">
        <is>
          <t>Fateful Tempest</t>
        </is>
      </c>
      <c r="C13" s="34" t="inlineStr">
        <is>
          <t>Knight of the White Orchid</t>
        </is>
      </c>
      <c r="D13" s="34" t="inlineStr">
        <is>
          <t>Bag of Holding</t>
        </is>
      </c>
      <c r="E13" s="34" t="inlineStr">
        <is>
          <t>Knight of the White Orchid</t>
        </is>
      </c>
      <c r="F13" s="34" t="inlineStr">
        <is>
          <t>Sunforger</t>
        </is>
      </c>
      <c r="G13" s="34" t="inlineStr">
        <is>
          <t>Sunforger</t>
        </is>
      </c>
      <c r="H13" s="34" t="inlineStr">
        <is>
          <t>Sunforger</t>
        </is>
      </c>
      <c r="I13" s="34" t="inlineStr">
        <is>
          <t>Pyroblast</t>
        </is>
      </c>
      <c r="J13" s="34" t="inlineStr">
        <is>
          <t>Cathar Commando</t>
        </is>
      </c>
      <c r="K13" s="34" t="inlineStr">
        <is>
          <t>Boros Charm</t>
        </is>
      </c>
      <c r="L13" s="34" t="inlineStr">
        <is>
          <t>Éowyn, Fearless Knight</t>
        </is>
      </c>
      <c r="M13" s="30" t="inlineStr">
        <is>
          <t>Fun Max</t>
        </is>
      </c>
      <c r="N13" s="31">
        <f>INDEX(B13:L13,MATCH(M13,$B$5:$L$5,0))</f>
        <v/>
      </c>
      <c r="O13" s="22">
        <f>IFERROR(VLOOKUP(N13,Prices!$A:$B,2,FALSE),0)</f>
        <v/>
      </c>
      <c r="P13" s="32">
        <f>IFERROR(INDEX('_why_5o'!$B9:$L9,MATCH(M13,$B$5:$L$5,0)),"")</f>
        <v/>
      </c>
    </row>
    <row r="14">
      <c r="A14" s="28" t="n">
        <v>9</v>
      </c>
      <c r="B14" s="13" t="inlineStr">
        <is>
          <t>Naktamun Lorespinner // Wheel of Fortune</t>
        </is>
      </c>
      <c r="C14" s="13" t="inlineStr">
        <is>
          <t>Naktamun Lorespinner // Wheel of Fortune</t>
        </is>
      </c>
      <c r="D14" s="13" t="inlineStr">
        <is>
          <t>Naktamun Lorespinner // Wheel of Fortune</t>
        </is>
      </c>
      <c r="E14" s="13" t="inlineStr">
        <is>
          <t>Naktamun Lorespinner // Wheel of Fortune</t>
        </is>
      </c>
      <c r="F14" s="13" t="inlineStr">
        <is>
          <t>Naktamun Lorespinner // Wheel of Fortune</t>
        </is>
      </c>
      <c r="G14" s="13" t="inlineStr">
        <is>
          <t>Naktamun Lorespinner // Wheel of Fortune</t>
        </is>
      </c>
      <c r="H14" s="13" t="inlineStr">
        <is>
          <t>Naktamun Lorespinner // Wheel of Fortune</t>
        </is>
      </c>
      <c r="I14" s="29" t="inlineStr">
        <is>
          <t>Boros Charm</t>
        </is>
      </c>
      <c r="J14" s="13" t="inlineStr">
        <is>
          <t>Naktamun Lorespinner // Wheel of Fortune</t>
        </is>
      </c>
      <c r="K14" s="13" t="inlineStr">
        <is>
          <t>Naktamun Lorespinner // Wheel of Fortune</t>
        </is>
      </c>
      <c r="L14" s="13" t="inlineStr">
        <is>
          <t>Naktamun Lorespinner // Wheel of Fortune</t>
        </is>
      </c>
      <c r="M14" s="30" t="inlineStr">
        <is>
          <t>Fun Max</t>
        </is>
      </c>
      <c r="N14" s="31">
        <f>INDEX(B14:L14,MATCH(M14,$B$5:$L$5,0))</f>
        <v/>
      </c>
      <c r="O14" s="22">
        <f>IFERROR(VLOOKUP(N14,Prices!$A:$B,2,FALSE),0)</f>
        <v/>
      </c>
      <c r="P14" s="32">
        <f>IFERROR(INDEX('_why_5o'!$B10:$L10,MATCH(M14,$B$5:$L$5,0)),"")</f>
        <v/>
      </c>
    </row>
    <row r="15">
      <c r="A15" s="28" t="n">
        <v>10</v>
      </c>
      <c r="B15" s="33" t="inlineStr">
        <is>
          <t>Relic Retriever</t>
        </is>
      </c>
      <c r="C15" s="33" t="inlineStr">
        <is>
          <t>Relic Retriever</t>
        </is>
      </c>
      <c r="D15" s="33" t="inlineStr">
        <is>
          <t>Relic Retriever</t>
        </is>
      </c>
      <c r="E15" s="33" t="inlineStr">
        <is>
          <t>Relic Retriever</t>
        </is>
      </c>
      <c r="F15" s="33" t="inlineStr">
        <is>
          <t>Relic Retriever</t>
        </is>
      </c>
      <c r="G15" s="33" t="inlineStr">
        <is>
          <t>Relic Retriever</t>
        </is>
      </c>
      <c r="H15" s="33" t="inlineStr">
        <is>
          <t>Relic Retriever</t>
        </is>
      </c>
      <c r="I15" s="33" t="inlineStr">
        <is>
          <t>Relic Retriever</t>
        </is>
      </c>
      <c r="J15" s="33" t="inlineStr">
        <is>
          <t>Relic Retriever</t>
        </is>
      </c>
      <c r="K15" s="33" t="inlineStr">
        <is>
          <t>Relic Retriever</t>
        </is>
      </c>
      <c r="L15" s="33" t="inlineStr">
        <is>
          <t>Relic Retriever</t>
        </is>
      </c>
      <c r="M15" s="30" t="inlineStr">
        <is>
          <t>Fun Max</t>
        </is>
      </c>
      <c r="N15" s="31">
        <f>INDEX(B15:L15,MATCH(M15,$B$5:$L$5,0))</f>
        <v/>
      </c>
      <c r="O15" s="22">
        <f>IFERROR(VLOOKUP(N15,Prices!$A:$B,2,FALSE),0)</f>
        <v/>
      </c>
      <c r="P15" s="32">
        <f>IFERROR(INDEX('_why_5o'!$B11:$L11,MATCH(M15,$B$5:$L$5,0)),"")</f>
        <v/>
      </c>
    </row>
    <row r="16">
      <c r="A16" s="28" t="n">
        <v>11</v>
      </c>
      <c r="B16" s="13" t="inlineStr">
        <is>
          <t>Spirit of Resilience</t>
        </is>
      </c>
      <c r="C16" s="13" t="inlineStr">
        <is>
          <t>Spirit of Resilience</t>
        </is>
      </c>
      <c r="D16" s="13" t="inlineStr">
        <is>
          <t>Spirit of Resilience</t>
        </is>
      </c>
      <c r="E16" s="13" t="inlineStr">
        <is>
          <t>Spirit of Resilience</t>
        </is>
      </c>
      <c r="F16" s="13" t="inlineStr">
        <is>
          <t>Spirit of Resilience</t>
        </is>
      </c>
      <c r="G16" s="13" t="inlineStr">
        <is>
          <t>Spirit of Resilience</t>
        </is>
      </c>
      <c r="H16" s="13" t="inlineStr">
        <is>
          <t>Spirit of Resilience</t>
        </is>
      </c>
      <c r="I16" s="13" t="inlineStr">
        <is>
          <t>Spirit of Resilience</t>
        </is>
      </c>
      <c r="J16" s="13" t="inlineStr">
        <is>
          <t>Spirit of Resilience</t>
        </is>
      </c>
      <c r="K16" s="13" t="inlineStr">
        <is>
          <t>Spirit of Resilience</t>
        </is>
      </c>
      <c r="L16" s="13" t="inlineStr">
        <is>
          <t>Spirit of Resilience</t>
        </is>
      </c>
      <c r="M16" s="30" t="inlineStr">
        <is>
          <t>Fun Max</t>
        </is>
      </c>
      <c r="N16" s="31">
        <f>INDEX(B16:L16,MATCH(M16,$B$5:$L$5,0))</f>
        <v/>
      </c>
      <c r="O16" s="22">
        <f>IFERROR(VLOOKUP(N16,Prices!$A:$B,2,FALSE),0)</f>
        <v/>
      </c>
      <c r="P16" s="32">
        <f>IFERROR(INDEX('_why_5o'!$B12:$L12,MATCH(M16,$B$5:$L$5,0)),"")</f>
        <v/>
      </c>
    </row>
    <row r="17">
      <c r="A17" s="28" t="n">
        <v>12</v>
      </c>
      <c r="B17" s="33" t="inlineStr">
        <is>
          <t>Turbulent Steppe</t>
        </is>
      </c>
      <c r="C17" s="33" t="inlineStr">
        <is>
          <t>Turbulent Steppe</t>
        </is>
      </c>
      <c r="D17" s="33" t="inlineStr">
        <is>
          <t>Turbulent Steppe</t>
        </is>
      </c>
      <c r="E17" s="33" t="inlineStr">
        <is>
          <t>Turbulent Steppe</t>
        </is>
      </c>
      <c r="F17" s="33" t="inlineStr">
        <is>
          <t>Turbulent Steppe</t>
        </is>
      </c>
      <c r="G17" s="33" t="inlineStr">
        <is>
          <t>Turbulent Steppe</t>
        </is>
      </c>
      <c r="H17" s="33" t="inlineStr">
        <is>
          <t>Turbulent Steppe</t>
        </is>
      </c>
      <c r="I17" s="33" t="inlineStr">
        <is>
          <t>Turbulent Steppe</t>
        </is>
      </c>
      <c r="J17" s="33" t="inlineStr">
        <is>
          <t>Turbulent Steppe</t>
        </is>
      </c>
      <c r="K17" s="33" t="inlineStr">
        <is>
          <t>Turbulent Steppe</t>
        </is>
      </c>
      <c r="L17" s="33" t="inlineStr">
        <is>
          <t>Turbulent Steppe</t>
        </is>
      </c>
      <c r="M17" s="30" t="inlineStr">
        <is>
          <t>Fun Max</t>
        </is>
      </c>
      <c r="N17" s="31">
        <f>INDEX(B17:L17,MATCH(M17,$B$5:$L$5,0))</f>
        <v/>
      </c>
      <c r="O17" s="22">
        <f>IFERROR(VLOOKUP(N17,Prices!$A:$B,2,FALSE),0)</f>
        <v/>
      </c>
      <c r="P17" s="32">
        <f>IFERROR(INDEX('_why_5o'!$B13:$L13,MATCH(M17,$B$5:$L$5,0)),"")</f>
        <v/>
      </c>
    </row>
    <row r="18">
      <c r="A18" s="28" t="n">
        <v>13</v>
      </c>
      <c r="B18" s="13" t="inlineStr">
        <is>
          <t>Moonshaker Cavalry</t>
        </is>
      </c>
      <c r="C18" s="13" t="inlineStr">
        <is>
          <t>Moonshaker Cavalry</t>
        </is>
      </c>
      <c r="D18" s="13" t="inlineStr">
        <is>
          <t>Moonshaker Cavalry</t>
        </is>
      </c>
      <c r="E18" s="13" t="inlineStr">
        <is>
          <t>Moonshaker Cavalry</t>
        </is>
      </c>
      <c r="F18" s="13" t="inlineStr">
        <is>
          <t>Moonshaker Cavalry</t>
        </is>
      </c>
      <c r="G18" s="13" t="inlineStr">
        <is>
          <t>Moonshaker Cavalry</t>
        </is>
      </c>
      <c r="H18" s="13" t="inlineStr">
        <is>
          <t>Moonshaker Cavalry</t>
        </is>
      </c>
      <c r="I18" s="13" t="inlineStr">
        <is>
          <t>Moonshaker Cavalry</t>
        </is>
      </c>
      <c r="J18" s="13" t="inlineStr">
        <is>
          <t>Moonshaker Cavalry</t>
        </is>
      </c>
      <c r="K18" s="13" t="inlineStr">
        <is>
          <t>Moonshaker Cavalry</t>
        </is>
      </c>
      <c r="L18" s="13" t="inlineStr">
        <is>
          <t>Moonshaker Cavalry</t>
        </is>
      </c>
      <c r="M18" s="30" t="inlineStr">
        <is>
          <t>Fun Max</t>
        </is>
      </c>
      <c r="N18" s="31">
        <f>INDEX(B18:L18,MATCH(M18,$B$5:$L$5,0))</f>
        <v/>
      </c>
      <c r="O18" s="22">
        <f>IFERROR(VLOOKUP(N18,Prices!$A:$B,2,FALSE),0)</f>
        <v/>
      </c>
      <c r="P18" s="32">
        <f>IFERROR(INDEX('_why_5o'!$B14:$L14,MATCH(M18,$B$5:$L$5,0)),"")</f>
        <v/>
      </c>
    </row>
    <row r="19">
      <c r="A19" s="28" t="n">
        <v>14</v>
      </c>
      <c r="B19" s="33" t="inlineStr">
        <is>
          <t>Staff of the Storyteller</t>
        </is>
      </c>
      <c r="C19" s="33" t="inlineStr">
        <is>
          <t>Staff of the Storyteller</t>
        </is>
      </c>
      <c r="D19" s="33" t="inlineStr">
        <is>
          <t>Staff of the Storyteller</t>
        </is>
      </c>
      <c r="E19" s="33" t="inlineStr">
        <is>
          <t>Staff of the Storyteller</t>
        </is>
      </c>
      <c r="F19" s="33" t="inlineStr">
        <is>
          <t>Staff of the Storyteller</t>
        </is>
      </c>
      <c r="G19" s="33" t="inlineStr">
        <is>
          <t>Staff of the Storyteller</t>
        </is>
      </c>
      <c r="H19" s="33" t="inlineStr">
        <is>
          <t>Staff of the Storyteller</t>
        </is>
      </c>
      <c r="I19" s="33" t="inlineStr">
        <is>
          <t>Staff of the Storyteller</t>
        </is>
      </c>
      <c r="J19" s="33" t="inlineStr">
        <is>
          <t>Staff of the Storyteller</t>
        </is>
      </c>
      <c r="K19" s="33" t="inlineStr">
        <is>
          <t>Staff of the Storyteller</t>
        </is>
      </c>
      <c r="L19" s="33" t="inlineStr">
        <is>
          <t>Staff of the Storyteller</t>
        </is>
      </c>
      <c r="M19" s="30" t="inlineStr">
        <is>
          <t>Fun Max</t>
        </is>
      </c>
      <c r="N19" s="31">
        <f>INDEX(B19:L19,MATCH(M19,$B$5:$L$5,0))</f>
        <v/>
      </c>
      <c r="O19" s="22">
        <f>IFERROR(VLOOKUP(N19,Prices!$A:$B,2,FALSE),0)</f>
        <v/>
      </c>
      <c r="P19" s="32">
        <f>IFERROR(INDEX('_why_5o'!$B15:$L15,MATCH(M19,$B$5:$L$5,0)),"")</f>
        <v/>
      </c>
    </row>
    <row r="20">
      <c r="A20" s="28" t="n">
        <v>15</v>
      </c>
      <c r="B20" s="13" t="inlineStr">
        <is>
          <t>Wave of Reckoning</t>
        </is>
      </c>
      <c r="C20" s="13" t="inlineStr">
        <is>
          <t>Wave of Reckoning</t>
        </is>
      </c>
      <c r="D20" s="13" t="inlineStr">
        <is>
          <t>Wave of Reckoning</t>
        </is>
      </c>
      <c r="E20" s="13" t="inlineStr">
        <is>
          <t>Wave of Reckoning</t>
        </is>
      </c>
      <c r="F20" s="29" t="inlineStr">
        <is>
          <t>Éowyn, Fearless Knight</t>
        </is>
      </c>
      <c r="G20" s="29" t="inlineStr">
        <is>
          <t>Éowyn, Fearless Knight</t>
        </is>
      </c>
      <c r="H20" s="29" t="inlineStr">
        <is>
          <t>Éowyn, Fearless Knight</t>
        </is>
      </c>
      <c r="I20" s="29" t="inlineStr">
        <is>
          <t>Éowyn, Fearless Knight</t>
        </is>
      </c>
      <c r="J20" s="29" t="inlineStr">
        <is>
          <t>Cast Out</t>
        </is>
      </c>
      <c r="K20" s="29" t="inlineStr">
        <is>
          <t>Éowyn, Fearless Knight</t>
        </is>
      </c>
      <c r="L20" s="29" t="inlineStr">
        <is>
          <t>Final Showdown</t>
        </is>
      </c>
      <c r="M20" s="30" t="inlineStr">
        <is>
          <t>Fun Max</t>
        </is>
      </c>
      <c r="N20" s="31">
        <f>INDEX(B20:L20,MATCH(M20,$B$5:$L$5,0))</f>
        <v/>
      </c>
      <c r="O20" s="22">
        <f>IFERROR(VLOOKUP(N20,Prices!$A:$B,2,FALSE),0)</f>
        <v/>
      </c>
      <c r="P20" s="32">
        <f>IFERROR(INDEX('_why_5o'!$B16:$L16,MATCH(M20,$B$5:$L$5,0)),"")</f>
        <v/>
      </c>
    </row>
    <row r="21">
      <c r="A21" s="28" t="n">
        <v>16</v>
      </c>
      <c r="B21" s="33" t="inlineStr">
        <is>
          <t>Fabled Passage</t>
        </is>
      </c>
      <c r="C21" s="33" t="inlineStr">
        <is>
          <t>Fabled Passage</t>
        </is>
      </c>
      <c r="D21" s="33" t="inlineStr">
        <is>
          <t>Fabled Passage</t>
        </is>
      </c>
      <c r="E21" s="33" t="inlineStr">
        <is>
          <t>Fabled Passage</t>
        </is>
      </c>
      <c r="F21" s="33" t="inlineStr">
        <is>
          <t>Fabled Passage</t>
        </is>
      </c>
      <c r="G21" s="33" t="inlineStr">
        <is>
          <t>Fabled Passage</t>
        </is>
      </c>
      <c r="H21" s="33" t="inlineStr">
        <is>
          <t>Fabled Passage</t>
        </is>
      </c>
      <c r="I21" s="33" t="inlineStr">
        <is>
          <t>Fabled Passage</t>
        </is>
      </c>
      <c r="J21" s="33" t="inlineStr">
        <is>
          <t>Fabled Passage</t>
        </is>
      </c>
      <c r="K21" s="33" t="inlineStr">
        <is>
          <t>Fabled Passage</t>
        </is>
      </c>
      <c r="L21" s="33" t="inlineStr">
        <is>
          <t>Fabled Passage</t>
        </is>
      </c>
      <c r="M21" s="30" t="inlineStr">
        <is>
          <t>Fun Max</t>
        </is>
      </c>
      <c r="N21" s="31">
        <f>INDEX(B21:L21,MATCH(M21,$B$5:$L$5,0))</f>
        <v/>
      </c>
      <c r="O21" s="22">
        <f>IFERROR(VLOOKUP(N21,Prices!$A:$B,2,FALSE),0)</f>
        <v/>
      </c>
      <c r="P21" s="32">
        <f>IFERROR(INDEX('_why_5o'!$B17:$L17,MATCH(M21,$B$5:$L$5,0)),"")</f>
        <v/>
      </c>
    </row>
    <row r="22">
      <c r="A22" s="28" t="n">
        <v>17</v>
      </c>
      <c r="B22" s="13" t="inlineStr">
        <is>
          <t>Angel of Indemnity</t>
        </is>
      </c>
      <c r="C22" s="13" t="inlineStr">
        <is>
          <t>Angel of Indemnity</t>
        </is>
      </c>
      <c r="D22" s="13" t="inlineStr">
        <is>
          <t>Angel of Indemnity</t>
        </is>
      </c>
      <c r="E22" s="13" t="inlineStr">
        <is>
          <t>Angel of Indemnity</t>
        </is>
      </c>
      <c r="F22" s="13" t="inlineStr">
        <is>
          <t>Angel of Indemnity</t>
        </is>
      </c>
      <c r="G22" s="13" t="inlineStr">
        <is>
          <t>Angel of Indemnity</t>
        </is>
      </c>
      <c r="H22" s="13" t="inlineStr">
        <is>
          <t>Angel of Indemnity</t>
        </is>
      </c>
      <c r="I22" s="13" t="inlineStr">
        <is>
          <t>Angel of Indemnity</t>
        </is>
      </c>
      <c r="J22" s="13" t="inlineStr">
        <is>
          <t>Angel of Indemnity</t>
        </is>
      </c>
      <c r="K22" s="13" t="inlineStr">
        <is>
          <t>Angel of Indemnity</t>
        </is>
      </c>
      <c r="L22" s="13" t="inlineStr">
        <is>
          <t>Angel of Indemnity</t>
        </is>
      </c>
      <c r="M22" s="30" t="inlineStr">
        <is>
          <t>Fun Max</t>
        </is>
      </c>
      <c r="N22" s="31">
        <f>INDEX(B22:L22,MATCH(M22,$B$5:$L$5,0))</f>
        <v/>
      </c>
      <c r="O22" s="22">
        <f>IFERROR(VLOOKUP(N22,Prices!$A:$B,2,FALSE),0)</f>
        <v/>
      </c>
      <c r="P22" s="32">
        <f>IFERROR(INDEX('_why_5o'!$B18:$L18,MATCH(M22,$B$5:$L$5,0)),"")</f>
        <v/>
      </c>
    </row>
    <row r="23">
      <c r="A23" s="28" t="n">
        <v>18</v>
      </c>
      <c r="B23" s="33" t="inlineStr">
        <is>
          <t>Ao, the Dawn Sky</t>
        </is>
      </c>
      <c r="C23" s="34" t="inlineStr">
        <is>
          <t>Talisman of Conviction</t>
        </is>
      </c>
      <c r="D23" s="34" t="inlineStr">
        <is>
          <t>Charming Prince</t>
        </is>
      </c>
      <c r="E23" s="34" t="inlineStr">
        <is>
          <t>Talisman of Conviction</t>
        </is>
      </c>
      <c r="F23" s="34" t="inlineStr">
        <is>
          <t>Weathered Wayfarer</t>
        </is>
      </c>
      <c r="G23" s="34" t="inlineStr">
        <is>
          <t>Weathered Wayfarer</t>
        </is>
      </c>
      <c r="H23" s="34" t="inlineStr">
        <is>
          <t>Weathered Wayfarer</t>
        </is>
      </c>
      <c r="I23" s="34" t="inlineStr">
        <is>
          <t>Valorous Stance</t>
        </is>
      </c>
      <c r="J23" s="34" t="inlineStr">
        <is>
          <t>Portable Hole</t>
        </is>
      </c>
      <c r="K23" s="34" t="inlineStr">
        <is>
          <t>Valorous Stance</t>
        </is>
      </c>
      <c r="L23" s="34" t="inlineStr">
        <is>
          <t>Cast Out</t>
        </is>
      </c>
      <c r="M23" s="30" t="inlineStr">
        <is>
          <t>Fun Max</t>
        </is>
      </c>
      <c r="N23" s="31">
        <f>INDEX(B23:L23,MATCH(M23,$B$5:$L$5,0))</f>
        <v/>
      </c>
      <c r="O23" s="22">
        <f>IFERROR(VLOOKUP(N23,Prices!$A:$B,2,FALSE),0)</f>
        <v/>
      </c>
      <c r="P23" s="32">
        <f>IFERROR(INDEX('_why_5o'!$B19:$L19,MATCH(M23,$B$5:$L$5,0)),"")</f>
        <v/>
      </c>
    </row>
    <row r="24">
      <c r="A24" s="28" t="n">
        <v>19</v>
      </c>
      <c r="B24" s="13" t="inlineStr">
        <is>
          <t>Archaeomancer's Map</t>
        </is>
      </c>
      <c r="C24" s="13" t="inlineStr">
        <is>
          <t>Archaeomancer's Map</t>
        </is>
      </c>
      <c r="D24" s="13" t="inlineStr">
        <is>
          <t>Archaeomancer's Map</t>
        </is>
      </c>
      <c r="E24" s="13" t="inlineStr">
        <is>
          <t>Archaeomancer's Map</t>
        </is>
      </c>
      <c r="F24" s="29" t="inlineStr">
        <is>
          <t>Pyroblast</t>
        </is>
      </c>
      <c r="G24" s="29" t="inlineStr">
        <is>
          <t>Pyroblast</t>
        </is>
      </c>
      <c r="H24" s="29" t="inlineStr">
        <is>
          <t>Pyroblast</t>
        </is>
      </c>
      <c r="I24" s="29" t="inlineStr">
        <is>
          <t>Cast Out</t>
        </is>
      </c>
      <c r="J24" s="29" t="inlineStr">
        <is>
          <t>Bag of Holding</t>
        </is>
      </c>
      <c r="K24" s="29" t="inlineStr">
        <is>
          <t>Cast Out</t>
        </is>
      </c>
      <c r="L24" s="29" t="inlineStr">
        <is>
          <t>Portable Hole</t>
        </is>
      </c>
      <c r="M24" s="30" t="inlineStr">
        <is>
          <t>Fun Max</t>
        </is>
      </c>
      <c r="N24" s="31">
        <f>INDEX(B24:L24,MATCH(M24,$B$5:$L$5,0))</f>
        <v/>
      </c>
      <c r="O24" s="22">
        <f>IFERROR(VLOOKUP(N24,Prices!$A:$B,2,FALSE),0)</f>
        <v/>
      </c>
      <c r="P24" s="32">
        <f>IFERROR(INDEX('_why_5o'!$B20:$L20,MATCH(M24,$B$5:$L$5,0)),"")</f>
        <v/>
      </c>
    </row>
    <row r="25">
      <c r="A25" s="28" t="n">
        <v>20</v>
      </c>
      <c r="B25" s="33" t="inlineStr">
        <is>
          <t>Claim Jumper</t>
        </is>
      </c>
      <c r="C25" s="34" t="inlineStr">
        <is>
          <t>Bag of Holding</t>
        </is>
      </c>
      <c r="D25" s="34" t="inlineStr">
        <is>
          <t>Open the Armory</t>
        </is>
      </c>
      <c r="E25" s="34" t="inlineStr">
        <is>
          <t>Bag of Holding</t>
        </is>
      </c>
      <c r="F25" s="34" t="inlineStr">
        <is>
          <t>Bag of Holding</t>
        </is>
      </c>
      <c r="G25" s="34" t="inlineStr">
        <is>
          <t>Bag of Holding</t>
        </is>
      </c>
      <c r="H25" s="34" t="inlineStr">
        <is>
          <t>Bag of Holding</t>
        </is>
      </c>
      <c r="I25" s="34" t="inlineStr">
        <is>
          <t>Portable Hole</t>
        </is>
      </c>
      <c r="J25" s="34" t="inlineStr">
        <is>
          <t>Nikko-Onna</t>
        </is>
      </c>
      <c r="K25" s="34" t="inlineStr">
        <is>
          <t>Portable Hole</t>
        </is>
      </c>
      <c r="L25" s="34" t="inlineStr">
        <is>
          <t>Bag of Holding</t>
        </is>
      </c>
      <c r="M25" s="30" t="inlineStr">
        <is>
          <t>Fun Max</t>
        </is>
      </c>
      <c r="N25" s="31">
        <f>INDEX(B25:L25,MATCH(M25,$B$5:$L$5,0))</f>
        <v/>
      </c>
      <c r="O25" s="22">
        <f>IFERROR(VLOOKUP(N25,Prices!$A:$B,2,FALSE),0)</f>
        <v/>
      </c>
      <c r="P25" s="32">
        <f>IFERROR(INDEX('_why_5o'!$B21:$L21,MATCH(M25,$B$5:$L$5,0)),"")</f>
        <v/>
      </c>
    </row>
    <row r="26">
      <c r="A26" s="28" t="n">
        <v>21</v>
      </c>
      <c r="B26" s="13" t="inlineStr">
        <is>
          <t>Drumbellower</t>
        </is>
      </c>
      <c r="C26" s="13" t="inlineStr">
        <is>
          <t>Drumbellower</t>
        </is>
      </c>
      <c r="D26" s="13" t="inlineStr">
        <is>
          <t>Drumbellower</t>
        </is>
      </c>
      <c r="E26" s="13" t="inlineStr">
        <is>
          <t>Drumbellower</t>
        </is>
      </c>
      <c r="F26" s="13" t="inlineStr">
        <is>
          <t>Drumbellower</t>
        </is>
      </c>
      <c r="G26" s="13" t="inlineStr">
        <is>
          <t>Drumbellower</t>
        </is>
      </c>
      <c r="H26" s="13" t="inlineStr">
        <is>
          <t>Drumbellower</t>
        </is>
      </c>
      <c r="I26" s="13" t="inlineStr">
        <is>
          <t>Drumbellower</t>
        </is>
      </c>
      <c r="J26" s="13" t="inlineStr">
        <is>
          <t>Drumbellower</t>
        </is>
      </c>
      <c r="K26" s="13" t="inlineStr">
        <is>
          <t>Drumbellower</t>
        </is>
      </c>
      <c r="L26" s="13" t="inlineStr">
        <is>
          <t>Drumbellower</t>
        </is>
      </c>
      <c r="M26" s="30" t="inlineStr">
        <is>
          <t>Fun Max</t>
        </is>
      </c>
      <c r="N26" s="31">
        <f>INDEX(B26:L26,MATCH(M26,$B$5:$L$5,0))</f>
        <v/>
      </c>
      <c r="O26" s="22">
        <f>IFERROR(VLOOKUP(N26,Prices!$A:$B,2,FALSE),0)</f>
        <v/>
      </c>
      <c r="P26" s="32">
        <f>IFERROR(INDEX('_why_5o'!$B22:$L22,MATCH(M26,$B$5:$L$5,0)),"")</f>
        <v/>
      </c>
    </row>
    <row r="27">
      <c r="A27" s="28" t="n">
        <v>22</v>
      </c>
      <c r="B27" s="33" t="inlineStr">
        <is>
          <t>Guardian of Faith</t>
        </is>
      </c>
      <c r="C27" s="33" t="inlineStr">
        <is>
          <t>Guardian of Faith</t>
        </is>
      </c>
      <c r="D27" s="33" t="inlineStr">
        <is>
          <t>Guardian of Faith</t>
        </is>
      </c>
      <c r="E27" s="33" t="inlineStr">
        <is>
          <t>Guardian of Faith</t>
        </is>
      </c>
      <c r="F27" s="33" t="inlineStr">
        <is>
          <t>Guardian of Faith</t>
        </is>
      </c>
      <c r="G27" s="33" t="inlineStr">
        <is>
          <t>Guardian of Faith</t>
        </is>
      </c>
      <c r="H27" s="33" t="inlineStr">
        <is>
          <t>Guardian of Faith</t>
        </is>
      </c>
      <c r="I27" s="33" t="inlineStr">
        <is>
          <t>Guardian of Faith</t>
        </is>
      </c>
      <c r="J27" s="33" t="inlineStr">
        <is>
          <t>Guardian of Faith</t>
        </is>
      </c>
      <c r="K27" s="33" t="inlineStr">
        <is>
          <t>Guardian of Faith</t>
        </is>
      </c>
      <c r="L27" s="33" t="inlineStr">
        <is>
          <t>Guardian of Faith</t>
        </is>
      </c>
      <c r="M27" s="30" t="inlineStr">
        <is>
          <t>Fun Max</t>
        </is>
      </c>
      <c r="N27" s="31">
        <f>INDEX(B27:L27,MATCH(M27,$B$5:$L$5,0))</f>
        <v/>
      </c>
      <c r="O27" s="22">
        <f>IFERROR(VLOOKUP(N27,Prices!$A:$B,2,FALSE),0)</f>
        <v/>
      </c>
      <c r="P27" s="32">
        <f>IFERROR(INDEX('_why_5o'!$B23:$L23,MATCH(M27,$B$5:$L$5,0)),"")</f>
        <v/>
      </c>
    </row>
    <row r="28">
      <c r="A28" s="28" t="n">
        <v>23</v>
      </c>
      <c r="B28" s="13" t="inlineStr">
        <is>
          <t>Guardian Scalelord</t>
        </is>
      </c>
      <c r="C28" s="13" t="inlineStr">
        <is>
          <t>Guardian Scalelord</t>
        </is>
      </c>
      <c r="D28" s="13" t="inlineStr">
        <is>
          <t>Guardian Scalelord</t>
        </is>
      </c>
      <c r="E28" s="13" t="inlineStr">
        <is>
          <t>Guardian Scalelord</t>
        </is>
      </c>
      <c r="F28" s="13" t="inlineStr">
        <is>
          <t>Guardian Scalelord</t>
        </is>
      </c>
      <c r="G28" s="13" t="inlineStr">
        <is>
          <t>Guardian Scalelord</t>
        </is>
      </c>
      <c r="H28" s="13" t="inlineStr">
        <is>
          <t>Guardian Scalelord</t>
        </is>
      </c>
      <c r="I28" s="13" t="inlineStr">
        <is>
          <t>Guardian Scalelord</t>
        </is>
      </c>
      <c r="J28" s="13" t="inlineStr">
        <is>
          <t>Guardian Scalelord</t>
        </is>
      </c>
      <c r="K28" s="13" t="inlineStr">
        <is>
          <t>Guardian Scalelord</t>
        </is>
      </c>
      <c r="L28" s="13" t="inlineStr">
        <is>
          <t>Guardian Scalelord</t>
        </is>
      </c>
      <c r="M28" s="30" t="inlineStr">
        <is>
          <t>Fun Max</t>
        </is>
      </c>
      <c r="N28" s="31">
        <f>INDEX(B28:L28,MATCH(M28,$B$5:$L$5,0))</f>
        <v/>
      </c>
      <c r="O28" s="22">
        <f>IFERROR(VLOOKUP(N28,Prices!$A:$B,2,FALSE),0)</f>
        <v/>
      </c>
      <c r="P28" s="32">
        <f>IFERROR(INDEX('_why_5o'!$B24:$L24,MATCH(M28,$B$5:$L$5,0)),"")</f>
        <v/>
      </c>
    </row>
    <row r="29">
      <c r="A29" s="28" t="n">
        <v>24</v>
      </c>
      <c r="B29" s="33" t="inlineStr">
        <is>
          <t>Karmic Guide</t>
        </is>
      </c>
      <c r="C29" s="33" t="inlineStr">
        <is>
          <t>Karmic Guide</t>
        </is>
      </c>
      <c r="D29" s="33" t="inlineStr">
        <is>
          <t>Karmic Guide</t>
        </is>
      </c>
      <c r="E29" s="33" t="inlineStr">
        <is>
          <t>Karmic Guide</t>
        </is>
      </c>
      <c r="F29" s="33" t="inlineStr">
        <is>
          <t>Karmic Guide</t>
        </is>
      </c>
      <c r="G29" s="33" t="inlineStr">
        <is>
          <t>Karmic Guide</t>
        </is>
      </c>
      <c r="H29" s="33" t="inlineStr">
        <is>
          <t>Karmic Guide</t>
        </is>
      </c>
      <c r="I29" s="33" t="inlineStr">
        <is>
          <t>Karmic Guide</t>
        </is>
      </c>
      <c r="J29" s="33" t="inlineStr">
        <is>
          <t>Karmic Guide</t>
        </is>
      </c>
      <c r="K29" s="33" t="inlineStr">
        <is>
          <t>Karmic Guide</t>
        </is>
      </c>
      <c r="L29" s="33" t="inlineStr">
        <is>
          <t>Karmic Guide</t>
        </is>
      </c>
      <c r="M29" s="30" t="inlineStr">
        <is>
          <t>Fun Max</t>
        </is>
      </c>
      <c r="N29" s="31">
        <f>INDEX(B29:L29,MATCH(M29,$B$5:$L$5,0))</f>
        <v/>
      </c>
      <c r="O29" s="22">
        <f>IFERROR(VLOOKUP(N29,Prices!$A:$B,2,FALSE),0)</f>
        <v/>
      </c>
      <c r="P29" s="32">
        <f>IFERROR(INDEX('_why_5o'!$B25:$L25,MATCH(M29,$B$5:$L$5,0)),"")</f>
        <v/>
      </c>
    </row>
    <row r="30">
      <c r="A30" s="28" t="n">
        <v>25</v>
      </c>
      <c r="B30" s="13" t="inlineStr">
        <is>
          <t>Monologue Tax</t>
        </is>
      </c>
      <c r="C30" s="29" t="inlineStr">
        <is>
          <t>Charming Prince</t>
        </is>
      </c>
      <c r="D30" s="29" t="inlineStr">
        <is>
          <t>Nikko-Onna</t>
        </is>
      </c>
      <c r="E30" s="29" t="inlineStr">
        <is>
          <t>Nikko-Onna</t>
        </is>
      </c>
      <c r="F30" s="29" t="inlineStr">
        <is>
          <t>Valorous Stance</t>
        </is>
      </c>
      <c r="G30" s="29" t="inlineStr">
        <is>
          <t>Valorous Stance</t>
        </is>
      </c>
      <c r="H30" s="29" t="inlineStr">
        <is>
          <t>Valorous Stance</t>
        </is>
      </c>
      <c r="I30" s="29" t="inlineStr">
        <is>
          <t>Knight of the White Orchid</t>
        </is>
      </c>
      <c r="J30" s="29" t="inlineStr">
        <is>
          <t>Weathered Wayfarer</t>
        </is>
      </c>
      <c r="K30" s="29" t="inlineStr">
        <is>
          <t>Knight of the White Orchid</t>
        </is>
      </c>
      <c r="L30" s="29" t="inlineStr">
        <is>
          <t>Nikko-Onna</t>
        </is>
      </c>
      <c r="M30" s="30" t="inlineStr">
        <is>
          <t>Fun Max</t>
        </is>
      </c>
      <c r="N30" s="31">
        <f>INDEX(B30:L30,MATCH(M30,$B$5:$L$5,0))</f>
        <v/>
      </c>
      <c r="O30" s="22">
        <f>IFERROR(VLOOKUP(N30,Prices!$A:$B,2,FALSE),0)</f>
        <v/>
      </c>
      <c r="P30" s="32">
        <f>IFERROR(INDEX('_why_5o'!$B26:$L26,MATCH(M30,$B$5:$L$5,0)),"")</f>
        <v/>
      </c>
    </row>
    <row r="31">
      <c r="A31" s="28" t="n">
        <v>26</v>
      </c>
      <c r="B31" s="33" t="inlineStr">
        <is>
          <t>Remorseful Cleric</t>
        </is>
      </c>
      <c r="C31" s="33" t="inlineStr">
        <is>
          <t>Remorseful Cleric</t>
        </is>
      </c>
      <c r="D31" s="33" t="inlineStr">
        <is>
          <t>Remorseful Cleric</t>
        </is>
      </c>
      <c r="E31" s="34" t="inlineStr">
        <is>
          <t>Lightning Greaves</t>
        </is>
      </c>
      <c r="F31" s="33" t="inlineStr">
        <is>
          <t>Remorseful Cleric</t>
        </is>
      </c>
      <c r="G31" s="33" t="inlineStr">
        <is>
          <t>Remorseful Cleric</t>
        </is>
      </c>
      <c r="H31" s="34" t="inlineStr">
        <is>
          <t>Smothering Tithe</t>
        </is>
      </c>
      <c r="I31" s="33" t="inlineStr">
        <is>
          <t>Remorseful Cleric</t>
        </is>
      </c>
      <c r="J31" s="34" t="inlineStr">
        <is>
          <t>Coldsteel Heart</t>
        </is>
      </c>
      <c r="K31" s="33" t="inlineStr">
        <is>
          <t>Remorseful Cleric</t>
        </is>
      </c>
      <c r="L31" s="34" t="inlineStr">
        <is>
          <t>Weathered Wayfarer</t>
        </is>
      </c>
      <c r="M31" s="30" t="inlineStr">
        <is>
          <t>Fun Max</t>
        </is>
      </c>
      <c r="N31" s="31">
        <f>INDEX(B31:L31,MATCH(M31,$B$5:$L$5,0))</f>
        <v/>
      </c>
      <c r="O31" s="22">
        <f>IFERROR(VLOOKUP(N31,Prices!$A:$B,2,FALSE),0)</f>
        <v/>
      </c>
      <c r="P31" s="32">
        <f>IFERROR(INDEX('_why_5o'!$B27:$L27,MATCH(M31,$B$5:$L$5,0)),"")</f>
        <v/>
      </c>
    </row>
    <row r="32">
      <c r="A32" s="28" t="n">
        <v>27</v>
      </c>
      <c r="B32" s="13" t="inlineStr">
        <is>
          <t>Selfless Spirit</t>
        </is>
      </c>
      <c r="C32" s="13" t="inlineStr">
        <is>
          <t>Selfless Spirit</t>
        </is>
      </c>
      <c r="D32" s="13" t="inlineStr">
        <is>
          <t>Selfless Spirit</t>
        </is>
      </c>
      <c r="E32" s="13" t="inlineStr">
        <is>
          <t>Selfless Spirit</t>
        </is>
      </c>
      <c r="F32" s="13" t="inlineStr">
        <is>
          <t>Selfless Spirit</t>
        </is>
      </c>
      <c r="G32" s="13" t="inlineStr">
        <is>
          <t>Selfless Spirit</t>
        </is>
      </c>
      <c r="H32" s="13" t="inlineStr">
        <is>
          <t>Selfless Spirit</t>
        </is>
      </c>
      <c r="I32" s="13" t="inlineStr">
        <is>
          <t>Selfless Spirit</t>
        </is>
      </c>
      <c r="J32" s="13" t="inlineStr">
        <is>
          <t>Selfless Spirit</t>
        </is>
      </c>
      <c r="K32" s="13" t="inlineStr">
        <is>
          <t>Selfless Spirit</t>
        </is>
      </c>
      <c r="L32" s="13" t="inlineStr">
        <is>
          <t>Selfless Spirit</t>
        </is>
      </c>
      <c r="M32" s="30" t="inlineStr">
        <is>
          <t>Fun Max</t>
        </is>
      </c>
      <c r="N32" s="31">
        <f>INDEX(B32:L32,MATCH(M32,$B$5:$L$5,0))</f>
        <v/>
      </c>
      <c r="O32" s="22">
        <f>IFERROR(VLOOKUP(N32,Prices!$A:$B,2,FALSE),0)</f>
        <v/>
      </c>
      <c r="P32" s="32">
        <f>IFERROR(INDEX('_why_5o'!$B28:$L28,MATCH(M32,$B$5:$L$5,0)),"")</f>
        <v/>
      </c>
    </row>
    <row r="33">
      <c r="A33" s="28" t="n">
        <v>28</v>
      </c>
      <c r="B33" s="33" t="inlineStr">
        <is>
          <t>Serra Paragon</t>
        </is>
      </c>
      <c r="C33" s="33" t="inlineStr">
        <is>
          <t>Serra Paragon</t>
        </is>
      </c>
      <c r="D33" s="33" t="inlineStr">
        <is>
          <t>Serra Paragon</t>
        </is>
      </c>
      <c r="E33" s="33" t="inlineStr">
        <is>
          <t>Serra Paragon</t>
        </is>
      </c>
      <c r="F33" s="33" t="inlineStr">
        <is>
          <t>Serra Paragon</t>
        </is>
      </c>
      <c r="G33" s="33" t="inlineStr">
        <is>
          <t>Serra Paragon</t>
        </is>
      </c>
      <c r="H33" s="33" t="inlineStr">
        <is>
          <t>Serra Paragon</t>
        </is>
      </c>
      <c r="I33" s="33" t="inlineStr">
        <is>
          <t>Serra Paragon</t>
        </is>
      </c>
      <c r="J33" s="33" t="inlineStr">
        <is>
          <t>Serra Paragon</t>
        </is>
      </c>
      <c r="K33" s="33" t="inlineStr">
        <is>
          <t>Serra Paragon</t>
        </is>
      </c>
      <c r="L33" s="33" t="inlineStr">
        <is>
          <t>Serra Paragon</t>
        </is>
      </c>
      <c r="M33" s="30" t="inlineStr">
        <is>
          <t>Fun Max</t>
        </is>
      </c>
      <c r="N33" s="31">
        <f>INDEX(B33:L33,MATCH(M33,$B$5:$L$5,0))</f>
        <v/>
      </c>
      <c r="O33" s="22">
        <f>IFERROR(VLOOKUP(N33,Prices!$A:$B,2,FALSE),0)</f>
        <v/>
      </c>
      <c r="P33" s="32">
        <f>IFERROR(INDEX('_why_5o'!$B29:$L29,MATCH(M33,$B$5:$L$5,0)),"")</f>
        <v/>
      </c>
    </row>
    <row r="34">
      <c r="A34" s="28" t="n">
        <v>29</v>
      </c>
      <c r="B34" s="13" t="inlineStr">
        <is>
          <t>Sevinne's Reclamation</t>
        </is>
      </c>
      <c r="C34" s="13" t="inlineStr">
        <is>
          <t>Sevinne's Reclamation</t>
        </is>
      </c>
      <c r="D34" s="13" t="inlineStr">
        <is>
          <t>Sevinne's Reclamation</t>
        </is>
      </c>
      <c r="E34" s="13" t="inlineStr">
        <is>
          <t>Sevinne's Reclamation</t>
        </is>
      </c>
      <c r="F34" s="29" t="inlineStr">
        <is>
          <t>Venat, Heart of Hydaelyn // Hydaelyn, the Mothercrystal</t>
        </is>
      </c>
      <c r="G34" s="29" t="inlineStr">
        <is>
          <t>Venat, Heart of Hydaelyn // Hydaelyn, the Mothercrystal</t>
        </is>
      </c>
      <c r="H34" s="29" t="inlineStr">
        <is>
          <t>Venat, Heart of Hydaelyn // Hydaelyn, the Mothercrystal</t>
        </is>
      </c>
      <c r="I34" s="29" t="inlineStr">
        <is>
          <t>Talisman of Conviction</t>
        </is>
      </c>
      <c r="J34" s="29" t="inlineStr">
        <is>
          <t>Frontline Medic</t>
        </is>
      </c>
      <c r="K34" s="29" t="inlineStr">
        <is>
          <t>Talisman of Conviction</t>
        </is>
      </c>
      <c r="L34" s="29" t="inlineStr">
        <is>
          <t>Coldsteel Heart</t>
        </is>
      </c>
      <c r="M34" s="30" t="inlineStr">
        <is>
          <t>Fun Max</t>
        </is>
      </c>
      <c r="N34" s="31">
        <f>INDEX(B34:L34,MATCH(M34,$B$5:$L$5,0))</f>
        <v/>
      </c>
      <c r="O34" s="22">
        <f>IFERROR(VLOOKUP(N34,Prices!$A:$B,2,FALSE),0)</f>
        <v/>
      </c>
      <c r="P34" s="32">
        <f>IFERROR(INDEX('_why_5o'!$B30:$L30,MATCH(M34,$B$5:$L$5,0)),"")</f>
        <v/>
      </c>
    </row>
    <row r="35">
      <c r="A35" s="28" t="n">
        <v>30</v>
      </c>
      <c r="B35" s="33" t="inlineStr">
        <is>
          <t>Skyclave Apparition</t>
        </is>
      </c>
      <c r="C35" s="33" t="inlineStr">
        <is>
          <t>Skyclave Apparition</t>
        </is>
      </c>
      <c r="D35" s="33" t="inlineStr">
        <is>
          <t>Skyclave Apparition</t>
        </is>
      </c>
      <c r="E35" s="33" t="inlineStr">
        <is>
          <t>Skyclave Apparition</t>
        </is>
      </c>
      <c r="F35" s="33" t="inlineStr">
        <is>
          <t>Skyclave Apparition</t>
        </is>
      </c>
      <c r="G35" s="33" t="inlineStr">
        <is>
          <t>Skyclave Apparition</t>
        </is>
      </c>
      <c r="H35" s="33" t="inlineStr">
        <is>
          <t>Skyclave Apparition</t>
        </is>
      </c>
      <c r="I35" s="33" t="inlineStr">
        <is>
          <t>Skyclave Apparition</t>
        </is>
      </c>
      <c r="J35" s="33" t="inlineStr">
        <is>
          <t>Skyclave Apparition</t>
        </is>
      </c>
      <c r="K35" s="34" t="inlineStr">
        <is>
          <t>Bag of Holding</t>
        </is>
      </c>
      <c r="L35" s="33" t="inlineStr">
        <is>
          <t>Skyclave Apparition</t>
        </is>
      </c>
      <c r="M35" s="30" t="inlineStr">
        <is>
          <t>Fun Max</t>
        </is>
      </c>
      <c r="N35" s="31">
        <f>INDEX(B35:L35,MATCH(M35,$B$5:$L$5,0))</f>
        <v/>
      </c>
      <c r="O35" s="22">
        <f>IFERROR(VLOOKUP(N35,Prices!$A:$B,2,FALSE),0)</f>
        <v/>
      </c>
      <c r="P35" s="32">
        <f>IFERROR(INDEX('_why_5o'!$B31:$L31,MATCH(M35,$B$5:$L$5,0)),"")</f>
        <v/>
      </c>
    </row>
    <row r="36">
      <c r="A36" s="28" t="n">
        <v>31</v>
      </c>
      <c r="B36" s="13" t="inlineStr">
        <is>
          <t>Sun Titan</t>
        </is>
      </c>
      <c r="C36" s="13" t="inlineStr">
        <is>
          <t>Sun Titan</t>
        </is>
      </c>
      <c r="D36" s="13" t="inlineStr">
        <is>
          <t>Sun Titan</t>
        </is>
      </c>
      <c r="E36" s="13" t="inlineStr">
        <is>
          <t>Sun Titan</t>
        </is>
      </c>
      <c r="F36" s="13" t="inlineStr">
        <is>
          <t>Sun Titan</t>
        </is>
      </c>
      <c r="G36" s="13" t="inlineStr">
        <is>
          <t>Sun Titan</t>
        </is>
      </c>
      <c r="H36" s="13" t="inlineStr">
        <is>
          <t>Sun Titan</t>
        </is>
      </c>
      <c r="I36" s="29" t="inlineStr">
        <is>
          <t>Bag of Holding</t>
        </is>
      </c>
      <c r="J36" s="13" t="inlineStr">
        <is>
          <t>Sun Titan</t>
        </is>
      </c>
      <c r="K36" s="13" t="inlineStr">
        <is>
          <t>Sun Titan</t>
        </is>
      </c>
      <c r="L36" s="13" t="inlineStr">
        <is>
          <t>Sun Titan</t>
        </is>
      </c>
      <c r="M36" s="30" t="inlineStr">
        <is>
          <t>Fun Max</t>
        </is>
      </c>
      <c r="N36" s="31">
        <f>INDEX(B36:L36,MATCH(M36,$B$5:$L$5,0))</f>
        <v/>
      </c>
      <c r="O36" s="22">
        <f>IFERROR(VLOOKUP(N36,Prices!$A:$B,2,FALSE),0)</f>
        <v/>
      </c>
      <c r="P36" s="32">
        <f>IFERROR(INDEX('_why_5o'!$B32:$L32,MATCH(M36,$B$5:$L$5,0)),"")</f>
        <v/>
      </c>
    </row>
    <row r="37">
      <c r="A37" s="28" t="n">
        <v>32</v>
      </c>
      <c r="B37" s="33" t="inlineStr">
        <is>
          <t>Tocasia's Welcome</t>
        </is>
      </c>
      <c r="C37" s="33" t="inlineStr">
        <is>
          <t>Tocasia's Welcome</t>
        </is>
      </c>
      <c r="D37" s="33" t="inlineStr">
        <is>
          <t>Tocasia's Welcome</t>
        </is>
      </c>
      <c r="E37" s="33" t="inlineStr">
        <is>
          <t>Tocasia's Welcome</t>
        </is>
      </c>
      <c r="F37" s="33" t="inlineStr">
        <is>
          <t>Tocasia's Welcome</t>
        </is>
      </c>
      <c r="G37" s="33" t="inlineStr">
        <is>
          <t>Tocasia's Welcome</t>
        </is>
      </c>
      <c r="H37" s="33" t="inlineStr">
        <is>
          <t>Tocasia's Welcome</t>
        </is>
      </c>
      <c r="I37" s="33" t="inlineStr">
        <is>
          <t>Tocasia's Welcome</t>
        </is>
      </c>
      <c r="J37" s="33" t="inlineStr">
        <is>
          <t>Tocasia's Welcome</t>
        </is>
      </c>
      <c r="K37" s="33" t="inlineStr">
        <is>
          <t>Tocasia's Welcome</t>
        </is>
      </c>
      <c r="L37" s="33" t="inlineStr">
        <is>
          <t>Tocasia's Welcome</t>
        </is>
      </c>
      <c r="M37" s="30" t="inlineStr">
        <is>
          <t>Fun Max</t>
        </is>
      </c>
      <c r="N37" s="31">
        <f>INDEX(B37:L37,MATCH(M37,$B$5:$L$5,0))</f>
        <v/>
      </c>
      <c r="O37" s="22">
        <f>IFERROR(VLOOKUP(N37,Prices!$A:$B,2,FALSE),0)</f>
        <v/>
      </c>
      <c r="P37" s="32">
        <f>IFERROR(INDEX('_why_5o'!$B33:$L33,MATCH(M37,$B$5:$L$5,0)),"")</f>
        <v/>
      </c>
    </row>
    <row r="38">
      <c r="A38" s="28" t="n">
        <v>33</v>
      </c>
      <c r="B38" s="13" t="inlineStr">
        <is>
          <t>Tragic Arrogance</t>
        </is>
      </c>
      <c r="C38" s="13" t="inlineStr">
        <is>
          <t>Tragic Arrogance</t>
        </is>
      </c>
      <c r="D38" s="13" t="inlineStr">
        <is>
          <t>Tragic Arrogance</t>
        </is>
      </c>
      <c r="E38" s="13" t="inlineStr">
        <is>
          <t>Tragic Arrogance</t>
        </is>
      </c>
      <c r="F38" s="29" t="inlineStr">
        <is>
          <t>Fall of the First Civilization</t>
        </is>
      </c>
      <c r="G38" s="29" t="inlineStr">
        <is>
          <t>Fall of the First Civilization</t>
        </is>
      </c>
      <c r="H38" s="29" t="inlineStr">
        <is>
          <t>Fall of the First Civilization</t>
        </is>
      </c>
      <c r="I38" s="29" t="inlineStr">
        <is>
          <t>Charming Prince</t>
        </is>
      </c>
      <c r="J38" s="13" t="inlineStr">
        <is>
          <t>Tragic Arrogance</t>
        </is>
      </c>
      <c r="K38" s="29" t="inlineStr">
        <is>
          <t>Charming Prince</t>
        </is>
      </c>
      <c r="L38" s="29" t="inlineStr">
        <is>
          <t>Sword of Fire and Ice</t>
        </is>
      </c>
      <c r="M38" s="30" t="inlineStr">
        <is>
          <t>Fun Max</t>
        </is>
      </c>
      <c r="N38" s="31">
        <f>INDEX(B38:L38,MATCH(M38,$B$5:$L$5,0))</f>
        <v/>
      </c>
      <c r="O38" s="22">
        <f>IFERROR(VLOOKUP(N38,Prices!$A:$B,2,FALSE),0)</f>
        <v/>
      </c>
      <c r="P38" s="32">
        <f>IFERROR(INDEX('_why_5o'!$B34:$L34,MATCH(M38,$B$5:$L$5,0)),"")</f>
        <v/>
      </c>
    </row>
    <row r="39">
      <c r="A39" s="28" t="n">
        <v>34</v>
      </c>
      <c r="B39" s="33" t="inlineStr">
        <is>
          <t>White Orchid Phantom</t>
        </is>
      </c>
      <c r="C39" s="33" t="inlineStr">
        <is>
          <t>White Orchid Phantom</t>
        </is>
      </c>
      <c r="D39" s="33" t="inlineStr">
        <is>
          <t>White Orchid Phantom</t>
        </is>
      </c>
      <c r="E39" s="33" t="inlineStr">
        <is>
          <t>White Orchid Phantom</t>
        </is>
      </c>
      <c r="F39" s="33" t="inlineStr">
        <is>
          <t>White Orchid Phantom</t>
        </is>
      </c>
      <c r="G39" s="33" t="inlineStr">
        <is>
          <t>White Orchid Phantom</t>
        </is>
      </c>
      <c r="H39" s="33" t="inlineStr">
        <is>
          <t>White Orchid Phantom</t>
        </is>
      </c>
      <c r="I39" s="33" t="inlineStr">
        <is>
          <t>White Orchid Phantom</t>
        </is>
      </c>
      <c r="J39" s="33" t="inlineStr">
        <is>
          <t>White Orchid Phantom</t>
        </is>
      </c>
      <c r="K39" s="33" t="inlineStr">
        <is>
          <t>White Orchid Phantom</t>
        </is>
      </c>
      <c r="L39" s="33" t="inlineStr">
        <is>
          <t>White Orchid Phantom</t>
        </is>
      </c>
      <c r="M39" s="30" t="inlineStr">
        <is>
          <t>Fun Max</t>
        </is>
      </c>
      <c r="N39" s="31">
        <f>INDEX(B39:L39,MATCH(M39,$B$5:$L$5,0))</f>
        <v/>
      </c>
      <c r="O39" s="22">
        <f>IFERROR(VLOOKUP(N39,Prices!$A:$B,2,FALSE),0)</f>
        <v/>
      </c>
      <c r="P39" s="32">
        <f>IFERROR(INDEX('_why_5o'!$B35:$L35,MATCH(M39,$B$5:$L$5,0)),"")</f>
        <v/>
      </c>
    </row>
    <row r="40">
      <c r="A40" s="28" t="n">
        <v>35</v>
      </c>
      <c r="B40" s="13" t="inlineStr">
        <is>
          <t>Atsushi, the Blazing Sky</t>
        </is>
      </c>
      <c r="C40" s="29" t="inlineStr">
        <is>
          <t>Open the Armory</t>
        </is>
      </c>
      <c r="D40" s="29" t="inlineStr">
        <is>
          <t>Winds of Abandon</t>
        </is>
      </c>
      <c r="E40" s="29" t="inlineStr">
        <is>
          <t>Elspeth, Sun's Champion</t>
        </is>
      </c>
      <c r="F40" s="29" t="inlineStr">
        <is>
          <t>Coldsteel Heart</t>
        </is>
      </c>
      <c r="G40" s="29" t="inlineStr">
        <is>
          <t>Coldsteel Heart</t>
        </is>
      </c>
      <c r="H40" s="29" t="inlineStr">
        <is>
          <t>Coldsteel Heart</t>
        </is>
      </c>
      <c r="I40" s="29" t="inlineStr">
        <is>
          <t>Open the Armory</t>
        </is>
      </c>
      <c r="J40" s="29" t="inlineStr">
        <is>
          <t>Ragged Short Spear</t>
        </is>
      </c>
      <c r="K40" s="29" t="inlineStr">
        <is>
          <t>Open the Armory</t>
        </is>
      </c>
      <c r="L40" s="29" t="inlineStr">
        <is>
          <t>Ragged Short Spear</t>
        </is>
      </c>
      <c r="M40" s="30" t="inlineStr">
        <is>
          <t>Fun Max</t>
        </is>
      </c>
      <c r="N40" s="31">
        <f>INDEX(B40:L40,MATCH(M40,$B$5:$L$5,0))</f>
        <v/>
      </c>
      <c r="O40" s="22">
        <f>IFERROR(VLOOKUP(N40,Prices!$A:$B,2,FALSE),0)</f>
        <v/>
      </c>
      <c r="P40" s="32">
        <f>IFERROR(INDEX('_why_5o'!$B36:$L36,MATCH(M40,$B$5:$L$5,0)),"")</f>
        <v/>
      </c>
    </row>
    <row r="41">
      <c r="A41" s="28" t="n">
        <v>36</v>
      </c>
      <c r="B41" s="33" t="inlineStr">
        <is>
          <t>Conspiracy Theorist</t>
        </is>
      </c>
      <c r="C41" s="34" t="inlineStr">
        <is>
          <t>Nikko-Onna</t>
        </is>
      </c>
      <c r="D41" s="34" t="inlineStr">
        <is>
          <t>Goblin Bombardment</t>
        </is>
      </c>
      <c r="E41" s="34" t="inlineStr">
        <is>
          <t>Underworld Breach</t>
        </is>
      </c>
      <c r="F41" s="34" t="inlineStr">
        <is>
          <t>Boros Charm</t>
        </is>
      </c>
      <c r="G41" s="34" t="inlineStr">
        <is>
          <t>Boros Charm</t>
        </is>
      </c>
      <c r="H41" s="34" t="inlineStr">
        <is>
          <t>Boros Charm</t>
        </is>
      </c>
      <c r="I41" s="34" t="inlineStr">
        <is>
          <t>Nikko-Onna</t>
        </is>
      </c>
      <c r="J41" s="34" t="inlineStr">
        <is>
          <t>Underworld Breach</t>
        </is>
      </c>
      <c r="K41" s="34" t="inlineStr">
        <is>
          <t>Nikko-Onna</t>
        </is>
      </c>
      <c r="L41" s="34" t="inlineStr">
        <is>
          <t>Underworld Breach</t>
        </is>
      </c>
      <c r="M41" s="30" t="inlineStr">
        <is>
          <t>Fun Max</t>
        </is>
      </c>
      <c r="N41" s="31">
        <f>INDEX(B41:L41,MATCH(M41,$B$5:$L$5,0))</f>
        <v/>
      </c>
      <c r="O41" s="22">
        <f>IFERROR(VLOOKUP(N41,Prices!$A:$B,2,FALSE),0)</f>
        <v/>
      </c>
      <c r="P41" s="32">
        <f>IFERROR(INDEX('_why_5o'!$B37:$L37,MATCH(M41,$B$5:$L$5,0)),"")</f>
        <v/>
      </c>
    </row>
    <row r="42">
      <c r="A42" s="28" t="n">
        <v>37</v>
      </c>
      <c r="B42" s="13" t="inlineStr">
        <is>
          <t>Laelia, the Blade Reforged</t>
        </is>
      </c>
      <c r="C42" s="13" t="inlineStr">
        <is>
          <t>Laelia, the Blade Reforged</t>
        </is>
      </c>
      <c r="D42" s="13" t="inlineStr">
        <is>
          <t>Laelia, the Blade Reforged</t>
        </is>
      </c>
      <c r="E42" s="13" t="inlineStr">
        <is>
          <t>Laelia, the Blade Reforged</t>
        </is>
      </c>
      <c r="F42" s="13" t="inlineStr">
        <is>
          <t>Laelia, the Blade Reforged</t>
        </is>
      </c>
      <c r="G42" s="13" t="inlineStr">
        <is>
          <t>Laelia, the Blade Reforged</t>
        </is>
      </c>
      <c r="H42" s="13" t="inlineStr">
        <is>
          <t>Laelia, the Blade Reforged</t>
        </is>
      </c>
      <c r="I42" s="13" t="inlineStr">
        <is>
          <t>Laelia, the Blade Reforged</t>
        </is>
      </c>
      <c r="J42" s="13" t="inlineStr">
        <is>
          <t>Laelia, the Blade Reforged</t>
        </is>
      </c>
      <c r="K42" s="13" t="inlineStr">
        <is>
          <t>Laelia, the Blade Reforged</t>
        </is>
      </c>
      <c r="L42" s="13" t="inlineStr">
        <is>
          <t>Laelia, the Blade Reforged</t>
        </is>
      </c>
      <c r="M42" s="30" t="inlineStr">
        <is>
          <t>Fun Max</t>
        </is>
      </c>
      <c r="N42" s="31">
        <f>INDEX(B42:L42,MATCH(M42,$B$5:$L$5,0))</f>
        <v/>
      </c>
      <c r="O42" s="22">
        <f>IFERROR(VLOOKUP(N42,Prices!$A:$B,2,FALSE),0)</f>
        <v/>
      </c>
      <c r="P42" s="32">
        <f>IFERROR(INDEX('_why_5o'!$B38:$L38,MATCH(M42,$B$5:$L$5,0)),"")</f>
        <v/>
      </c>
    </row>
    <row r="43">
      <c r="A43" s="28" t="n">
        <v>38</v>
      </c>
      <c r="B43" s="33" t="inlineStr">
        <is>
          <t>Balefire Liege</t>
        </is>
      </c>
      <c r="C43" s="33" t="inlineStr">
        <is>
          <t>Balefire Liege</t>
        </is>
      </c>
      <c r="D43" s="33" t="inlineStr">
        <is>
          <t>Balefire Liege</t>
        </is>
      </c>
      <c r="E43" s="33" t="inlineStr">
        <is>
          <t>Balefire Liege</t>
        </is>
      </c>
      <c r="F43" s="33" t="inlineStr">
        <is>
          <t>Balefire Liege</t>
        </is>
      </c>
      <c r="G43" s="33" t="inlineStr">
        <is>
          <t>Balefire Liege</t>
        </is>
      </c>
      <c r="H43" s="33" t="inlineStr">
        <is>
          <t>Balefire Liege</t>
        </is>
      </c>
      <c r="I43" s="33" t="inlineStr">
        <is>
          <t>Balefire Liege</t>
        </is>
      </c>
      <c r="J43" s="33" t="inlineStr">
        <is>
          <t>Balefire Liege</t>
        </is>
      </c>
      <c r="K43" s="33" t="inlineStr">
        <is>
          <t>Balefire Liege</t>
        </is>
      </c>
      <c r="L43" s="33" t="inlineStr">
        <is>
          <t>Balefire Liege</t>
        </is>
      </c>
      <c r="M43" s="30" t="inlineStr">
        <is>
          <t>Fun Max</t>
        </is>
      </c>
      <c r="N43" s="31">
        <f>INDEX(B43:L43,MATCH(M43,$B$5:$L$5,0))</f>
        <v/>
      </c>
      <c r="O43" s="22">
        <f>IFERROR(VLOOKUP(N43,Prices!$A:$B,2,FALSE),0)</f>
        <v/>
      </c>
      <c r="P43" s="32">
        <f>IFERROR(INDEX('_why_5o'!$B39:$L39,MATCH(M43,$B$5:$L$5,0)),"")</f>
        <v/>
      </c>
    </row>
    <row r="44">
      <c r="A44" s="28" t="n">
        <v>39</v>
      </c>
      <c r="B44" s="13" t="inlineStr">
        <is>
          <t>Hofri Ghostforge</t>
        </is>
      </c>
      <c r="C44" s="13" t="inlineStr">
        <is>
          <t>Hofri Ghostforge</t>
        </is>
      </c>
      <c r="D44" s="13" t="inlineStr">
        <is>
          <t>Hofri Ghostforge</t>
        </is>
      </c>
      <c r="E44" s="13" t="inlineStr">
        <is>
          <t>Hofri Ghostforge</t>
        </is>
      </c>
      <c r="F44" s="13" t="inlineStr">
        <is>
          <t>Hofri Ghostforge</t>
        </is>
      </c>
      <c r="G44" s="13" t="inlineStr">
        <is>
          <t>Hofri Ghostforge</t>
        </is>
      </c>
      <c r="H44" s="13" t="inlineStr">
        <is>
          <t>Hofri Ghostforge</t>
        </is>
      </c>
      <c r="I44" s="13" t="inlineStr">
        <is>
          <t>Hofri Ghostforge</t>
        </is>
      </c>
      <c r="J44" s="13" t="inlineStr">
        <is>
          <t>Hofri Ghostforge</t>
        </is>
      </c>
      <c r="K44" s="13" t="inlineStr">
        <is>
          <t>Hofri Ghostforge</t>
        </is>
      </c>
      <c r="L44" s="13" t="inlineStr">
        <is>
          <t>Hofri Ghostforge</t>
        </is>
      </c>
      <c r="M44" s="30" t="inlineStr">
        <is>
          <t>Fun Max</t>
        </is>
      </c>
      <c r="N44" s="31">
        <f>INDEX(B44:L44,MATCH(M44,$B$5:$L$5,0))</f>
        <v/>
      </c>
      <c r="O44" s="22">
        <f>IFERROR(VLOOKUP(N44,Prices!$A:$B,2,FALSE),0)</f>
        <v/>
      </c>
      <c r="P44" s="32">
        <f>IFERROR(INDEX('_why_5o'!$B40:$L40,MATCH(M44,$B$5:$L$5,0)),"")</f>
        <v/>
      </c>
    </row>
    <row r="45">
      <c r="A45" s="28" t="n">
        <v>40</v>
      </c>
      <c r="B45" s="33" t="inlineStr">
        <is>
          <t>Quintorius, Loremaster</t>
        </is>
      </c>
      <c r="C45" s="33" t="inlineStr">
        <is>
          <t>Quintorius, Loremaster</t>
        </is>
      </c>
      <c r="D45" s="33" t="inlineStr">
        <is>
          <t>Quintorius, Loremaster</t>
        </is>
      </c>
      <c r="E45" s="33" t="inlineStr">
        <is>
          <t>Quintorius, Loremaster</t>
        </is>
      </c>
      <c r="F45" s="33" t="inlineStr">
        <is>
          <t>Quintorius, Loremaster</t>
        </is>
      </c>
      <c r="G45" s="33" t="inlineStr">
        <is>
          <t>Quintorius, Loremaster</t>
        </is>
      </c>
      <c r="H45" s="33" t="inlineStr">
        <is>
          <t>Quintorius, Loremaster</t>
        </is>
      </c>
      <c r="I45" s="33" t="inlineStr">
        <is>
          <t>Quintorius, Loremaster</t>
        </is>
      </c>
      <c r="J45" s="33" t="inlineStr">
        <is>
          <t>Quintorius, Loremaster</t>
        </is>
      </c>
      <c r="K45" s="33" t="inlineStr">
        <is>
          <t>Quintorius, Loremaster</t>
        </is>
      </c>
      <c r="L45" s="33" t="inlineStr">
        <is>
          <t>Quintorius, Loremaster</t>
        </is>
      </c>
      <c r="M45" s="30" t="inlineStr">
        <is>
          <t>Fun Max</t>
        </is>
      </c>
      <c r="N45" s="31">
        <f>INDEX(B45:L45,MATCH(M45,$B$5:$L$5,0))</f>
        <v/>
      </c>
      <c r="O45" s="22">
        <f>IFERROR(VLOOKUP(N45,Prices!$A:$B,2,FALSE),0)</f>
        <v/>
      </c>
      <c r="P45" s="32">
        <f>IFERROR(INDEX('_why_5o'!$B41:$L41,MATCH(M45,$B$5:$L$5,0)),"")</f>
        <v/>
      </c>
    </row>
    <row r="46">
      <c r="A46" s="28" t="n">
        <v>41</v>
      </c>
      <c r="B46" s="13" t="inlineStr">
        <is>
          <t>Venerable Warsinger</t>
        </is>
      </c>
      <c r="C46" s="13" t="inlineStr">
        <is>
          <t>Venerable Warsinger</t>
        </is>
      </c>
      <c r="D46" s="13" t="inlineStr">
        <is>
          <t>Venerable Warsinger</t>
        </is>
      </c>
      <c r="E46" s="13" t="inlineStr">
        <is>
          <t>Venerable Warsinger</t>
        </is>
      </c>
      <c r="F46" s="13" t="inlineStr">
        <is>
          <t>Venerable Warsinger</t>
        </is>
      </c>
      <c r="G46" s="13" t="inlineStr">
        <is>
          <t>Venerable Warsinger</t>
        </is>
      </c>
      <c r="H46" s="13" t="inlineStr">
        <is>
          <t>Venerable Warsinger</t>
        </is>
      </c>
      <c r="I46" s="13" t="inlineStr">
        <is>
          <t>Venerable Warsinger</t>
        </is>
      </c>
      <c r="J46" s="13" t="inlineStr">
        <is>
          <t>Venerable Warsinger</t>
        </is>
      </c>
      <c r="K46" s="13" t="inlineStr">
        <is>
          <t>Venerable Warsinger</t>
        </is>
      </c>
      <c r="L46" s="13" t="inlineStr">
        <is>
          <t>Venerable Warsinger</t>
        </is>
      </c>
      <c r="M46" s="30" t="inlineStr">
        <is>
          <t>Fun Max</t>
        </is>
      </c>
      <c r="N46" s="31">
        <f>INDEX(B46:L46,MATCH(M46,$B$5:$L$5,0))</f>
        <v/>
      </c>
      <c r="O46" s="22">
        <f>IFERROR(VLOOKUP(N46,Prices!$A:$B,2,FALSE),0)</f>
        <v/>
      </c>
      <c r="P46" s="32">
        <f>IFERROR(INDEX('_why_5o'!$B42:$L42,MATCH(M46,$B$5:$L$5,0)),"")</f>
        <v/>
      </c>
    </row>
    <row r="47">
      <c r="A47" s="28" t="n">
        <v>42</v>
      </c>
      <c r="B47" s="33" t="inlineStr">
        <is>
          <t>Bitterthorn, Nissa's Animus</t>
        </is>
      </c>
      <c r="C47" s="33" t="inlineStr">
        <is>
          <t>Bitterthorn, Nissa's Animus</t>
        </is>
      </c>
      <c r="D47" s="33" t="inlineStr">
        <is>
          <t>Bitterthorn, Nissa's Animus</t>
        </is>
      </c>
      <c r="E47" s="33" t="inlineStr">
        <is>
          <t>Bitterthorn, Nissa's Animus</t>
        </is>
      </c>
      <c r="F47" s="33" t="inlineStr">
        <is>
          <t>Bitterthorn, Nissa's Animus</t>
        </is>
      </c>
      <c r="G47" s="33" t="inlineStr">
        <is>
          <t>Bitterthorn, Nissa's Animus</t>
        </is>
      </c>
      <c r="H47" s="33" t="inlineStr">
        <is>
          <t>Bitterthorn, Nissa's Animus</t>
        </is>
      </c>
      <c r="I47" s="33" t="inlineStr">
        <is>
          <t>Bitterthorn, Nissa's Animus</t>
        </is>
      </c>
      <c r="J47" s="33" t="inlineStr">
        <is>
          <t>Bitterthorn, Nissa's Animus</t>
        </is>
      </c>
      <c r="K47" s="33" t="inlineStr">
        <is>
          <t>Bitterthorn, Nissa's Animus</t>
        </is>
      </c>
      <c r="L47" s="33" t="inlineStr">
        <is>
          <t>Bitterthorn, Nissa's Animus</t>
        </is>
      </c>
      <c r="M47" s="30" t="inlineStr">
        <is>
          <t>Fun Max</t>
        </is>
      </c>
      <c r="N47" s="31">
        <f>INDEX(B47:L47,MATCH(M47,$B$5:$L$5,0))</f>
        <v/>
      </c>
      <c r="O47" s="22">
        <f>IFERROR(VLOOKUP(N47,Prices!$A:$B,2,FALSE),0)</f>
        <v/>
      </c>
      <c r="P47" s="32">
        <f>IFERROR(INDEX('_why_5o'!$B43:$L43,MATCH(M47,$B$5:$L$5,0)),"")</f>
        <v/>
      </c>
    </row>
    <row r="48">
      <c r="A48" s="28" t="n">
        <v>43</v>
      </c>
      <c r="B48" s="13" t="inlineStr">
        <is>
          <t>Currency Converter</t>
        </is>
      </c>
      <c r="C48" s="29" t="inlineStr">
        <is>
          <t>Lightning Greaves</t>
        </is>
      </c>
      <c r="D48" s="29" t="inlineStr">
        <is>
          <t>Weathered Wayfarer</t>
        </is>
      </c>
      <c r="E48" s="29" t="inlineStr">
        <is>
          <t>Smothering Tithe</t>
        </is>
      </c>
      <c r="F48" s="29" t="inlineStr">
        <is>
          <t>Nikko-Onna</t>
        </is>
      </c>
      <c r="G48" s="29" t="inlineStr">
        <is>
          <t>Nikko-Onna</t>
        </is>
      </c>
      <c r="H48" s="29" t="inlineStr">
        <is>
          <t>Nikko-Onna</t>
        </is>
      </c>
      <c r="I48" s="29" t="inlineStr">
        <is>
          <t>Lightning Greaves</t>
        </is>
      </c>
      <c r="J48" s="29" t="inlineStr">
        <is>
          <t>Smothering Tithe</t>
        </is>
      </c>
      <c r="K48" s="29" t="inlineStr">
        <is>
          <t>Lightning Greaves</t>
        </is>
      </c>
      <c r="L48" s="29" t="inlineStr">
        <is>
          <t>Smothering Tithe</t>
        </is>
      </c>
      <c r="M48" s="30" t="inlineStr">
        <is>
          <t>Fun Max</t>
        </is>
      </c>
      <c r="N48" s="31">
        <f>INDEX(B48:L48,MATCH(M48,$B$5:$L$5,0))</f>
        <v/>
      </c>
      <c r="O48" s="22">
        <f>IFERROR(VLOOKUP(N48,Prices!$A:$B,2,FALSE),0)</f>
        <v/>
      </c>
      <c r="P48" s="32">
        <f>IFERROR(INDEX('_why_5o'!$B44:$L44,MATCH(M48,$B$5:$L$5,0)),"")</f>
        <v/>
      </c>
    </row>
    <row r="49">
      <c r="A49" s="28" t="n">
        <v>44</v>
      </c>
      <c r="B49" s="33" t="inlineStr">
        <is>
          <t>Battlefield Forge</t>
        </is>
      </c>
      <c r="C49" s="33" t="inlineStr">
        <is>
          <t>Battlefield Forge</t>
        </is>
      </c>
      <c r="D49" s="33" t="inlineStr">
        <is>
          <t>Battlefield Forge</t>
        </is>
      </c>
      <c r="E49" s="33" t="inlineStr">
        <is>
          <t>Battlefield Forge</t>
        </is>
      </c>
      <c r="F49" s="33" t="inlineStr">
        <is>
          <t>Battlefield Forge</t>
        </is>
      </c>
      <c r="G49" s="33" t="inlineStr">
        <is>
          <t>Battlefield Forge</t>
        </is>
      </c>
      <c r="H49" s="33" t="inlineStr">
        <is>
          <t>Battlefield Forge</t>
        </is>
      </c>
      <c r="I49" s="33" t="inlineStr">
        <is>
          <t>Battlefield Forge</t>
        </is>
      </c>
      <c r="J49" s="33" t="inlineStr">
        <is>
          <t>Battlefield Forge</t>
        </is>
      </c>
      <c r="K49" s="33" t="inlineStr">
        <is>
          <t>Battlefield Forge</t>
        </is>
      </c>
      <c r="L49" s="33" t="inlineStr">
        <is>
          <t>Battlefield Forge</t>
        </is>
      </c>
      <c r="M49" s="30" t="inlineStr">
        <is>
          <t>Fun Max</t>
        </is>
      </c>
      <c r="N49" s="31">
        <f>INDEX(B49:L49,MATCH(M49,$B$5:$L$5,0))</f>
        <v/>
      </c>
      <c r="O49" s="22">
        <f>IFERROR(VLOOKUP(N49,Prices!$A:$B,2,FALSE),0)</f>
        <v/>
      </c>
      <c r="P49" s="32">
        <f>IFERROR(INDEX('_why_5o'!$B45:$L45,MATCH(M49,$B$5:$L$5,0)),"")</f>
        <v/>
      </c>
    </row>
    <row r="50">
      <c r="A50" s="28" t="n">
        <v>45</v>
      </c>
      <c r="B50" s="13" t="inlineStr">
        <is>
          <t>Clifftop Retreat</t>
        </is>
      </c>
      <c r="C50" s="13" t="inlineStr">
        <is>
          <t>Clifftop Retreat</t>
        </is>
      </c>
      <c r="D50" s="13" t="inlineStr">
        <is>
          <t>Clifftop Retreat</t>
        </is>
      </c>
      <c r="E50" s="13" t="inlineStr">
        <is>
          <t>Clifftop Retreat</t>
        </is>
      </c>
      <c r="F50" s="13" t="inlineStr">
        <is>
          <t>Clifftop Retreat</t>
        </is>
      </c>
      <c r="G50" s="13" t="inlineStr">
        <is>
          <t>Clifftop Retreat</t>
        </is>
      </c>
      <c r="H50" s="13" t="inlineStr">
        <is>
          <t>Clifftop Retreat</t>
        </is>
      </c>
      <c r="I50" s="13" t="inlineStr">
        <is>
          <t>Clifftop Retreat</t>
        </is>
      </c>
      <c r="J50" s="13" t="inlineStr">
        <is>
          <t>Clifftop Retreat</t>
        </is>
      </c>
      <c r="K50" s="13" t="inlineStr">
        <is>
          <t>Clifftop Retreat</t>
        </is>
      </c>
      <c r="L50" s="13" t="inlineStr">
        <is>
          <t>Clifftop Retreat</t>
        </is>
      </c>
      <c r="M50" s="30" t="inlineStr">
        <is>
          <t>Fun Max</t>
        </is>
      </c>
      <c r="N50" s="31">
        <f>INDEX(B50:L50,MATCH(M50,$B$5:$L$5,0))</f>
        <v/>
      </c>
      <c r="O50" s="22">
        <f>IFERROR(VLOOKUP(N50,Prices!$A:$B,2,FALSE),0)</f>
        <v/>
      </c>
      <c r="P50" s="32">
        <f>IFERROR(INDEX('_why_5o'!$B46:$L46,MATCH(M50,$B$5:$L$5,0)),"")</f>
        <v/>
      </c>
    </row>
    <row r="51">
      <c r="A51" s="28" t="n">
        <v>46</v>
      </c>
      <c r="B51" s="33" t="inlineStr">
        <is>
          <t>Emeria, the Sky Ruin</t>
        </is>
      </c>
      <c r="C51" s="33" t="inlineStr">
        <is>
          <t>Emeria, the Sky Ruin</t>
        </is>
      </c>
      <c r="D51" s="33" t="inlineStr">
        <is>
          <t>Emeria, the Sky Ruin</t>
        </is>
      </c>
      <c r="E51" s="33" t="inlineStr">
        <is>
          <t>Emeria, the Sky Ruin</t>
        </is>
      </c>
      <c r="F51" s="33" t="inlineStr">
        <is>
          <t>Emeria, the Sky Ruin</t>
        </is>
      </c>
      <c r="G51" s="33" t="inlineStr">
        <is>
          <t>Emeria, the Sky Ruin</t>
        </is>
      </c>
      <c r="H51" s="33" t="inlineStr">
        <is>
          <t>Emeria, the Sky Ruin</t>
        </is>
      </c>
      <c r="I51" s="33" t="inlineStr">
        <is>
          <t>Emeria, the Sky Ruin</t>
        </is>
      </c>
      <c r="J51" s="33" t="inlineStr">
        <is>
          <t>Emeria, the Sky Ruin</t>
        </is>
      </c>
      <c r="K51" s="33" t="inlineStr">
        <is>
          <t>Emeria, the Sky Ruin</t>
        </is>
      </c>
      <c r="L51" s="33" t="inlineStr">
        <is>
          <t>Emeria, the Sky Ruin</t>
        </is>
      </c>
      <c r="M51" s="30" t="inlineStr">
        <is>
          <t>Fun Max</t>
        </is>
      </c>
      <c r="N51" s="31">
        <f>INDEX(B51:L51,MATCH(M51,$B$5:$L$5,0))</f>
        <v/>
      </c>
      <c r="O51" s="22">
        <f>IFERROR(VLOOKUP(N51,Prices!$A:$B,2,FALSE),0)</f>
        <v/>
      </c>
      <c r="P51" s="32">
        <f>IFERROR(INDEX('_why_5o'!$B47:$L47,MATCH(M51,$B$5:$L$5,0)),"")</f>
        <v/>
      </c>
    </row>
    <row r="52">
      <c r="A52" s="28" t="n">
        <v>47</v>
      </c>
      <c r="B52" s="13" t="inlineStr">
        <is>
          <t>Exotic Orchard</t>
        </is>
      </c>
      <c r="C52" s="13" t="inlineStr">
        <is>
          <t>Exotic Orchard</t>
        </is>
      </c>
      <c r="D52" s="13" t="inlineStr">
        <is>
          <t>Exotic Orchard</t>
        </is>
      </c>
      <c r="E52" s="13" t="inlineStr">
        <is>
          <t>Exotic Orchard</t>
        </is>
      </c>
      <c r="F52" s="13" t="inlineStr">
        <is>
          <t>Exotic Orchard</t>
        </is>
      </c>
      <c r="G52" s="13" t="inlineStr">
        <is>
          <t>Exotic Orchard</t>
        </is>
      </c>
      <c r="H52" s="13" t="inlineStr">
        <is>
          <t>Exotic Orchard</t>
        </is>
      </c>
      <c r="I52" s="13" t="inlineStr">
        <is>
          <t>Exotic Orchard</t>
        </is>
      </c>
      <c r="J52" s="13" t="inlineStr">
        <is>
          <t>Exotic Orchard</t>
        </is>
      </c>
      <c r="K52" s="13" t="inlineStr">
        <is>
          <t>Exotic Orchard</t>
        </is>
      </c>
      <c r="L52" s="13" t="inlineStr">
        <is>
          <t>Exotic Orchard</t>
        </is>
      </c>
      <c r="M52" s="30" t="inlineStr">
        <is>
          <t>Fun Max</t>
        </is>
      </c>
      <c r="N52" s="31">
        <f>INDEX(B52:L52,MATCH(M52,$B$5:$L$5,0))</f>
        <v/>
      </c>
      <c r="O52" s="22">
        <f>IFERROR(VLOOKUP(N52,Prices!$A:$B,2,FALSE),0)</f>
        <v/>
      </c>
      <c r="P52" s="32">
        <f>IFERROR(INDEX('_why_5o'!$B48:$L48,MATCH(M52,$B$5:$L$5,0)),"")</f>
        <v/>
      </c>
    </row>
    <row r="53">
      <c r="A53" s="28" t="n">
        <v>48</v>
      </c>
      <c r="B53" s="33" t="inlineStr">
        <is>
          <t>Furycalm Snarl</t>
        </is>
      </c>
      <c r="C53" s="33" t="inlineStr">
        <is>
          <t>Furycalm Snarl</t>
        </is>
      </c>
      <c r="D53" s="33" t="inlineStr">
        <is>
          <t>Furycalm Snarl</t>
        </is>
      </c>
      <c r="E53" s="33" t="inlineStr">
        <is>
          <t>Furycalm Snarl</t>
        </is>
      </c>
      <c r="F53" s="33" t="inlineStr">
        <is>
          <t>Furycalm Snarl</t>
        </is>
      </c>
      <c r="G53" s="33" t="inlineStr">
        <is>
          <t>Furycalm Snarl</t>
        </is>
      </c>
      <c r="H53" s="33" t="inlineStr">
        <is>
          <t>Furycalm Snarl</t>
        </is>
      </c>
      <c r="I53" s="33" t="inlineStr">
        <is>
          <t>Furycalm Snarl</t>
        </is>
      </c>
      <c r="J53" s="33" t="inlineStr">
        <is>
          <t>Furycalm Snarl</t>
        </is>
      </c>
      <c r="K53" s="33" t="inlineStr">
        <is>
          <t>Furycalm Snarl</t>
        </is>
      </c>
      <c r="L53" s="33" t="inlineStr">
        <is>
          <t>Furycalm Snarl</t>
        </is>
      </c>
      <c r="M53" s="30" t="inlineStr">
        <is>
          <t>Fun Max</t>
        </is>
      </c>
      <c r="N53" s="31">
        <f>INDEX(B53:L53,MATCH(M53,$B$5:$L$5,0))</f>
        <v/>
      </c>
      <c r="O53" s="22">
        <f>IFERROR(VLOOKUP(N53,Prices!$A:$B,2,FALSE),0)</f>
        <v/>
      </c>
      <c r="P53" s="32">
        <f>IFERROR(INDEX('_why_5o'!$B49:$L49,MATCH(M53,$B$5:$L$5,0)),"")</f>
        <v/>
      </c>
    </row>
    <row r="54">
      <c r="A54" s="28" t="n">
        <v>49</v>
      </c>
      <c r="B54" s="13" t="inlineStr">
        <is>
          <t>Glittering Massif</t>
        </is>
      </c>
      <c r="C54" s="13" t="inlineStr">
        <is>
          <t>Glittering Massif</t>
        </is>
      </c>
      <c r="D54" s="13" t="inlineStr">
        <is>
          <t>Glittering Massif</t>
        </is>
      </c>
      <c r="E54" s="13" t="inlineStr">
        <is>
          <t>Glittering Massif</t>
        </is>
      </c>
      <c r="F54" s="13" t="inlineStr">
        <is>
          <t>Glittering Massif</t>
        </is>
      </c>
      <c r="G54" s="13" t="inlineStr">
        <is>
          <t>Glittering Massif</t>
        </is>
      </c>
      <c r="H54" s="13" t="inlineStr">
        <is>
          <t>Glittering Massif</t>
        </is>
      </c>
      <c r="I54" s="13" t="inlineStr">
        <is>
          <t>Glittering Massif</t>
        </is>
      </c>
      <c r="J54" s="13" t="inlineStr">
        <is>
          <t>Glittering Massif</t>
        </is>
      </c>
      <c r="K54" s="13" t="inlineStr">
        <is>
          <t>Glittering Massif</t>
        </is>
      </c>
      <c r="L54" s="13" t="inlineStr">
        <is>
          <t>Glittering Massif</t>
        </is>
      </c>
      <c r="M54" s="30" t="inlineStr">
        <is>
          <t>Fun Max</t>
        </is>
      </c>
      <c r="N54" s="31">
        <f>INDEX(B54:L54,MATCH(M54,$B$5:$L$5,0))</f>
        <v/>
      </c>
      <c r="O54" s="22">
        <f>IFERROR(VLOOKUP(N54,Prices!$A:$B,2,FALSE),0)</f>
        <v/>
      </c>
      <c r="P54" s="32">
        <f>IFERROR(INDEX('_why_5o'!$B50:$L50,MATCH(M54,$B$5:$L$5,0)),"")</f>
        <v/>
      </c>
    </row>
    <row r="55">
      <c r="A55" s="28" t="n">
        <v>50</v>
      </c>
      <c r="B55" s="33" t="inlineStr">
        <is>
          <t>Lotus Field</t>
        </is>
      </c>
      <c r="C55" s="33" t="inlineStr">
        <is>
          <t>Lotus Field</t>
        </is>
      </c>
      <c r="D55" s="33" t="inlineStr">
        <is>
          <t>Lotus Field</t>
        </is>
      </c>
      <c r="E55" s="33" t="inlineStr">
        <is>
          <t>Lotus Field</t>
        </is>
      </c>
      <c r="F55" s="33" t="inlineStr">
        <is>
          <t>Lotus Field</t>
        </is>
      </c>
      <c r="G55" s="33" t="inlineStr">
        <is>
          <t>Lotus Field</t>
        </is>
      </c>
      <c r="H55" s="33" t="inlineStr">
        <is>
          <t>Lotus Field</t>
        </is>
      </c>
      <c r="I55" s="33" t="inlineStr">
        <is>
          <t>Lotus Field</t>
        </is>
      </c>
      <c r="J55" s="33" t="inlineStr">
        <is>
          <t>Lotus Field</t>
        </is>
      </c>
      <c r="K55" s="33" t="inlineStr">
        <is>
          <t>Lotus Field</t>
        </is>
      </c>
      <c r="L55" s="33" t="inlineStr">
        <is>
          <t>Lotus Field</t>
        </is>
      </c>
      <c r="M55" s="30" t="inlineStr">
        <is>
          <t>Fun Max</t>
        </is>
      </c>
      <c r="N55" s="31">
        <f>INDEX(B55:L55,MATCH(M55,$B$5:$L$5,0))</f>
        <v/>
      </c>
      <c r="O55" s="22">
        <f>IFERROR(VLOOKUP(N55,Prices!$A:$B,2,FALSE),0)</f>
        <v/>
      </c>
      <c r="P55" s="32">
        <f>IFERROR(INDEX('_why_5o'!$B51:$L51,MATCH(M55,$B$5:$L$5,0)),"")</f>
        <v/>
      </c>
    </row>
    <row r="56">
      <c r="A56" s="28" t="n">
        <v>51</v>
      </c>
      <c r="B56" s="13" t="inlineStr">
        <is>
          <t>Radiant Summit</t>
        </is>
      </c>
      <c r="C56" s="13" t="inlineStr">
        <is>
          <t>Radiant Summit</t>
        </is>
      </c>
      <c r="D56" s="13" t="inlineStr">
        <is>
          <t>Radiant Summit</t>
        </is>
      </c>
      <c r="E56" s="13" t="inlineStr">
        <is>
          <t>Radiant Summit</t>
        </is>
      </c>
      <c r="F56" s="13" t="inlineStr">
        <is>
          <t>Radiant Summit</t>
        </is>
      </c>
      <c r="G56" s="13" t="inlineStr">
        <is>
          <t>Radiant Summit</t>
        </is>
      </c>
      <c r="H56" s="13" t="inlineStr">
        <is>
          <t>Radiant Summit</t>
        </is>
      </c>
      <c r="I56" s="13" t="inlineStr">
        <is>
          <t>Radiant Summit</t>
        </is>
      </c>
      <c r="J56" s="13" t="inlineStr">
        <is>
          <t>Radiant Summit</t>
        </is>
      </c>
      <c r="K56" s="13" t="inlineStr">
        <is>
          <t>Radiant Summit</t>
        </is>
      </c>
      <c r="L56" s="13" t="inlineStr">
        <is>
          <t>Radiant Summit</t>
        </is>
      </c>
      <c r="M56" s="30" t="inlineStr">
        <is>
          <t>Fun Max</t>
        </is>
      </c>
      <c r="N56" s="31">
        <f>INDEX(B56:L56,MATCH(M56,$B$5:$L$5,0))</f>
        <v/>
      </c>
      <c r="O56" s="22">
        <f>IFERROR(VLOOKUP(N56,Prices!$A:$B,2,FALSE),0)</f>
        <v/>
      </c>
      <c r="P56" s="32">
        <f>IFERROR(INDEX('_why_5o'!$B52:$L52,MATCH(M56,$B$5:$L$5,0)),"")</f>
        <v/>
      </c>
    </row>
    <row r="57">
      <c r="A57" s="28" t="n">
        <v>52</v>
      </c>
      <c r="B57" s="33" t="inlineStr">
        <is>
          <t>Rugged Prairie</t>
        </is>
      </c>
      <c r="C57" s="33" t="inlineStr">
        <is>
          <t>Rugged Prairie</t>
        </is>
      </c>
      <c r="D57" s="33" t="inlineStr">
        <is>
          <t>Rugged Prairie</t>
        </is>
      </c>
      <c r="E57" s="33" t="inlineStr">
        <is>
          <t>Rugged Prairie</t>
        </is>
      </c>
      <c r="F57" s="33" t="inlineStr">
        <is>
          <t>Rugged Prairie</t>
        </is>
      </c>
      <c r="G57" s="33" t="inlineStr">
        <is>
          <t>Rugged Prairie</t>
        </is>
      </c>
      <c r="H57" s="33" t="inlineStr">
        <is>
          <t>Rugged Prairie</t>
        </is>
      </c>
      <c r="I57" s="33" t="inlineStr">
        <is>
          <t>Rugged Prairie</t>
        </is>
      </c>
      <c r="J57" s="33" t="inlineStr">
        <is>
          <t>Rugged Prairie</t>
        </is>
      </c>
      <c r="K57" s="33" t="inlineStr">
        <is>
          <t>Rugged Prairie</t>
        </is>
      </c>
      <c r="L57" s="33" t="inlineStr">
        <is>
          <t>Rugged Prairie</t>
        </is>
      </c>
      <c r="M57" s="30" t="inlineStr">
        <is>
          <t>Fun Max</t>
        </is>
      </c>
      <c r="N57" s="31">
        <f>INDEX(B57:L57,MATCH(M57,$B$5:$L$5,0))</f>
        <v/>
      </c>
      <c r="O57" s="22">
        <f>IFERROR(VLOOKUP(N57,Prices!$A:$B,2,FALSE),0)</f>
        <v/>
      </c>
      <c r="P57" s="32">
        <f>IFERROR(INDEX('_why_5o'!$B53:$L53,MATCH(M57,$B$5:$L$5,0)),"")</f>
        <v/>
      </c>
    </row>
    <row r="58">
      <c r="A58" s="28" t="n">
        <v>53</v>
      </c>
      <c r="B58" s="13" t="inlineStr">
        <is>
          <t>Sunscorched Divide</t>
        </is>
      </c>
      <c r="C58" s="13" t="inlineStr">
        <is>
          <t>Sunscorched Divide</t>
        </is>
      </c>
      <c r="D58" s="13" t="inlineStr">
        <is>
          <t>Sunscorched Divide</t>
        </is>
      </c>
      <c r="E58" s="13" t="inlineStr">
        <is>
          <t>Sunscorched Divide</t>
        </is>
      </c>
      <c r="F58" s="13" t="inlineStr">
        <is>
          <t>Sunscorched Divide</t>
        </is>
      </c>
      <c r="G58" s="13" t="inlineStr">
        <is>
          <t>Sunscorched Divide</t>
        </is>
      </c>
      <c r="H58" s="13" t="inlineStr">
        <is>
          <t>Sunscorched Divide</t>
        </is>
      </c>
      <c r="I58" s="13" t="inlineStr">
        <is>
          <t>Sunscorched Divide</t>
        </is>
      </c>
      <c r="J58" s="13" t="inlineStr">
        <is>
          <t>Sunscorched Divide</t>
        </is>
      </c>
      <c r="K58" s="13" t="inlineStr">
        <is>
          <t>Sunscorched Divide</t>
        </is>
      </c>
      <c r="L58" s="13" t="inlineStr">
        <is>
          <t>Sunscorched Divide</t>
        </is>
      </c>
      <c r="M58" s="30" t="inlineStr">
        <is>
          <t>Fun Max</t>
        </is>
      </c>
      <c r="N58" s="31">
        <f>INDEX(B58:L58,MATCH(M58,$B$5:$L$5,0))</f>
        <v/>
      </c>
      <c r="O58" s="22">
        <f>IFERROR(VLOOKUP(N58,Prices!$A:$B,2,FALSE),0)</f>
        <v/>
      </c>
      <c r="P58" s="32">
        <f>IFERROR(INDEX('_why_5o'!$B54:$L54,MATCH(M58,$B$5:$L$5,0)),"")</f>
        <v/>
      </c>
    </row>
    <row r="59">
      <c r="A59" s="28" t="n">
        <v>54</v>
      </c>
      <c r="B59" s="33" t="inlineStr">
        <is>
          <t>Temple of Triumph</t>
        </is>
      </c>
      <c r="C59" s="33" t="inlineStr">
        <is>
          <t>Temple of Triumph</t>
        </is>
      </c>
      <c r="D59" s="33" t="inlineStr">
        <is>
          <t>Temple of Triumph</t>
        </is>
      </c>
      <c r="E59" s="33" t="inlineStr">
        <is>
          <t>Temple of Triumph</t>
        </is>
      </c>
      <c r="F59" s="33" t="inlineStr">
        <is>
          <t>Temple of Triumph</t>
        </is>
      </c>
      <c r="G59" s="33" t="inlineStr">
        <is>
          <t>Temple of Triumph</t>
        </is>
      </c>
      <c r="H59" s="33" t="inlineStr">
        <is>
          <t>Temple of Triumph</t>
        </is>
      </c>
      <c r="I59" s="33" t="inlineStr">
        <is>
          <t>Temple of Triumph</t>
        </is>
      </c>
      <c r="J59" s="33" t="inlineStr">
        <is>
          <t>Temple of Triumph</t>
        </is>
      </c>
      <c r="K59" s="33" t="inlineStr">
        <is>
          <t>Temple of Triumph</t>
        </is>
      </c>
      <c r="L59" s="33" t="inlineStr">
        <is>
          <t>Temple of Triumph</t>
        </is>
      </c>
      <c r="M59" s="30" t="inlineStr">
        <is>
          <t>Fun Max</t>
        </is>
      </c>
      <c r="N59" s="31">
        <f>INDEX(B59:L59,MATCH(M59,$B$5:$L$5,0))</f>
        <v/>
      </c>
      <c r="O59" s="22">
        <f>IFERROR(VLOOKUP(N59,Prices!$A:$B,2,FALSE),0)</f>
        <v/>
      </c>
      <c r="P59" s="32">
        <f>IFERROR(INDEX('_why_5o'!$B55:$L55,MATCH(M59,$B$5:$L$5,0)),"")</f>
        <v/>
      </c>
    </row>
    <row r="60">
      <c r="A60" s="28" t="n">
        <v>55</v>
      </c>
      <c r="B60" s="13" t="inlineStr">
        <is>
          <t>Arcane Signet</t>
        </is>
      </c>
      <c r="C60" s="13" t="inlineStr">
        <is>
          <t>Arcane Signet</t>
        </is>
      </c>
      <c r="D60" s="13" t="inlineStr">
        <is>
          <t>Arcane Signet</t>
        </is>
      </c>
      <c r="E60" s="13" t="inlineStr">
        <is>
          <t>Arcane Signet</t>
        </is>
      </c>
      <c r="F60" s="13" t="inlineStr">
        <is>
          <t>Arcane Signet</t>
        </is>
      </c>
      <c r="G60" s="13" t="inlineStr">
        <is>
          <t>Arcane Signet</t>
        </is>
      </c>
      <c r="H60" s="13" t="inlineStr">
        <is>
          <t>Arcane Signet</t>
        </is>
      </c>
      <c r="I60" s="13" t="inlineStr">
        <is>
          <t>Arcane Signet</t>
        </is>
      </c>
      <c r="J60" s="13" t="inlineStr">
        <is>
          <t>Arcane Signet</t>
        </is>
      </c>
      <c r="K60" s="13" t="inlineStr">
        <is>
          <t>Arcane Signet</t>
        </is>
      </c>
      <c r="L60" s="13" t="inlineStr">
        <is>
          <t>Arcane Signet</t>
        </is>
      </c>
      <c r="M60" s="30" t="inlineStr">
        <is>
          <t>Fun Max</t>
        </is>
      </c>
      <c r="N60" s="31">
        <f>INDEX(B60:L60,MATCH(M60,$B$5:$L$5,0))</f>
        <v/>
      </c>
      <c r="O60" s="22">
        <f>IFERROR(VLOOKUP(N60,Prices!$A:$B,2,FALSE),0)</f>
        <v/>
      </c>
      <c r="P60" s="32">
        <f>IFERROR(INDEX('_why_5o'!$B56:$L56,MATCH(M60,$B$5:$L$5,0)),"")</f>
        <v/>
      </c>
    </row>
    <row r="61">
      <c r="A61" s="28" t="n">
        <v>56</v>
      </c>
      <c r="B61" s="33" t="inlineStr">
        <is>
          <t>Sol Ring</t>
        </is>
      </c>
      <c r="C61" s="33" t="inlineStr">
        <is>
          <t>Sol Ring</t>
        </is>
      </c>
      <c r="D61" s="33" t="inlineStr">
        <is>
          <t>Sol Ring</t>
        </is>
      </c>
      <c r="E61" s="33" t="inlineStr">
        <is>
          <t>Sol Ring</t>
        </is>
      </c>
      <c r="F61" s="33" t="inlineStr">
        <is>
          <t>Sol Ring</t>
        </is>
      </c>
      <c r="G61" s="33" t="inlineStr">
        <is>
          <t>Sol Ring</t>
        </is>
      </c>
      <c r="H61" s="33" t="inlineStr">
        <is>
          <t>Sol Ring</t>
        </is>
      </c>
      <c r="I61" s="33" t="inlineStr">
        <is>
          <t>Sol Ring</t>
        </is>
      </c>
      <c r="J61" s="33" t="inlineStr">
        <is>
          <t>Sol Ring</t>
        </is>
      </c>
      <c r="K61" s="33" t="inlineStr">
        <is>
          <t>Sol Ring</t>
        </is>
      </c>
      <c r="L61" s="33" t="inlineStr">
        <is>
          <t>Sol Ring</t>
        </is>
      </c>
      <c r="M61" s="30" t="inlineStr">
        <is>
          <t>Fun Max</t>
        </is>
      </c>
      <c r="N61" s="31">
        <f>INDEX(B61:L61,MATCH(M61,$B$5:$L$5,0))</f>
        <v/>
      </c>
      <c r="O61" s="22">
        <f>IFERROR(VLOOKUP(N61,Prices!$A:$B,2,FALSE),0)</f>
        <v/>
      </c>
      <c r="P61" s="32">
        <f>IFERROR(INDEX('_why_5o'!$B57:$L57,MATCH(M61,$B$5:$L$5,0)),"")</f>
        <v/>
      </c>
    </row>
    <row r="62">
      <c r="A62" s="28" t="n">
        <v>57</v>
      </c>
      <c r="B62" s="13" t="inlineStr">
        <is>
          <t>Command Tower</t>
        </is>
      </c>
      <c r="C62" s="13" t="inlineStr">
        <is>
          <t>Command Tower</t>
        </is>
      </c>
      <c r="D62" s="13" t="inlineStr">
        <is>
          <t>Command Tower</t>
        </is>
      </c>
      <c r="E62" s="13" t="inlineStr">
        <is>
          <t>Command Tower</t>
        </is>
      </c>
      <c r="F62" s="13" t="inlineStr">
        <is>
          <t>Command Tower</t>
        </is>
      </c>
      <c r="G62" s="13" t="inlineStr">
        <is>
          <t>Command Tower</t>
        </is>
      </c>
      <c r="H62" s="13" t="inlineStr">
        <is>
          <t>Command Tower</t>
        </is>
      </c>
      <c r="I62" s="13" t="inlineStr">
        <is>
          <t>Command Tower</t>
        </is>
      </c>
      <c r="J62" s="13" t="inlineStr">
        <is>
          <t>Command Tower</t>
        </is>
      </c>
      <c r="K62" s="13" t="inlineStr">
        <is>
          <t>Command Tower</t>
        </is>
      </c>
      <c r="L62" s="13" t="inlineStr">
        <is>
          <t>Command Tower</t>
        </is>
      </c>
      <c r="M62" s="30" t="inlineStr">
        <is>
          <t>Fun Max</t>
        </is>
      </c>
      <c r="N62" s="31">
        <f>INDEX(B62:L62,MATCH(M62,$B$5:$L$5,0))</f>
        <v/>
      </c>
      <c r="O62" s="22">
        <f>IFERROR(VLOOKUP(N62,Prices!$A:$B,2,FALSE),0)</f>
        <v/>
      </c>
      <c r="P62" s="32">
        <f>IFERROR(INDEX('_why_5o'!$B58:$L58,MATCH(M62,$B$5:$L$5,0)),"")</f>
        <v/>
      </c>
    </row>
    <row r="63">
      <c r="A63" s="28" t="n">
        <v>58</v>
      </c>
      <c r="B63" s="33" t="inlineStr">
        <is>
          <t>Primary Research</t>
        </is>
      </c>
      <c r="C63" s="33" t="inlineStr">
        <is>
          <t>Primary Research</t>
        </is>
      </c>
      <c r="D63" s="34" t="inlineStr">
        <is>
          <t>Coldsteel Heart</t>
        </is>
      </c>
      <c r="E63" s="34" t="inlineStr">
        <is>
          <t>Boros Charm</t>
        </is>
      </c>
      <c r="F63" s="34" t="inlineStr">
        <is>
          <t>Underworld Breach</t>
        </is>
      </c>
      <c r="G63" s="34" t="inlineStr">
        <is>
          <t>Underworld Breach</t>
        </is>
      </c>
      <c r="H63" s="34" t="inlineStr">
        <is>
          <t>Underworld Breach</t>
        </is>
      </c>
      <c r="I63" s="33" t="inlineStr">
        <is>
          <t>Primary Research</t>
        </is>
      </c>
      <c r="J63" s="34" t="inlineStr">
        <is>
          <t>Boros Charm</t>
        </is>
      </c>
      <c r="K63" s="33" t="inlineStr">
        <is>
          <t>Primary Research</t>
        </is>
      </c>
      <c r="L63" s="34" t="inlineStr">
        <is>
          <t>Boros Charm</t>
        </is>
      </c>
      <c r="M63" s="30" t="inlineStr">
        <is>
          <t>Fun Max</t>
        </is>
      </c>
      <c r="N63" s="31">
        <f>INDEX(B63:L63,MATCH(M63,$B$5:$L$5,0))</f>
        <v/>
      </c>
      <c r="O63" s="22">
        <f>IFERROR(VLOOKUP(N63,Prices!$A:$B,2,FALSE),0)</f>
        <v/>
      </c>
      <c r="P63" s="32">
        <f>IFERROR(INDEX('_why_5o'!$B59:$L59,MATCH(M63,$B$5:$L$5,0)),"")</f>
        <v/>
      </c>
    </row>
    <row r="64">
      <c r="A64" s="28" t="n">
        <v>59</v>
      </c>
      <c r="B64" s="13" t="inlineStr">
        <is>
          <t>Seize the Spoils</t>
        </is>
      </c>
      <c r="C64" s="13" t="inlineStr">
        <is>
          <t>Seize the Spoils</t>
        </is>
      </c>
      <c r="D64" s="13" t="inlineStr">
        <is>
          <t>Seize the Spoils</t>
        </is>
      </c>
      <c r="E64" s="13" t="inlineStr">
        <is>
          <t>Seize the Spoils</t>
        </is>
      </c>
      <c r="F64" s="13" t="inlineStr">
        <is>
          <t>Seize the Spoils</t>
        </is>
      </c>
      <c r="G64" s="13" t="inlineStr">
        <is>
          <t>Seize the Spoils</t>
        </is>
      </c>
      <c r="H64" s="13" t="inlineStr">
        <is>
          <t>Seize the Spoils</t>
        </is>
      </c>
      <c r="I64" s="13" t="inlineStr">
        <is>
          <t>Seize the Spoils</t>
        </is>
      </c>
      <c r="J64" s="13" t="inlineStr">
        <is>
          <t>Seize the Spoils</t>
        </is>
      </c>
      <c r="K64" s="13" t="inlineStr">
        <is>
          <t>Seize the Spoils</t>
        </is>
      </c>
      <c r="L64" s="13" t="inlineStr">
        <is>
          <t>Seize the Spoils</t>
        </is>
      </c>
      <c r="M64" s="30" t="inlineStr">
        <is>
          <t>Fun Max</t>
        </is>
      </c>
      <c r="N64" s="31">
        <f>INDEX(B64:L64,MATCH(M64,$B$5:$L$5,0))</f>
        <v/>
      </c>
      <c r="O64" s="22">
        <f>IFERROR(VLOOKUP(N64,Prices!$A:$B,2,FALSE),0)</f>
        <v/>
      </c>
      <c r="P64" s="32">
        <f>IFERROR(INDEX('_why_5o'!$B60:$L60,MATCH(M64,$B$5:$L$5,0)),"")</f>
        <v/>
      </c>
    </row>
    <row r="65">
      <c r="A65" s="28" t="n">
        <v>60</v>
      </c>
      <c r="B65" s="33" t="inlineStr">
        <is>
          <t>Kirol, History Buff // Pack a Punch</t>
        </is>
      </c>
      <c r="C65" s="33" t="inlineStr">
        <is>
          <t>Kirol, History Buff // Pack a Punch</t>
        </is>
      </c>
      <c r="D65" s="33" t="inlineStr">
        <is>
          <t>Kirol, History Buff // Pack a Punch</t>
        </is>
      </c>
      <c r="E65" s="33" t="inlineStr">
        <is>
          <t>Kirol, History Buff // Pack a Punch</t>
        </is>
      </c>
      <c r="F65" s="33" t="inlineStr">
        <is>
          <t>Kirol, History Buff // Pack a Punch</t>
        </is>
      </c>
      <c r="G65" s="33" t="inlineStr">
        <is>
          <t>Kirol, History Buff // Pack a Punch</t>
        </is>
      </c>
      <c r="H65" s="33" t="inlineStr">
        <is>
          <t>Kirol, History Buff // Pack a Punch</t>
        </is>
      </c>
      <c r="I65" s="33" t="inlineStr">
        <is>
          <t>Kirol, History Buff // Pack a Punch</t>
        </is>
      </c>
      <c r="J65" s="33" t="inlineStr">
        <is>
          <t>Kirol, History Buff // Pack a Punch</t>
        </is>
      </c>
      <c r="K65" s="33" t="inlineStr">
        <is>
          <t>Kirol, History Buff // Pack a Punch</t>
        </is>
      </c>
      <c r="L65" s="33" t="inlineStr">
        <is>
          <t>Kirol, History Buff // Pack a Punch</t>
        </is>
      </c>
      <c r="M65" s="30" t="inlineStr">
        <is>
          <t>Fun Max</t>
        </is>
      </c>
      <c r="N65" s="31">
        <f>INDEX(B65:L65,MATCH(M65,$B$5:$L$5,0))</f>
        <v/>
      </c>
      <c r="O65" s="22">
        <f>IFERROR(VLOOKUP(N65,Prices!$A:$B,2,FALSE),0)</f>
        <v/>
      </c>
      <c r="P65" s="32">
        <f>IFERROR(INDEX('_why_5o'!$B61:$L61,MATCH(M65,$B$5:$L$5,0)),"")</f>
        <v/>
      </c>
    </row>
    <row r="66">
      <c r="A66" s="28" t="n">
        <v>61</v>
      </c>
      <c r="B66" s="13" t="inlineStr">
        <is>
          <t>Lorehold Charm</t>
        </is>
      </c>
      <c r="C66" s="13" t="inlineStr">
        <is>
          <t>Lorehold Charm</t>
        </is>
      </c>
      <c r="D66" s="13" t="inlineStr">
        <is>
          <t>Lorehold Charm</t>
        </is>
      </c>
      <c r="E66" s="13" t="inlineStr">
        <is>
          <t>Lorehold Charm</t>
        </is>
      </c>
      <c r="F66" s="13" t="inlineStr">
        <is>
          <t>Lorehold Charm</t>
        </is>
      </c>
      <c r="G66" s="13" t="inlineStr">
        <is>
          <t>Lorehold Charm</t>
        </is>
      </c>
      <c r="H66" s="13" t="inlineStr">
        <is>
          <t>Lorehold Charm</t>
        </is>
      </c>
      <c r="I66" s="13" t="inlineStr">
        <is>
          <t>Lorehold Charm</t>
        </is>
      </c>
      <c r="J66" s="13" t="inlineStr">
        <is>
          <t>Lorehold Charm</t>
        </is>
      </c>
      <c r="K66" s="13" t="inlineStr">
        <is>
          <t>Lorehold Charm</t>
        </is>
      </c>
      <c r="L66" s="13" t="inlineStr">
        <is>
          <t>Lorehold Charm</t>
        </is>
      </c>
      <c r="M66" s="30" t="inlineStr">
        <is>
          <t>Fun Max</t>
        </is>
      </c>
      <c r="N66" s="31">
        <f>INDEX(B66:L66,MATCH(M66,$B$5:$L$5,0))</f>
        <v/>
      </c>
      <c r="O66" s="22">
        <f>IFERROR(VLOOKUP(N66,Prices!$A:$B,2,FALSE),0)</f>
        <v/>
      </c>
      <c r="P66" s="32">
        <f>IFERROR(INDEX('_why_5o'!$B62:$L62,MATCH(M66,$B$5:$L$5,0)),"")</f>
        <v/>
      </c>
    </row>
    <row r="67">
      <c r="A67" s="28" t="n">
        <v>62</v>
      </c>
      <c r="B67" s="33" t="inlineStr">
        <is>
          <t>Fields of Strife</t>
        </is>
      </c>
      <c r="C67" s="33" t="inlineStr">
        <is>
          <t>Fields of Strife</t>
        </is>
      </c>
      <c r="D67" s="33" t="inlineStr">
        <is>
          <t>Fields of Strife</t>
        </is>
      </c>
      <c r="E67" s="33" t="inlineStr">
        <is>
          <t>Fields of Strife</t>
        </is>
      </c>
      <c r="F67" s="33" t="inlineStr">
        <is>
          <t>Fields of Strife</t>
        </is>
      </c>
      <c r="G67" s="33" t="inlineStr">
        <is>
          <t>Fields of Strife</t>
        </is>
      </c>
      <c r="H67" s="33" t="inlineStr">
        <is>
          <t>Fields of Strife</t>
        </is>
      </c>
      <c r="I67" s="33" t="inlineStr">
        <is>
          <t>Fields of Strife</t>
        </is>
      </c>
      <c r="J67" s="33" t="inlineStr">
        <is>
          <t>Fields of Strife</t>
        </is>
      </c>
      <c r="K67" s="33" t="inlineStr">
        <is>
          <t>Fields of Strife</t>
        </is>
      </c>
      <c r="L67" s="33" t="inlineStr">
        <is>
          <t>Fields of Strife</t>
        </is>
      </c>
      <c r="M67" s="30" t="inlineStr">
        <is>
          <t>Fun Max</t>
        </is>
      </c>
      <c r="N67" s="31">
        <f>INDEX(B67:L67,MATCH(M67,$B$5:$L$5,0))</f>
        <v/>
      </c>
      <c r="O67" s="22">
        <f>IFERROR(VLOOKUP(N67,Prices!$A:$B,2,FALSE),0)</f>
        <v/>
      </c>
      <c r="P67" s="32">
        <f>IFERROR(INDEX('_why_5o'!$B63:$L63,MATCH(M67,$B$5:$L$5,0)),"")</f>
        <v/>
      </c>
    </row>
    <row r="68">
      <c r="A68" s="28" t="n">
        <v>63</v>
      </c>
      <c r="B68" s="13" t="inlineStr">
        <is>
          <t>Terramorphic Expanse</t>
        </is>
      </c>
      <c r="C68" s="13" t="inlineStr">
        <is>
          <t>Terramorphic Expanse</t>
        </is>
      </c>
      <c r="D68" s="13" t="inlineStr">
        <is>
          <t>Terramorphic Expanse</t>
        </is>
      </c>
      <c r="E68" s="13" t="inlineStr">
        <is>
          <t>Terramorphic Expanse</t>
        </is>
      </c>
      <c r="F68" s="13" t="inlineStr">
        <is>
          <t>Terramorphic Expanse</t>
        </is>
      </c>
      <c r="G68" s="13" t="inlineStr">
        <is>
          <t>Terramorphic Expanse</t>
        </is>
      </c>
      <c r="H68" s="13" t="inlineStr">
        <is>
          <t>Terramorphic Expanse</t>
        </is>
      </c>
      <c r="I68" s="13" t="inlineStr">
        <is>
          <t>Terramorphic Expanse</t>
        </is>
      </c>
      <c r="J68" s="13" t="inlineStr">
        <is>
          <t>Terramorphic Expanse</t>
        </is>
      </c>
      <c r="K68" s="13" t="inlineStr">
        <is>
          <t>Terramorphic Expanse</t>
        </is>
      </c>
      <c r="L68" s="13" t="inlineStr">
        <is>
          <t>Terramorphic Expanse</t>
        </is>
      </c>
      <c r="M68" s="30" t="inlineStr">
        <is>
          <t>Fun Max</t>
        </is>
      </c>
      <c r="N68" s="31">
        <f>INDEX(B68:L68,MATCH(M68,$B$5:$L$5,0))</f>
        <v/>
      </c>
      <c r="O68" s="22">
        <f>IFERROR(VLOOKUP(N68,Prices!$A:$B,2,FALSE),0)</f>
        <v/>
      </c>
      <c r="P68" s="32">
        <f>IFERROR(INDEX('_why_5o'!$B64:$L64,MATCH(M68,$B$5:$L$5,0)),"")</f>
        <v/>
      </c>
    </row>
    <row r="69">
      <c r="A69" s="28" t="n">
        <v>64</v>
      </c>
      <c r="B69" s="33" t="inlineStr">
        <is>
          <t>Kami of Ancient Law</t>
        </is>
      </c>
      <c r="C69" s="33" t="inlineStr">
        <is>
          <t>Kami of Ancient Law</t>
        </is>
      </c>
      <c r="D69" s="33" t="inlineStr">
        <is>
          <t>Kami of Ancient Law</t>
        </is>
      </c>
      <c r="E69" s="33" t="inlineStr">
        <is>
          <t>Kami of Ancient Law</t>
        </is>
      </c>
      <c r="F69" s="33" t="inlineStr">
        <is>
          <t>Kami of Ancient Law</t>
        </is>
      </c>
      <c r="G69" s="33" t="inlineStr">
        <is>
          <t>Kami of Ancient Law</t>
        </is>
      </c>
      <c r="H69" s="33" t="inlineStr">
        <is>
          <t>Kami of Ancient Law</t>
        </is>
      </c>
      <c r="I69" s="33" t="inlineStr">
        <is>
          <t>Kami of Ancient Law</t>
        </is>
      </c>
      <c r="J69" s="33" t="inlineStr">
        <is>
          <t>Kami of Ancient Law</t>
        </is>
      </c>
      <c r="K69" s="33" t="inlineStr">
        <is>
          <t>Kami of Ancient Law</t>
        </is>
      </c>
      <c r="L69" s="33" t="inlineStr">
        <is>
          <t>Kami of Ancient Law</t>
        </is>
      </c>
      <c r="M69" s="30" t="inlineStr">
        <is>
          <t>Fun Max</t>
        </is>
      </c>
      <c r="N69" s="31">
        <f>INDEX(B69:L69,MATCH(M69,$B$5:$L$5,0))</f>
        <v/>
      </c>
      <c r="O69" s="22">
        <f>IFERROR(VLOOKUP(N69,Prices!$A:$B,2,FALSE),0)</f>
        <v/>
      </c>
      <c r="P69" s="32">
        <f>IFERROR(INDEX('_why_5o'!$B65:$L65,MATCH(M69,$B$5:$L$5,0)),"")</f>
        <v/>
      </c>
    </row>
    <row r="70">
      <c r="A70" s="28" t="n">
        <v>65</v>
      </c>
      <c r="B70" s="13" t="inlineStr">
        <is>
          <t>Path to Exile</t>
        </is>
      </c>
      <c r="C70" s="13" t="inlineStr">
        <is>
          <t>Path to Exile</t>
        </is>
      </c>
      <c r="D70" s="13" t="inlineStr">
        <is>
          <t>Path to Exile</t>
        </is>
      </c>
      <c r="E70" s="13" t="inlineStr">
        <is>
          <t>Path to Exile</t>
        </is>
      </c>
      <c r="F70" s="13" t="inlineStr">
        <is>
          <t>Path to Exile</t>
        </is>
      </c>
      <c r="G70" s="13" t="inlineStr">
        <is>
          <t>Path to Exile</t>
        </is>
      </c>
      <c r="H70" s="13" t="inlineStr">
        <is>
          <t>Path to Exile</t>
        </is>
      </c>
      <c r="I70" s="13" t="inlineStr">
        <is>
          <t>Path to Exile</t>
        </is>
      </c>
      <c r="J70" s="13" t="inlineStr">
        <is>
          <t>Path to Exile</t>
        </is>
      </c>
      <c r="K70" s="13" t="inlineStr">
        <is>
          <t>Path to Exile</t>
        </is>
      </c>
      <c r="L70" s="13" t="inlineStr">
        <is>
          <t>Path to Exile</t>
        </is>
      </c>
      <c r="M70" s="30" t="inlineStr">
        <is>
          <t>Fun Max</t>
        </is>
      </c>
      <c r="N70" s="31">
        <f>INDEX(B70:L70,MATCH(M70,$B$5:$L$5,0))</f>
        <v/>
      </c>
      <c r="O70" s="22">
        <f>IFERROR(VLOOKUP(N70,Prices!$A:$B,2,FALSE),0)</f>
        <v/>
      </c>
      <c r="P70" s="32">
        <f>IFERROR(INDEX('_why_5o'!$B66:$L66,MATCH(M70,$B$5:$L$5,0)),"")</f>
        <v/>
      </c>
    </row>
    <row r="71">
      <c r="A71" s="28" t="n">
        <v>66</v>
      </c>
      <c r="B71" s="33" t="inlineStr">
        <is>
          <t>Secret Rendezvous</t>
        </is>
      </c>
      <c r="C71" s="33" t="inlineStr">
        <is>
          <t>Secret Rendezvous</t>
        </is>
      </c>
      <c r="D71" s="33" t="inlineStr">
        <is>
          <t>Secret Rendezvous</t>
        </is>
      </c>
      <c r="E71" s="33" t="inlineStr">
        <is>
          <t>Secret Rendezvous</t>
        </is>
      </c>
      <c r="F71" s="33" t="inlineStr">
        <is>
          <t>Secret Rendezvous</t>
        </is>
      </c>
      <c r="G71" s="33" t="inlineStr">
        <is>
          <t>Secret Rendezvous</t>
        </is>
      </c>
      <c r="H71" s="33" t="inlineStr">
        <is>
          <t>Secret Rendezvous</t>
        </is>
      </c>
      <c r="I71" s="33" t="inlineStr">
        <is>
          <t>Secret Rendezvous</t>
        </is>
      </c>
      <c r="J71" s="33" t="inlineStr">
        <is>
          <t>Secret Rendezvous</t>
        </is>
      </c>
      <c r="K71" s="33" t="inlineStr">
        <is>
          <t>Secret Rendezvous</t>
        </is>
      </c>
      <c r="L71" s="33" t="inlineStr">
        <is>
          <t>Secret Rendezvous</t>
        </is>
      </c>
      <c r="M71" s="30" t="inlineStr">
        <is>
          <t>Fun Max</t>
        </is>
      </c>
      <c r="N71" s="31">
        <f>INDEX(B71:L71,MATCH(M71,$B$5:$L$5,0))</f>
        <v/>
      </c>
      <c r="O71" s="22">
        <f>IFERROR(VLOOKUP(N71,Prices!$A:$B,2,FALSE),0)</f>
        <v/>
      </c>
      <c r="P71" s="32">
        <f>IFERROR(INDEX('_why_5o'!$B67:$L67,MATCH(M71,$B$5:$L$5,0)),"")</f>
        <v/>
      </c>
    </row>
    <row r="72">
      <c r="A72" s="28" t="n">
        <v>67</v>
      </c>
      <c r="B72" s="13" t="inlineStr">
        <is>
          <t>Swords to Plowshares</t>
        </is>
      </c>
      <c r="C72" s="13" t="inlineStr">
        <is>
          <t>Swords to Plowshares</t>
        </is>
      </c>
      <c r="D72" s="13" t="inlineStr">
        <is>
          <t>Swords to Plowshares</t>
        </is>
      </c>
      <c r="E72" s="13" t="inlineStr">
        <is>
          <t>Swords to Plowshares</t>
        </is>
      </c>
      <c r="F72" s="13" t="inlineStr">
        <is>
          <t>Swords to Plowshares</t>
        </is>
      </c>
      <c r="G72" s="13" t="inlineStr">
        <is>
          <t>Swords to Plowshares</t>
        </is>
      </c>
      <c r="H72" s="13" t="inlineStr">
        <is>
          <t>Swords to Plowshares</t>
        </is>
      </c>
      <c r="I72" s="13" t="inlineStr">
        <is>
          <t>Swords to Plowshares</t>
        </is>
      </c>
      <c r="J72" s="13" t="inlineStr">
        <is>
          <t>Swords to Plowshares</t>
        </is>
      </c>
      <c r="K72" s="13" t="inlineStr">
        <is>
          <t>Swords to Plowshares</t>
        </is>
      </c>
      <c r="L72" s="13" t="inlineStr">
        <is>
          <t>Swords to Plowshares</t>
        </is>
      </c>
      <c r="M72" s="30" t="inlineStr">
        <is>
          <t>Fun Max</t>
        </is>
      </c>
      <c r="N72" s="31">
        <f>INDEX(B72:L72,MATCH(M72,$B$5:$L$5,0))</f>
        <v/>
      </c>
      <c r="O72" s="22">
        <f>IFERROR(VLOOKUP(N72,Prices!$A:$B,2,FALSE),0)</f>
        <v/>
      </c>
      <c r="P72" s="32">
        <f>IFERROR(INDEX('_why_5o'!$B68:$L68,MATCH(M72,$B$5:$L$5,0)),"")</f>
        <v/>
      </c>
    </row>
    <row r="73">
      <c r="A73" s="28" t="n">
        <v>68</v>
      </c>
      <c r="B73" s="33" t="inlineStr">
        <is>
          <t>Teshar, Ancestor's Apostle</t>
        </is>
      </c>
      <c r="C73" s="33" t="inlineStr">
        <is>
          <t>Teshar, Ancestor's Apostle</t>
        </is>
      </c>
      <c r="D73" s="33" t="inlineStr">
        <is>
          <t>Teshar, Ancestor's Apostle</t>
        </is>
      </c>
      <c r="E73" s="33" t="inlineStr">
        <is>
          <t>Teshar, Ancestor's Apostle</t>
        </is>
      </c>
      <c r="F73" s="33" t="inlineStr">
        <is>
          <t>Teshar, Ancestor's Apostle</t>
        </is>
      </c>
      <c r="G73" s="33" t="inlineStr">
        <is>
          <t>Teshar, Ancestor's Apostle</t>
        </is>
      </c>
      <c r="H73" s="33" t="inlineStr">
        <is>
          <t>Teshar, Ancestor's Apostle</t>
        </is>
      </c>
      <c r="I73" s="33" t="inlineStr">
        <is>
          <t>Teshar, Ancestor's Apostle</t>
        </is>
      </c>
      <c r="J73" s="33" t="inlineStr">
        <is>
          <t>Teshar, Ancestor's Apostle</t>
        </is>
      </c>
      <c r="K73" s="33" t="inlineStr">
        <is>
          <t>Teshar, Ancestor's Apostle</t>
        </is>
      </c>
      <c r="L73" s="33" t="inlineStr">
        <is>
          <t>Teshar, Ancestor's Apostle</t>
        </is>
      </c>
      <c r="M73" s="30" t="inlineStr">
        <is>
          <t>Fun Max</t>
        </is>
      </c>
      <c r="N73" s="31">
        <f>INDEX(B73:L73,MATCH(M73,$B$5:$L$5,0))</f>
        <v/>
      </c>
      <c r="O73" s="22">
        <f>IFERROR(VLOOKUP(N73,Prices!$A:$B,2,FALSE),0)</f>
        <v/>
      </c>
      <c r="P73" s="32">
        <f>IFERROR(INDEX('_why_5o'!$B69:$L69,MATCH(M73,$B$5:$L$5,0)),"")</f>
        <v/>
      </c>
    </row>
    <row r="74">
      <c r="A74" s="28" t="n">
        <v>69</v>
      </c>
      <c r="B74" s="13" t="inlineStr">
        <is>
          <t>Anger</t>
        </is>
      </c>
      <c r="C74" s="29" t="inlineStr">
        <is>
          <t>Elspeth, Sun's Champion</t>
        </is>
      </c>
      <c r="D74" s="29" t="inlineStr">
        <is>
          <t>Professional Face-Breaker</t>
        </is>
      </c>
      <c r="E74" s="29" t="inlineStr">
        <is>
          <t>Farewell</t>
        </is>
      </c>
      <c r="F74" s="29" t="inlineStr">
        <is>
          <t>Portable Hole</t>
        </is>
      </c>
      <c r="G74" s="29" t="inlineStr">
        <is>
          <t>Portable Hole</t>
        </is>
      </c>
      <c r="H74" s="29" t="inlineStr">
        <is>
          <t>Portable Hole</t>
        </is>
      </c>
      <c r="I74" s="29" t="inlineStr">
        <is>
          <t>Fall of the First Civilization</t>
        </is>
      </c>
      <c r="J74" s="29" t="inlineStr">
        <is>
          <t>Valorous Stance</t>
        </is>
      </c>
      <c r="K74" s="29" t="inlineStr">
        <is>
          <t>Fall of the First Civilization</t>
        </is>
      </c>
      <c r="L74" s="29" t="inlineStr">
        <is>
          <t>Valorous Stance</t>
        </is>
      </c>
      <c r="M74" s="30" t="inlineStr">
        <is>
          <t>Fun Max</t>
        </is>
      </c>
      <c r="N74" s="31">
        <f>INDEX(B74:L74,MATCH(M74,$B$5:$L$5,0))</f>
        <v/>
      </c>
      <c r="O74" s="22">
        <f>IFERROR(VLOOKUP(N74,Prices!$A:$B,2,FALSE),0)</f>
        <v/>
      </c>
      <c r="P74" s="32">
        <f>IFERROR(INDEX('_why_5o'!$B70:$L70,MATCH(M74,$B$5:$L$5,0)),"")</f>
        <v/>
      </c>
    </row>
    <row r="75">
      <c r="A75" s="28" t="n">
        <v>70</v>
      </c>
      <c r="B75" s="33" t="inlineStr">
        <is>
          <t>Faithless Looting</t>
        </is>
      </c>
      <c r="C75" s="33" t="inlineStr">
        <is>
          <t>Faithless Looting</t>
        </is>
      </c>
      <c r="D75" s="33" t="inlineStr">
        <is>
          <t>Faithless Looting</t>
        </is>
      </c>
      <c r="E75" s="33" t="inlineStr">
        <is>
          <t>Faithless Looting</t>
        </is>
      </c>
      <c r="F75" s="33" t="inlineStr">
        <is>
          <t>Faithless Looting</t>
        </is>
      </c>
      <c r="G75" s="33" t="inlineStr">
        <is>
          <t>Faithless Looting</t>
        </is>
      </c>
      <c r="H75" s="33" t="inlineStr">
        <is>
          <t>Faithless Looting</t>
        </is>
      </c>
      <c r="I75" s="33" t="inlineStr">
        <is>
          <t>Faithless Looting</t>
        </is>
      </c>
      <c r="J75" s="33" t="inlineStr">
        <is>
          <t>Faithless Looting</t>
        </is>
      </c>
      <c r="K75" s="33" t="inlineStr">
        <is>
          <t>Faithless Looting</t>
        </is>
      </c>
      <c r="L75" s="33" t="inlineStr">
        <is>
          <t>Faithless Looting</t>
        </is>
      </c>
      <c r="M75" s="30" t="inlineStr">
        <is>
          <t>Fun Max</t>
        </is>
      </c>
      <c r="N75" s="31">
        <f>INDEX(B75:L75,MATCH(M75,$B$5:$L$5,0))</f>
        <v/>
      </c>
      <c r="O75" s="22">
        <f>IFERROR(VLOOKUP(N75,Prices!$A:$B,2,FALSE),0)</f>
        <v/>
      </c>
      <c r="P75" s="32">
        <f>IFERROR(INDEX('_why_5o'!$B71:$L71,MATCH(M75,$B$5:$L$5,0)),"")</f>
        <v/>
      </c>
    </row>
    <row r="76">
      <c r="A76" s="28" t="n">
        <v>71</v>
      </c>
      <c r="B76" s="13" t="inlineStr">
        <is>
          <t>Squee, Goblin Nabob</t>
        </is>
      </c>
      <c r="C76" s="13" t="inlineStr">
        <is>
          <t>Squee, Goblin Nabob</t>
        </is>
      </c>
      <c r="D76" s="13" t="inlineStr">
        <is>
          <t>Squee, Goblin Nabob</t>
        </is>
      </c>
      <c r="E76" s="13" t="inlineStr">
        <is>
          <t>Squee, Goblin Nabob</t>
        </is>
      </c>
      <c r="F76" s="13" t="inlineStr">
        <is>
          <t>Squee, Goblin Nabob</t>
        </is>
      </c>
      <c r="G76" s="13" t="inlineStr">
        <is>
          <t>Squee, Goblin Nabob</t>
        </is>
      </c>
      <c r="H76" s="13" t="inlineStr">
        <is>
          <t>Squee, Goblin Nabob</t>
        </is>
      </c>
      <c r="I76" s="13" t="inlineStr">
        <is>
          <t>Squee, Goblin Nabob</t>
        </is>
      </c>
      <c r="J76" s="13" t="inlineStr">
        <is>
          <t>Squee, Goblin Nabob</t>
        </is>
      </c>
      <c r="K76" s="13" t="inlineStr">
        <is>
          <t>Squee, Goblin Nabob</t>
        </is>
      </c>
      <c r="L76" s="13" t="inlineStr">
        <is>
          <t>Squee, Goblin Nabob</t>
        </is>
      </c>
      <c r="M76" s="30" t="inlineStr">
        <is>
          <t>Fun Max</t>
        </is>
      </c>
      <c r="N76" s="31">
        <f>INDEX(B76:L76,MATCH(M76,$B$5:$L$5,0))</f>
        <v/>
      </c>
      <c r="O76" s="22">
        <f>IFERROR(VLOOKUP(N76,Prices!$A:$B,2,FALSE),0)</f>
        <v/>
      </c>
      <c r="P76" s="32">
        <f>IFERROR(INDEX('_why_5o'!$B72:$L72,MATCH(M76,$B$5:$L$5,0)),"")</f>
        <v/>
      </c>
    </row>
    <row r="77">
      <c r="A77" s="28" t="n">
        <v>72</v>
      </c>
      <c r="B77" s="33" t="inlineStr">
        <is>
          <t>Quintorius, Field Historian</t>
        </is>
      </c>
      <c r="C77" s="33" t="inlineStr">
        <is>
          <t>Quintorius, Field Historian</t>
        </is>
      </c>
      <c r="D77" s="33" t="inlineStr">
        <is>
          <t>Quintorius, Field Historian</t>
        </is>
      </c>
      <c r="E77" s="33" t="inlineStr">
        <is>
          <t>Quintorius, Field Historian</t>
        </is>
      </c>
      <c r="F77" s="33" t="inlineStr">
        <is>
          <t>Quintorius, Field Historian</t>
        </is>
      </c>
      <c r="G77" s="33" t="inlineStr">
        <is>
          <t>Quintorius, Field Historian</t>
        </is>
      </c>
      <c r="H77" s="33" t="inlineStr">
        <is>
          <t>Quintorius, Field Historian</t>
        </is>
      </c>
      <c r="I77" s="33" t="inlineStr">
        <is>
          <t>Quintorius, Field Historian</t>
        </is>
      </c>
      <c r="J77" s="33" t="inlineStr">
        <is>
          <t>Quintorius, Field Historian</t>
        </is>
      </c>
      <c r="K77" s="33" t="inlineStr">
        <is>
          <t>Quintorius, Field Historian</t>
        </is>
      </c>
      <c r="L77" s="33" t="inlineStr">
        <is>
          <t>Quintorius, Field Historian</t>
        </is>
      </c>
      <c r="M77" s="30" t="inlineStr">
        <is>
          <t>Fun Max</t>
        </is>
      </c>
      <c r="N77" s="31">
        <f>INDEX(B77:L77,MATCH(M77,$B$5:$L$5,0))</f>
        <v/>
      </c>
      <c r="O77" s="22">
        <f>IFERROR(VLOOKUP(N77,Prices!$A:$B,2,FALSE),0)</f>
        <v/>
      </c>
      <c r="P77" s="32">
        <f>IFERROR(INDEX('_why_5o'!$B73:$L73,MATCH(M77,$B$5:$L$5,0)),"")</f>
        <v/>
      </c>
    </row>
    <row r="78">
      <c r="A78" s="28" t="n">
        <v>73</v>
      </c>
      <c r="B78" s="13" t="inlineStr">
        <is>
          <t>Rip Apart</t>
        </is>
      </c>
      <c r="C78" s="13" t="inlineStr">
        <is>
          <t>Rip Apart</t>
        </is>
      </c>
      <c r="D78" s="13" t="inlineStr">
        <is>
          <t>Rip Apart</t>
        </is>
      </c>
      <c r="E78" s="13" t="inlineStr">
        <is>
          <t>Rip Apart</t>
        </is>
      </c>
      <c r="F78" s="13" t="inlineStr">
        <is>
          <t>Rip Apart</t>
        </is>
      </c>
      <c r="G78" s="13" t="inlineStr">
        <is>
          <t>Rip Apart</t>
        </is>
      </c>
      <c r="H78" s="13" t="inlineStr">
        <is>
          <t>Rip Apart</t>
        </is>
      </c>
      <c r="I78" s="13" t="inlineStr">
        <is>
          <t>Rip Apart</t>
        </is>
      </c>
      <c r="J78" s="13" t="inlineStr">
        <is>
          <t>Rip Apart</t>
        </is>
      </c>
      <c r="K78" s="13" t="inlineStr">
        <is>
          <t>Rip Apart</t>
        </is>
      </c>
      <c r="L78" s="13" t="inlineStr">
        <is>
          <t>Rip Apart</t>
        </is>
      </c>
      <c r="M78" s="30" t="inlineStr">
        <is>
          <t>Fun Max</t>
        </is>
      </c>
      <c r="N78" s="31">
        <f>INDEX(B78:L78,MATCH(M78,$B$5:$L$5,0))</f>
        <v/>
      </c>
      <c r="O78" s="22">
        <f>IFERROR(VLOOKUP(N78,Prices!$A:$B,2,FALSE),0)</f>
        <v/>
      </c>
      <c r="P78" s="32">
        <f>IFERROR(INDEX('_why_5o'!$B74:$L74,MATCH(M78,$B$5:$L$5,0)),"")</f>
        <v/>
      </c>
    </row>
    <row r="79">
      <c r="A79" s="28" t="n">
        <v>74</v>
      </c>
      <c r="B79" s="33" t="inlineStr">
        <is>
          <t>Containment Construct</t>
        </is>
      </c>
      <c r="C79" s="33" t="inlineStr">
        <is>
          <t>Containment Construct</t>
        </is>
      </c>
      <c r="D79" s="33" t="inlineStr">
        <is>
          <t>Containment Construct</t>
        </is>
      </c>
      <c r="E79" s="33" t="inlineStr">
        <is>
          <t>Containment Construct</t>
        </is>
      </c>
      <c r="F79" s="33" t="inlineStr">
        <is>
          <t>Containment Construct</t>
        </is>
      </c>
      <c r="G79" s="33" t="inlineStr">
        <is>
          <t>Containment Construct</t>
        </is>
      </c>
      <c r="H79" s="33" t="inlineStr">
        <is>
          <t>Containment Construct</t>
        </is>
      </c>
      <c r="I79" s="33" t="inlineStr">
        <is>
          <t>Containment Construct</t>
        </is>
      </c>
      <c r="J79" s="33" t="inlineStr">
        <is>
          <t>Containment Construct</t>
        </is>
      </c>
      <c r="K79" s="33" t="inlineStr">
        <is>
          <t>Containment Construct</t>
        </is>
      </c>
      <c r="L79" s="33" t="inlineStr">
        <is>
          <t>Containment Construct</t>
        </is>
      </c>
      <c r="M79" s="30" t="inlineStr">
        <is>
          <t>Fun Max</t>
        </is>
      </c>
      <c r="N79" s="31">
        <f>INDEX(B79:L79,MATCH(M79,$B$5:$L$5,0))</f>
        <v/>
      </c>
      <c r="O79" s="22">
        <f>IFERROR(VLOOKUP(N79,Prices!$A:$B,2,FALSE),0)</f>
        <v/>
      </c>
      <c r="P79" s="32">
        <f>IFERROR(INDEX('_why_5o'!$B75:$L75,MATCH(M79,$B$5:$L$5,0)),"")</f>
        <v/>
      </c>
    </row>
    <row r="80">
      <c r="A80" s="28" t="n">
        <v>75</v>
      </c>
      <c r="B80" s="13" t="inlineStr">
        <is>
          <t>Fellwar Stone</t>
        </is>
      </c>
      <c r="C80" s="13" t="inlineStr">
        <is>
          <t>Fellwar Stone</t>
        </is>
      </c>
      <c r="D80" s="13" t="inlineStr">
        <is>
          <t>Fellwar Stone</t>
        </is>
      </c>
      <c r="E80" s="13" t="inlineStr">
        <is>
          <t>Fellwar Stone</t>
        </is>
      </c>
      <c r="F80" s="13" t="inlineStr">
        <is>
          <t>Fellwar Stone</t>
        </is>
      </c>
      <c r="G80" s="13" t="inlineStr">
        <is>
          <t>Fellwar Stone</t>
        </is>
      </c>
      <c r="H80" s="13" t="inlineStr">
        <is>
          <t>Fellwar Stone</t>
        </is>
      </c>
      <c r="I80" s="13" t="inlineStr">
        <is>
          <t>Fellwar Stone</t>
        </is>
      </c>
      <c r="J80" s="13" t="inlineStr">
        <is>
          <t>Fellwar Stone</t>
        </is>
      </c>
      <c r="K80" s="13" t="inlineStr">
        <is>
          <t>Fellwar Stone</t>
        </is>
      </c>
      <c r="L80" s="13" t="inlineStr">
        <is>
          <t>Fellwar Stone</t>
        </is>
      </c>
      <c r="M80" s="30" t="inlineStr">
        <is>
          <t>Fun Max</t>
        </is>
      </c>
      <c r="N80" s="31">
        <f>INDEX(B80:L80,MATCH(M80,$B$5:$L$5,0))</f>
        <v/>
      </c>
      <c r="O80" s="22">
        <f>IFERROR(VLOOKUP(N80,Prices!$A:$B,2,FALSE),0)</f>
        <v/>
      </c>
      <c r="P80" s="32">
        <f>IFERROR(INDEX('_why_5o'!$B76:$L76,MATCH(M80,$B$5:$L$5,0)),"")</f>
        <v/>
      </c>
    </row>
    <row r="81">
      <c r="A81" s="28" t="n">
        <v>76</v>
      </c>
      <c r="B81" s="33" t="inlineStr">
        <is>
          <t>Millikin</t>
        </is>
      </c>
      <c r="C81" s="33" t="inlineStr">
        <is>
          <t>Millikin</t>
        </is>
      </c>
      <c r="D81" s="33" t="inlineStr">
        <is>
          <t>Millikin</t>
        </is>
      </c>
      <c r="E81" s="33" t="inlineStr">
        <is>
          <t>Millikin</t>
        </is>
      </c>
      <c r="F81" s="33" t="inlineStr">
        <is>
          <t>Millikin</t>
        </is>
      </c>
      <c r="G81" s="33" t="inlineStr">
        <is>
          <t>Millikin</t>
        </is>
      </c>
      <c r="H81" s="33" t="inlineStr">
        <is>
          <t>Millikin</t>
        </is>
      </c>
      <c r="I81" s="33" t="inlineStr">
        <is>
          <t>Millikin</t>
        </is>
      </c>
      <c r="J81" s="33" t="inlineStr">
        <is>
          <t>Millikin</t>
        </is>
      </c>
      <c r="K81" s="33" t="inlineStr">
        <is>
          <t>Millikin</t>
        </is>
      </c>
      <c r="L81" s="33" t="inlineStr">
        <is>
          <t>Millikin</t>
        </is>
      </c>
      <c r="M81" s="30" t="inlineStr">
        <is>
          <t>Fun Max</t>
        </is>
      </c>
      <c r="N81" s="31">
        <f>INDEX(B81:L81,MATCH(M81,$B$5:$L$5,0))</f>
        <v/>
      </c>
      <c r="O81" s="22">
        <f>IFERROR(VLOOKUP(N81,Prices!$A:$B,2,FALSE),0)</f>
        <v/>
      </c>
      <c r="P81" s="32">
        <f>IFERROR(INDEX('_why_5o'!$B77:$L77,MATCH(M81,$B$5:$L$5,0)),"")</f>
        <v/>
      </c>
    </row>
    <row r="82">
      <c r="A82" s="28" t="n">
        <v>77</v>
      </c>
      <c r="B82" s="13" t="inlineStr">
        <is>
          <t>Mind Stone</t>
        </is>
      </c>
      <c r="C82" s="13" t="inlineStr">
        <is>
          <t>Mind Stone</t>
        </is>
      </c>
      <c r="D82" s="13" t="inlineStr">
        <is>
          <t>Mind Stone</t>
        </is>
      </c>
      <c r="E82" s="13" t="inlineStr">
        <is>
          <t>Mind Stone</t>
        </is>
      </c>
      <c r="F82" s="13" t="inlineStr">
        <is>
          <t>Mind Stone</t>
        </is>
      </c>
      <c r="G82" s="13" t="inlineStr">
        <is>
          <t>Mind Stone</t>
        </is>
      </c>
      <c r="H82" s="13" t="inlineStr">
        <is>
          <t>Mind Stone</t>
        </is>
      </c>
      <c r="I82" s="13" t="inlineStr">
        <is>
          <t>Mind Stone</t>
        </is>
      </c>
      <c r="J82" s="13" t="inlineStr">
        <is>
          <t>Mind Stone</t>
        </is>
      </c>
      <c r="K82" s="13" t="inlineStr">
        <is>
          <t>Mind Stone</t>
        </is>
      </c>
      <c r="L82" s="13" t="inlineStr">
        <is>
          <t>Mind Stone</t>
        </is>
      </c>
      <c r="M82" s="30" t="inlineStr">
        <is>
          <t>Fun Max</t>
        </is>
      </c>
      <c r="N82" s="31">
        <f>INDEX(B82:L82,MATCH(M82,$B$5:$L$5,0))</f>
        <v/>
      </c>
      <c r="O82" s="22">
        <f>IFERROR(VLOOKUP(N82,Prices!$A:$B,2,FALSE),0)</f>
        <v/>
      </c>
      <c r="P82" s="32">
        <f>IFERROR(INDEX('_why_5o'!$B78:$L78,MATCH(M82,$B$5:$L$5,0)),"")</f>
        <v/>
      </c>
    </row>
    <row r="83">
      <c r="A83" s="28" t="n">
        <v>78</v>
      </c>
      <c r="B83" s="33" t="inlineStr">
        <is>
          <t>Patchwork Banner</t>
        </is>
      </c>
      <c r="C83" s="33" t="inlineStr">
        <is>
          <t>Patchwork Banner</t>
        </is>
      </c>
      <c r="D83" s="34" t="inlineStr">
        <is>
          <t>Darksteel Plate</t>
        </is>
      </c>
      <c r="E83" s="34" t="inlineStr">
        <is>
          <t>Skullclamp</t>
        </is>
      </c>
      <c r="F83" s="34" t="inlineStr">
        <is>
          <t>Farewell</t>
        </is>
      </c>
      <c r="G83" s="34" t="inlineStr">
        <is>
          <t>Farewell</t>
        </is>
      </c>
      <c r="H83" s="34" t="inlineStr">
        <is>
          <t>Farewell</t>
        </is>
      </c>
      <c r="I83" s="33" t="inlineStr">
        <is>
          <t>Patchwork Banner</t>
        </is>
      </c>
      <c r="J83" s="34" t="inlineStr">
        <is>
          <t>Skullclamp</t>
        </is>
      </c>
      <c r="K83" s="33" t="inlineStr">
        <is>
          <t>Patchwork Banner</t>
        </is>
      </c>
      <c r="L83" s="34" t="inlineStr">
        <is>
          <t>Skullclamp</t>
        </is>
      </c>
      <c r="M83" s="30" t="inlineStr">
        <is>
          <t>Fun Max</t>
        </is>
      </c>
      <c r="N83" s="31">
        <f>INDEX(B83:L83,MATCH(M83,$B$5:$L$5,0))</f>
        <v/>
      </c>
      <c r="O83" s="22">
        <f>IFERROR(VLOOKUP(N83,Prices!$A:$B,2,FALSE),0)</f>
        <v/>
      </c>
      <c r="P83" s="32">
        <f>IFERROR(INDEX('_why_5o'!$B79:$L79,MATCH(M83,$B$5:$L$5,0)),"")</f>
        <v/>
      </c>
    </row>
    <row r="84">
      <c r="A84" s="28" t="n">
        <v>79</v>
      </c>
      <c r="B84" s="13" t="inlineStr">
        <is>
          <t>Perpetual Timepiece</t>
        </is>
      </c>
      <c r="C84" s="13" t="inlineStr">
        <is>
          <t>Perpetual Timepiece</t>
        </is>
      </c>
      <c r="D84" s="29" t="inlineStr">
        <is>
          <t>Ragged Short Spear</t>
        </is>
      </c>
      <c r="E84" s="29" t="inlineStr">
        <is>
          <t>Sunforger</t>
        </is>
      </c>
      <c r="F84" s="29" t="inlineStr">
        <is>
          <t>Skullclamp</t>
        </is>
      </c>
      <c r="G84" s="29" t="inlineStr">
        <is>
          <t>Skullclamp</t>
        </is>
      </c>
      <c r="H84" s="29" t="inlineStr">
        <is>
          <t>Skullclamp</t>
        </is>
      </c>
      <c r="I84" s="13" t="inlineStr">
        <is>
          <t>Perpetual Timepiece</t>
        </is>
      </c>
      <c r="J84" s="29" t="inlineStr">
        <is>
          <t>Éowyn, Fearless Knight</t>
        </is>
      </c>
      <c r="K84" s="13" t="inlineStr">
        <is>
          <t>Perpetual Timepiece</t>
        </is>
      </c>
      <c r="L84" s="29" t="inlineStr">
        <is>
          <t>Sunforger</t>
        </is>
      </c>
      <c r="M84" s="30" t="inlineStr">
        <is>
          <t>Fun Max</t>
        </is>
      </c>
      <c r="N84" s="31">
        <f>INDEX(B84:L84,MATCH(M84,$B$5:$L$5,0))</f>
        <v/>
      </c>
      <c r="O84" s="22">
        <f>IFERROR(VLOOKUP(N84,Prices!$A:$B,2,FALSE),0)</f>
        <v/>
      </c>
      <c r="P84" s="32">
        <f>IFERROR(INDEX('_why_5o'!$B80:$L80,MATCH(M84,$B$5:$L$5,0)),"")</f>
        <v/>
      </c>
    </row>
    <row r="85">
      <c r="A85" s="28" t="n">
        <v>80</v>
      </c>
      <c r="B85" s="33" t="inlineStr">
        <is>
          <t>Lorehold Campus</t>
        </is>
      </c>
      <c r="C85" s="33" t="inlineStr">
        <is>
          <t>Lorehold Campus</t>
        </is>
      </c>
      <c r="D85" s="33" t="inlineStr">
        <is>
          <t>Lorehold Campus</t>
        </is>
      </c>
      <c r="E85" s="33" t="inlineStr">
        <is>
          <t>Lorehold Campus</t>
        </is>
      </c>
      <c r="F85" s="33" t="inlineStr">
        <is>
          <t>Lorehold Campus</t>
        </is>
      </c>
      <c r="G85" s="33" t="inlineStr">
        <is>
          <t>Lorehold Campus</t>
        </is>
      </c>
      <c r="H85" s="33" t="inlineStr">
        <is>
          <t>Lorehold Campus</t>
        </is>
      </c>
      <c r="I85" s="33" t="inlineStr">
        <is>
          <t>Lorehold Campus</t>
        </is>
      </c>
      <c r="J85" s="33" t="inlineStr">
        <is>
          <t>Lorehold Campus</t>
        </is>
      </c>
      <c r="K85" s="33" t="inlineStr">
        <is>
          <t>Lorehold Campus</t>
        </is>
      </c>
      <c r="L85" s="33" t="inlineStr">
        <is>
          <t>Lorehold Campus</t>
        </is>
      </c>
      <c r="M85" s="30" t="inlineStr">
        <is>
          <t>Fun Max</t>
        </is>
      </c>
      <c r="N85" s="31">
        <f>INDEX(B85:L85,MATCH(M85,$B$5:$L$5,0))</f>
        <v/>
      </c>
      <c r="O85" s="22">
        <f>IFERROR(VLOOKUP(N85,Prices!$A:$B,2,FALSE),0)</f>
        <v/>
      </c>
      <c r="P85" s="32">
        <f>IFERROR(INDEX('_why_5o'!$B81:$L81,MATCH(M85,$B$5:$L$5,0)),"")</f>
        <v/>
      </c>
    </row>
    <row r="86">
      <c r="A86" s="28" t="n">
        <v>81</v>
      </c>
      <c r="B86" s="13" t="inlineStr">
        <is>
          <t>Mistveil Plains</t>
        </is>
      </c>
      <c r="C86" s="13" t="inlineStr">
        <is>
          <t>Mistveil Plains</t>
        </is>
      </c>
      <c r="D86" s="13" t="inlineStr">
        <is>
          <t>Mistveil Plains</t>
        </is>
      </c>
      <c r="E86" s="13" t="inlineStr">
        <is>
          <t>Mistveil Plains</t>
        </is>
      </c>
      <c r="F86" s="13" t="inlineStr">
        <is>
          <t>Mistveil Plains</t>
        </is>
      </c>
      <c r="G86" s="13" t="inlineStr">
        <is>
          <t>Mistveil Plains</t>
        </is>
      </c>
      <c r="H86" s="13" t="inlineStr">
        <is>
          <t>Mistveil Plains</t>
        </is>
      </c>
      <c r="I86" s="13" t="inlineStr">
        <is>
          <t>Mistveil Plains</t>
        </is>
      </c>
      <c r="J86" s="13" t="inlineStr">
        <is>
          <t>Mistveil Plains</t>
        </is>
      </c>
      <c r="K86" s="13" t="inlineStr">
        <is>
          <t>Mistveil Plains</t>
        </is>
      </c>
      <c r="L86" s="13" t="inlineStr">
        <is>
          <t>Mistveil Plains</t>
        </is>
      </c>
      <c r="M86" s="30" t="inlineStr">
        <is>
          <t>Fun Max</t>
        </is>
      </c>
      <c r="N86" s="31">
        <f>INDEX(B86:L86,MATCH(M86,$B$5:$L$5,0))</f>
        <v/>
      </c>
      <c r="O86" s="22">
        <f>IFERROR(VLOOKUP(N86,Prices!$A:$B,2,FALSE),0)</f>
        <v/>
      </c>
      <c r="P86" s="32">
        <f>IFERROR(INDEX('_why_5o'!$B82:$L82,MATCH(M86,$B$5:$L$5,0)),"")</f>
        <v/>
      </c>
    </row>
    <row r="87">
      <c r="A87" s="28" t="n">
        <v>82</v>
      </c>
      <c r="B87" s="33" t="inlineStr">
        <is>
          <t>Sacred Peaks</t>
        </is>
      </c>
      <c r="C87" s="33" t="inlineStr">
        <is>
          <t>Sacred Peaks</t>
        </is>
      </c>
      <c r="D87" s="33" t="inlineStr">
        <is>
          <t>Sacred Peaks</t>
        </is>
      </c>
      <c r="E87" s="33" t="inlineStr">
        <is>
          <t>Sacred Peaks</t>
        </is>
      </c>
      <c r="F87" s="33" t="inlineStr">
        <is>
          <t>Sacred Peaks</t>
        </is>
      </c>
      <c r="G87" s="33" t="inlineStr">
        <is>
          <t>Sacred Peaks</t>
        </is>
      </c>
      <c r="H87" s="33" t="inlineStr">
        <is>
          <t>Sacred Peaks</t>
        </is>
      </c>
      <c r="I87" s="33" t="inlineStr">
        <is>
          <t>Sacred Peaks</t>
        </is>
      </c>
      <c r="J87" s="33" t="inlineStr">
        <is>
          <t>Sacred Peaks</t>
        </is>
      </c>
      <c r="K87" s="33" t="inlineStr">
        <is>
          <t>Sacred Peaks</t>
        </is>
      </c>
      <c r="L87" s="33" t="inlineStr">
        <is>
          <t>Sacred Peaks</t>
        </is>
      </c>
      <c r="M87" s="30" t="inlineStr">
        <is>
          <t>Fun Max</t>
        </is>
      </c>
      <c r="N87" s="31">
        <f>INDEX(B87:L87,MATCH(M87,$B$5:$L$5,0))</f>
        <v/>
      </c>
      <c r="O87" s="22">
        <f>IFERROR(VLOOKUP(N87,Prices!$A:$B,2,FALSE),0)</f>
        <v/>
      </c>
      <c r="P87" s="32">
        <f>IFERROR(INDEX('_why_5o'!$B83:$L83,MATCH(M87,$B$5:$L$5,0)),"")</f>
        <v/>
      </c>
    </row>
    <row r="88">
      <c r="A88" s="28" t="n">
        <v>83</v>
      </c>
      <c r="B88" s="13" t="inlineStr">
        <is>
          <t>Study Hall</t>
        </is>
      </c>
      <c r="C88" s="13" t="inlineStr">
        <is>
          <t>Study Hall</t>
        </is>
      </c>
      <c r="D88" s="13" t="inlineStr">
        <is>
          <t>Study Hall</t>
        </is>
      </c>
      <c r="E88" s="13" t="inlineStr">
        <is>
          <t>Study Hall</t>
        </is>
      </c>
      <c r="F88" s="13" t="inlineStr">
        <is>
          <t>Study Hall</t>
        </is>
      </c>
      <c r="G88" s="13" t="inlineStr">
        <is>
          <t>Study Hall</t>
        </is>
      </c>
      <c r="H88" s="13" t="inlineStr">
        <is>
          <t>Study Hall</t>
        </is>
      </c>
      <c r="I88" s="13" t="inlineStr">
        <is>
          <t>Study Hall</t>
        </is>
      </c>
      <c r="J88" s="13" t="inlineStr">
        <is>
          <t>Study Hall</t>
        </is>
      </c>
      <c r="K88" s="13" t="inlineStr">
        <is>
          <t>Study Hall</t>
        </is>
      </c>
      <c r="L88" s="13" t="inlineStr">
        <is>
          <t>Study Hall</t>
        </is>
      </c>
      <c r="M88" s="30" t="inlineStr">
        <is>
          <t>Fun Max</t>
        </is>
      </c>
      <c r="N88" s="31">
        <f>INDEX(B88:L88,MATCH(M88,$B$5:$L$5,0))</f>
        <v/>
      </c>
      <c r="O88" s="22">
        <f>IFERROR(VLOOKUP(N88,Prices!$A:$B,2,FALSE),0)</f>
        <v/>
      </c>
      <c r="P88" s="32">
        <f>IFERROR(INDEX('_why_5o'!$B84:$L84,MATCH(M88,$B$5:$L$5,0)),"")</f>
        <v/>
      </c>
    </row>
    <row r="89">
      <c r="A89" s="28" t="n">
        <v>84</v>
      </c>
      <c r="B89" s="33" t="inlineStr">
        <is>
          <t>Plains</t>
        </is>
      </c>
      <c r="C89" s="33" t="inlineStr">
        <is>
          <t>Plains</t>
        </is>
      </c>
      <c r="D89" s="33" t="inlineStr">
        <is>
          <t>Plains</t>
        </is>
      </c>
      <c r="E89" s="33" t="inlineStr">
        <is>
          <t>Plains</t>
        </is>
      </c>
      <c r="F89" s="33" t="inlineStr">
        <is>
          <t>Plains</t>
        </is>
      </c>
      <c r="G89" s="33" t="inlineStr">
        <is>
          <t>Plains</t>
        </is>
      </c>
      <c r="H89" s="33" t="inlineStr">
        <is>
          <t>Plains</t>
        </is>
      </c>
      <c r="I89" s="33" t="inlineStr">
        <is>
          <t>Plains</t>
        </is>
      </c>
      <c r="J89" s="33" t="inlineStr">
        <is>
          <t>Plains</t>
        </is>
      </c>
      <c r="K89" s="33" t="inlineStr">
        <is>
          <t>Plains</t>
        </is>
      </c>
      <c r="L89" s="33" t="inlineStr">
        <is>
          <t>Plains</t>
        </is>
      </c>
      <c r="M89" s="30" t="inlineStr">
        <is>
          <t>Fun Max</t>
        </is>
      </c>
      <c r="N89" s="31">
        <f>INDEX(B89:L89,MATCH(M89,$B$5:$L$5,0))</f>
        <v/>
      </c>
      <c r="O89" s="22">
        <f>IFERROR(VLOOKUP(N89,Prices!$A:$B,2,FALSE),0)</f>
        <v/>
      </c>
      <c r="P89" s="32">
        <f>IFERROR(INDEX('_why_5o'!$B85:$L85,MATCH(M89,$B$5:$L$5,0)),"")</f>
        <v/>
      </c>
    </row>
    <row r="90">
      <c r="A90" s="28" t="n">
        <v>85</v>
      </c>
      <c r="B90" s="13" t="inlineStr">
        <is>
          <t>Plains</t>
        </is>
      </c>
      <c r="C90" s="13" t="inlineStr">
        <is>
          <t>Plains</t>
        </is>
      </c>
      <c r="D90" s="13" t="inlineStr">
        <is>
          <t>Plains</t>
        </is>
      </c>
      <c r="E90" s="13" t="inlineStr">
        <is>
          <t>Plains</t>
        </is>
      </c>
      <c r="F90" s="13" t="inlineStr">
        <is>
          <t>Plains</t>
        </is>
      </c>
      <c r="G90" s="13" t="inlineStr">
        <is>
          <t>Plains</t>
        </is>
      </c>
      <c r="H90" s="13" t="inlineStr">
        <is>
          <t>Plains</t>
        </is>
      </c>
      <c r="I90" s="13" t="inlineStr">
        <is>
          <t>Plains</t>
        </is>
      </c>
      <c r="J90" s="13" t="inlineStr">
        <is>
          <t>Plains</t>
        </is>
      </c>
      <c r="K90" s="13" t="inlineStr">
        <is>
          <t>Plains</t>
        </is>
      </c>
      <c r="L90" s="13" t="inlineStr">
        <is>
          <t>Plains</t>
        </is>
      </c>
      <c r="M90" s="30" t="inlineStr">
        <is>
          <t>Fun Max</t>
        </is>
      </c>
      <c r="N90" s="31">
        <f>INDEX(B90:L90,MATCH(M90,$B$5:$L$5,0))</f>
        <v/>
      </c>
      <c r="O90" s="22">
        <f>IFERROR(VLOOKUP(N90,Prices!$A:$B,2,FALSE),0)</f>
        <v/>
      </c>
      <c r="P90" s="32">
        <f>IFERROR(INDEX('_why_5o'!$B86:$L86,MATCH(M90,$B$5:$L$5,0)),"")</f>
        <v/>
      </c>
    </row>
    <row r="91">
      <c r="A91" s="28" t="n">
        <v>86</v>
      </c>
      <c r="B91" s="33" t="inlineStr">
        <is>
          <t>Plains</t>
        </is>
      </c>
      <c r="C91" s="33" t="inlineStr">
        <is>
          <t>Plains</t>
        </is>
      </c>
      <c r="D91" s="33" t="inlineStr">
        <is>
          <t>Plains</t>
        </is>
      </c>
      <c r="E91" s="33" t="inlineStr">
        <is>
          <t>Plains</t>
        </is>
      </c>
      <c r="F91" s="33" t="inlineStr">
        <is>
          <t>Plains</t>
        </is>
      </c>
      <c r="G91" s="33" t="inlineStr">
        <is>
          <t>Plains</t>
        </is>
      </c>
      <c r="H91" s="33" t="inlineStr">
        <is>
          <t>Plains</t>
        </is>
      </c>
      <c r="I91" s="33" t="inlineStr">
        <is>
          <t>Plains</t>
        </is>
      </c>
      <c r="J91" s="33" t="inlineStr">
        <is>
          <t>Plains</t>
        </is>
      </c>
      <c r="K91" s="33" t="inlineStr">
        <is>
          <t>Plains</t>
        </is>
      </c>
      <c r="L91" s="33" t="inlineStr">
        <is>
          <t>Plains</t>
        </is>
      </c>
      <c r="M91" s="30" t="inlineStr">
        <is>
          <t>Fun Max</t>
        </is>
      </c>
      <c r="N91" s="31">
        <f>INDEX(B91:L91,MATCH(M91,$B$5:$L$5,0))</f>
        <v/>
      </c>
      <c r="O91" s="22">
        <f>IFERROR(VLOOKUP(N91,Prices!$A:$B,2,FALSE),0)</f>
        <v/>
      </c>
      <c r="P91" s="32">
        <f>IFERROR(INDEX('_why_5o'!$B87:$L87,MATCH(M91,$B$5:$L$5,0)),"")</f>
        <v/>
      </c>
    </row>
    <row r="92">
      <c r="A92" s="28" t="n">
        <v>87</v>
      </c>
      <c r="B92" s="13" t="inlineStr">
        <is>
          <t>Plains</t>
        </is>
      </c>
      <c r="C92" s="13" t="inlineStr">
        <is>
          <t>Plains</t>
        </is>
      </c>
      <c r="D92" s="13" t="inlineStr">
        <is>
          <t>Plains</t>
        </is>
      </c>
      <c r="E92" s="13" t="inlineStr">
        <is>
          <t>Plains</t>
        </is>
      </c>
      <c r="F92" s="13" t="inlineStr">
        <is>
          <t>Plains</t>
        </is>
      </c>
      <c r="G92" s="13" t="inlineStr">
        <is>
          <t>Plains</t>
        </is>
      </c>
      <c r="H92" s="13" t="inlineStr">
        <is>
          <t>Plains</t>
        </is>
      </c>
      <c r="I92" s="13" t="inlineStr">
        <is>
          <t>Plains</t>
        </is>
      </c>
      <c r="J92" s="13" t="inlineStr">
        <is>
          <t>Plains</t>
        </is>
      </c>
      <c r="K92" s="13" t="inlineStr">
        <is>
          <t>Plains</t>
        </is>
      </c>
      <c r="L92" s="13" t="inlineStr">
        <is>
          <t>Plains</t>
        </is>
      </c>
      <c r="M92" s="30" t="inlineStr">
        <is>
          <t>Fun Max</t>
        </is>
      </c>
      <c r="N92" s="31">
        <f>INDEX(B92:L92,MATCH(M92,$B$5:$L$5,0))</f>
        <v/>
      </c>
      <c r="O92" s="22">
        <f>IFERROR(VLOOKUP(N92,Prices!$A:$B,2,FALSE),0)</f>
        <v/>
      </c>
      <c r="P92" s="32">
        <f>IFERROR(INDEX('_why_5o'!$B88:$L88,MATCH(M92,$B$5:$L$5,0)),"")</f>
        <v/>
      </c>
    </row>
    <row r="93">
      <c r="A93" s="28" t="n">
        <v>88</v>
      </c>
      <c r="B93" s="33" t="inlineStr">
        <is>
          <t>Plains</t>
        </is>
      </c>
      <c r="C93" s="33" t="inlineStr">
        <is>
          <t>Plains</t>
        </is>
      </c>
      <c r="D93" s="33" t="inlineStr">
        <is>
          <t>Plains</t>
        </is>
      </c>
      <c r="E93" s="33" t="inlineStr">
        <is>
          <t>Plains</t>
        </is>
      </c>
      <c r="F93" s="33" t="inlineStr">
        <is>
          <t>Plains</t>
        </is>
      </c>
      <c r="G93" s="33" t="inlineStr">
        <is>
          <t>Plains</t>
        </is>
      </c>
      <c r="H93" s="33" t="inlineStr">
        <is>
          <t>Plains</t>
        </is>
      </c>
      <c r="I93" s="33" t="inlineStr">
        <is>
          <t>Plains</t>
        </is>
      </c>
      <c r="J93" s="33" t="inlineStr">
        <is>
          <t>Plains</t>
        </is>
      </c>
      <c r="K93" s="33" t="inlineStr">
        <is>
          <t>Plains</t>
        </is>
      </c>
      <c r="L93" s="33" t="inlineStr">
        <is>
          <t>Plains</t>
        </is>
      </c>
      <c r="M93" s="30" t="inlineStr">
        <is>
          <t>Fun Max</t>
        </is>
      </c>
      <c r="N93" s="31">
        <f>INDEX(B93:L93,MATCH(M93,$B$5:$L$5,0))</f>
        <v/>
      </c>
      <c r="O93" s="22">
        <f>IFERROR(VLOOKUP(N93,Prices!$A:$B,2,FALSE),0)</f>
        <v/>
      </c>
      <c r="P93" s="32">
        <f>IFERROR(INDEX('_why_5o'!$B89:$L89,MATCH(M93,$B$5:$L$5,0)),"")</f>
        <v/>
      </c>
    </row>
    <row r="94">
      <c r="A94" s="28" t="n">
        <v>89</v>
      </c>
      <c r="B94" s="13" t="inlineStr">
        <is>
          <t>Plains</t>
        </is>
      </c>
      <c r="C94" s="13" t="inlineStr">
        <is>
          <t>Plains</t>
        </is>
      </c>
      <c r="D94" s="13" t="inlineStr">
        <is>
          <t>Plains</t>
        </is>
      </c>
      <c r="E94" s="13" t="inlineStr">
        <is>
          <t>Plains</t>
        </is>
      </c>
      <c r="F94" s="13" t="inlineStr">
        <is>
          <t>Plains</t>
        </is>
      </c>
      <c r="G94" s="13" t="inlineStr">
        <is>
          <t>Plains</t>
        </is>
      </c>
      <c r="H94" s="13" t="inlineStr">
        <is>
          <t>Plains</t>
        </is>
      </c>
      <c r="I94" s="13" t="inlineStr">
        <is>
          <t>Plains</t>
        </is>
      </c>
      <c r="J94" s="13" t="inlineStr">
        <is>
          <t>Plains</t>
        </is>
      </c>
      <c r="K94" s="13" t="inlineStr">
        <is>
          <t>Plains</t>
        </is>
      </c>
      <c r="L94" s="13" t="inlineStr">
        <is>
          <t>Plains</t>
        </is>
      </c>
      <c r="M94" s="30" t="inlineStr">
        <is>
          <t>Fun Max</t>
        </is>
      </c>
      <c r="N94" s="31">
        <f>INDEX(B94:L94,MATCH(M94,$B$5:$L$5,0))</f>
        <v/>
      </c>
      <c r="O94" s="22">
        <f>IFERROR(VLOOKUP(N94,Prices!$A:$B,2,FALSE),0)</f>
        <v/>
      </c>
      <c r="P94" s="32">
        <f>IFERROR(INDEX('_why_5o'!$B90:$L90,MATCH(M94,$B$5:$L$5,0)),"")</f>
        <v/>
      </c>
    </row>
    <row r="95">
      <c r="A95" s="28" t="n">
        <v>90</v>
      </c>
      <c r="B95" s="33" t="inlineStr">
        <is>
          <t>Plains</t>
        </is>
      </c>
      <c r="C95" s="33" t="inlineStr">
        <is>
          <t>Plains</t>
        </is>
      </c>
      <c r="D95" s="33" t="inlineStr">
        <is>
          <t>Plains</t>
        </is>
      </c>
      <c r="E95" s="33" t="inlineStr">
        <is>
          <t>Plains</t>
        </is>
      </c>
      <c r="F95" s="33" t="inlineStr">
        <is>
          <t>Plains</t>
        </is>
      </c>
      <c r="G95" s="33" t="inlineStr">
        <is>
          <t>Plains</t>
        </is>
      </c>
      <c r="H95" s="33" t="inlineStr">
        <is>
          <t>Plains</t>
        </is>
      </c>
      <c r="I95" s="33" t="inlineStr">
        <is>
          <t>Plains</t>
        </is>
      </c>
      <c r="J95" s="33" t="inlineStr">
        <is>
          <t>Plains</t>
        </is>
      </c>
      <c r="K95" s="33" t="inlineStr">
        <is>
          <t>Plains</t>
        </is>
      </c>
      <c r="L95" s="33" t="inlineStr">
        <is>
          <t>Plains</t>
        </is>
      </c>
      <c r="M95" s="30" t="inlineStr">
        <is>
          <t>Fun Max</t>
        </is>
      </c>
      <c r="N95" s="31">
        <f>INDEX(B95:L95,MATCH(M95,$B$5:$L$5,0))</f>
        <v/>
      </c>
      <c r="O95" s="22">
        <f>IFERROR(VLOOKUP(N95,Prices!$A:$B,2,FALSE),0)</f>
        <v/>
      </c>
      <c r="P95" s="32">
        <f>IFERROR(INDEX('_why_5o'!$B91:$L91,MATCH(M95,$B$5:$L$5,0)),"")</f>
        <v/>
      </c>
    </row>
    <row r="96">
      <c r="A96" s="28" t="n">
        <v>91</v>
      </c>
      <c r="B96" s="13" t="inlineStr">
        <is>
          <t>Plains</t>
        </is>
      </c>
      <c r="C96" s="13" t="inlineStr">
        <is>
          <t>Plains</t>
        </is>
      </c>
      <c r="D96" s="13" t="inlineStr">
        <is>
          <t>Plains</t>
        </is>
      </c>
      <c r="E96" s="13" t="inlineStr">
        <is>
          <t>Plains</t>
        </is>
      </c>
      <c r="F96" s="13" t="inlineStr">
        <is>
          <t>Plains</t>
        </is>
      </c>
      <c r="G96" s="13" t="inlineStr">
        <is>
          <t>Plains</t>
        </is>
      </c>
      <c r="H96" s="13" t="inlineStr">
        <is>
          <t>Plains</t>
        </is>
      </c>
      <c r="I96" s="13" t="inlineStr">
        <is>
          <t>Plains</t>
        </is>
      </c>
      <c r="J96" s="13" t="inlineStr">
        <is>
          <t>Plains</t>
        </is>
      </c>
      <c r="K96" s="13" t="inlineStr">
        <is>
          <t>Plains</t>
        </is>
      </c>
      <c r="L96" s="13" t="inlineStr">
        <is>
          <t>Plains</t>
        </is>
      </c>
      <c r="M96" s="30" t="inlineStr">
        <is>
          <t>Fun Max</t>
        </is>
      </c>
      <c r="N96" s="31">
        <f>INDEX(B96:L96,MATCH(M96,$B$5:$L$5,0))</f>
        <v/>
      </c>
      <c r="O96" s="22">
        <f>IFERROR(VLOOKUP(N96,Prices!$A:$B,2,FALSE),0)</f>
        <v/>
      </c>
      <c r="P96" s="32">
        <f>IFERROR(INDEX('_why_5o'!$B92:$L92,MATCH(M96,$B$5:$L$5,0)),"")</f>
        <v/>
      </c>
    </row>
    <row r="97">
      <c r="A97" s="28" t="n">
        <v>92</v>
      </c>
      <c r="B97" s="33" t="inlineStr">
        <is>
          <t>Plains</t>
        </is>
      </c>
      <c r="C97" s="33" t="inlineStr">
        <is>
          <t>Plains</t>
        </is>
      </c>
      <c r="D97" s="33" t="inlineStr">
        <is>
          <t>Plains</t>
        </is>
      </c>
      <c r="E97" s="33" t="inlineStr">
        <is>
          <t>Plains</t>
        </is>
      </c>
      <c r="F97" s="33" t="inlineStr">
        <is>
          <t>Plains</t>
        </is>
      </c>
      <c r="G97" s="33" t="inlineStr">
        <is>
          <t>Plains</t>
        </is>
      </c>
      <c r="H97" s="33" t="inlineStr">
        <is>
          <t>Plains</t>
        </is>
      </c>
      <c r="I97" s="33" t="inlineStr">
        <is>
          <t>Plains</t>
        </is>
      </c>
      <c r="J97" s="33" t="inlineStr">
        <is>
          <t>Plains</t>
        </is>
      </c>
      <c r="K97" s="33" t="inlineStr">
        <is>
          <t>Plains</t>
        </is>
      </c>
      <c r="L97" s="33" t="inlineStr">
        <is>
          <t>Plains</t>
        </is>
      </c>
      <c r="M97" s="30" t="inlineStr">
        <is>
          <t>Fun Max</t>
        </is>
      </c>
      <c r="N97" s="31">
        <f>INDEX(B97:L97,MATCH(M97,$B$5:$L$5,0))</f>
        <v/>
      </c>
      <c r="O97" s="22">
        <f>IFERROR(VLOOKUP(N97,Prices!$A:$B,2,FALSE),0)</f>
        <v/>
      </c>
      <c r="P97" s="32">
        <f>IFERROR(INDEX('_why_5o'!$B93:$L93,MATCH(M97,$B$5:$L$5,0)),"")</f>
        <v/>
      </c>
    </row>
    <row r="98">
      <c r="A98" s="28" t="n">
        <v>93</v>
      </c>
      <c r="B98" s="13" t="inlineStr">
        <is>
          <t>Plains</t>
        </is>
      </c>
      <c r="C98" s="13" t="inlineStr">
        <is>
          <t>Plains</t>
        </is>
      </c>
      <c r="D98" s="13" t="inlineStr">
        <is>
          <t>Plains</t>
        </is>
      </c>
      <c r="E98" s="13" t="inlineStr">
        <is>
          <t>Plains</t>
        </is>
      </c>
      <c r="F98" s="13" t="inlineStr">
        <is>
          <t>Plains</t>
        </is>
      </c>
      <c r="G98" s="13" t="inlineStr">
        <is>
          <t>Plains</t>
        </is>
      </c>
      <c r="H98" s="13" t="inlineStr">
        <is>
          <t>Plains</t>
        </is>
      </c>
      <c r="I98" s="13" t="inlineStr">
        <is>
          <t>Plains</t>
        </is>
      </c>
      <c r="J98" s="13" t="inlineStr">
        <is>
          <t>Plains</t>
        </is>
      </c>
      <c r="K98" s="13" t="inlineStr">
        <is>
          <t>Plains</t>
        </is>
      </c>
      <c r="L98" s="13" t="inlineStr">
        <is>
          <t>Plains</t>
        </is>
      </c>
      <c r="M98" s="30" t="inlineStr">
        <is>
          <t>Fun Max</t>
        </is>
      </c>
      <c r="N98" s="31">
        <f>INDEX(B98:L98,MATCH(M98,$B$5:$L$5,0))</f>
        <v/>
      </c>
      <c r="O98" s="22">
        <f>IFERROR(VLOOKUP(N98,Prices!$A:$B,2,FALSE),0)</f>
        <v/>
      </c>
      <c r="P98" s="32">
        <f>IFERROR(INDEX('_why_5o'!$B94:$L94,MATCH(M98,$B$5:$L$5,0)),"")</f>
        <v/>
      </c>
    </row>
    <row r="99">
      <c r="A99" s="28" t="n">
        <v>94</v>
      </c>
      <c r="B99" s="33" t="inlineStr">
        <is>
          <t>Plains</t>
        </is>
      </c>
      <c r="C99" s="33" t="inlineStr">
        <is>
          <t>Plains</t>
        </is>
      </c>
      <c r="D99" s="33" t="inlineStr">
        <is>
          <t>Plains</t>
        </is>
      </c>
      <c r="E99" s="33" t="inlineStr">
        <is>
          <t>Plains</t>
        </is>
      </c>
      <c r="F99" s="33" t="inlineStr">
        <is>
          <t>Plains</t>
        </is>
      </c>
      <c r="G99" s="33" t="inlineStr">
        <is>
          <t>Plains</t>
        </is>
      </c>
      <c r="H99" s="33" t="inlineStr">
        <is>
          <t>Plains</t>
        </is>
      </c>
      <c r="I99" s="33" t="inlineStr">
        <is>
          <t>Plains</t>
        </is>
      </c>
      <c r="J99" s="33" t="inlineStr">
        <is>
          <t>Plains</t>
        </is>
      </c>
      <c r="K99" s="33" t="inlineStr">
        <is>
          <t>Plains</t>
        </is>
      </c>
      <c r="L99" s="33" t="inlineStr">
        <is>
          <t>Plains</t>
        </is>
      </c>
      <c r="M99" s="30" t="inlineStr">
        <is>
          <t>Fun Max</t>
        </is>
      </c>
      <c r="N99" s="31">
        <f>INDEX(B99:L99,MATCH(M99,$B$5:$L$5,0))</f>
        <v/>
      </c>
      <c r="O99" s="22">
        <f>IFERROR(VLOOKUP(N99,Prices!$A:$B,2,FALSE),0)</f>
        <v/>
      </c>
      <c r="P99" s="32">
        <f>IFERROR(INDEX('_why_5o'!$B95:$L95,MATCH(M99,$B$5:$L$5,0)),"")</f>
        <v/>
      </c>
    </row>
    <row r="100">
      <c r="A100" s="28" t="n">
        <v>95</v>
      </c>
      <c r="B100" s="13" t="inlineStr">
        <is>
          <t>Mountain</t>
        </is>
      </c>
      <c r="C100" s="13" t="inlineStr">
        <is>
          <t>Mountain</t>
        </is>
      </c>
      <c r="D100" s="13" t="inlineStr">
        <is>
          <t>Mountain</t>
        </is>
      </c>
      <c r="E100" s="13" t="inlineStr">
        <is>
          <t>Mountain</t>
        </is>
      </c>
      <c r="F100" s="13" t="inlineStr">
        <is>
          <t>Mountain</t>
        </is>
      </c>
      <c r="G100" s="13" t="inlineStr">
        <is>
          <t>Mountain</t>
        </is>
      </c>
      <c r="H100" s="13" t="inlineStr">
        <is>
          <t>Mountain</t>
        </is>
      </c>
      <c r="I100" s="13" t="inlineStr">
        <is>
          <t>Mountain</t>
        </is>
      </c>
      <c r="J100" s="13" t="inlineStr">
        <is>
          <t>Mountain</t>
        </is>
      </c>
      <c r="K100" s="13" t="inlineStr">
        <is>
          <t>Mountain</t>
        </is>
      </c>
      <c r="L100" s="13" t="inlineStr">
        <is>
          <t>Mountain</t>
        </is>
      </c>
      <c r="M100" s="30" t="inlineStr">
        <is>
          <t>Fun Max</t>
        </is>
      </c>
      <c r="N100" s="31">
        <f>INDEX(B100:L100,MATCH(M100,$B$5:$L$5,0))</f>
        <v/>
      </c>
      <c r="O100" s="22">
        <f>IFERROR(VLOOKUP(N100,Prices!$A:$B,2,FALSE),0)</f>
        <v/>
      </c>
      <c r="P100" s="32">
        <f>IFERROR(INDEX('_why_5o'!$B96:$L96,MATCH(M100,$B$5:$L$5,0)),"")</f>
        <v/>
      </c>
    </row>
    <row r="101">
      <c r="A101" s="28" t="n">
        <v>96</v>
      </c>
      <c r="B101" s="33" t="inlineStr">
        <is>
          <t>Mountain</t>
        </is>
      </c>
      <c r="C101" s="33" t="inlineStr">
        <is>
          <t>Mountain</t>
        </is>
      </c>
      <c r="D101" s="33" t="inlineStr">
        <is>
          <t>Mountain</t>
        </is>
      </c>
      <c r="E101" s="33" t="inlineStr">
        <is>
          <t>Mountain</t>
        </is>
      </c>
      <c r="F101" s="33" t="inlineStr">
        <is>
          <t>Mountain</t>
        </is>
      </c>
      <c r="G101" s="33" t="inlineStr">
        <is>
          <t>Mountain</t>
        </is>
      </c>
      <c r="H101" s="33" t="inlineStr">
        <is>
          <t>Mountain</t>
        </is>
      </c>
      <c r="I101" s="33" t="inlineStr">
        <is>
          <t>Mountain</t>
        </is>
      </c>
      <c r="J101" s="33" t="inlineStr">
        <is>
          <t>Mountain</t>
        </is>
      </c>
      <c r="K101" s="33" t="inlineStr">
        <is>
          <t>Mountain</t>
        </is>
      </c>
      <c r="L101" s="33" t="inlineStr">
        <is>
          <t>Mountain</t>
        </is>
      </c>
      <c r="M101" s="30" t="inlineStr">
        <is>
          <t>Fun Max</t>
        </is>
      </c>
      <c r="N101" s="31">
        <f>INDEX(B101:L101,MATCH(M101,$B$5:$L$5,0))</f>
        <v/>
      </c>
      <c r="O101" s="22">
        <f>IFERROR(VLOOKUP(N101,Prices!$A:$B,2,FALSE),0)</f>
        <v/>
      </c>
      <c r="P101" s="32">
        <f>IFERROR(INDEX('_why_5o'!$B97:$L97,MATCH(M101,$B$5:$L$5,0)),"")</f>
        <v/>
      </c>
    </row>
    <row r="102">
      <c r="A102" s="28" t="n">
        <v>97</v>
      </c>
      <c r="B102" s="13" t="inlineStr">
        <is>
          <t>Mountain</t>
        </is>
      </c>
      <c r="C102" s="13" t="inlineStr">
        <is>
          <t>Mountain</t>
        </is>
      </c>
      <c r="D102" s="13" t="inlineStr">
        <is>
          <t>Mountain</t>
        </is>
      </c>
      <c r="E102" s="13" t="inlineStr">
        <is>
          <t>Mountain</t>
        </is>
      </c>
      <c r="F102" s="13" t="inlineStr">
        <is>
          <t>Mountain</t>
        </is>
      </c>
      <c r="G102" s="13" t="inlineStr">
        <is>
          <t>Mountain</t>
        </is>
      </c>
      <c r="H102" s="13" t="inlineStr">
        <is>
          <t>Mountain</t>
        </is>
      </c>
      <c r="I102" s="13" t="inlineStr">
        <is>
          <t>Mountain</t>
        </is>
      </c>
      <c r="J102" s="13" t="inlineStr">
        <is>
          <t>Mountain</t>
        </is>
      </c>
      <c r="K102" s="13" t="inlineStr">
        <is>
          <t>Mountain</t>
        </is>
      </c>
      <c r="L102" s="13" t="inlineStr">
        <is>
          <t>Mountain</t>
        </is>
      </c>
      <c r="M102" s="30" t="inlineStr">
        <is>
          <t>Fun Max</t>
        </is>
      </c>
      <c r="N102" s="31">
        <f>INDEX(B102:L102,MATCH(M102,$B$5:$L$5,0))</f>
        <v/>
      </c>
      <c r="O102" s="22">
        <f>IFERROR(VLOOKUP(N102,Prices!$A:$B,2,FALSE),0)</f>
        <v/>
      </c>
      <c r="P102" s="32">
        <f>IFERROR(INDEX('_why_5o'!$B98:$L98,MATCH(M102,$B$5:$L$5,0)),"")</f>
        <v/>
      </c>
    </row>
    <row r="103">
      <c r="A103" s="28" t="n">
        <v>98</v>
      </c>
      <c r="B103" s="33" t="inlineStr">
        <is>
          <t>Mountain</t>
        </is>
      </c>
      <c r="C103" s="33" t="inlineStr">
        <is>
          <t>Mountain</t>
        </is>
      </c>
      <c r="D103" s="33" t="inlineStr">
        <is>
          <t>Mountain</t>
        </is>
      </c>
      <c r="E103" s="33" t="inlineStr">
        <is>
          <t>Mountain</t>
        </is>
      </c>
      <c r="F103" s="33" t="inlineStr">
        <is>
          <t>Mountain</t>
        </is>
      </c>
      <c r="G103" s="33" t="inlineStr">
        <is>
          <t>Mountain</t>
        </is>
      </c>
      <c r="H103" s="33" t="inlineStr">
        <is>
          <t>Mountain</t>
        </is>
      </c>
      <c r="I103" s="33" t="inlineStr">
        <is>
          <t>Mountain</t>
        </is>
      </c>
      <c r="J103" s="33" t="inlineStr">
        <is>
          <t>Mountain</t>
        </is>
      </c>
      <c r="K103" s="33" t="inlineStr">
        <is>
          <t>Mountain</t>
        </is>
      </c>
      <c r="L103" s="33" t="inlineStr">
        <is>
          <t>Mountain</t>
        </is>
      </c>
      <c r="M103" s="30" t="inlineStr">
        <is>
          <t>Fun Max</t>
        </is>
      </c>
      <c r="N103" s="31">
        <f>INDEX(B103:L103,MATCH(M103,$B$5:$L$5,0))</f>
        <v/>
      </c>
      <c r="O103" s="22">
        <f>IFERROR(VLOOKUP(N103,Prices!$A:$B,2,FALSE),0)</f>
        <v/>
      </c>
      <c r="P103" s="32">
        <f>IFERROR(INDEX('_why_5o'!$B99:$L99,MATCH(M103,$B$5:$L$5,0)),"")</f>
        <v/>
      </c>
    </row>
    <row r="104">
      <c r="A104" s="28" t="n">
        <v>99</v>
      </c>
      <c r="B104" s="13" t="inlineStr">
        <is>
          <t>Mountain</t>
        </is>
      </c>
      <c r="C104" s="13" t="inlineStr">
        <is>
          <t>Mountain</t>
        </is>
      </c>
      <c r="D104" s="13" t="inlineStr">
        <is>
          <t>Mountain</t>
        </is>
      </c>
      <c r="E104" s="13" t="inlineStr">
        <is>
          <t>Mountain</t>
        </is>
      </c>
      <c r="F104" s="13" t="inlineStr">
        <is>
          <t>Mountain</t>
        </is>
      </c>
      <c r="G104" s="13" t="inlineStr">
        <is>
          <t>Mountain</t>
        </is>
      </c>
      <c r="H104" s="13" t="inlineStr">
        <is>
          <t>Mountain</t>
        </is>
      </c>
      <c r="I104" s="13" t="inlineStr">
        <is>
          <t>Mountain</t>
        </is>
      </c>
      <c r="J104" s="13" t="inlineStr">
        <is>
          <t>Mountain</t>
        </is>
      </c>
      <c r="K104" s="13" t="inlineStr">
        <is>
          <t>Mountain</t>
        </is>
      </c>
      <c r="L104" s="13" t="inlineStr">
        <is>
          <t>Mountain</t>
        </is>
      </c>
      <c r="M104" s="30" t="inlineStr">
        <is>
          <t>Fun Max</t>
        </is>
      </c>
      <c r="N104" s="31">
        <f>INDEX(B104:L104,MATCH(M104,$B$5:$L$5,0))</f>
        <v/>
      </c>
      <c r="O104" s="22">
        <f>IFERROR(VLOOKUP(N104,Prices!$A:$B,2,FALSE),0)</f>
        <v/>
      </c>
      <c r="P104" s="32">
        <f>IFERROR(INDEX('_why_5o'!$B100:$L100,MATCH(M104,$B$5:$L$5,0)),"")</f>
        <v/>
      </c>
    </row>
    <row r="105">
      <c r="A105" s="28" t="n">
        <v>100</v>
      </c>
      <c r="B105" s="33" t="inlineStr">
        <is>
          <t>Mountain</t>
        </is>
      </c>
      <c r="C105" s="33" t="inlineStr">
        <is>
          <t>Mountain</t>
        </is>
      </c>
      <c r="D105" s="33" t="inlineStr">
        <is>
          <t>Mountain</t>
        </is>
      </c>
      <c r="E105" s="33" t="inlineStr">
        <is>
          <t>Mountain</t>
        </is>
      </c>
      <c r="F105" s="33" t="inlineStr">
        <is>
          <t>Mountain</t>
        </is>
      </c>
      <c r="G105" s="33" t="inlineStr">
        <is>
          <t>Mountain</t>
        </is>
      </c>
      <c r="H105" s="33" t="inlineStr">
        <is>
          <t>Mountain</t>
        </is>
      </c>
      <c r="I105" s="33" t="inlineStr">
        <is>
          <t>Mountain</t>
        </is>
      </c>
      <c r="J105" s="33" t="inlineStr">
        <is>
          <t>Mountain</t>
        </is>
      </c>
      <c r="K105" s="33" t="inlineStr">
        <is>
          <t>Mountain</t>
        </is>
      </c>
      <c r="L105" s="33" t="inlineStr">
        <is>
          <t>Mountain</t>
        </is>
      </c>
      <c r="M105" s="30" t="inlineStr">
        <is>
          <t>Fun Max</t>
        </is>
      </c>
      <c r="N105" s="31">
        <f>INDEX(B105:L105,MATCH(M105,$B$5:$L$5,0))</f>
        <v/>
      </c>
      <c r="O105" s="22">
        <f>IFERROR(VLOOKUP(N105,Prices!$A:$B,2,FALSE),0)</f>
        <v/>
      </c>
      <c r="P105" s="32">
        <f>IFERROR(INDEX('_why_5o'!$B101:$L101,MATCH(M105,$B$5:$L$5,0)),"")</f>
        <v/>
      </c>
    </row>
    <row r="106">
      <c r="A106" s="9" t="inlineStr">
        <is>
          <t>TOTALS</t>
        </is>
      </c>
      <c r="B106" s="35" t="n">
        <v>66.20999999999999</v>
      </c>
      <c r="C106" s="35" t="n">
        <v>79.05</v>
      </c>
      <c r="D106" s="35" t="n">
        <v>87.93000000000001</v>
      </c>
      <c r="E106" s="35" t="n">
        <v>163.87</v>
      </c>
      <c r="F106" s="35" t="n">
        <v>112.44</v>
      </c>
      <c r="G106" s="35" t="n">
        <v>112.44</v>
      </c>
      <c r="H106" s="35" t="n">
        <v>173.36</v>
      </c>
      <c r="I106" s="35" t="n">
        <v>93.19</v>
      </c>
      <c r="J106" s="35" t="n">
        <v>157.37</v>
      </c>
      <c r="K106" s="35" t="n">
        <v>104.6</v>
      </c>
      <c r="L106" s="35" t="n">
        <v>227.72</v>
      </c>
      <c r="N106" s="9" t="inlineStr">
        <is>
          <t>Your selection →</t>
        </is>
      </c>
      <c r="O106" s="35">
        <f>SUM(O6:O105)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7">
    <mergeCell ref="I4:J4"/>
    <mergeCell ref="A108:P108"/>
    <mergeCell ref="B4:E4"/>
    <mergeCell ref="A1:P1"/>
    <mergeCell ref="F4:H4"/>
    <mergeCell ref="K4:L4"/>
    <mergeCell ref="A2:P2"/>
  </mergeCells>
  <dataValidations count="1">
    <dataValidation sqref="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showDropDown="0" showInputMessage="0" showErrorMessage="0" allowBlank="0" type="list">
      <formula1>"Base,Tuned,Enhance,Max,Tuned-2,Enhance-2,Max-2,Fun Tuned,Fun Max,Alt Tuned,Alt Max"</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c r="K1" t="inlineStr">
        <is>
          <t>Alt Tuned</t>
        </is>
      </c>
      <c r="L1" t="inlineStr">
        <is>
          <t>Alt Max</t>
        </is>
      </c>
    </row>
    <row r="2">
      <c r="A2" t="n">
        <v>1</v>
      </c>
      <c r="B2" t="inlineStr"/>
      <c r="C2" t="inlineStr"/>
      <c r="D2" t="inlineStr"/>
      <c r="E2" t="inlineStr"/>
      <c r="F2" t="inlineStr"/>
      <c r="G2" t="inlineStr"/>
      <c r="H2" t="inlineStr"/>
      <c r="I2" t="inlineStr"/>
      <c r="J2" t="inlineStr"/>
      <c r="K2" t="inlineStr"/>
      <c r="L2" t="inlineStr"/>
    </row>
    <row r="3">
      <c r="A3" t="n">
        <v>2</v>
      </c>
      <c r="B3" t="inlineStr"/>
      <c r="C3" t="inlineStr"/>
      <c r="D3" t="inlineStr"/>
      <c r="E3" t="inlineStr"/>
      <c r="F3" t="inlineStr"/>
      <c r="G3" t="inlineStr"/>
      <c r="H3" t="inlineStr"/>
      <c r="I3" t="inlineStr">
        <is>
          <t>Replaces Ceaseless Conflict (adds removal/wipe). Evidence: the card it replaces was cast in 81% of the games it was drawn; sat dead in hand 19% of the time; landed on turn 6.9 on average; the deck won 4% of games it was cast in.</t>
        </is>
      </c>
      <c r="J3" t="inlineStr">
        <is>
          <t>Replaces Wave of Reckoning (adds draw/removal/protection/threat). Evidence: the card it replaces was cast in 76% of the games it was drawn; sat dead in hand 24% of the time; landed on turn 8.8 on average; the deck won 18% of games it was cast in.</t>
        </is>
      </c>
      <c r="K3" t="inlineStr">
        <is>
          <t>Replaces Ceaseless Conflict (adds removal/wipe). Evidence: the card it replaces was cast in 47% of the games it was drawn; sat dead in hand 53% of the time; landed on turn 7.9 on average; the deck won 6% of games it was cast in.</t>
        </is>
      </c>
      <c r="L3" t="inlineStr">
        <is>
          <t>Replaces Ceaseless Conflict (adds removal/wipe). Evidence: the card it replaces was cast in 48% of the games it was drawn; sat dead in hand 52% of the time; landed on turn 7.9 on average; the deck won 8% of games it was cast in.</t>
        </is>
      </c>
    </row>
    <row r="4">
      <c r="A4" t="n">
        <v>3</v>
      </c>
      <c r="B4" t="inlineStr"/>
      <c r="C4" t="inlineStr"/>
      <c r="D4" t="inlineStr"/>
      <c r="E4" t="inlineStr"/>
      <c r="F4" t="inlineStr"/>
      <c r="G4" t="inlineStr"/>
      <c r="H4" t="inlineStr"/>
      <c r="I4" t="inlineStr"/>
      <c r="J4" t="inlineStr"/>
      <c r="K4" t="inlineStr"/>
      <c r="L4" t="inlineStr"/>
    </row>
    <row r="5">
      <c r="A5" t="n">
        <v>4</v>
      </c>
      <c r="B5" t="inlineStr"/>
      <c r="C5" t="inlineStr"/>
      <c r="D5" t="inlineStr"/>
      <c r="E5" t="inlineStr"/>
      <c r="F5" t="inlineStr"/>
      <c r="G5" t="inlineStr"/>
      <c r="H5" t="inlineStr"/>
      <c r="I5" t="inlineStr"/>
      <c r="J5" t="inlineStr"/>
      <c r="K5" t="inlineStr"/>
      <c r="L5" t="inlineStr"/>
    </row>
    <row r="6">
      <c r="A6" t="n">
        <v>5</v>
      </c>
      <c r="B6" t="inlineStr"/>
      <c r="C6" t="inlineStr"/>
      <c r="D6" t="inlineStr"/>
      <c r="E6" t="inlineStr"/>
      <c r="F6" t="inlineStr">
        <is>
          <t>Replaces Ceaseless Conflict (adds removal/wipe). Evidence: the card it replaces was cast in 82% of the games it was drawn; sat dead in hand 18% of the time; landed on turn 7.2 on average; the deck won 6% of games it was cast in.</t>
        </is>
      </c>
      <c r="G6" t="inlineStr"/>
      <c r="H6" t="inlineStr"/>
      <c r="I6" t="inlineStr">
        <is>
          <t>Replaces Wave of Reckoning (adds removal/protection). Evidence: the card it replaces was cast in 76% of the games it was drawn; sat dead in hand 24% of the time; landed on turn 8.8 on average; the deck won 20% of games it was cast in.</t>
        </is>
      </c>
      <c r="J6" t="inlineStr"/>
      <c r="K6" t="inlineStr">
        <is>
          <t>Replaces Wave of Reckoning (adds draw/removal/protection/threat). Evidence: the card it replaces was cast in 70% of the games it was drawn; sat dead in hand 30% of the time; landed on turn 9.1 on average; the deck won 39% of games it was cast in.</t>
        </is>
      </c>
      <c r="L6" t="inlineStr">
        <is>
          <t>Replaces Wave of Reckoning (adds draw/removal/protection/threat). Evidence: the card it replaces was cast in 70% of the games it was drawn; sat dead in hand 30% of the time; landed on turn 9.0 on average; the deck won 40% of games it was cast in.</t>
        </is>
      </c>
    </row>
    <row r="7">
      <c r="A7" t="n">
        <v>6</v>
      </c>
      <c r="B7" t="inlineStr"/>
      <c r="C7" t="inlineStr"/>
      <c r="D7" t="inlineStr"/>
      <c r="E7" t="inlineStr"/>
      <c r="F7" t="inlineStr"/>
      <c r="G7" t="inlineStr"/>
      <c r="H7" t="inlineStr"/>
      <c r="I7" t="inlineStr"/>
      <c r="J7" t="inlineStr"/>
      <c r="K7" t="inlineStr"/>
      <c r="L7" t="inlineStr"/>
    </row>
    <row r="8">
      <c r="A8" t="n">
        <v>7</v>
      </c>
      <c r="B8" t="inlineStr"/>
      <c r="C8" t="inlineStr"/>
      <c r="D8" t="inlineStr"/>
      <c r="E8" t="inlineStr"/>
      <c r="F8" t="inlineStr"/>
      <c r="G8" t="inlineStr"/>
      <c r="H8" t="inlineStr"/>
      <c r="I8" t="inlineStr">
        <is>
          <t>Replaces Naktamun Lorespinner // Wheel of Fortune (adds draw/removal/protection/threat). Evidence: the card it replaces was cast in 85% of the games it was drawn; sat dead in hand 15% of the time; landed on turn 7.9 on average; the deck won 23% of games it was cast in.</t>
        </is>
      </c>
      <c r="J8" t="inlineStr">
        <is>
          <t>Replaces Archaeomancer's Map (adds removal/protection). Evidence: the card it replaces was cast in 86% of the games it was drawn; sat dead in hand 14% of the time; landed on turn 8.0 on average; the deck won 15% of games it was cast in.</t>
        </is>
      </c>
      <c r="K8" t="inlineStr">
        <is>
          <t>Replaces Archaeomancer's Map (adds removal/protection). Evidence: the card it replaces was cast in 84% of the games it was drawn; sat dead in hand 16% of the time; landed on turn 8.0 on average; the deck won 39% of games it was cast in.</t>
        </is>
      </c>
      <c r="L8" t="inlineStr">
        <is>
          <t>Replaces Archaeomancer's Map (adds removal/protection). Evidence: the card it replaces was cast in 82% of the games it was drawn; sat dead in hand 18% of the time; landed on turn 8.1 on average; the deck won 40% of games it was cast in.</t>
        </is>
      </c>
    </row>
    <row r="9">
      <c r="A9" t="n">
        <v>8</v>
      </c>
      <c r="B9" t="inlineStr"/>
      <c r="C9" t="inlineStr"/>
      <c r="D9" t="inlineStr"/>
      <c r="E9" t="inlineStr"/>
      <c r="F9" t="inlineStr"/>
      <c r="G9" t="inlineStr"/>
      <c r="H9" t="inlineStr"/>
      <c r="I9" t="inlineStr">
        <is>
          <t>Replaces Archaeomancer's Map (adds removal/protection). Evidence: the card it replaces was cast in 87% of the games it was drawn; sat dead in hand 13% of the time; landed on turn 7.9 on average; the deck won 17% of games it was cast in.</t>
        </is>
      </c>
      <c r="J9" t="inlineStr">
        <is>
          <t>Replaces Sevinne's Reclamation (adds removal/threat). Evidence: the card it replaces was cast in 87% of the games it was drawn; sat dead in hand 13% of the time; landed on turn 7.8 on average; the deck won 18% of games it was cast in.</t>
        </is>
      </c>
      <c r="K9" t="inlineStr">
        <is>
          <t>Replaces Sevinne's Reclamation (adds removal/protection). Evidence: the card it replaces was cast in 80% of the games it was drawn; sat dead in hand 20% of the time; landed on turn 8.1 on average; the deck won 38% of games it was cast in.</t>
        </is>
      </c>
      <c r="L9" t="inlineStr">
        <is>
          <t>Replaces Sevinne's Reclamation (adds removal/protection/threat). Evidence: the card it replaces was cast in 84% of the games it was drawn; sat dead in hand 16% of the time; landed on turn 7.9 on average; the deck won 39% of games it was cast in.</t>
        </is>
      </c>
    </row>
    <row r="10">
      <c r="A10" t="n">
        <v>9</v>
      </c>
      <c r="B10" t="inlineStr"/>
      <c r="C10" t="inlineStr"/>
      <c r="D10" t="inlineStr"/>
      <c r="E10" t="inlineStr"/>
      <c r="F10" t="inlineStr"/>
      <c r="G10" t="inlineStr"/>
      <c r="H10" t="inlineStr"/>
      <c r="I10" t="inlineStr">
        <is>
          <t>Replaces Sevinne's Reclamation (adds removal/protection). Evidence: the card it replaces was cast in 84% of the games it was drawn; sat dead in hand 16% of the time; landed on turn 7.8 on average; the deck won 17% of games it was cast in.</t>
        </is>
      </c>
      <c r="J10" t="inlineStr"/>
      <c r="K10" t="inlineStr"/>
      <c r="L10" t="inlineStr"/>
    </row>
    <row r="11">
      <c r="A11" t="n">
        <v>10</v>
      </c>
      <c r="B11" t="inlineStr"/>
      <c r="C11" t="inlineStr"/>
      <c r="D11" t="inlineStr"/>
      <c r="E11" t="inlineStr"/>
      <c r="F11" t="inlineStr"/>
      <c r="G11" t="inlineStr"/>
      <c r="H11" t="inlineStr"/>
      <c r="I11" t="inlineStr"/>
      <c r="J11" t="inlineStr"/>
      <c r="K11" t="inlineStr"/>
      <c r="L11" t="inlineStr"/>
    </row>
    <row r="12">
      <c r="A12" t="n">
        <v>11</v>
      </c>
      <c r="B12" t="inlineStr"/>
      <c r="C12" t="inlineStr"/>
      <c r="D12" t="inlineStr"/>
      <c r="E12" t="inlineStr"/>
      <c r="F12" t="inlineStr"/>
      <c r="G12" t="inlineStr"/>
      <c r="H12" t="inlineStr"/>
      <c r="I12" t="inlineStr"/>
      <c r="J12" t="inlineStr"/>
      <c r="K12" t="inlineStr"/>
      <c r="L12" t="inlineStr"/>
    </row>
    <row r="13">
      <c r="A13" t="n">
        <v>12</v>
      </c>
      <c r="B13" t="inlineStr"/>
      <c r="C13" t="inlineStr"/>
      <c r="D13" t="inlineStr"/>
      <c r="E13" t="inlineStr"/>
      <c r="F13" t="inlineStr"/>
      <c r="G13" t="inlineStr"/>
      <c r="H13" t="inlineStr"/>
      <c r="I13" t="inlineStr"/>
      <c r="J13" t="inlineStr"/>
      <c r="K13" t="inlineStr"/>
      <c r="L13" t="inlineStr"/>
    </row>
    <row r="14">
      <c r="A14" t="n">
        <v>13</v>
      </c>
      <c r="B14" t="inlineStr"/>
      <c r="C14" t="inlineStr"/>
      <c r="D14" t="inlineStr"/>
      <c r="E14" t="inlineStr"/>
      <c r="F14" t="inlineStr"/>
      <c r="G14" t="inlineStr"/>
      <c r="H14" t="inlineStr"/>
      <c r="I14" t="inlineStr"/>
      <c r="J14" t="inlineStr"/>
      <c r="K14" t="inlineStr"/>
      <c r="L14" t="inlineStr"/>
    </row>
    <row r="15">
      <c r="A15" t="n">
        <v>14</v>
      </c>
      <c r="B15" t="inlineStr"/>
      <c r="C15" t="inlineStr"/>
      <c r="D15" t="inlineStr"/>
      <c r="E15" t="inlineStr"/>
      <c r="F15" t="inlineStr"/>
      <c r="G15" t="inlineStr"/>
      <c r="H15" t="inlineStr"/>
      <c r="I15" t="inlineStr"/>
      <c r="J15" t="inlineStr"/>
      <c r="K15" t="inlineStr"/>
      <c r="L15" t="inlineStr"/>
    </row>
    <row r="16">
      <c r="A16" t="n">
        <v>15</v>
      </c>
      <c r="B16" t="inlineStr"/>
      <c r="C16" t="inlineStr"/>
      <c r="D16" t="inlineStr"/>
      <c r="E16" t="inlineStr"/>
      <c r="F16" t="inlineStr">
        <is>
          <t>Replaces Wave of Reckoning (adds removal/protection/threat). Evidence: the card it replaces was cast in 82% of the games it was drawn; sat dead in hand 18% of the time; landed on turn 9.3 on average; the deck won 37% of games it was cast in.</t>
        </is>
      </c>
      <c r="G16" t="inlineStr"/>
      <c r="H16" t="inlineStr"/>
      <c r="I16" t="inlineStr">
        <is>
          <t>Replaces Sun Titan (adds removal/protection/threat). Evidence: the card it replaces was cast in 84% of the games it was drawn; sat dead in hand 16% of the time; landed on turn 7.8 on average; the deck won 21% of games it was cast in.</t>
        </is>
      </c>
      <c r="J16" t="inlineStr"/>
      <c r="K16" t="inlineStr">
        <is>
          <t>Replaces Skyclave Apparition (adds removal/protection/threat). Evidence: the card it replaces was cast in 88% of the games it was drawn; sat dead in hand 12% of the time; landed on turn 6.9 on average; the deck won 38% of games it was cast in.</t>
        </is>
      </c>
      <c r="L16" t="inlineStr">
        <is>
          <t>Replaces Tragic Arrogance (adds wipe/protection). Evidence: the card it replaces was cast in 49% of the games it was drawn; sat dead in hand 51% of the time; landed on turn 7.7 on average; the deck won 7% of games it was cast in.</t>
        </is>
      </c>
    </row>
    <row r="17">
      <c r="A17" t="n">
        <v>16</v>
      </c>
      <c r="B17" t="inlineStr"/>
      <c r="C17" t="inlineStr"/>
      <c r="D17" t="inlineStr"/>
      <c r="E17" t="inlineStr"/>
      <c r="F17" t="inlineStr"/>
      <c r="G17" t="inlineStr"/>
      <c r="H17" t="inlineStr"/>
      <c r="I17" t="inlineStr"/>
      <c r="J17" t="inlineStr"/>
      <c r="K17" t="inlineStr"/>
      <c r="L17" t="inlineStr"/>
    </row>
    <row r="18">
      <c r="A18" t="n">
        <v>17</v>
      </c>
      <c r="B18" t="inlineStr"/>
      <c r="C18" t="inlineStr"/>
      <c r="D18" t="inlineStr"/>
      <c r="E18" t="inlineStr"/>
      <c r="F18" t="inlineStr"/>
      <c r="G18" t="inlineStr"/>
      <c r="H18" t="inlineStr"/>
      <c r="I18" t="inlineStr"/>
      <c r="J18" t="inlineStr"/>
      <c r="K18" t="inlineStr"/>
      <c r="L18" t="inlineStr"/>
    </row>
    <row r="19">
      <c r="A19" t="n">
        <v>18</v>
      </c>
      <c r="B19" t="inlineStr"/>
      <c r="C19" t="inlineStr"/>
      <c r="D19" t="inlineStr"/>
      <c r="E19" t="inlineStr"/>
      <c r="F19" t="inlineStr"/>
      <c r="G19" t="inlineStr"/>
      <c r="H19" t="inlineStr"/>
      <c r="I19" t="inlineStr">
        <is>
          <t>Replaces Elspeth, Sun's Champion (adds removal/protection). Evidence: the card it replaces was cast in 94% of the games it was drawn; sat dead in hand 6% of the time; landed on turn 7.4 on average; the deck won 13% of games it was cast in.</t>
        </is>
      </c>
      <c r="J19" t="inlineStr"/>
      <c r="K19" t="inlineStr">
        <is>
          <t>Replaces Elspeth, Sun's Champion (adds removal/protection). Evidence: the card it replaces was cast in 93% of the games it was drawn; sat dead in hand 7% of the time; landed on turn 7.5 on average; the deck won 34% of games it was cast in.</t>
        </is>
      </c>
      <c r="L19" t="inlineStr"/>
    </row>
    <row r="20">
      <c r="A20" t="n">
        <v>19</v>
      </c>
      <c r="B20" t="inlineStr"/>
      <c r="C20" t="inlineStr"/>
      <c r="D20" t="inlineStr"/>
      <c r="E20" t="inlineStr"/>
      <c r="F20" t="inlineStr"/>
      <c r="G20" t="inlineStr"/>
      <c r="H20" t="inlineStr"/>
      <c r="I20" t="inlineStr"/>
      <c r="J20" t="inlineStr"/>
      <c r="K20" t="inlineStr"/>
      <c r="L20" t="inlineStr"/>
    </row>
    <row r="21">
      <c r="A21" t="n">
        <v>20</v>
      </c>
      <c r="B21" t="inlineStr"/>
      <c r="C21" t="inlineStr"/>
      <c r="D21" t="inlineStr"/>
      <c r="E21" t="inlineStr"/>
      <c r="F21" t="inlineStr"/>
      <c r="G21" t="inlineStr"/>
      <c r="H21" t="inlineStr"/>
      <c r="I21" t="inlineStr"/>
      <c r="J21" t="inlineStr"/>
      <c r="K21" t="inlineStr"/>
      <c r="L21" t="inlineStr"/>
    </row>
    <row r="22">
      <c r="A22" t="n">
        <v>21</v>
      </c>
      <c r="B22" t="inlineStr"/>
      <c r="C22" t="inlineStr"/>
      <c r="D22" t="inlineStr"/>
      <c r="E22" t="inlineStr"/>
      <c r="F22" t="inlineStr"/>
      <c r="G22" t="inlineStr"/>
      <c r="H22" t="inlineStr"/>
      <c r="I22" t="inlineStr"/>
      <c r="J22" t="inlineStr"/>
      <c r="K22" t="inlineStr"/>
      <c r="L22" t="inlineStr"/>
    </row>
    <row r="23">
      <c r="A23" t="n">
        <v>22</v>
      </c>
      <c r="B23" t="inlineStr"/>
      <c r="C23" t="inlineStr"/>
      <c r="D23" t="inlineStr"/>
      <c r="E23" t="inlineStr"/>
      <c r="F23" t="inlineStr"/>
      <c r="G23" t="inlineStr"/>
      <c r="H23" t="inlineStr"/>
      <c r="I23" t="inlineStr"/>
      <c r="J23" t="inlineStr"/>
      <c r="K23" t="inlineStr"/>
      <c r="L23" t="inlineStr"/>
    </row>
    <row r="24">
      <c r="A24" t="n">
        <v>23</v>
      </c>
      <c r="B24" t="inlineStr"/>
      <c r="C24" t="inlineStr"/>
      <c r="D24" t="inlineStr"/>
      <c r="E24" t="inlineStr"/>
      <c r="F24" t="inlineStr"/>
      <c r="G24" t="inlineStr"/>
      <c r="H24" t="inlineStr"/>
      <c r="I24" t="inlineStr"/>
      <c r="J24" t="inlineStr"/>
      <c r="K24" t="inlineStr"/>
      <c r="L24" t="inlineStr"/>
    </row>
    <row r="25">
      <c r="A25" t="n">
        <v>24</v>
      </c>
      <c r="B25" t="inlineStr"/>
      <c r="C25" t="inlineStr"/>
      <c r="D25" t="inlineStr"/>
      <c r="E25" t="inlineStr"/>
      <c r="F25" t="inlineStr"/>
      <c r="G25" t="inlineStr"/>
      <c r="H25" t="inlineStr"/>
      <c r="I25" t="inlineStr"/>
      <c r="J25" t="inlineStr"/>
      <c r="K25" t="inlineStr"/>
      <c r="L25" t="inlineStr"/>
    </row>
    <row r="26">
      <c r="A26" t="n">
        <v>25</v>
      </c>
      <c r="B26" t="inlineStr"/>
      <c r="C26" t="inlineStr"/>
      <c r="D26" t="inlineStr"/>
      <c r="E26" t="inlineStr"/>
      <c r="F26" t="inlineStr">
        <is>
          <t>Replaces Elspeth, Sun's Champion (adds removal/protection). Evidence: the card it replaces was cast in 97% of the games it was drawn; sat dead in hand 3% of the time; landed on turn 7.8 on average; the deck won 28% of games it was cast in.</t>
        </is>
      </c>
      <c r="G26" t="inlineStr"/>
      <c r="H26" t="inlineStr"/>
      <c r="I26" t="inlineStr"/>
      <c r="J26" t="inlineStr"/>
      <c r="K26" t="inlineStr"/>
      <c r="L26" t="inlineStr"/>
    </row>
    <row r="27">
      <c r="A27" t="n">
        <v>26</v>
      </c>
      <c r="B27" t="inlineStr"/>
      <c r="C27" t="inlineStr"/>
      <c r="D27" t="inlineStr"/>
      <c r="E27" t="inlineStr"/>
      <c r="F27" t="inlineStr"/>
      <c r="G27" t="inlineStr"/>
      <c r="H27" t="inlineStr"/>
      <c r="I27" t="inlineStr"/>
      <c r="J27" t="inlineStr"/>
      <c r="K27" t="inlineStr"/>
      <c r="L27" t="inlineStr"/>
    </row>
    <row r="28">
      <c r="A28" t="n">
        <v>27</v>
      </c>
      <c r="B28" t="inlineStr"/>
      <c r="C28" t="inlineStr"/>
      <c r="D28" t="inlineStr"/>
      <c r="E28" t="inlineStr"/>
      <c r="F28" t="inlineStr"/>
      <c r="G28" t="inlineStr"/>
      <c r="H28" t="inlineStr"/>
      <c r="I28" t="inlineStr"/>
      <c r="J28" t="inlineStr"/>
      <c r="K28" t="inlineStr"/>
      <c r="L28" t="inlineStr"/>
    </row>
    <row r="29">
      <c r="A29" t="n">
        <v>28</v>
      </c>
      <c r="B29" t="inlineStr"/>
      <c r="C29" t="inlineStr"/>
      <c r="D29" t="inlineStr"/>
      <c r="E29" t="inlineStr"/>
      <c r="F29" t="inlineStr"/>
      <c r="G29" t="inlineStr"/>
      <c r="H29" t="inlineStr"/>
      <c r="I29" t="inlineStr"/>
      <c r="J29" t="inlineStr"/>
      <c r="K29" t="inlineStr"/>
      <c r="L29" t="inlineStr"/>
    </row>
    <row r="30">
      <c r="A30" t="n">
        <v>29</v>
      </c>
      <c r="B30" t="inlineStr"/>
      <c r="C30" t="inlineStr"/>
      <c r="D30" t="inlineStr"/>
      <c r="E30" t="inlineStr"/>
      <c r="F30" t="inlineStr">
        <is>
          <t>Replaces Sevinne's Reclamation (adds draw/removal/protection/threat). Evidence: the card it replaces was cast in 89% of the games it was drawn; sat dead in hand 11% of the time; landed on turn 8.3 on average; the deck won 34% of games it was cast in.</t>
        </is>
      </c>
      <c r="G30" t="inlineStr"/>
      <c r="H30" t="inlineStr"/>
      <c r="I30" t="inlineStr"/>
      <c r="J30" t="inlineStr">
        <is>
          <t>Replaces Darksteel Plate (adds protection/threat). Evidence: the card it replaces was cast in 90% of the games it was drawn; sat dead in hand 10% of the time; landed on turn 7.7 on average; the deck won 16% of games it was cast in.</t>
        </is>
      </c>
      <c r="K30" t="inlineStr"/>
      <c r="L30" t="inlineStr"/>
    </row>
    <row r="31">
      <c r="A31" t="n">
        <v>30</v>
      </c>
      <c r="B31" t="inlineStr"/>
      <c r="C31" t="inlineStr"/>
      <c r="D31" t="inlineStr"/>
      <c r="E31" t="inlineStr"/>
      <c r="F31" t="inlineStr"/>
      <c r="G31" t="inlineStr"/>
      <c r="H31" t="inlineStr"/>
      <c r="I31" t="inlineStr"/>
      <c r="J31" t="inlineStr"/>
      <c r="K31" t="inlineStr"/>
      <c r="L31" t="inlineStr"/>
    </row>
    <row r="32">
      <c r="A32" t="n">
        <v>31</v>
      </c>
      <c r="B32" t="inlineStr"/>
      <c r="C32" t="inlineStr"/>
      <c r="D32" t="inlineStr"/>
      <c r="E32" t="inlineStr"/>
      <c r="F32" t="inlineStr"/>
      <c r="G32" t="inlineStr"/>
      <c r="H32" t="inlineStr"/>
      <c r="I32" t="inlineStr"/>
      <c r="J32" t="inlineStr"/>
      <c r="K32" t="inlineStr"/>
      <c r="L32" t="inlineStr"/>
    </row>
    <row r="33">
      <c r="A33" t="n">
        <v>32</v>
      </c>
      <c r="B33" t="inlineStr"/>
      <c r="C33" t="inlineStr"/>
      <c r="D33" t="inlineStr"/>
      <c r="E33" t="inlineStr"/>
      <c r="F33" t="inlineStr"/>
      <c r="G33" t="inlineStr"/>
      <c r="H33" t="inlineStr"/>
      <c r="I33" t="inlineStr"/>
      <c r="J33" t="inlineStr"/>
      <c r="K33" t="inlineStr"/>
      <c r="L33" t="inlineStr"/>
    </row>
    <row r="34">
      <c r="A34" t="n">
        <v>33</v>
      </c>
      <c r="B34" t="inlineStr"/>
      <c r="C34" t="inlineStr"/>
      <c r="D34" t="inlineStr"/>
      <c r="E34" t="inlineStr"/>
      <c r="F34" t="inlineStr">
        <is>
          <t>Replaces Tragic Arrogance (adds draw/removal/wipe). Evidence: the card it replaces was cast in 83% of the games it was drawn; sat dead in hand 17% of the time; landed on turn 7.3 on average; the deck won 7% of games it was cast in.</t>
        </is>
      </c>
      <c r="G34" t="inlineStr"/>
      <c r="H34" t="inlineStr"/>
      <c r="I34" t="inlineStr"/>
      <c r="J34" t="inlineStr"/>
      <c r="K34" t="inlineStr"/>
      <c r="L34" t="inlineStr">
        <is>
          <t>Replaces Darksteel Plate (adds draw/removal/protection). Evidence: the card it replaces was cast in 84% of the games it was drawn; sat dead in hand 16% of the time; landed on turn 7.7 on average; the deck won 42% of games it was cast in.</t>
        </is>
      </c>
    </row>
    <row r="35">
      <c r="A35" t="n">
        <v>34</v>
      </c>
      <c r="B35" t="inlineStr"/>
      <c r="C35" t="inlineStr"/>
      <c r="D35" t="inlineStr"/>
      <c r="E35" t="inlineStr"/>
      <c r="F35" t="inlineStr"/>
      <c r="G35" t="inlineStr"/>
      <c r="H35" t="inlineStr"/>
      <c r="I35" t="inlineStr"/>
      <c r="J35" t="inlineStr"/>
      <c r="K35" t="inlineStr"/>
      <c r="L35" t="inlineStr"/>
    </row>
    <row r="36">
      <c r="A36" t="n">
        <v>35</v>
      </c>
      <c r="B36" t="inlineStr"/>
      <c r="C36" t="inlineStr"/>
      <c r="D36" t="inlineStr"/>
      <c r="E36" t="inlineStr"/>
      <c r="F36" t="inlineStr"/>
      <c r="G36" t="inlineStr"/>
      <c r="H36" t="inlineStr"/>
      <c r="I36" t="inlineStr"/>
      <c r="J36" t="inlineStr"/>
      <c r="K36" t="inlineStr"/>
      <c r="L36" t="inlineStr"/>
    </row>
    <row r="37">
      <c r="A37" t="n">
        <v>36</v>
      </c>
      <c r="B37" t="inlineStr"/>
      <c r="C37" t="inlineStr"/>
      <c r="D37" t="inlineStr"/>
      <c r="E37" t="inlineStr"/>
      <c r="F37" t="inlineStr"/>
      <c r="G37" t="inlineStr"/>
      <c r="H37" t="inlineStr"/>
      <c r="I37" t="inlineStr"/>
      <c r="J37" t="inlineStr"/>
      <c r="K37" t="inlineStr"/>
      <c r="L37" t="inlineStr"/>
    </row>
    <row r="38">
      <c r="A38" t="n">
        <v>37</v>
      </c>
      <c r="B38" t="inlineStr"/>
      <c r="C38" t="inlineStr"/>
      <c r="D38" t="inlineStr"/>
      <c r="E38" t="inlineStr"/>
      <c r="F38" t="inlineStr"/>
      <c r="G38" t="inlineStr"/>
      <c r="H38" t="inlineStr"/>
      <c r="I38" t="inlineStr"/>
      <c r="J38" t="inlineStr"/>
      <c r="K38" t="inlineStr"/>
      <c r="L38" t="inlineStr"/>
    </row>
    <row r="39">
      <c r="A39" t="n">
        <v>38</v>
      </c>
      <c r="B39" t="inlineStr"/>
      <c r="C39" t="inlineStr"/>
      <c r="D39" t="inlineStr"/>
      <c r="E39" t="inlineStr"/>
      <c r="F39" t="inlineStr"/>
      <c r="G39" t="inlineStr"/>
      <c r="H39" t="inlineStr"/>
      <c r="I39" t="inlineStr"/>
      <c r="J39" t="inlineStr"/>
      <c r="K39" t="inlineStr"/>
      <c r="L39" t="inlineStr"/>
    </row>
    <row r="40">
      <c r="A40" t="n">
        <v>39</v>
      </c>
      <c r="B40" t="inlineStr"/>
      <c r="C40" t="inlineStr"/>
      <c r="D40" t="inlineStr"/>
      <c r="E40" t="inlineStr"/>
      <c r="F40" t="inlineStr"/>
      <c r="G40" t="inlineStr"/>
      <c r="H40" t="inlineStr"/>
      <c r="I40" t="inlineStr"/>
      <c r="J40" t="inlineStr"/>
      <c r="K40" t="inlineStr"/>
      <c r="L40" t="inlineStr"/>
    </row>
    <row r="41">
      <c r="A41" t="n">
        <v>40</v>
      </c>
      <c r="B41" t="inlineStr"/>
      <c r="C41" t="inlineStr"/>
      <c r="D41" t="inlineStr"/>
      <c r="E41" t="inlineStr"/>
      <c r="F41" t="inlineStr"/>
      <c r="G41" t="inlineStr"/>
      <c r="H41" t="inlineStr"/>
      <c r="I41" t="inlineStr"/>
      <c r="J41" t="inlineStr"/>
      <c r="K41" t="inlineStr"/>
      <c r="L41" t="inlineStr"/>
    </row>
    <row r="42">
      <c r="A42" t="n">
        <v>41</v>
      </c>
      <c r="B42" t="inlineStr"/>
      <c r="C42" t="inlineStr"/>
      <c r="D42" t="inlineStr"/>
      <c r="E42" t="inlineStr"/>
      <c r="F42" t="inlineStr"/>
      <c r="G42" t="inlineStr"/>
      <c r="H42" t="inlineStr"/>
      <c r="I42" t="inlineStr"/>
      <c r="J42" t="inlineStr"/>
      <c r="K42" t="inlineStr"/>
      <c r="L42" t="inlineStr"/>
    </row>
    <row r="43">
      <c r="A43" t="n">
        <v>42</v>
      </c>
      <c r="B43" t="inlineStr"/>
      <c r="C43" t="inlineStr"/>
      <c r="D43" t="inlineStr"/>
      <c r="E43" t="inlineStr"/>
      <c r="F43" t="inlineStr"/>
      <c r="G43" t="inlineStr"/>
      <c r="H43" t="inlineStr"/>
      <c r="I43" t="inlineStr"/>
      <c r="J43" t="inlineStr"/>
      <c r="K43" t="inlineStr"/>
      <c r="L43" t="inlineStr"/>
    </row>
    <row r="44">
      <c r="A44" t="n">
        <v>43</v>
      </c>
      <c r="B44" t="inlineStr"/>
      <c r="C44" t="inlineStr"/>
      <c r="D44" t="inlineStr"/>
      <c r="E44" t="inlineStr"/>
      <c r="F44" t="inlineStr"/>
      <c r="G44" t="inlineStr"/>
      <c r="H44" t="inlineStr"/>
      <c r="I44" t="inlineStr"/>
      <c r="J44" t="inlineStr"/>
      <c r="K44" t="inlineStr"/>
      <c r="L44" t="inlineStr"/>
    </row>
    <row r="45">
      <c r="A45" t="n">
        <v>44</v>
      </c>
      <c r="B45" t="inlineStr"/>
      <c r="C45" t="inlineStr"/>
      <c r="D45" t="inlineStr"/>
      <c r="E45" t="inlineStr"/>
      <c r="F45" t="inlineStr"/>
      <c r="G45" t="inlineStr"/>
      <c r="H45" t="inlineStr"/>
      <c r="I45" t="inlineStr"/>
      <c r="J45" t="inlineStr"/>
      <c r="K45" t="inlineStr"/>
      <c r="L45" t="inlineStr"/>
    </row>
    <row r="46">
      <c r="A46" t="n">
        <v>45</v>
      </c>
      <c r="B46" t="inlineStr"/>
      <c r="C46" t="inlineStr"/>
      <c r="D46" t="inlineStr"/>
      <c r="E46" t="inlineStr"/>
      <c r="F46" t="inlineStr"/>
      <c r="G46" t="inlineStr"/>
      <c r="H46" t="inlineStr"/>
      <c r="I46" t="inlineStr"/>
      <c r="J46" t="inlineStr"/>
      <c r="K46" t="inlineStr"/>
      <c r="L46" t="inlineStr"/>
    </row>
    <row r="47">
      <c r="A47" t="n">
        <v>46</v>
      </c>
      <c r="B47" t="inlineStr"/>
      <c r="C47" t="inlineStr"/>
      <c r="D47" t="inlineStr"/>
      <c r="E47" t="inlineStr"/>
      <c r="F47" t="inlineStr"/>
      <c r="G47" t="inlineStr"/>
      <c r="H47" t="inlineStr"/>
      <c r="I47" t="inlineStr"/>
      <c r="J47" t="inlineStr"/>
      <c r="K47" t="inlineStr"/>
      <c r="L47" t="inlineStr"/>
    </row>
    <row r="48">
      <c r="A48" t="n">
        <v>47</v>
      </c>
      <c r="B48" t="inlineStr"/>
      <c r="C48" t="inlineStr"/>
      <c r="D48" t="inlineStr"/>
      <c r="E48" t="inlineStr"/>
      <c r="F48" t="inlineStr"/>
      <c r="G48" t="inlineStr"/>
      <c r="H48" t="inlineStr"/>
      <c r="I48" t="inlineStr"/>
      <c r="J48" t="inlineStr"/>
      <c r="K48" t="inlineStr"/>
      <c r="L48" t="inlineStr"/>
    </row>
    <row r="49">
      <c r="A49" t="n">
        <v>48</v>
      </c>
      <c r="B49" t="inlineStr"/>
      <c r="C49" t="inlineStr"/>
      <c r="D49" t="inlineStr"/>
      <c r="E49" t="inlineStr"/>
      <c r="F49" t="inlineStr"/>
      <c r="G49" t="inlineStr"/>
      <c r="H49" t="inlineStr"/>
      <c r="I49" t="inlineStr"/>
      <c r="J49" t="inlineStr"/>
      <c r="K49" t="inlineStr"/>
      <c r="L49" t="inlineStr"/>
    </row>
    <row r="50">
      <c r="A50" t="n">
        <v>49</v>
      </c>
      <c r="B50" t="inlineStr"/>
      <c r="C50" t="inlineStr"/>
      <c r="D50" t="inlineStr"/>
      <c r="E50" t="inlineStr"/>
      <c r="F50" t="inlineStr"/>
      <c r="G50" t="inlineStr"/>
      <c r="H50" t="inlineStr"/>
      <c r="I50" t="inlineStr"/>
      <c r="J50" t="inlineStr"/>
      <c r="K50" t="inlineStr"/>
      <c r="L50" t="inlineStr"/>
    </row>
    <row r="51">
      <c r="A51" t="n">
        <v>50</v>
      </c>
      <c r="B51" t="inlineStr"/>
      <c r="C51" t="inlineStr"/>
      <c r="D51" t="inlineStr"/>
      <c r="E51" t="inlineStr"/>
      <c r="F51" t="inlineStr"/>
      <c r="G51" t="inlineStr"/>
      <c r="H51" t="inlineStr"/>
      <c r="I51" t="inlineStr"/>
      <c r="J51" t="inlineStr"/>
      <c r="K51" t="inlineStr"/>
      <c r="L51" t="inlineStr"/>
    </row>
    <row r="52">
      <c r="A52" t="n">
        <v>51</v>
      </c>
      <c r="B52" t="inlineStr"/>
      <c r="C52" t="inlineStr"/>
      <c r="D52" t="inlineStr"/>
      <c r="E52" t="inlineStr"/>
      <c r="F52" t="inlineStr"/>
      <c r="G52" t="inlineStr"/>
      <c r="H52" t="inlineStr"/>
      <c r="I52" t="inlineStr"/>
      <c r="J52" t="inlineStr"/>
      <c r="K52" t="inlineStr"/>
      <c r="L52" t="inlineStr"/>
    </row>
    <row r="53">
      <c r="A53" t="n">
        <v>52</v>
      </c>
      <c r="B53" t="inlineStr"/>
      <c r="C53" t="inlineStr"/>
      <c r="D53" t="inlineStr"/>
      <c r="E53" t="inlineStr"/>
      <c r="F53" t="inlineStr"/>
      <c r="G53" t="inlineStr"/>
      <c r="H53" t="inlineStr"/>
      <c r="I53" t="inlineStr"/>
      <c r="J53" t="inlineStr"/>
      <c r="K53" t="inlineStr"/>
      <c r="L53" t="inlineStr"/>
    </row>
    <row r="54">
      <c r="A54" t="n">
        <v>53</v>
      </c>
      <c r="B54" t="inlineStr"/>
      <c r="C54" t="inlineStr"/>
      <c r="D54" t="inlineStr"/>
      <c r="E54" t="inlineStr"/>
      <c r="F54" t="inlineStr"/>
      <c r="G54" t="inlineStr"/>
      <c r="H54" t="inlineStr"/>
      <c r="I54" t="inlineStr"/>
      <c r="J54" t="inlineStr"/>
      <c r="K54" t="inlineStr"/>
      <c r="L54" t="inlineStr"/>
    </row>
    <row r="55">
      <c r="A55" t="n">
        <v>54</v>
      </c>
      <c r="B55" t="inlineStr"/>
      <c r="C55" t="inlineStr"/>
      <c r="D55" t="inlineStr"/>
      <c r="E55" t="inlineStr"/>
      <c r="F55" t="inlineStr"/>
      <c r="G55" t="inlineStr"/>
      <c r="H55" t="inlineStr"/>
      <c r="I55" t="inlineStr"/>
      <c r="J55" t="inlineStr"/>
      <c r="K55" t="inlineStr"/>
      <c r="L55" t="inlineStr"/>
    </row>
    <row r="56">
      <c r="A56" t="n">
        <v>55</v>
      </c>
      <c r="B56" t="inlineStr"/>
      <c r="C56" t="inlineStr"/>
      <c r="D56" t="inlineStr"/>
      <c r="E56" t="inlineStr"/>
      <c r="F56" t="inlineStr"/>
      <c r="G56" t="inlineStr"/>
      <c r="H56" t="inlineStr"/>
      <c r="I56" t="inlineStr"/>
      <c r="J56" t="inlineStr"/>
      <c r="K56" t="inlineStr"/>
      <c r="L56" t="inlineStr"/>
    </row>
    <row r="57">
      <c r="A57" t="n">
        <v>56</v>
      </c>
      <c r="B57" t="inlineStr"/>
      <c r="C57" t="inlineStr"/>
      <c r="D57" t="inlineStr"/>
      <c r="E57" t="inlineStr"/>
      <c r="F57" t="inlineStr"/>
      <c r="G57" t="inlineStr"/>
      <c r="H57" t="inlineStr"/>
      <c r="I57" t="inlineStr"/>
      <c r="J57" t="inlineStr"/>
      <c r="K57" t="inlineStr"/>
      <c r="L57" t="inlineStr"/>
    </row>
    <row r="58">
      <c r="A58" t="n">
        <v>57</v>
      </c>
      <c r="B58" t="inlineStr"/>
      <c r="C58" t="inlineStr"/>
      <c r="D58" t="inlineStr"/>
      <c r="E58" t="inlineStr"/>
      <c r="F58" t="inlineStr"/>
      <c r="G58" t="inlineStr"/>
      <c r="H58" t="inlineStr"/>
      <c r="I58" t="inlineStr"/>
      <c r="J58" t="inlineStr"/>
      <c r="K58" t="inlineStr"/>
      <c r="L58" t="inlineStr"/>
    </row>
    <row r="59">
      <c r="A59" t="n">
        <v>58</v>
      </c>
      <c r="B59" t="inlineStr"/>
      <c r="C59" t="inlineStr"/>
      <c r="D59" t="inlineStr"/>
      <c r="E59" t="inlineStr"/>
      <c r="F59" t="inlineStr"/>
      <c r="G59" t="inlineStr"/>
      <c r="H59" t="inlineStr"/>
      <c r="I59" t="inlineStr"/>
      <c r="J59" t="inlineStr"/>
      <c r="K59" t="inlineStr"/>
      <c r="L59" t="inlineStr"/>
    </row>
    <row r="60">
      <c r="A60" t="n">
        <v>59</v>
      </c>
      <c r="B60" t="inlineStr"/>
      <c r="C60" t="inlineStr"/>
      <c r="D60" t="inlineStr"/>
      <c r="E60" t="inlineStr"/>
      <c r="F60" t="inlineStr"/>
      <c r="G60" t="inlineStr"/>
      <c r="H60" t="inlineStr"/>
      <c r="I60" t="inlineStr"/>
      <c r="J60" t="inlineStr"/>
      <c r="K60" t="inlineStr"/>
      <c r="L60" t="inlineStr"/>
    </row>
    <row r="61">
      <c r="A61" t="n">
        <v>60</v>
      </c>
      <c r="B61" t="inlineStr"/>
      <c r="C61" t="inlineStr"/>
      <c r="D61" t="inlineStr"/>
      <c r="E61" t="inlineStr"/>
      <c r="F61" t="inlineStr"/>
      <c r="G61" t="inlineStr"/>
      <c r="H61" t="inlineStr"/>
      <c r="I61" t="inlineStr"/>
      <c r="J61" t="inlineStr"/>
      <c r="K61" t="inlineStr"/>
      <c r="L61" t="inlineStr"/>
    </row>
    <row r="62">
      <c r="A62" t="n">
        <v>61</v>
      </c>
      <c r="B62" t="inlineStr"/>
      <c r="C62" t="inlineStr"/>
      <c r="D62" t="inlineStr"/>
      <c r="E62" t="inlineStr"/>
      <c r="F62" t="inlineStr"/>
      <c r="G62" t="inlineStr"/>
      <c r="H62" t="inlineStr"/>
      <c r="I62" t="inlineStr"/>
      <c r="J62" t="inlineStr"/>
      <c r="K62" t="inlineStr"/>
      <c r="L62" t="inlineStr"/>
    </row>
    <row r="63">
      <c r="A63" t="n">
        <v>62</v>
      </c>
      <c r="B63" t="inlineStr"/>
      <c r="C63" t="inlineStr"/>
      <c r="D63" t="inlineStr"/>
      <c r="E63" t="inlineStr"/>
      <c r="F63" t="inlineStr"/>
      <c r="G63" t="inlineStr"/>
      <c r="H63" t="inlineStr"/>
      <c r="I63" t="inlineStr"/>
      <c r="J63" t="inlineStr"/>
      <c r="K63" t="inlineStr"/>
      <c r="L63" t="inlineStr"/>
    </row>
    <row r="64">
      <c r="A64" t="n">
        <v>63</v>
      </c>
      <c r="B64" t="inlineStr"/>
      <c r="C64" t="inlineStr"/>
      <c r="D64" t="inlineStr"/>
      <c r="E64" t="inlineStr"/>
      <c r="F64" t="inlineStr"/>
      <c r="G64" t="inlineStr"/>
      <c r="H64" t="inlineStr"/>
      <c r="I64" t="inlineStr"/>
      <c r="J64" t="inlineStr"/>
      <c r="K64" t="inlineStr"/>
      <c r="L64" t="inlineStr"/>
    </row>
    <row r="65">
      <c r="A65" t="n">
        <v>64</v>
      </c>
      <c r="B65" t="inlineStr"/>
      <c r="C65" t="inlineStr"/>
      <c r="D65" t="inlineStr"/>
      <c r="E65" t="inlineStr"/>
      <c r="F65" t="inlineStr"/>
      <c r="G65" t="inlineStr"/>
      <c r="H65" t="inlineStr"/>
      <c r="I65" t="inlineStr"/>
      <c r="J65" t="inlineStr"/>
      <c r="K65" t="inlineStr"/>
      <c r="L65" t="inlineStr"/>
    </row>
    <row r="66">
      <c r="A66" t="n">
        <v>65</v>
      </c>
      <c r="B66" t="inlineStr"/>
      <c r="C66" t="inlineStr"/>
      <c r="D66" t="inlineStr"/>
      <c r="E66" t="inlineStr"/>
      <c r="F66" t="inlineStr"/>
      <c r="G66" t="inlineStr"/>
      <c r="H66" t="inlineStr"/>
      <c r="I66" t="inlineStr"/>
      <c r="J66" t="inlineStr"/>
      <c r="K66" t="inlineStr"/>
      <c r="L66" t="inlineStr"/>
    </row>
    <row r="67">
      <c r="A67" t="n">
        <v>66</v>
      </c>
      <c r="B67" t="inlineStr"/>
      <c r="C67" t="inlineStr"/>
      <c r="D67" t="inlineStr"/>
      <c r="E67" t="inlineStr"/>
      <c r="F67" t="inlineStr"/>
      <c r="G67" t="inlineStr"/>
      <c r="H67" t="inlineStr"/>
      <c r="I67" t="inlineStr"/>
      <c r="J67" t="inlineStr"/>
      <c r="K67" t="inlineStr"/>
      <c r="L67" t="inlineStr"/>
    </row>
    <row r="68">
      <c r="A68" t="n">
        <v>67</v>
      </c>
      <c r="B68" t="inlineStr"/>
      <c r="C68" t="inlineStr"/>
      <c r="D68" t="inlineStr"/>
      <c r="E68" t="inlineStr"/>
      <c r="F68" t="inlineStr"/>
      <c r="G68" t="inlineStr"/>
      <c r="H68" t="inlineStr"/>
      <c r="I68" t="inlineStr"/>
      <c r="J68" t="inlineStr"/>
      <c r="K68" t="inlineStr"/>
      <c r="L68" t="inlineStr"/>
    </row>
    <row r="69">
      <c r="A69" t="n">
        <v>68</v>
      </c>
      <c r="B69" t="inlineStr"/>
      <c r="C69" t="inlineStr"/>
      <c r="D69" t="inlineStr"/>
      <c r="E69" t="inlineStr"/>
      <c r="F69" t="inlineStr"/>
      <c r="G69" t="inlineStr"/>
      <c r="H69" t="inlineStr"/>
      <c r="I69" t="inlineStr"/>
      <c r="J69" t="inlineStr"/>
      <c r="K69" t="inlineStr"/>
      <c r="L69" t="inlineStr"/>
    </row>
    <row r="70">
      <c r="A70" t="n">
        <v>69</v>
      </c>
      <c r="B70" t="inlineStr"/>
      <c r="C70" t="inlineStr"/>
      <c r="D70" t="inlineStr"/>
      <c r="E70" t="inlineStr"/>
      <c r="F70" t="inlineStr"/>
      <c r="G70" t="inlineStr"/>
      <c r="H70" t="inlineStr"/>
      <c r="I70" t="inlineStr">
        <is>
          <t>Replaces Tragic Arrogance (adds draw/removal/wipe). Evidence: the card it replaces was cast in 80% of the games it was drawn; sat dead in hand 20% of the time; landed on turn 7.0 on average; the deck won 3% of games it was cast in.</t>
        </is>
      </c>
      <c r="J70" t="inlineStr">
        <is>
          <t>Replaces Farewell (adds removal/protection). Evidence: the card it replaces was cast in 75% of the games it was drawn; sat dead in hand 25% of the time; landed on turn 7.3 on average; the deck won 4% of games it was cast in.</t>
        </is>
      </c>
      <c r="K70" t="inlineStr">
        <is>
          <t>Replaces Tragic Arrogance (adds draw/removal/wipe). Evidence: the card it replaces was cast in 46% of the games it was drawn; sat dead in hand 54% of the time; landed on turn 8.1 on average; the deck won 7% of games it was cast in.</t>
        </is>
      </c>
      <c r="L70" t="inlineStr">
        <is>
          <t>Replaces Farewell (adds removal/protection). Evidence: the card it replaces was cast in 45% of the games it was drawn; sat dead in hand 55% of the time; landed on turn 8.3 on average; the deck won 6% of games it was cast in.</t>
        </is>
      </c>
    </row>
    <row r="71">
      <c r="A71" t="n">
        <v>70</v>
      </c>
      <c r="B71" t="inlineStr"/>
      <c r="C71" t="inlineStr"/>
      <c r="D71" t="inlineStr"/>
      <c r="E71" t="inlineStr"/>
      <c r="F71" t="inlineStr"/>
      <c r="G71" t="inlineStr"/>
      <c r="H71" t="inlineStr"/>
      <c r="I71" t="inlineStr"/>
      <c r="J71" t="inlineStr"/>
      <c r="K71" t="inlineStr"/>
      <c r="L71" t="inlineStr"/>
    </row>
    <row r="72">
      <c r="A72" t="n">
        <v>71</v>
      </c>
      <c r="B72" t="inlineStr"/>
      <c r="C72" t="inlineStr"/>
      <c r="D72" t="inlineStr"/>
      <c r="E72" t="inlineStr"/>
      <c r="F72" t="inlineStr"/>
      <c r="G72" t="inlineStr"/>
      <c r="H72" t="inlineStr"/>
      <c r="I72" t="inlineStr"/>
      <c r="J72" t="inlineStr"/>
      <c r="K72" t="inlineStr"/>
      <c r="L72" t="inlineStr"/>
    </row>
    <row r="73">
      <c r="A73" t="n">
        <v>72</v>
      </c>
      <c r="B73" t="inlineStr"/>
      <c r="C73" t="inlineStr"/>
      <c r="D73" t="inlineStr"/>
      <c r="E73" t="inlineStr"/>
      <c r="F73" t="inlineStr"/>
      <c r="G73" t="inlineStr"/>
      <c r="H73" t="inlineStr"/>
      <c r="I73" t="inlineStr"/>
      <c r="J73" t="inlineStr"/>
      <c r="K73" t="inlineStr"/>
      <c r="L73" t="inlineStr"/>
    </row>
    <row r="74">
      <c r="A74" t="n">
        <v>73</v>
      </c>
      <c r="B74" t="inlineStr"/>
      <c r="C74" t="inlineStr"/>
      <c r="D74" t="inlineStr"/>
      <c r="E74" t="inlineStr"/>
      <c r="F74" t="inlineStr"/>
      <c r="G74" t="inlineStr"/>
      <c r="H74" t="inlineStr"/>
      <c r="I74" t="inlineStr"/>
      <c r="J74" t="inlineStr"/>
      <c r="K74" t="inlineStr"/>
      <c r="L74" t="inlineStr"/>
    </row>
    <row r="75">
      <c r="A75" t="n">
        <v>74</v>
      </c>
      <c r="B75" t="inlineStr"/>
      <c r="C75" t="inlineStr"/>
      <c r="D75" t="inlineStr"/>
      <c r="E75" t="inlineStr"/>
      <c r="F75" t="inlineStr"/>
      <c r="G75" t="inlineStr"/>
      <c r="H75" t="inlineStr"/>
      <c r="I75" t="inlineStr"/>
      <c r="J75" t="inlineStr"/>
      <c r="K75" t="inlineStr"/>
      <c r="L75" t="inlineStr"/>
    </row>
    <row r="76">
      <c r="A76" t="n">
        <v>75</v>
      </c>
      <c r="B76" t="inlineStr"/>
      <c r="C76" t="inlineStr"/>
      <c r="D76" t="inlineStr"/>
      <c r="E76" t="inlineStr"/>
      <c r="F76" t="inlineStr"/>
      <c r="G76" t="inlineStr"/>
      <c r="H76" t="inlineStr"/>
      <c r="I76" t="inlineStr"/>
      <c r="J76" t="inlineStr"/>
      <c r="K76" t="inlineStr"/>
      <c r="L76" t="inlineStr"/>
    </row>
    <row r="77">
      <c r="A77" t="n">
        <v>76</v>
      </c>
      <c r="B77" t="inlineStr"/>
      <c r="C77" t="inlineStr"/>
      <c r="D77" t="inlineStr"/>
      <c r="E77" t="inlineStr"/>
      <c r="F77" t="inlineStr"/>
      <c r="G77" t="inlineStr"/>
      <c r="H77" t="inlineStr"/>
      <c r="I77" t="inlineStr"/>
      <c r="J77" t="inlineStr"/>
      <c r="K77" t="inlineStr"/>
      <c r="L77" t="inlineStr"/>
    </row>
    <row r="78">
      <c r="A78" t="n">
        <v>77</v>
      </c>
      <c r="B78" t="inlineStr"/>
      <c r="C78" t="inlineStr"/>
      <c r="D78" t="inlineStr"/>
      <c r="E78" t="inlineStr"/>
      <c r="F78" t="inlineStr"/>
      <c r="G78" t="inlineStr"/>
      <c r="H78" t="inlineStr"/>
      <c r="I78" t="inlineStr"/>
      <c r="J78" t="inlineStr"/>
      <c r="K78" t="inlineStr"/>
      <c r="L78" t="inlineStr"/>
    </row>
    <row r="79">
      <c r="A79" t="n">
        <v>78</v>
      </c>
      <c r="B79" t="inlineStr"/>
      <c r="C79" t="inlineStr"/>
      <c r="D79" t="inlineStr"/>
      <c r="E79" t="inlineStr"/>
      <c r="F79" t="inlineStr"/>
      <c r="G79" t="inlineStr"/>
      <c r="H79" t="inlineStr"/>
      <c r="I79" t="inlineStr"/>
      <c r="J79" t="inlineStr"/>
      <c r="K79" t="inlineStr"/>
      <c r="L79" t="inlineStr"/>
    </row>
    <row r="80">
      <c r="A80" t="n">
        <v>79</v>
      </c>
      <c r="B80" t="inlineStr"/>
      <c r="C80" t="inlineStr"/>
      <c r="D80" t="inlineStr"/>
      <c r="E80" t="inlineStr"/>
      <c r="F80" t="inlineStr"/>
      <c r="G80" t="inlineStr"/>
      <c r="H80" t="inlineStr"/>
      <c r="I80" t="inlineStr"/>
      <c r="J80" t="inlineStr">
        <is>
          <t>Replaces Sunforger (adds removal/protection/threat). Evidence: the card it replaces was cast in 88% of the games it was drawn; sat dead in hand 12% of the time; landed on turn 8.1 on average; the deck won 17% of games it was cast in.</t>
        </is>
      </c>
      <c r="K80" t="inlineStr"/>
      <c r="L80" t="inlineStr"/>
    </row>
    <row r="81">
      <c r="A81" t="n">
        <v>80</v>
      </c>
      <c r="B81" t="inlineStr"/>
      <c r="C81" t="inlineStr"/>
      <c r="D81" t="inlineStr"/>
      <c r="E81" t="inlineStr"/>
      <c r="F81" t="inlineStr"/>
      <c r="G81" t="inlineStr"/>
      <c r="H81" t="inlineStr"/>
      <c r="I81" t="inlineStr"/>
      <c r="J81" t="inlineStr"/>
      <c r="K81" t="inlineStr"/>
      <c r="L81" t="inlineStr"/>
    </row>
    <row r="82">
      <c r="A82" t="n">
        <v>81</v>
      </c>
      <c r="B82" t="inlineStr"/>
      <c r="C82" t="inlineStr"/>
      <c r="D82" t="inlineStr"/>
      <c r="E82" t="inlineStr"/>
      <c r="F82" t="inlineStr"/>
      <c r="G82" t="inlineStr"/>
      <c r="H82" t="inlineStr"/>
      <c r="I82" t="inlineStr"/>
      <c r="J82" t="inlineStr"/>
      <c r="K82" t="inlineStr"/>
      <c r="L82" t="inlineStr"/>
    </row>
    <row r="83">
      <c r="A83" t="n">
        <v>82</v>
      </c>
      <c r="B83" t="inlineStr"/>
      <c r="C83" t="inlineStr"/>
      <c r="D83" t="inlineStr"/>
      <c r="E83" t="inlineStr"/>
      <c r="F83" t="inlineStr"/>
      <c r="G83" t="inlineStr"/>
      <c r="H83" t="inlineStr"/>
      <c r="I83" t="inlineStr"/>
      <c r="J83" t="inlineStr"/>
      <c r="K83" t="inlineStr"/>
      <c r="L83" t="inlineStr"/>
    </row>
    <row r="84">
      <c r="A84" t="n">
        <v>83</v>
      </c>
      <c r="B84" t="inlineStr"/>
      <c r="C84" t="inlineStr"/>
      <c r="D84" t="inlineStr"/>
      <c r="E84" t="inlineStr"/>
      <c r="F84" t="inlineStr"/>
      <c r="G84" t="inlineStr"/>
      <c r="H84" t="inlineStr"/>
      <c r="I84" t="inlineStr"/>
      <c r="J84" t="inlineStr"/>
      <c r="K84" t="inlineStr"/>
      <c r="L84" t="inlineStr"/>
    </row>
    <row r="85">
      <c r="A85" t="n">
        <v>84</v>
      </c>
      <c r="B85" t="inlineStr"/>
      <c r="C85" t="inlineStr"/>
      <c r="D85" t="inlineStr"/>
      <c r="E85" t="inlineStr"/>
      <c r="F85" t="inlineStr"/>
      <c r="G85" t="inlineStr"/>
      <c r="H85" t="inlineStr"/>
      <c r="I85" t="inlineStr"/>
      <c r="J85" t="inlineStr"/>
      <c r="K85" t="inlineStr"/>
      <c r="L85" t="inlineStr"/>
    </row>
    <row r="86">
      <c r="A86" t="n">
        <v>85</v>
      </c>
      <c r="B86" t="inlineStr"/>
      <c r="C86" t="inlineStr"/>
      <c r="D86" t="inlineStr"/>
      <c r="E86" t="inlineStr"/>
      <c r="F86" t="inlineStr"/>
      <c r="G86" t="inlineStr"/>
      <c r="H86" t="inlineStr"/>
      <c r="I86" t="inlineStr"/>
      <c r="J86" t="inlineStr"/>
      <c r="K86" t="inlineStr"/>
      <c r="L86" t="inlineStr"/>
    </row>
    <row r="87">
      <c r="A87" t="n">
        <v>86</v>
      </c>
      <c r="B87" t="inlineStr"/>
      <c r="C87" t="inlineStr"/>
      <c r="D87" t="inlineStr"/>
      <c r="E87" t="inlineStr"/>
      <c r="F87" t="inlineStr"/>
      <c r="G87" t="inlineStr"/>
      <c r="H87" t="inlineStr"/>
      <c r="I87" t="inlineStr"/>
      <c r="J87" t="inlineStr"/>
      <c r="K87" t="inlineStr"/>
      <c r="L87" t="inlineStr"/>
    </row>
    <row r="88">
      <c r="A88" t="n">
        <v>87</v>
      </c>
      <c r="B88" t="inlineStr"/>
      <c r="C88" t="inlineStr"/>
      <c r="D88" t="inlineStr"/>
      <c r="E88" t="inlineStr"/>
      <c r="F88" t="inlineStr"/>
      <c r="G88" t="inlineStr"/>
      <c r="H88" t="inlineStr"/>
      <c r="I88" t="inlineStr"/>
      <c r="J88" t="inlineStr"/>
      <c r="K88" t="inlineStr"/>
      <c r="L88" t="inlineStr"/>
    </row>
    <row r="89">
      <c r="A89" t="n">
        <v>88</v>
      </c>
      <c r="B89" t="inlineStr"/>
      <c r="C89" t="inlineStr"/>
      <c r="D89" t="inlineStr"/>
      <c r="E89" t="inlineStr"/>
      <c r="F89" t="inlineStr"/>
      <c r="G89" t="inlineStr"/>
      <c r="H89" t="inlineStr"/>
      <c r="I89" t="inlineStr"/>
      <c r="J89" t="inlineStr"/>
      <c r="K89" t="inlineStr"/>
      <c r="L89" t="inlineStr"/>
    </row>
    <row r="90">
      <c r="A90" t="n">
        <v>89</v>
      </c>
      <c r="B90" t="inlineStr"/>
      <c r="C90" t="inlineStr"/>
      <c r="D90" t="inlineStr"/>
      <c r="E90" t="inlineStr"/>
      <c r="F90" t="inlineStr"/>
      <c r="G90" t="inlineStr"/>
      <c r="H90" t="inlineStr"/>
      <c r="I90" t="inlineStr"/>
      <c r="J90" t="inlineStr"/>
      <c r="K90" t="inlineStr"/>
      <c r="L90" t="inlineStr"/>
    </row>
    <row r="91">
      <c r="A91" t="n">
        <v>90</v>
      </c>
      <c r="B91" t="inlineStr"/>
      <c r="C91" t="inlineStr"/>
      <c r="D91" t="inlineStr"/>
      <c r="E91" t="inlineStr"/>
      <c r="F91" t="inlineStr"/>
      <c r="G91" t="inlineStr"/>
      <c r="H91" t="inlineStr"/>
      <c r="I91" t="inlineStr"/>
      <c r="J91" t="inlineStr"/>
      <c r="K91" t="inlineStr"/>
      <c r="L91" t="inlineStr"/>
    </row>
    <row r="92">
      <c r="A92" t="n">
        <v>91</v>
      </c>
      <c r="B92" t="inlineStr"/>
      <c r="C92" t="inlineStr"/>
      <c r="D92" t="inlineStr"/>
      <c r="E92" t="inlineStr"/>
      <c r="F92" t="inlineStr"/>
      <c r="G92" t="inlineStr"/>
      <c r="H92" t="inlineStr"/>
      <c r="I92" t="inlineStr"/>
      <c r="J92" t="inlineStr"/>
      <c r="K92" t="inlineStr"/>
      <c r="L92" t="inlineStr"/>
    </row>
    <row r="93">
      <c r="A93" t="n">
        <v>92</v>
      </c>
      <c r="B93" t="inlineStr"/>
      <c r="C93" t="inlineStr"/>
      <c r="D93" t="inlineStr"/>
      <c r="E93" t="inlineStr"/>
      <c r="F93" t="inlineStr"/>
      <c r="G93" t="inlineStr"/>
      <c r="H93" t="inlineStr"/>
      <c r="I93" t="inlineStr"/>
      <c r="J93" t="inlineStr"/>
      <c r="K93" t="inlineStr"/>
      <c r="L93" t="inlineStr"/>
    </row>
    <row r="94">
      <c r="A94" t="n">
        <v>93</v>
      </c>
      <c r="B94" t="inlineStr"/>
      <c r="C94" t="inlineStr"/>
      <c r="D94" t="inlineStr"/>
      <c r="E94" t="inlineStr"/>
      <c r="F94" t="inlineStr"/>
      <c r="G94" t="inlineStr"/>
      <c r="H94" t="inlineStr"/>
      <c r="I94" t="inlineStr"/>
      <c r="J94" t="inlineStr"/>
      <c r="K94" t="inlineStr"/>
      <c r="L94" t="inlineStr"/>
    </row>
    <row r="95">
      <c r="A95" t="n">
        <v>94</v>
      </c>
      <c r="B95" t="inlineStr"/>
      <c r="C95" t="inlineStr"/>
      <c r="D95" t="inlineStr"/>
      <c r="E95" t="inlineStr"/>
      <c r="F95" t="inlineStr"/>
      <c r="G95" t="inlineStr"/>
      <c r="H95" t="inlineStr"/>
      <c r="I95" t="inlineStr"/>
      <c r="J95" t="inlineStr"/>
      <c r="K95" t="inlineStr"/>
      <c r="L95" t="inlineStr"/>
    </row>
    <row r="96">
      <c r="A96" t="n">
        <v>95</v>
      </c>
      <c r="B96" t="inlineStr"/>
      <c r="C96" t="inlineStr"/>
      <c r="D96" t="inlineStr"/>
      <c r="E96" t="inlineStr"/>
      <c r="F96" t="inlineStr"/>
      <c r="G96" t="inlineStr"/>
      <c r="H96" t="inlineStr"/>
      <c r="I96" t="inlineStr"/>
      <c r="J96" t="inlineStr"/>
      <c r="K96" t="inlineStr"/>
      <c r="L96" t="inlineStr"/>
    </row>
    <row r="97">
      <c r="A97" t="n">
        <v>96</v>
      </c>
      <c r="B97" t="inlineStr"/>
      <c r="C97" t="inlineStr"/>
      <c r="D97" t="inlineStr"/>
      <c r="E97" t="inlineStr"/>
      <c r="F97" t="inlineStr"/>
      <c r="G97" t="inlineStr"/>
      <c r="H97" t="inlineStr"/>
      <c r="I97" t="inlineStr"/>
      <c r="J97" t="inlineStr"/>
      <c r="K97" t="inlineStr"/>
      <c r="L97" t="inlineStr"/>
    </row>
    <row r="98">
      <c r="A98" t="n">
        <v>97</v>
      </c>
      <c r="B98" t="inlineStr"/>
      <c r="C98" t="inlineStr"/>
      <c r="D98" t="inlineStr"/>
      <c r="E98" t="inlineStr"/>
      <c r="F98" t="inlineStr"/>
      <c r="G98" t="inlineStr"/>
      <c r="H98" t="inlineStr"/>
      <c r="I98" t="inlineStr"/>
      <c r="J98" t="inlineStr"/>
      <c r="K98" t="inlineStr"/>
      <c r="L98" t="inlineStr"/>
    </row>
    <row r="99">
      <c r="A99" t="n">
        <v>98</v>
      </c>
      <c r="B99" t="inlineStr"/>
      <c r="C99" t="inlineStr"/>
      <c r="D99" t="inlineStr"/>
      <c r="E99" t="inlineStr"/>
      <c r="F99" t="inlineStr"/>
      <c r="G99" t="inlineStr"/>
      <c r="H99" t="inlineStr"/>
      <c r="I99" t="inlineStr"/>
      <c r="J99" t="inlineStr"/>
      <c r="K99" t="inlineStr"/>
      <c r="L99" t="inlineStr"/>
    </row>
    <row r="100">
      <c r="A100" t="n">
        <v>99</v>
      </c>
      <c r="B100" t="inlineStr"/>
      <c r="C100" t="inlineStr"/>
      <c r="D100" t="inlineStr"/>
      <c r="E100" t="inlineStr"/>
      <c r="F100" t="inlineStr"/>
      <c r="G100" t="inlineStr"/>
      <c r="H100" t="inlineStr"/>
      <c r="I100" t="inlineStr"/>
      <c r="J100" t="inlineStr"/>
      <c r="K100" t="inlineStr"/>
      <c r="L100" t="inlineStr"/>
    </row>
    <row r="101">
      <c r="A101" t="n">
        <v>100</v>
      </c>
      <c r="B101" t="inlineStr"/>
      <c r="C101" t="inlineStr"/>
      <c r="D101" t="inlineStr"/>
      <c r="E101" t="inlineStr"/>
      <c r="F101" t="inlineStr"/>
      <c r="G101" t="inlineStr"/>
      <c r="H101" t="inlineStr"/>
      <c r="I101" t="inlineStr"/>
      <c r="J101" t="inlineStr"/>
      <c r="K101" t="inlineStr"/>
      <c r="L10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N10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14" customWidth="1" min="11" max="11"/>
    <col width="27" customWidth="1" min="12" max="12"/>
    <col width="10" customWidth="1" min="13" max="13"/>
    <col width="90" customWidth="1" min="14" max="14"/>
  </cols>
  <sheetData>
    <row r="1">
      <c r="A1" s="3" t="inlineStr">
        <is>
          <t>Sultai ETB Doubling — Yarok, the Desecrated</t>
        </is>
      </c>
    </row>
    <row r="2">
      <c r="A2" s="2" t="inlineStr">
        <is>
          <t>Deck slot 6 · variant 6f · 100 lineup slots</t>
        </is>
      </c>
    </row>
    <row r="4">
      <c r="B4" s="24" t="inlineStr">
        <is>
          <t>Site ladder — as published</t>
        </is>
      </c>
      <c r="F4" s="25" t="inlineStr">
        <is>
          <t>Simulation-improved (Monte Carlo)</t>
        </is>
      </c>
      <c r="I4" s="26" t="inlineStr">
        <is>
          <t>Fun-weighted engine v2.1</t>
        </is>
      </c>
    </row>
    <row r="5">
      <c r="A5" s="12" t="inlineStr">
        <is>
          <t>Slot</t>
        </is>
      </c>
      <c r="B5" s="12" t="inlineStr">
        <is>
          <t>Base</t>
        </is>
      </c>
      <c r="C5" s="12" t="inlineStr">
        <is>
          <t>Tuned</t>
        </is>
      </c>
      <c r="D5" s="12" t="inlineStr">
        <is>
          <t>Enhance</t>
        </is>
      </c>
      <c r="E5" s="12" t="inlineStr">
        <is>
          <t>Max</t>
        </is>
      </c>
      <c r="F5" s="12" t="inlineStr">
        <is>
          <t>Tuned-2</t>
        </is>
      </c>
      <c r="G5" s="12" t="inlineStr">
        <is>
          <t>Enhance-2</t>
        </is>
      </c>
      <c r="H5" s="12" t="inlineStr">
        <is>
          <t>Max-2</t>
        </is>
      </c>
      <c r="I5" s="12" t="inlineStr">
        <is>
          <t>Fun Tuned</t>
        </is>
      </c>
      <c r="J5" s="12" t="inlineStr">
        <is>
          <t>Fun Max</t>
        </is>
      </c>
      <c r="K5" s="12" t="inlineStr">
        <is>
          <t>FINAL PICK</t>
        </is>
      </c>
      <c r="L5" s="12" t="inlineStr">
        <is>
          <t>Final card</t>
        </is>
      </c>
      <c r="M5" s="12" t="inlineStr">
        <is>
          <t>Price</t>
        </is>
      </c>
      <c r="N5" s="12" t="inlineStr">
        <is>
          <t>Why this card moved</t>
        </is>
      </c>
    </row>
    <row r="6">
      <c r="A6" s="28" t="n">
        <v>1</v>
      </c>
      <c r="B6" s="13" t="inlineStr">
        <is>
          <t>Yarok, the Desecrated</t>
        </is>
      </c>
      <c r="C6" s="13" t="inlineStr">
        <is>
          <t>Yarok, the Desecrated</t>
        </is>
      </c>
      <c r="D6" s="13" t="inlineStr">
        <is>
          <t>Yarok, the Desecrated</t>
        </is>
      </c>
      <c r="E6" s="13" t="inlineStr">
        <is>
          <t>Yarok, the Desecrated</t>
        </is>
      </c>
      <c r="F6" s="13" t="inlineStr">
        <is>
          <t>Yarok, the Desecrated</t>
        </is>
      </c>
      <c r="G6" s="13" t="inlineStr">
        <is>
          <t>Yarok, the Desecrated</t>
        </is>
      </c>
      <c r="H6" s="13" t="inlineStr">
        <is>
          <t>Yarok, the Desecrated</t>
        </is>
      </c>
      <c r="I6" s="13" t="inlineStr">
        <is>
          <t>Yarok, the Desecrated</t>
        </is>
      </c>
      <c r="J6" s="13" t="inlineStr">
        <is>
          <t>Yarok, the Desecrated</t>
        </is>
      </c>
      <c r="K6" s="30" t="inlineStr">
        <is>
          <t>Fun Max</t>
        </is>
      </c>
      <c r="L6" s="31">
        <f>INDEX(B6:J6,MATCH(K6,$B$5:$J$5,0))</f>
        <v/>
      </c>
      <c r="M6" s="22">
        <f>IFERROR(VLOOKUP(L6,Prices!$A:$B,2,FALSE),0)</f>
        <v/>
      </c>
      <c r="N6" s="32">
        <f>IFERROR(INDEX('_why_6f'!$B2:$J2,MATCH(K6,$B$5:$J$5,0)),"")</f>
        <v/>
      </c>
    </row>
    <row r="7">
      <c r="A7" s="28" t="n">
        <v>2</v>
      </c>
      <c r="B7" s="33" t="inlineStr">
        <is>
          <t>Island</t>
        </is>
      </c>
      <c r="C7" s="33" t="inlineStr">
        <is>
          <t>Island</t>
        </is>
      </c>
      <c r="D7" s="33" t="inlineStr">
        <is>
          <t>Island</t>
        </is>
      </c>
      <c r="E7" s="33" t="inlineStr">
        <is>
          <t>Island</t>
        </is>
      </c>
      <c r="F7" s="33" t="inlineStr">
        <is>
          <t>Island</t>
        </is>
      </c>
      <c r="G7" s="33" t="inlineStr">
        <is>
          <t>Island</t>
        </is>
      </c>
      <c r="H7" s="33" t="inlineStr">
        <is>
          <t>Island</t>
        </is>
      </c>
      <c r="I7" s="33" t="inlineStr">
        <is>
          <t>Island</t>
        </is>
      </c>
      <c r="J7" s="33" t="inlineStr">
        <is>
          <t>Island</t>
        </is>
      </c>
      <c r="K7" s="30" t="inlineStr">
        <is>
          <t>Fun Max</t>
        </is>
      </c>
      <c r="L7" s="31">
        <f>INDEX(B7:J7,MATCH(K7,$B$5:$J$5,0))</f>
        <v/>
      </c>
      <c r="M7" s="22">
        <f>IFERROR(VLOOKUP(L7,Prices!$A:$B,2,FALSE),0)</f>
        <v/>
      </c>
      <c r="N7" s="32">
        <f>IFERROR(INDEX('_why_6f'!$B3:$J3,MATCH(K7,$B$5:$J$5,0)),"")</f>
        <v/>
      </c>
    </row>
    <row r="8">
      <c r="A8" s="28" t="n">
        <v>3</v>
      </c>
      <c r="B8" s="13" t="inlineStr">
        <is>
          <t>Island</t>
        </is>
      </c>
      <c r="C8" s="13" t="inlineStr">
        <is>
          <t>Island</t>
        </is>
      </c>
      <c r="D8" s="13" t="inlineStr">
        <is>
          <t>Island</t>
        </is>
      </c>
      <c r="E8" s="13" t="inlineStr">
        <is>
          <t>Island</t>
        </is>
      </c>
      <c r="F8" s="13" t="inlineStr">
        <is>
          <t>Island</t>
        </is>
      </c>
      <c r="G8" s="13" t="inlineStr">
        <is>
          <t>Island</t>
        </is>
      </c>
      <c r="H8" s="13" t="inlineStr">
        <is>
          <t>Island</t>
        </is>
      </c>
      <c r="I8" s="13" t="inlineStr">
        <is>
          <t>Island</t>
        </is>
      </c>
      <c r="J8" s="13" t="inlineStr">
        <is>
          <t>Island</t>
        </is>
      </c>
      <c r="K8" s="30" t="inlineStr">
        <is>
          <t>Fun Max</t>
        </is>
      </c>
      <c r="L8" s="31">
        <f>INDEX(B8:J8,MATCH(K8,$B$5:$J$5,0))</f>
        <v/>
      </c>
      <c r="M8" s="22">
        <f>IFERROR(VLOOKUP(L8,Prices!$A:$B,2,FALSE),0)</f>
        <v/>
      </c>
      <c r="N8" s="32">
        <f>IFERROR(INDEX('_why_6f'!$B4:$J4,MATCH(K8,$B$5:$J$5,0)),"")</f>
        <v/>
      </c>
    </row>
    <row r="9">
      <c r="A9" s="28" t="n">
        <v>4</v>
      </c>
      <c r="B9" s="33" t="inlineStr">
        <is>
          <t>Island</t>
        </is>
      </c>
      <c r="C9" s="33" t="inlineStr">
        <is>
          <t>Island</t>
        </is>
      </c>
      <c r="D9" s="33" t="inlineStr">
        <is>
          <t>Island</t>
        </is>
      </c>
      <c r="E9" s="33" t="inlineStr">
        <is>
          <t>Island</t>
        </is>
      </c>
      <c r="F9" s="33" t="inlineStr">
        <is>
          <t>Island</t>
        </is>
      </c>
      <c r="G9" s="33" t="inlineStr">
        <is>
          <t>Island</t>
        </is>
      </c>
      <c r="H9" s="33" t="inlineStr">
        <is>
          <t>Island</t>
        </is>
      </c>
      <c r="I9" s="33" t="inlineStr">
        <is>
          <t>Island</t>
        </is>
      </c>
      <c r="J9" s="33" t="inlineStr">
        <is>
          <t>Island</t>
        </is>
      </c>
      <c r="K9" s="30" t="inlineStr">
        <is>
          <t>Fun Max</t>
        </is>
      </c>
      <c r="L9" s="31">
        <f>INDEX(B9:J9,MATCH(K9,$B$5:$J$5,0))</f>
        <v/>
      </c>
      <c r="M9" s="22">
        <f>IFERROR(VLOOKUP(L9,Prices!$A:$B,2,FALSE),0)</f>
        <v/>
      </c>
      <c r="N9" s="32">
        <f>IFERROR(INDEX('_why_6f'!$B5:$J5,MATCH(K9,$B$5:$J$5,0)),"")</f>
        <v/>
      </c>
    </row>
    <row r="10">
      <c r="A10" s="28" t="n">
        <v>5</v>
      </c>
      <c r="B10" s="13" t="inlineStr">
        <is>
          <t>Island</t>
        </is>
      </c>
      <c r="C10" s="13" t="inlineStr">
        <is>
          <t>Island</t>
        </is>
      </c>
      <c r="D10" s="13" t="inlineStr">
        <is>
          <t>Island</t>
        </is>
      </c>
      <c r="E10" s="13" t="inlineStr">
        <is>
          <t>Island</t>
        </is>
      </c>
      <c r="F10" s="13" t="inlineStr">
        <is>
          <t>Island</t>
        </is>
      </c>
      <c r="G10" s="13" t="inlineStr">
        <is>
          <t>Island</t>
        </is>
      </c>
      <c r="H10" s="13" t="inlineStr">
        <is>
          <t>Island</t>
        </is>
      </c>
      <c r="I10" s="13" t="inlineStr">
        <is>
          <t>Island</t>
        </is>
      </c>
      <c r="J10" s="13" t="inlineStr">
        <is>
          <t>Island</t>
        </is>
      </c>
      <c r="K10" s="30" t="inlineStr">
        <is>
          <t>Fun Max</t>
        </is>
      </c>
      <c r="L10" s="31">
        <f>INDEX(B10:J10,MATCH(K10,$B$5:$J$5,0))</f>
        <v/>
      </c>
      <c r="M10" s="22">
        <f>IFERROR(VLOOKUP(L10,Prices!$A:$B,2,FALSE),0)</f>
        <v/>
      </c>
      <c r="N10" s="32">
        <f>IFERROR(INDEX('_why_6f'!$B6:$J6,MATCH(K10,$B$5:$J$5,0)),"")</f>
        <v/>
      </c>
    </row>
    <row r="11">
      <c r="A11" s="28" t="n">
        <v>6</v>
      </c>
      <c r="B11" s="33" t="inlineStr">
        <is>
          <t>Island</t>
        </is>
      </c>
      <c r="C11" s="33" t="inlineStr">
        <is>
          <t>Island</t>
        </is>
      </c>
      <c r="D11" s="33" t="inlineStr">
        <is>
          <t>Island</t>
        </is>
      </c>
      <c r="E11" s="33" t="inlineStr">
        <is>
          <t>Island</t>
        </is>
      </c>
      <c r="F11" s="33" t="inlineStr">
        <is>
          <t>Island</t>
        </is>
      </c>
      <c r="G11" s="33" t="inlineStr">
        <is>
          <t>Island</t>
        </is>
      </c>
      <c r="H11" s="33" t="inlineStr">
        <is>
          <t>Island</t>
        </is>
      </c>
      <c r="I11" s="33" t="inlineStr">
        <is>
          <t>Island</t>
        </is>
      </c>
      <c r="J11" s="33" t="inlineStr">
        <is>
          <t>Island</t>
        </is>
      </c>
      <c r="K11" s="30" t="inlineStr">
        <is>
          <t>Fun Max</t>
        </is>
      </c>
      <c r="L11" s="31">
        <f>INDEX(B11:J11,MATCH(K11,$B$5:$J$5,0))</f>
        <v/>
      </c>
      <c r="M11" s="22">
        <f>IFERROR(VLOOKUP(L11,Prices!$A:$B,2,FALSE),0)</f>
        <v/>
      </c>
      <c r="N11" s="32">
        <f>IFERROR(INDEX('_why_6f'!$B7:$J7,MATCH(K11,$B$5:$J$5,0)),"")</f>
        <v/>
      </c>
    </row>
    <row r="12">
      <c r="A12" s="28" t="n">
        <v>7</v>
      </c>
      <c r="B12" s="13" t="inlineStr">
        <is>
          <t>Island</t>
        </is>
      </c>
      <c r="C12" s="13" t="inlineStr">
        <is>
          <t>Island</t>
        </is>
      </c>
      <c r="D12" s="13" t="inlineStr">
        <is>
          <t>Island</t>
        </is>
      </c>
      <c r="E12" s="13" t="inlineStr">
        <is>
          <t>Island</t>
        </is>
      </c>
      <c r="F12" s="13" t="inlineStr">
        <is>
          <t>Island</t>
        </is>
      </c>
      <c r="G12" s="13" t="inlineStr">
        <is>
          <t>Island</t>
        </is>
      </c>
      <c r="H12" s="13" t="inlineStr">
        <is>
          <t>Island</t>
        </is>
      </c>
      <c r="I12" s="13" t="inlineStr">
        <is>
          <t>Island</t>
        </is>
      </c>
      <c r="J12" s="13" t="inlineStr">
        <is>
          <t>Island</t>
        </is>
      </c>
      <c r="K12" s="30" t="inlineStr">
        <is>
          <t>Fun Max</t>
        </is>
      </c>
      <c r="L12" s="31">
        <f>INDEX(B12:J12,MATCH(K12,$B$5:$J$5,0))</f>
        <v/>
      </c>
      <c r="M12" s="22">
        <f>IFERROR(VLOOKUP(L12,Prices!$A:$B,2,FALSE),0)</f>
        <v/>
      </c>
      <c r="N12" s="32">
        <f>IFERROR(INDEX('_why_6f'!$B8:$J8,MATCH(K12,$B$5:$J$5,0)),"")</f>
        <v/>
      </c>
    </row>
    <row r="13">
      <c r="A13" s="28" t="n">
        <v>8</v>
      </c>
      <c r="B13" s="33" t="inlineStr">
        <is>
          <t>Island</t>
        </is>
      </c>
      <c r="C13" s="33" t="inlineStr">
        <is>
          <t>Island</t>
        </is>
      </c>
      <c r="D13" s="33" t="inlineStr">
        <is>
          <t>Island</t>
        </is>
      </c>
      <c r="E13" s="33" t="inlineStr">
        <is>
          <t>Island</t>
        </is>
      </c>
      <c r="F13" s="33" t="inlineStr">
        <is>
          <t>Island</t>
        </is>
      </c>
      <c r="G13" s="33" t="inlineStr">
        <is>
          <t>Island</t>
        </is>
      </c>
      <c r="H13" s="33" t="inlineStr">
        <is>
          <t>Island</t>
        </is>
      </c>
      <c r="I13" s="33" t="inlineStr">
        <is>
          <t>Island</t>
        </is>
      </c>
      <c r="J13" s="33" t="inlineStr">
        <is>
          <t>Island</t>
        </is>
      </c>
      <c r="K13" s="30" t="inlineStr">
        <is>
          <t>Fun Max</t>
        </is>
      </c>
      <c r="L13" s="31">
        <f>INDEX(B13:J13,MATCH(K13,$B$5:$J$5,0))</f>
        <v/>
      </c>
      <c r="M13" s="22">
        <f>IFERROR(VLOOKUP(L13,Prices!$A:$B,2,FALSE),0)</f>
        <v/>
      </c>
      <c r="N13" s="32">
        <f>IFERROR(INDEX('_why_6f'!$B9:$J9,MATCH(K13,$B$5:$J$5,0)),"")</f>
        <v/>
      </c>
    </row>
    <row r="14">
      <c r="A14" s="28" t="n">
        <v>9</v>
      </c>
      <c r="B14" s="13" t="inlineStr">
        <is>
          <t>Island</t>
        </is>
      </c>
      <c r="C14" s="13" t="inlineStr">
        <is>
          <t>Island</t>
        </is>
      </c>
      <c r="D14" s="13" t="inlineStr">
        <is>
          <t>Island</t>
        </is>
      </c>
      <c r="E14" s="13" t="inlineStr">
        <is>
          <t>Island</t>
        </is>
      </c>
      <c r="F14" s="13" t="inlineStr">
        <is>
          <t>Island</t>
        </is>
      </c>
      <c r="G14" s="13" t="inlineStr">
        <is>
          <t>Island</t>
        </is>
      </c>
      <c r="H14" s="13" t="inlineStr">
        <is>
          <t>Island</t>
        </is>
      </c>
      <c r="I14" s="13" t="inlineStr">
        <is>
          <t>Island</t>
        </is>
      </c>
      <c r="J14" s="13" t="inlineStr">
        <is>
          <t>Island</t>
        </is>
      </c>
      <c r="K14" s="30" t="inlineStr">
        <is>
          <t>Fun Max</t>
        </is>
      </c>
      <c r="L14" s="31">
        <f>INDEX(B14:J14,MATCH(K14,$B$5:$J$5,0))</f>
        <v/>
      </c>
      <c r="M14" s="22">
        <f>IFERROR(VLOOKUP(L14,Prices!$A:$B,2,FALSE),0)</f>
        <v/>
      </c>
      <c r="N14" s="32">
        <f>IFERROR(INDEX('_why_6f'!$B10:$J10,MATCH(K14,$B$5:$J$5,0)),"")</f>
        <v/>
      </c>
    </row>
    <row r="15">
      <c r="A15" s="28" t="n">
        <v>10</v>
      </c>
      <c r="B15" s="33" t="inlineStr">
        <is>
          <t>Island</t>
        </is>
      </c>
      <c r="C15" s="33" t="inlineStr">
        <is>
          <t>Island</t>
        </is>
      </c>
      <c r="D15" s="33" t="inlineStr">
        <is>
          <t>Island</t>
        </is>
      </c>
      <c r="E15" s="33" t="inlineStr">
        <is>
          <t>Island</t>
        </is>
      </c>
      <c r="F15" s="33" t="inlineStr">
        <is>
          <t>Island</t>
        </is>
      </c>
      <c r="G15" s="33" t="inlineStr">
        <is>
          <t>Island</t>
        </is>
      </c>
      <c r="H15" s="33" t="inlineStr">
        <is>
          <t>Island</t>
        </is>
      </c>
      <c r="I15" s="33" t="inlineStr">
        <is>
          <t>Island</t>
        </is>
      </c>
      <c r="J15" s="33" t="inlineStr">
        <is>
          <t>Island</t>
        </is>
      </c>
      <c r="K15" s="30" t="inlineStr">
        <is>
          <t>Fun Max</t>
        </is>
      </c>
      <c r="L15" s="31">
        <f>INDEX(B15:J15,MATCH(K15,$B$5:$J$5,0))</f>
        <v/>
      </c>
      <c r="M15" s="22">
        <f>IFERROR(VLOOKUP(L15,Prices!$A:$B,2,FALSE),0)</f>
        <v/>
      </c>
      <c r="N15" s="32">
        <f>IFERROR(INDEX('_why_6f'!$B11:$J11,MATCH(K15,$B$5:$J$5,0)),"")</f>
        <v/>
      </c>
    </row>
    <row r="16">
      <c r="A16" s="28" t="n">
        <v>11</v>
      </c>
      <c r="B16" s="13" t="inlineStr">
        <is>
          <t>Island</t>
        </is>
      </c>
      <c r="C16" s="13" t="inlineStr">
        <is>
          <t>Island</t>
        </is>
      </c>
      <c r="D16" s="13" t="inlineStr">
        <is>
          <t>Island</t>
        </is>
      </c>
      <c r="E16" s="13" t="inlineStr">
        <is>
          <t>Island</t>
        </is>
      </c>
      <c r="F16" s="13" t="inlineStr">
        <is>
          <t>Island</t>
        </is>
      </c>
      <c r="G16" s="13" t="inlineStr">
        <is>
          <t>Island</t>
        </is>
      </c>
      <c r="H16" s="13" t="inlineStr">
        <is>
          <t>Island</t>
        </is>
      </c>
      <c r="I16" s="13" t="inlineStr">
        <is>
          <t>Island</t>
        </is>
      </c>
      <c r="J16" s="13" t="inlineStr">
        <is>
          <t>Island</t>
        </is>
      </c>
      <c r="K16" s="30" t="inlineStr">
        <is>
          <t>Fun Max</t>
        </is>
      </c>
      <c r="L16" s="31">
        <f>INDEX(B16:J16,MATCH(K16,$B$5:$J$5,0))</f>
        <v/>
      </c>
      <c r="M16" s="22">
        <f>IFERROR(VLOOKUP(L16,Prices!$A:$B,2,FALSE),0)</f>
        <v/>
      </c>
      <c r="N16" s="32">
        <f>IFERROR(INDEX('_why_6f'!$B12:$J12,MATCH(K16,$B$5:$J$5,0)),"")</f>
        <v/>
      </c>
    </row>
    <row r="17">
      <c r="A17" s="28" t="n">
        <v>12</v>
      </c>
      <c r="B17" s="33" t="inlineStr">
        <is>
          <t>Island</t>
        </is>
      </c>
      <c r="C17" s="33" t="inlineStr">
        <is>
          <t>Island</t>
        </is>
      </c>
      <c r="D17" s="33" t="inlineStr">
        <is>
          <t>Island</t>
        </is>
      </c>
      <c r="E17" s="33" t="inlineStr">
        <is>
          <t>Island</t>
        </is>
      </c>
      <c r="F17" s="33" t="inlineStr">
        <is>
          <t>Island</t>
        </is>
      </c>
      <c r="G17" s="33" t="inlineStr">
        <is>
          <t>Island</t>
        </is>
      </c>
      <c r="H17" s="33" t="inlineStr">
        <is>
          <t>Island</t>
        </is>
      </c>
      <c r="I17" s="33" t="inlineStr">
        <is>
          <t>Island</t>
        </is>
      </c>
      <c r="J17" s="33" t="inlineStr">
        <is>
          <t>Island</t>
        </is>
      </c>
      <c r="K17" s="30" t="inlineStr">
        <is>
          <t>Fun Max</t>
        </is>
      </c>
      <c r="L17" s="31">
        <f>INDEX(B17:J17,MATCH(K17,$B$5:$J$5,0))</f>
        <v/>
      </c>
      <c r="M17" s="22">
        <f>IFERROR(VLOOKUP(L17,Prices!$A:$B,2,FALSE),0)</f>
        <v/>
      </c>
      <c r="N17" s="32">
        <f>IFERROR(INDEX('_why_6f'!$B13:$J13,MATCH(K17,$B$5:$J$5,0)),"")</f>
        <v/>
      </c>
    </row>
    <row r="18">
      <c r="A18" s="28" t="n">
        <v>13</v>
      </c>
      <c r="B18" s="13" t="inlineStr">
        <is>
          <t>Island</t>
        </is>
      </c>
      <c r="C18" s="13" t="inlineStr">
        <is>
          <t>Island</t>
        </is>
      </c>
      <c r="D18" s="13" t="inlineStr">
        <is>
          <t>Island</t>
        </is>
      </c>
      <c r="E18" s="13" t="inlineStr">
        <is>
          <t>Island</t>
        </is>
      </c>
      <c r="F18" s="13" t="inlineStr">
        <is>
          <t>Island</t>
        </is>
      </c>
      <c r="G18" s="13" t="inlineStr">
        <is>
          <t>Island</t>
        </is>
      </c>
      <c r="H18" s="13" t="inlineStr">
        <is>
          <t>Island</t>
        </is>
      </c>
      <c r="I18" s="13" t="inlineStr">
        <is>
          <t>Island</t>
        </is>
      </c>
      <c r="J18" s="13" t="inlineStr">
        <is>
          <t>Island</t>
        </is>
      </c>
      <c r="K18" s="30" t="inlineStr">
        <is>
          <t>Fun Max</t>
        </is>
      </c>
      <c r="L18" s="31">
        <f>INDEX(B18:J18,MATCH(K18,$B$5:$J$5,0))</f>
        <v/>
      </c>
      <c r="M18" s="22">
        <f>IFERROR(VLOOKUP(L18,Prices!$A:$B,2,FALSE),0)</f>
        <v/>
      </c>
      <c r="N18" s="32">
        <f>IFERROR(INDEX('_why_6f'!$B14:$J14,MATCH(K18,$B$5:$J$5,0)),"")</f>
        <v/>
      </c>
    </row>
    <row r="19">
      <c r="A19" s="28" t="n">
        <v>14</v>
      </c>
      <c r="B19" s="33" t="inlineStr">
        <is>
          <t>Swamp</t>
        </is>
      </c>
      <c r="C19" s="33" t="inlineStr">
        <is>
          <t>Swamp</t>
        </is>
      </c>
      <c r="D19" s="33" t="inlineStr">
        <is>
          <t>Swamp</t>
        </is>
      </c>
      <c r="E19" s="33" t="inlineStr">
        <is>
          <t>Swamp</t>
        </is>
      </c>
      <c r="F19" s="33" t="inlineStr">
        <is>
          <t>Swamp</t>
        </is>
      </c>
      <c r="G19" s="33" t="inlineStr">
        <is>
          <t>Swamp</t>
        </is>
      </c>
      <c r="H19" s="33" t="inlineStr">
        <is>
          <t>Swamp</t>
        </is>
      </c>
      <c r="I19" s="33" t="inlineStr">
        <is>
          <t>Swamp</t>
        </is>
      </c>
      <c r="J19" s="33" t="inlineStr">
        <is>
          <t>Swamp</t>
        </is>
      </c>
      <c r="K19" s="30" t="inlineStr">
        <is>
          <t>Fun Max</t>
        </is>
      </c>
      <c r="L19" s="31">
        <f>INDEX(B19:J19,MATCH(K19,$B$5:$J$5,0))</f>
        <v/>
      </c>
      <c r="M19" s="22">
        <f>IFERROR(VLOOKUP(L19,Prices!$A:$B,2,FALSE),0)</f>
        <v/>
      </c>
      <c r="N19" s="32">
        <f>IFERROR(INDEX('_why_6f'!$B15:$J15,MATCH(K19,$B$5:$J$5,0)),"")</f>
        <v/>
      </c>
    </row>
    <row r="20">
      <c r="A20" s="28" t="n">
        <v>15</v>
      </c>
      <c r="B20" s="13" t="inlineStr">
        <is>
          <t>Swamp</t>
        </is>
      </c>
      <c r="C20" s="13" t="inlineStr">
        <is>
          <t>Swamp</t>
        </is>
      </c>
      <c r="D20" s="13" t="inlineStr">
        <is>
          <t>Swamp</t>
        </is>
      </c>
      <c r="E20" s="13" t="inlineStr">
        <is>
          <t>Swamp</t>
        </is>
      </c>
      <c r="F20" s="13" t="inlineStr">
        <is>
          <t>Swamp</t>
        </is>
      </c>
      <c r="G20" s="13" t="inlineStr">
        <is>
          <t>Swamp</t>
        </is>
      </c>
      <c r="H20" s="13" t="inlineStr">
        <is>
          <t>Swamp</t>
        </is>
      </c>
      <c r="I20" s="13" t="inlineStr">
        <is>
          <t>Swamp</t>
        </is>
      </c>
      <c r="J20" s="13" t="inlineStr">
        <is>
          <t>Swamp</t>
        </is>
      </c>
      <c r="K20" s="30" t="inlineStr">
        <is>
          <t>Fun Max</t>
        </is>
      </c>
      <c r="L20" s="31">
        <f>INDEX(B20:J20,MATCH(K20,$B$5:$J$5,0))</f>
        <v/>
      </c>
      <c r="M20" s="22">
        <f>IFERROR(VLOOKUP(L20,Prices!$A:$B,2,FALSE),0)</f>
        <v/>
      </c>
      <c r="N20" s="32">
        <f>IFERROR(INDEX('_why_6f'!$B16:$J16,MATCH(K20,$B$5:$J$5,0)),"")</f>
        <v/>
      </c>
    </row>
    <row r="21">
      <c r="A21" s="28" t="n">
        <v>16</v>
      </c>
      <c r="B21" s="33" t="inlineStr">
        <is>
          <t>Swamp</t>
        </is>
      </c>
      <c r="C21" s="33" t="inlineStr">
        <is>
          <t>Swamp</t>
        </is>
      </c>
      <c r="D21" s="33" t="inlineStr">
        <is>
          <t>Swamp</t>
        </is>
      </c>
      <c r="E21" s="33" t="inlineStr">
        <is>
          <t>Swamp</t>
        </is>
      </c>
      <c r="F21" s="33" t="inlineStr">
        <is>
          <t>Swamp</t>
        </is>
      </c>
      <c r="G21" s="33" t="inlineStr">
        <is>
          <t>Swamp</t>
        </is>
      </c>
      <c r="H21" s="33" t="inlineStr">
        <is>
          <t>Swamp</t>
        </is>
      </c>
      <c r="I21" s="33" t="inlineStr">
        <is>
          <t>Swamp</t>
        </is>
      </c>
      <c r="J21" s="33" t="inlineStr">
        <is>
          <t>Swamp</t>
        </is>
      </c>
      <c r="K21" s="30" t="inlineStr">
        <is>
          <t>Fun Max</t>
        </is>
      </c>
      <c r="L21" s="31">
        <f>INDEX(B21:J21,MATCH(K21,$B$5:$J$5,0))</f>
        <v/>
      </c>
      <c r="M21" s="22">
        <f>IFERROR(VLOOKUP(L21,Prices!$A:$B,2,FALSE),0)</f>
        <v/>
      </c>
      <c r="N21" s="32">
        <f>IFERROR(INDEX('_why_6f'!$B17:$J17,MATCH(K21,$B$5:$J$5,0)),"")</f>
        <v/>
      </c>
    </row>
    <row r="22">
      <c r="A22" s="28" t="n">
        <v>17</v>
      </c>
      <c r="B22" s="13" t="inlineStr">
        <is>
          <t>Swamp</t>
        </is>
      </c>
      <c r="C22" s="13" t="inlineStr">
        <is>
          <t>Swamp</t>
        </is>
      </c>
      <c r="D22" s="13" t="inlineStr">
        <is>
          <t>Swamp</t>
        </is>
      </c>
      <c r="E22" s="13" t="inlineStr">
        <is>
          <t>Swamp</t>
        </is>
      </c>
      <c r="F22" s="13" t="inlineStr">
        <is>
          <t>Swamp</t>
        </is>
      </c>
      <c r="G22" s="13" t="inlineStr">
        <is>
          <t>Swamp</t>
        </is>
      </c>
      <c r="H22" s="13" t="inlineStr">
        <is>
          <t>Swamp</t>
        </is>
      </c>
      <c r="I22" s="13" t="inlineStr">
        <is>
          <t>Swamp</t>
        </is>
      </c>
      <c r="J22" s="13" t="inlineStr">
        <is>
          <t>Swamp</t>
        </is>
      </c>
      <c r="K22" s="30" t="inlineStr">
        <is>
          <t>Fun Max</t>
        </is>
      </c>
      <c r="L22" s="31">
        <f>INDEX(B22:J22,MATCH(K22,$B$5:$J$5,0))</f>
        <v/>
      </c>
      <c r="M22" s="22">
        <f>IFERROR(VLOOKUP(L22,Prices!$A:$B,2,FALSE),0)</f>
        <v/>
      </c>
      <c r="N22" s="32">
        <f>IFERROR(INDEX('_why_6f'!$B18:$J18,MATCH(K22,$B$5:$J$5,0)),"")</f>
        <v/>
      </c>
    </row>
    <row r="23">
      <c r="A23" s="28" t="n">
        <v>18</v>
      </c>
      <c r="B23" s="33" t="inlineStr">
        <is>
          <t>Swamp</t>
        </is>
      </c>
      <c r="C23" s="33" t="inlineStr">
        <is>
          <t>Swamp</t>
        </is>
      </c>
      <c r="D23" s="33" t="inlineStr">
        <is>
          <t>Swamp</t>
        </is>
      </c>
      <c r="E23" s="33" t="inlineStr">
        <is>
          <t>Swamp</t>
        </is>
      </c>
      <c r="F23" s="33" t="inlineStr">
        <is>
          <t>Swamp</t>
        </is>
      </c>
      <c r="G23" s="33" t="inlineStr">
        <is>
          <t>Swamp</t>
        </is>
      </c>
      <c r="H23" s="33" t="inlineStr">
        <is>
          <t>Swamp</t>
        </is>
      </c>
      <c r="I23" s="33" t="inlineStr">
        <is>
          <t>Swamp</t>
        </is>
      </c>
      <c r="J23" s="33" t="inlineStr">
        <is>
          <t>Swamp</t>
        </is>
      </c>
      <c r="K23" s="30" t="inlineStr">
        <is>
          <t>Fun Max</t>
        </is>
      </c>
      <c r="L23" s="31">
        <f>INDEX(B23:J23,MATCH(K23,$B$5:$J$5,0))</f>
        <v/>
      </c>
      <c r="M23" s="22">
        <f>IFERROR(VLOOKUP(L23,Prices!$A:$B,2,FALSE),0)</f>
        <v/>
      </c>
      <c r="N23" s="32">
        <f>IFERROR(INDEX('_why_6f'!$B19:$J19,MATCH(K23,$B$5:$J$5,0)),"")</f>
        <v/>
      </c>
    </row>
    <row r="24">
      <c r="A24" s="28" t="n">
        <v>19</v>
      </c>
      <c r="B24" s="13" t="inlineStr">
        <is>
          <t>Swamp</t>
        </is>
      </c>
      <c r="C24" s="13" t="inlineStr">
        <is>
          <t>Swamp</t>
        </is>
      </c>
      <c r="D24" s="13" t="inlineStr">
        <is>
          <t>Swamp</t>
        </is>
      </c>
      <c r="E24" s="13" t="inlineStr">
        <is>
          <t>Swamp</t>
        </is>
      </c>
      <c r="F24" s="13" t="inlineStr">
        <is>
          <t>Swamp</t>
        </is>
      </c>
      <c r="G24" s="13" t="inlineStr">
        <is>
          <t>Swamp</t>
        </is>
      </c>
      <c r="H24" s="13" t="inlineStr">
        <is>
          <t>Swamp</t>
        </is>
      </c>
      <c r="I24" s="13" t="inlineStr">
        <is>
          <t>Swamp</t>
        </is>
      </c>
      <c r="J24" s="13" t="inlineStr">
        <is>
          <t>Swamp</t>
        </is>
      </c>
      <c r="K24" s="30" t="inlineStr">
        <is>
          <t>Fun Max</t>
        </is>
      </c>
      <c r="L24" s="31">
        <f>INDEX(B24:J24,MATCH(K24,$B$5:$J$5,0))</f>
        <v/>
      </c>
      <c r="M24" s="22">
        <f>IFERROR(VLOOKUP(L24,Prices!$A:$B,2,FALSE),0)</f>
        <v/>
      </c>
      <c r="N24" s="32">
        <f>IFERROR(INDEX('_why_6f'!$B20:$J20,MATCH(K24,$B$5:$J$5,0)),"")</f>
        <v/>
      </c>
    </row>
    <row r="25">
      <c r="A25" s="28" t="n">
        <v>20</v>
      </c>
      <c r="B25" s="33" t="inlineStr">
        <is>
          <t>Swamp</t>
        </is>
      </c>
      <c r="C25" s="33" t="inlineStr">
        <is>
          <t>Swamp</t>
        </is>
      </c>
      <c r="D25" s="33" t="inlineStr">
        <is>
          <t>Swamp</t>
        </is>
      </c>
      <c r="E25" s="33" t="inlineStr">
        <is>
          <t>Swamp</t>
        </is>
      </c>
      <c r="F25" s="33" t="inlineStr">
        <is>
          <t>Swamp</t>
        </is>
      </c>
      <c r="G25" s="33" t="inlineStr">
        <is>
          <t>Swamp</t>
        </is>
      </c>
      <c r="H25" s="33" t="inlineStr">
        <is>
          <t>Swamp</t>
        </is>
      </c>
      <c r="I25" s="33" t="inlineStr">
        <is>
          <t>Swamp</t>
        </is>
      </c>
      <c r="J25" s="33" t="inlineStr">
        <is>
          <t>Swamp</t>
        </is>
      </c>
      <c r="K25" s="30" t="inlineStr">
        <is>
          <t>Fun Max</t>
        </is>
      </c>
      <c r="L25" s="31">
        <f>INDEX(B25:J25,MATCH(K25,$B$5:$J$5,0))</f>
        <v/>
      </c>
      <c r="M25" s="22">
        <f>IFERROR(VLOOKUP(L25,Prices!$A:$B,2,FALSE),0)</f>
        <v/>
      </c>
      <c r="N25" s="32">
        <f>IFERROR(INDEX('_why_6f'!$B21:$J21,MATCH(K25,$B$5:$J$5,0)),"")</f>
        <v/>
      </c>
    </row>
    <row r="26">
      <c r="A26" s="28" t="n">
        <v>21</v>
      </c>
      <c r="B26" s="13" t="inlineStr">
        <is>
          <t>Swamp</t>
        </is>
      </c>
      <c r="C26" s="13" t="inlineStr">
        <is>
          <t>Swamp</t>
        </is>
      </c>
      <c r="D26" s="13" t="inlineStr">
        <is>
          <t>Swamp</t>
        </is>
      </c>
      <c r="E26" s="13" t="inlineStr">
        <is>
          <t>Swamp</t>
        </is>
      </c>
      <c r="F26" s="13" t="inlineStr">
        <is>
          <t>Swamp</t>
        </is>
      </c>
      <c r="G26" s="13" t="inlineStr">
        <is>
          <t>Swamp</t>
        </is>
      </c>
      <c r="H26" s="13" t="inlineStr">
        <is>
          <t>Swamp</t>
        </is>
      </c>
      <c r="I26" s="13" t="inlineStr">
        <is>
          <t>Swamp</t>
        </is>
      </c>
      <c r="J26" s="13" t="inlineStr">
        <is>
          <t>Swamp</t>
        </is>
      </c>
      <c r="K26" s="30" t="inlineStr">
        <is>
          <t>Fun Max</t>
        </is>
      </c>
      <c r="L26" s="31">
        <f>INDEX(B26:J26,MATCH(K26,$B$5:$J$5,0))</f>
        <v/>
      </c>
      <c r="M26" s="22">
        <f>IFERROR(VLOOKUP(L26,Prices!$A:$B,2,FALSE),0)</f>
        <v/>
      </c>
      <c r="N26" s="32">
        <f>IFERROR(INDEX('_why_6f'!$B22:$J22,MATCH(K26,$B$5:$J$5,0)),"")</f>
        <v/>
      </c>
    </row>
    <row r="27">
      <c r="A27" s="28" t="n">
        <v>22</v>
      </c>
      <c r="B27" s="33" t="inlineStr">
        <is>
          <t>Swamp</t>
        </is>
      </c>
      <c r="C27" s="33" t="inlineStr">
        <is>
          <t>Swamp</t>
        </is>
      </c>
      <c r="D27" s="33" t="inlineStr">
        <is>
          <t>Swamp</t>
        </is>
      </c>
      <c r="E27" s="33" t="inlineStr">
        <is>
          <t>Swamp</t>
        </is>
      </c>
      <c r="F27" s="33" t="inlineStr">
        <is>
          <t>Swamp</t>
        </is>
      </c>
      <c r="G27" s="33" t="inlineStr">
        <is>
          <t>Swamp</t>
        </is>
      </c>
      <c r="H27" s="33" t="inlineStr">
        <is>
          <t>Swamp</t>
        </is>
      </c>
      <c r="I27" s="33" t="inlineStr">
        <is>
          <t>Swamp</t>
        </is>
      </c>
      <c r="J27" s="33" t="inlineStr">
        <is>
          <t>Swamp</t>
        </is>
      </c>
      <c r="K27" s="30" t="inlineStr">
        <is>
          <t>Fun Max</t>
        </is>
      </c>
      <c r="L27" s="31">
        <f>INDEX(B27:J27,MATCH(K27,$B$5:$J$5,0))</f>
        <v/>
      </c>
      <c r="M27" s="22">
        <f>IFERROR(VLOOKUP(L27,Prices!$A:$B,2,FALSE),0)</f>
        <v/>
      </c>
      <c r="N27" s="32">
        <f>IFERROR(INDEX('_why_6f'!$B23:$J23,MATCH(K27,$B$5:$J$5,0)),"")</f>
        <v/>
      </c>
    </row>
    <row r="28">
      <c r="A28" s="28" t="n">
        <v>23</v>
      </c>
      <c r="B28" s="13" t="inlineStr">
        <is>
          <t>Swamp</t>
        </is>
      </c>
      <c r="C28" s="13" t="inlineStr">
        <is>
          <t>Swamp</t>
        </is>
      </c>
      <c r="D28" s="13" t="inlineStr">
        <is>
          <t>Swamp</t>
        </is>
      </c>
      <c r="E28" s="13" t="inlineStr">
        <is>
          <t>Swamp</t>
        </is>
      </c>
      <c r="F28" s="13" t="inlineStr">
        <is>
          <t>Swamp</t>
        </is>
      </c>
      <c r="G28" s="13" t="inlineStr">
        <is>
          <t>Swamp</t>
        </is>
      </c>
      <c r="H28" s="13" t="inlineStr">
        <is>
          <t>Swamp</t>
        </is>
      </c>
      <c r="I28" s="13" t="inlineStr">
        <is>
          <t>Swamp</t>
        </is>
      </c>
      <c r="J28" s="13" t="inlineStr">
        <is>
          <t>Swamp</t>
        </is>
      </c>
      <c r="K28" s="30" t="inlineStr">
        <is>
          <t>Fun Max</t>
        </is>
      </c>
      <c r="L28" s="31">
        <f>INDEX(B28:J28,MATCH(K28,$B$5:$J$5,0))</f>
        <v/>
      </c>
      <c r="M28" s="22">
        <f>IFERROR(VLOOKUP(L28,Prices!$A:$B,2,FALSE),0)</f>
        <v/>
      </c>
      <c r="N28" s="32">
        <f>IFERROR(INDEX('_why_6f'!$B24:$J24,MATCH(K28,$B$5:$J$5,0)),"")</f>
        <v/>
      </c>
    </row>
    <row r="29">
      <c r="A29" s="28" t="n">
        <v>24</v>
      </c>
      <c r="B29" s="33" t="inlineStr">
        <is>
          <t>Swamp</t>
        </is>
      </c>
      <c r="C29" s="33" t="inlineStr">
        <is>
          <t>Swamp</t>
        </is>
      </c>
      <c r="D29" s="33" t="inlineStr">
        <is>
          <t>Swamp</t>
        </is>
      </c>
      <c r="E29" s="33" t="inlineStr">
        <is>
          <t>Swamp</t>
        </is>
      </c>
      <c r="F29" s="33" t="inlineStr">
        <is>
          <t>Swamp</t>
        </is>
      </c>
      <c r="G29" s="33" t="inlineStr">
        <is>
          <t>Swamp</t>
        </is>
      </c>
      <c r="H29" s="33" t="inlineStr">
        <is>
          <t>Swamp</t>
        </is>
      </c>
      <c r="I29" s="33" t="inlineStr">
        <is>
          <t>Swamp</t>
        </is>
      </c>
      <c r="J29" s="33" t="inlineStr">
        <is>
          <t>Swamp</t>
        </is>
      </c>
      <c r="K29" s="30" t="inlineStr">
        <is>
          <t>Fun Max</t>
        </is>
      </c>
      <c r="L29" s="31">
        <f>INDEX(B29:J29,MATCH(K29,$B$5:$J$5,0))</f>
        <v/>
      </c>
      <c r="M29" s="22">
        <f>IFERROR(VLOOKUP(L29,Prices!$A:$B,2,FALSE),0)</f>
        <v/>
      </c>
      <c r="N29" s="32">
        <f>IFERROR(INDEX('_why_6f'!$B25:$J25,MATCH(K29,$B$5:$J$5,0)),"")</f>
        <v/>
      </c>
    </row>
    <row r="30">
      <c r="A30" s="28" t="n">
        <v>25</v>
      </c>
      <c r="B30" s="13" t="inlineStr">
        <is>
          <t>Swamp</t>
        </is>
      </c>
      <c r="C30" s="13" t="inlineStr">
        <is>
          <t>Swamp</t>
        </is>
      </c>
      <c r="D30" s="13" t="inlineStr">
        <is>
          <t>Swamp</t>
        </is>
      </c>
      <c r="E30" s="13" t="inlineStr">
        <is>
          <t>Swamp</t>
        </is>
      </c>
      <c r="F30" s="13" t="inlineStr">
        <is>
          <t>Swamp</t>
        </is>
      </c>
      <c r="G30" s="13" t="inlineStr">
        <is>
          <t>Swamp</t>
        </is>
      </c>
      <c r="H30" s="13" t="inlineStr">
        <is>
          <t>Swamp</t>
        </is>
      </c>
      <c r="I30" s="13" t="inlineStr">
        <is>
          <t>Swamp</t>
        </is>
      </c>
      <c r="J30" s="13" t="inlineStr">
        <is>
          <t>Swamp</t>
        </is>
      </c>
      <c r="K30" s="30" t="inlineStr">
        <is>
          <t>Fun Max</t>
        </is>
      </c>
      <c r="L30" s="31">
        <f>INDEX(B30:J30,MATCH(K30,$B$5:$J$5,0))</f>
        <v/>
      </c>
      <c r="M30" s="22">
        <f>IFERROR(VLOOKUP(L30,Prices!$A:$B,2,FALSE),0)</f>
        <v/>
      </c>
      <c r="N30" s="32">
        <f>IFERROR(INDEX('_why_6f'!$B26:$J26,MATCH(K30,$B$5:$J$5,0)),"")</f>
        <v/>
      </c>
    </row>
    <row r="31">
      <c r="A31" s="28" t="n">
        <v>26</v>
      </c>
      <c r="B31" s="33" t="inlineStr">
        <is>
          <t>Forest</t>
        </is>
      </c>
      <c r="C31" s="33" t="inlineStr">
        <is>
          <t>Forest</t>
        </is>
      </c>
      <c r="D31" s="33" t="inlineStr">
        <is>
          <t>Forest</t>
        </is>
      </c>
      <c r="E31" s="33" t="inlineStr">
        <is>
          <t>Forest</t>
        </is>
      </c>
      <c r="F31" s="33" t="inlineStr">
        <is>
          <t>Forest</t>
        </is>
      </c>
      <c r="G31" s="33" t="inlineStr">
        <is>
          <t>Forest</t>
        </is>
      </c>
      <c r="H31" s="33" t="inlineStr">
        <is>
          <t>Forest</t>
        </is>
      </c>
      <c r="I31" s="33" t="inlineStr">
        <is>
          <t>Forest</t>
        </is>
      </c>
      <c r="J31" s="33" t="inlineStr">
        <is>
          <t>Forest</t>
        </is>
      </c>
      <c r="K31" s="30" t="inlineStr">
        <is>
          <t>Fun Max</t>
        </is>
      </c>
      <c r="L31" s="31">
        <f>INDEX(B31:J31,MATCH(K31,$B$5:$J$5,0))</f>
        <v/>
      </c>
      <c r="M31" s="22">
        <f>IFERROR(VLOOKUP(L31,Prices!$A:$B,2,FALSE),0)</f>
        <v/>
      </c>
      <c r="N31" s="32">
        <f>IFERROR(INDEX('_why_6f'!$B27:$J27,MATCH(K31,$B$5:$J$5,0)),"")</f>
        <v/>
      </c>
    </row>
    <row r="32">
      <c r="A32" s="28" t="n">
        <v>27</v>
      </c>
      <c r="B32" s="13" t="inlineStr">
        <is>
          <t>Forest</t>
        </is>
      </c>
      <c r="C32" s="13" t="inlineStr">
        <is>
          <t>Forest</t>
        </is>
      </c>
      <c r="D32" s="13" t="inlineStr">
        <is>
          <t>Forest</t>
        </is>
      </c>
      <c r="E32" s="13" t="inlineStr">
        <is>
          <t>Forest</t>
        </is>
      </c>
      <c r="F32" s="13" t="inlineStr">
        <is>
          <t>Forest</t>
        </is>
      </c>
      <c r="G32" s="13" t="inlineStr">
        <is>
          <t>Forest</t>
        </is>
      </c>
      <c r="H32" s="13" t="inlineStr">
        <is>
          <t>Forest</t>
        </is>
      </c>
      <c r="I32" s="13" t="inlineStr">
        <is>
          <t>Forest</t>
        </is>
      </c>
      <c r="J32" s="13" t="inlineStr">
        <is>
          <t>Forest</t>
        </is>
      </c>
      <c r="K32" s="30" t="inlineStr">
        <is>
          <t>Fun Max</t>
        </is>
      </c>
      <c r="L32" s="31">
        <f>INDEX(B32:J32,MATCH(K32,$B$5:$J$5,0))</f>
        <v/>
      </c>
      <c r="M32" s="22">
        <f>IFERROR(VLOOKUP(L32,Prices!$A:$B,2,FALSE),0)</f>
        <v/>
      </c>
      <c r="N32" s="32">
        <f>IFERROR(INDEX('_why_6f'!$B28:$J28,MATCH(K32,$B$5:$J$5,0)),"")</f>
        <v/>
      </c>
    </row>
    <row r="33">
      <c r="A33" s="28" t="n">
        <v>28</v>
      </c>
      <c r="B33" s="33" t="inlineStr">
        <is>
          <t>Forest</t>
        </is>
      </c>
      <c r="C33" s="33" t="inlineStr">
        <is>
          <t>Forest</t>
        </is>
      </c>
      <c r="D33" s="33" t="inlineStr">
        <is>
          <t>Forest</t>
        </is>
      </c>
      <c r="E33" s="33" t="inlineStr">
        <is>
          <t>Forest</t>
        </is>
      </c>
      <c r="F33" s="33" t="inlineStr">
        <is>
          <t>Forest</t>
        </is>
      </c>
      <c r="G33" s="33" t="inlineStr">
        <is>
          <t>Forest</t>
        </is>
      </c>
      <c r="H33" s="33" t="inlineStr">
        <is>
          <t>Forest</t>
        </is>
      </c>
      <c r="I33" s="33" t="inlineStr">
        <is>
          <t>Forest</t>
        </is>
      </c>
      <c r="J33" s="33" t="inlineStr">
        <is>
          <t>Forest</t>
        </is>
      </c>
      <c r="K33" s="30" t="inlineStr">
        <is>
          <t>Fun Max</t>
        </is>
      </c>
      <c r="L33" s="31">
        <f>INDEX(B33:J33,MATCH(K33,$B$5:$J$5,0))</f>
        <v/>
      </c>
      <c r="M33" s="22">
        <f>IFERROR(VLOOKUP(L33,Prices!$A:$B,2,FALSE),0)</f>
        <v/>
      </c>
      <c r="N33" s="32">
        <f>IFERROR(INDEX('_why_6f'!$B29:$J29,MATCH(K33,$B$5:$J$5,0)),"")</f>
        <v/>
      </c>
    </row>
    <row r="34">
      <c r="A34" s="28" t="n">
        <v>29</v>
      </c>
      <c r="B34" s="13" t="inlineStr">
        <is>
          <t>Forest</t>
        </is>
      </c>
      <c r="C34" s="13" t="inlineStr">
        <is>
          <t>Forest</t>
        </is>
      </c>
      <c r="D34" s="13" t="inlineStr">
        <is>
          <t>Forest</t>
        </is>
      </c>
      <c r="E34" s="13" t="inlineStr">
        <is>
          <t>Forest</t>
        </is>
      </c>
      <c r="F34" s="13" t="inlineStr">
        <is>
          <t>Forest</t>
        </is>
      </c>
      <c r="G34" s="13" t="inlineStr">
        <is>
          <t>Forest</t>
        </is>
      </c>
      <c r="H34" s="13" t="inlineStr">
        <is>
          <t>Forest</t>
        </is>
      </c>
      <c r="I34" s="13" t="inlineStr">
        <is>
          <t>Forest</t>
        </is>
      </c>
      <c r="J34" s="13" t="inlineStr">
        <is>
          <t>Forest</t>
        </is>
      </c>
      <c r="K34" s="30" t="inlineStr">
        <is>
          <t>Fun Max</t>
        </is>
      </c>
      <c r="L34" s="31">
        <f>INDEX(B34:J34,MATCH(K34,$B$5:$J$5,0))</f>
        <v/>
      </c>
      <c r="M34" s="22">
        <f>IFERROR(VLOOKUP(L34,Prices!$A:$B,2,FALSE),0)</f>
        <v/>
      </c>
      <c r="N34" s="32">
        <f>IFERROR(INDEX('_why_6f'!$B30:$J30,MATCH(K34,$B$5:$J$5,0)),"")</f>
        <v/>
      </c>
    </row>
    <row r="35">
      <c r="A35" s="28" t="n">
        <v>30</v>
      </c>
      <c r="B35" s="33" t="inlineStr">
        <is>
          <t>Forest</t>
        </is>
      </c>
      <c r="C35" s="33" t="inlineStr">
        <is>
          <t>Forest</t>
        </is>
      </c>
      <c r="D35" s="33" t="inlineStr">
        <is>
          <t>Forest</t>
        </is>
      </c>
      <c r="E35" s="33" t="inlineStr">
        <is>
          <t>Forest</t>
        </is>
      </c>
      <c r="F35" s="33" t="inlineStr">
        <is>
          <t>Forest</t>
        </is>
      </c>
      <c r="G35" s="33" t="inlineStr">
        <is>
          <t>Forest</t>
        </is>
      </c>
      <c r="H35" s="33" t="inlineStr">
        <is>
          <t>Forest</t>
        </is>
      </c>
      <c r="I35" s="33" t="inlineStr">
        <is>
          <t>Forest</t>
        </is>
      </c>
      <c r="J35" s="33" t="inlineStr">
        <is>
          <t>Forest</t>
        </is>
      </c>
      <c r="K35" s="30" t="inlineStr">
        <is>
          <t>Fun Max</t>
        </is>
      </c>
      <c r="L35" s="31">
        <f>INDEX(B35:J35,MATCH(K35,$B$5:$J$5,0))</f>
        <v/>
      </c>
      <c r="M35" s="22">
        <f>IFERROR(VLOOKUP(L35,Prices!$A:$B,2,FALSE),0)</f>
        <v/>
      </c>
      <c r="N35" s="32">
        <f>IFERROR(INDEX('_why_6f'!$B31:$J31,MATCH(K35,$B$5:$J$5,0)),"")</f>
        <v/>
      </c>
    </row>
    <row r="36">
      <c r="A36" s="28" t="n">
        <v>31</v>
      </c>
      <c r="B36" s="13" t="inlineStr">
        <is>
          <t>Forest</t>
        </is>
      </c>
      <c r="C36" s="13" t="inlineStr">
        <is>
          <t>Forest</t>
        </is>
      </c>
      <c r="D36" s="13" t="inlineStr">
        <is>
          <t>Forest</t>
        </is>
      </c>
      <c r="E36" s="13" t="inlineStr">
        <is>
          <t>Forest</t>
        </is>
      </c>
      <c r="F36" s="13" t="inlineStr">
        <is>
          <t>Forest</t>
        </is>
      </c>
      <c r="G36" s="13" t="inlineStr">
        <is>
          <t>Forest</t>
        </is>
      </c>
      <c r="H36" s="13" t="inlineStr">
        <is>
          <t>Forest</t>
        </is>
      </c>
      <c r="I36" s="13" t="inlineStr">
        <is>
          <t>Forest</t>
        </is>
      </c>
      <c r="J36" s="13" t="inlineStr">
        <is>
          <t>Forest</t>
        </is>
      </c>
      <c r="K36" s="30" t="inlineStr">
        <is>
          <t>Fun Max</t>
        </is>
      </c>
      <c r="L36" s="31">
        <f>INDEX(B36:J36,MATCH(K36,$B$5:$J$5,0))</f>
        <v/>
      </c>
      <c r="M36" s="22">
        <f>IFERROR(VLOOKUP(L36,Prices!$A:$B,2,FALSE),0)</f>
        <v/>
      </c>
      <c r="N36" s="32">
        <f>IFERROR(INDEX('_why_6f'!$B32:$J32,MATCH(K36,$B$5:$J$5,0)),"")</f>
        <v/>
      </c>
    </row>
    <row r="37">
      <c r="A37" s="28" t="n">
        <v>32</v>
      </c>
      <c r="B37" s="33" t="inlineStr">
        <is>
          <t>Forest</t>
        </is>
      </c>
      <c r="C37" s="33" t="inlineStr">
        <is>
          <t>Forest</t>
        </is>
      </c>
      <c r="D37" s="33" t="inlineStr">
        <is>
          <t>Forest</t>
        </is>
      </c>
      <c r="E37" s="33" t="inlineStr">
        <is>
          <t>Forest</t>
        </is>
      </c>
      <c r="F37" s="33" t="inlineStr">
        <is>
          <t>Forest</t>
        </is>
      </c>
      <c r="G37" s="33" t="inlineStr">
        <is>
          <t>Forest</t>
        </is>
      </c>
      <c r="H37" s="33" t="inlineStr">
        <is>
          <t>Forest</t>
        </is>
      </c>
      <c r="I37" s="33" t="inlineStr">
        <is>
          <t>Forest</t>
        </is>
      </c>
      <c r="J37" s="33" t="inlineStr">
        <is>
          <t>Forest</t>
        </is>
      </c>
      <c r="K37" s="30" t="inlineStr">
        <is>
          <t>Fun Max</t>
        </is>
      </c>
      <c r="L37" s="31">
        <f>INDEX(B37:J37,MATCH(K37,$B$5:$J$5,0))</f>
        <v/>
      </c>
      <c r="M37" s="22">
        <f>IFERROR(VLOOKUP(L37,Prices!$A:$B,2,FALSE),0)</f>
        <v/>
      </c>
      <c r="N37" s="32">
        <f>IFERROR(INDEX('_why_6f'!$B33:$J33,MATCH(K37,$B$5:$J$5,0)),"")</f>
        <v/>
      </c>
    </row>
    <row r="38">
      <c r="A38" s="28" t="n">
        <v>33</v>
      </c>
      <c r="B38" s="13" t="inlineStr">
        <is>
          <t>Forest</t>
        </is>
      </c>
      <c r="C38" s="13" t="inlineStr">
        <is>
          <t>Forest</t>
        </is>
      </c>
      <c r="D38" s="13" t="inlineStr">
        <is>
          <t>Forest</t>
        </is>
      </c>
      <c r="E38" s="13" t="inlineStr">
        <is>
          <t>Forest</t>
        </is>
      </c>
      <c r="F38" s="13" t="inlineStr">
        <is>
          <t>Forest</t>
        </is>
      </c>
      <c r="G38" s="13" t="inlineStr">
        <is>
          <t>Forest</t>
        </is>
      </c>
      <c r="H38" s="13" t="inlineStr">
        <is>
          <t>Forest</t>
        </is>
      </c>
      <c r="I38" s="13" t="inlineStr">
        <is>
          <t>Forest</t>
        </is>
      </c>
      <c r="J38" s="13" t="inlineStr">
        <is>
          <t>Forest</t>
        </is>
      </c>
      <c r="K38" s="30" t="inlineStr">
        <is>
          <t>Fun Max</t>
        </is>
      </c>
      <c r="L38" s="31">
        <f>INDEX(B38:J38,MATCH(K38,$B$5:$J$5,0))</f>
        <v/>
      </c>
      <c r="M38" s="22">
        <f>IFERROR(VLOOKUP(L38,Prices!$A:$B,2,FALSE),0)</f>
        <v/>
      </c>
      <c r="N38" s="32">
        <f>IFERROR(INDEX('_why_6f'!$B34:$J34,MATCH(K38,$B$5:$J$5,0)),"")</f>
        <v/>
      </c>
    </row>
    <row r="39">
      <c r="A39" s="28" t="n">
        <v>34</v>
      </c>
      <c r="B39" s="33" t="inlineStr">
        <is>
          <t>Forest</t>
        </is>
      </c>
      <c r="C39" s="33" t="inlineStr">
        <is>
          <t>Forest</t>
        </is>
      </c>
      <c r="D39" s="33" t="inlineStr">
        <is>
          <t>Forest</t>
        </is>
      </c>
      <c r="E39" s="33" t="inlineStr">
        <is>
          <t>Forest</t>
        </is>
      </c>
      <c r="F39" s="33" t="inlineStr">
        <is>
          <t>Forest</t>
        </is>
      </c>
      <c r="G39" s="33" t="inlineStr">
        <is>
          <t>Forest</t>
        </is>
      </c>
      <c r="H39" s="33" t="inlineStr">
        <is>
          <t>Forest</t>
        </is>
      </c>
      <c r="I39" s="33" t="inlineStr">
        <is>
          <t>Forest</t>
        </is>
      </c>
      <c r="J39" s="33" t="inlineStr">
        <is>
          <t>Forest</t>
        </is>
      </c>
      <c r="K39" s="30" t="inlineStr">
        <is>
          <t>Fun Max</t>
        </is>
      </c>
      <c r="L39" s="31">
        <f>INDEX(B39:J39,MATCH(K39,$B$5:$J$5,0))</f>
        <v/>
      </c>
      <c r="M39" s="22">
        <f>IFERROR(VLOOKUP(L39,Prices!$A:$B,2,FALSE),0)</f>
        <v/>
      </c>
      <c r="N39" s="32">
        <f>IFERROR(INDEX('_why_6f'!$B35:$J35,MATCH(K39,$B$5:$J$5,0)),"")</f>
        <v/>
      </c>
    </row>
    <row r="40">
      <c r="A40" s="28" t="n">
        <v>35</v>
      </c>
      <c r="B40" s="13" t="inlineStr">
        <is>
          <t>Forest</t>
        </is>
      </c>
      <c r="C40" s="13" t="inlineStr">
        <is>
          <t>Forest</t>
        </is>
      </c>
      <c r="D40" s="13" t="inlineStr">
        <is>
          <t>Forest</t>
        </is>
      </c>
      <c r="E40" s="13" t="inlineStr">
        <is>
          <t>Forest</t>
        </is>
      </c>
      <c r="F40" s="13" t="inlineStr">
        <is>
          <t>Forest</t>
        </is>
      </c>
      <c r="G40" s="13" t="inlineStr">
        <is>
          <t>Forest</t>
        </is>
      </c>
      <c r="H40" s="13" t="inlineStr">
        <is>
          <t>Forest</t>
        </is>
      </c>
      <c r="I40" s="13" t="inlineStr">
        <is>
          <t>Forest</t>
        </is>
      </c>
      <c r="J40" s="13" t="inlineStr">
        <is>
          <t>Forest</t>
        </is>
      </c>
      <c r="K40" s="30" t="inlineStr">
        <is>
          <t>Fun Max</t>
        </is>
      </c>
      <c r="L40" s="31">
        <f>INDEX(B40:J40,MATCH(K40,$B$5:$J$5,0))</f>
        <v/>
      </c>
      <c r="M40" s="22">
        <f>IFERROR(VLOOKUP(L40,Prices!$A:$B,2,FALSE),0)</f>
        <v/>
      </c>
      <c r="N40" s="32">
        <f>IFERROR(INDEX('_why_6f'!$B36:$J36,MATCH(K40,$B$5:$J$5,0)),"")</f>
        <v/>
      </c>
    </row>
    <row r="41">
      <c r="A41" s="28" t="n">
        <v>36</v>
      </c>
      <c r="B41" s="33" t="inlineStr">
        <is>
          <t>Forest</t>
        </is>
      </c>
      <c r="C41" s="33" t="inlineStr">
        <is>
          <t>Forest</t>
        </is>
      </c>
      <c r="D41" s="33" t="inlineStr">
        <is>
          <t>Forest</t>
        </is>
      </c>
      <c r="E41" s="33" t="inlineStr">
        <is>
          <t>Forest</t>
        </is>
      </c>
      <c r="F41" s="33" t="inlineStr">
        <is>
          <t>Forest</t>
        </is>
      </c>
      <c r="G41" s="33" t="inlineStr">
        <is>
          <t>Forest</t>
        </is>
      </c>
      <c r="H41" s="33" t="inlineStr">
        <is>
          <t>Forest</t>
        </is>
      </c>
      <c r="I41" s="33" t="inlineStr">
        <is>
          <t>Forest</t>
        </is>
      </c>
      <c r="J41" s="33" t="inlineStr">
        <is>
          <t>Forest</t>
        </is>
      </c>
      <c r="K41" s="30" t="inlineStr">
        <is>
          <t>Fun Max</t>
        </is>
      </c>
      <c r="L41" s="31">
        <f>INDEX(B41:J41,MATCH(K41,$B$5:$J$5,0))</f>
        <v/>
      </c>
      <c r="M41" s="22">
        <f>IFERROR(VLOOKUP(L41,Prices!$A:$B,2,FALSE),0)</f>
        <v/>
      </c>
      <c r="N41" s="32">
        <f>IFERROR(INDEX('_why_6f'!$B37:$J37,MATCH(K41,$B$5:$J$5,0)),"")</f>
        <v/>
      </c>
    </row>
    <row r="42">
      <c r="A42" s="28" t="n">
        <v>37</v>
      </c>
      <c r="B42" s="13" t="inlineStr">
        <is>
          <t>Forest</t>
        </is>
      </c>
      <c r="C42" s="13" t="inlineStr">
        <is>
          <t>Forest</t>
        </is>
      </c>
      <c r="D42" s="13" t="inlineStr">
        <is>
          <t>Forest</t>
        </is>
      </c>
      <c r="E42" s="13" t="inlineStr">
        <is>
          <t>Forest</t>
        </is>
      </c>
      <c r="F42" s="13" t="inlineStr">
        <is>
          <t>Forest</t>
        </is>
      </c>
      <c r="G42" s="13" t="inlineStr">
        <is>
          <t>Forest</t>
        </is>
      </c>
      <c r="H42" s="13" t="inlineStr">
        <is>
          <t>Forest</t>
        </is>
      </c>
      <c r="I42" s="13" t="inlineStr">
        <is>
          <t>Forest</t>
        </is>
      </c>
      <c r="J42" s="13" t="inlineStr">
        <is>
          <t>Forest</t>
        </is>
      </c>
      <c r="K42" s="30" t="inlineStr">
        <is>
          <t>Fun Max</t>
        </is>
      </c>
      <c r="L42" s="31">
        <f>INDEX(B42:J42,MATCH(K42,$B$5:$J$5,0))</f>
        <v/>
      </c>
      <c r="M42" s="22">
        <f>IFERROR(VLOOKUP(L42,Prices!$A:$B,2,FALSE),0)</f>
        <v/>
      </c>
      <c r="N42" s="32">
        <f>IFERROR(INDEX('_why_6f'!$B38:$J38,MATCH(K42,$B$5:$J$5,0)),"")</f>
        <v/>
      </c>
    </row>
    <row r="43">
      <c r="A43" s="28" t="n">
        <v>38</v>
      </c>
      <c r="B43" s="33" t="inlineStr">
        <is>
          <t>Perpetual Timepiece</t>
        </is>
      </c>
      <c r="C43" s="34" t="inlineStr">
        <is>
          <t>Panharmonicon</t>
        </is>
      </c>
      <c r="D43" s="34" t="inlineStr">
        <is>
          <t>Panharmonicon</t>
        </is>
      </c>
      <c r="E43" s="34" t="inlineStr">
        <is>
          <t>Panharmonicon</t>
        </is>
      </c>
      <c r="F43" s="34" t="inlineStr">
        <is>
          <t>Origin of Metalbending</t>
        </is>
      </c>
      <c r="G43" s="34" t="inlineStr">
        <is>
          <t>Origin of Metalbending</t>
        </is>
      </c>
      <c r="H43" s="34" t="inlineStr">
        <is>
          <t>Origin of Metalbending</t>
        </is>
      </c>
      <c r="I43" s="34" t="inlineStr">
        <is>
          <t>Origin of Metalbending</t>
        </is>
      </c>
      <c r="J43" s="34" t="inlineStr">
        <is>
          <t>Pongify</t>
        </is>
      </c>
      <c r="K43" s="30" t="inlineStr">
        <is>
          <t>Fun Max</t>
        </is>
      </c>
      <c r="L43" s="31">
        <f>INDEX(B43:J43,MATCH(K43,$B$5:$J$5,0))</f>
        <v/>
      </c>
      <c r="M43" s="22">
        <f>IFERROR(VLOOKUP(L43,Prices!$A:$B,2,FALSE),0)</f>
        <v/>
      </c>
      <c r="N43" s="32">
        <f>IFERROR(INDEX('_why_6f'!$B39:$J39,MATCH(K43,$B$5:$J$5,0)),"")</f>
        <v/>
      </c>
    </row>
    <row r="44">
      <c r="A44" s="28" t="n">
        <v>39</v>
      </c>
      <c r="B44" s="13" t="inlineStr">
        <is>
          <t>Reclamation Sage</t>
        </is>
      </c>
      <c r="C44" s="29" t="inlineStr">
        <is>
          <t>Wavesifter</t>
        </is>
      </c>
      <c r="D44" s="29" t="inlineStr">
        <is>
          <t>Wavesifter</t>
        </is>
      </c>
      <c r="E44" s="29" t="inlineStr">
        <is>
          <t>Wavesifter</t>
        </is>
      </c>
      <c r="F44" s="29" t="inlineStr">
        <is>
          <t>Wavesifter</t>
        </is>
      </c>
      <c r="G44" s="29" t="inlineStr">
        <is>
          <t>Wavesifter</t>
        </is>
      </c>
      <c r="H44" s="29" t="inlineStr">
        <is>
          <t>Wavesifter</t>
        </is>
      </c>
      <c r="I44" s="29" t="inlineStr">
        <is>
          <t>Rapid Hybridization</t>
        </is>
      </c>
      <c r="J44" s="29" t="inlineStr">
        <is>
          <t>Rapid Hybridization</t>
        </is>
      </c>
      <c r="K44" s="30" t="inlineStr">
        <is>
          <t>Fun Max</t>
        </is>
      </c>
      <c r="L44" s="31">
        <f>INDEX(B44:J44,MATCH(K44,$B$5:$J$5,0))</f>
        <v/>
      </c>
      <c r="M44" s="22">
        <f>IFERROR(VLOOKUP(L44,Prices!$A:$B,2,FALSE),0)</f>
        <v/>
      </c>
      <c r="N44" s="32">
        <f>IFERROR(INDEX('_why_6f'!$B40:$J40,MATCH(K44,$B$5:$J$5,0)),"")</f>
        <v/>
      </c>
    </row>
    <row r="45">
      <c r="A45" s="28" t="n">
        <v>40</v>
      </c>
      <c r="B45" s="33" t="inlineStr">
        <is>
          <t>Solemn Simulacrum</t>
        </is>
      </c>
      <c r="C45" s="34" t="inlineStr">
        <is>
          <t>Acidic Slime</t>
        </is>
      </c>
      <c r="D45" s="34" t="inlineStr">
        <is>
          <t>Acidic Slime</t>
        </is>
      </c>
      <c r="E45" s="34" t="inlineStr">
        <is>
          <t>Acidic Slime</t>
        </is>
      </c>
      <c r="F45" s="34" t="inlineStr">
        <is>
          <t>Acidic Slime</t>
        </is>
      </c>
      <c r="G45" s="34" t="inlineStr">
        <is>
          <t>Acidic Slime</t>
        </is>
      </c>
      <c r="H45" s="34" t="inlineStr">
        <is>
          <t>Acidic Slime</t>
        </is>
      </c>
      <c r="I45" s="34" t="inlineStr">
        <is>
          <t>Pongify</t>
        </is>
      </c>
      <c r="J45" s="34" t="inlineStr">
        <is>
          <t>Origin of Metalbending</t>
        </is>
      </c>
      <c r="K45" s="30" t="inlineStr">
        <is>
          <t>Fun Max</t>
        </is>
      </c>
      <c r="L45" s="31">
        <f>INDEX(B45:J45,MATCH(K45,$B$5:$J$5,0))</f>
        <v/>
      </c>
      <c r="M45" s="22">
        <f>IFERROR(VLOOKUP(L45,Prices!$A:$B,2,FALSE),0)</f>
        <v/>
      </c>
      <c r="N45" s="32">
        <f>IFERROR(INDEX('_why_6f'!$B41:$J41,MATCH(K45,$B$5:$J$5,0)),"")</f>
        <v/>
      </c>
    </row>
    <row r="46">
      <c r="A46" s="28" t="n">
        <v>41</v>
      </c>
      <c r="B46" s="13" t="inlineStr">
        <is>
          <t>Wall of Blossoms</t>
        </is>
      </c>
      <c r="C46" s="29" t="inlineStr">
        <is>
          <t>Mulldrifter</t>
        </is>
      </c>
      <c r="D46" s="29" t="inlineStr">
        <is>
          <t>Mulldrifter</t>
        </is>
      </c>
      <c r="E46" s="29" t="inlineStr">
        <is>
          <t>Mulldrifter</t>
        </is>
      </c>
      <c r="F46" s="29" t="inlineStr">
        <is>
          <t>Mulldrifter</t>
        </is>
      </c>
      <c r="G46" s="29" t="inlineStr">
        <is>
          <t>Mulldrifter</t>
        </is>
      </c>
      <c r="H46" s="29" t="inlineStr">
        <is>
          <t>Mulldrifter</t>
        </is>
      </c>
      <c r="I46" s="29" t="inlineStr">
        <is>
          <t>Collective Resistance</t>
        </is>
      </c>
      <c r="J46" s="29" t="inlineStr">
        <is>
          <t>Wavesifter</t>
        </is>
      </c>
      <c r="K46" s="30" t="inlineStr">
        <is>
          <t>Fun Max</t>
        </is>
      </c>
      <c r="L46" s="31">
        <f>INDEX(B46:J46,MATCH(K46,$B$5:$J$5,0))</f>
        <v/>
      </c>
      <c r="M46" s="22">
        <f>IFERROR(VLOOKUP(L46,Prices!$A:$B,2,FALSE),0)</f>
        <v/>
      </c>
      <c r="N46" s="32">
        <f>IFERROR(INDEX('_why_6f'!$B42:$J42,MATCH(K46,$B$5:$J$5,0)),"")</f>
        <v/>
      </c>
    </row>
    <row r="47">
      <c r="A47" s="28" t="n">
        <v>42</v>
      </c>
      <c r="B47" s="33" t="inlineStr">
        <is>
          <t>Tireless Tracker</t>
        </is>
      </c>
      <c r="C47" s="34" t="inlineStr">
        <is>
          <t>Eternal Witness</t>
        </is>
      </c>
      <c r="D47" s="34" t="inlineStr">
        <is>
          <t>Eternal Witness</t>
        </is>
      </c>
      <c r="E47" s="34" t="inlineStr">
        <is>
          <t>Eternal Witness</t>
        </is>
      </c>
      <c r="F47" s="34" t="inlineStr">
        <is>
          <t>Eternal Witness</t>
        </is>
      </c>
      <c r="G47" s="34" t="inlineStr">
        <is>
          <t>Eternal Witness</t>
        </is>
      </c>
      <c r="H47" s="34" t="inlineStr">
        <is>
          <t>Eternal Witness</t>
        </is>
      </c>
      <c r="I47" s="34" t="inlineStr">
        <is>
          <t>Panharmonicon</t>
        </is>
      </c>
      <c r="J47" s="34" t="inlineStr">
        <is>
          <t>Acidic Slime</t>
        </is>
      </c>
      <c r="K47" s="30" t="inlineStr">
        <is>
          <t>Fun Max</t>
        </is>
      </c>
      <c r="L47" s="31">
        <f>INDEX(B47:J47,MATCH(K47,$B$5:$J$5,0))</f>
        <v/>
      </c>
      <c r="M47" s="22">
        <f>IFERROR(VLOOKUP(L47,Prices!$A:$B,2,FALSE),0)</f>
        <v/>
      </c>
      <c r="N47" s="32">
        <f>IFERROR(INDEX('_why_6f'!$B43:$J43,MATCH(K47,$B$5:$J$5,0)),"")</f>
        <v/>
      </c>
    </row>
    <row r="48">
      <c r="A48" s="28" t="n">
        <v>43</v>
      </c>
      <c r="B48" s="13" t="inlineStr">
        <is>
          <t>Avenger of Zendikar</t>
        </is>
      </c>
      <c r="C48" s="29" t="inlineStr">
        <is>
          <t>Sepulchral Primordial</t>
        </is>
      </c>
      <c r="D48" s="29" t="inlineStr">
        <is>
          <t>Sepulchral Primordial</t>
        </is>
      </c>
      <c r="E48" s="29" t="inlineStr">
        <is>
          <t>Sepulchral Primordial</t>
        </is>
      </c>
      <c r="F48" s="29" t="inlineStr">
        <is>
          <t>Sepulchral Primordial</t>
        </is>
      </c>
      <c r="G48" s="29" t="inlineStr">
        <is>
          <t>Sepulchral Primordial</t>
        </is>
      </c>
      <c r="H48" s="29" t="inlineStr">
        <is>
          <t>Sepulchral Primordial</t>
        </is>
      </c>
      <c r="I48" s="29" t="inlineStr">
        <is>
          <t>Wavesifter</t>
        </is>
      </c>
      <c r="J48" s="29" t="inlineStr">
        <is>
          <t>Mulldrifter</t>
        </is>
      </c>
      <c r="K48" s="30" t="inlineStr">
        <is>
          <t>Fun Max</t>
        </is>
      </c>
      <c r="L48" s="31">
        <f>INDEX(B48:J48,MATCH(K48,$B$5:$J$5,0))</f>
        <v/>
      </c>
      <c r="M48" s="22">
        <f>IFERROR(VLOOKUP(L48,Prices!$A:$B,2,FALSE),0)</f>
        <v/>
      </c>
      <c r="N48" s="32">
        <f>IFERROR(INDEX('_why_6f'!$B44:$J44,MATCH(K48,$B$5:$J$5,0)),"")</f>
        <v/>
      </c>
    </row>
    <row r="49">
      <c r="A49" s="28" t="n">
        <v>44</v>
      </c>
      <c r="B49" s="33" t="inlineStr">
        <is>
          <t>Sylvan Ranger</t>
        </is>
      </c>
      <c r="C49" s="34" t="inlineStr">
        <is>
          <t>Craterhoof Behemoth</t>
        </is>
      </c>
      <c r="D49" s="34" t="inlineStr">
        <is>
          <t>Craterhoof Behemoth</t>
        </is>
      </c>
      <c r="E49" s="34" t="inlineStr">
        <is>
          <t>Craterhoof Behemoth</t>
        </is>
      </c>
      <c r="F49" s="34" t="inlineStr">
        <is>
          <t>Craterhoof Behemoth</t>
        </is>
      </c>
      <c r="G49" s="34" t="inlineStr">
        <is>
          <t>Craterhoof Behemoth</t>
        </is>
      </c>
      <c r="H49" s="34" t="inlineStr">
        <is>
          <t>Craterhoof Behemoth</t>
        </is>
      </c>
      <c r="I49" s="34" t="inlineStr">
        <is>
          <t>Acidic Slime</t>
        </is>
      </c>
      <c r="J49" s="34" t="inlineStr">
        <is>
          <t>Eternal Witness</t>
        </is>
      </c>
      <c r="K49" s="30" t="inlineStr">
        <is>
          <t>Fun Max</t>
        </is>
      </c>
      <c r="L49" s="31">
        <f>INDEX(B49:J49,MATCH(K49,$B$5:$J$5,0))</f>
        <v/>
      </c>
      <c r="M49" s="22">
        <f>IFERROR(VLOOKUP(L49,Prices!$A:$B,2,FALSE),0)</f>
        <v/>
      </c>
      <c r="N49" s="32">
        <f>IFERROR(INDEX('_why_6f'!$B45:$J45,MATCH(K49,$B$5:$J$5,0)),"")</f>
        <v/>
      </c>
    </row>
    <row r="50">
      <c r="A50" s="28" t="n">
        <v>45</v>
      </c>
      <c r="B50" s="13" t="inlineStr">
        <is>
          <t>Wood Elves</t>
        </is>
      </c>
      <c r="C50" s="29" t="inlineStr">
        <is>
          <t>Thassa, Deep-Dwelling</t>
        </is>
      </c>
      <c r="D50" s="29" t="inlineStr">
        <is>
          <t>Thassa, Deep-Dwelling</t>
        </is>
      </c>
      <c r="E50" s="29" t="inlineStr">
        <is>
          <t>Thassa, Deep-Dwelling</t>
        </is>
      </c>
      <c r="F50" s="29" t="inlineStr">
        <is>
          <t>Thassa, Deep-Dwelling</t>
        </is>
      </c>
      <c r="G50" s="29" t="inlineStr">
        <is>
          <t>Thassa, Deep-Dwelling</t>
        </is>
      </c>
      <c r="H50" s="29" t="inlineStr">
        <is>
          <t>Thassa, Deep-Dwelling</t>
        </is>
      </c>
      <c r="I50" s="29" t="inlineStr">
        <is>
          <t>Mulldrifter</t>
        </is>
      </c>
      <c r="J50" s="29" t="inlineStr">
        <is>
          <t>Sepulchral Primordial</t>
        </is>
      </c>
      <c r="K50" s="30" t="inlineStr">
        <is>
          <t>Fun Max</t>
        </is>
      </c>
      <c r="L50" s="31">
        <f>INDEX(B50:J50,MATCH(K50,$B$5:$J$5,0))</f>
        <v/>
      </c>
      <c r="M50" s="22">
        <f>IFERROR(VLOOKUP(L50,Prices!$A:$B,2,FALSE),0)</f>
        <v/>
      </c>
      <c r="N50" s="32">
        <f>IFERROR(INDEX('_why_6f'!$B46:$J46,MATCH(K50,$B$5:$J$5,0)),"")</f>
        <v/>
      </c>
    </row>
    <row r="51">
      <c r="A51" s="28" t="n">
        <v>46</v>
      </c>
      <c r="B51" s="33" t="inlineStr">
        <is>
          <t>Satyr Wayfinder</t>
        </is>
      </c>
      <c r="C51" s="34" t="inlineStr">
        <is>
          <t>Deadeye Navigator</t>
        </is>
      </c>
      <c r="D51" s="34" t="inlineStr">
        <is>
          <t>Deadeye Navigator</t>
        </is>
      </c>
      <c r="E51" s="34" t="inlineStr">
        <is>
          <t>Deadeye Navigator</t>
        </is>
      </c>
      <c r="F51" s="34" t="inlineStr">
        <is>
          <t>Deadeye Navigator</t>
        </is>
      </c>
      <c r="G51" s="34" t="inlineStr">
        <is>
          <t>Deadeye Navigator</t>
        </is>
      </c>
      <c r="H51" s="34" t="inlineStr">
        <is>
          <t>Deadeye Navigator</t>
        </is>
      </c>
      <c r="I51" s="34" t="inlineStr">
        <is>
          <t>Eternal Witness</t>
        </is>
      </c>
      <c r="J51" s="34" t="inlineStr">
        <is>
          <t>Craterhoof Behemoth</t>
        </is>
      </c>
      <c r="K51" s="30" t="inlineStr">
        <is>
          <t>Fun Max</t>
        </is>
      </c>
      <c r="L51" s="31">
        <f>INDEX(B51:J51,MATCH(K51,$B$5:$J$5,0))</f>
        <v/>
      </c>
      <c r="M51" s="22">
        <f>IFERROR(VLOOKUP(L51,Prices!$A:$B,2,FALSE),0)</f>
        <v/>
      </c>
      <c r="N51" s="32">
        <f>IFERROR(INDEX('_why_6f'!$B47:$J47,MATCH(K51,$B$5:$J$5,0)),"")</f>
        <v/>
      </c>
    </row>
    <row r="52">
      <c r="A52" s="28" t="n">
        <v>47</v>
      </c>
      <c r="B52" s="13" t="inlineStr">
        <is>
          <t>Tilling Treefolk</t>
        </is>
      </c>
      <c r="C52" s="29" t="inlineStr">
        <is>
          <t>Uro, Titan of Nature's Wrath</t>
        </is>
      </c>
      <c r="D52" s="29" t="inlineStr">
        <is>
          <t>Uro, Titan of Nature's Wrath</t>
        </is>
      </c>
      <c r="E52" s="29" t="inlineStr">
        <is>
          <t>Uro, Titan of Nature's Wrath</t>
        </is>
      </c>
      <c r="F52" s="29" t="inlineStr">
        <is>
          <t>Uro, Titan of Nature's Wrath</t>
        </is>
      </c>
      <c r="G52" s="29" t="inlineStr">
        <is>
          <t>Uro, Titan of Nature's Wrath</t>
        </is>
      </c>
      <c r="H52" s="29" t="inlineStr">
        <is>
          <t>Uro, Titan of Nature's Wrath</t>
        </is>
      </c>
      <c r="I52" s="29" t="inlineStr">
        <is>
          <t>Sepulchral Primordial</t>
        </is>
      </c>
      <c r="J52" s="29" t="inlineStr">
        <is>
          <t>Thassa, Deep-Dwelling</t>
        </is>
      </c>
      <c r="K52" s="30" t="inlineStr">
        <is>
          <t>Fun Max</t>
        </is>
      </c>
      <c r="L52" s="31">
        <f>INDEX(B52:J52,MATCH(K52,$B$5:$J$5,0))</f>
        <v/>
      </c>
      <c r="M52" s="22">
        <f>IFERROR(VLOOKUP(L52,Prices!$A:$B,2,FALSE),0)</f>
        <v/>
      </c>
      <c r="N52" s="32">
        <f>IFERROR(INDEX('_why_6f'!$B48:$J48,MATCH(K52,$B$5:$J$5,0)),"")</f>
        <v/>
      </c>
    </row>
    <row r="53">
      <c r="A53" s="28" t="n">
        <v>48</v>
      </c>
      <c r="B53" s="33" t="inlineStr">
        <is>
          <t>Rampaging Baloths</t>
        </is>
      </c>
      <c r="C53" s="34" t="inlineStr">
        <is>
          <t>Wonder</t>
        </is>
      </c>
      <c r="D53" s="34" t="inlineStr">
        <is>
          <t>Wonder</t>
        </is>
      </c>
      <c r="E53" s="34" t="inlineStr">
        <is>
          <t>Wonder</t>
        </is>
      </c>
      <c r="F53" s="34" t="inlineStr">
        <is>
          <t>Wonder</t>
        </is>
      </c>
      <c r="G53" s="34" t="inlineStr">
        <is>
          <t>Wonder</t>
        </is>
      </c>
      <c r="H53" s="34" t="inlineStr">
        <is>
          <t>Wonder</t>
        </is>
      </c>
      <c r="I53" s="34" t="inlineStr">
        <is>
          <t>Craterhoof Behemoth</t>
        </is>
      </c>
      <c r="J53" s="34" t="inlineStr">
        <is>
          <t>Deadeye Navigator</t>
        </is>
      </c>
      <c r="K53" s="30" t="inlineStr">
        <is>
          <t>Fun Max</t>
        </is>
      </c>
      <c r="L53" s="31">
        <f>INDEX(B53:J53,MATCH(K53,$B$5:$J$5,0))</f>
        <v/>
      </c>
      <c r="M53" s="22">
        <f>IFERROR(VLOOKUP(L53,Prices!$A:$B,2,FALSE),0)</f>
        <v/>
      </c>
      <c r="N53" s="32">
        <f>IFERROR(INDEX('_why_6f'!$B49:$J49,MATCH(K53,$B$5:$J$5,0)),"")</f>
        <v/>
      </c>
    </row>
    <row r="54">
      <c r="A54" s="28" t="n">
        <v>49</v>
      </c>
      <c r="B54" s="13" t="inlineStr">
        <is>
          <t>Stitcher's Supplier</t>
        </is>
      </c>
      <c r="C54" s="29" t="inlineStr">
        <is>
          <t>Risen Reef</t>
        </is>
      </c>
      <c r="D54" s="29" t="inlineStr">
        <is>
          <t>Risen Reef</t>
        </is>
      </c>
      <c r="E54" s="29" t="inlineStr">
        <is>
          <t>Risen Reef</t>
        </is>
      </c>
      <c r="F54" s="29" t="inlineStr">
        <is>
          <t>Risen Reef</t>
        </is>
      </c>
      <c r="G54" s="29" t="inlineStr">
        <is>
          <t>Risen Reef</t>
        </is>
      </c>
      <c r="H54" s="29" t="inlineStr">
        <is>
          <t>Risen Reef</t>
        </is>
      </c>
      <c r="I54" s="29" t="inlineStr">
        <is>
          <t>Thassa, Deep-Dwelling</t>
        </is>
      </c>
      <c r="J54" s="29" t="inlineStr">
        <is>
          <t>Uro, Titan of Nature's Wrath</t>
        </is>
      </c>
      <c r="K54" s="30" t="inlineStr">
        <is>
          <t>Fun Max</t>
        </is>
      </c>
      <c r="L54" s="31">
        <f>INDEX(B54:J54,MATCH(K54,$B$5:$J$5,0))</f>
        <v/>
      </c>
      <c r="M54" s="22">
        <f>IFERROR(VLOOKUP(L54,Prices!$A:$B,2,FALSE),0)</f>
        <v/>
      </c>
      <c r="N54" s="32">
        <f>IFERROR(INDEX('_why_6f'!$B50:$J50,MATCH(K54,$B$5:$J$5,0)),"")</f>
        <v/>
      </c>
    </row>
    <row r="55">
      <c r="A55" s="28" t="n">
        <v>50</v>
      </c>
      <c r="B55" s="33" t="inlineStr">
        <is>
          <t>Khalni Heart Expedition</t>
        </is>
      </c>
      <c r="C55" s="34" t="inlineStr">
        <is>
          <t>Zagoth Triome</t>
        </is>
      </c>
      <c r="D55" s="34" t="inlineStr">
        <is>
          <t>Zagoth Triome</t>
        </is>
      </c>
      <c r="E55" s="34" t="inlineStr">
        <is>
          <t>Zagoth Triome</t>
        </is>
      </c>
      <c r="F55" s="34" t="inlineStr">
        <is>
          <t>Zagoth Triome</t>
        </is>
      </c>
      <c r="G55" s="34" t="inlineStr">
        <is>
          <t>Zagoth Triome</t>
        </is>
      </c>
      <c r="H55" s="34" t="inlineStr">
        <is>
          <t>Zagoth Triome</t>
        </is>
      </c>
      <c r="I55" s="34" t="inlineStr">
        <is>
          <t>Deadeye Navigator</t>
        </is>
      </c>
      <c r="J55" s="34" t="inlineStr">
        <is>
          <t>Wonder</t>
        </is>
      </c>
      <c r="K55" s="30" t="inlineStr">
        <is>
          <t>Fun Max</t>
        </is>
      </c>
      <c r="L55" s="31">
        <f>INDEX(B55:J55,MATCH(K55,$B$5:$J$5,0))</f>
        <v/>
      </c>
      <c r="M55" s="22">
        <f>IFERROR(VLOOKUP(L55,Prices!$A:$B,2,FALSE),0)</f>
        <v/>
      </c>
      <c r="N55" s="32">
        <f>IFERROR(INDEX('_why_6f'!$B51:$J51,MATCH(K55,$B$5:$J$5,0)),"")</f>
        <v/>
      </c>
    </row>
    <row r="56">
      <c r="A56" s="28" t="n">
        <v>51</v>
      </c>
      <c r="B56" s="13" t="inlineStr">
        <is>
          <t>Carven Caryatid</t>
        </is>
      </c>
      <c r="C56" s="13" t="inlineStr">
        <is>
          <t>Carven Caryatid</t>
        </is>
      </c>
      <c r="D56" s="13" t="inlineStr">
        <is>
          <t>Carven Caryatid</t>
        </is>
      </c>
      <c r="E56" s="29" t="inlineStr">
        <is>
          <t>Consecrated Sphinx</t>
        </is>
      </c>
      <c r="F56" s="29" t="inlineStr">
        <is>
          <t>Peregrine Drake</t>
        </is>
      </c>
      <c r="G56" s="29" t="inlineStr">
        <is>
          <t>Peregrine Drake</t>
        </is>
      </c>
      <c r="H56" s="29" t="inlineStr">
        <is>
          <t>Peregrine Drake</t>
        </is>
      </c>
      <c r="I56" s="13" t="inlineStr">
        <is>
          <t>Carven Caryatid</t>
        </is>
      </c>
      <c r="J56" s="29" t="inlineStr">
        <is>
          <t>Risen Reef</t>
        </is>
      </c>
      <c r="K56" s="30" t="inlineStr">
        <is>
          <t>Fun Max</t>
        </is>
      </c>
      <c r="L56" s="31">
        <f>INDEX(B56:J56,MATCH(K56,$B$5:$J$5,0))</f>
        <v/>
      </c>
      <c r="M56" s="22">
        <f>IFERROR(VLOOKUP(L56,Prices!$A:$B,2,FALSE),0)</f>
        <v/>
      </c>
      <c r="N56" s="32">
        <f>IFERROR(INDEX('_why_6f'!$B52:$J52,MATCH(K56,$B$5:$J$5,0)),"")</f>
        <v/>
      </c>
    </row>
    <row r="57">
      <c r="A57" s="28" t="n">
        <v>52</v>
      </c>
      <c r="B57" s="33" t="inlineStr">
        <is>
          <t>Filigree Familiar</t>
        </is>
      </c>
      <c r="C57" s="33" t="inlineStr">
        <is>
          <t>Filigree Familiar</t>
        </is>
      </c>
      <c r="D57" s="33" t="inlineStr">
        <is>
          <t>Filigree Familiar</t>
        </is>
      </c>
      <c r="E57" s="34" t="inlineStr">
        <is>
          <t>Rhystic Study</t>
        </is>
      </c>
      <c r="F57" s="34" t="inlineStr">
        <is>
          <t>Woodland Bellower</t>
        </is>
      </c>
      <c r="G57" s="34" t="inlineStr">
        <is>
          <t>Woodland Bellower</t>
        </is>
      </c>
      <c r="H57" s="34" t="inlineStr">
        <is>
          <t>Woodland Bellower</t>
        </is>
      </c>
      <c r="I57" s="33" t="inlineStr">
        <is>
          <t>Filigree Familiar</t>
        </is>
      </c>
      <c r="J57" s="34" t="inlineStr">
        <is>
          <t>Zagoth Triome</t>
        </is>
      </c>
      <c r="K57" s="30" t="inlineStr">
        <is>
          <t>Fun Max</t>
        </is>
      </c>
      <c r="L57" s="31">
        <f>INDEX(B57:J57,MATCH(K57,$B$5:$J$5,0))</f>
        <v/>
      </c>
      <c r="M57" s="22">
        <f>IFERROR(VLOOKUP(L57,Prices!$A:$B,2,FALSE),0)</f>
        <v/>
      </c>
      <c r="N57" s="32">
        <f>IFERROR(INDEX('_why_6f'!$B53:$J53,MATCH(K57,$B$5:$J$5,0)),"")</f>
        <v/>
      </c>
    </row>
    <row r="58">
      <c r="A58" s="28" t="n">
        <v>53</v>
      </c>
      <c r="B58" s="13" t="inlineStr">
        <is>
          <t>Ichor Wellspring</t>
        </is>
      </c>
      <c r="C58" s="13" t="inlineStr">
        <is>
          <t>Ichor Wellspring</t>
        </is>
      </c>
      <c r="D58" s="13" t="inlineStr">
        <is>
          <t>Ichor Wellspring</t>
        </is>
      </c>
      <c r="E58" s="29" t="inlineStr">
        <is>
          <t>Seedborn Muse</t>
        </is>
      </c>
      <c r="F58" s="29" t="inlineStr">
        <is>
          <t>Cloudstone Curio</t>
        </is>
      </c>
      <c r="G58" s="29" t="inlineStr">
        <is>
          <t>Cloudstone Curio</t>
        </is>
      </c>
      <c r="H58" s="29" t="inlineStr">
        <is>
          <t>Cloudstone Curio</t>
        </is>
      </c>
      <c r="I58" s="13" t="inlineStr">
        <is>
          <t>Ichor Wellspring</t>
        </is>
      </c>
      <c r="J58" s="29" t="inlineStr">
        <is>
          <t>Consecrated Sphinx</t>
        </is>
      </c>
      <c r="K58" s="30" t="inlineStr">
        <is>
          <t>Fun Max</t>
        </is>
      </c>
      <c r="L58" s="31">
        <f>INDEX(B58:J58,MATCH(K58,$B$5:$J$5,0))</f>
        <v/>
      </c>
      <c r="M58" s="22">
        <f>IFERROR(VLOOKUP(L58,Prices!$A:$B,2,FALSE),0)</f>
        <v/>
      </c>
      <c r="N58" s="32">
        <f>IFERROR(INDEX('_why_6f'!$B54:$J54,MATCH(K58,$B$5:$J$5,0)),"")</f>
        <v/>
      </c>
    </row>
    <row r="59">
      <c r="A59" s="28" t="n">
        <v>54</v>
      </c>
      <c r="B59" s="33" t="inlineStr">
        <is>
          <t>Jungle Barrier</t>
        </is>
      </c>
      <c r="C59" s="33" t="inlineStr">
        <is>
          <t>Jungle Barrier</t>
        </is>
      </c>
      <c r="D59" s="33" t="inlineStr">
        <is>
          <t>Jungle Barrier</t>
        </is>
      </c>
      <c r="E59" s="34" t="inlineStr">
        <is>
          <t>Cloudstone Curio</t>
        </is>
      </c>
      <c r="F59" s="34" t="inlineStr">
        <is>
          <t>Toxrill, the Corrosive</t>
        </is>
      </c>
      <c r="G59" s="34" t="inlineStr">
        <is>
          <t>Toxrill, the Corrosive</t>
        </is>
      </c>
      <c r="H59" s="34" t="inlineStr">
        <is>
          <t>Toxrill, the Corrosive</t>
        </is>
      </c>
      <c r="I59" s="33" t="inlineStr">
        <is>
          <t>Jungle Barrier</t>
        </is>
      </c>
      <c r="J59" s="34" t="inlineStr">
        <is>
          <t>Rhystic Study</t>
        </is>
      </c>
      <c r="K59" s="30" t="inlineStr">
        <is>
          <t>Fun Max</t>
        </is>
      </c>
      <c r="L59" s="31">
        <f>INDEX(B59:J59,MATCH(K59,$B$5:$J$5,0))</f>
        <v/>
      </c>
      <c r="M59" s="22">
        <f>IFERROR(VLOOKUP(L59,Prices!$A:$B,2,FALSE),0)</f>
        <v/>
      </c>
      <c r="N59" s="32">
        <f>IFERROR(INDEX('_why_6f'!$B55:$J55,MATCH(K59,$B$5:$J$5,0)),"")</f>
        <v/>
      </c>
    </row>
    <row r="60">
      <c r="A60" s="28" t="n">
        <v>55</v>
      </c>
      <c r="B60" s="13" t="inlineStr">
        <is>
          <t>Tatyova, Benthic Druid</t>
        </is>
      </c>
      <c r="C60" s="13" t="inlineStr">
        <is>
          <t>Tatyova, Benthic Druid</t>
        </is>
      </c>
      <c r="D60" s="13" t="inlineStr">
        <is>
          <t>Tatyova, Benthic Druid</t>
        </is>
      </c>
      <c r="E60" s="29" t="inlineStr">
        <is>
          <t>Toxrill, the Corrosive</t>
        </is>
      </c>
      <c r="F60" s="29" t="inlineStr">
        <is>
          <t>Agent of Treachery</t>
        </is>
      </c>
      <c r="G60" s="29" t="inlineStr">
        <is>
          <t>Agent of Treachery</t>
        </is>
      </c>
      <c r="H60" s="29" t="inlineStr">
        <is>
          <t>Agent of Treachery</t>
        </is>
      </c>
      <c r="I60" s="13" t="inlineStr">
        <is>
          <t>Tatyova, Benthic Druid</t>
        </is>
      </c>
      <c r="J60" s="29" t="inlineStr">
        <is>
          <t>Seedborn Muse</t>
        </is>
      </c>
      <c r="K60" s="30" t="inlineStr">
        <is>
          <t>Fun Max</t>
        </is>
      </c>
      <c r="L60" s="31">
        <f>INDEX(B60:J60,MATCH(K60,$B$5:$J$5,0))</f>
        <v/>
      </c>
      <c r="M60" s="22">
        <f>IFERROR(VLOOKUP(L60,Prices!$A:$B,2,FALSE),0)</f>
        <v/>
      </c>
      <c r="N60" s="32">
        <f>IFERROR(INDEX('_why_6f'!$B56:$J56,MATCH(K60,$B$5:$J$5,0)),"")</f>
        <v/>
      </c>
    </row>
    <row r="61">
      <c r="A61" s="28" t="n">
        <v>56</v>
      </c>
      <c r="B61" s="33" t="inlineStr">
        <is>
          <t>Sidisi, Undead Vizier</t>
        </is>
      </c>
      <c r="C61" s="33" t="inlineStr">
        <is>
          <t>Sidisi, Undead Vizier</t>
        </is>
      </c>
      <c r="D61" s="33" t="inlineStr">
        <is>
          <t>Sidisi, Undead Vizier</t>
        </is>
      </c>
      <c r="E61" s="34" t="inlineStr">
        <is>
          <t>Peregrine Drake</t>
        </is>
      </c>
      <c r="F61" s="33" t="inlineStr">
        <is>
          <t>Sidisi, Undead Vizier</t>
        </is>
      </c>
      <c r="G61" s="34" t="inlineStr">
        <is>
          <t>Consecrated Sphinx</t>
        </is>
      </c>
      <c r="H61" s="34" t="inlineStr">
        <is>
          <t>Consecrated Sphinx</t>
        </is>
      </c>
      <c r="I61" s="33" t="inlineStr">
        <is>
          <t>Sidisi, Undead Vizier</t>
        </is>
      </c>
      <c r="J61" s="34" t="inlineStr">
        <is>
          <t>Cloudstone Curio</t>
        </is>
      </c>
      <c r="K61" s="30" t="inlineStr">
        <is>
          <t>Fun Max</t>
        </is>
      </c>
      <c r="L61" s="31">
        <f>INDEX(B61:J61,MATCH(K61,$B$5:$J$5,0))</f>
        <v/>
      </c>
      <c r="M61" s="22">
        <f>IFERROR(VLOOKUP(L61,Prices!$A:$B,2,FALSE),0)</f>
        <v/>
      </c>
      <c r="N61" s="32">
        <f>IFERROR(INDEX('_why_6f'!$B57:$J57,MATCH(K61,$B$5:$J$5,0)),"")</f>
        <v/>
      </c>
    </row>
    <row r="62">
      <c r="A62" s="28" t="n">
        <v>57</v>
      </c>
      <c r="B62" s="13" t="inlineStr">
        <is>
          <t>Zendikar's Roil</t>
        </is>
      </c>
      <c r="C62" s="13" t="inlineStr">
        <is>
          <t>Zendikar's Roil</t>
        </is>
      </c>
      <c r="D62" s="13" t="inlineStr">
        <is>
          <t>Zendikar's Roil</t>
        </is>
      </c>
      <c r="E62" s="29" t="inlineStr">
        <is>
          <t>Agent of Treachery</t>
        </is>
      </c>
      <c r="F62" s="13" t="inlineStr">
        <is>
          <t>Zendikar's Roil</t>
        </is>
      </c>
      <c r="G62" s="13" t="inlineStr">
        <is>
          <t>Zendikar's Roil</t>
        </is>
      </c>
      <c r="H62" s="29" t="inlineStr">
        <is>
          <t>Rhystic Study</t>
        </is>
      </c>
      <c r="I62" s="29" t="inlineStr">
        <is>
          <t>Uro, Titan of Nature's Wrath</t>
        </is>
      </c>
      <c r="J62" s="29" t="inlineStr">
        <is>
          <t>Toxrill, the Corrosive</t>
        </is>
      </c>
      <c r="K62" s="30" t="inlineStr">
        <is>
          <t>Fun Max</t>
        </is>
      </c>
      <c r="L62" s="31">
        <f>INDEX(B62:J62,MATCH(K62,$B$5:$J$5,0))</f>
        <v/>
      </c>
      <c r="M62" s="22">
        <f>IFERROR(VLOOKUP(L62,Prices!$A:$B,2,FALSE),0)</f>
        <v/>
      </c>
      <c r="N62" s="32">
        <f>IFERROR(INDEX('_why_6f'!$B58:$J58,MATCH(K62,$B$5:$J$5,0)),"")</f>
        <v/>
      </c>
    </row>
    <row r="63">
      <c r="A63" s="28" t="n">
        <v>58</v>
      </c>
      <c r="B63" s="33" t="inlineStr">
        <is>
          <t>Yavimaya Elder</t>
        </is>
      </c>
      <c r="C63" s="33" t="inlineStr">
        <is>
          <t>Yavimaya Elder</t>
        </is>
      </c>
      <c r="D63" s="33" t="inlineStr">
        <is>
          <t>Yavimaya Elder</t>
        </is>
      </c>
      <c r="E63" s="34" t="inlineStr">
        <is>
          <t>Woodland Bellower</t>
        </is>
      </c>
      <c r="F63" s="34" t="inlineStr">
        <is>
          <t>Seedborn Muse</t>
        </is>
      </c>
      <c r="G63" s="34" t="inlineStr">
        <is>
          <t>Seedborn Muse</t>
        </is>
      </c>
      <c r="H63" s="34" t="inlineStr">
        <is>
          <t>Seedborn Muse</t>
        </is>
      </c>
      <c r="I63" s="33" t="inlineStr">
        <is>
          <t>Yavimaya Elder</t>
        </is>
      </c>
      <c r="J63" s="34" t="inlineStr">
        <is>
          <t>Peregrine Drake</t>
        </is>
      </c>
      <c r="K63" s="30" t="inlineStr">
        <is>
          <t>Fun Max</t>
        </is>
      </c>
      <c r="L63" s="31">
        <f>INDEX(B63:J63,MATCH(K63,$B$5:$J$5,0))</f>
        <v/>
      </c>
      <c r="M63" s="22">
        <f>IFERROR(VLOOKUP(L63,Prices!$A:$B,2,FALSE),0)</f>
        <v/>
      </c>
      <c r="N63" s="32">
        <f>IFERROR(INDEX('_why_6f'!$B59:$J59,MATCH(K63,$B$5:$J$5,0)),"")</f>
        <v/>
      </c>
    </row>
    <row r="64">
      <c r="A64" s="28" t="n">
        <v>59</v>
      </c>
      <c r="B64" s="13" t="inlineStr">
        <is>
          <t>Pilgrim's Eye</t>
        </is>
      </c>
      <c r="C64" s="13" t="inlineStr">
        <is>
          <t>Pilgrim's Eye</t>
        </is>
      </c>
      <c r="D64" s="13" t="inlineStr">
        <is>
          <t>Pilgrim's Eye</t>
        </is>
      </c>
      <c r="E64" s="13" t="inlineStr">
        <is>
          <t>Pilgrim's Eye</t>
        </is>
      </c>
      <c r="F64" s="13" t="inlineStr">
        <is>
          <t>Pilgrim's Eye</t>
        </is>
      </c>
      <c r="G64" s="13" t="inlineStr">
        <is>
          <t>Pilgrim's Eye</t>
        </is>
      </c>
      <c r="H64" s="13" t="inlineStr">
        <is>
          <t>Pilgrim's Eye</t>
        </is>
      </c>
      <c r="I64" s="13" t="inlineStr">
        <is>
          <t>Pilgrim's Eye</t>
        </is>
      </c>
      <c r="J64" s="13" t="inlineStr">
        <is>
          <t>Pilgrim's Eye</t>
        </is>
      </c>
      <c r="K64" s="30" t="inlineStr">
        <is>
          <t>Fun Max</t>
        </is>
      </c>
      <c r="L64" s="31">
        <f>INDEX(B64:J64,MATCH(K64,$B$5:$J$5,0))</f>
        <v/>
      </c>
      <c r="M64" s="22">
        <f>IFERROR(VLOOKUP(L64,Prices!$A:$B,2,FALSE),0)</f>
        <v/>
      </c>
      <c r="N64" s="32">
        <f>IFERROR(INDEX('_why_6f'!$B60:$J60,MATCH(K64,$B$5:$J$5,0)),"")</f>
        <v/>
      </c>
    </row>
    <row r="65">
      <c r="A65" s="28" t="n">
        <v>60</v>
      </c>
      <c r="B65" s="33" t="inlineStr">
        <is>
          <t>Arboreal Grazer</t>
        </is>
      </c>
      <c r="C65" s="33" t="inlineStr">
        <is>
          <t>Arboreal Grazer</t>
        </is>
      </c>
      <c r="D65" s="33" t="inlineStr">
        <is>
          <t>Arboreal Grazer</t>
        </is>
      </c>
      <c r="E65" s="33" t="inlineStr">
        <is>
          <t>Arboreal Grazer</t>
        </is>
      </c>
      <c r="F65" s="33" t="inlineStr">
        <is>
          <t>Arboreal Grazer</t>
        </is>
      </c>
      <c r="G65" s="33" t="inlineStr">
        <is>
          <t>Arboreal Grazer</t>
        </is>
      </c>
      <c r="H65" s="33" t="inlineStr">
        <is>
          <t>Arboreal Grazer</t>
        </is>
      </c>
      <c r="I65" s="33" t="inlineStr">
        <is>
          <t>Arboreal Grazer</t>
        </is>
      </c>
      <c r="J65" s="33" t="inlineStr">
        <is>
          <t>Arboreal Grazer</t>
        </is>
      </c>
      <c r="K65" s="30" t="inlineStr">
        <is>
          <t>Fun Max</t>
        </is>
      </c>
      <c r="L65" s="31">
        <f>INDEX(B65:J65,MATCH(K65,$B$5:$J$5,0))</f>
        <v/>
      </c>
      <c r="M65" s="22">
        <f>IFERROR(VLOOKUP(L65,Prices!$A:$B,2,FALSE),0)</f>
        <v/>
      </c>
      <c r="N65" s="32">
        <f>IFERROR(INDEX('_why_6f'!$B61:$J61,MATCH(K65,$B$5:$J$5,0)),"")</f>
        <v/>
      </c>
    </row>
    <row r="66">
      <c r="A66" s="28" t="n">
        <v>61</v>
      </c>
      <c r="B66" s="13" t="inlineStr">
        <is>
          <t>Selvala, Heart of the Wilds</t>
        </is>
      </c>
      <c r="C66" s="13" t="inlineStr">
        <is>
          <t>Selvala, Heart of the Wilds</t>
        </is>
      </c>
      <c r="D66" s="13" t="inlineStr">
        <is>
          <t>Selvala, Heart of the Wilds</t>
        </is>
      </c>
      <c r="E66" s="13" t="inlineStr">
        <is>
          <t>Selvala, Heart of the Wilds</t>
        </is>
      </c>
      <c r="F66" s="13" t="inlineStr">
        <is>
          <t>Selvala, Heart of the Wilds</t>
        </is>
      </c>
      <c r="G66" s="13" t="inlineStr">
        <is>
          <t>Selvala, Heart of the Wilds</t>
        </is>
      </c>
      <c r="H66" s="13" t="inlineStr">
        <is>
          <t>Selvala, Heart of the Wilds</t>
        </is>
      </c>
      <c r="I66" s="13" t="inlineStr">
        <is>
          <t>Selvala, Heart of the Wilds</t>
        </is>
      </c>
      <c r="J66" s="13" t="inlineStr">
        <is>
          <t>Selvala, Heart of the Wilds</t>
        </is>
      </c>
      <c r="K66" s="30" t="inlineStr">
        <is>
          <t>Fun Max</t>
        </is>
      </c>
      <c r="L66" s="31">
        <f>INDEX(B66:J66,MATCH(K66,$B$5:$J$5,0))</f>
        <v/>
      </c>
      <c r="M66" s="22">
        <f>IFERROR(VLOOKUP(L66,Prices!$A:$B,2,FALSE),0)</f>
        <v/>
      </c>
      <c r="N66" s="32">
        <f>IFERROR(INDEX('_why_6f'!$B62:$J62,MATCH(K66,$B$5:$J$5,0)),"")</f>
        <v/>
      </c>
    </row>
    <row r="67">
      <c r="A67" s="28" t="n">
        <v>62</v>
      </c>
      <c r="B67" s="33" t="inlineStr">
        <is>
          <t>Lotus Cobra</t>
        </is>
      </c>
      <c r="C67" s="33" t="inlineStr">
        <is>
          <t>Lotus Cobra</t>
        </is>
      </c>
      <c r="D67" s="33" t="inlineStr">
        <is>
          <t>Lotus Cobra</t>
        </is>
      </c>
      <c r="E67" s="33" t="inlineStr">
        <is>
          <t>Lotus Cobra</t>
        </is>
      </c>
      <c r="F67" s="33" t="inlineStr">
        <is>
          <t>Lotus Cobra</t>
        </is>
      </c>
      <c r="G67" s="33" t="inlineStr">
        <is>
          <t>Lotus Cobra</t>
        </is>
      </c>
      <c r="H67" s="33" t="inlineStr">
        <is>
          <t>Lotus Cobra</t>
        </is>
      </c>
      <c r="I67" s="33" t="inlineStr">
        <is>
          <t>Lotus Cobra</t>
        </is>
      </c>
      <c r="J67" s="33" t="inlineStr">
        <is>
          <t>Lotus Cobra</t>
        </is>
      </c>
      <c r="K67" s="30" t="inlineStr">
        <is>
          <t>Fun Max</t>
        </is>
      </c>
      <c r="L67" s="31">
        <f>INDEX(B67:J67,MATCH(K67,$B$5:$J$5,0))</f>
        <v/>
      </c>
      <c r="M67" s="22">
        <f>IFERROR(VLOOKUP(L67,Prices!$A:$B,2,FALSE),0)</f>
        <v/>
      </c>
      <c r="N67" s="32">
        <f>IFERROR(INDEX('_why_6f'!$B63:$J63,MATCH(K67,$B$5:$J$5,0)),"")</f>
        <v/>
      </c>
    </row>
    <row r="68">
      <c r="A68" s="28" t="n">
        <v>63</v>
      </c>
      <c r="B68" s="13" t="inlineStr">
        <is>
          <t>Fleshbag Marauder</t>
        </is>
      </c>
      <c r="C68" s="13" t="inlineStr">
        <is>
          <t>Fleshbag Marauder</t>
        </is>
      </c>
      <c r="D68" s="13" t="inlineStr">
        <is>
          <t>Fleshbag Marauder</t>
        </is>
      </c>
      <c r="E68" s="13" t="inlineStr">
        <is>
          <t>Fleshbag Marauder</t>
        </is>
      </c>
      <c r="F68" s="13" t="inlineStr">
        <is>
          <t>Fleshbag Marauder</t>
        </is>
      </c>
      <c r="G68" s="13" t="inlineStr">
        <is>
          <t>Fleshbag Marauder</t>
        </is>
      </c>
      <c r="H68" s="13" t="inlineStr">
        <is>
          <t>Fleshbag Marauder</t>
        </is>
      </c>
      <c r="I68" s="13" t="inlineStr">
        <is>
          <t>Fleshbag Marauder</t>
        </is>
      </c>
      <c r="J68" s="13" t="inlineStr">
        <is>
          <t>Fleshbag Marauder</t>
        </is>
      </c>
      <c r="K68" s="30" t="inlineStr">
        <is>
          <t>Fun Max</t>
        </is>
      </c>
      <c r="L68" s="31">
        <f>INDEX(B68:J68,MATCH(K68,$B$5:$J$5,0))</f>
        <v/>
      </c>
      <c r="M68" s="22">
        <f>IFERROR(VLOOKUP(L68,Prices!$A:$B,2,FALSE),0)</f>
        <v/>
      </c>
      <c r="N68" s="32">
        <f>IFERROR(INDEX('_why_6f'!$B64:$J64,MATCH(K68,$B$5:$J$5,0)),"")</f>
        <v/>
      </c>
    </row>
    <row r="69">
      <c r="A69" s="28" t="n">
        <v>64</v>
      </c>
      <c r="B69" s="33" t="inlineStr">
        <is>
          <t>Plaguecrafter</t>
        </is>
      </c>
      <c r="C69" s="33" t="inlineStr">
        <is>
          <t>Plaguecrafter</t>
        </is>
      </c>
      <c r="D69" s="33" t="inlineStr">
        <is>
          <t>Plaguecrafter</t>
        </is>
      </c>
      <c r="E69" s="33" t="inlineStr">
        <is>
          <t>Plaguecrafter</t>
        </is>
      </c>
      <c r="F69" s="33" t="inlineStr">
        <is>
          <t>Plaguecrafter</t>
        </is>
      </c>
      <c r="G69" s="33" t="inlineStr">
        <is>
          <t>Plaguecrafter</t>
        </is>
      </c>
      <c r="H69" s="33" t="inlineStr">
        <is>
          <t>Plaguecrafter</t>
        </is>
      </c>
      <c r="I69" s="33" t="inlineStr">
        <is>
          <t>Plaguecrafter</t>
        </is>
      </c>
      <c r="J69" s="33" t="inlineStr">
        <is>
          <t>Plaguecrafter</t>
        </is>
      </c>
      <c r="K69" s="30" t="inlineStr">
        <is>
          <t>Fun Max</t>
        </is>
      </c>
      <c r="L69" s="31">
        <f>INDEX(B69:J69,MATCH(K69,$B$5:$J$5,0))</f>
        <v/>
      </c>
      <c r="M69" s="22">
        <f>IFERROR(VLOOKUP(L69,Prices!$A:$B,2,FALSE),0)</f>
        <v/>
      </c>
      <c r="N69" s="32">
        <f>IFERROR(INDEX('_why_6f'!$B65:$J65,MATCH(K69,$B$5:$J$5,0)),"")</f>
        <v/>
      </c>
    </row>
    <row r="70">
      <c r="A70" s="28" t="n">
        <v>65</v>
      </c>
      <c r="B70" s="13" t="inlineStr">
        <is>
          <t>Merciless Executioner</t>
        </is>
      </c>
      <c r="C70" s="13" t="inlineStr">
        <is>
          <t>Merciless Executioner</t>
        </is>
      </c>
      <c r="D70" s="13" t="inlineStr">
        <is>
          <t>Merciless Executioner</t>
        </is>
      </c>
      <c r="E70" s="13" t="inlineStr">
        <is>
          <t>Merciless Executioner</t>
        </is>
      </c>
      <c r="F70" s="13" t="inlineStr">
        <is>
          <t>Merciless Executioner</t>
        </is>
      </c>
      <c r="G70" s="13" t="inlineStr">
        <is>
          <t>Merciless Executioner</t>
        </is>
      </c>
      <c r="H70" s="13" t="inlineStr">
        <is>
          <t>Merciless Executioner</t>
        </is>
      </c>
      <c r="I70" s="13" t="inlineStr">
        <is>
          <t>Merciless Executioner</t>
        </is>
      </c>
      <c r="J70" s="13" t="inlineStr">
        <is>
          <t>Merciless Executioner</t>
        </is>
      </c>
      <c r="K70" s="30" t="inlineStr">
        <is>
          <t>Fun Max</t>
        </is>
      </c>
      <c r="L70" s="31">
        <f>INDEX(B70:J70,MATCH(K70,$B$5:$J$5,0))</f>
        <v/>
      </c>
      <c r="M70" s="22">
        <f>IFERROR(VLOOKUP(L70,Prices!$A:$B,2,FALSE),0)</f>
        <v/>
      </c>
      <c r="N70" s="32">
        <f>IFERROR(INDEX('_why_6f'!$B66:$J66,MATCH(K70,$B$5:$J$5,0)),"")</f>
        <v/>
      </c>
    </row>
    <row r="71">
      <c r="A71" s="28" t="n">
        <v>66</v>
      </c>
      <c r="B71" s="33" t="inlineStr">
        <is>
          <t>Putrefy</t>
        </is>
      </c>
      <c r="C71" s="33" t="inlineStr">
        <is>
          <t>Putrefy</t>
        </is>
      </c>
      <c r="D71" s="33" t="inlineStr">
        <is>
          <t>Putrefy</t>
        </is>
      </c>
      <c r="E71" s="33" t="inlineStr">
        <is>
          <t>Putrefy</t>
        </is>
      </c>
      <c r="F71" s="34" t="inlineStr">
        <is>
          <t>Hullbreaker Horror</t>
        </is>
      </c>
      <c r="G71" s="34" t="inlineStr">
        <is>
          <t>Hullbreaker Horror</t>
        </is>
      </c>
      <c r="H71" s="34" t="inlineStr">
        <is>
          <t>Hullbreaker Horror</t>
        </is>
      </c>
      <c r="I71" s="33" t="inlineStr">
        <is>
          <t>Putrefy</t>
        </is>
      </c>
      <c r="J71" s="33" t="inlineStr">
        <is>
          <t>Putrefy</t>
        </is>
      </c>
      <c r="K71" s="30" t="inlineStr">
        <is>
          <t>Fun Max</t>
        </is>
      </c>
      <c r="L71" s="31">
        <f>INDEX(B71:J71,MATCH(K71,$B$5:$J$5,0))</f>
        <v/>
      </c>
      <c r="M71" s="22">
        <f>IFERROR(VLOOKUP(L71,Prices!$A:$B,2,FALSE),0)</f>
        <v/>
      </c>
      <c r="N71" s="32">
        <f>IFERROR(INDEX('_why_6f'!$B67:$J67,MATCH(K71,$B$5:$J$5,0)),"")</f>
        <v/>
      </c>
    </row>
    <row r="72">
      <c r="A72" s="28" t="n">
        <v>67</v>
      </c>
      <c r="B72" s="13" t="inlineStr">
        <is>
          <t>Feed the Swarm</t>
        </is>
      </c>
      <c r="C72" s="13" t="inlineStr">
        <is>
          <t>Feed the Swarm</t>
        </is>
      </c>
      <c r="D72" s="13" t="inlineStr">
        <is>
          <t>Feed the Swarm</t>
        </is>
      </c>
      <c r="E72" s="13" t="inlineStr">
        <is>
          <t>Feed the Swarm</t>
        </is>
      </c>
      <c r="F72" s="13" t="inlineStr">
        <is>
          <t>Feed the Swarm</t>
        </is>
      </c>
      <c r="G72" s="13" t="inlineStr">
        <is>
          <t>Feed the Swarm</t>
        </is>
      </c>
      <c r="H72" s="13" t="inlineStr">
        <is>
          <t>Feed the Swarm</t>
        </is>
      </c>
      <c r="I72" s="13" t="inlineStr">
        <is>
          <t>Feed the Swarm</t>
        </is>
      </c>
      <c r="J72" s="13" t="inlineStr">
        <is>
          <t>Feed the Swarm</t>
        </is>
      </c>
      <c r="K72" s="30" t="inlineStr">
        <is>
          <t>Fun Max</t>
        </is>
      </c>
      <c r="L72" s="31">
        <f>INDEX(B72:J72,MATCH(K72,$B$5:$J$5,0))</f>
        <v/>
      </c>
      <c r="M72" s="22">
        <f>IFERROR(VLOOKUP(L72,Prices!$A:$B,2,FALSE),0)</f>
        <v/>
      </c>
      <c r="N72" s="32">
        <f>IFERROR(INDEX('_why_6f'!$B68:$J68,MATCH(K72,$B$5:$J$5,0)),"")</f>
        <v/>
      </c>
    </row>
    <row r="73">
      <c r="A73" s="28" t="n">
        <v>68</v>
      </c>
      <c r="B73" s="33" t="inlineStr">
        <is>
          <t>Bloodchief's Thirst</t>
        </is>
      </c>
      <c r="C73" s="33" t="inlineStr">
        <is>
          <t>Bloodchief's Thirst</t>
        </is>
      </c>
      <c r="D73" s="33" t="inlineStr">
        <is>
          <t>Bloodchief's Thirst</t>
        </is>
      </c>
      <c r="E73" s="33" t="inlineStr">
        <is>
          <t>Bloodchief's Thirst</t>
        </is>
      </c>
      <c r="F73" s="33" t="inlineStr">
        <is>
          <t>Bloodchief's Thirst</t>
        </is>
      </c>
      <c r="G73" s="33" t="inlineStr">
        <is>
          <t>Bloodchief's Thirst</t>
        </is>
      </c>
      <c r="H73" s="33" t="inlineStr">
        <is>
          <t>Bloodchief's Thirst</t>
        </is>
      </c>
      <c r="I73" s="33" t="inlineStr">
        <is>
          <t>Bloodchief's Thirst</t>
        </is>
      </c>
      <c r="J73" s="33" t="inlineStr">
        <is>
          <t>Bloodchief's Thirst</t>
        </is>
      </c>
      <c r="K73" s="30" t="inlineStr">
        <is>
          <t>Fun Max</t>
        </is>
      </c>
      <c r="L73" s="31">
        <f>INDEX(B73:J73,MATCH(K73,$B$5:$J$5,0))</f>
        <v/>
      </c>
      <c r="M73" s="22">
        <f>IFERROR(VLOOKUP(L73,Prices!$A:$B,2,FALSE),0)</f>
        <v/>
      </c>
      <c r="N73" s="32">
        <f>IFERROR(INDEX('_why_6f'!$B69:$J69,MATCH(K73,$B$5:$J$5,0)),"")</f>
        <v/>
      </c>
    </row>
    <row r="74">
      <c r="A74" s="28" t="n">
        <v>69</v>
      </c>
      <c r="B74" s="13" t="inlineStr">
        <is>
          <t>Bone Shards</t>
        </is>
      </c>
      <c r="C74" s="13" t="inlineStr">
        <is>
          <t>Bone Shards</t>
        </is>
      </c>
      <c r="D74" s="13" t="inlineStr">
        <is>
          <t>Bone Shards</t>
        </is>
      </c>
      <c r="E74" s="13" t="inlineStr">
        <is>
          <t>Bone Shards</t>
        </is>
      </c>
      <c r="F74" s="13" t="inlineStr">
        <is>
          <t>Bone Shards</t>
        </is>
      </c>
      <c r="G74" s="13" t="inlineStr">
        <is>
          <t>Bone Shards</t>
        </is>
      </c>
      <c r="H74" s="13" t="inlineStr">
        <is>
          <t>Bone Shards</t>
        </is>
      </c>
      <c r="I74" s="13" t="inlineStr">
        <is>
          <t>Bone Shards</t>
        </is>
      </c>
      <c r="J74" s="13" t="inlineStr">
        <is>
          <t>Bone Shards</t>
        </is>
      </c>
      <c r="K74" s="30" t="inlineStr">
        <is>
          <t>Fun Max</t>
        </is>
      </c>
      <c r="L74" s="31">
        <f>INDEX(B74:J74,MATCH(K74,$B$5:$J$5,0))</f>
        <v/>
      </c>
      <c r="M74" s="22">
        <f>IFERROR(VLOOKUP(L74,Prices!$A:$B,2,FALSE),0)</f>
        <v/>
      </c>
      <c r="N74" s="32">
        <f>IFERROR(INDEX('_why_6f'!$B70:$J70,MATCH(K74,$B$5:$J$5,0)),"")</f>
        <v/>
      </c>
    </row>
    <row r="75">
      <c r="A75" s="28" t="n">
        <v>70</v>
      </c>
      <c r="B75" s="33" t="inlineStr">
        <is>
          <t>Golgari Grave-Troll</t>
        </is>
      </c>
      <c r="C75" s="33" t="inlineStr">
        <is>
          <t>Golgari Grave-Troll</t>
        </is>
      </c>
      <c r="D75" s="33" t="inlineStr">
        <is>
          <t>Golgari Grave-Troll</t>
        </is>
      </c>
      <c r="E75" s="33" t="inlineStr">
        <is>
          <t>Golgari Grave-Troll</t>
        </is>
      </c>
      <c r="F75" s="33" t="inlineStr">
        <is>
          <t>Golgari Grave-Troll</t>
        </is>
      </c>
      <c r="G75" s="33" t="inlineStr">
        <is>
          <t>Golgari Grave-Troll</t>
        </is>
      </c>
      <c r="H75" s="33" t="inlineStr">
        <is>
          <t>Golgari Grave-Troll</t>
        </is>
      </c>
      <c r="I75" s="33" t="inlineStr">
        <is>
          <t>Golgari Grave-Troll</t>
        </is>
      </c>
      <c r="J75" s="33" t="inlineStr">
        <is>
          <t>Golgari Grave-Troll</t>
        </is>
      </c>
      <c r="K75" s="30" t="inlineStr">
        <is>
          <t>Fun Max</t>
        </is>
      </c>
      <c r="L75" s="31">
        <f>INDEX(B75:J75,MATCH(K75,$B$5:$J$5,0))</f>
        <v/>
      </c>
      <c r="M75" s="22">
        <f>IFERROR(VLOOKUP(L75,Prices!$A:$B,2,FALSE),0)</f>
        <v/>
      </c>
      <c r="N75" s="32">
        <f>IFERROR(INDEX('_why_6f'!$B71:$J71,MATCH(K75,$B$5:$J$5,0)),"")</f>
        <v/>
      </c>
    </row>
    <row r="76">
      <c r="A76" s="28" t="n">
        <v>71</v>
      </c>
      <c r="B76" s="13" t="inlineStr">
        <is>
          <t>Nezahal, Primal Tide</t>
        </is>
      </c>
      <c r="C76" s="13" t="inlineStr">
        <is>
          <t>Nezahal, Primal Tide</t>
        </is>
      </c>
      <c r="D76" s="13" t="inlineStr">
        <is>
          <t>Nezahal, Primal Tide</t>
        </is>
      </c>
      <c r="E76" s="13" t="inlineStr">
        <is>
          <t>Nezahal, Primal Tide</t>
        </is>
      </c>
      <c r="F76" s="13" t="inlineStr">
        <is>
          <t>Nezahal, Primal Tide</t>
        </is>
      </c>
      <c r="G76" s="13" t="inlineStr">
        <is>
          <t>Nezahal, Primal Tide</t>
        </is>
      </c>
      <c r="H76" s="13" t="inlineStr">
        <is>
          <t>Nezahal, Primal Tide</t>
        </is>
      </c>
      <c r="I76" s="13" t="inlineStr">
        <is>
          <t>Nezahal, Primal Tide</t>
        </is>
      </c>
      <c r="J76" s="13" t="inlineStr">
        <is>
          <t>Nezahal, Primal Tide</t>
        </is>
      </c>
      <c r="K76" s="30" t="inlineStr">
        <is>
          <t>Fun Max</t>
        </is>
      </c>
      <c r="L76" s="31">
        <f>INDEX(B76:J76,MATCH(K76,$B$5:$J$5,0))</f>
        <v/>
      </c>
      <c r="M76" s="22">
        <f>IFERROR(VLOOKUP(L76,Prices!$A:$B,2,FALSE),0)</f>
        <v/>
      </c>
      <c r="N76" s="32">
        <f>IFERROR(INDEX('_why_6f'!$B72:$J72,MATCH(K76,$B$5:$J$5,0)),"")</f>
        <v/>
      </c>
    </row>
    <row r="77">
      <c r="A77" s="28" t="n">
        <v>72</v>
      </c>
      <c r="B77" s="33" t="inlineStr">
        <is>
          <t>Aesi, Tyrant of Gyre Strait</t>
        </is>
      </c>
      <c r="C77" s="33" t="inlineStr">
        <is>
          <t>Aesi, Tyrant of Gyre Strait</t>
        </is>
      </c>
      <c r="D77" s="33" t="inlineStr">
        <is>
          <t>Aesi, Tyrant of Gyre Strait</t>
        </is>
      </c>
      <c r="E77" s="33" t="inlineStr">
        <is>
          <t>Aesi, Tyrant of Gyre Strait</t>
        </is>
      </c>
      <c r="F77" s="33" t="inlineStr">
        <is>
          <t>Aesi, Tyrant of Gyre Strait</t>
        </is>
      </c>
      <c r="G77" s="33" t="inlineStr">
        <is>
          <t>Aesi, Tyrant of Gyre Strait</t>
        </is>
      </c>
      <c r="H77" s="33" t="inlineStr">
        <is>
          <t>Aesi, Tyrant of Gyre Strait</t>
        </is>
      </c>
      <c r="I77" s="33" t="inlineStr">
        <is>
          <t>Aesi, Tyrant of Gyre Strait</t>
        </is>
      </c>
      <c r="J77" s="33" t="inlineStr">
        <is>
          <t>Aesi, Tyrant of Gyre Strait</t>
        </is>
      </c>
      <c r="K77" s="30" t="inlineStr">
        <is>
          <t>Fun Max</t>
        </is>
      </c>
      <c r="L77" s="31">
        <f>INDEX(B77:J77,MATCH(K77,$B$5:$J$5,0))</f>
        <v/>
      </c>
      <c r="M77" s="22">
        <f>IFERROR(VLOOKUP(L77,Prices!$A:$B,2,FALSE),0)</f>
        <v/>
      </c>
      <c r="N77" s="32">
        <f>IFERROR(INDEX('_why_6f'!$B73:$J73,MATCH(K77,$B$5:$J$5,0)),"")</f>
        <v/>
      </c>
    </row>
    <row r="78">
      <c r="A78" s="28" t="n">
        <v>73</v>
      </c>
      <c r="B78" s="13" t="inlineStr">
        <is>
          <t>Morbid Opportunist</t>
        </is>
      </c>
      <c r="C78" s="13" t="inlineStr">
        <is>
          <t>Morbid Opportunist</t>
        </is>
      </c>
      <c r="D78" s="13" t="inlineStr">
        <is>
          <t>Morbid Opportunist</t>
        </is>
      </c>
      <c r="E78" s="13" t="inlineStr">
        <is>
          <t>Morbid Opportunist</t>
        </is>
      </c>
      <c r="F78" s="13" t="inlineStr">
        <is>
          <t>Morbid Opportunist</t>
        </is>
      </c>
      <c r="G78" s="13" t="inlineStr">
        <is>
          <t>Morbid Opportunist</t>
        </is>
      </c>
      <c r="H78" s="13" t="inlineStr">
        <is>
          <t>Morbid Opportunist</t>
        </is>
      </c>
      <c r="I78" s="13" t="inlineStr">
        <is>
          <t>Morbid Opportunist</t>
        </is>
      </c>
      <c r="J78" s="13" t="inlineStr">
        <is>
          <t>Morbid Opportunist</t>
        </is>
      </c>
      <c r="K78" s="30" t="inlineStr">
        <is>
          <t>Fun Max</t>
        </is>
      </c>
      <c r="L78" s="31">
        <f>INDEX(B78:J78,MATCH(K78,$B$5:$J$5,0))</f>
        <v/>
      </c>
      <c r="M78" s="22">
        <f>IFERROR(VLOOKUP(L78,Prices!$A:$B,2,FALSE),0)</f>
        <v/>
      </c>
      <c r="N78" s="32">
        <f>IFERROR(INDEX('_why_6f'!$B74:$J74,MATCH(K78,$B$5:$J$5,0)),"")</f>
        <v/>
      </c>
    </row>
    <row r="79">
      <c r="A79" s="28" t="n">
        <v>74</v>
      </c>
      <c r="B79" s="33" t="inlineStr">
        <is>
          <t>The Gitrog Monster</t>
        </is>
      </c>
      <c r="C79" s="33" t="inlineStr">
        <is>
          <t>The Gitrog Monster</t>
        </is>
      </c>
      <c r="D79" s="33" t="inlineStr">
        <is>
          <t>The Gitrog Monster</t>
        </is>
      </c>
      <c r="E79" s="33" t="inlineStr">
        <is>
          <t>The Gitrog Monster</t>
        </is>
      </c>
      <c r="F79" s="33" t="inlineStr">
        <is>
          <t>The Gitrog Monster</t>
        </is>
      </c>
      <c r="G79" s="33" t="inlineStr">
        <is>
          <t>The Gitrog Monster</t>
        </is>
      </c>
      <c r="H79" s="33" t="inlineStr">
        <is>
          <t>The Gitrog Monster</t>
        </is>
      </c>
      <c r="I79" s="33" t="inlineStr">
        <is>
          <t>The Gitrog Monster</t>
        </is>
      </c>
      <c r="J79" s="33" t="inlineStr">
        <is>
          <t>The Gitrog Monster</t>
        </is>
      </c>
      <c r="K79" s="30" t="inlineStr">
        <is>
          <t>Fun Max</t>
        </is>
      </c>
      <c r="L79" s="31">
        <f>INDEX(B79:J79,MATCH(K79,$B$5:$J$5,0))</f>
        <v/>
      </c>
      <c r="M79" s="22">
        <f>IFERROR(VLOOKUP(L79,Prices!$A:$B,2,FALSE),0)</f>
        <v/>
      </c>
      <c r="N79" s="32">
        <f>IFERROR(INDEX('_why_6f'!$B75:$J75,MATCH(K79,$B$5:$J$5,0)),"")</f>
        <v/>
      </c>
    </row>
    <row r="80">
      <c r="A80" s="28" t="n">
        <v>75</v>
      </c>
      <c r="B80" s="13" t="inlineStr">
        <is>
          <t>Ramunap Excavator</t>
        </is>
      </c>
      <c r="C80" s="13" t="inlineStr">
        <is>
          <t>Ramunap Excavator</t>
        </is>
      </c>
      <c r="D80" s="13" t="inlineStr">
        <is>
          <t>Ramunap Excavator</t>
        </is>
      </c>
      <c r="E80" s="13" t="inlineStr">
        <is>
          <t>Ramunap Excavator</t>
        </is>
      </c>
      <c r="F80" s="13" t="inlineStr">
        <is>
          <t>Ramunap Excavator</t>
        </is>
      </c>
      <c r="G80" s="13" t="inlineStr">
        <is>
          <t>Ramunap Excavator</t>
        </is>
      </c>
      <c r="H80" s="13" t="inlineStr">
        <is>
          <t>Ramunap Excavator</t>
        </is>
      </c>
      <c r="I80" s="13" t="inlineStr">
        <is>
          <t>Ramunap Excavator</t>
        </is>
      </c>
      <c r="J80" s="13" t="inlineStr">
        <is>
          <t>Ramunap Excavator</t>
        </is>
      </c>
      <c r="K80" s="30" t="inlineStr">
        <is>
          <t>Fun Max</t>
        </is>
      </c>
      <c r="L80" s="31">
        <f>INDEX(B80:J80,MATCH(K80,$B$5:$J$5,0))</f>
        <v/>
      </c>
      <c r="M80" s="22">
        <f>IFERROR(VLOOKUP(L80,Prices!$A:$B,2,FALSE),0)</f>
        <v/>
      </c>
      <c r="N80" s="32">
        <f>IFERROR(INDEX('_why_6f'!$B76:$J76,MATCH(K80,$B$5:$J$5,0)),"")</f>
        <v/>
      </c>
    </row>
    <row r="81">
      <c r="A81" s="28" t="n">
        <v>76</v>
      </c>
      <c r="B81" s="33" t="inlineStr">
        <is>
          <t>Life from the Loam</t>
        </is>
      </c>
      <c r="C81" s="33" t="inlineStr">
        <is>
          <t>Life from the Loam</t>
        </is>
      </c>
      <c r="D81" s="33" t="inlineStr">
        <is>
          <t>Life from the Loam</t>
        </is>
      </c>
      <c r="E81" s="33" t="inlineStr">
        <is>
          <t>Life from the Loam</t>
        </is>
      </c>
      <c r="F81" s="33" t="inlineStr">
        <is>
          <t>Life from the Loam</t>
        </is>
      </c>
      <c r="G81" s="33" t="inlineStr">
        <is>
          <t>Life from the Loam</t>
        </is>
      </c>
      <c r="H81" s="33" t="inlineStr">
        <is>
          <t>Life from the Loam</t>
        </is>
      </c>
      <c r="I81" s="33" t="inlineStr">
        <is>
          <t>Life from the Loam</t>
        </is>
      </c>
      <c r="J81" s="33" t="inlineStr">
        <is>
          <t>Life from the Loam</t>
        </is>
      </c>
      <c r="K81" s="30" t="inlineStr">
        <is>
          <t>Fun Max</t>
        </is>
      </c>
      <c r="L81" s="31">
        <f>INDEX(B81:J81,MATCH(K81,$B$5:$J$5,0))</f>
        <v/>
      </c>
      <c r="M81" s="22">
        <f>IFERROR(VLOOKUP(L81,Prices!$A:$B,2,FALSE),0)</f>
        <v/>
      </c>
      <c r="N81" s="32">
        <f>IFERROR(INDEX('_why_6f'!$B77:$J77,MATCH(K81,$B$5:$J$5,0)),"")</f>
        <v/>
      </c>
    </row>
    <row r="82">
      <c r="A82" s="28" t="n">
        <v>77</v>
      </c>
      <c r="B82" s="13" t="inlineStr">
        <is>
          <t>Village Rites</t>
        </is>
      </c>
      <c r="C82" s="13" t="inlineStr">
        <is>
          <t>Village Rites</t>
        </is>
      </c>
      <c r="D82" s="13" t="inlineStr">
        <is>
          <t>Village Rites</t>
        </is>
      </c>
      <c r="E82" s="13" t="inlineStr">
        <is>
          <t>Village Rites</t>
        </is>
      </c>
      <c r="F82" s="13" t="inlineStr">
        <is>
          <t>Village Rites</t>
        </is>
      </c>
      <c r="G82" s="13" t="inlineStr">
        <is>
          <t>Village Rites</t>
        </is>
      </c>
      <c r="H82" s="13" t="inlineStr">
        <is>
          <t>Village Rites</t>
        </is>
      </c>
      <c r="I82" s="13" t="inlineStr">
        <is>
          <t>Village Rites</t>
        </is>
      </c>
      <c r="J82" s="13" t="inlineStr">
        <is>
          <t>Village Rites</t>
        </is>
      </c>
      <c r="K82" s="30" t="inlineStr">
        <is>
          <t>Fun Max</t>
        </is>
      </c>
      <c r="L82" s="31">
        <f>INDEX(B82:J82,MATCH(K82,$B$5:$J$5,0))</f>
        <v/>
      </c>
      <c r="M82" s="22">
        <f>IFERROR(VLOOKUP(L82,Prices!$A:$B,2,FALSE),0)</f>
        <v/>
      </c>
      <c r="N82" s="32">
        <f>IFERROR(INDEX('_why_6f'!$B78:$J78,MATCH(K82,$B$5:$J$5,0)),"")</f>
        <v/>
      </c>
    </row>
    <row r="83">
      <c r="A83" s="28" t="n">
        <v>78</v>
      </c>
      <c r="B83" s="33" t="inlineStr">
        <is>
          <t>Heroic Intervention</t>
        </is>
      </c>
      <c r="C83" s="33" t="inlineStr">
        <is>
          <t>Heroic Intervention</t>
        </is>
      </c>
      <c r="D83" s="33" t="inlineStr">
        <is>
          <t>Heroic Intervention</t>
        </is>
      </c>
      <c r="E83" s="33" t="inlineStr">
        <is>
          <t>Heroic Intervention</t>
        </is>
      </c>
      <c r="F83" s="33" t="inlineStr">
        <is>
          <t>Heroic Intervention</t>
        </is>
      </c>
      <c r="G83" s="33" t="inlineStr">
        <is>
          <t>Heroic Intervention</t>
        </is>
      </c>
      <c r="H83" s="33" t="inlineStr">
        <is>
          <t>Heroic Intervention</t>
        </is>
      </c>
      <c r="I83" s="33" t="inlineStr">
        <is>
          <t>Heroic Intervention</t>
        </is>
      </c>
      <c r="J83" s="33" t="inlineStr">
        <is>
          <t>Heroic Intervention</t>
        </is>
      </c>
      <c r="K83" s="30" t="inlineStr">
        <is>
          <t>Fun Max</t>
        </is>
      </c>
      <c r="L83" s="31">
        <f>INDEX(B83:J83,MATCH(K83,$B$5:$J$5,0))</f>
        <v/>
      </c>
      <c r="M83" s="22">
        <f>IFERROR(VLOOKUP(L83,Prices!$A:$B,2,FALSE),0)</f>
        <v/>
      </c>
      <c r="N83" s="32">
        <f>IFERROR(INDEX('_why_6f'!$B79:$J79,MATCH(K83,$B$5:$J$5,0)),"")</f>
        <v/>
      </c>
    </row>
    <row r="84">
      <c r="A84" s="28" t="n">
        <v>79</v>
      </c>
      <c r="B84" s="13" t="inlineStr">
        <is>
          <t>Ordeal of Nylea</t>
        </is>
      </c>
      <c r="C84" s="13" t="inlineStr">
        <is>
          <t>Ordeal of Nylea</t>
        </is>
      </c>
      <c r="D84" s="13" t="inlineStr">
        <is>
          <t>Ordeal of Nylea</t>
        </is>
      </c>
      <c r="E84" s="13" t="inlineStr">
        <is>
          <t>Ordeal of Nylea</t>
        </is>
      </c>
      <c r="F84" s="13" t="inlineStr">
        <is>
          <t>Ordeal of Nylea</t>
        </is>
      </c>
      <c r="G84" s="13" t="inlineStr">
        <is>
          <t>Ordeal of Nylea</t>
        </is>
      </c>
      <c r="H84" s="13" t="inlineStr">
        <is>
          <t>Ordeal of Nylea</t>
        </is>
      </c>
      <c r="I84" s="13" t="inlineStr">
        <is>
          <t>Ordeal of Nylea</t>
        </is>
      </c>
      <c r="J84" s="13" t="inlineStr">
        <is>
          <t>Ordeal of Nylea</t>
        </is>
      </c>
      <c r="K84" s="30" t="inlineStr">
        <is>
          <t>Fun Max</t>
        </is>
      </c>
      <c r="L84" s="31">
        <f>INDEX(B84:J84,MATCH(K84,$B$5:$J$5,0))</f>
        <v/>
      </c>
      <c r="M84" s="22">
        <f>IFERROR(VLOOKUP(L84,Prices!$A:$B,2,FALSE),0)</f>
        <v/>
      </c>
      <c r="N84" s="32">
        <f>IFERROR(INDEX('_why_6f'!$B80:$J80,MATCH(K84,$B$5:$J$5,0)),"")</f>
        <v/>
      </c>
    </row>
    <row r="85">
      <c r="A85" s="28" t="n">
        <v>80</v>
      </c>
      <c r="B85" s="33" t="inlineStr">
        <is>
          <t>Wanderer's Twig</t>
        </is>
      </c>
      <c r="C85" s="33" t="inlineStr">
        <is>
          <t>Wanderer's Twig</t>
        </is>
      </c>
      <c r="D85" s="33" t="inlineStr">
        <is>
          <t>Wanderer's Twig</t>
        </is>
      </c>
      <c r="E85" s="33" t="inlineStr">
        <is>
          <t>Wanderer's Twig</t>
        </is>
      </c>
      <c r="F85" s="33" t="inlineStr">
        <is>
          <t>Wanderer's Twig</t>
        </is>
      </c>
      <c r="G85" s="33" t="inlineStr">
        <is>
          <t>Wanderer's Twig</t>
        </is>
      </c>
      <c r="H85" s="33" t="inlineStr">
        <is>
          <t>Wanderer's Twig</t>
        </is>
      </c>
      <c r="I85" s="33" t="inlineStr">
        <is>
          <t>Wanderer's Twig</t>
        </is>
      </c>
      <c r="J85" s="33" t="inlineStr">
        <is>
          <t>Wanderer's Twig</t>
        </is>
      </c>
      <c r="K85" s="30" t="inlineStr">
        <is>
          <t>Fun Max</t>
        </is>
      </c>
      <c r="L85" s="31">
        <f>INDEX(B85:J85,MATCH(K85,$B$5:$J$5,0))</f>
        <v/>
      </c>
      <c r="M85" s="22">
        <f>IFERROR(VLOOKUP(L85,Prices!$A:$B,2,FALSE),0)</f>
        <v/>
      </c>
      <c r="N85" s="32">
        <f>IFERROR(INDEX('_why_6f'!$B81:$J81,MATCH(K85,$B$5:$J$5,0)),"")</f>
        <v/>
      </c>
    </row>
    <row r="86">
      <c r="A86" s="28" t="n">
        <v>81</v>
      </c>
      <c r="B86" s="13" t="inlineStr">
        <is>
          <t>Golgari Signet</t>
        </is>
      </c>
      <c r="C86" s="13" t="inlineStr">
        <is>
          <t>Golgari Signet</t>
        </is>
      </c>
      <c r="D86" s="13" t="inlineStr">
        <is>
          <t>Golgari Signet</t>
        </is>
      </c>
      <c r="E86" s="13" t="inlineStr">
        <is>
          <t>Golgari Signet</t>
        </is>
      </c>
      <c r="F86" s="13" t="inlineStr">
        <is>
          <t>Golgari Signet</t>
        </is>
      </c>
      <c r="G86" s="13" t="inlineStr">
        <is>
          <t>Golgari Signet</t>
        </is>
      </c>
      <c r="H86" s="13" t="inlineStr">
        <is>
          <t>Golgari Signet</t>
        </is>
      </c>
      <c r="I86" s="13" t="inlineStr">
        <is>
          <t>Golgari Signet</t>
        </is>
      </c>
      <c r="J86" s="13" t="inlineStr">
        <is>
          <t>Golgari Signet</t>
        </is>
      </c>
      <c r="K86" s="30" t="inlineStr">
        <is>
          <t>Fun Max</t>
        </is>
      </c>
      <c r="L86" s="31">
        <f>INDEX(B86:J86,MATCH(K86,$B$5:$J$5,0))</f>
        <v/>
      </c>
      <c r="M86" s="22">
        <f>IFERROR(VLOOKUP(L86,Prices!$A:$B,2,FALSE),0)</f>
        <v/>
      </c>
      <c r="N86" s="32">
        <f>IFERROR(INDEX('_why_6f'!$B82:$J82,MATCH(K86,$B$5:$J$5,0)),"")</f>
        <v/>
      </c>
    </row>
    <row r="87">
      <c r="A87" s="28" t="n">
        <v>82</v>
      </c>
      <c r="B87" s="33" t="inlineStr">
        <is>
          <t>Harrow</t>
        </is>
      </c>
      <c r="C87" s="33" t="inlineStr">
        <is>
          <t>Harrow</t>
        </is>
      </c>
      <c r="D87" s="33" t="inlineStr">
        <is>
          <t>Harrow</t>
        </is>
      </c>
      <c r="E87" s="33" t="inlineStr">
        <is>
          <t>Harrow</t>
        </is>
      </c>
      <c r="F87" s="33" t="inlineStr">
        <is>
          <t>Harrow</t>
        </is>
      </c>
      <c r="G87" s="33" t="inlineStr">
        <is>
          <t>Harrow</t>
        </is>
      </c>
      <c r="H87" s="33" t="inlineStr">
        <is>
          <t>Harrow</t>
        </is>
      </c>
      <c r="I87" s="33" t="inlineStr">
        <is>
          <t>Harrow</t>
        </is>
      </c>
      <c r="J87" s="34" t="inlineStr">
        <is>
          <t>Agent of Treachery</t>
        </is>
      </c>
      <c r="K87" s="30" t="inlineStr">
        <is>
          <t>Fun Max</t>
        </is>
      </c>
      <c r="L87" s="31">
        <f>INDEX(B87:J87,MATCH(K87,$B$5:$J$5,0))</f>
        <v/>
      </c>
      <c r="M87" s="22">
        <f>IFERROR(VLOOKUP(L87,Prices!$A:$B,2,FALSE),0)</f>
        <v/>
      </c>
      <c r="N87" s="32">
        <f>IFERROR(INDEX('_why_6f'!$B83:$J83,MATCH(K87,$B$5:$J$5,0)),"")</f>
        <v/>
      </c>
    </row>
    <row r="88">
      <c r="A88" s="28" t="n">
        <v>83</v>
      </c>
      <c r="B88" s="13" t="inlineStr">
        <is>
          <t>Roiling Regrowth</t>
        </is>
      </c>
      <c r="C88" s="13" t="inlineStr">
        <is>
          <t>Roiling Regrowth</t>
        </is>
      </c>
      <c r="D88" s="13" t="inlineStr">
        <is>
          <t>Roiling Regrowth</t>
        </is>
      </c>
      <c r="E88" s="13" t="inlineStr">
        <is>
          <t>Roiling Regrowth</t>
        </is>
      </c>
      <c r="F88" s="13" t="inlineStr">
        <is>
          <t>Roiling Regrowth</t>
        </is>
      </c>
      <c r="G88" s="13" t="inlineStr">
        <is>
          <t>Roiling Regrowth</t>
        </is>
      </c>
      <c r="H88" s="13" t="inlineStr">
        <is>
          <t>Roiling Regrowth</t>
        </is>
      </c>
      <c r="I88" s="13" t="inlineStr">
        <is>
          <t>Roiling Regrowth</t>
        </is>
      </c>
      <c r="J88" s="13" t="inlineStr">
        <is>
          <t>Roiling Regrowth</t>
        </is>
      </c>
      <c r="K88" s="30" t="inlineStr">
        <is>
          <t>Fun Max</t>
        </is>
      </c>
      <c r="L88" s="31">
        <f>INDEX(B88:J88,MATCH(K88,$B$5:$J$5,0))</f>
        <v/>
      </c>
      <c r="M88" s="22">
        <f>IFERROR(VLOOKUP(L88,Prices!$A:$B,2,FALSE),0)</f>
        <v/>
      </c>
      <c r="N88" s="32">
        <f>IFERROR(INDEX('_why_6f'!$B84:$J84,MATCH(K88,$B$5:$J$5,0)),"")</f>
        <v/>
      </c>
    </row>
    <row r="89">
      <c r="A89" s="28" t="n">
        <v>84</v>
      </c>
      <c r="B89" s="33" t="inlineStr">
        <is>
          <t>Casualties of War</t>
        </is>
      </c>
      <c r="C89" s="33" t="inlineStr">
        <is>
          <t>Casualties of War</t>
        </is>
      </c>
      <c r="D89" s="33" t="inlineStr">
        <is>
          <t>Casualties of War</t>
        </is>
      </c>
      <c r="E89" s="33" t="inlineStr">
        <is>
          <t>Casualties of War</t>
        </is>
      </c>
      <c r="F89" s="34" t="inlineStr">
        <is>
          <t>Kogla, the Titan Ape</t>
        </is>
      </c>
      <c r="G89" s="34" t="inlineStr">
        <is>
          <t>Kogla, the Titan Ape</t>
        </is>
      </c>
      <c r="H89" s="34" t="inlineStr">
        <is>
          <t>Kogla, the Titan Ape</t>
        </is>
      </c>
      <c r="I89" s="33" t="inlineStr">
        <is>
          <t>Casualties of War</t>
        </is>
      </c>
      <c r="J89" s="33" t="inlineStr">
        <is>
          <t>Casualties of War</t>
        </is>
      </c>
      <c r="K89" s="30" t="inlineStr">
        <is>
          <t>Fun Max</t>
        </is>
      </c>
      <c r="L89" s="31">
        <f>INDEX(B89:J89,MATCH(K89,$B$5:$J$5,0))</f>
        <v/>
      </c>
      <c r="M89" s="22">
        <f>IFERROR(VLOOKUP(L89,Prices!$A:$B,2,FALSE),0)</f>
        <v/>
      </c>
      <c r="N89" s="32">
        <f>IFERROR(INDEX('_why_6f'!$B85:$J85,MATCH(K89,$B$5:$J$5,0)),"")</f>
        <v/>
      </c>
    </row>
    <row r="90">
      <c r="A90" s="28" t="n">
        <v>85</v>
      </c>
      <c r="B90" s="13" t="inlineStr">
        <is>
          <t>Cast Down</t>
        </is>
      </c>
      <c r="C90" s="13" t="inlineStr">
        <is>
          <t>Cast Down</t>
        </is>
      </c>
      <c r="D90" s="13" t="inlineStr">
        <is>
          <t>Cast Down</t>
        </is>
      </c>
      <c r="E90" s="13" t="inlineStr">
        <is>
          <t>Cast Down</t>
        </is>
      </c>
      <c r="F90" s="13" t="inlineStr">
        <is>
          <t>Cast Down</t>
        </is>
      </c>
      <c r="G90" s="13" t="inlineStr">
        <is>
          <t>Cast Down</t>
        </is>
      </c>
      <c r="H90" s="13" t="inlineStr">
        <is>
          <t>Cast Down</t>
        </is>
      </c>
      <c r="I90" s="13" t="inlineStr">
        <is>
          <t>Cast Down</t>
        </is>
      </c>
      <c r="J90" s="13" t="inlineStr">
        <is>
          <t>Cast Down</t>
        </is>
      </c>
      <c r="K90" s="30" t="inlineStr">
        <is>
          <t>Fun Max</t>
        </is>
      </c>
      <c r="L90" s="31">
        <f>INDEX(B90:J90,MATCH(K90,$B$5:$J$5,0))</f>
        <v/>
      </c>
      <c r="M90" s="22">
        <f>IFERROR(VLOOKUP(L90,Prices!$A:$B,2,FALSE),0)</f>
        <v/>
      </c>
      <c r="N90" s="32">
        <f>IFERROR(INDEX('_why_6f'!$B86:$J86,MATCH(K90,$B$5:$J$5,0)),"")</f>
        <v/>
      </c>
    </row>
    <row r="91">
      <c r="A91" s="28" t="n">
        <v>86</v>
      </c>
      <c r="B91" s="33" t="inlineStr">
        <is>
          <t>Maelstrom Pulse</t>
        </is>
      </c>
      <c r="C91" s="33" t="inlineStr">
        <is>
          <t>Maelstrom Pulse</t>
        </is>
      </c>
      <c r="D91" s="33" t="inlineStr">
        <is>
          <t>Maelstrom Pulse</t>
        </is>
      </c>
      <c r="E91" s="33" t="inlineStr">
        <is>
          <t>Maelstrom Pulse</t>
        </is>
      </c>
      <c r="F91" s="33" t="inlineStr">
        <is>
          <t>Maelstrom Pulse</t>
        </is>
      </c>
      <c r="G91" s="33" t="inlineStr">
        <is>
          <t>Maelstrom Pulse</t>
        </is>
      </c>
      <c r="H91" s="33" t="inlineStr">
        <is>
          <t>Maelstrom Pulse</t>
        </is>
      </c>
      <c r="I91" s="34" t="inlineStr">
        <is>
          <t>Wonder</t>
        </is>
      </c>
      <c r="J91" s="33" t="inlineStr">
        <is>
          <t>Maelstrom Pulse</t>
        </is>
      </c>
      <c r="K91" s="30" t="inlineStr">
        <is>
          <t>Fun Max</t>
        </is>
      </c>
      <c r="L91" s="31">
        <f>INDEX(B91:J91,MATCH(K91,$B$5:$J$5,0))</f>
        <v/>
      </c>
      <c r="M91" s="22">
        <f>IFERROR(VLOOKUP(L91,Prices!$A:$B,2,FALSE),0)</f>
        <v/>
      </c>
      <c r="N91" s="32">
        <f>IFERROR(INDEX('_why_6f'!$B87:$J87,MATCH(K91,$B$5:$J$5,0)),"")</f>
        <v/>
      </c>
    </row>
    <row r="92">
      <c r="A92" s="28" t="n">
        <v>87</v>
      </c>
      <c r="B92" s="13" t="inlineStr">
        <is>
          <t>Cultivate</t>
        </is>
      </c>
      <c r="C92" s="13" t="inlineStr">
        <is>
          <t>Cultivate</t>
        </is>
      </c>
      <c r="D92" s="13" t="inlineStr">
        <is>
          <t>Cultivate</t>
        </is>
      </c>
      <c r="E92" s="13" t="inlineStr">
        <is>
          <t>Cultivate</t>
        </is>
      </c>
      <c r="F92" s="29" t="inlineStr">
        <is>
          <t>Rapid Hybridization</t>
        </is>
      </c>
      <c r="G92" s="29" t="inlineStr">
        <is>
          <t>Rapid Hybridization</t>
        </is>
      </c>
      <c r="H92" s="29" t="inlineStr">
        <is>
          <t>Rapid Hybridization</t>
        </is>
      </c>
      <c r="I92" s="29" t="inlineStr">
        <is>
          <t>Risen Reef</t>
        </is>
      </c>
      <c r="J92" s="13" t="inlineStr">
        <is>
          <t>Cultivate</t>
        </is>
      </c>
      <c r="K92" s="30" t="inlineStr">
        <is>
          <t>Fun Max</t>
        </is>
      </c>
      <c r="L92" s="31">
        <f>INDEX(B92:J92,MATCH(K92,$B$5:$J$5,0))</f>
        <v/>
      </c>
      <c r="M92" s="22">
        <f>IFERROR(VLOOKUP(L92,Prices!$A:$B,2,FALSE),0)</f>
        <v/>
      </c>
      <c r="N92" s="32">
        <f>IFERROR(INDEX('_why_6f'!$B88:$J88,MATCH(K92,$B$5:$J$5,0)),"")</f>
        <v/>
      </c>
    </row>
    <row r="93">
      <c r="A93" s="28" t="n">
        <v>88</v>
      </c>
      <c r="B93" s="33" t="inlineStr">
        <is>
          <t>Arcane Signet</t>
        </is>
      </c>
      <c r="C93" s="33" t="inlineStr">
        <is>
          <t>Arcane Signet</t>
        </is>
      </c>
      <c r="D93" s="33" t="inlineStr">
        <is>
          <t>Arcane Signet</t>
        </is>
      </c>
      <c r="E93" s="33" t="inlineStr">
        <is>
          <t>Arcane Signet</t>
        </is>
      </c>
      <c r="F93" s="33" t="inlineStr">
        <is>
          <t>Arcane Signet</t>
        </is>
      </c>
      <c r="G93" s="33" t="inlineStr">
        <is>
          <t>Arcane Signet</t>
        </is>
      </c>
      <c r="H93" s="33" t="inlineStr">
        <is>
          <t>Arcane Signet</t>
        </is>
      </c>
      <c r="I93" s="33" t="inlineStr">
        <is>
          <t>Arcane Signet</t>
        </is>
      </c>
      <c r="J93" s="33" t="inlineStr">
        <is>
          <t>Arcane Signet</t>
        </is>
      </c>
      <c r="K93" s="30" t="inlineStr">
        <is>
          <t>Fun Max</t>
        </is>
      </c>
      <c r="L93" s="31">
        <f>INDEX(B93:J93,MATCH(K93,$B$5:$J$5,0))</f>
        <v/>
      </c>
      <c r="M93" s="22">
        <f>IFERROR(VLOOKUP(L93,Prices!$A:$B,2,FALSE),0)</f>
        <v/>
      </c>
      <c r="N93" s="32">
        <f>IFERROR(INDEX('_why_6f'!$B89:$J89,MATCH(K93,$B$5:$J$5,0)),"")</f>
        <v/>
      </c>
    </row>
    <row r="94">
      <c r="A94" s="28" t="n">
        <v>89</v>
      </c>
      <c r="B94" s="13" t="inlineStr">
        <is>
          <t>Go for the Throat</t>
        </is>
      </c>
      <c r="C94" s="13" t="inlineStr">
        <is>
          <t>Go for the Throat</t>
        </is>
      </c>
      <c r="D94" s="13" t="inlineStr">
        <is>
          <t>Go for the Throat</t>
        </is>
      </c>
      <c r="E94" s="13" t="inlineStr">
        <is>
          <t>Go for the Throat</t>
        </is>
      </c>
      <c r="F94" s="13" t="inlineStr">
        <is>
          <t>Go for the Throat</t>
        </is>
      </c>
      <c r="G94" s="13" t="inlineStr">
        <is>
          <t>Go for the Throat</t>
        </is>
      </c>
      <c r="H94" s="13" t="inlineStr">
        <is>
          <t>Go for the Throat</t>
        </is>
      </c>
      <c r="I94" s="13" t="inlineStr">
        <is>
          <t>Go for the Throat</t>
        </is>
      </c>
      <c r="J94" s="13" t="inlineStr">
        <is>
          <t>Go for the Throat</t>
        </is>
      </c>
      <c r="K94" s="30" t="inlineStr">
        <is>
          <t>Fun Max</t>
        </is>
      </c>
      <c r="L94" s="31">
        <f>INDEX(B94:J94,MATCH(K94,$B$5:$J$5,0))</f>
        <v/>
      </c>
      <c r="M94" s="22">
        <f>IFERROR(VLOOKUP(L94,Prices!$A:$B,2,FALSE),0)</f>
        <v/>
      </c>
      <c r="N94" s="32">
        <f>IFERROR(INDEX('_why_6f'!$B90:$J90,MATCH(K94,$B$5:$J$5,0)),"")</f>
        <v/>
      </c>
    </row>
    <row r="95">
      <c r="A95" s="28" t="n">
        <v>90</v>
      </c>
      <c r="B95" s="33" t="inlineStr">
        <is>
          <t>Rampant Growth</t>
        </is>
      </c>
      <c r="C95" s="33" t="inlineStr">
        <is>
          <t>Rampant Growth</t>
        </is>
      </c>
      <c r="D95" s="33" t="inlineStr">
        <is>
          <t>Rampant Growth</t>
        </is>
      </c>
      <c r="E95" s="33" t="inlineStr">
        <is>
          <t>Rampant Growth</t>
        </is>
      </c>
      <c r="F95" s="33" t="inlineStr">
        <is>
          <t>Rampant Growth</t>
        </is>
      </c>
      <c r="G95" s="33" t="inlineStr">
        <is>
          <t>Rampant Growth</t>
        </is>
      </c>
      <c r="H95" s="33" t="inlineStr">
        <is>
          <t>Rampant Growth</t>
        </is>
      </c>
      <c r="I95" s="33" t="inlineStr">
        <is>
          <t>Rampant Growth</t>
        </is>
      </c>
      <c r="J95" s="33" t="inlineStr">
        <is>
          <t>Rampant Growth</t>
        </is>
      </c>
      <c r="K95" s="30" t="inlineStr">
        <is>
          <t>Fun Max</t>
        </is>
      </c>
      <c r="L95" s="31">
        <f>INDEX(B95:J95,MATCH(K95,$B$5:$J$5,0))</f>
        <v/>
      </c>
      <c r="M95" s="22">
        <f>IFERROR(VLOOKUP(L95,Prices!$A:$B,2,FALSE),0)</f>
        <v/>
      </c>
      <c r="N95" s="32">
        <f>IFERROR(INDEX('_why_6f'!$B91:$J91,MATCH(K95,$B$5:$J$5,0)),"")</f>
        <v/>
      </c>
    </row>
    <row r="96">
      <c r="A96" s="28" t="n">
        <v>91</v>
      </c>
      <c r="B96" s="13" t="inlineStr">
        <is>
          <t>Assassin's Trophy</t>
        </is>
      </c>
      <c r="C96" s="13" t="inlineStr">
        <is>
          <t>Assassin's Trophy</t>
        </is>
      </c>
      <c r="D96" s="13" t="inlineStr">
        <is>
          <t>Assassin's Trophy</t>
        </is>
      </c>
      <c r="E96" s="13" t="inlineStr">
        <is>
          <t>Assassin's Trophy</t>
        </is>
      </c>
      <c r="F96" s="13" t="inlineStr">
        <is>
          <t>Assassin's Trophy</t>
        </is>
      </c>
      <c r="G96" s="13" t="inlineStr">
        <is>
          <t>Assassin's Trophy</t>
        </is>
      </c>
      <c r="H96" s="13" t="inlineStr">
        <is>
          <t>Assassin's Trophy</t>
        </is>
      </c>
      <c r="I96" s="13" t="inlineStr">
        <is>
          <t>Assassin's Trophy</t>
        </is>
      </c>
      <c r="J96" s="13" t="inlineStr">
        <is>
          <t>Assassin's Trophy</t>
        </is>
      </c>
      <c r="K96" s="30" t="inlineStr">
        <is>
          <t>Fun Max</t>
        </is>
      </c>
      <c r="L96" s="31">
        <f>INDEX(B96:J96,MATCH(K96,$B$5:$J$5,0))</f>
        <v/>
      </c>
      <c r="M96" s="22">
        <f>IFERROR(VLOOKUP(L96,Prices!$A:$B,2,FALSE),0)</f>
        <v/>
      </c>
      <c r="N96" s="32">
        <f>IFERROR(INDEX('_why_6f'!$B92:$J92,MATCH(K96,$B$5:$J$5,0)),"")</f>
        <v/>
      </c>
    </row>
    <row r="97">
      <c r="A97" s="28" t="n">
        <v>92</v>
      </c>
      <c r="B97" s="33" t="inlineStr">
        <is>
          <t>Kodama's Reach</t>
        </is>
      </c>
      <c r="C97" s="33" t="inlineStr">
        <is>
          <t>Kodama's Reach</t>
        </is>
      </c>
      <c r="D97" s="33" t="inlineStr">
        <is>
          <t>Kodama's Reach</t>
        </is>
      </c>
      <c r="E97" s="33" t="inlineStr">
        <is>
          <t>Kodama's Reach</t>
        </is>
      </c>
      <c r="F97" s="34" t="inlineStr">
        <is>
          <t>Pongify</t>
        </is>
      </c>
      <c r="G97" s="34" t="inlineStr">
        <is>
          <t>Pongify</t>
        </is>
      </c>
      <c r="H97" s="34" t="inlineStr">
        <is>
          <t>Pongify</t>
        </is>
      </c>
      <c r="I97" s="34" t="inlineStr">
        <is>
          <t>Zagoth Triome</t>
        </is>
      </c>
      <c r="J97" s="34" t="inlineStr">
        <is>
          <t>Woodland Bellower</t>
        </is>
      </c>
      <c r="K97" s="30" t="inlineStr">
        <is>
          <t>Fun Max</t>
        </is>
      </c>
      <c r="L97" s="31">
        <f>INDEX(B97:J97,MATCH(K97,$B$5:$J$5,0))</f>
        <v/>
      </c>
      <c r="M97" s="22">
        <f>IFERROR(VLOOKUP(L97,Prices!$A:$B,2,FALSE),0)</f>
        <v/>
      </c>
      <c r="N97" s="32">
        <f>IFERROR(INDEX('_why_6f'!$B93:$J93,MATCH(K97,$B$5:$J$5,0)),"")</f>
        <v/>
      </c>
    </row>
    <row r="98">
      <c r="A98" s="28" t="n">
        <v>93</v>
      </c>
      <c r="B98" s="13" t="inlineStr">
        <is>
          <t>Sol Ring</t>
        </is>
      </c>
      <c r="C98" s="13" t="inlineStr">
        <is>
          <t>Sol Ring</t>
        </is>
      </c>
      <c r="D98" s="13" t="inlineStr">
        <is>
          <t>Sol Ring</t>
        </is>
      </c>
      <c r="E98" s="13" t="inlineStr">
        <is>
          <t>Sol Ring</t>
        </is>
      </c>
      <c r="F98" s="13" t="inlineStr">
        <is>
          <t>Sol Ring</t>
        </is>
      </c>
      <c r="G98" s="13" t="inlineStr">
        <is>
          <t>Sol Ring</t>
        </is>
      </c>
      <c r="H98" s="13" t="inlineStr">
        <is>
          <t>Sol Ring</t>
        </is>
      </c>
      <c r="I98" s="13" t="inlineStr">
        <is>
          <t>Sol Ring</t>
        </is>
      </c>
      <c r="J98" s="13" t="inlineStr">
        <is>
          <t>Sol Ring</t>
        </is>
      </c>
      <c r="K98" s="30" t="inlineStr">
        <is>
          <t>Fun Max</t>
        </is>
      </c>
      <c r="L98" s="31">
        <f>INDEX(B98:J98,MATCH(K98,$B$5:$J$5,0))</f>
        <v/>
      </c>
      <c r="M98" s="22">
        <f>IFERROR(VLOOKUP(L98,Prices!$A:$B,2,FALSE),0)</f>
        <v/>
      </c>
      <c r="N98" s="32">
        <f>IFERROR(INDEX('_why_6f'!$B94:$J94,MATCH(K98,$B$5:$J$5,0)),"")</f>
        <v/>
      </c>
    </row>
    <row r="99">
      <c r="A99" s="28" t="n">
        <v>94</v>
      </c>
      <c r="B99" s="33" t="inlineStr">
        <is>
          <t>Mind Stone</t>
        </is>
      </c>
      <c r="C99" s="33" t="inlineStr">
        <is>
          <t>Mind Stone</t>
        </is>
      </c>
      <c r="D99" s="33" t="inlineStr">
        <is>
          <t>Mind Stone</t>
        </is>
      </c>
      <c r="E99" s="33" t="inlineStr">
        <is>
          <t>Mind Stone</t>
        </is>
      </c>
      <c r="F99" s="33" t="inlineStr">
        <is>
          <t>Mind Stone</t>
        </is>
      </c>
      <c r="G99" s="33" t="inlineStr">
        <is>
          <t>Mind Stone</t>
        </is>
      </c>
      <c r="H99" s="33" t="inlineStr">
        <is>
          <t>Mind Stone</t>
        </is>
      </c>
      <c r="I99" s="33" t="inlineStr">
        <is>
          <t>Mind Stone</t>
        </is>
      </c>
      <c r="J99" s="33" t="inlineStr">
        <is>
          <t>Mind Stone</t>
        </is>
      </c>
      <c r="K99" s="30" t="inlineStr">
        <is>
          <t>Fun Max</t>
        </is>
      </c>
      <c r="L99" s="31">
        <f>INDEX(B99:J99,MATCH(K99,$B$5:$J$5,0))</f>
        <v/>
      </c>
      <c r="M99" s="22">
        <f>IFERROR(VLOOKUP(L99,Prices!$A:$B,2,FALSE),0)</f>
        <v/>
      </c>
      <c r="N99" s="32">
        <f>IFERROR(INDEX('_why_6f'!$B95:$J95,MATCH(K99,$B$5:$J$5,0)),"")</f>
        <v/>
      </c>
    </row>
    <row r="100">
      <c r="A100" s="28" t="n">
        <v>95</v>
      </c>
      <c r="B100" s="13" t="inlineStr">
        <is>
          <t>Giant's Boulder</t>
        </is>
      </c>
      <c r="C100" s="13" t="inlineStr">
        <is>
          <t>Giant's Boulder</t>
        </is>
      </c>
      <c r="D100" s="13" t="inlineStr">
        <is>
          <t>Giant's Boulder</t>
        </is>
      </c>
      <c r="E100" s="13" t="inlineStr">
        <is>
          <t>Giant's Boulder</t>
        </is>
      </c>
      <c r="F100" s="13" t="inlineStr">
        <is>
          <t>Giant's Boulder</t>
        </is>
      </c>
      <c r="G100" s="13" t="inlineStr">
        <is>
          <t>Giant's Boulder</t>
        </is>
      </c>
      <c r="H100" s="13" t="inlineStr">
        <is>
          <t>Giant's Boulder</t>
        </is>
      </c>
      <c r="I100" s="13" t="inlineStr">
        <is>
          <t>Giant's Boulder</t>
        </is>
      </c>
      <c r="J100" s="13" t="inlineStr">
        <is>
          <t>Giant's Boulder</t>
        </is>
      </c>
      <c r="K100" s="30" t="inlineStr">
        <is>
          <t>Fun Max</t>
        </is>
      </c>
      <c r="L100" s="31">
        <f>INDEX(B100:J100,MATCH(K100,$B$5:$J$5,0))</f>
        <v/>
      </c>
      <c r="M100" s="22">
        <f>IFERROR(VLOOKUP(L100,Prices!$A:$B,2,FALSE),0)</f>
        <v/>
      </c>
      <c r="N100" s="32">
        <f>IFERROR(INDEX('_why_6f'!$B96:$J96,MATCH(K100,$B$5:$J$5,0)),"")</f>
        <v/>
      </c>
    </row>
    <row r="101">
      <c r="A101" s="28" t="n">
        <v>96</v>
      </c>
      <c r="B101" s="33" t="inlineStr">
        <is>
          <t>Grisly Salvage</t>
        </is>
      </c>
      <c r="C101" s="33" t="inlineStr">
        <is>
          <t>Grisly Salvage</t>
        </is>
      </c>
      <c r="D101" s="33" t="inlineStr">
        <is>
          <t>Grisly Salvage</t>
        </is>
      </c>
      <c r="E101" s="33" t="inlineStr">
        <is>
          <t>Grisly Salvage</t>
        </is>
      </c>
      <c r="F101" s="33" t="inlineStr">
        <is>
          <t>Grisly Salvage</t>
        </is>
      </c>
      <c r="G101" s="33" t="inlineStr">
        <is>
          <t>Grisly Salvage</t>
        </is>
      </c>
      <c r="H101" s="33" t="inlineStr">
        <is>
          <t>Grisly Salvage</t>
        </is>
      </c>
      <c r="I101" s="33" t="inlineStr">
        <is>
          <t>Grisly Salvage</t>
        </is>
      </c>
      <c r="J101" s="33" t="inlineStr">
        <is>
          <t>Grisly Salvage</t>
        </is>
      </c>
      <c r="K101" s="30" t="inlineStr">
        <is>
          <t>Fun Max</t>
        </is>
      </c>
      <c r="L101" s="31">
        <f>INDEX(B101:J101,MATCH(K101,$B$5:$J$5,0))</f>
        <v/>
      </c>
      <c r="M101" s="22">
        <f>IFERROR(VLOOKUP(L101,Prices!$A:$B,2,FALSE),0)</f>
        <v/>
      </c>
      <c r="N101" s="32">
        <f>IFERROR(INDEX('_why_6f'!$B97:$J97,MATCH(K101,$B$5:$J$5,0)),"")</f>
        <v/>
      </c>
    </row>
    <row r="102">
      <c r="A102" s="28" t="n">
        <v>97</v>
      </c>
      <c r="B102" s="13" t="inlineStr">
        <is>
          <t>Mulch</t>
        </is>
      </c>
      <c r="C102" s="13" t="inlineStr">
        <is>
          <t>Mulch</t>
        </is>
      </c>
      <c r="D102" s="13" t="inlineStr">
        <is>
          <t>Mulch</t>
        </is>
      </c>
      <c r="E102" s="13" t="inlineStr">
        <is>
          <t>Mulch</t>
        </is>
      </c>
      <c r="F102" s="13" t="inlineStr">
        <is>
          <t>Mulch</t>
        </is>
      </c>
      <c r="G102" s="13" t="inlineStr">
        <is>
          <t>Mulch</t>
        </is>
      </c>
      <c r="H102" s="13" t="inlineStr">
        <is>
          <t>Mulch</t>
        </is>
      </c>
      <c r="I102" s="13" t="inlineStr">
        <is>
          <t>Mulch</t>
        </is>
      </c>
      <c r="J102" s="13" t="inlineStr">
        <is>
          <t>Mulch</t>
        </is>
      </c>
      <c r="K102" s="30" t="inlineStr">
        <is>
          <t>Fun Max</t>
        </is>
      </c>
      <c r="L102" s="31">
        <f>INDEX(B102:J102,MATCH(K102,$B$5:$J$5,0))</f>
        <v/>
      </c>
      <c r="M102" s="22">
        <f>IFERROR(VLOOKUP(L102,Prices!$A:$B,2,FALSE),0)</f>
        <v/>
      </c>
      <c r="N102" s="32">
        <f>IFERROR(INDEX('_why_6f'!$B98:$J98,MATCH(K102,$B$5:$J$5,0)),"")</f>
        <v/>
      </c>
    </row>
    <row r="103">
      <c r="A103" s="28" t="n">
        <v>98</v>
      </c>
      <c r="B103" s="33" t="inlineStr">
        <is>
          <t>Growth Spiral</t>
        </is>
      </c>
      <c r="C103" s="33" t="inlineStr">
        <is>
          <t>Growth Spiral</t>
        </is>
      </c>
      <c r="D103" s="33" t="inlineStr">
        <is>
          <t>Growth Spiral</t>
        </is>
      </c>
      <c r="E103" s="33" t="inlineStr">
        <is>
          <t>Growth Spiral</t>
        </is>
      </c>
      <c r="F103" s="33" t="inlineStr">
        <is>
          <t>Growth Spiral</t>
        </is>
      </c>
      <c r="G103" s="33" t="inlineStr">
        <is>
          <t>Growth Spiral</t>
        </is>
      </c>
      <c r="H103" s="33" t="inlineStr">
        <is>
          <t>Growth Spiral</t>
        </is>
      </c>
      <c r="I103" s="33" t="inlineStr">
        <is>
          <t>Growth Spiral</t>
        </is>
      </c>
      <c r="J103" s="33" t="inlineStr">
        <is>
          <t>Growth Spiral</t>
        </is>
      </c>
      <c r="K103" s="30" t="inlineStr">
        <is>
          <t>Fun Max</t>
        </is>
      </c>
      <c r="L103" s="31">
        <f>INDEX(B103:J103,MATCH(K103,$B$5:$J$5,0))</f>
        <v/>
      </c>
      <c r="M103" s="22">
        <f>IFERROR(VLOOKUP(L103,Prices!$A:$B,2,FALSE),0)</f>
        <v/>
      </c>
      <c r="N103" s="32">
        <f>IFERROR(INDEX('_why_6f'!$B99:$J99,MATCH(K103,$B$5:$J$5,0)),"")</f>
        <v/>
      </c>
    </row>
    <row r="104">
      <c r="A104" s="28" t="n">
        <v>99</v>
      </c>
      <c r="B104" s="13" t="inlineStr">
        <is>
          <t>Inspiring Call</t>
        </is>
      </c>
      <c r="C104" s="13" t="inlineStr">
        <is>
          <t>Inspiring Call</t>
        </is>
      </c>
      <c r="D104" s="13" t="inlineStr">
        <is>
          <t>Inspiring Call</t>
        </is>
      </c>
      <c r="E104" s="13" t="inlineStr">
        <is>
          <t>Inspiring Call</t>
        </is>
      </c>
      <c r="F104" s="13" t="inlineStr">
        <is>
          <t>Inspiring Call</t>
        </is>
      </c>
      <c r="G104" s="13" t="inlineStr">
        <is>
          <t>Inspiring Call</t>
        </is>
      </c>
      <c r="H104" s="13" t="inlineStr">
        <is>
          <t>Inspiring Call</t>
        </is>
      </c>
      <c r="I104" s="13" t="inlineStr">
        <is>
          <t>Inspiring Call</t>
        </is>
      </c>
      <c r="J104" s="13" t="inlineStr">
        <is>
          <t>Inspiring Call</t>
        </is>
      </c>
      <c r="K104" s="30" t="inlineStr">
        <is>
          <t>Fun Max</t>
        </is>
      </c>
      <c r="L104" s="31">
        <f>INDEX(B104:J104,MATCH(K104,$B$5:$J$5,0))</f>
        <v/>
      </c>
      <c r="M104" s="22">
        <f>IFERROR(VLOOKUP(L104,Prices!$A:$B,2,FALSE),0)</f>
        <v/>
      </c>
      <c r="N104" s="32">
        <f>IFERROR(INDEX('_why_6f'!$B100:$J100,MATCH(K104,$B$5:$J$5,0)),"")</f>
        <v/>
      </c>
    </row>
    <row r="105">
      <c r="A105" s="28" t="n">
        <v>100</v>
      </c>
      <c r="B105" s="33" t="inlineStr">
        <is>
          <t>Deadly Dispute</t>
        </is>
      </c>
      <c r="C105" s="33" t="inlineStr">
        <is>
          <t>Deadly Dispute</t>
        </is>
      </c>
      <c r="D105" s="33" t="inlineStr">
        <is>
          <t>Deadly Dispute</t>
        </is>
      </c>
      <c r="E105" s="33" t="inlineStr">
        <is>
          <t>Deadly Dispute</t>
        </is>
      </c>
      <c r="F105" s="33" t="inlineStr">
        <is>
          <t>Deadly Dispute</t>
        </is>
      </c>
      <c r="G105" s="33" t="inlineStr">
        <is>
          <t>Deadly Dispute</t>
        </is>
      </c>
      <c r="H105" s="33" t="inlineStr">
        <is>
          <t>Deadly Dispute</t>
        </is>
      </c>
      <c r="I105" s="33" t="inlineStr">
        <is>
          <t>Deadly Dispute</t>
        </is>
      </c>
      <c r="J105" s="33" t="inlineStr">
        <is>
          <t>Deadly Dispute</t>
        </is>
      </c>
      <c r="K105" s="30" t="inlineStr">
        <is>
          <t>Fun Max</t>
        </is>
      </c>
      <c r="L105" s="31">
        <f>INDEX(B105:J105,MATCH(K105,$B$5:$J$5,0))</f>
        <v/>
      </c>
      <c r="M105" s="22">
        <f>IFERROR(VLOOKUP(L105,Prices!$A:$B,2,FALSE),0)</f>
        <v/>
      </c>
      <c r="N105" s="32">
        <f>IFERROR(INDEX('_why_6f'!$B101:$J101,MATCH(K105,$B$5:$J$5,0)),"")</f>
        <v/>
      </c>
    </row>
    <row r="106">
      <c r="A106" s="9" t="inlineStr">
        <is>
          <t>TOTALS</t>
        </is>
      </c>
      <c r="B106" s="35" t="n">
        <v>91.01000000000001</v>
      </c>
      <c r="C106" s="35" t="n">
        <v>179.1</v>
      </c>
      <c r="D106" s="35" t="n">
        <v>179.1</v>
      </c>
      <c r="E106" s="35" t="n">
        <v>328.51</v>
      </c>
      <c r="F106" s="35" t="n">
        <v>240</v>
      </c>
      <c r="G106" s="35" t="n">
        <v>262.04</v>
      </c>
      <c r="H106" s="35" t="n">
        <v>331.37</v>
      </c>
      <c r="I106" s="35" t="n">
        <v>181.21</v>
      </c>
      <c r="J106" s="35" t="n">
        <v>322.98</v>
      </c>
      <c r="L106" s="9" t="inlineStr">
        <is>
          <t>Your selection →</t>
        </is>
      </c>
      <c r="M106" s="35">
        <f>SUM(M6:M105)</f>
        <v/>
      </c>
    </row>
    <row r="108">
      <c r="A108" s="36" t="inlineStr">
        <is>
          <t>Every row defaults to Fun Max — the newest engine, the full ceiling, and the same commander you already chose. It is a starting point, not a recommendation: change any row. Adopting an Alt column is a commander swap, so it is deliberately never the default; read the Summary tab's alternative-commander block first. Card totals are the full retail value of every card in that column, not what you still need to buy. Amber text marks a card that differs from Base.</t>
        </is>
      </c>
    </row>
  </sheetData>
  <mergeCells count="6">
    <mergeCell ref="I4:J4"/>
    <mergeCell ref="B4:E4"/>
    <mergeCell ref="A2:N2"/>
    <mergeCell ref="F4:H4"/>
    <mergeCell ref="A108:N108"/>
    <mergeCell ref="A1:N1"/>
  </mergeCells>
  <dataValidations count="1">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"Base,Tuned,Enhance,Max,Tuned-2,Enhance-2,Max-2,Fun Tuned,Fun Max"</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J101"/>
  <sheetViews>
    <sheetView showGridLines="0" workbookViewId="0">
      <selection activeCell="A1" sqref="A1"/>
    </sheetView>
  </sheetViews>
  <sheetFormatPr baseColWidth="8" defaultRowHeight="15"/>
  <sheetData>
    <row r="1">
      <c r="B1" t="inlineStr">
        <is>
          <t>Base</t>
        </is>
      </c>
      <c r="C1" t="inlineStr">
        <is>
          <t>Tuned</t>
        </is>
      </c>
      <c r="D1" t="inlineStr">
        <is>
          <t>Enhance</t>
        </is>
      </c>
      <c r="E1" t="inlineStr">
        <is>
          <t>Max</t>
        </is>
      </c>
      <c r="F1" t="inlineStr">
        <is>
          <t>Tuned-2</t>
        </is>
      </c>
      <c r="G1" t="inlineStr">
        <is>
          <t>Enhance-2</t>
        </is>
      </c>
      <c r="H1" t="inlineStr">
        <is>
          <t>Max-2</t>
        </is>
      </c>
      <c r="I1" t="inlineStr">
        <is>
          <t>Fun Tuned</t>
        </is>
      </c>
      <c r="J1" t="inlineStr">
        <is>
          <t>Fun Max</t>
        </is>
      </c>
    </row>
    <row r="2">
      <c r="A2" t="n">
        <v>1</v>
      </c>
      <c r="B2" t="inlineStr"/>
      <c r="C2" t="inlineStr"/>
      <c r="D2" t="inlineStr"/>
      <c r="E2" t="inlineStr"/>
      <c r="F2" t="inlineStr"/>
      <c r="G2" t="inlineStr"/>
      <c r="H2" t="inlineStr"/>
      <c r="I2" t="inlineStr"/>
      <c r="J2" t="inlineStr"/>
    </row>
    <row r="3">
      <c r="A3" t="n">
        <v>2</v>
      </c>
      <c r="B3" t="inlineStr"/>
      <c r="C3" t="inlineStr"/>
      <c r="D3" t="inlineStr"/>
      <c r="E3" t="inlineStr"/>
      <c r="F3" t="inlineStr"/>
      <c r="G3" t="inlineStr"/>
      <c r="H3" t="inlineStr"/>
      <c r="I3" t="inlineStr"/>
      <c r="J3" t="inlineStr"/>
    </row>
    <row r="4">
      <c r="A4" t="n">
        <v>3</v>
      </c>
      <c r="B4" t="inlineStr"/>
      <c r="C4" t="inlineStr"/>
      <c r="D4" t="inlineStr"/>
      <c r="E4" t="inlineStr"/>
      <c r="F4" t="inlineStr"/>
      <c r="G4" t="inlineStr"/>
      <c r="H4" t="inlineStr"/>
      <c r="I4" t="inlineStr"/>
      <c r="J4" t="inlineStr"/>
    </row>
    <row r="5">
      <c r="A5" t="n">
        <v>4</v>
      </c>
      <c r="B5" t="inlineStr"/>
      <c r="C5" t="inlineStr"/>
      <c r="D5" t="inlineStr"/>
      <c r="E5" t="inlineStr"/>
      <c r="F5" t="inlineStr"/>
      <c r="G5" t="inlineStr"/>
      <c r="H5" t="inlineStr"/>
      <c r="I5" t="inlineStr"/>
      <c r="J5" t="inlineStr"/>
    </row>
    <row r="6">
      <c r="A6" t="n">
        <v>5</v>
      </c>
      <c r="B6" t="inlineStr"/>
      <c r="C6" t="inlineStr"/>
      <c r="D6" t="inlineStr"/>
      <c r="E6" t="inlineStr"/>
      <c r="F6" t="inlineStr"/>
      <c r="G6" t="inlineStr"/>
      <c r="H6" t="inlineStr"/>
      <c r="I6" t="inlineStr"/>
      <c r="J6" t="inlineStr"/>
    </row>
    <row r="7">
      <c r="A7" t="n">
        <v>6</v>
      </c>
      <c r="B7" t="inlineStr"/>
      <c r="C7" t="inlineStr"/>
      <c r="D7" t="inlineStr"/>
      <c r="E7" t="inlineStr"/>
      <c r="F7" t="inlineStr"/>
      <c r="G7" t="inlineStr"/>
      <c r="H7" t="inlineStr"/>
      <c r="I7" t="inlineStr"/>
      <c r="J7" t="inlineStr"/>
    </row>
    <row r="8">
      <c r="A8" t="n">
        <v>7</v>
      </c>
      <c r="B8" t="inlineStr"/>
      <c r="C8" t="inlineStr"/>
      <c r="D8" t="inlineStr"/>
      <c r="E8" t="inlineStr"/>
      <c r="F8" t="inlineStr"/>
      <c r="G8" t="inlineStr"/>
      <c r="H8" t="inlineStr"/>
      <c r="I8" t="inlineStr"/>
      <c r="J8" t="inlineStr"/>
    </row>
    <row r="9">
      <c r="A9" t="n">
        <v>8</v>
      </c>
      <c r="B9" t="inlineStr"/>
      <c r="C9" t="inlineStr"/>
      <c r="D9" t="inlineStr"/>
      <c r="E9" t="inlineStr"/>
      <c r="F9" t="inlineStr"/>
      <c r="G9" t="inlineStr"/>
      <c r="H9" t="inlineStr"/>
      <c r="I9" t="inlineStr"/>
      <c r="J9" t="inlineStr"/>
    </row>
    <row r="10">
      <c r="A10" t="n">
        <v>9</v>
      </c>
      <c r="B10" t="inlineStr"/>
      <c r="C10" t="inlineStr"/>
      <c r="D10" t="inlineStr"/>
      <c r="E10" t="inlineStr"/>
      <c r="F10" t="inlineStr"/>
      <c r="G10" t="inlineStr"/>
      <c r="H10" t="inlineStr"/>
      <c r="I10" t="inlineStr"/>
      <c r="J10" t="inlineStr"/>
    </row>
    <row r="11">
      <c r="A11" t="n">
        <v>10</v>
      </c>
      <c r="B11" t="inlineStr"/>
      <c r="C11" t="inlineStr"/>
      <c r="D11" t="inlineStr"/>
      <c r="E11" t="inlineStr"/>
      <c r="F11" t="inlineStr"/>
      <c r="G11" t="inlineStr"/>
      <c r="H11" t="inlineStr"/>
      <c r="I11" t="inlineStr"/>
      <c r="J11" t="inlineStr"/>
    </row>
    <row r="12">
      <c r="A12" t="n">
        <v>11</v>
      </c>
      <c r="B12" t="inlineStr"/>
      <c r="C12" t="inlineStr"/>
      <c r="D12" t="inlineStr"/>
      <c r="E12" t="inlineStr"/>
      <c r="F12" t="inlineStr"/>
      <c r="G12" t="inlineStr"/>
      <c r="H12" t="inlineStr"/>
      <c r="I12" t="inlineStr"/>
      <c r="J12" t="inlineStr"/>
    </row>
    <row r="13">
      <c r="A13" t="n">
        <v>12</v>
      </c>
      <c r="B13" t="inlineStr"/>
      <c r="C13" t="inlineStr"/>
      <c r="D13" t="inlineStr"/>
      <c r="E13" t="inlineStr"/>
      <c r="F13" t="inlineStr"/>
      <c r="G13" t="inlineStr"/>
      <c r="H13" t="inlineStr"/>
      <c r="I13" t="inlineStr"/>
      <c r="J13" t="inlineStr"/>
    </row>
    <row r="14">
      <c r="A14" t="n">
        <v>13</v>
      </c>
      <c r="B14" t="inlineStr"/>
      <c r="C14" t="inlineStr"/>
      <c r="D14" t="inlineStr"/>
      <c r="E14" t="inlineStr"/>
      <c r="F14" t="inlineStr"/>
      <c r="G14" t="inlineStr"/>
      <c r="H14" t="inlineStr"/>
      <c r="I14" t="inlineStr"/>
      <c r="J14" t="inlineStr"/>
    </row>
    <row r="15">
      <c r="A15" t="n">
        <v>14</v>
      </c>
      <c r="B15" t="inlineStr"/>
      <c r="C15" t="inlineStr"/>
      <c r="D15" t="inlineStr"/>
      <c r="E15" t="inlineStr"/>
      <c r="F15" t="inlineStr"/>
      <c r="G15" t="inlineStr"/>
      <c r="H15" t="inlineStr"/>
      <c r="I15" t="inlineStr"/>
      <c r="J15" t="inlineStr"/>
    </row>
    <row r="16">
      <c r="A16" t="n">
        <v>15</v>
      </c>
      <c r="B16" t="inlineStr"/>
      <c r="C16" t="inlineStr"/>
      <c r="D16" t="inlineStr"/>
      <c r="E16" t="inlineStr"/>
      <c r="F16" t="inlineStr"/>
      <c r="G16" t="inlineStr"/>
      <c r="H16" t="inlineStr"/>
      <c r="I16" t="inlineStr"/>
      <c r="J16" t="inlineStr"/>
    </row>
    <row r="17">
      <c r="A17" t="n">
        <v>16</v>
      </c>
      <c r="B17" t="inlineStr"/>
      <c r="C17" t="inlineStr"/>
      <c r="D17" t="inlineStr"/>
      <c r="E17" t="inlineStr"/>
      <c r="F17" t="inlineStr"/>
      <c r="G17" t="inlineStr"/>
      <c r="H17" t="inlineStr"/>
      <c r="I17" t="inlineStr"/>
      <c r="J17" t="inlineStr"/>
    </row>
    <row r="18">
      <c r="A18" t="n">
        <v>17</v>
      </c>
      <c r="B18" t="inlineStr"/>
      <c r="C18" t="inlineStr"/>
      <c r="D18" t="inlineStr"/>
      <c r="E18" t="inlineStr"/>
      <c r="F18" t="inlineStr"/>
      <c r="G18" t="inlineStr"/>
      <c r="H18" t="inlineStr"/>
      <c r="I18" t="inlineStr"/>
      <c r="J18" t="inlineStr"/>
    </row>
    <row r="19">
      <c r="A19" t="n">
        <v>18</v>
      </c>
      <c r="B19" t="inlineStr"/>
      <c r="C19" t="inlineStr"/>
      <c r="D19" t="inlineStr"/>
      <c r="E19" t="inlineStr"/>
      <c r="F19" t="inlineStr"/>
      <c r="G19" t="inlineStr"/>
      <c r="H19" t="inlineStr"/>
      <c r="I19" t="inlineStr"/>
      <c r="J19" t="inlineStr"/>
    </row>
    <row r="20">
      <c r="A20" t="n">
        <v>19</v>
      </c>
      <c r="B20" t="inlineStr"/>
      <c r="C20" t="inlineStr"/>
      <c r="D20" t="inlineStr"/>
      <c r="E20" t="inlineStr"/>
      <c r="F20" t="inlineStr"/>
      <c r="G20" t="inlineStr"/>
      <c r="H20" t="inlineStr"/>
      <c r="I20" t="inlineStr"/>
      <c r="J20" t="inlineStr"/>
    </row>
    <row r="21">
      <c r="A21" t="n">
        <v>20</v>
      </c>
      <c r="B21" t="inlineStr"/>
      <c r="C21" t="inlineStr"/>
      <c r="D21" t="inlineStr"/>
      <c r="E21" t="inlineStr"/>
      <c r="F21" t="inlineStr"/>
      <c r="G21" t="inlineStr"/>
      <c r="H21" t="inlineStr"/>
      <c r="I21" t="inlineStr"/>
      <c r="J21" t="inlineStr"/>
    </row>
    <row r="22">
      <c r="A22" t="n">
        <v>21</v>
      </c>
      <c r="B22" t="inlineStr"/>
      <c r="C22" t="inlineStr"/>
      <c r="D22" t="inlineStr"/>
      <c r="E22" t="inlineStr"/>
      <c r="F22" t="inlineStr"/>
      <c r="G22" t="inlineStr"/>
      <c r="H22" t="inlineStr"/>
      <c r="I22" t="inlineStr"/>
      <c r="J22" t="inlineStr"/>
    </row>
    <row r="23">
      <c r="A23" t="n">
        <v>22</v>
      </c>
      <c r="B23" t="inlineStr"/>
      <c r="C23" t="inlineStr"/>
      <c r="D23" t="inlineStr"/>
      <c r="E23" t="inlineStr"/>
      <c r="F23" t="inlineStr"/>
      <c r="G23" t="inlineStr"/>
      <c r="H23" t="inlineStr"/>
      <c r="I23" t="inlineStr"/>
      <c r="J23" t="inlineStr"/>
    </row>
    <row r="24">
      <c r="A24" t="n">
        <v>23</v>
      </c>
      <c r="B24" t="inlineStr"/>
      <c r="C24" t="inlineStr"/>
      <c r="D24" t="inlineStr"/>
      <c r="E24" t="inlineStr"/>
      <c r="F24" t="inlineStr"/>
      <c r="G24" t="inlineStr"/>
      <c r="H24" t="inlineStr"/>
      <c r="I24" t="inlineStr"/>
      <c r="J24" t="inlineStr"/>
    </row>
    <row r="25">
      <c r="A25" t="n">
        <v>24</v>
      </c>
      <c r="B25" t="inlineStr"/>
      <c r="C25" t="inlineStr"/>
      <c r="D25" t="inlineStr"/>
      <c r="E25" t="inlineStr"/>
      <c r="F25" t="inlineStr"/>
      <c r="G25" t="inlineStr"/>
      <c r="H25" t="inlineStr"/>
      <c r="I25" t="inlineStr"/>
      <c r="J25" t="inlineStr"/>
    </row>
    <row r="26">
      <c r="A26" t="n">
        <v>25</v>
      </c>
      <c r="B26" t="inlineStr"/>
      <c r="C26" t="inlineStr"/>
      <c r="D26" t="inlineStr"/>
      <c r="E26" t="inlineStr"/>
      <c r="F26" t="inlineStr"/>
      <c r="G26" t="inlineStr"/>
      <c r="H26" t="inlineStr"/>
      <c r="I26" t="inlineStr"/>
      <c r="J26" t="inlineStr"/>
    </row>
    <row r="27">
      <c r="A27" t="n">
        <v>26</v>
      </c>
      <c r="B27" t="inlineStr"/>
      <c r="C27" t="inlineStr"/>
      <c r="D27" t="inlineStr"/>
      <c r="E27" t="inlineStr"/>
      <c r="F27" t="inlineStr"/>
      <c r="G27" t="inlineStr"/>
      <c r="H27" t="inlineStr"/>
      <c r="I27" t="inlineStr"/>
      <c r="J27" t="inlineStr"/>
    </row>
    <row r="28">
      <c r="A28" t="n">
        <v>27</v>
      </c>
      <c r="B28" t="inlineStr"/>
      <c r="C28" t="inlineStr"/>
      <c r="D28" t="inlineStr"/>
      <c r="E28" t="inlineStr"/>
      <c r="F28" t="inlineStr"/>
      <c r="G28" t="inlineStr"/>
      <c r="H28" t="inlineStr"/>
      <c r="I28" t="inlineStr"/>
      <c r="J28" t="inlineStr"/>
    </row>
    <row r="29">
      <c r="A29" t="n">
        <v>28</v>
      </c>
      <c r="B29" t="inlineStr"/>
      <c r="C29" t="inlineStr"/>
      <c r="D29" t="inlineStr"/>
      <c r="E29" t="inlineStr"/>
      <c r="F29" t="inlineStr"/>
      <c r="G29" t="inlineStr"/>
      <c r="H29" t="inlineStr"/>
      <c r="I29" t="inlineStr"/>
      <c r="J29" t="inlineStr"/>
    </row>
    <row r="30">
      <c r="A30" t="n">
        <v>29</v>
      </c>
      <c r="B30" t="inlineStr"/>
      <c r="C30" t="inlineStr"/>
      <c r="D30" t="inlineStr"/>
      <c r="E30" t="inlineStr"/>
      <c r="F30" t="inlineStr"/>
      <c r="G30" t="inlineStr"/>
      <c r="H30" t="inlineStr"/>
      <c r="I30" t="inlineStr"/>
      <c r="J30" t="inlineStr"/>
    </row>
    <row r="31">
      <c r="A31" t="n">
        <v>30</v>
      </c>
      <c r="B31" t="inlineStr"/>
      <c r="C31" t="inlineStr"/>
      <c r="D31" t="inlineStr"/>
      <c r="E31" t="inlineStr"/>
      <c r="F31" t="inlineStr"/>
      <c r="G31" t="inlineStr"/>
      <c r="H31" t="inlineStr"/>
      <c r="I31" t="inlineStr"/>
      <c r="J31" t="inlineStr"/>
    </row>
    <row r="32">
      <c r="A32" t="n">
        <v>31</v>
      </c>
      <c r="B32" t="inlineStr"/>
      <c r="C32" t="inlineStr"/>
      <c r="D32" t="inlineStr"/>
      <c r="E32" t="inlineStr"/>
      <c r="F32" t="inlineStr"/>
      <c r="G32" t="inlineStr"/>
      <c r="H32" t="inlineStr"/>
      <c r="I32" t="inlineStr"/>
      <c r="J32" t="inlineStr"/>
    </row>
    <row r="33">
      <c r="A33" t="n">
        <v>32</v>
      </c>
      <c r="B33" t="inlineStr"/>
      <c r="C33" t="inlineStr"/>
      <c r="D33" t="inlineStr"/>
      <c r="E33" t="inlineStr"/>
      <c r="F33" t="inlineStr"/>
      <c r="G33" t="inlineStr"/>
      <c r="H33" t="inlineStr"/>
      <c r="I33" t="inlineStr"/>
      <c r="J33" t="inlineStr"/>
    </row>
    <row r="34">
      <c r="A34" t="n">
        <v>33</v>
      </c>
      <c r="B34" t="inlineStr"/>
      <c r="C34" t="inlineStr"/>
      <c r="D34" t="inlineStr"/>
      <c r="E34" t="inlineStr"/>
      <c r="F34" t="inlineStr"/>
      <c r="G34" t="inlineStr"/>
      <c r="H34" t="inlineStr"/>
      <c r="I34" t="inlineStr"/>
      <c r="J34" t="inlineStr"/>
    </row>
    <row r="35">
      <c r="A35" t="n">
        <v>34</v>
      </c>
      <c r="B35" t="inlineStr"/>
      <c r="C35" t="inlineStr"/>
      <c r="D35" t="inlineStr"/>
      <c r="E35" t="inlineStr"/>
      <c r="F35" t="inlineStr"/>
      <c r="G35" t="inlineStr"/>
      <c r="H35" t="inlineStr"/>
      <c r="I35" t="inlineStr"/>
      <c r="J35" t="inlineStr"/>
    </row>
    <row r="36">
      <c r="A36" t="n">
        <v>35</v>
      </c>
      <c r="B36" t="inlineStr"/>
      <c r="C36" t="inlineStr"/>
      <c r="D36" t="inlineStr"/>
      <c r="E36" t="inlineStr"/>
      <c r="F36" t="inlineStr"/>
      <c r="G36" t="inlineStr"/>
      <c r="H36" t="inlineStr"/>
      <c r="I36" t="inlineStr"/>
      <c r="J36" t="inlineStr"/>
    </row>
    <row r="37">
      <c r="A37" t="n">
        <v>36</v>
      </c>
      <c r="B37" t="inlineStr"/>
      <c r="C37" t="inlineStr"/>
      <c r="D37" t="inlineStr"/>
      <c r="E37" t="inlineStr"/>
      <c r="F37" t="inlineStr"/>
      <c r="G37" t="inlineStr"/>
      <c r="H37" t="inlineStr"/>
      <c r="I37" t="inlineStr"/>
      <c r="J37" t="inlineStr"/>
    </row>
    <row r="38">
      <c r="A38" t="n">
        <v>37</v>
      </c>
      <c r="B38" t="inlineStr"/>
      <c r="C38" t="inlineStr"/>
      <c r="D38" t="inlineStr"/>
      <c r="E38" t="inlineStr"/>
      <c r="F38" t="inlineStr"/>
      <c r="G38" t="inlineStr"/>
      <c r="H38" t="inlineStr"/>
      <c r="I38" t="inlineStr"/>
      <c r="J38" t="inlineStr"/>
    </row>
    <row r="39">
      <c r="A39" t="n">
        <v>38</v>
      </c>
      <c r="B39" t="inlineStr"/>
      <c r="C39" t="inlineStr"/>
      <c r="D39" t="inlineStr"/>
      <c r="E39" t="inlineStr"/>
      <c r="F39" t="inlineStr">
        <is>
          <t>Replaces Panharmonicon (adds removal/protection). Evidence: the card it replaces was cast in 86% of the games it was drawn; sat dead in hand 14% of the time; landed on turn 8.7 on average; the deck won 45% of games it was cast in.</t>
        </is>
      </c>
      <c r="G39" t="inlineStr"/>
      <c r="H39" t="inlineStr"/>
      <c r="I39" t="inlineStr">
        <is>
          <t>Replaces Zendikar's Roil (adds removal/protection). Evidence: the card it replaces was cast in 74% of the games it was drawn; sat dead in hand 26% of the time; landed on turn 9.2 on average; the deck won 35% of games it was cast in.</t>
        </is>
      </c>
      <c r="J39" t="inlineStr">
        <is>
          <t>Replaces Harrow (adds removal/protection). Evidence: the card it replaces was cast in 89% of the games it was drawn; sat dead in hand 11% of the time; landed on turn 6.0 on average; the deck won 36% of games it was cast in.</t>
        </is>
      </c>
    </row>
    <row r="40">
      <c r="A40" t="n">
        <v>39</v>
      </c>
      <c r="B40" t="inlineStr"/>
      <c r="C40" t="inlineStr"/>
      <c r="D40" t="inlineStr"/>
      <c r="E40" t="inlineStr"/>
      <c r="F40" t="inlineStr"/>
      <c r="G40" t="inlineStr"/>
      <c r="H40" t="inlineStr"/>
      <c r="I40" t="inlineStr">
        <is>
          <t>Replaces Maelstrom Pulse (adds removal/protection). Evidence: the card it replaces was cast in 85% of the games it was drawn; sat dead in hand 15% of the time; landed on turn 7.7 on average; the deck won 30% of games it was cast in.</t>
        </is>
      </c>
      <c r="J40" t="inlineStr">
        <is>
          <t>Replaces Kodama's Reach (adds removal/protection). Evidence: the card it replaces was cast in 88% of the games it was drawn; sat dead in hand 12% of the time; landed on turn 7.8 on average; the deck won 35% of games it was cast in.</t>
        </is>
      </c>
    </row>
    <row r="41">
      <c r="A41" t="n">
        <v>40</v>
      </c>
      <c r="B41" t="inlineStr"/>
      <c r="C41" t="inlineStr"/>
      <c r="D41" t="inlineStr"/>
      <c r="E41" t="inlineStr"/>
      <c r="F41" t="inlineStr"/>
      <c r="G41" t="inlineStr"/>
      <c r="H41" t="inlineStr"/>
      <c r="I41" t="inlineStr">
        <is>
          <t>Replaces Cultivate (adds removal/protection). Evidence: the card it replaces was cast in 87% of the games it was drawn; sat dead in hand 13% of the time; landed on turn 7.9 on average; the deck won 33% of games it was cast in.</t>
        </is>
      </c>
      <c r="J41" t="inlineStr">
        <is>
          <t>Replaces Panharmonicon (adds removal/protection). Evidence: the card it replaces was cast in 83% of the games it was drawn; sat dead in hand 17% of the time; landed on turn 8.3 on average; the deck won 35% of games it was cast in.</t>
        </is>
      </c>
    </row>
    <row r="42">
      <c r="A42" t="n">
        <v>41</v>
      </c>
      <c r="B42" t="inlineStr"/>
      <c r="C42" t="inlineStr"/>
      <c r="D42" t="inlineStr"/>
      <c r="E42" t="inlineStr"/>
      <c r="F42" t="inlineStr"/>
      <c r="G42" t="inlineStr"/>
      <c r="H42" t="inlineStr"/>
      <c r="I42" t="inlineStr">
        <is>
          <t>Replaces Kodama's Reach (adds removal/protection). Evidence: the card it replaces was cast in 86% of the games it was drawn; sat dead in hand 14% of the time; landed on turn 7.7 on average; the deck won 34% of games it was cast in.</t>
        </is>
      </c>
      <c r="J42" t="inlineStr"/>
    </row>
    <row r="43">
      <c r="A43" t="n">
        <v>42</v>
      </c>
      <c r="B43" t="inlineStr"/>
      <c r="C43" t="inlineStr"/>
      <c r="D43" t="inlineStr"/>
      <c r="E43" t="inlineStr"/>
      <c r="F43" t="inlineStr"/>
      <c r="G43" t="inlineStr"/>
      <c r="H43" t="inlineStr"/>
      <c r="I43" t="inlineStr"/>
      <c r="J43" t="inlineStr"/>
    </row>
    <row r="44">
      <c r="A44" t="n">
        <v>43</v>
      </c>
      <c r="B44" t="inlineStr"/>
      <c r="C44" t="inlineStr"/>
      <c r="D44" t="inlineStr"/>
      <c r="E44" t="inlineStr"/>
      <c r="F44" t="inlineStr"/>
      <c r="G44" t="inlineStr"/>
      <c r="H44" t="inlineStr"/>
      <c r="I44" t="inlineStr"/>
      <c r="J44" t="inlineStr"/>
    </row>
    <row r="45">
      <c r="A45" t="n">
        <v>44</v>
      </c>
      <c r="B45" t="inlineStr"/>
      <c r="C45" t="inlineStr"/>
      <c r="D45" t="inlineStr"/>
      <c r="E45" t="inlineStr"/>
      <c r="F45" t="inlineStr"/>
      <c r="G45" t="inlineStr"/>
      <c r="H45" t="inlineStr"/>
      <c r="I45" t="inlineStr"/>
      <c r="J45" t="inlineStr"/>
    </row>
    <row r="46">
      <c r="A46" t="n">
        <v>45</v>
      </c>
      <c r="B46" t="inlineStr"/>
      <c r="C46" t="inlineStr"/>
      <c r="D46" t="inlineStr"/>
      <c r="E46" t="inlineStr"/>
      <c r="F46" t="inlineStr"/>
      <c r="G46" t="inlineStr"/>
      <c r="H46" t="inlineStr"/>
      <c r="I46" t="inlineStr"/>
      <c r="J46" t="inlineStr"/>
    </row>
    <row r="47">
      <c r="A47" t="n">
        <v>46</v>
      </c>
      <c r="B47" t="inlineStr"/>
      <c r="C47" t="inlineStr"/>
      <c r="D47" t="inlineStr"/>
      <c r="E47" t="inlineStr"/>
      <c r="F47" t="inlineStr"/>
      <c r="G47" t="inlineStr"/>
      <c r="H47" t="inlineStr"/>
      <c r="I47" t="inlineStr"/>
      <c r="J47" t="inlineStr"/>
    </row>
    <row r="48">
      <c r="A48" t="n">
        <v>47</v>
      </c>
      <c r="B48" t="inlineStr"/>
      <c r="C48" t="inlineStr"/>
      <c r="D48" t="inlineStr"/>
      <c r="E48" t="inlineStr"/>
      <c r="F48" t="inlineStr"/>
      <c r="G48" t="inlineStr"/>
      <c r="H48" t="inlineStr"/>
      <c r="I48" t="inlineStr"/>
      <c r="J48" t="inlineStr"/>
    </row>
    <row r="49">
      <c r="A49" t="n">
        <v>48</v>
      </c>
      <c r="B49" t="inlineStr"/>
      <c r="C49" t="inlineStr"/>
      <c r="D49" t="inlineStr"/>
      <c r="E49" t="inlineStr"/>
      <c r="F49" t="inlineStr"/>
      <c r="G49" t="inlineStr"/>
      <c r="H49" t="inlineStr"/>
      <c r="I49" t="inlineStr"/>
      <c r="J49" t="inlineStr"/>
    </row>
    <row r="50">
      <c r="A50" t="n">
        <v>49</v>
      </c>
      <c r="B50" t="inlineStr"/>
      <c r="C50" t="inlineStr"/>
      <c r="D50" t="inlineStr"/>
      <c r="E50" t="inlineStr"/>
      <c r="F50" t="inlineStr"/>
      <c r="G50" t="inlineStr"/>
      <c r="H50" t="inlineStr"/>
      <c r="I50" t="inlineStr"/>
      <c r="J50" t="inlineStr"/>
    </row>
    <row r="51">
      <c r="A51" t="n">
        <v>50</v>
      </c>
      <c r="B51" t="inlineStr"/>
      <c r="C51" t="inlineStr"/>
      <c r="D51" t="inlineStr"/>
      <c r="E51" t="inlineStr"/>
      <c r="F51" t="inlineStr"/>
      <c r="G51" t="inlineStr"/>
      <c r="H51" t="inlineStr"/>
      <c r="I51" t="inlineStr"/>
      <c r="J51" t="inlineStr"/>
    </row>
    <row r="52">
      <c r="A52" t="n">
        <v>51</v>
      </c>
      <c r="B52" t="inlineStr"/>
      <c r="C52" t="inlineStr"/>
      <c r="D52" t="inlineStr"/>
      <c r="E52" t="inlineStr"/>
      <c r="F52" t="inlineStr"/>
      <c r="G52" t="inlineStr"/>
      <c r="H52" t="inlineStr"/>
      <c r="I52" t="inlineStr"/>
      <c r="J52" t="inlineStr"/>
    </row>
    <row r="53">
      <c r="A53" t="n">
        <v>52</v>
      </c>
      <c r="B53" t="inlineStr"/>
      <c r="C53" t="inlineStr"/>
      <c r="D53" t="inlineStr"/>
      <c r="E53" t="inlineStr"/>
      <c r="F53" t="inlineStr"/>
      <c r="G53" t="inlineStr"/>
      <c r="H53" t="inlineStr"/>
      <c r="I53" t="inlineStr"/>
      <c r="J53" t="inlineStr"/>
    </row>
    <row r="54">
      <c r="A54" t="n">
        <v>53</v>
      </c>
      <c r="B54" t="inlineStr"/>
      <c r="C54" t="inlineStr"/>
      <c r="D54" t="inlineStr"/>
      <c r="E54" t="inlineStr"/>
      <c r="F54" t="inlineStr"/>
      <c r="G54" t="inlineStr"/>
      <c r="H54" t="inlineStr"/>
      <c r="I54" t="inlineStr"/>
      <c r="J54" t="inlineStr"/>
    </row>
    <row r="55">
      <c r="A55" t="n">
        <v>54</v>
      </c>
      <c r="B55" t="inlineStr"/>
      <c r="C55" t="inlineStr"/>
      <c r="D55" t="inlineStr"/>
      <c r="E55" t="inlineStr"/>
      <c r="F55" t="inlineStr"/>
      <c r="G55" t="inlineStr"/>
      <c r="H55" t="inlineStr"/>
      <c r="I55" t="inlineStr"/>
      <c r="J55" t="inlineStr"/>
    </row>
    <row r="56">
      <c r="A56" t="n">
        <v>55</v>
      </c>
      <c r="B56" t="inlineStr"/>
      <c r="C56" t="inlineStr"/>
      <c r="D56" t="inlineStr"/>
      <c r="E56" t="inlineStr"/>
      <c r="F56" t="inlineStr"/>
      <c r="G56" t="inlineStr"/>
      <c r="H56" t="inlineStr"/>
      <c r="I56" t="inlineStr"/>
      <c r="J56" t="inlineStr"/>
    </row>
    <row r="57">
      <c r="A57" t="n">
        <v>56</v>
      </c>
      <c r="B57" t="inlineStr"/>
      <c r="C57" t="inlineStr"/>
      <c r="D57" t="inlineStr"/>
      <c r="E57" t="inlineStr"/>
      <c r="F57" t="inlineStr"/>
      <c r="G57" t="inlineStr"/>
      <c r="H57" t="inlineStr"/>
      <c r="I57" t="inlineStr"/>
      <c r="J57" t="inlineStr"/>
    </row>
    <row r="58">
      <c r="A58" t="n">
        <v>57</v>
      </c>
      <c r="B58" t="inlineStr"/>
      <c r="C58" t="inlineStr"/>
      <c r="D58" t="inlineStr"/>
      <c r="E58" t="inlineStr"/>
      <c r="F58" t="inlineStr"/>
      <c r="G58" t="inlineStr"/>
      <c r="H58" t="inlineStr"/>
      <c r="I58" t="inlineStr"/>
      <c r="J58" t="inlineStr"/>
    </row>
    <row r="59">
      <c r="A59" t="n">
        <v>58</v>
      </c>
      <c r="B59" t="inlineStr"/>
      <c r="C59" t="inlineStr"/>
      <c r="D59" t="inlineStr"/>
      <c r="E59" t="inlineStr"/>
      <c r="F59" t="inlineStr"/>
      <c r="G59" t="inlineStr"/>
      <c r="H59" t="inlineStr"/>
      <c r="I59" t="inlineStr"/>
      <c r="J59" t="inlineStr"/>
    </row>
    <row r="60">
      <c r="A60" t="n">
        <v>59</v>
      </c>
      <c r="B60" t="inlineStr"/>
      <c r="C60" t="inlineStr"/>
      <c r="D60" t="inlineStr"/>
      <c r="E60" t="inlineStr"/>
      <c r="F60" t="inlineStr"/>
      <c r="G60" t="inlineStr"/>
      <c r="H60" t="inlineStr"/>
      <c r="I60" t="inlineStr"/>
      <c r="J60" t="inlineStr"/>
    </row>
    <row r="61">
      <c r="A61" t="n">
        <v>60</v>
      </c>
      <c r="B61" t="inlineStr"/>
      <c r="C61" t="inlineStr"/>
      <c r="D61" t="inlineStr"/>
      <c r="E61" t="inlineStr"/>
      <c r="F61" t="inlineStr"/>
      <c r="G61" t="inlineStr"/>
      <c r="H61" t="inlineStr"/>
      <c r="I61" t="inlineStr"/>
      <c r="J61" t="inlineStr"/>
    </row>
    <row r="62">
      <c r="A62" t="n">
        <v>61</v>
      </c>
      <c r="B62" t="inlineStr"/>
      <c r="C62" t="inlineStr"/>
      <c r="D62" t="inlineStr"/>
      <c r="E62" t="inlineStr"/>
      <c r="F62" t="inlineStr"/>
      <c r="G62" t="inlineStr"/>
      <c r="H62" t="inlineStr"/>
      <c r="I62" t="inlineStr"/>
      <c r="J62" t="inlineStr"/>
    </row>
    <row r="63">
      <c r="A63" t="n">
        <v>62</v>
      </c>
      <c r="B63" t="inlineStr"/>
      <c r="C63" t="inlineStr"/>
      <c r="D63" t="inlineStr"/>
      <c r="E63" t="inlineStr"/>
      <c r="F63" t="inlineStr"/>
      <c r="G63" t="inlineStr"/>
      <c r="H63" t="inlineStr"/>
      <c r="I63" t="inlineStr"/>
      <c r="J63" t="inlineStr"/>
    </row>
    <row r="64">
      <c r="A64" t="n">
        <v>63</v>
      </c>
      <c r="B64" t="inlineStr"/>
      <c r="C64" t="inlineStr"/>
      <c r="D64" t="inlineStr"/>
      <c r="E64" t="inlineStr"/>
      <c r="F64" t="inlineStr"/>
      <c r="G64" t="inlineStr"/>
      <c r="H64" t="inlineStr"/>
      <c r="I64" t="inlineStr"/>
      <c r="J64" t="inlineStr"/>
    </row>
    <row r="65">
      <c r="A65" t="n">
        <v>64</v>
      </c>
      <c r="B65" t="inlineStr"/>
      <c r="C65" t="inlineStr"/>
      <c r="D65" t="inlineStr"/>
      <c r="E65" t="inlineStr"/>
      <c r="F65" t="inlineStr"/>
      <c r="G65" t="inlineStr"/>
      <c r="H65" t="inlineStr"/>
      <c r="I65" t="inlineStr"/>
      <c r="J65" t="inlineStr"/>
    </row>
    <row r="66">
      <c r="A66" t="n">
        <v>65</v>
      </c>
      <c r="B66" t="inlineStr"/>
      <c r="C66" t="inlineStr"/>
      <c r="D66" t="inlineStr"/>
      <c r="E66" t="inlineStr"/>
      <c r="F66" t="inlineStr"/>
      <c r="G66" t="inlineStr"/>
      <c r="H66" t="inlineStr"/>
      <c r="I66" t="inlineStr"/>
      <c r="J66" t="inlineStr"/>
    </row>
    <row r="67">
      <c r="A67" t="n">
        <v>66</v>
      </c>
      <c r="B67" t="inlineStr"/>
      <c r="C67" t="inlineStr"/>
      <c r="D67" t="inlineStr"/>
      <c r="E67" t="inlineStr"/>
      <c r="F67" t="inlineStr">
        <is>
          <t>Replaces Putrefy (adds removal/protection/finisher/threat). Evidence: the card it replaces was cast in 86% of the games it was drawn; sat dead in hand 14% of the time; landed on turn 8.7 on average; the deck won 44% of games it was cast in.</t>
        </is>
      </c>
      <c r="G67" t="inlineStr"/>
      <c r="H67" t="inlineStr"/>
      <c r="I67" t="inlineStr"/>
      <c r="J67" t="inlineStr"/>
    </row>
    <row r="68">
      <c r="A68" t="n">
        <v>67</v>
      </c>
      <c r="B68" t="inlineStr"/>
      <c r="C68" t="inlineStr"/>
      <c r="D68" t="inlineStr"/>
      <c r="E68" t="inlineStr"/>
      <c r="F68" t="inlineStr"/>
      <c r="G68" t="inlineStr"/>
      <c r="H68" t="inlineStr"/>
      <c r="I68" t="inlineStr"/>
      <c r="J68" t="inlineStr"/>
    </row>
    <row r="69">
      <c r="A69" t="n">
        <v>68</v>
      </c>
      <c r="B69" t="inlineStr"/>
      <c r="C69" t="inlineStr"/>
      <c r="D69" t="inlineStr"/>
      <c r="E69" t="inlineStr"/>
      <c r="F69" t="inlineStr"/>
      <c r="G69" t="inlineStr"/>
      <c r="H69" t="inlineStr"/>
      <c r="I69" t="inlineStr"/>
      <c r="J69" t="inlineStr"/>
    </row>
    <row r="70">
      <c r="A70" t="n">
        <v>69</v>
      </c>
      <c r="B70" t="inlineStr"/>
      <c r="C70" t="inlineStr"/>
      <c r="D70" t="inlineStr"/>
      <c r="E70" t="inlineStr"/>
      <c r="F70" t="inlineStr"/>
      <c r="G70" t="inlineStr"/>
      <c r="H70" t="inlineStr"/>
      <c r="I70" t="inlineStr"/>
      <c r="J70" t="inlineStr"/>
    </row>
    <row r="71">
      <c r="A71" t="n">
        <v>70</v>
      </c>
      <c r="B71" t="inlineStr"/>
      <c r="C71" t="inlineStr"/>
      <c r="D71" t="inlineStr"/>
      <c r="E71" t="inlineStr"/>
      <c r="F71" t="inlineStr"/>
      <c r="G71" t="inlineStr"/>
      <c r="H71" t="inlineStr"/>
      <c r="I71" t="inlineStr"/>
      <c r="J71" t="inlineStr"/>
    </row>
    <row r="72">
      <c r="A72" t="n">
        <v>71</v>
      </c>
      <c r="B72" t="inlineStr"/>
      <c r="C72" t="inlineStr"/>
      <c r="D72" t="inlineStr"/>
      <c r="E72" t="inlineStr"/>
      <c r="F72" t="inlineStr"/>
      <c r="G72" t="inlineStr"/>
      <c r="H72" t="inlineStr"/>
      <c r="I72" t="inlineStr"/>
      <c r="J72" t="inlineStr"/>
    </row>
    <row r="73">
      <c r="A73" t="n">
        <v>72</v>
      </c>
      <c r="B73" t="inlineStr"/>
      <c r="C73" t="inlineStr"/>
      <c r="D73" t="inlineStr"/>
      <c r="E73" t="inlineStr"/>
      <c r="F73" t="inlineStr"/>
      <c r="G73" t="inlineStr"/>
      <c r="H73" t="inlineStr"/>
      <c r="I73" t="inlineStr"/>
      <c r="J73" t="inlineStr"/>
    </row>
    <row r="74">
      <c r="A74" t="n">
        <v>73</v>
      </c>
      <c r="B74" t="inlineStr"/>
      <c r="C74" t="inlineStr"/>
      <c r="D74" t="inlineStr"/>
      <c r="E74" t="inlineStr"/>
      <c r="F74" t="inlineStr"/>
      <c r="G74" t="inlineStr"/>
      <c r="H74" t="inlineStr"/>
      <c r="I74" t="inlineStr"/>
      <c r="J74" t="inlineStr"/>
    </row>
    <row r="75">
      <c r="A75" t="n">
        <v>74</v>
      </c>
      <c r="B75" t="inlineStr"/>
      <c r="C75" t="inlineStr"/>
      <c r="D75" t="inlineStr"/>
      <c r="E75" t="inlineStr"/>
      <c r="F75" t="inlineStr"/>
      <c r="G75" t="inlineStr"/>
      <c r="H75" t="inlineStr"/>
      <c r="I75" t="inlineStr"/>
      <c r="J75" t="inlineStr"/>
    </row>
    <row r="76">
      <c r="A76" t="n">
        <v>75</v>
      </c>
      <c r="B76" t="inlineStr"/>
      <c r="C76" t="inlineStr"/>
      <c r="D76" t="inlineStr"/>
      <c r="E76" t="inlineStr"/>
      <c r="F76" t="inlineStr"/>
      <c r="G76" t="inlineStr"/>
      <c r="H76" t="inlineStr"/>
      <c r="I76" t="inlineStr"/>
      <c r="J76" t="inlineStr"/>
    </row>
    <row r="77">
      <c r="A77" t="n">
        <v>76</v>
      </c>
      <c r="B77" t="inlineStr"/>
      <c r="C77" t="inlineStr"/>
      <c r="D77" t="inlineStr"/>
      <c r="E77" t="inlineStr"/>
      <c r="F77" t="inlineStr"/>
      <c r="G77" t="inlineStr"/>
      <c r="H77" t="inlineStr"/>
      <c r="I77" t="inlineStr"/>
      <c r="J77" t="inlineStr"/>
    </row>
    <row r="78">
      <c r="A78" t="n">
        <v>77</v>
      </c>
      <c r="B78" t="inlineStr"/>
      <c r="C78" t="inlineStr"/>
      <c r="D78" t="inlineStr"/>
      <c r="E78" t="inlineStr"/>
      <c r="F78" t="inlineStr"/>
      <c r="G78" t="inlineStr"/>
      <c r="H78" t="inlineStr"/>
      <c r="I78" t="inlineStr"/>
      <c r="J78" t="inlineStr"/>
    </row>
    <row r="79">
      <c r="A79" t="n">
        <v>78</v>
      </c>
      <c r="B79" t="inlineStr"/>
      <c r="C79" t="inlineStr"/>
      <c r="D79" t="inlineStr"/>
      <c r="E79" t="inlineStr"/>
      <c r="F79" t="inlineStr"/>
      <c r="G79" t="inlineStr"/>
      <c r="H79" t="inlineStr"/>
      <c r="I79" t="inlineStr"/>
      <c r="J79" t="inlineStr"/>
    </row>
    <row r="80">
      <c r="A80" t="n">
        <v>79</v>
      </c>
      <c r="B80" t="inlineStr"/>
      <c r="C80" t="inlineStr"/>
      <c r="D80" t="inlineStr"/>
      <c r="E80" t="inlineStr"/>
      <c r="F80" t="inlineStr"/>
      <c r="G80" t="inlineStr"/>
      <c r="H80" t="inlineStr"/>
      <c r="I80" t="inlineStr"/>
      <c r="J80" t="inlineStr"/>
    </row>
    <row r="81">
      <c r="A81" t="n">
        <v>80</v>
      </c>
      <c r="B81" t="inlineStr"/>
      <c r="C81" t="inlineStr"/>
      <c r="D81" t="inlineStr"/>
      <c r="E81" t="inlineStr"/>
      <c r="F81" t="inlineStr"/>
      <c r="G81" t="inlineStr"/>
      <c r="H81" t="inlineStr"/>
      <c r="I81" t="inlineStr"/>
      <c r="J81" t="inlineStr"/>
    </row>
    <row r="82">
      <c r="A82" t="n">
        <v>81</v>
      </c>
      <c r="B82" t="inlineStr"/>
      <c r="C82" t="inlineStr"/>
      <c r="D82" t="inlineStr"/>
      <c r="E82" t="inlineStr"/>
      <c r="F82" t="inlineStr"/>
      <c r="G82" t="inlineStr"/>
      <c r="H82" t="inlineStr"/>
      <c r="I82" t="inlineStr"/>
      <c r="J82" t="inlineStr"/>
    </row>
    <row r="83">
      <c r="A83" t="n">
        <v>82</v>
      </c>
      <c r="B83" t="inlineStr"/>
      <c r="C83" t="inlineStr"/>
      <c r="D83" t="inlineStr"/>
      <c r="E83" t="inlineStr"/>
      <c r="F83" t="inlineStr"/>
      <c r="G83" t="inlineStr"/>
      <c r="H83" t="inlineStr"/>
      <c r="I83" t="inlineStr"/>
      <c r="J83" t="inlineStr"/>
    </row>
    <row r="84">
      <c r="A84" t="n">
        <v>83</v>
      </c>
      <c r="B84" t="inlineStr"/>
      <c r="C84" t="inlineStr"/>
      <c r="D84" t="inlineStr"/>
      <c r="E84" t="inlineStr"/>
      <c r="F84" t="inlineStr"/>
      <c r="G84" t="inlineStr"/>
      <c r="H84" t="inlineStr"/>
      <c r="I84" t="inlineStr"/>
      <c r="J84" t="inlineStr"/>
    </row>
    <row r="85">
      <c r="A85" t="n">
        <v>84</v>
      </c>
      <c r="B85" t="inlineStr"/>
      <c r="C85" t="inlineStr"/>
      <c r="D85" t="inlineStr"/>
      <c r="E85" t="inlineStr"/>
      <c r="F85" t="inlineStr">
        <is>
          <t>Replaces Casualties of War (adds removal/protection/finisher/threat). Evidence: the card it replaces was cast in 80% of the games it was drawn; sat dead in hand 20% of the time; landed on turn 9.4 on average; the deck won 47% of games it was cast in.</t>
        </is>
      </c>
      <c r="G85" t="inlineStr"/>
      <c r="H85" t="inlineStr"/>
      <c r="I85" t="inlineStr"/>
      <c r="J85" t="inlineStr"/>
    </row>
    <row r="86">
      <c r="A86" t="n">
        <v>85</v>
      </c>
      <c r="B86" t="inlineStr"/>
      <c r="C86" t="inlineStr"/>
      <c r="D86" t="inlineStr"/>
      <c r="E86" t="inlineStr"/>
      <c r="F86" t="inlineStr"/>
      <c r="G86" t="inlineStr"/>
      <c r="H86" t="inlineStr"/>
      <c r="I86" t="inlineStr"/>
      <c r="J86" t="inlineStr"/>
    </row>
    <row r="87">
      <c r="A87" t="n">
        <v>86</v>
      </c>
      <c r="B87" t="inlineStr"/>
      <c r="C87" t="inlineStr"/>
      <c r="D87" t="inlineStr"/>
      <c r="E87" t="inlineStr"/>
      <c r="F87" t="inlineStr"/>
      <c r="G87" t="inlineStr"/>
      <c r="H87" t="inlineStr"/>
      <c r="I87" t="inlineStr"/>
      <c r="J87" t="inlineStr"/>
    </row>
    <row r="88">
      <c r="A88" t="n">
        <v>87</v>
      </c>
      <c r="B88" t="inlineStr"/>
      <c r="C88" t="inlineStr"/>
      <c r="D88" t="inlineStr"/>
      <c r="E88" t="inlineStr"/>
      <c r="F88" t="inlineStr">
        <is>
          <t>Replaces Cultivate (adds removal/protection). Evidence: the card it replaces was cast in 89% of the games it was drawn; sat dead in hand 11% of the time; landed on turn 8.2 on average; the deck won 44% of games it was cast in.</t>
        </is>
      </c>
      <c r="G88" t="inlineStr"/>
      <c r="H88" t="inlineStr"/>
      <c r="I88" t="inlineStr"/>
      <c r="J88" t="inlineStr"/>
    </row>
    <row r="89">
      <c r="A89" t="n">
        <v>88</v>
      </c>
      <c r="B89" t="inlineStr"/>
      <c r="C89" t="inlineStr"/>
      <c r="D89" t="inlineStr"/>
      <c r="E89" t="inlineStr"/>
      <c r="F89" t="inlineStr"/>
      <c r="G89" t="inlineStr"/>
      <c r="H89" t="inlineStr"/>
      <c r="I89" t="inlineStr"/>
      <c r="J89" t="inlineStr"/>
    </row>
    <row r="90">
      <c r="A90" t="n">
        <v>89</v>
      </c>
      <c r="B90" t="inlineStr"/>
      <c r="C90" t="inlineStr"/>
      <c r="D90" t="inlineStr"/>
      <c r="E90" t="inlineStr"/>
      <c r="F90" t="inlineStr"/>
      <c r="G90" t="inlineStr"/>
      <c r="H90" t="inlineStr"/>
      <c r="I90" t="inlineStr"/>
      <c r="J90" t="inlineStr"/>
    </row>
    <row r="91">
      <c r="A91" t="n">
        <v>90</v>
      </c>
      <c r="B91" t="inlineStr"/>
      <c r="C91" t="inlineStr"/>
      <c r="D91" t="inlineStr"/>
      <c r="E91" t="inlineStr"/>
      <c r="F91" t="inlineStr"/>
      <c r="G91" t="inlineStr"/>
      <c r="H91" t="inlineStr"/>
      <c r="I91" t="inlineStr"/>
      <c r="J91" t="inlineStr"/>
    </row>
    <row r="92">
      <c r="A92" t="n">
        <v>91</v>
      </c>
      <c r="B92" t="inlineStr"/>
      <c r="C92" t="inlineStr"/>
      <c r="D92" t="inlineStr"/>
      <c r="E92" t="inlineStr"/>
      <c r="F92" t="inlineStr"/>
      <c r="G92" t="inlineStr"/>
      <c r="H92" t="inlineStr"/>
      <c r="I92" t="inlineStr"/>
      <c r="J92" t="inlineStr"/>
    </row>
    <row r="93">
      <c r="A93" t="n">
        <v>92</v>
      </c>
      <c r="B93" t="inlineStr"/>
      <c r="C93" t="inlineStr"/>
      <c r="D93" t="inlineStr"/>
      <c r="E93" t="inlineStr"/>
      <c r="F93" t="inlineStr">
        <is>
          <t>Replaces Kodama's Reach (adds removal/protection). Evidence: the card it replaces was cast in 88% of the games it was drawn; sat dead in hand 12% of the time; landed on turn 8.0 on average; the deck won 44% of games it was cast in.</t>
        </is>
      </c>
      <c r="G93" t="inlineStr"/>
      <c r="H93" t="inlineStr"/>
      <c r="I93" t="inlineStr"/>
      <c r="J93" t="inlineStr"/>
    </row>
    <row r="94">
      <c r="A94" t="n">
        <v>93</v>
      </c>
      <c r="B94" t="inlineStr"/>
      <c r="C94" t="inlineStr"/>
      <c r="D94" t="inlineStr"/>
      <c r="E94" t="inlineStr"/>
      <c r="F94" t="inlineStr"/>
      <c r="G94" t="inlineStr"/>
      <c r="H94" t="inlineStr"/>
      <c r="I94" t="inlineStr"/>
      <c r="J94" t="inlineStr"/>
    </row>
    <row r="95">
      <c r="A95" t="n">
        <v>94</v>
      </c>
      <c r="B95" t="inlineStr"/>
      <c r="C95" t="inlineStr"/>
      <c r="D95" t="inlineStr"/>
      <c r="E95" t="inlineStr"/>
      <c r="F95" t="inlineStr"/>
      <c r="G95" t="inlineStr"/>
      <c r="H95" t="inlineStr"/>
      <c r="I95" t="inlineStr"/>
      <c r="J95" t="inlineStr"/>
    </row>
    <row r="96">
      <c r="A96" t="n">
        <v>95</v>
      </c>
      <c r="B96" t="inlineStr"/>
      <c r="C96" t="inlineStr"/>
      <c r="D96" t="inlineStr"/>
      <c r="E96" t="inlineStr"/>
      <c r="F96" t="inlineStr"/>
      <c r="G96" t="inlineStr"/>
      <c r="H96" t="inlineStr"/>
      <c r="I96" t="inlineStr"/>
      <c r="J96" t="inlineStr"/>
    </row>
    <row r="97">
      <c r="A97" t="n">
        <v>96</v>
      </c>
      <c r="B97" t="inlineStr"/>
      <c r="C97" t="inlineStr"/>
      <c r="D97" t="inlineStr"/>
      <c r="E97" t="inlineStr"/>
      <c r="F97" t="inlineStr"/>
      <c r="G97" t="inlineStr"/>
      <c r="H97" t="inlineStr"/>
      <c r="I97" t="inlineStr"/>
      <c r="J97" t="inlineStr"/>
    </row>
    <row r="98">
      <c r="A98" t="n">
        <v>97</v>
      </c>
      <c r="B98" t="inlineStr"/>
      <c r="C98" t="inlineStr"/>
      <c r="D98" t="inlineStr"/>
      <c r="E98" t="inlineStr"/>
      <c r="F98" t="inlineStr"/>
      <c r="G98" t="inlineStr"/>
      <c r="H98" t="inlineStr"/>
      <c r="I98" t="inlineStr"/>
      <c r="J98" t="inlineStr"/>
    </row>
    <row r="99">
      <c r="A99" t="n">
        <v>98</v>
      </c>
      <c r="B99" t="inlineStr"/>
      <c r="C99" t="inlineStr"/>
      <c r="D99" t="inlineStr"/>
      <c r="E99" t="inlineStr"/>
      <c r="F99" t="inlineStr"/>
      <c r="G99" t="inlineStr"/>
      <c r="H99" t="inlineStr"/>
      <c r="I99" t="inlineStr"/>
      <c r="J99" t="inlineStr"/>
    </row>
    <row r="100">
      <c r="A100" t="n">
        <v>99</v>
      </c>
      <c r="B100" t="inlineStr"/>
      <c r="C100" t="inlineStr"/>
      <c r="D100" t="inlineStr"/>
      <c r="E100" t="inlineStr"/>
      <c r="F100" t="inlineStr"/>
      <c r="G100" t="inlineStr"/>
      <c r="H100" t="inlineStr"/>
      <c r="I100" t="inlineStr"/>
      <c r="J100" t="inlineStr"/>
    </row>
    <row r="101">
      <c r="A101" t="n">
        <v>100</v>
      </c>
      <c r="B101" t="inlineStr"/>
      <c r="C101" t="inlineStr"/>
      <c r="D101" t="inlineStr"/>
      <c r="E101" t="inlineStr"/>
      <c r="F101" t="inlineStr"/>
      <c r="G101" t="inlineStr"/>
      <c r="H101" t="inlineStr"/>
      <c r="I101" t="inlineStr"/>
      <c r="J10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67"/>
  <sheetViews>
    <sheetView showGridLines="0" workbookViewId="0">
      <pane ySplit="1" topLeftCell="A2" activePane="bottomLeft" state="frozen"/>
      <selection pane="bottomLeft" activeCell="A1" sqref="A1"/>
    </sheetView>
  </sheetViews>
  <sheetFormatPr baseColWidth="8" defaultRowHeight="15"/>
  <cols>
    <col width="44" customWidth="1" min="1" max="1"/>
    <col width="13" customWidth="1" min="2" max="2"/>
  </cols>
  <sheetData>
    <row r="1">
      <c r="A1" s="12" t="inlineStr">
        <is>
          <t>Card</t>
        </is>
      </c>
      <c r="B1" s="12" t="inlineStr">
        <is>
          <t>Price (USD)</t>
        </is>
      </c>
    </row>
    <row r="2">
      <c r="A2" s="5" t="inlineStr">
        <is>
          <t>Abrupt Decay</t>
        </is>
      </c>
      <c r="B2" s="37" t="n">
        <v>2.43</v>
      </c>
    </row>
    <row r="3">
      <c r="A3" s="5" t="inlineStr">
        <is>
          <t>Access Tunnel</t>
        </is>
      </c>
      <c r="B3" s="37" t="n">
        <v>0.41</v>
      </c>
    </row>
    <row r="4">
      <c r="A4" s="5" t="inlineStr">
        <is>
          <t>Acidic Slime</t>
        </is>
      </c>
      <c r="B4" s="37" t="n">
        <v>0.27</v>
      </c>
    </row>
    <row r="5">
      <c r="A5" s="5" t="inlineStr">
        <is>
          <t>Advanced Reconstruction</t>
        </is>
      </c>
      <c r="B5" s="37" t="n">
        <v>0.35</v>
      </c>
    </row>
    <row r="6">
      <c r="A6" s="5" t="inlineStr">
        <is>
          <t>Aesi, Tyrant of Gyre Strait</t>
        </is>
      </c>
      <c r="B6" s="37" t="n">
        <v>11.26</v>
      </c>
    </row>
    <row r="7">
      <c r="A7" s="5" t="inlineStr">
        <is>
          <t>Aetherflux Reservoir</t>
        </is>
      </c>
      <c r="B7" s="37" t="n">
        <v>19.8</v>
      </c>
    </row>
    <row r="8">
      <c r="A8" s="5" t="inlineStr">
        <is>
          <t>Agent of Treachery</t>
        </is>
      </c>
      <c r="B8" s="37" t="n">
        <v>5.27</v>
      </c>
    </row>
    <row r="9">
      <c r="A9" s="5" t="inlineStr">
        <is>
          <t>Alhammarret's Archive</t>
        </is>
      </c>
      <c r="B9" s="37" t="n">
        <v>10.54</v>
      </c>
    </row>
    <row r="10">
      <c r="A10" s="5" t="inlineStr">
        <is>
          <t>Altar of the Wretched // Wretched Bonemass</t>
        </is>
      </c>
      <c r="B10" s="37" t="n">
        <v>1.49</v>
      </c>
    </row>
    <row r="11">
      <c r="A11" s="5" t="inlineStr">
        <is>
          <t>Ancient Greenwarden</t>
        </is>
      </c>
      <c r="B11" s="37" t="n">
        <v>12.43</v>
      </c>
    </row>
    <row r="12">
      <c r="A12" s="5" t="inlineStr">
        <is>
          <t>Angel of Despair</t>
        </is>
      </c>
      <c r="B12" s="37" t="n">
        <v>1.92</v>
      </c>
    </row>
    <row r="13">
      <c r="A13" s="5" t="inlineStr">
        <is>
          <t>Angel of Indemnity</t>
        </is>
      </c>
      <c r="B13" s="37" t="n">
        <v>0.38</v>
      </c>
    </row>
    <row r="14">
      <c r="A14" s="5" t="inlineStr">
        <is>
          <t>Angel of Serenity</t>
        </is>
      </c>
      <c r="B14" s="37" t="n">
        <v>1.33</v>
      </c>
    </row>
    <row r="15">
      <c r="A15" s="5" t="inlineStr">
        <is>
          <t>Angelic Field Marshal</t>
        </is>
      </c>
      <c r="B15" s="37" t="n">
        <v>2.65</v>
      </c>
    </row>
    <row r="16">
      <c r="A16" s="5" t="inlineStr">
        <is>
          <t>Angelic Wall</t>
        </is>
      </c>
      <c r="B16" s="37" t="n">
        <v>0.18</v>
      </c>
    </row>
    <row r="17">
      <c r="A17" s="5" t="inlineStr">
        <is>
          <t>Anger</t>
        </is>
      </c>
      <c r="B17" s="37" t="n">
        <v>0.6</v>
      </c>
    </row>
    <row r="18">
      <c r="A18" s="5" t="inlineStr">
        <is>
          <t>Anguished Unmaking</t>
        </is>
      </c>
      <c r="B18" s="37" t="n">
        <v>1.41</v>
      </c>
    </row>
    <row r="19">
      <c r="A19" s="5" t="inlineStr">
        <is>
          <t>Animate Dead</t>
        </is>
      </c>
      <c r="B19" s="37" t="n">
        <v>7.7</v>
      </c>
    </row>
    <row r="20">
      <c r="A20" s="5" t="inlineStr">
        <is>
          <t>Anointed Procession</t>
        </is>
      </c>
      <c r="B20" s="37" t="n">
        <v>57.5</v>
      </c>
    </row>
    <row r="21">
      <c r="A21" s="5" t="inlineStr">
        <is>
          <t>Ao, the Dawn Sky</t>
        </is>
      </c>
      <c r="B21" s="37" t="n">
        <v>0.31</v>
      </c>
    </row>
    <row r="22">
      <c r="A22" s="5" t="inlineStr">
        <is>
          <t>Approach of the Second Sun</t>
        </is>
      </c>
      <c r="B22" s="37" t="n">
        <v>6.51</v>
      </c>
    </row>
    <row r="23">
      <c r="A23" s="5" t="inlineStr">
        <is>
          <t>Arasta of the Endless Web</t>
        </is>
      </c>
      <c r="B23" s="37" t="n">
        <v>0.38</v>
      </c>
    </row>
    <row r="24">
      <c r="A24" s="5" t="inlineStr">
        <is>
          <t>Arbor Adherent</t>
        </is>
      </c>
      <c r="B24" s="37" t="n">
        <v>1.55</v>
      </c>
    </row>
    <row r="25">
      <c r="A25" s="5" t="inlineStr">
        <is>
          <t>Arboreal Grazer</t>
        </is>
      </c>
      <c r="B25" s="37" t="n">
        <v>0.26</v>
      </c>
    </row>
    <row r="26">
      <c r="A26" s="5" t="inlineStr">
        <is>
          <t>Arcades, the Strategist</t>
        </is>
      </c>
      <c r="B26" s="37" t="n">
        <v>4.81</v>
      </c>
    </row>
    <row r="27">
      <c r="A27" s="5" t="inlineStr">
        <is>
          <t>Arcane Sanctum</t>
        </is>
      </c>
      <c r="B27" s="37" t="n">
        <v>0.48</v>
      </c>
    </row>
    <row r="28">
      <c r="A28" s="5" t="inlineStr">
        <is>
          <t>Arcane Signet</t>
        </is>
      </c>
      <c r="B28" s="37" t="n">
        <v>0.52</v>
      </c>
    </row>
    <row r="29">
      <c r="A29" s="5" t="inlineStr">
        <is>
          <t>Archaeomancer's Map</t>
        </is>
      </c>
      <c r="B29" s="37" t="n">
        <v>1.2</v>
      </c>
    </row>
    <row r="30">
      <c r="A30" s="5" t="inlineStr">
        <is>
          <t>Archangel of Thune</t>
        </is>
      </c>
      <c r="B30" s="37" t="n">
        <v>62.26</v>
      </c>
    </row>
    <row r="31">
      <c r="A31" s="5" t="inlineStr">
        <is>
          <t>Archfiend of Ifnir</t>
        </is>
      </c>
      <c r="B31" s="37" t="n">
        <v>0.38</v>
      </c>
    </row>
    <row r="32">
      <c r="A32" s="5" t="inlineStr">
        <is>
          <t>Archon of Cruelty</t>
        </is>
      </c>
      <c r="B32" s="37" t="n">
        <v>8.44</v>
      </c>
    </row>
    <row r="33">
      <c r="A33" s="5" t="inlineStr">
        <is>
          <t>Archon of Sun's Grace</t>
        </is>
      </c>
      <c r="B33" s="37" t="n">
        <v>0.36</v>
      </c>
    </row>
    <row r="34">
      <c r="A34" s="5" t="inlineStr">
        <is>
          <t>Aryel, Knight of Windgrace</t>
        </is>
      </c>
      <c r="B34" s="37" t="n">
        <v>0.24</v>
      </c>
    </row>
    <row r="35">
      <c r="A35" s="5" t="inlineStr">
        <is>
          <t>Ashen Rider</t>
        </is>
      </c>
      <c r="B35" s="37" t="n">
        <v>0.61</v>
      </c>
    </row>
    <row r="36">
      <c r="A36" s="5" t="inlineStr">
        <is>
          <t>Ashnod's Altar</t>
        </is>
      </c>
      <c r="B36" s="37" t="n">
        <v>15.03</v>
      </c>
    </row>
    <row r="37">
      <c r="A37" s="5" t="inlineStr">
        <is>
          <t>Assassin's Trophy</t>
        </is>
      </c>
      <c r="B37" s="37" t="n">
        <v>0.99</v>
      </c>
    </row>
    <row r="38">
      <c r="A38" s="5" t="inlineStr">
        <is>
          <t>Assault Formation</t>
        </is>
      </c>
      <c r="B38" s="37" t="n">
        <v>0.35</v>
      </c>
    </row>
    <row r="39">
      <c r="A39" s="5" t="inlineStr">
        <is>
          <t>Astral Cornucopia</t>
        </is>
      </c>
      <c r="B39" s="37" t="n">
        <v>0.29</v>
      </c>
    </row>
    <row r="40">
      <c r="A40" s="5" t="inlineStr">
        <is>
          <t>Atraxa, Praetors' Voice</t>
        </is>
      </c>
      <c r="B40" s="37" t="n">
        <v>30.12</v>
      </c>
    </row>
    <row r="41">
      <c r="A41" s="5" t="inlineStr">
        <is>
          <t>Atsushi, the Blazing Sky</t>
        </is>
      </c>
      <c r="B41" s="37" t="n">
        <v>0.38</v>
      </c>
    </row>
    <row r="42">
      <c r="A42" s="5" t="inlineStr">
        <is>
          <t>Augusta, Order Returned</t>
        </is>
      </c>
      <c r="B42" s="37" t="n">
        <v>0.2</v>
      </c>
    </row>
    <row r="43">
      <c r="A43" s="5" t="inlineStr">
        <is>
          <t>Aura Shards</t>
        </is>
      </c>
      <c r="B43" s="37" t="n">
        <v>28.64</v>
      </c>
    </row>
    <row r="44">
      <c r="A44" s="5" t="inlineStr">
        <is>
          <t>Aurelia, the Warleader</t>
        </is>
      </c>
      <c r="B44" s="37" t="n">
        <v>4.66</v>
      </c>
    </row>
    <row r="45">
      <c r="A45" s="5" t="inlineStr">
        <is>
          <t>Austere Command</t>
        </is>
      </c>
      <c r="B45" s="37" t="n">
        <v>0.4</v>
      </c>
    </row>
    <row r="46">
      <c r="A46" s="5" t="inlineStr">
        <is>
          <t>Authority of the Consuls</t>
        </is>
      </c>
      <c r="B46" s="37" t="n">
        <v>4.41</v>
      </c>
    </row>
    <row r="47">
      <c r="A47" s="5" t="inlineStr">
        <is>
          <t>Avenger of Zendikar</t>
        </is>
      </c>
      <c r="B47" s="37" t="n">
        <v>0.39</v>
      </c>
    </row>
    <row r="48">
      <c r="A48" s="5" t="inlineStr">
        <is>
          <t>Axebane Guardian</t>
        </is>
      </c>
      <c r="B48" s="37" t="n">
        <v>0.28</v>
      </c>
    </row>
    <row r="49">
      <c r="A49" s="5" t="inlineStr">
        <is>
          <t>Azorius Chancery</t>
        </is>
      </c>
      <c r="B49" s="37" t="n">
        <v>0.35</v>
      </c>
    </row>
    <row r="50">
      <c r="A50" s="5" t="inlineStr">
        <is>
          <t>Bag of Holding</t>
        </is>
      </c>
      <c r="B50" s="37" t="n">
        <v>0.34</v>
      </c>
    </row>
    <row r="51">
      <c r="A51" s="5" t="inlineStr">
        <is>
          <t>Baldin, Century Herdmaster</t>
        </is>
      </c>
      <c r="B51" s="37" t="n">
        <v>0.38</v>
      </c>
    </row>
    <row r="52">
      <c r="A52" s="5" t="inlineStr">
        <is>
          <t>Balefire Liege</t>
        </is>
      </c>
      <c r="B52" s="37" t="n">
        <v>0.33</v>
      </c>
    </row>
    <row r="53">
      <c r="A53" s="5" t="inlineStr">
        <is>
          <t>Bant Charm</t>
        </is>
      </c>
      <c r="B53" s="37" t="n">
        <v>0.32</v>
      </c>
    </row>
    <row r="54">
      <c r="A54" s="5" t="inlineStr">
        <is>
          <t>Bant Panorama</t>
        </is>
      </c>
      <c r="B54" s="37" t="n">
        <v>0.33</v>
      </c>
    </row>
    <row r="55">
      <c r="A55" s="5" t="inlineStr">
        <is>
          <t>Barren Moor</t>
        </is>
      </c>
      <c r="B55" s="37" t="n">
        <v>0.27</v>
      </c>
    </row>
    <row r="56">
      <c r="A56" s="5" t="inlineStr">
        <is>
          <t>Bastion of Remembrance</t>
        </is>
      </c>
      <c r="B56" s="37" t="n">
        <v>0.3</v>
      </c>
    </row>
    <row r="57">
      <c r="A57" s="5" t="inlineStr">
        <is>
          <t>Battlefield Forge</t>
        </is>
      </c>
      <c r="B57" s="37" t="n">
        <v>0.39</v>
      </c>
    </row>
    <row r="58">
      <c r="A58" s="5" t="inlineStr">
        <is>
          <t>Bedrock Tortoise</t>
        </is>
      </c>
      <c r="B58" s="37" t="n">
        <v>2.02</v>
      </c>
    </row>
    <row r="59">
      <c r="A59" s="5" t="inlineStr">
        <is>
          <t>Behind the Scenes</t>
        </is>
      </c>
      <c r="B59" s="37" t="n">
        <v>0.23</v>
      </c>
    </row>
    <row r="60">
      <c r="A60" s="5" t="inlineStr">
        <is>
          <t>Belligerent Brontodon</t>
        </is>
      </c>
      <c r="B60" s="37" t="n">
        <v>0.26</v>
      </c>
    </row>
    <row r="61">
      <c r="A61" s="5" t="inlineStr">
        <is>
          <t>Benalish Marshal</t>
        </is>
      </c>
      <c r="B61" s="37" t="n">
        <v>0.8100000000000001</v>
      </c>
    </row>
    <row r="62">
      <c r="A62" s="5" t="inlineStr">
        <is>
          <t>Betor, Ancestor's Voice</t>
        </is>
      </c>
      <c r="B62" s="37" t="n">
        <v>3.56</v>
      </c>
    </row>
    <row r="63">
      <c r="A63" s="5" t="inlineStr">
        <is>
          <t>Betor, Kin to All</t>
        </is>
      </c>
      <c r="B63" s="37" t="n">
        <v>5.23</v>
      </c>
    </row>
    <row r="64">
      <c r="A64" s="5" t="inlineStr">
        <is>
          <t>Bilbo Baggins, Burglar // Take a Glance</t>
        </is>
      </c>
      <c r="B64" s="37" t="n">
        <v>0.13</v>
      </c>
    </row>
    <row r="65">
      <c r="A65" s="5" t="inlineStr">
        <is>
          <t>Bitterblossom</t>
        </is>
      </c>
      <c r="B65" s="37" t="n">
        <v>32.4</v>
      </c>
    </row>
    <row r="66">
      <c r="A66" s="5" t="inlineStr">
        <is>
          <t>Bitterthorn, Nissa's Animus</t>
        </is>
      </c>
      <c r="B66" s="37" t="n">
        <v>5.78</v>
      </c>
    </row>
    <row r="67">
      <c r="A67" s="5" t="inlineStr">
        <is>
          <t>Black Market Connections</t>
        </is>
      </c>
      <c r="B67" s="37" t="n">
        <v>10.25</v>
      </c>
    </row>
    <row r="68">
      <c r="A68" s="5" t="inlineStr">
        <is>
          <t>Blast Zone</t>
        </is>
      </c>
      <c r="B68" s="37" t="n">
        <v>0.38</v>
      </c>
    </row>
    <row r="69">
      <c r="A69" s="5" t="inlineStr">
        <is>
          <t>Blight Pile</t>
        </is>
      </c>
      <c r="B69" s="37" t="n">
        <v>0.24</v>
      </c>
    </row>
    <row r="70">
      <c r="A70" s="5" t="inlineStr">
        <is>
          <t>Blighted Woodland</t>
        </is>
      </c>
      <c r="B70" s="37" t="n">
        <v>0.39</v>
      </c>
    </row>
    <row r="71">
      <c r="A71" s="5" t="inlineStr">
        <is>
          <t>Blood Artist</t>
        </is>
      </c>
      <c r="B71" s="37" t="n">
        <v>3.37</v>
      </c>
    </row>
    <row r="72">
      <c r="A72" s="5" t="inlineStr">
        <is>
          <t>Bloodchief's Thirst</t>
        </is>
      </c>
      <c r="B72" s="37" t="n">
        <v>0.23</v>
      </c>
    </row>
    <row r="73">
      <c r="A73" s="5" t="inlineStr">
        <is>
          <t>Blossoming Sands</t>
        </is>
      </c>
      <c r="B73" s="37" t="n">
        <v>0.19</v>
      </c>
    </row>
    <row r="74">
      <c r="A74" s="5" t="inlineStr">
        <is>
          <t>Blowfly Infestation</t>
        </is>
      </c>
      <c r="B74" s="37" t="n">
        <v>0.31</v>
      </c>
    </row>
    <row r="75">
      <c r="A75" s="5" t="inlineStr">
        <is>
          <t>Blue Sun's Zenith</t>
        </is>
      </c>
      <c r="B75" s="37" t="n">
        <v>3.17</v>
      </c>
    </row>
    <row r="76">
      <c r="A76" s="5" t="inlineStr">
        <is>
          <t>Body Double</t>
        </is>
      </c>
      <c r="B76" s="37" t="n">
        <v>0.3</v>
      </c>
    </row>
    <row r="77">
      <c r="A77" s="5" t="inlineStr">
        <is>
          <t>Bojuka Bog</t>
        </is>
      </c>
      <c r="B77" s="37" t="n">
        <v>1.4</v>
      </c>
    </row>
    <row r="78">
      <c r="A78" s="5" t="inlineStr">
        <is>
          <t>Bolas's Citadel</t>
        </is>
      </c>
      <c r="B78" s="37" t="n">
        <v>14.58</v>
      </c>
    </row>
    <row r="79">
      <c r="A79" s="5" t="inlineStr">
        <is>
          <t>Bone Shards</t>
        </is>
      </c>
      <c r="B79" s="37" t="n">
        <v>0.3</v>
      </c>
    </row>
    <row r="80">
      <c r="A80" s="5" t="inlineStr">
        <is>
          <t>Boros Charm</t>
        </is>
      </c>
      <c r="B80" s="37" t="n">
        <v>4.4</v>
      </c>
    </row>
    <row r="81">
      <c r="A81" s="5" t="inlineStr">
        <is>
          <t>Brago, King Eternal</t>
        </is>
      </c>
      <c r="B81" s="37" t="n">
        <v>3.38</v>
      </c>
    </row>
    <row r="82">
      <c r="A82" s="5" t="inlineStr">
        <is>
          <t>Braids, Arisen Nightmare</t>
        </is>
      </c>
      <c r="B82" s="37" t="n">
        <v>4.76</v>
      </c>
    </row>
    <row r="83">
      <c r="A83" s="5" t="inlineStr">
        <is>
          <t>Branching Evolution</t>
        </is>
      </c>
      <c r="B83" s="37" t="n">
        <v>7.44</v>
      </c>
    </row>
    <row r="84">
      <c r="A84" s="5" t="inlineStr">
        <is>
          <t>Buried Alive</t>
        </is>
      </c>
      <c r="B84" s="37" t="n">
        <v>1.06</v>
      </c>
    </row>
    <row r="85">
      <c r="A85" s="5" t="inlineStr">
        <is>
          <t>Burnished Hart</t>
        </is>
      </c>
      <c r="B85" s="37" t="n">
        <v>0.27</v>
      </c>
    </row>
    <row r="86">
      <c r="A86" s="5" t="inlineStr">
        <is>
          <t>Cabal Coffers</t>
        </is>
      </c>
      <c r="B86" s="37" t="n">
        <v>29.35</v>
      </c>
    </row>
    <row r="87">
      <c r="A87" s="5" t="inlineStr">
        <is>
          <t>Canopy Gargantuan</t>
        </is>
      </c>
      <c r="B87" s="37" t="n">
        <v>3.25</v>
      </c>
    </row>
    <row r="88">
      <c r="A88" s="5" t="inlineStr">
        <is>
          <t>Canopy Vista</t>
        </is>
      </c>
      <c r="B88" s="37" t="n">
        <v>0.34</v>
      </c>
    </row>
    <row r="89">
      <c r="A89" s="5" t="inlineStr">
        <is>
          <t>Carven Caryatid</t>
        </is>
      </c>
      <c r="B89" s="37" t="n">
        <v>0.25</v>
      </c>
    </row>
    <row r="90">
      <c r="A90" s="5" t="inlineStr">
        <is>
          <t>Cast Down</t>
        </is>
      </c>
      <c r="B90" s="37" t="n">
        <v>0.35</v>
      </c>
    </row>
    <row r="91">
      <c r="A91" s="5" t="inlineStr">
        <is>
          <t>Cast Out</t>
        </is>
      </c>
      <c r="B91" s="37" t="n">
        <v>0.28</v>
      </c>
    </row>
    <row r="92">
      <c r="A92" s="5" t="inlineStr">
        <is>
          <t>Casualties of War</t>
        </is>
      </c>
      <c r="B92" s="37" t="n">
        <v>0.33</v>
      </c>
    </row>
    <row r="93">
      <c r="A93" s="5" t="inlineStr">
        <is>
          <t>Cathar Commando</t>
        </is>
      </c>
      <c r="B93" s="37" t="n">
        <v>0.19</v>
      </c>
    </row>
    <row r="94">
      <c r="A94" s="5" t="inlineStr">
        <is>
          <t>Cathars' Crusade</t>
        </is>
      </c>
      <c r="B94" s="37" t="n">
        <v>9.4</v>
      </c>
    </row>
    <row r="95">
      <c r="A95" s="5" t="inlineStr">
        <is>
          <t>Ceaseless Conflict</t>
        </is>
      </c>
      <c r="B95" s="37" t="n">
        <v>0.24</v>
      </c>
    </row>
    <row r="96">
      <c r="A96" s="5" t="inlineStr">
        <is>
          <t>Charming Prince</t>
        </is>
      </c>
      <c r="B96" s="37" t="n">
        <v>0.38</v>
      </c>
    </row>
    <row r="97">
      <c r="A97" s="5" t="inlineStr">
        <is>
          <t>Chromatic Lantern</t>
        </is>
      </c>
      <c r="B97" s="37" t="n">
        <v>0.9</v>
      </c>
    </row>
    <row r="98">
      <c r="A98" s="5" t="inlineStr">
        <is>
          <t>Claim Jumper</t>
        </is>
      </c>
      <c r="B98" s="37" t="n">
        <v>0.37</v>
      </c>
    </row>
    <row r="99">
      <c r="A99" s="5" t="inlineStr">
        <is>
          <t>Cleansing Nova</t>
        </is>
      </c>
      <c r="B99" s="37" t="n">
        <v>0.34</v>
      </c>
    </row>
    <row r="100">
      <c r="A100" s="5" t="inlineStr">
        <is>
          <t>Clifftop Retreat</t>
        </is>
      </c>
      <c r="B100" s="37" t="n">
        <v>0.33</v>
      </c>
    </row>
    <row r="101">
      <c r="A101" s="5" t="inlineStr">
        <is>
          <t>Cloud's Limit Break</t>
        </is>
      </c>
      <c r="B101" s="37" t="n">
        <v>0.28</v>
      </c>
    </row>
    <row r="102">
      <c r="A102" s="5" t="inlineStr">
        <is>
          <t>Cloudblazer</t>
        </is>
      </c>
      <c r="B102" s="37" t="n">
        <v>0.11</v>
      </c>
    </row>
    <row r="103">
      <c r="A103" s="5" t="inlineStr">
        <is>
          <t>Cloudstone Curio</t>
        </is>
      </c>
      <c r="B103" s="37" t="n">
        <v>16.92</v>
      </c>
    </row>
    <row r="104">
      <c r="A104" s="5" t="inlineStr">
        <is>
          <t>Coldsteel Heart</t>
        </is>
      </c>
      <c r="B104" s="37" t="n">
        <v>1.72</v>
      </c>
    </row>
    <row r="105">
      <c r="A105" s="5" t="inlineStr">
        <is>
          <t>Colfenor's Urn</t>
        </is>
      </c>
      <c r="B105" s="37" t="n">
        <v>0.29</v>
      </c>
    </row>
    <row r="106">
      <c r="A106" s="5" t="inlineStr">
        <is>
          <t>Collective Resistance</t>
        </is>
      </c>
      <c r="B106" s="37" t="n">
        <v>2.04</v>
      </c>
    </row>
    <row r="107">
      <c r="A107" s="5" t="inlineStr">
        <is>
          <t>Colossus of Akros</t>
        </is>
      </c>
      <c r="B107" s="37" t="n">
        <v>1.78</v>
      </c>
    </row>
    <row r="108">
      <c r="A108" s="5" t="inlineStr">
        <is>
          <t>Command Tower</t>
        </is>
      </c>
      <c r="B108" s="37" t="n">
        <v>0.39</v>
      </c>
    </row>
    <row r="109">
      <c r="A109" s="5" t="inlineStr">
        <is>
          <t>Conclave Mentor</t>
        </is>
      </c>
      <c r="B109" s="37" t="n">
        <v>0.72</v>
      </c>
    </row>
    <row r="110">
      <c r="A110" s="5" t="inlineStr">
        <is>
          <t>Consecrated Sphinx</t>
        </is>
      </c>
      <c r="B110" s="37" t="n">
        <v>30.55</v>
      </c>
    </row>
    <row r="111">
      <c r="A111" s="5" t="inlineStr">
        <is>
          <t>Conspiracy Theorist</t>
        </is>
      </c>
      <c r="B111" s="37" t="n">
        <v>0.32</v>
      </c>
    </row>
    <row r="112">
      <c r="A112" s="5" t="inlineStr">
        <is>
          <t>Contagion Clasp</t>
        </is>
      </c>
      <c r="B112" s="37" t="n">
        <v>0.37</v>
      </c>
    </row>
    <row r="113">
      <c r="A113" s="5" t="inlineStr">
        <is>
          <t>Contagion Engine</t>
        </is>
      </c>
      <c r="B113" s="37" t="n">
        <v>13.56</v>
      </c>
    </row>
    <row r="114">
      <c r="A114" s="5" t="inlineStr">
        <is>
          <t>Containment Construct</t>
        </is>
      </c>
      <c r="B114" s="37" t="n">
        <v>0.26</v>
      </c>
    </row>
    <row r="115">
      <c r="A115" s="5" t="inlineStr">
        <is>
          <t>Contentious Plan</t>
        </is>
      </c>
      <c r="B115" s="37" t="n">
        <v>0.34</v>
      </c>
    </row>
    <row r="116">
      <c r="A116" s="5" t="inlineStr">
        <is>
          <t>Corpse Connoisseur</t>
        </is>
      </c>
      <c r="B116" s="37" t="n">
        <v>0.24</v>
      </c>
    </row>
    <row r="117">
      <c r="A117" s="5" t="inlineStr">
        <is>
          <t>Corpsejack Menace</t>
        </is>
      </c>
      <c r="B117" s="37" t="n">
        <v>0.91</v>
      </c>
    </row>
    <row r="118">
      <c r="A118" s="5" t="inlineStr">
        <is>
          <t>Costly Plunder</t>
        </is>
      </c>
      <c r="B118" s="37" t="n">
        <v>0.26</v>
      </c>
    </row>
    <row r="119">
      <c r="A119" s="5" t="inlineStr">
        <is>
          <t>Crashing Drawbridge</t>
        </is>
      </c>
      <c r="B119" s="37" t="n">
        <v>0.77</v>
      </c>
    </row>
    <row r="120">
      <c r="A120" s="5" t="inlineStr">
        <is>
          <t>Craterhoof Behemoth</t>
        </is>
      </c>
      <c r="B120" s="37" t="n">
        <v>23.51</v>
      </c>
    </row>
    <row r="121">
      <c r="A121" s="5" t="inlineStr">
        <is>
          <t>Crested Sunmare</t>
        </is>
      </c>
      <c r="B121" s="37" t="n">
        <v>8.9</v>
      </c>
    </row>
    <row r="122">
      <c r="A122" s="5" t="inlineStr">
        <is>
          <t>Crop Rotation</t>
        </is>
      </c>
      <c r="B122" s="37" t="n">
        <v>3.46</v>
      </c>
    </row>
    <row r="123">
      <c r="A123" s="5" t="inlineStr">
        <is>
          <t>Crucible of Worlds</t>
        </is>
      </c>
      <c r="B123" s="37" t="n">
        <v>34.97</v>
      </c>
    </row>
    <row r="124">
      <c r="A124" s="5" t="inlineStr">
        <is>
          <t>Cryptic Command</t>
        </is>
      </c>
      <c r="B124" s="37" t="n">
        <v>7.44</v>
      </c>
    </row>
    <row r="125">
      <c r="A125" s="5" t="inlineStr">
        <is>
          <t>Cultivate</t>
        </is>
      </c>
      <c r="B125" s="37" t="n">
        <v>0.42</v>
      </c>
    </row>
    <row r="126">
      <c r="A126" s="5" t="inlineStr">
        <is>
          <t>Currency Converter</t>
        </is>
      </c>
      <c r="B126" s="37" t="n">
        <v>0.51</v>
      </c>
    </row>
    <row r="127">
      <c r="A127" s="5" t="inlineStr">
        <is>
          <t>Cyberdrive Awakener</t>
        </is>
      </c>
      <c r="B127" s="37" t="n">
        <v>1.9</v>
      </c>
    </row>
    <row r="128">
      <c r="A128" s="5" t="inlineStr">
        <is>
          <t>Dakmor Salvage</t>
        </is>
      </c>
      <c r="B128" s="37" t="n">
        <v>0.35</v>
      </c>
    </row>
    <row r="129">
      <c r="A129" s="5" t="inlineStr">
        <is>
          <t>Damn</t>
        </is>
      </c>
      <c r="B129" s="37" t="n">
        <v>1.96</v>
      </c>
    </row>
    <row r="130">
      <c r="A130" s="5" t="inlineStr">
        <is>
          <t>Danitha Capashen, Paragon</t>
        </is>
      </c>
      <c r="B130" s="37" t="n">
        <v>0.86</v>
      </c>
    </row>
    <row r="131">
      <c r="A131" s="5" t="inlineStr">
        <is>
          <t>Darksteel Plate</t>
        </is>
      </c>
      <c r="B131" s="37" t="n">
        <v>6.52</v>
      </c>
    </row>
    <row r="132">
      <c r="A132" s="5" t="inlineStr">
        <is>
          <t>Dawn of Hope</t>
        </is>
      </c>
      <c r="B132" s="37" t="n">
        <v>0.48</v>
      </c>
    </row>
    <row r="133">
      <c r="A133" s="5" t="inlineStr">
        <is>
          <t>Deadbridge Chant</t>
        </is>
      </c>
      <c r="B133" s="37" t="n">
        <v>0.34</v>
      </c>
    </row>
    <row r="134">
      <c r="A134" s="5" t="inlineStr">
        <is>
          <t>Deadeye Navigator</t>
        </is>
      </c>
      <c r="B134" s="37" t="n">
        <v>3.02</v>
      </c>
    </row>
    <row r="135">
      <c r="A135" s="5" t="inlineStr">
        <is>
          <t>Deadly Dispute</t>
        </is>
      </c>
      <c r="B135" s="37" t="n">
        <v>0.32</v>
      </c>
    </row>
    <row r="136">
      <c r="A136" s="5" t="inlineStr">
        <is>
          <t>Deathrite Shaman</t>
        </is>
      </c>
      <c r="B136" s="37" t="n">
        <v>8.33</v>
      </c>
    </row>
    <row r="137">
      <c r="A137" s="5" t="inlineStr">
        <is>
          <t>Deceptive Landscape</t>
        </is>
      </c>
      <c r="B137" s="37" t="n">
        <v>0.2</v>
      </c>
    </row>
    <row r="138">
      <c r="A138" s="5" t="inlineStr">
        <is>
          <t>Decimate</t>
        </is>
      </c>
      <c r="B138" s="37" t="n">
        <v>0.34</v>
      </c>
    </row>
    <row r="139">
      <c r="A139" s="5" t="inlineStr">
        <is>
          <t>Deepglow Skate</t>
        </is>
      </c>
      <c r="B139" s="37" t="n">
        <v>0.29</v>
      </c>
    </row>
    <row r="140">
      <c r="A140" s="5" t="inlineStr">
        <is>
          <t>Demonic Tutor</t>
        </is>
      </c>
      <c r="B140" s="37" t="n">
        <v>62.11</v>
      </c>
    </row>
    <row r="141">
      <c r="A141" s="5" t="inlineStr">
        <is>
          <t>Deserted Temple</t>
        </is>
      </c>
      <c r="B141" s="37" t="n">
        <v>0.6899999999999999</v>
      </c>
    </row>
    <row r="142">
      <c r="A142" s="5" t="inlineStr">
        <is>
          <t>Despark</t>
        </is>
      </c>
      <c r="B142" s="37" t="n">
        <v>0.4</v>
      </c>
    </row>
    <row r="143">
      <c r="A143" s="5" t="inlineStr">
        <is>
          <t>Destiny Spinner</t>
        </is>
      </c>
      <c r="B143" s="37" t="n">
        <v>2.39</v>
      </c>
    </row>
    <row r="144">
      <c r="A144" s="5" t="inlineStr">
        <is>
          <t>Dictate of Erebos</t>
        </is>
      </c>
      <c r="B144" s="37" t="n">
        <v>16.77</v>
      </c>
    </row>
    <row r="145">
      <c r="A145" s="5" t="inlineStr">
        <is>
          <t>Disenchant</t>
        </is>
      </c>
      <c r="B145" s="37" t="n">
        <v>0.1</v>
      </c>
    </row>
    <row r="146">
      <c r="A146" s="5" t="inlineStr">
        <is>
          <t>Dismal Backwater</t>
        </is>
      </c>
      <c r="B146" s="37" t="n">
        <v>0.21</v>
      </c>
    </row>
    <row r="147">
      <c r="A147" s="5" t="inlineStr">
        <is>
          <t>Dispel</t>
        </is>
      </c>
      <c r="B147" s="37" t="n">
        <v>0.36</v>
      </c>
    </row>
    <row r="148">
      <c r="A148" s="5" t="inlineStr">
        <is>
          <t>Doomed Dissenter</t>
        </is>
      </c>
      <c r="B148" s="37" t="n">
        <v>0.22</v>
      </c>
    </row>
    <row r="149">
      <c r="A149" s="5" t="inlineStr">
        <is>
          <t>Doubling Season</t>
        </is>
      </c>
      <c r="B149" s="37" t="n">
        <v>35.01</v>
      </c>
    </row>
    <row r="150">
      <c r="A150" s="5" t="inlineStr">
        <is>
          <t>Dovin's Veto</t>
        </is>
      </c>
      <c r="B150" s="37" t="n">
        <v>4.23</v>
      </c>
    </row>
    <row r="151">
      <c r="A151" s="5" t="inlineStr">
        <is>
          <t>Dragon's Eye Sentry</t>
        </is>
      </c>
      <c r="B151" s="37" t="n">
        <v>0.05</v>
      </c>
    </row>
    <row r="152">
      <c r="A152" s="5" t="inlineStr">
        <is>
          <t>Dragonlord Dromoka</t>
        </is>
      </c>
      <c r="B152" s="37" t="n">
        <v>1.91</v>
      </c>
    </row>
    <row r="153">
      <c r="A153" s="5" t="inlineStr">
        <is>
          <t>Dragonlord Ojutai</t>
        </is>
      </c>
      <c r="B153" s="37" t="n">
        <v>0.91</v>
      </c>
    </row>
    <row r="154">
      <c r="A154" s="5" t="inlineStr">
        <is>
          <t>Dread Return</t>
        </is>
      </c>
      <c r="B154" s="37" t="n">
        <v>0.67</v>
      </c>
    </row>
    <row r="155">
      <c r="A155" s="5" t="inlineStr">
        <is>
          <t>Dredge the Mire</t>
        </is>
      </c>
      <c r="B155" s="37" t="n">
        <v>0.37</v>
      </c>
    </row>
    <row r="156">
      <c r="A156" s="5" t="inlineStr">
        <is>
          <t>Drowned Catacomb</t>
        </is>
      </c>
      <c r="B156" s="37" t="n">
        <v>1.02</v>
      </c>
    </row>
    <row r="157">
      <c r="A157" s="5" t="inlineStr">
        <is>
          <t>Drumbellower</t>
        </is>
      </c>
      <c r="B157" s="37" t="n">
        <v>2.78</v>
      </c>
    </row>
    <row r="158">
      <c r="A158" s="5" t="inlineStr">
        <is>
          <t>Dwarven Mattock</t>
        </is>
      </c>
      <c r="B158" s="37" t="n">
        <v>0.18</v>
      </c>
    </row>
    <row r="159">
      <c r="A159" s="5" t="inlineStr">
        <is>
          <t>Dwarven Mauler</t>
        </is>
      </c>
      <c r="B159" s="37" t="n">
        <v>0.26</v>
      </c>
    </row>
    <row r="160">
      <c r="A160" s="5" t="inlineStr">
        <is>
          <t>Dwarven Shortsword</t>
        </is>
      </c>
      <c r="B160" s="37" t="n">
        <v>0.95</v>
      </c>
    </row>
    <row r="161">
      <c r="A161" s="5" t="inlineStr">
        <is>
          <t>Earthcraft</t>
        </is>
      </c>
      <c r="B161" s="37" t="n">
        <v>287.7</v>
      </c>
    </row>
    <row r="162">
      <c r="A162" s="5" t="inlineStr">
        <is>
          <t>Eidolon of Blossoms</t>
        </is>
      </c>
      <c r="B162" s="37" t="n">
        <v>3.33</v>
      </c>
    </row>
    <row r="163">
      <c r="A163" s="5" t="inlineStr">
        <is>
          <t>Elesh Norn, Grand Cenobite</t>
        </is>
      </c>
      <c r="B163" s="37" t="n">
        <v>20.11</v>
      </c>
    </row>
    <row r="164">
      <c r="A164" s="5" t="inlineStr">
        <is>
          <t>Elspeth, Sun's Champion</t>
        </is>
      </c>
      <c r="B164" s="37" t="n">
        <v>2.17</v>
      </c>
    </row>
    <row r="165">
      <c r="A165" s="5" t="inlineStr">
        <is>
          <t>Emeria Shepherd</t>
        </is>
      </c>
      <c r="B165" s="37" t="n">
        <v>3.2</v>
      </c>
    </row>
    <row r="166">
      <c r="A166" s="5" t="inlineStr">
        <is>
          <t>Emeria, the Sky Ruin</t>
        </is>
      </c>
      <c r="B166" s="37" t="n">
        <v>5.87</v>
      </c>
    </row>
    <row r="167">
      <c r="A167" s="5" t="inlineStr">
        <is>
          <t>Empyrean Eagle</t>
        </is>
      </c>
      <c r="B167" s="37" t="n">
        <v>0.32</v>
      </c>
    </row>
    <row r="168">
      <c r="A168" s="5" t="inlineStr">
        <is>
          <t>Enchantress's Presence</t>
        </is>
      </c>
      <c r="B168" s="37" t="n">
        <v>1.63</v>
      </c>
    </row>
    <row r="169">
      <c r="A169" s="5" t="inlineStr">
        <is>
          <t>Enlightened Tutor</t>
        </is>
      </c>
      <c r="B169" s="37" t="n">
        <v>34.25</v>
      </c>
    </row>
    <row r="170">
      <c r="A170" s="5" t="inlineStr">
        <is>
          <t>Ephemerate</t>
        </is>
      </c>
      <c r="B170" s="37" t="n">
        <v>5.27</v>
      </c>
    </row>
    <row r="171">
      <c r="A171" s="5" t="inlineStr">
        <is>
          <t>Epicure of Blood</t>
        </is>
      </c>
      <c r="B171" s="37" t="n">
        <v>0.33</v>
      </c>
    </row>
    <row r="172">
      <c r="A172" s="5" t="inlineStr">
        <is>
          <t>Esper Panorama</t>
        </is>
      </c>
      <c r="B172" s="37" t="n">
        <v>0.38</v>
      </c>
    </row>
    <row r="173">
      <c r="A173" s="5" t="inlineStr">
        <is>
          <t>Eternal Witness</t>
        </is>
      </c>
      <c r="B173" s="37" t="n">
        <v>1.8</v>
      </c>
    </row>
    <row r="174">
      <c r="A174" s="5" t="inlineStr">
        <is>
          <t>Everflowing Chalice</t>
        </is>
      </c>
      <c r="B174" s="37" t="n">
        <v>0.32</v>
      </c>
    </row>
    <row r="175">
      <c r="A175" s="5" t="inlineStr">
        <is>
          <t>Evolution Sage</t>
        </is>
      </c>
      <c r="B175" s="37" t="n">
        <v>2.28</v>
      </c>
    </row>
    <row r="176">
      <c r="A176" s="5" t="inlineStr">
        <is>
          <t>Evolving Wilds</t>
        </is>
      </c>
      <c r="B176" s="37" t="n">
        <v>0.26</v>
      </c>
    </row>
    <row r="177">
      <c r="A177" s="5" t="inlineStr">
        <is>
          <t>Excava, the Risen Past</t>
        </is>
      </c>
      <c r="B177" s="37" t="n">
        <v>0.77</v>
      </c>
    </row>
    <row r="178">
      <c r="A178" s="5" t="inlineStr">
        <is>
          <t>Exotic Orchard</t>
        </is>
      </c>
      <c r="B178" s="37" t="n">
        <v>0.23</v>
      </c>
    </row>
    <row r="179">
      <c r="A179" s="5" t="inlineStr">
        <is>
          <t>Expel the Interlopers</t>
        </is>
      </c>
      <c r="B179" s="37" t="n">
        <v>0.26</v>
      </c>
    </row>
    <row r="180">
      <c r="A180" s="5" t="inlineStr">
        <is>
          <t>Exploration</t>
        </is>
      </c>
      <c r="B180" s="37" t="n">
        <v>31.7</v>
      </c>
    </row>
    <row r="181">
      <c r="A181" s="5" t="inlineStr">
        <is>
          <t>Explore</t>
        </is>
      </c>
      <c r="B181" s="37" t="n">
        <v>0.22</v>
      </c>
    </row>
    <row r="182">
      <c r="A182" s="5" t="inlineStr">
        <is>
          <t>Exquisite Blood</t>
        </is>
      </c>
      <c r="B182" s="37" t="n">
        <v>37.78</v>
      </c>
    </row>
    <row r="183">
      <c r="A183" s="5" t="inlineStr">
        <is>
          <t>Fabled Passage</t>
        </is>
      </c>
      <c r="B183" s="37" t="n">
        <v>1.08</v>
      </c>
    </row>
    <row r="184">
      <c r="A184" s="5" t="inlineStr">
        <is>
          <t>Fact or Fiction</t>
        </is>
      </c>
      <c r="B184" s="37" t="n">
        <v>0.24</v>
      </c>
    </row>
    <row r="185">
      <c r="A185" s="5" t="inlineStr">
        <is>
          <t>Faeburrow Elder</t>
        </is>
      </c>
      <c r="B185" s="37" t="n">
        <v>0.39</v>
      </c>
    </row>
    <row r="186">
      <c r="A186" s="5" t="inlineStr">
        <is>
          <t>Faithless Looting</t>
        </is>
      </c>
      <c r="B186" s="37" t="n">
        <v>0.51</v>
      </c>
    </row>
    <row r="187">
      <c r="A187" s="5" t="inlineStr">
        <is>
          <t>Fall of the First Civilization</t>
        </is>
      </c>
      <c r="B187" s="37" t="n">
        <v>0.28</v>
      </c>
    </row>
    <row r="188">
      <c r="A188" s="5" t="inlineStr">
        <is>
          <t>Farewell</t>
        </is>
      </c>
      <c r="B188" s="37" t="n">
        <v>5.9</v>
      </c>
    </row>
    <row r="189">
      <c r="A189" s="5" t="inlineStr">
        <is>
          <t>Farseek</t>
        </is>
      </c>
      <c r="B189" s="37" t="n">
        <v>0.42</v>
      </c>
    </row>
    <row r="190">
      <c r="A190" s="5" t="inlineStr">
        <is>
          <t>Fateful Tempest</t>
        </is>
      </c>
      <c r="B190" s="37" t="n">
        <v>0.23</v>
      </c>
    </row>
    <row r="191">
      <c r="A191" s="5" t="inlineStr">
        <is>
          <t>Fauna Shaman</t>
        </is>
      </c>
      <c r="B191" s="37" t="n">
        <v>4.35</v>
      </c>
    </row>
    <row r="192">
      <c r="A192" s="5" t="inlineStr">
        <is>
          <t>Favorable Winds</t>
        </is>
      </c>
      <c r="B192" s="37" t="n">
        <v>0.48</v>
      </c>
    </row>
    <row r="193">
      <c r="A193" s="5" t="inlineStr">
        <is>
          <t>Feed the Swarm</t>
        </is>
      </c>
      <c r="B193" s="37" t="n">
        <v>0.16</v>
      </c>
    </row>
    <row r="194">
      <c r="A194" s="5" t="inlineStr">
        <is>
          <t>Felidar Retreat</t>
        </is>
      </c>
      <c r="B194" s="37" t="n">
        <v>1.17</v>
      </c>
    </row>
    <row r="195">
      <c r="A195" s="5" t="inlineStr">
        <is>
          <t>Felidar Sovereign</t>
        </is>
      </c>
      <c r="B195" s="37" t="n">
        <v>1.96</v>
      </c>
    </row>
    <row r="196">
      <c r="A196" s="5" t="inlineStr">
        <is>
          <t>Fell the Mighty</t>
        </is>
      </c>
      <c r="B196" s="37" t="n">
        <v>0.3</v>
      </c>
    </row>
    <row r="197">
      <c r="A197" s="5" t="inlineStr">
        <is>
          <t>Fellwar Stone</t>
        </is>
      </c>
      <c r="B197" s="37" t="n">
        <v>0.8</v>
      </c>
    </row>
    <row r="198">
      <c r="A198" s="5" t="inlineStr">
        <is>
          <t>Felothar the Steadfast</t>
        </is>
      </c>
      <c r="B198" s="37" t="n">
        <v>3.05</v>
      </c>
    </row>
    <row r="199">
      <c r="A199" s="5" t="inlineStr">
        <is>
          <t>Fertilid</t>
        </is>
      </c>
      <c r="B199" s="37" t="n">
        <v>0.31</v>
      </c>
    </row>
    <row r="200">
      <c r="A200" s="5" t="inlineStr">
        <is>
          <t>Field of the Dead</t>
        </is>
      </c>
      <c r="B200" s="37" t="n">
        <v>27.4</v>
      </c>
    </row>
    <row r="201">
      <c r="A201" s="5" t="inlineStr">
        <is>
          <t>Fields of Strife</t>
        </is>
      </c>
      <c r="B201" s="37" t="n">
        <v>0.13</v>
      </c>
    </row>
    <row r="202">
      <c r="A202" s="5" t="inlineStr">
        <is>
          <t>Filigree Familiar</t>
        </is>
      </c>
      <c r="B202" s="37" t="n">
        <v>0.26</v>
      </c>
    </row>
    <row r="203">
      <c r="A203" s="5" t="inlineStr">
        <is>
          <t>Final Showdown</t>
        </is>
      </c>
      <c r="B203" s="37" t="n">
        <v>5.89</v>
      </c>
    </row>
    <row r="204">
      <c r="A204" s="5" t="inlineStr">
        <is>
          <t>Finale of Devastation</t>
        </is>
      </c>
      <c r="B204" s="37" t="n">
        <v>44.31</v>
      </c>
    </row>
    <row r="205">
      <c r="A205" s="5" t="inlineStr">
        <is>
          <t>Fleshbag Marauder</t>
        </is>
      </c>
      <c r="B205" s="37" t="n">
        <v>0.26</v>
      </c>
    </row>
    <row r="206">
      <c r="A206" s="5" t="inlineStr">
        <is>
          <t>Flux Channeler</t>
        </is>
      </c>
      <c r="B206" s="37" t="n">
        <v>3.58</v>
      </c>
    </row>
    <row r="207">
      <c r="A207" s="5" t="inlineStr">
        <is>
          <t>Fog Bank</t>
        </is>
      </c>
      <c r="B207" s="37" t="n">
        <v>0.14</v>
      </c>
    </row>
    <row r="208">
      <c r="A208" s="5" t="inlineStr">
        <is>
          <t>Forest</t>
        </is>
      </c>
      <c r="B208" s="37" t="n">
        <v>0</v>
      </c>
    </row>
    <row r="209">
      <c r="A209" s="5" t="inlineStr">
        <is>
          <t>Forgotten Ancient</t>
        </is>
      </c>
      <c r="B209" s="37" t="n">
        <v>0.37</v>
      </c>
    </row>
    <row r="210">
      <c r="A210" s="5" t="inlineStr">
        <is>
          <t>Fortified Rampart</t>
        </is>
      </c>
      <c r="B210" s="37" t="n">
        <v>0.25</v>
      </c>
    </row>
    <row r="211">
      <c r="A211" s="5" t="inlineStr">
        <is>
          <t>Fortified Village</t>
        </is>
      </c>
      <c r="B211" s="37" t="n">
        <v>0.24</v>
      </c>
    </row>
    <row r="212">
      <c r="A212" s="5" t="inlineStr">
        <is>
          <t>Foul Orchard</t>
        </is>
      </c>
      <c r="B212" s="37" t="n">
        <v>0.26</v>
      </c>
    </row>
    <row r="213">
      <c r="A213" s="5" t="inlineStr">
        <is>
          <t>Frontline Medic</t>
        </is>
      </c>
      <c r="B213" s="37" t="n">
        <v>0.2</v>
      </c>
    </row>
    <row r="214">
      <c r="A214" s="5" t="inlineStr">
        <is>
          <t>Fuel for the Cause</t>
        </is>
      </c>
      <c r="B214" s="37" t="n">
        <v>0.37</v>
      </c>
    </row>
    <row r="215">
      <c r="A215" s="5" t="inlineStr">
        <is>
          <t>Fungal Plots</t>
        </is>
      </c>
      <c r="B215" s="37" t="n">
        <v>0.25</v>
      </c>
    </row>
    <row r="216">
      <c r="A216" s="5" t="inlineStr">
        <is>
          <t>Furycalm Snarl</t>
        </is>
      </c>
      <c r="B216" s="37" t="n">
        <v>0.27</v>
      </c>
    </row>
    <row r="217">
      <c r="A217" s="5" t="inlineStr">
        <is>
          <t>Geist of Saint Traft</t>
        </is>
      </c>
      <c r="B217" s="37" t="n">
        <v>0.33</v>
      </c>
    </row>
    <row r="218">
      <c r="A218" s="5" t="inlineStr">
        <is>
          <t>Generous Gift</t>
        </is>
      </c>
      <c r="B218" s="37" t="n">
        <v>0.73</v>
      </c>
    </row>
    <row r="219">
      <c r="A219" s="5" t="inlineStr">
        <is>
          <t>Genesis</t>
        </is>
      </c>
      <c r="B219" s="37" t="n">
        <v>0.5</v>
      </c>
    </row>
    <row r="220">
      <c r="A220" s="5" t="inlineStr">
        <is>
          <t>Genesis Wave</t>
        </is>
      </c>
      <c r="B220" s="37" t="n">
        <v>0.45</v>
      </c>
    </row>
    <row r="221">
      <c r="A221" s="5" t="inlineStr">
        <is>
          <t>Ghave, Guru of Spores</t>
        </is>
      </c>
      <c r="B221" s="37" t="n">
        <v>1.1</v>
      </c>
    </row>
    <row r="222">
      <c r="A222" s="5" t="inlineStr">
        <is>
          <t>Ghost Quarter</t>
        </is>
      </c>
      <c r="B222" s="37" t="n">
        <v>0.96</v>
      </c>
    </row>
    <row r="223">
      <c r="A223" s="5" t="inlineStr">
        <is>
          <t>Ghostly Prison</t>
        </is>
      </c>
      <c r="B223" s="37" t="n">
        <v>5.68</v>
      </c>
    </row>
    <row r="224">
      <c r="A224" s="5" t="inlineStr">
        <is>
          <t>Giada, Font of Hope</t>
        </is>
      </c>
      <c r="B224" s="37" t="n">
        <v>0.85</v>
      </c>
    </row>
    <row r="225">
      <c r="A225" s="5" t="inlineStr">
        <is>
          <t>Giant's Boulder</t>
        </is>
      </c>
      <c r="B225" s="37" t="n">
        <v>0.12</v>
      </c>
    </row>
    <row r="226">
      <c r="A226" s="5" t="inlineStr">
        <is>
          <t>Glacial Fortress</t>
        </is>
      </c>
      <c r="B226" s="37" t="n">
        <v>0.33</v>
      </c>
    </row>
    <row r="227">
      <c r="A227" s="5" t="inlineStr">
        <is>
          <t>Glacial Wall</t>
        </is>
      </c>
      <c r="B227" s="37" t="n">
        <v>0.3</v>
      </c>
    </row>
    <row r="228">
      <c r="A228" s="5" t="inlineStr">
        <is>
          <t>Glissa Sunslayer</t>
        </is>
      </c>
      <c r="B228" s="37" t="n">
        <v>0.53</v>
      </c>
    </row>
    <row r="229">
      <c r="A229" s="5" t="inlineStr">
        <is>
          <t>Glittering Massif</t>
        </is>
      </c>
      <c r="B229" s="37" t="n">
        <v>0.25</v>
      </c>
    </row>
    <row r="230">
      <c r="A230" s="5" t="inlineStr">
        <is>
          <t>Go for the Throat</t>
        </is>
      </c>
      <c r="B230" s="37" t="n">
        <v>0.57</v>
      </c>
    </row>
    <row r="231">
      <c r="A231" s="5" t="inlineStr">
        <is>
          <t>Goblin Bombardment</t>
        </is>
      </c>
      <c r="B231" s="37" t="n">
        <v>2.53</v>
      </c>
    </row>
    <row r="232">
      <c r="A232" s="5" t="inlineStr">
        <is>
          <t>Golgari Charm</t>
        </is>
      </c>
      <c r="B232" s="37" t="n">
        <v>2.33</v>
      </c>
    </row>
    <row r="233">
      <c r="A233" s="5" t="inlineStr">
        <is>
          <t>Golgari Grave-Troll</t>
        </is>
      </c>
      <c r="B233" s="37" t="n">
        <v>2.24</v>
      </c>
    </row>
    <row r="234">
      <c r="A234" s="5" t="inlineStr">
        <is>
          <t>Golgari Guildgate</t>
        </is>
      </c>
      <c r="B234" s="37" t="n">
        <v>0.16</v>
      </c>
    </row>
    <row r="235">
      <c r="A235" s="5" t="inlineStr">
        <is>
          <t>Golgari Rot Farm</t>
        </is>
      </c>
      <c r="B235" s="37" t="n">
        <v>0.34</v>
      </c>
    </row>
    <row r="236">
      <c r="A236" s="5" t="inlineStr">
        <is>
          <t>Golgari Signet</t>
        </is>
      </c>
      <c r="B236" s="37" t="n">
        <v>0.3</v>
      </c>
    </row>
    <row r="237">
      <c r="A237" s="5" t="inlineStr">
        <is>
          <t>Golgari Thug</t>
        </is>
      </c>
      <c r="B237" s="37" t="n">
        <v>0.37</v>
      </c>
    </row>
    <row r="238">
      <c r="A238" s="5" t="inlineStr">
        <is>
          <t>Gollum, Riddle Master</t>
        </is>
      </c>
      <c r="B238" s="37" t="n">
        <v>2.61</v>
      </c>
    </row>
    <row r="239">
      <c r="A239" s="5" t="inlineStr">
        <is>
          <t>Gonti, Lord of Luxury</t>
        </is>
      </c>
      <c r="B239" s="37" t="n">
        <v>0.36</v>
      </c>
    </row>
    <row r="240">
      <c r="A240" s="5" t="inlineStr">
        <is>
          <t>Grave Pact</t>
        </is>
      </c>
      <c r="B240" s="37" t="n">
        <v>33.48</v>
      </c>
    </row>
    <row r="241">
      <c r="A241" s="5" t="inlineStr">
        <is>
          <t>Grave Titan</t>
        </is>
      </c>
      <c r="B241" s="37" t="n">
        <v>0.36</v>
      </c>
    </row>
    <row r="242">
      <c r="A242" s="5" t="inlineStr">
        <is>
          <t>Great Fierce Bee</t>
        </is>
      </c>
      <c r="B242" s="37" t="n">
        <v>0.13</v>
      </c>
    </row>
    <row r="243">
      <c r="A243" s="5" t="inlineStr">
        <is>
          <t>Grim Affliction</t>
        </is>
      </c>
      <c r="B243" s="37" t="n">
        <v>0.32</v>
      </c>
    </row>
    <row r="244">
      <c r="A244" s="5" t="inlineStr">
        <is>
          <t>Grim Backwoods</t>
        </is>
      </c>
      <c r="B244" s="37" t="n">
        <v>0.22</v>
      </c>
    </row>
    <row r="245">
      <c r="A245" s="5" t="inlineStr">
        <is>
          <t>Grim Poppet</t>
        </is>
      </c>
      <c r="B245" s="37" t="n">
        <v>0.2</v>
      </c>
    </row>
    <row r="246">
      <c r="A246" s="5" t="inlineStr">
        <is>
          <t>Grisly Salvage</t>
        </is>
      </c>
      <c r="B246" s="37" t="n">
        <v>0.26</v>
      </c>
    </row>
    <row r="247">
      <c r="A247" s="5" t="inlineStr">
        <is>
          <t>Growth Spiral</t>
        </is>
      </c>
      <c r="B247" s="37" t="n">
        <v>0.31</v>
      </c>
    </row>
    <row r="248">
      <c r="A248" s="5" t="inlineStr">
        <is>
          <t>Guardian Scalelord</t>
        </is>
      </c>
      <c r="B248" s="37" t="n">
        <v>0.34</v>
      </c>
    </row>
    <row r="249">
      <c r="A249" s="5" t="inlineStr">
        <is>
          <t>Guardian of Faith</t>
        </is>
      </c>
      <c r="B249" s="37" t="n">
        <v>0.64</v>
      </c>
    </row>
    <row r="250">
      <c r="A250" s="5" t="inlineStr">
        <is>
          <t>Guardian of the Halls</t>
        </is>
      </c>
      <c r="B250" s="37" t="n">
        <v>0.11</v>
      </c>
    </row>
    <row r="251">
      <c r="A251" s="5" t="inlineStr">
        <is>
          <t>Gundabad Opportunist</t>
        </is>
      </c>
      <c r="B251" s="37" t="n">
        <v>0.11</v>
      </c>
    </row>
    <row r="252">
      <c r="A252" s="5" t="inlineStr">
        <is>
          <t>Haakon, Stromgald Scourge</t>
        </is>
      </c>
      <c r="B252" s="37" t="n">
        <v>0.89</v>
      </c>
    </row>
    <row r="253">
      <c r="A253" s="5" t="inlineStr">
        <is>
          <t>Hallowed Spiritkeeper</t>
        </is>
      </c>
      <c r="B253" s="37" t="n">
        <v>0.39</v>
      </c>
    </row>
    <row r="254">
      <c r="A254" s="5" t="inlineStr">
        <is>
          <t>Hammer of Nazahn</t>
        </is>
      </c>
      <c r="B254" s="37" t="n">
        <v>16.11</v>
      </c>
    </row>
    <row r="255">
      <c r="A255" s="5" t="inlineStr">
        <is>
          <t>Hapatra, Vizier of Poisons</t>
        </is>
      </c>
      <c r="B255" s="37" t="n">
        <v>0.25</v>
      </c>
    </row>
    <row r="256">
      <c r="A256" s="5" t="inlineStr">
        <is>
          <t>Hardened Scales</t>
        </is>
      </c>
      <c r="B256" s="37" t="n">
        <v>3.08</v>
      </c>
    </row>
    <row r="257">
      <c r="A257" s="5" t="inlineStr">
        <is>
          <t>Harrow</t>
        </is>
      </c>
      <c r="B257" s="37" t="n">
        <v>0.3</v>
      </c>
    </row>
    <row r="258">
      <c r="A258" s="5" t="inlineStr">
        <is>
          <t>Hazel of the Rootbloom</t>
        </is>
      </c>
      <c r="B258" s="37" t="n">
        <v>6.45</v>
      </c>
    </row>
    <row r="259">
      <c r="A259" s="5" t="inlineStr">
        <is>
          <t>Helix Pinnacle</t>
        </is>
      </c>
      <c r="B259" s="37" t="n">
        <v>7.64</v>
      </c>
    </row>
    <row r="260">
      <c r="A260" s="5" t="inlineStr">
        <is>
          <t>Heritage Reclamation</t>
        </is>
      </c>
      <c r="B260" s="37" t="n">
        <v>0.36</v>
      </c>
    </row>
    <row r="261">
      <c r="A261" s="5" t="inlineStr">
        <is>
          <t>Hermit Druid</t>
        </is>
      </c>
      <c r="B261" s="37" t="n">
        <v>8.67</v>
      </c>
    </row>
    <row r="262">
      <c r="A262" s="5" t="inlineStr">
        <is>
          <t>Heroic Intervention</t>
        </is>
      </c>
      <c r="B262" s="37" t="n">
        <v>15.69</v>
      </c>
    </row>
    <row r="263">
      <c r="A263" s="5" t="inlineStr">
        <is>
          <t>High Alert</t>
        </is>
      </c>
      <c r="B263" s="37" t="n">
        <v>0.39</v>
      </c>
    </row>
    <row r="264">
      <c r="A264" s="5" t="inlineStr">
        <is>
          <t>Hinterland Harbor</t>
        </is>
      </c>
      <c r="B264" s="37" t="n">
        <v>0.38</v>
      </c>
    </row>
    <row r="265">
      <c r="A265" s="5" t="inlineStr">
        <is>
          <t>Hissing Quagmire</t>
        </is>
      </c>
      <c r="B265" s="37" t="n">
        <v>1.22</v>
      </c>
    </row>
    <row r="266">
      <c r="A266" s="5" t="inlineStr">
        <is>
          <t>Hofri Ghostforge</t>
        </is>
      </c>
      <c r="B266" s="37" t="n">
        <v>0.29</v>
      </c>
    </row>
    <row r="267">
      <c r="A267" s="5" t="inlineStr">
        <is>
          <t>Hornet Nest</t>
        </is>
      </c>
      <c r="B267" s="37" t="n">
        <v>0.37</v>
      </c>
    </row>
    <row r="268">
      <c r="A268" s="5" t="inlineStr">
        <is>
          <t>Hover Barrier</t>
        </is>
      </c>
      <c r="B268" s="37" t="n">
        <v>0.45</v>
      </c>
    </row>
    <row r="269">
      <c r="A269" s="5" t="inlineStr">
        <is>
          <t>Huatli, the Sun's Heart</t>
        </is>
      </c>
      <c r="B269" s="37" t="n">
        <v>0.43</v>
      </c>
    </row>
    <row r="270">
      <c r="A270" s="5" t="inlineStr">
        <is>
          <t>Hull Breach</t>
        </is>
      </c>
      <c r="B270" s="37" t="n">
        <v>0.24</v>
      </c>
    </row>
    <row r="271">
      <c r="A271" s="5" t="inlineStr">
        <is>
          <t>Hullbreaker Horror</t>
        </is>
      </c>
      <c r="B271" s="37" t="n">
        <v>5.91</v>
      </c>
    </row>
    <row r="272">
      <c r="A272" s="5" t="inlineStr">
        <is>
          <t>Ichor Rats</t>
        </is>
      </c>
      <c r="B272" s="37" t="n">
        <v>1.96</v>
      </c>
    </row>
    <row r="273">
      <c r="A273" s="5" t="inlineStr">
        <is>
          <t>Ichor Wellspring</t>
        </is>
      </c>
      <c r="B273" s="37" t="n">
        <v>1.4</v>
      </c>
    </row>
    <row r="274">
      <c r="A274" s="5" t="inlineStr">
        <is>
          <t>Ikra Shidiqi, the Usurper</t>
        </is>
      </c>
      <c r="B274" s="37" t="n">
        <v>0.45</v>
      </c>
    </row>
    <row r="275">
      <c r="A275" s="5" t="inlineStr">
        <is>
          <t>Indomitable Ancients</t>
        </is>
      </c>
      <c r="B275" s="37" t="n">
        <v>0.39</v>
      </c>
    </row>
    <row r="276">
      <c r="A276" s="5" t="inlineStr">
        <is>
          <t>Indulging Patrician</t>
        </is>
      </c>
      <c r="B276" s="37" t="n">
        <v>0.33</v>
      </c>
    </row>
    <row r="277">
      <c r="A277" s="5" t="inlineStr">
        <is>
          <t>Inexorable Tide</t>
        </is>
      </c>
      <c r="B277" s="37" t="n">
        <v>3.43</v>
      </c>
    </row>
    <row r="278">
      <c r="A278" s="5" t="inlineStr">
        <is>
          <t>Infernal Grasp</t>
        </is>
      </c>
      <c r="B278" s="37" t="n">
        <v>0.33</v>
      </c>
    </row>
    <row r="279">
      <c r="A279" s="5" t="inlineStr">
        <is>
          <t>Innkeeper's Talent</t>
        </is>
      </c>
      <c r="B279" s="37" t="n">
        <v>8.48</v>
      </c>
    </row>
    <row r="280">
      <c r="A280" s="5" t="inlineStr">
        <is>
          <t>Insidious Fungus</t>
        </is>
      </c>
      <c r="B280" s="37" t="n">
        <v>0.54</v>
      </c>
    </row>
    <row r="281">
      <c r="A281" s="5" t="inlineStr">
        <is>
          <t>Inspiring Call</t>
        </is>
      </c>
      <c r="B281" s="37" t="n">
        <v>0.31</v>
      </c>
    </row>
    <row r="282">
      <c r="A282" s="5" t="inlineStr">
        <is>
          <t>Intangible Virtue</t>
        </is>
      </c>
      <c r="B282" s="37" t="n">
        <v>0.3</v>
      </c>
    </row>
    <row r="283">
      <c r="A283" s="5" t="inlineStr">
        <is>
          <t>Iroas, God of Victory</t>
        </is>
      </c>
      <c r="B283" s="37" t="n">
        <v>12.88</v>
      </c>
    </row>
    <row r="284">
      <c r="A284" s="5" t="inlineStr">
        <is>
          <t>Island</t>
        </is>
      </c>
      <c r="B284" s="37" t="n">
        <v>0</v>
      </c>
    </row>
    <row r="285">
      <c r="A285" s="5" t="inlineStr">
        <is>
          <t>Isolated Chapel</t>
        </is>
      </c>
      <c r="B285" s="37" t="n">
        <v>0.4</v>
      </c>
    </row>
    <row r="286">
      <c r="A286" s="5" t="inlineStr">
        <is>
          <t>Isperia, Supreme Judge</t>
        </is>
      </c>
      <c r="B286" s="37" t="n">
        <v>0.33</v>
      </c>
    </row>
    <row r="287">
      <c r="A287" s="5" t="inlineStr">
        <is>
          <t>Jaddi Offshoot</t>
        </is>
      </c>
      <c r="B287" s="37" t="n">
        <v>0.38</v>
      </c>
    </row>
    <row r="288">
      <c r="A288" s="5" t="inlineStr">
        <is>
          <t>Jaws of Defeat</t>
        </is>
      </c>
      <c r="B288" s="37" t="n">
        <v>0.6899999999999999</v>
      </c>
    </row>
    <row r="289">
      <c r="A289" s="5" t="inlineStr">
        <is>
          <t>Jeska's Will</t>
        </is>
      </c>
      <c r="B289" s="37" t="n">
        <v>41</v>
      </c>
    </row>
    <row r="290">
      <c r="A290" s="5" t="inlineStr">
        <is>
          <t>Jungle Barrier</t>
        </is>
      </c>
      <c r="B290" s="37" t="n">
        <v>0.29</v>
      </c>
    </row>
    <row r="291">
      <c r="A291" s="5" t="inlineStr">
        <is>
          <t>Jungle Hollow</t>
        </is>
      </c>
      <c r="B291" s="37" t="n">
        <v>0.16</v>
      </c>
    </row>
    <row r="292">
      <c r="A292" s="5" t="inlineStr">
        <is>
          <t>Kami of Ancient Law</t>
        </is>
      </c>
      <c r="B292" s="37" t="n">
        <v>0.21</v>
      </c>
    </row>
    <row r="293">
      <c r="A293" s="5" t="inlineStr">
        <is>
          <t>Kami of Whispered Hopes</t>
        </is>
      </c>
      <c r="B293" s="37" t="n">
        <v>3.61</v>
      </c>
    </row>
    <row r="294">
      <c r="A294" s="5" t="inlineStr">
        <is>
          <t>Kangee, Sky Warden</t>
        </is>
      </c>
      <c r="B294" s="37" t="n">
        <v>0.3</v>
      </c>
    </row>
    <row r="295">
      <c r="A295" s="5" t="inlineStr">
        <is>
          <t>Karmic Guide</t>
        </is>
      </c>
      <c r="B295" s="37" t="n">
        <v>0.39</v>
      </c>
    </row>
    <row r="296">
      <c r="A296" s="5" t="inlineStr">
        <is>
          <t>Karn's Bastion</t>
        </is>
      </c>
      <c r="B296" s="37" t="n">
        <v>2.76</v>
      </c>
    </row>
    <row r="297">
      <c r="A297" s="5" t="inlineStr">
        <is>
          <t>Kasmina, Enigmatic Mentor</t>
        </is>
      </c>
      <c r="B297" s="37" t="n">
        <v>0.37</v>
      </c>
    </row>
    <row r="298">
      <c r="A298" s="5" t="inlineStr">
        <is>
          <t>Khalni Garden</t>
        </is>
      </c>
      <c r="B298" s="37" t="n">
        <v>1.04</v>
      </c>
    </row>
    <row r="299">
      <c r="A299" s="5" t="inlineStr">
        <is>
          <t>Khalni Heart Expedition</t>
        </is>
      </c>
      <c r="B299" s="37" t="n">
        <v>0.41</v>
      </c>
    </row>
    <row r="300">
      <c r="A300" s="5" t="inlineStr">
        <is>
          <t>Kinnan, Bonder Prodigy</t>
        </is>
      </c>
      <c r="B300" s="37" t="n">
        <v>14.55</v>
      </c>
    </row>
    <row r="301">
      <c r="A301" s="5" t="inlineStr">
        <is>
          <t>Kinsbaile Cavalier</t>
        </is>
      </c>
      <c r="B301" s="37" t="n">
        <v>13.68</v>
      </c>
    </row>
    <row r="302">
      <c r="A302" s="5" t="inlineStr">
        <is>
          <t>Kirol, History Buff // Pack a Punch</t>
        </is>
      </c>
      <c r="B302" s="37" t="n">
        <v>0.14</v>
      </c>
    </row>
    <row r="303">
      <c r="A303" s="5" t="inlineStr">
        <is>
          <t>Knight Exemplar</t>
        </is>
      </c>
      <c r="B303" s="37" t="n">
        <v>4.3</v>
      </c>
    </row>
    <row r="304">
      <c r="A304" s="5" t="inlineStr">
        <is>
          <t>Knight of the White Orchid</t>
        </is>
      </c>
      <c r="B304" s="37" t="n">
        <v>4.51</v>
      </c>
    </row>
    <row r="305">
      <c r="A305" s="5" t="inlineStr">
        <is>
          <t>Kodama's Reach</t>
        </is>
      </c>
      <c r="B305" s="37" t="n">
        <v>1.54</v>
      </c>
    </row>
    <row r="306">
      <c r="A306" s="5" t="inlineStr">
        <is>
          <t>Kogla, the Titan Ape</t>
        </is>
      </c>
      <c r="B306" s="37" t="n">
        <v>3.27</v>
      </c>
    </row>
    <row r="307">
      <c r="A307" s="5" t="inlineStr">
        <is>
          <t>Kokusho, the Evening Star</t>
        </is>
      </c>
      <c r="B307" s="37" t="n">
        <v>26.02</v>
      </c>
    </row>
    <row r="308">
      <c r="A308" s="5" t="inlineStr">
        <is>
          <t>Krosan Verge</t>
        </is>
      </c>
      <c r="B308" s="37" t="n">
        <v>0.25</v>
      </c>
    </row>
    <row r="309">
      <c r="A309" s="5" t="inlineStr">
        <is>
          <t>Kruphix's Insight</t>
        </is>
      </c>
      <c r="B309" s="37" t="n">
        <v>0.33</v>
      </c>
    </row>
    <row r="310">
      <c r="A310" s="5" t="inlineStr">
        <is>
          <t>Kruphix, God of Horizons</t>
        </is>
      </c>
      <c r="B310" s="37" t="n">
        <v>4.38</v>
      </c>
    </row>
    <row r="311">
      <c r="A311" s="5" t="inlineStr">
        <is>
          <t>Kulrath Knight</t>
        </is>
      </c>
      <c r="B311" s="37" t="n">
        <v>0.22</v>
      </c>
    </row>
    <row r="312">
      <c r="A312" s="5" t="inlineStr">
        <is>
          <t>Laelia, the Blade Reforged</t>
        </is>
      </c>
      <c r="B312" s="37" t="n">
        <v>0.32</v>
      </c>
    </row>
    <row r="313">
      <c r="A313" s="5" t="inlineStr">
        <is>
          <t>Lake-town Lookout</t>
        </is>
      </c>
      <c r="B313" s="37" t="n">
        <v>0.12</v>
      </c>
    </row>
    <row r="314">
      <c r="A314" s="5" t="inlineStr">
        <is>
          <t>Liesa, Shroud of Dusk</t>
        </is>
      </c>
      <c r="B314" s="37" t="n">
        <v>0.9</v>
      </c>
    </row>
    <row r="315">
      <c r="A315" s="5" t="inlineStr">
        <is>
          <t>Life from the Loam</t>
        </is>
      </c>
      <c r="B315" s="37" t="n">
        <v>5.49</v>
      </c>
    </row>
    <row r="316">
      <c r="A316" s="5" t="inlineStr">
        <is>
          <t>Lightning Greaves</t>
        </is>
      </c>
      <c r="B316" s="37" t="n">
        <v>5.09</v>
      </c>
    </row>
    <row r="317">
      <c r="A317" s="5" t="inlineStr">
        <is>
          <t>Living Death</t>
        </is>
      </c>
      <c r="B317" s="37" t="n">
        <v>3.53</v>
      </c>
    </row>
    <row r="318">
      <c r="A318" s="5" t="inlineStr">
        <is>
          <t>Llanowar Scout</t>
        </is>
      </c>
      <c r="B318" s="37" t="n">
        <v>0.38</v>
      </c>
    </row>
    <row r="319">
      <c r="A319" s="5" t="inlineStr">
        <is>
          <t>Llanowar Wastes</t>
        </is>
      </c>
      <c r="B319" s="37" t="n">
        <v>0.63</v>
      </c>
    </row>
    <row r="320">
      <c r="A320" s="5" t="inlineStr">
        <is>
          <t>Lorehold Archivist // Restore Relic</t>
        </is>
      </c>
      <c r="B320" s="37" t="n">
        <v>0.32</v>
      </c>
    </row>
    <row r="321">
      <c r="A321" s="5" t="inlineStr">
        <is>
          <t>Lorehold Campus</t>
        </is>
      </c>
      <c r="B321" s="37" t="n">
        <v>0.24</v>
      </c>
    </row>
    <row r="322">
      <c r="A322" s="5" t="inlineStr">
        <is>
          <t>Lorehold Charm</t>
        </is>
      </c>
      <c r="B322" s="37" t="n">
        <v>0.26</v>
      </c>
    </row>
    <row r="323">
      <c r="A323" s="5" t="inlineStr">
        <is>
          <t>Lotus Cobra</t>
        </is>
      </c>
      <c r="B323" s="37" t="n">
        <v>6.14</v>
      </c>
    </row>
    <row r="324">
      <c r="A324" s="5" t="inlineStr">
        <is>
          <t>Lotus Field</t>
        </is>
      </c>
      <c r="B324" s="37" t="n">
        <v>2.44</v>
      </c>
    </row>
    <row r="325">
      <c r="A325" s="5" t="inlineStr">
        <is>
          <t>Luminarch Ascension</t>
        </is>
      </c>
      <c r="B325" s="37" t="n">
        <v>18.47</v>
      </c>
    </row>
    <row r="326">
      <c r="A326" s="5" t="inlineStr">
        <is>
          <t>Luminous Broodmoth</t>
        </is>
      </c>
      <c r="B326" s="37" t="n">
        <v>1.61</v>
      </c>
    </row>
    <row r="327">
      <c r="A327" s="5" t="inlineStr">
        <is>
          <t>Lyra Dawnbringer</t>
        </is>
      </c>
      <c r="B327" s="37" t="n">
        <v>0.46</v>
      </c>
    </row>
    <row r="328">
      <c r="A328" s="5" t="inlineStr">
        <is>
          <t>Maelstrom Pulse</t>
        </is>
      </c>
      <c r="B328" s="37" t="n">
        <v>0.38</v>
      </c>
    </row>
    <row r="329">
      <c r="A329" s="5" t="inlineStr">
        <is>
          <t>Make a Stand</t>
        </is>
      </c>
      <c r="B329" s="37" t="n">
        <v>0.12</v>
      </c>
    </row>
    <row r="330">
      <c r="A330" s="5" t="inlineStr">
        <is>
          <t>Mana Reflection</t>
        </is>
      </c>
      <c r="B330" s="37" t="n">
        <v>2.53</v>
      </c>
    </row>
    <row r="331">
      <c r="A331" s="5" t="inlineStr">
        <is>
          <t>Marauding Blight-Priest</t>
        </is>
      </c>
      <c r="B331" s="37" t="n">
        <v>0.29</v>
      </c>
    </row>
    <row r="332">
      <c r="A332" s="5" t="inlineStr">
        <is>
          <t>Mazirek, Kraul Death Priest</t>
        </is>
      </c>
      <c r="B332" s="37" t="n">
        <v>0.64</v>
      </c>
    </row>
    <row r="333">
      <c r="A333" s="5" t="inlineStr">
        <is>
          <t>Meandering Towershell</t>
        </is>
      </c>
      <c r="B333" s="37" t="n">
        <v>0.15</v>
      </c>
    </row>
    <row r="334">
      <c r="A334" s="5" t="inlineStr">
        <is>
          <t>Merciless Eviction</t>
        </is>
      </c>
      <c r="B334" s="37" t="n">
        <v>0.66</v>
      </c>
    </row>
    <row r="335">
      <c r="A335" s="5" t="inlineStr">
        <is>
          <t>Merciless Executioner</t>
        </is>
      </c>
      <c r="B335" s="37" t="n">
        <v>0.51</v>
      </c>
    </row>
    <row r="336">
      <c r="A336" s="5" t="inlineStr">
        <is>
          <t>Meren of Clan Nel Toth</t>
        </is>
      </c>
      <c r="B336" s="37" t="n">
        <v>1.33</v>
      </c>
    </row>
    <row r="337">
      <c r="A337" s="5" t="inlineStr">
        <is>
          <t>Merfolk Skydiver</t>
        </is>
      </c>
      <c r="B337" s="37" t="n">
        <v>0.26</v>
      </c>
    </row>
    <row r="338">
      <c r="A338" s="5" t="inlineStr">
        <is>
          <t>Midnight Reaper</t>
        </is>
      </c>
      <c r="B338" s="37" t="n">
        <v>0.19</v>
      </c>
    </row>
    <row r="339">
      <c r="A339" s="5" t="inlineStr">
        <is>
          <t>Mikaeus, the Unhallowed</t>
        </is>
      </c>
      <c r="B339" s="37" t="n">
        <v>24.22</v>
      </c>
    </row>
    <row r="340">
      <c r="A340" s="5" t="inlineStr">
        <is>
          <t>Millikin</t>
        </is>
      </c>
      <c r="B340" s="37" t="n">
        <v>0.24</v>
      </c>
    </row>
    <row r="341">
      <c r="A341" s="5" t="inlineStr">
        <is>
          <t>Mind Stone</t>
        </is>
      </c>
      <c r="B341" s="37" t="n">
        <v>0.29</v>
      </c>
    </row>
    <row r="342">
      <c r="A342" s="5" t="inlineStr">
        <is>
          <t>Mirkwood</t>
        </is>
      </c>
      <c r="B342" s="37" t="n">
        <v>0.16</v>
      </c>
    </row>
    <row r="343">
      <c r="A343" s="5" t="inlineStr">
        <is>
          <t>Mistmeadow Witch</t>
        </is>
      </c>
      <c r="B343" s="37" t="n">
        <v>0.22</v>
      </c>
    </row>
    <row r="344">
      <c r="A344" s="5" t="inlineStr">
        <is>
          <t>Mistveil Plains</t>
        </is>
      </c>
      <c r="B344" s="37" t="n">
        <v>0.29</v>
      </c>
    </row>
    <row r="345">
      <c r="A345" s="5" t="inlineStr">
        <is>
          <t>Monologue Tax</t>
        </is>
      </c>
      <c r="B345" s="37" t="n">
        <v>0.86</v>
      </c>
    </row>
    <row r="346">
      <c r="A346" s="5" t="inlineStr">
        <is>
          <t>Moonshaker Cavalry</t>
        </is>
      </c>
      <c r="B346" s="37" t="n">
        <v>8.710000000000001</v>
      </c>
    </row>
    <row r="347">
      <c r="A347" s="5" t="inlineStr">
        <is>
          <t>Morbid Opportunist</t>
        </is>
      </c>
      <c r="B347" s="37" t="n">
        <v>0.34</v>
      </c>
    </row>
    <row r="348">
      <c r="A348" s="5" t="inlineStr">
        <is>
          <t>Mortify</t>
        </is>
      </c>
      <c r="B348" s="37" t="n">
        <v>0.2</v>
      </c>
    </row>
    <row r="349">
      <c r="A349" s="5" t="inlineStr">
        <is>
          <t>Mountain</t>
        </is>
      </c>
      <c r="B349" s="37" t="n">
        <v>0</v>
      </c>
    </row>
    <row r="350">
      <c r="A350" s="5" t="inlineStr">
        <is>
          <t>Mulch</t>
        </is>
      </c>
      <c r="B350" s="37" t="n">
        <v>0.3</v>
      </c>
    </row>
    <row r="351">
      <c r="A351" s="5" t="inlineStr">
        <is>
          <t>Muldrotha, the Gravetide</t>
        </is>
      </c>
      <c r="B351" s="37" t="n">
        <v>0.44</v>
      </c>
    </row>
    <row r="352">
      <c r="A352" s="5" t="inlineStr">
        <is>
          <t>Mulldrifter</t>
        </is>
      </c>
      <c r="B352" s="37" t="n">
        <v>0.34</v>
      </c>
    </row>
    <row r="353">
      <c r="A353" s="5" t="inlineStr">
        <is>
          <t>Mycoloth</t>
        </is>
      </c>
      <c r="B353" s="37" t="n">
        <v>0.37</v>
      </c>
    </row>
    <row r="354">
      <c r="A354" s="5" t="inlineStr">
        <is>
          <t>Myriad Landscape</t>
        </is>
      </c>
      <c r="B354" s="37" t="n">
        <v>0.35</v>
      </c>
    </row>
    <row r="355">
      <c r="A355" s="5" t="inlineStr">
        <is>
          <t>Mystic Confluence</t>
        </is>
      </c>
      <c r="B355" s="37" t="n">
        <v>1.07</v>
      </c>
    </row>
    <row r="356">
      <c r="A356" s="5" t="inlineStr">
        <is>
          <t>Naktamun Lorespinner // Wheel of Fortune</t>
        </is>
      </c>
      <c r="B356" s="37" t="n">
        <v>1.73</v>
      </c>
    </row>
    <row r="357">
      <c r="A357" s="5" t="inlineStr">
        <is>
          <t>Natural Order</t>
        </is>
      </c>
      <c r="B357" s="37" t="n">
        <v>36.48</v>
      </c>
    </row>
    <row r="358">
      <c r="A358" s="5" t="inlineStr">
        <is>
          <t>Nature's Lore</t>
        </is>
      </c>
      <c r="B358" s="37" t="n">
        <v>2.83</v>
      </c>
    </row>
    <row r="359">
      <c r="A359" s="5" t="inlineStr">
        <is>
          <t>Naya Panorama</t>
        </is>
      </c>
      <c r="B359" s="37" t="n">
        <v>0.36</v>
      </c>
    </row>
    <row r="360">
      <c r="A360" s="5" t="inlineStr">
        <is>
          <t>Necropotence</t>
        </is>
      </c>
      <c r="B360" s="37" t="n">
        <v>36.39</v>
      </c>
    </row>
    <row r="361">
      <c r="A361" s="5" t="inlineStr">
        <is>
          <t>Necroskitter</t>
        </is>
      </c>
      <c r="B361" s="37" t="n">
        <v>0.38</v>
      </c>
    </row>
    <row r="362">
      <c r="A362" s="5" t="inlineStr">
        <is>
          <t>Negate</t>
        </is>
      </c>
      <c r="B362" s="37" t="n">
        <v>0.3</v>
      </c>
    </row>
    <row r="363">
      <c r="A363" s="5" t="inlineStr">
        <is>
          <t>Nest of Scarabs</t>
        </is>
      </c>
      <c r="B363" s="37" t="n">
        <v>5.41</v>
      </c>
    </row>
    <row r="364">
      <c r="A364" s="5" t="inlineStr">
        <is>
          <t>Nesting Dragon</t>
        </is>
      </c>
      <c r="B364" s="37" t="n">
        <v>0.33</v>
      </c>
    </row>
    <row r="365">
      <c r="A365" s="5" t="inlineStr">
        <is>
          <t>Nethroi, Apex of Death</t>
        </is>
      </c>
      <c r="B365" s="37" t="n">
        <v>2.65</v>
      </c>
    </row>
    <row r="366">
      <c r="A366" s="5" t="inlineStr">
        <is>
          <t>Nezahal, Primal Tide</t>
        </is>
      </c>
      <c r="B366" s="37" t="n">
        <v>8.41</v>
      </c>
    </row>
    <row r="367">
      <c r="A367" s="5" t="inlineStr">
        <is>
          <t>Nightveil Specter</t>
        </is>
      </c>
      <c r="B367" s="37" t="n">
        <v>0.52</v>
      </c>
    </row>
    <row r="368">
      <c r="A368" s="5" t="inlineStr">
        <is>
          <t>Nikko-Onna</t>
        </is>
      </c>
      <c r="B368" s="37" t="n">
        <v>0.64</v>
      </c>
    </row>
    <row r="369">
      <c r="A369" s="5" t="inlineStr">
        <is>
          <t>Nissa's Pilgrimage</t>
        </is>
      </c>
      <c r="B369" s="37" t="n">
        <v>0.43</v>
      </c>
    </row>
    <row r="370">
      <c r="A370" s="5" t="inlineStr">
        <is>
          <t>Nissa, Voice of Zendikar</t>
        </is>
      </c>
      <c r="B370" s="37" t="n">
        <v>3.18</v>
      </c>
    </row>
    <row r="371">
      <c r="A371" s="5" t="inlineStr">
        <is>
          <t>Notion Thief</t>
        </is>
      </c>
      <c r="B371" s="37" t="n">
        <v>1.45</v>
      </c>
    </row>
    <row r="372">
      <c r="A372" s="5" t="inlineStr">
        <is>
          <t>Nyx-Fleece Ram</t>
        </is>
      </c>
      <c r="B372" s="37" t="n">
        <v>0.29</v>
      </c>
    </row>
    <row r="373">
      <c r="A373" s="5" t="inlineStr">
        <is>
          <t>Nyxbloom Ancient</t>
        </is>
      </c>
      <c r="B373" s="37" t="n">
        <v>26.16</v>
      </c>
    </row>
    <row r="374">
      <c r="A374" s="5" t="inlineStr">
        <is>
          <t>Obuun, Mul Daya Ancestor</t>
        </is>
      </c>
      <c r="B374" s="37" t="n">
        <v>0.46</v>
      </c>
    </row>
    <row r="375">
      <c r="A375" s="5" t="inlineStr">
        <is>
          <t>Old Stickfingers</t>
        </is>
      </c>
      <c r="B375" s="37" t="n">
        <v>0.31</v>
      </c>
    </row>
    <row r="376">
      <c r="A376" s="5" t="inlineStr">
        <is>
          <t>Oloro, Ageless Ascetic</t>
        </is>
      </c>
      <c r="B376" s="37" t="n">
        <v>19.92</v>
      </c>
    </row>
    <row r="377">
      <c r="A377" s="5" t="inlineStr">
        <is>
          <t>Omnath, Locus of Rage</t>
        </is>
      </c>
      <c r="B377" s="37" t="n">
        <v>0.39</v>
      </c>
    </row>
    <row r="378">
      <c r="A378" s="5" t="inlineStr">
        <is>
          <t>Open the Armory</t>
        </is>
      </c>
      <c r="B378" s="37" t="n">
        <v>3.34</v>
      </c>
    </row>
    <row r="379">
      <c r="A379" s="5" t="inlineStr">
        <is>
          <t>Ophiomancer</t>
        </is>
      </c>
      <c r="B379" s="37" t="n">
        <v>0.95</v>
      </c>
    </row>
    <row r="380">
      <c r="A380" s="5" t="inlineStr">
        <is>
          <t>Opulent Palace</t>
        </is>
      </c>
      <c r="B380" s="37" t="n">
        <v>0.37</v>
      </c>
    </row>
    <row r="381">
      <c r="A381" s="5" t="inlineStr">
        <is>
          <t>Orcish Bowmasters</t>
        </is>
      </c>
      <c r="B381" s="37" t="n">
        <v>47.25</v>
      </c>
    </row>
    <row r="382">
      <c r="A382" s="5" t="inlineStr">
        <is>
          <t>Ordeal of Nylea</t>
        </is>
      </c>
      <c r="B382" s="37" t="n">
        <v>0.17</v>
      </c>
    </row>
    <row r="383">
      <c r="A383" s="5" t="inlineStr">
        <is>
          <t>Origin of Metalbending</t>
        </is>
      </c>
      <c r="B383" s="37" t="n">
        <v>0.19</v>
      </c>
    </row>
    <row r="384">
      <c r="A384" s="5" t="inlineStr">
        <is>
          <t>Orzhov Basilica</t>
        </is>
      </c>
      <c r="B384" s="37" t="n">
        <v>0.25</v>
      </c>
    </row>
    <row r="385">
      <c r="A385" s="5" t="inlineStr">
        <is>
          <t>Orzhov Signet</t>
        </is>
      </c>
      <c r="B385" s="37" t="n">
        <v>0.37</v>
      </c>
    </row>
    <row r="386">
      <c r="A386" s="5" t="inlineStr">
        <is>
          <t>Overgrown Battlement</t>
        </is>
      </c>
      <c r="B386" s="37" t="n">
        <v>0.31</v>
      </c>
    </row>
    <row r="387">
      <c r="A387" s="5" t="inlineStr">
        <is>
          <t>Overgrown Farmland</t>
        </is>
      </c>
      <c r="B387" s="37" t="n">
        <v>4.45</v>
      </c>
    </row>
    <row r="388">
      <c r="A388" s="5" t="inlineStr">
        <is>
          <t>Ozolith, the Shattered Spire</t>
        </is>
      </c>
      <c r="B388" s="37" t="n">
        <v>6.03</v>
      </c>
    </row>
    <row r="389">
      <c r="A389" s="5" t="inlineStr">
        <is>
          <t>Panharmonicon</t>
        </is>
      </c>
      <c r="B389" s="37" t="n">
        <v>7.04</v>
      </c>
    </row>
    <row r="390">
      <c r="A390" s="5" t="inlineStr">
        <is>
          <t>Paradise Druid</t>
        </is>
      </c>
      <c r="B390" s="37" t="n">
        <v>0.2</v>
      </c>
    </row>
    <row r="391">
      <c r="A391" s="5" t="inlineStr">
        <is>
          <t>Parallel Lives</t>
        </is>
      </c>
      <c r="B391" s="37" t="n">
        <v>36.43</v>
      </c>
    </row>
    <row r="392">
      <c r="A392" s="5" t="inlineStr">
        <is>
          <t>Patchwork Banner</t>
        </is>
      </c>
      <c r="B392" s="37" t="n">
        <v>2.62</v>
      </c>
    </row>
    <row r="393">
      <c r="A393" s="5" t="inlineStr">
        <is>
          <t>Path of Ancestry</t>
        </is>
      </c>
      <c r="B393" s="37" t="n">
        <v>0.16</v>
      </c>
    </row>
    <row r="394">
      <c r="A394" s="5" t="inlineStr">
        <is>
          <t>Path to Exile</t>
        </is>
      </c>
      <c r="B394" s="37" t="n">
        <v>1.55</v>
      </c>
    </row>
    <row r="395">
      <c r="A395" s="5" t="inlineStr">
        <is>
          <t>Peregrine Drake</t>
        </is>
      </c>
      <c r="B395" s="37" t="n">
        <v>0.25</v>
      </c>
    </row>
    <row r="396">
      <c r="A396" s="5" t="inlineStr">
        <is>
          <t>Perimeter Captain</t>
        </is>
      </c>
      <c r="B396" s="37" t="n">
        <v>1.28</v>
      </c>
    </row>
    <row r="397">
      <c r="A397" s="5" t="inlineStr">
        <is>
          <t>Perpetual Timepiece</t>
        </is>
      </c>
      <c r="B397" s="37" t="n">
        <v>0.26</v>
      </c>
    </row>
    <row r="398">
      <c r="A398" s="5" t="inlineStr">
        <is>
          <t>Phyrexian Arena</t>
        </is>
      </c>
      <c r="B398" s="37" t="n">
        <v>4.04</v>
      </c>
    </row>
    <row r="399">
      <c r="A399" s="5" t="inlineStr">
        <is>
          <t>Pilgrim's Eye</t>
        </is>
      </c>
      <c r="B399" s="37" t="n">
        <v>0.17</v>
      </c>
    </row>
    <row r="400">
      <c r="A400" s="5" t="inlineStr">
        <is>
          <t>Pitiless Plunderer</t>
        </is>
      </c>
      <c r="B400" s="37" t="n">
        <v>4.38</v>
      </c>
    </row>
    <row r="401">
      <c r="A401" s="5" t="inlineStr">
        <is>
          <t>Plaguecrafter</t>
        </is>
      </c>
      <c r="B401" s="37" t="n">
        <v>0.4</v>
      </c>
    </row>
    <row r="402">
      <c r="A402" s="5" t="inlineStr">
        <is>
          <t>Plaguemaw Beast</t>
        </is>
      </c>
      <c r="B402" s="37" t="n">
        <v>0.19</v>
      </c>
    </row>
    <row r="403">
      <c r="A403" s="5" t="inlineStr">
        <is>
          <t>Plains</t>
        </is>
      </c>
      <c r="B403" s="37" t="n">
        <v>0</v>
      </c>
    </row>
    <row r="404">
      <c r="A404" s="5" t="inlineStr">
        <is>
          <t>Poison-Tip Archer</t>
        </is>
      </c>
      <c r="B404" s="37" t="n">
        <v>1.56</v>
      </c>
    </row>
    <row r="405">
      <c r="A405" s="5" t="inlineStr">
        <is>
          <t>Pongify</t>
        </is>
      </c>
      <c r="B405" s="37" t="n">
        <v>1.91</v>
      </c>
    </row>
    <row r="406">
      <c r="A406" s="5" t="inlineStr">
        <is>
          <t>Portable Hole</t>
        </is>
      </c>
      <c r="B406" s="37" t="n">
        <v>0.37</v>
      </c>
    </row>
    <row r="407">
      <c r="A407" s="5" t="inlineStr">
        <is>
          <t>Portal to Phyrexia</t>
        </is>
      </c>
      <c r="B407" s="37" t="n">
        <v>51.1</v>
      </c>
    </row>
    <row r="408">
      <c r="A408" s="5" t="inlineStr">
        <is>
          <t>Portcullis Vine</t>
        </is>
      </c>
      <c r="B408" s="37" t="n">
        <v>0.22</v>
      </c>
    </row>
    <row r="409">
      <c r="A409" s="5" t="inlineStr">
        <is>
          <t>Primary Research</t>
        </is>
      </c>
      <c r="B409" s="37" t="n">
        <v>0.17</v>
      </c>
    </row>
    <row r="410">
      <c r="A410" s="5" t="inlineStr">
        <is>
          <t>Pristine Talisman</t>
        </is>
      </c>
      <c r="B410" s="37" t="n">
        <v>0.33</v>
      </c>
    </row>
    <row r="411">
      <c r="A411" s="5" t="inlineStr">
        <is>
          <t>Professional Face-Breaker</t>
        </is>
      </c>
      <c r="B411" s="37" t="n">
        <v>6.91</v>
      </c>
    </row>
    <row r="412">
      <c r="A412" s="5" t="inlineStr">
        <is>
          <t>Propaganda</t>
        </is>
      </c>
      <c r="B412" s="37" t="n">
        <v>2.63</v>
      </c>
    </row>
    <row r="413">
      <c r="A413" s="5" t="inlineStr">
        <is>
          <t>Protector of the Wastes</t>
        </is>
      </c>
      <c r="B413" s="37" t="n">
        <v>0.27</v>
      </c>
    </row>
    <row r="414">
      <c r="A414" s="5" t="inlineStr">
        <is>
          <t>Puresteel Paladin</t>
        </is>
      </c>
      <c r="B414" s="37" t="n">
        <v>2.95</v>
      </c>
    </row>
    <row r="415">
      <c r="A415" s="5" t="inlineStr">
        <is>
          <t>Putrefy</t>
        </is>
      </c>
      <c r="B415" s="37" t="n">
        <v>0.34</v>
      </c>
    </row>
    <row r="416">
      <c r="A416" s="5" t="inlineStr">
        <is>
          <t>Pyroblast</t>
        </is>
      </c>
      <c r="B416" s="37" t="n">
        <v>10.08</v>
      </c>
    </row>
    <row r="417">
      <c r="A417" s="5" t="inlineStr">
        <is>
          <t>Quintorius Kand</t>
        </is>
      </c>
      <c r="B417" s="37" t="n">
        <v>2.01</v>
      </c>
    </row>
    <row r="418">
      <c r="A418" s="5" t="inlineStr">
        <is>
          <t>Quintorius, Field Historian</t>
        </is>
      </c>
      <c r="B418" s="37" t="n">
        <v>0.21</v>
      </c>
    </row>
    <row r="419">
      <c r="A419" s="5" t="inlineStr">
        <is>
          <t>Quintorius, History Chaser</t>
        </is>
      </c>
      <c r="B419" s="37" t="n">
        <v>0.62</v>
      </c>
    </row>
    <row r="420">
      <c r="A420" s="5" t="inlineStr">
        <is>
          <t>Quintorius, Loremaster</t>
        </is>
      </c>
      <c r="B420" s="37" t="n">
        <v>0.19</v>
      </c>
    </row>
    <row r="421">
      <c r="A421" s="5" t="inlineStr">
        <is>
          <t>Radiant Grove</t>
        </is>
      </c>
      <c r="B421" s="37" t="n">
        <v>0.2</v>
      </c>
    </row>
    <row r="422">
      <c r="A422" s="5" t="inlineStr">
        <is>
          <t>Radiant Summit</t>
        </is>
      </c>
      <c r="B422" s="37" t="n">
        <v>0.38</v>
      </c>
    </row>
    <row r="423">
      <c r="A423" s="5" t="inlineStr">
        <is>
          <t>Ragged Short Spear</t>
        </is>
      </c>
      <c r="B423" s="37" t="n">
        <v>0.17</v>
      </c>
    </row>
    <row r="424">
      <c r="A424" s="5" t="inlineStr">
        <is>
          <t>Rampaging Baloths</t>
        </is>
      </c>
      <c r="B424" s="37" t="n">
        <v>0.34</v>
      </c>
    </row>
    <row r="425">
      <c r="A425" s="5" t="inlineStr">
        <is>
          <t>Rampant Growth</t>
        </is>
      </c>
      <c r="B425" s="37" t="n">
        <v>0.64</v>
      </c>
    </row>
    <row r="426">
      <c r="A426" s="5" t="inlineStr">
        <is>
          <t>Rampart Architect</t>
        </is>
      </c>
      <c r="B426" s="37" t="n">
        <v>0.28</v>
      </c>
    </row>
    <row r="427">
      <c r="A427" s="5" t="inlineStr">
        <is>
          <t>Ramunap Excavator</t>
        </is>
      </c>
      <c r="B427" s="37" t="n">
        <v>5.45</v>
      </c>
    </row>
    <row r="428">
      <c r="A428" s="5" t="inlineStr">
        <is>
          <t>Rapid Hybridization</t>
        </is>
      </c>
      <c r="B428" s="37" t="n">
        <v>1.25</v>
      </c>
    </row>
    <row r="429">
      <c r="A429" s="5" t="inlineStr">
        <is>
          <t>Ravos, Soultender</t>
        </is>
      </c>
      <c r="B429" s="37" t="n">
        <v>11.36</v>
      </c>
    </row>
    <row r="430">
      <c r="A430" s="5" t="inlineStr">
        <is>
          <t>Read the Bones</t>
        </is>
      </c>
      <c r="B430" s="37" t="n">
        <v>0.36</v>
      </c>
    </row>
    <row r="431">
      <c r="A431" s="5" t="inlineStr">
        <is>
          <t>Reanimate</t>
        </is>
      </c>
      <c r="B431" s="37" t="n">
        <v>9.449999999999999</v>
      </c>
    </row>
    <row r="432">
      <c r="A432" s="5" t="inlineStr">
        <is>
          <t>Reclamation Sage</t>
        </is>
      </c>
      <c r="B432" s="37" t="n">
        <v>0.34</v>
      </c>
    </row>
    <row r="433">
      <c r="A433" s="5" t="inlineStr">
        <is>
          <t>Reflector Mage</t>
        </is>
      </c>
      <c r="B433" s="37" t="n">
        <v>0.38</v>
      </c>
    </row>
    <row r="434">
      <c r="A434" s="5" t="inlineStr">
        <is>
          <t>Relic Retriever</t>
        </is>
      </c>
      <c r="B434" s="37" t="n">
        <v>0.24</v>
      </c>
    </row>
    <row r="435">
      <c r="A435" s="5" t="inlineStr">
        <is>
          <t>Remorseful Cleric</t>
        </is>
      </c>
      <c r="B435" s="37" t="n">
        <v>0.27</v>
      </c>
    </row>
    <row r="436">
      <c r="A436" s="5" t="inlineStr">
        <is>
          <t>Restoration Angel</t>
        </is>
      </c>
      <c r="B436" s="37" t="n">
        <v>0.39</v>
      </c>
    </row>
    <row r="437">
      <c r="A437" s="5" t="inlineStr">
        <is>
          <t>Return to Dust</t>
        </is>
      </c>
      <c r="B437" s="37" t="n">
        <v>0.29</v>
      </c>
    </row>
    <row r="438">
      <c r="A438" s="5" t="inlineStr">
        <is>
          <t>Reunion of the House</t>
        </is>
      </c>
      <c r="B438" s="37" t="n">
        <v>0.24</v>
      </c>
    </row>
    <row r="439">
      <c r="A439" s="5" t="inlineStr">
        <is>
          <t>Rewind</t>
        </is>
      </c>
      <c r="B439" s="37" t="n">
        <v>0.43</v>
      </c>
    </row>
    <row r="440">
      <c r="A440" s="5" t="inlineStr">
        <is>
          <t>Rhox Faithmender</t>
        </is>
      </c>
      <c r="B440" s="37" t="n">
        <v>1.8</v>
      </c>
    </row>
    <row r="441">
      <c r="A441" s="5" t="inlineStr">
        <is>
          <t>Rhys the Redeemed</t>
        </is>
      </c>
      <c r="B441" s="37" t="n">
        <v>5.92</v>
      </c>
    </row>
    <row r="442">
      <c r="A442" s="5" t="inlineStr">
        <is>
          <t>Rhystic Study</t>
        </is>
      </c>
      <c r="B442" s="37" t="n">
        <v>70.27</v>
      </c>
    </row>
    <row r="443">
      <c r="A443" s="5" t="inlineStr">
        <is>
          <t>Righteous Valkyrie</t>
        </is>
      </c>
      <c r="B443" s="37" t="n">
        <v>4.88</v>
      </c>
    </row>
    <row r="444">
      <c r="A444" s="5" t="inlineStr">
        <is>
          <t>Rip Apart</t>
        </is>
      </c>
      <c r="B444" s="37" t="n">
        <v>0.23</v>
      </c>
    </row>
    <row r="445">
      <c r="A445" s="5" t="inlineStr">
        <is>
          <t>Rise of the Eldrazi</t>
        </is>
      </c>
      <c r="B445" s="37" t="n">
        <v>27.58</v>
      </c>
    </row>
    <row r="446">
      <c r="A446" s="5" t="inlineStr">
        <is>
          <t>Risen Reef</t>
        </is>
      </c>
      <c r="B446" s="37" t="n">
        <v>0.32</v>
      </c>
    </row>
    <row r="447">
      <c r="A447" s="5" t="inlineStr">
        <is>
          <t>Rishkar, Peema Renegade</t>
        </is>
      </c>
      <c r="B447" s="37" t="n">
        <v>0.23</v>
      </c>
    </row>
    <row r="448">
      <c r="A448" s="5" t="inlineStr">
        <is>
          <t>Rites of Flourishing</t>
        </is>
      </c>
      <c r="B448" s="37" t="n">
        <v>0.67</v>
      </c>
    </row>
    <row r="449">
      <c r="A449" s="5" t="inlineStr">
        <is>
          <t>Ritual of Soot</t>
        </is>
      </c>
      <c r="B449" s="37" t="n">
        <v>0.26</v>
      </c>
    </row>
    <row r="450">
      <c r="A450" s="5" t="inlineStr">
        <is>
          <t>Roiling Regrowth</t>
        </is>
      </c>
      <c r="B450" s="37" t="n">
        <v>0.32</v>
      </c>
    </row>
    <row r="451">
      <c r="A451" s="5" t="inlineStr">
        <is>
          <t>Rolling Stones</t>
        </is>
      </c>
      <c r="B451" s="37" t="n">
        <v>1.83</v>
      </c>
    </row>
    <row r="452">
      <c r="A452" s="5" t="inlineStr">
        <is>
          <t>Roon of the Hidden Realm</t>
        </is>
      </c>
      <c r="B452" s="37" t="n">
        <v>0.3</v>
      </c>
    </row>
    <row r="453">
      <c r="A453" s="5" t="inlineStr">
        <is>
          <t>Rugged Prairie</t>
        </is>
      </c>
      <c r="B453" s="37" t="n">
        <v>0.32</v>
      </c>
    </row>
    <row r="454">
      <c r="A454" s="5" t="inlineStr">
        <is>
          <t>Rune-Scarred Demon</t>
        </is>
      </c>
      <c r="B454" s="37" t="n">
        <v>0.99</v>
      </c>
    </row>
    <row r="455">
      <c r="A455" s="5" t="inlineStr">
        <is>
          <t>Sacred Peaks</t>
        </is>
      </c>
      <c r="B455" s="37" t="n">
        <v>0.25</v>
      </c>
    </row>
    <row r="456">
      <c r="A456" s="5" t="inlineStr">
        <is>
          <t>Sai, Master Thopterist</t>
        </is>
      </c>
      <c r="B456" s="37" t="n">
        <v>0.63</v>
      </c>
    </row>
    <row r="457">
      <c r="A457" s="5" t="inlineStr">
        <is>
          <t>Sakura-Tribe Elder</t>
        </is>
      </c>
      <c r="B457" s="37" t="n">
        <v>0.36</v>
      </c>
    </row>
    <row r="458">
      <c r="A458" s="5" t="inlineStr">
        <is>
          <t>Sakura-Tribe Scout</t>
        </is>
      </c>
      <c r="B458" s="37" t="n">
        <v>2.37</v>
      </c>
    </row>
    <row r="459">
      <c r="A459" s="5" t="inlineStr">
        <is>
          <t>Sandsteppe Citadel</t>
        </is>
      </c>
      <c r="B459" s="37" t="n">
        <v>0.33</v>
      </c>
    </row>
    <row r="460">
      <c r="A460" s="5" t="inlineStr">
        <is>
          <t>Sanguine Bond</t>
        </is>
      </c>
      <c r="B460" s="37" t="n">
        <v>6.51</v>
      </c>
    </row>
    <row r="461">
      <c r="A461" s="5" t="inlineStr">
        <is>
          <t>Satyr Wayfinder</t>
        </is>
      </c>
      <c r="B461" s="37" t="n">
        <v>0.2</v>
      </c>
    </row>
    <row r="462">
      <c r="A462" s="5" t="inlineStr">
        <is>
          <t>Scoured Barrens</t>
        </is>
      </c>
      <c r="B462" s="37" t="n">
        <v>0.21</v>
      </c>
    </row>
    <row r="463">
      <c r="A463" s="5" t="inlineStr">
        <is>
          <t>Scute Swarm</t>
        </is>
      </c>
      <c r="B463" s="37" t="n">
        <v>8.630000000000001</v>
      </c>
    </row>
    <row r="464">
      <c r="A464" s="5" t="inlineStr">
        <is>
          <t>Seaside Citadel</t>
        </is>
      </c>
      <c r="B464" s="37" t="n">
        <v>0.3</v>
      </c>
    </row>
    <row r="465">
      <c r="A465" s="5" t="inlineStr">
        <is>
          <t>Season of the Burrow</t>
        </is>
      </c>
      <c r="B465" s="37" t="n">
        <v>2.65</v>
      </c>
    </row>
    <row r="466">
      <c r="A466" s="5" t="inlineStr">
        <is>
          <t>Second Harvest</t>
        </is>
      </c>
      <c r="B466" s="37" t="n">
        <v>4.95</v>
      </c>
    </row>
    <row r="467">
      <c r="A467" s="5" t="inlineStr">
        <is>
          <t>Secret Rendezvous</t>
        </is>
      </c>
      <c r="B467" s="37" t="n">
        <v>0.31</v>
      </c>
    </row>
    <row r="468">
      <c r="A468" s="5" t="inlineStr">
        <is>
          <t>Seedborn Muse</t>
        </is>
      </c>
      <c r="B468" s="37" t="n">
        <v>17.5</v>
      </c>
    </row>
    <row r="469">
      <c r="A469" s="5" t="inlineStr">
        <is>
          <t>Seize the Spoils</t>
        </is>
      </c>
      <c r="B469" s="37" t="n">
        <v>0.27</v>
      </c>
    </row>
    <row r="470">
      <c r="A470" s="5" t="inlineStr">
        <is>
          <t>Selesnya Sanctuary</t>
        </is>
      </c>
      <c r="B470" s="37" t="n">
        <v>0.32</v>
      </c>
    </row>
    <row r="471">
      <c r="A471" s="5" t="inlineStr">
        <is>
          <t>Selesnya Signet</t>
        </is>
      </c>
      <c r="B471" s="37" t="n">
        <v>0.42</v>
      </c>
    </row>
    <row r="472">
      <c r="A472" s="5" t="inlineStr">
        <is>
          <t>Selfless Spirit</t>
        </is>
      </c>
      <c r="B472" s="37" t="n">
        <v>0.45</v>
      </c>
    </row>
    <row r="473">
      <c r="A473" s="5" t="inlineStr">
        <is>
          <t>Selvala, Heart of the Wilds</t>
        </is>
      </c>
      <c r="B473" s="37" t="n">
        <v>5.25</v>
      </c>
    </row>
    <row r="474">
      <c r="A474" s="5" t="inlineStr">
        <is>
          <t>Sephara, Sky's Blade</t>
        </is>
      </c>
      <c r="B474" s="37" t="n">
        <v>2.84</v>
      </c>
    </row>
    <row r="475">
      <c r="A475" s="5" t="inlineStr">
        <is>
          <t>Sepulchral Primordial</t>
        </is>
      </c>
      <c r="B475" s="37" t="n">
        <v>0.4</v>
      </c>
    </row>
    <row r="476">
      <c r="A476" s="5" t="inlineStr">
        <is>
          <t>Serra Paragon</t>
        </is>
      </c>
      <c r="B476" s="37" t="n">
        <v>0.63</v>
      </c>
    </row>
    <row r="477">
      <c r="A477" s="5" t="inlineStr">
        <is>
          <t>Serra's Emissary</t>
        </is>
      </c>
      <c r="B477" s="37" t="n">
        <v>8.23</v>
      </c>
    </row>
    <row r="478">
      <c r="A478" s="5" t="inlineStr">
        <is>
          <t>Serrated Arrows</t>
        </is>
      </c>
      <c r="B478" s="37" t="n">
        <v>0.55</v>
      </c>
    </row>
    <row r="479">
      <c r="A479" s="5" t="inlineStr">
        <is>
          <t>Setessan Champion</t>
        </is>
      </c>
      <c r="B479" s="37" t="n">
        <v>4.32</v>
      </c>
    </row>
    <row r="480">
      <c r="A480" s="5" t="inlineStr">
        <is>
          <t>Sevinne's Reclamation</t>
        </is>
      </c>
      <c r="B480" s="37" t="n">
        <v>0.37</v>
      </c>
    </row>
    <row r="481">
      <c r="A481" s="5" t="inlineStr">
        <is>
          <t>Shadrix Silverquill</t>
        </is>
      </c>
      <c r="B481" s="37" t="n">
        <v>0.35</v>
      </c>
    </row>
    <row r="482">
      <c r="A482" s="5" t="inlineStr">
        <is>
          <t>Shalai, Voice of Plenty</t>
        </is>
      </c>
      <c r="B482" s="37" t="n">
        <v>1.01</v>
      </c>
    </row>
    <row r="483">
      <c r="A483" s="5" t="inlineStr">
        <is>
          <t>Sheoldred, Whispering One</t>
        </is>
      </c>
      <c r="B483" s="37" t="n">
        <v>21.31</v>
      </c>
    </row>
    <row r="484">
      <c r="A484" s="5" t="inlineStr">
        <is>
          <t>Shield Sphere</t>
        </is>
      </c>
      <c r="B484" s="37" t="n">
        <v>9.5</v>
      </c>
    </row>
    <row r="485">
      <c r="A485" s="5" t="inlineStr">
        <is>
          <t>Shield of the Oversoul</t>
        </is>
      </c>
      <c r="B485" s="37" t="n">
        <v>1.86</v>
      </c>
    </row>
    <row r="486">
      <c r="A486" s="5" t="inlineStr">
        <is>
          <t>Shorikai, Genesis Engine</t>
        </is>
      </c>
      <c r="B486" s="37" t="n">
        <v>2.52</v>
      </c>
    </row>
    <row r="487">
      <c r="A487" s="5" t="inlineStr">
        <is>
          <t>Sidar Kondo of Jamuraa</t>
        </is>
      </c>
      <c r="B487" s="37" t="n">
        <v>0.3</v>
      </c>
    </row>
    <row r="488">
      <c r="A488" s="5" t="inlineStr">
        <is>
          <t>Sidisi, Undead Vizier</t>
        </is>
      </c>
      <c r="B488" s="37" t="n">
        <v>8.51</v>
      </c>
    </row>
    <row r="489">
      <c r="A489" s="5" t="inlineStr">
        <is>
          <t>Sifter of Skulls</t>
        </is>
      </c>
      <c r="B489" s="37" t="n">
        <v>0.98</v>
      </c>
    </row>
    <row r="490">
      <c r="A490" s="5" t="inlineStr">
        <is>
          <t>Sigarda's Aid</t>
        </is>
      </c>
      <c r="B490" s="37" t="n">
        <v>20.26</v>
      </c>
    </row>
    <row r="491">
      <c r="A491" s="5" t="inlineStr">
        <is>
          <t>Sight of the Scalelords</t>
        </is>
      </c>
      <c r="B491" s="37" t="n">
        <v>0.55</v>
      </c>
    </row>
    <row r="492">
      <c r="A492" s="5" t="inlineStr">
        <is>
          <t>Sigil of the Empty Throne</t>
        </is>
      </c>
      <c r="B492" s="37" t="n">
        <v>0.52</v>
      </c>
    </row>
    <row r="493">
      <c r="A493" s="5" t="inlineStr">
        <is>
          <t>Simic Charm</t>
        </is>
      </c>
      <c r="B493" s="37" t="n">
        <v>3.43</v>
      </c>
    </row>
    <row r="494">
      <c r="A494" s="5" t="inlineStr">
        <is>
          <t>Simic Growth Chamber</t>
        </is>
      </c>
      <c r="B494" s="37" t="n">
        <v>0.34</v>
      </c>
    </row>
    <row r="495">
      <c r="A495" s="5" t="inlineStr">
        <is>
          <t>Skullclamp</t>
        </is>
      </c>
      <c r="B495" s="37" t="n">
        <v>5.9</v>
      </c>
    </row>
    <row r="496">
      <c r="A496" s="5" t="inlineStr">
        <is>
          <t>Skyclave Apparition</t>
        </is>
      </c>
      <c r="B496" s="37" t="n">
        <v>0.3</v>
      </c>
    </row>
    <row r="497">
      <c r="A497" s="5" t="inlineStr">
        <is>
          <t>Skyclave Relic</t>
        </is>
      </c>
      <c r="B497" s="37" t="n">
        <v>1.49</v>
      </c>
    </row>
    <row r="498">
      <c r="A498" s="5" t="inlineStr">
        <is>
          <t>Skyshroud Claim</t>
        </is>
      </c>
      <c r="B498" s="37" t="n">
        <v>1.07</v>
      </c>
    </row>
    <row r="499">
      <c r="A499" s="5" t="inlineStr">
        <is>
          <t>Slagwurm Armor</t>
        </is>
      </c>
      <c r="B499" s="37" t="n">
        <v>0.86</v>
      </c>
    </row>
    <row r="500">
      <c r="A500" s="5" t="inlineStr">
        <is>
          <t>Slaughter the Strong</t>
        </is>
      </c>
      <c r="B500" s="37" t="n">
        <v>0.35</v>
      </c>
    </row>
    <row r="501">
      <c r="A501" s="5" t="inlineStr">
        <is>
          <t>Slimefoot, the Stowaway</t>
        </is>
      </c>
      <c r="B501" s="37" t="n">
        <v>0.24</v>
      </c>
    </row>
    <row r="502">
      <c r="A502" s="5" t="inlineStr">
        <is>
          <t>Slippery Karst</t>
        </is>
      </c>
      <c r="B502" s="37" t="n">
        <v>0.21</v>
      </c>
    </row>
    <row r="503">
      <c r="A503" s="5" t="inlineStr">
        <is>
          <t>Smothering Tithe</t>
        </is>
      </c>
      <c r="B503" s="37" t="n">
        <v>61.19</v>
      </c>
    </row>
    <row r="504">
      <c r="A504" s="5" t="inlineStr">
        <is>
          <t>Snuff Out</t>
        </is>
      </c>
      <c r="B504" s="37" t="n">
        <v>10.99</v>
      </c>
    </row>
    <row r="505">
      <c r="A505" s="5" t="inlineStr">
        <is>
          <t>Sol Ring</t>
        </is>
      </c>
      <c r="B505" s="37" t="n">
        <v>1.62</v>
      </c>
    </row>
    <row r="506">
      <c r="A506" s="5" t="inlineStr">
        <is>
          <t>Solemn Simulacrum</t>
        </is>
      </c>
      <c r="B506" s="37" t="n">
        <v>0.35</v>
      </c>
    </row>
    <row r="507">
      <c r="A507" s="5" t="inlineStr">
        <is>
          <t>Song of the Dryads</t>
        </is>
      </c>
      <c r="B507" s="37" t="n">
        <v>6</v>
      </c>
    </row>
    <row r="508">
      <c r="A508" s="5" t="inlineStr">
        <is>
          <t>Soul Warden</t>
        </is>
      </c>
      <c r="B508" s="37" t="n">
        <v>2.95</v>
      </c>
    </row>
    <row r="509">
      <c r="A509" s="5" t="inlineStr">
        <is>
          <t>Soulherder</t>
        </is>
      </c>
      <c r="B509" s="37" t="n">
        <v>1.96</v>
      </c>
    </row>
    <row r="510">
      <c r="A510" s="5" t="inlineStr">
        <is>
          <t>Sphere of Safety</t>
        </is>
      </c>
      <c r="B510" s="37" t="n">
        <v>4.8</v>
      </c>
    </row>
    <row r="511">
      <c r="A511" s="5" t="inlineStr">
        <is>
          <t>Sphinx's Revelation</t>
        </is>
      </c>
      <c r="B511" s="37" t="n">
        <v>0.38</v>
      </c>
    </row>
    <row r="512">
      <c r="A512" s="5" t="inlineStr">
        <is>
          <t>Spirit of Resilience</t>
        </is>
      </c>
      <c r="B512" s="37" t="n">
        <v>0.19</v>
      </c>
    </row>
    <row r="513">
      <c r="A513" s="5" t="inlineStr">
        <is>
          <t>Splendid Reclamation</t>
        </is>
      </c>
      <c r="B513" s="37" t="n">
        <v>0.4</v>
      </c>
    </row>
    <row r="514">
      <c r="A514" s="5" t="inlineStr">
        <is>
          <t>Splinterfright</t>
        </is>
      </c>
      <c r="B514" s="37" t="n">
        <v>0.28</v>
      </c>
    </row>
    <row r="515">
      <c r="A515" s="5" t="inlineStr">
        <is>
          <t>Squee, Goblin Nabob</t>
        </is>
      </c>
      <c r="B515" s="37" t="n">
        <v>0.28</v>
      </c>
    </row>
    <row r="516">
      <c r="A516" s="5" t="inlineStr">
        <is>
          <t>Staff of Compleation</t>
        </is>
      </c>
      <c r="B516" s="37" t="n">
        <v>4.19</v>
      </c>
    </row>
    <row r="517">
      <c r="A517" s="5" t="inlineStr">
        <is>
          <t>Staff of the Storyteller</t>
        </is>
      </c>
      <c r="B517" s="37" t="n">
        <v>0.43</v>
      </c>
    </row>
    <row r="518">
      <c r="A518" s="5" t="inlineStr">
        <is>
          <t>Steady Progress</t>
        </is>
      </c>
      <c r="B518" s="37" t="n">
        <v>0.29</v>
      </c>
    </row>
    <row r="519">
      <c r="A519" s="5" t="inlineStr">
        <is>
          <t>Steel Wall</t>
        </is>
      </c>
      <c r="B519" s="37" t="n">
        <v>0.16</v>
      </c>
    </row>
    <row r="520">
      <c r="A520" s="5" t="inlineStr">
        <is>
          <t>Sterling Grove</t>
        </is>
      </c>
      <c r="B520" s="37" t="n">
        <v>3.47</v>
      </c>
    </row>
    <row r="521">
      <c r="A521" s="5" t="inlineStr">
        <is>
          <t>Stitcher's Supplier</t>
        </is>
      </c>
      <c r="B521" s="37" t="n">
        <v>0.34</v>
      </c>
    </row>
    <row r="522">
      <c r="A522" s="5" t="inlineStr">
        <is>
          <t>Stonework Puma</t>
        </is>
      </c>
      <c r="B522" s="37" t="n">
        <v>0.1</v>
      </c>
    </row>
    <row r="523">
      <c r="A523" s="5" t="inlineStr">
        <is>
          <t>Stony-Voiced Goblins</t>
        </is>
      </c>
      <c r="B523" s="37" t="n">
        <v>0.15</v>
      </c>
    </row>
    <row r="524">
      <c r="A524" s="5" t="inlineStr">
        <is>
          <t>Strionic Resonator</t>
        </is>
      </c>
      <c r="B524" s="37" t="n">
        <v>8.630000000000001</v>
      </c>
    </row>
    <row r="525">
      <c r="A525" s="5" t="inlineStr">
        <is>
          <t>Study Hall</t>
        </is>
      </c>
      <c r="B525" s="37" t="n">
        <v>0.21</v>
      </c>
    </row>
    <row r="526">
      <c r="A526" s="5" t="inlineStr">
        <is>
          <t>Sun Titan</t>
        </is>
      </c>
      <c r="B526" s="37" t="n">
        <v>0.37</v>
      </c>
    </row>
    <row r="527">
      <c r="A527" s="5" t="inlineStr">
        <is>
          <t>Sunforger</t>
        </is>
      </c>
      <c r="B527" s="37" t="n">
        <v>4.06</v>
      </c>
    </row>
    <row r="528">
      <c r="A528" s="5" t="inlineStr">
        <is>
          <t>Sungrass Prairie</t>
        </is>
      </c>
      <c r="B528" s="37" t="n">
        <v>0.27</v>
      </c>
    </row>
    <row r="529">
      <c r="A529" s="5" t="inlineStr">
        <is>
          <t>Sunpetal Grove</t>
        </is>
      </c>
      <c r="B529" s="37" t="n">
        <v>0.37</v>
      </c>
    </row>
    <row r="530">
      <c r="A530" s="5" t="inlineStr">
        <is>
          <t>Sunscorched Divide</t>
        </is>
      </c>
      <c r="B530" s="37" t="n">
        <v>0.24</v>
      </c>
    </row>
    <row r="531">
      <c r="A531" s="5" t="inlineStr">
        <is>
          <t>Swamp</t>
        </is>
      </c>
      <c r="B531" s="37" t="n">
        <v>0</v>
      </c>
    </row>
    <row r="532">
      <c r="A532" s="5" t="inlineStr">
        <is>
          <t>Swift Demise</t>
        </is>
      </c>
      <c r="B532" s="37" t="n">
        <v>0.3</v>
      </c>
    </row>
    <row r="533">
      <c r="A533" s="5" t="inlineStr">
        <is>
          <t>Swiftfoot Boots</t>
        </is>
      </c>
      <c r="B533" s="37" t="n">
        <v>0.75</v>
      </c>
    </row>
    <row r="534">
      <c r="A534" s="5" t="inlineStr">
        <is>
          <t>Sword of Feast and Famine</t>
        </is>
      </c>
      <c r="B534" s="37" t="n">
        <v>40.82</v>
      </c>
    </row>
    <row r="535">
      <c r="A535" s="5" t="inlineStr">
        <is>
          <t>Sword of Fire and Ice</t>
        </is>
      </c>
      <c r="B535" s="37" t="n">
        <v>48.74</v>
      </c>
    </row>
    <row r="536">
      <c r="A536" s="5" t="inlineStr">
        <is>
          <t>Sword of the Animist</t>
        </is>
      </c>
      <c r="B536" s="37" t="n">
        <v>5.97</v>
      </c>
    </row>
    <row r="537">
      <c r="A537" s="5" t="inlineStr">
        <is>
          <t>Swords to Plowshares</t>
        </is>
      </c>
      <c r="B537" s="37" t="n">
        <v>1.42</v>
      </c>
    </row>
    <row r="538">
      <c r="A538" s="5" t="inlineStr">
        <is>
          <t>Sylvan Caryatid</t>
        </is>
      </c>
      <c r="B538" s="37" t="n">
        <v>0.9399999999999999</v>
      </c>
    </row>
    <row r="539">
      <c r="A539" s="5" t="inlineStr">
        <is>
          <t>Sylvan Ranger</t>
        </is>
      </c>
      <c r="B539" s="37" t="n">
        <v>0.28</v>
      </c>
    </row>
    <row r="540">
      <c r="A540" s="5" t="inlineStr">
        <is>
          <t>Syr Gwyn, Hero of Ashvale</t>
        </is>
      </c>
      <c r="B540" s="37" t="n">
        <v>2.99</v>
      </c>
    </row>
    <row r="541">
      <c r="A541" s="5" t="inlineStr">
        <is>
          <t>Sythis, Harvest's Hand</t>
        </is>
      </c>
      <c r="B541" s="37" t="n">
        <v>5.43</v>
      </c>
    </row>
    <row r="542">
      <c r="A542" s="5" t="inlineStr">
        <is>
          <t>Talisman of Conviction</t>
        </is>
      </c>
      <c r="B542" s="37" t="n">
        <v>0.42</v>
      </c>
    </row>
    <row r="543">
      <c r="A543" s="5" t="inlineStr">
        <is>
          <t>Talisman of Progress</t>
        </is>
      </c>
      <c r="B543" s="37" t="n">
        <v>0.36</v>
      </c>
    </row>
    <row r="544">
      <c r="A544" s="5" t="inlineStr">
        <is>
          <t>Tatyova, Benthic Druid</t>
        </is>
      </c>
      <c r="B544" s="37" t="n">
        <v>0.33</v>
      </c>
    </row>
    <row r="545">
      <c r="A545" s="5" t="inlineStr">
        <is>
          <t>Teferi's Protection</t>
        </is>
      </c>
      <c r="B545" s="37" t="n">
        <v>47.53</v>
      </c>
    </row>
    <row r="546">
      <c r="A546" s="5" t="inlineStr">
        <is>
          <t>Temple of Enlightenment</t>
        </is>
      </c>
      <c r="B546" s="37" t="n">
        <v>0.2</v>
      </c>
    </row>
    <row r="547">
      <c r="A547" s="5" t="inlineStr">
        <is>
          <t>Temple of Malady</t>
        </is>
      </c>
      <c r="B547" s="37" t="n">
        <v>0.37</v>
      </c>
    </row>
    <row r="548">
      <c r="A548" s="5" t="inlineStr">
        <is>
          <t>Temple of Mystery</t>
        </is>
      </c>
      <c r="B548" s="37" t="n">
        <v>0.28</v>
      </c>
    </row>
    <row r="549">
      <c r="A549" s="5" t="inlineStr">
        <is>
          <t>Temple of Plenty</t>
        </is>
      </c>
      <c r="B549" s="37" t="n">
        <v>0.29</v>
      </c>
    </row>
    <row r="550">
      <c r="A550" s="5" t="inlineStr">
        <is>
          <t>Temple of Silence</t>
        </is>
      </c>
      <c r="B550" s="37" t="n">
        <v>0.36</v>
      </c>
    </row>
    <row r="551">
      <c r="A551" s="5" t="inlineStr">
        <is>
          <t>Temple of Triumph</t>
        </is>
      </c>
      <c r="B551" s="37" t="n">
        <v>0.33</v>
      </c>
    </row>
    <row r="552">
      <c r="A552" s="5" t="inlineStr">
        <is>
          <t>Tendershoot Dryad</t>
        </is>
      </c>
      <c r="B552" s="37" t="n">
        <v>1.04</v>
      </c>
    </row>
    <row r="553">
      <c r="A553" s="5" t="inlineStr">
        <is>
          <t>Teneb, the Harvester</t>
        </is>
      </c>
      <c r="B553" s="37" t="n">
        <v>0.98</v>
      </c>
    </row>
    <row r="554">
      <c r="A554" s="5" t="inlineStr">
        <is>
          <t>Terramorphic Expanse</t>
        </is>
      </c>
      <c r="B554" s="37" t="n">
        <v>0.25</v>
      </c>
    </row>
    <row r="555">
      <c r="A555" s="5" t="inlineStr">
        <is>
          <t>Teshar, Ancestor's Apostle</t>
        </is>
      </c>
      <c r="B555" s="37" t="n">
        <v>0.33</v>
      </c>
    </row>
    <row r="556">
      <c r="A556" s="5" t="inlineStr">
        <is>
          <t>Test of Endurance</t>
        </is>
      </c>
      <c r="B556" s="37" t="n">
        <v>8.52</v>
      </c>
    </row>
    <row r="557">
      <c r="A557" s="5" t="inlineStr">
        <is>
          <t>Tetsuko Umezawa, Fugitive</t>
        </is>
      </c>
      <c r="B557" s="37" t="n">
        <v>0.15</v>
      </c>
    </row>
    <row r="558">
      <c r="A558" s="5" t="inlineStr">
        <is>
          <t>Teyo, the Shieldmage</t>
        </is>
      </c>
      <c r="B558" s="37" t="n">
        <v>0.33</v>
      </c>
    </row>
    <row r="559">
      <c r="A559" s="5" t="inlineStr">
        <is>
          <t>Tezzeret's Gambit</t>
        </is>
      </c>
      <c r="B559" s="37" t="n">
        <v>0.29</v>
      </c>
    </row>
    <row r="560">
      <c r="A560" s="5" t="inlineStr">
        <is>
          <t>Thassa, Deep-Dwelling</t>
        </is>
      </c>
      <c r="B560" s="37" t="n">
        <v>26.42</v>
      </c>
    </row>
    <row r="561">
      <c r="A561" s="5" t="inlineStr">
        <is>
          <t>The Chain Veil</t>
        </is>
      </c>
      <c r="B561" s="37" t="n">
        <v>5.61</v>
      </c>
    </row>
    <row r="562">
      <c r="A562" s="5" t="inlineStr">
        <is>
          <t>The Gitrog Monster</t>
        </is>
      </c>
      <c r="B562" s="37" t="n">
        <v>0.61</v>
      </c>
    </row>
    <row r="563">
      <c r="A563" s="5" t="inlineStr">
        <is>
          <t>The One Ring</t>
        </is>
      </c>
      <c r="B563" s="37" t="n">
        <v>112.92</v>
      </c>
    </row>
    <row r="564">
      <c r="A564" s="5" t="inlineStr">
        <is>
          <t>The Ozolith</t>
        </is>
      </c>
      <c r="B564" s="37" t="n">
        <v>65.02</v>
      </c>
    </row>
    <row r="565">
      <c r="A565" s="5" t="inlineStr">
        <is>
          <t>The Reaper, King No More</t>
        </is>
      </c>
      <c r="B565" s="37" t="n">
        <v>0.47</v>
      </c>
    </row>
    <row r="566">
      <c r="A566" s="5" t="inlineStr">
        <is>
          <t>The Scarab God</t>
        </is>
      </c>
      <c r="B566" s="37" t="n">
        <v>4.8</v>
      </c>
    </row>
    <row r="567">
      <c r="A567" s="5" t="inlineStr">
        <is>
          <t>Thief of Sanity</t>
        </is>
      </c>
      <c r="B567" s="37" t="n">
        <v>0.51</v>
      </c>
    </row>
    <row r="568">
      <c r="A568" s="5" t="inlineStr">
        <is>
          <t>Thornwood Falls</t>
        </is>
      </c>
      <c r="B568" s="37" t="n">
        <v>0.26</v>
      </c>
    </row>
    <row r="569">
      <c r="A569" s="5" t="inlineStr">
        <is>
          <t>Throne of Geth</t>
        </is>
      </c>
      <c r="B569" s="37" t="n">
        <v>1.13</v>
      </c>
    </row>
    <row r="570">
      <c r="A570" s="5" t="inlineStr">
        <is>
          <t>Thrummingbird</t>
        </is>
      </c>
      <c r="B570" s="37" t="n">
        <v>0.29</v>
      </c>
    </row>
    <row r="571">
      <c r="A571" s="5" t="inlineStr">
        <is>
          <t>Tilling Treefolk</t>
        </is>
      </c>
      <c r="B571" s="37" t="n">
        <v>0.25</v>
      </c>
    </row>
    <row r="572">
      <c r="A572" s="5" t="inlineStr">
        <is>
          <t>Tip the Scales</t>
        </is>
      </c>
      <c r="B572" s="37" t="n">
        <v>0.25</v>
      </c>
    </row>
    <row r="573">
      <c r="A573" s="5" t="inlineStr">
        <is>
          <t>Tireless Tracker</t>
        </is>
      </c>
      <c r="B573" s="37" t="n">
        <v>0.36</v>
      </c>
    </row>
    <row r="574">
      <c r="A574" s="5" t="inlineStr">
        <is>
          <t>Titania, Protector of Argoth</t>
        </is>
      </c>
      <c r="B574" s="37" t="n">
        <v>0.37</v>
      </c>
    </row>
    <row r="575">
      <c r="A575" s="5" t="inlineStr">
        <is>
          <t>Tocasia's Welcome</t>
        </is>
      </c>
      <c r="B575" s="37" t="n">
        <v>0.7</v>
      </c>
    </row>
    <row r="576">
      <c r="A576" s="5" t="inlineStr">
        <is>
          <t>Tower Defense</t>
        </is>
      </c>
      <c r="B576" s="37" t="n">
        <v>0.21</v>
      </c>
    </row>
    <row r="577">
      <c r="A577" s="5" t="inlineStr">
        <is>
          <t>Towering Titan</t>
        </is>
      </c>
      <c r="B577" s="37" t="n">
        <v>0.31</v>
      </c>
    </row>
    <row r="578">
      <c r="A578" s="5" t="inlineStr">
        <is>
          <t>Toxrill, the Corrosive</t>
        </is>
      </c>
      <c r="B578" s="37" t="n">
        <v>15.99</v>
      </c>
    </row>
    <row r="579">
      <c r="A579" s="5" t="inlineStr">
        <is>
          <t>Tragic Arrogance</t>
        </is>
      </c>
      <c r="B579" s="37" t="n">
        <v>0.25</v>
      </c>
    </row>
    <row r="580">
      <c r="A580" s="5" t="inlineStr">
        <is>
          <t>Tragic Slip</t>
        </is>
      </c>
      <c r="B580" s="37" t="n">
        <v>0.34</v>
      </c>
    </row>
    <row r="581">
      <c r="A581" s="5" t="inlineStr">
        <is>
          <t>Tranquil Cove</t>
        </is>
      </c>
      <c r="B581" s="37" t="n">
        <v>0.21</v>
      </c>
    </row>
    <row r="582">
      <c r="A582" s="5" t="inlineStr">
        <is>
          <t>Tranquil Thicket</t>
        </is>
      </c>
      <c r="B582" s="37" t="n">
        <v>0.27</v>
      </c>
    </row>
    <row r="583">
      <c r="A583" s="5" t="inlineStr">
        <is>
          <t>Tree of Redemption</t>
        </is>
      </c>
      <c r="B583" s="37" t="n">
        <v>0.58</v>
      </c>
    </row>
    <row r="584">
      <c r="A584" s="5" t="inlineStr">
        <is>
          <t>Trelasarra, Moon Dancer</t>
        </is>
      </c>
      <c r="B584" s="37" t="n">
        <v>0.28</v>
      </c>
    </row>
    <row r="585">
      <c r="A585" s="5" t="inlineStr">
        <is>
          <t>Troll Negotiations</t>
        </is>
      </c>
      <c r="B585" s="37" t="n">
        <v>0.13</v>
      </c>
    </row>
    <row r="586">
      <c r="A586" s="5" t="inlineStr">
        <is>
          <t>Trostani, Selesnya's Voice</t>
        </is>
      </c>
      <c r="B586" s="37" t="n">
        <v>4.38</v>
      </c>
    </row>
    <row r="587">
      <c r="A587" s="5" t="inlineStr">
        <is>
          <t>Turbulent Steppe</t>
        </is>
      </c>
      <c r="B587" s="37" t="n">
        <v>5.32</v>
      </c>
    </row>
    <row r="588">
      <c r="A588" s="5" t="inlineStr">
        <is>
          <t>Turntimber Sower</t>
        </is>
      </c>
      <c r="B588" s="37" t="n">
        <v>0.36</v>
      </c>
    </row>
    <row r="589">
      <c r="A589" s="5" t="inlineStr">
        <is>
          <t>Twilight Mire</t>
        </is>
      </c>
      <c r="B589" s="37" t="n">
        <v>0.41</v>
      </c>
    </row>
    <row r="590">
      <c r="A590" s="5" t="inlineStr">
        <is>
          <t>Twilight Shepherd</t>
        </is>
      </c>
      <c r="B590" s="37" t="n">
        <v>0.8</v>
      </c>
    </row>
    <row r="591">
      <c r="A591" s="5" t="inlineStr">
        <is>
          <t>Ulamog, the Infinite Gyre</t>
        </is>
      </c>
      <c r="B591" s="37" t="n">
        <v>36.42</v>
      </c>
    </row>
    <row r="592">
      <c r="A592" s="5" t="inlineStr">
        <is>
          <t>Unbreakable Formation</t>
        </is>
      </c>
      <c r="B592" s="37" t="n">
        <v>1.44</v>
      </c>
    </row>
    <row r="593">
      <c r="A593" s="5" t="inlineStr">
        <is>
          <t>Underrealm Lich</t>
        </is>
      </c>
      <c r="B593" s="37" t="n">
        <v>7.59</v>
      </c>
    </row>
    <row r="594">
      <c r="A594" s="5" t="inlineStr">
        <is>
          <t>Underworld Breach</t>
        </is>
      </c>
      <c r="B594" s="37" t="n">
        <v>10.41</v>
      </c>
    </row>
    <row r="595">
      <c r="A595" s="5" t="inlineStr">
        <is>
          <t>Unearth</t>
        </is>
      </c>
      <c r="B595" s="37" t="n">
        <v>0.5600000000000001</v>
      </c>
    </row>
    <row r="596">
      <c r="A596" s="5" t="inlineStr">
        <is>
          <t>Uro, Titan of Nature's Wrath</t>
        </is>
      </c>
      <c r="B596" s="37" t="n">
        <v>3.13</v>
      </c>
    </row>
    <row r="597">
      <c r="A597" s="5" t="inlineStr">
        <is>
          <t>Utter End</t>
        </is>
      </c>
      <c r="B597" s="37" t="n">
        <v>0.29</v>
      </c>
    </row>
    <row r="598">
      <c r="A598" s="5" t="inlineStr">
        <is>
          <t>Valorous Stance</t>
        </is>
      </c>
      <c r="B598" s="37" t="n">
        <v>0.18</v>
      </c>
    </row>
    <row r="599">
      <c r="A599" s="5" t="inlineStr">
        <is>
          <t>Vanguard of the Restless</t>
        </is>
      </c>
      <c r="B599" s="37" t="n">
        <v>0.25</v>
      </c>
    </row>
    <row r="600">
      <c r="A600" s="5" t="inlineStr">
        <is>
          <t>Venat, Heart of Hydaelyn // Hydaelyn, the Mothercrystal</t>
        </is>
      </c>
      <c r="B600" s="37" t="n">
        <v>1.81</v>
      </c>
    </row>
    <row r="601">
      <c r="A601" s="5" t="inlineStr">
        <is>
          <t>Venerable Warsinger</t>
        </is>
      </c>
      <c r="B601" s="37" t="n">
        <v>0.23</v>
      </c>
    </row>
    <row r="602">
      <c r="A602" s="5" t="inlineStr">
        <is>
          <t>Victimize</t>
        </is>
      </c>
      <c r="B602" s="37" t="n">
        <v>1.64</v>
      </c>
    </row>
    <row r="603">
      <c r="A603" s="5" t="inlineStr">
        <is>
          <t>Vigor</t>
        </is>
      </c>
      <c r="B603" s="37" t="n">
        <v>12.16</v>
      </c>
    </row>
    <row r="604">
      <c r="A604" s="5" t="inlineStr">
        <is>
          <t>Village Rites</t>
        </is>
      </c>
      <c r="B604" s="37" t="n">
        <v>0.38</v>
      </c>
    </row>
    <row r="605">
      <c r="A605" s="5" t="inlineStr">
        <is>
          <t>Vindicate</t>
        </is>
      </c>
      <c r="B605" s="37" t="n">
        <v>0.67</v>
      </c>
    </row>
    <row r="606">
      <c r="A606" s="5" t="inlineStr">
        <is>
          <t>Vine Trellis</t>
        </is>
      </c>
      <c r="B606" s="37" t="n">
        <v>1.17</v>
      </c>
    </row>
    <row r="607">
      <c r="A607" s="5" t="inlineStr">
        <is>
          <t>Viral Drake</t>
        </is>
      </c>
      <c r="B607" s="37" t="n">
        <v>1.99</v>
      </c>
    </row>
    <row r="608">
      <c r="A608" s="5" t="inlineStr">
        <is>
          <t>Viscera Seer</t>
        </is>
      </c>
      <c r="B608" s="37" t="n">
        <v>0.44</v>
      </c>
    </row>
    <row r="609">
      <c r="A609" s="5" t="inlineStr">
        <is>
          <t>Vito, Thorn of the Dusk Rose</t>
        </is>
      </c>
      <c r="B609" s="37" t="n">
        <v>10.58</v>
      </c>
    </row>
    <row r="610">
      <c r="A610" s="5" t="inlineStr">
        <is>
          <t>Vivien Reid</t>
        </is>
      </c>
      <c r="B610" s="37" t="n">
        <v>0.38</v>
      </c>
    </row>
    <row r="611">
      <c r="A611" s="5" t="inlineStr">
        <is>
          <t>Vizier of Remedies</t>
        </is>
      </c>
      <c r="B611" s="37" t="n">
        <v>0.34</v>
      </c>
    </row>
    <row r="612">
      <c r="A612" s="5" t="inlineStr">
        <is>
          <t>Void Rend</t>
        </is>
      </c>
      <c r="B612" s="37" t="n">
        <v>0.98</v>
      </c>
    </row>
    <row r="613">
      <c r="A613" s="5" t="inlineStr">
        <is>
          <t>Vorel of the Hull Clade</t>
        </is>
      </c>
      <c r="B613" s="37" t="n">
        <v>0.39</v>
      </c>
    </row>
    <row r="614">
      <c r="A614" s="5" t="inlineStr">
        <is>
          <t>Vorinclex, Monstrous Raider</t>
        </is>
      </c>
      <c r="B614" s="37" t="n">
        <v>57.35</v>
      </c>
    </row>
    <row r="615">
      <c r="A615" s="5" t="inlineStr">
        <is>
          <t>Vraska's Contempt</t>
        </is>
      </c>
      <c r="B615" s="37" t="n">
        <v>0.36</v>
      </c>
    </row>
    <row r="616">
      <c r="A616" s="5" t="inlineStr">
        <is>
          <t>Wakestone Gargoyle</t>
        </is>
      </c>
      <c r="B616" s="37" t="n">
        <v>0.31</v>
      </c>
    </row>
    <row r="617">
      <c r="A617" s="5" t="inlineStr">
        <is>
          <t>Walking Bulwark</t>
        </is>
      </c>
      <c r="B617" s="37" t="n">
        <v>0.28</v>
      </c>
    </row>
    <row r="618">
      <c r="A618" s="5" t="inlineStr">
        <is>
          <t>Wall of Air</t>
        </is>
      </c>
      <c r="B618" s="37" t="n">
        <v>0.25</v>
      </c>
    </row>
    <row r="619">
      <c r="A619" s="5" t="inlineStr">
        <is>
          <t>Wall of Blossoms</t>
        </is>
      </c>
      <c r="B619" s="37" t="n">
        <v>0.25</v>
      </c>
    </row>
    <row r="620">
      <c r="A620" s="5" t="inlineStr">
        <is>
          <t>Wall of Denial</t>
        </is>
      </c>
      <c r="B620" s="37" t="n">
        <v>0.46</v>
      </c>
    </row>
    <row r="621">
      <c r="A621" s="5" t="inlineStr">
        <is>
          <t>Wall of Frost</t>
        </is>
      </c>
      <c r="B621" s="37" t="n">
        <v>0.29</v>
      </c>
    </row>
    <row r="622">
      <c r="A622" s="5" t="inlineStr">
        <is>
          <t>Wall of Junk</t>
        </is>
      </c>
      <c r="B622" s="37" t="n">
        <v>0.35</v>
      </c>
    </row>
    <row r="623">
      <c r="A623" s="5" t="inlineStr">
        <is>
          <t>Wall of Kelp</t>
        </is>
      </c>
      <c r="B623" s="37" t="n">
        <v>2.44</v>
      </c>
    </row>
    <row r="624">
      <c r="A624" s="5" t="inlineStr">
        <is>
          <t>Wall of Limbs</t>
        </is>
      </c>
      <c r="B624" s="37" t="n">
        <v>0.27</v>
      </c>
    </row>
    <row r="625">
      <c r="A625" s="5" t="inlineStr">
        <is>
          <t>Wall of Mulch</t>
        </is>
      </c>
      <c r="B625" s="37" t="n">
        <v>0.26</v>
      </c>
    </row>
    <row r="626">
      <c r="A626" s="5" t="inlineStr">
        <is>
          <t>Wall of Nets</t>
        </is>
      </c>
      <c r="B626" s="37" t="n">
        <v>5.71</v>
      </c>
    </row>
    <row r="627">
      <c r="A627" s="5" t="inlineStr">
        <is>
          <t>Wall of Omens</t>
        </is>
      </c>
      <c r="B627" s="37" t="n">
        <v>0.29</v>
      </c>
    </row>
    <row r="628">
      <c r="A628" s="5" t="inlineStr">
        <is>
          <t>Wall of Resurgence</t>
        </is>
      </c>
      <c r="B628" s="37" t="n">
        <v>0.1</v>
      </c>
    </row>
    <row r="629">
      <c r="A629" s="5" t="inlineStr">
        <is>
          <t>Wall of Reverence</t>
        </is>
      </c>
      <c r="B629" s="37" t="n">
        <v>0.36</v>
      </c>
    </row>
    <row r="630">
      <c r="A630" s="5" t="inlineStr">
        <is>
          <t>Wall of Roots</t>
        </is>
      </c>
      <c r="B630" s="37" t="n">
        <v>0.14</v>
      </c>
    </row>
    <row r="631">
      <c r="A631" s="5" t="inlineStr">
        <is>
          <t>Wall of Tanglecord</t>
        </is>
      </c>
      <c r="B631" s="37" t="n">
        <v>0.35</v>
      </c>
    </row>
    <row r="632">
      <c r="A632" s="5" t="inlineStr">
        <is>
          <t>Wall of Vines</t>
        </is>
      </c>
      <c r="B632" s="37" t="n">
        <v>0.17</v>
      </c>
    </row>
    <row r="633">
      <c r="A633" s="5" t="inlineStr">
        <is>
          <t>Wanderer's Twig</t>
        </is>
      </c>
      <c r="B633" s="37" t="n">
        <v>0.23</v>
      </c>
    </row>
    <row r="634">
      <c r="A634" s="5" t="inlineStr">
        <is>
          <t>Warstorm Surge</t>
        </is>
      </c>
      <c r="B634" s="37" t="n">
        <v>0.99</v>
      </c>
    </row>
    <row r="635">
      <c r="A635" s="5" t="inlineStr">
        <is>
          <t>Watcher of the Spheres</t>
        </is>
      </c>
      <c r="B635" s="37" t="n">
        <v>0.58</v>
      </c>
    </row>
    <row r="636">
      <c r="A636" s="5" t="inlineStr">
        <is>
          <t>Wave of Reckoning</t>
        </is>
      </c>
      <c r="B636" s="37" t="n">
        <v>0.41</v>
      </c>
    </row>
    <row r="637">
      <c r="A637" s="5" t="inlineStr">
        <is>
          <t>Wavesifter</t>
        </is>
      </c>
      <c r="B637" s="37" t="n">
        <v>0.29</v>
      </c>
    </row>
    <row r="638">
      <c r="A638" s="5" t="inlineStr">
        <is>
          <t>Wear Down</t>
        </is>
      </c>
      <c r="B638" s="37" t="n">
        <v>0.29</v>
      </c>
    </row>
    <row r="639">
      <c r="A639" s="5" t="inlineStr">
        <is>
          <t>Weathered Sentinels</t>
        </is>
      </c>
      <c r="B639" s="37" t="n">
        <v>0.92</v>
      </c>
    </row>
    <row r="640">
      <c r="A640" s="5" t="inlineStr">
        <is>
          <t>Weathered Wayfarer</t>
        </is>
      </c>
      <c r="B640" s="37" t="n">
        <v>2.08</v>
      </c>
    </row>
    <row r="641">
      <c r="A641" s="5" t="inlineStr">
        <is>
          <t>Welcoming Vampire</t>
        </is>
      </c>
      <c r="B641" s="37" t="n">
        <v>4.32</v>
      </c>
    </row>
    <row r="642">
      <c r="A642" s="5" t="inlineStr">
        <is>
          <t>Well of Lost Dreams</t>
        </is>
      </c>
      <c r="B642" s="37" t="n">
        <v>4.91</v>
      </c>
    </row>
    <row r="643">
      <c r="A643" s="5" t="inlineStr">
        <is>
          <t>Whirlwind Denial</t>
        </is>
      </c>
      <c r="B643" s="37" t="n">
        <v>0.08</v>
      </c>
    </row>
    <row r="644">
      <c r="A644" s="5" t="inlineStr">
        <is>
          <t>White Orchid Phantom</t>
        </is>
      </c>
      <c r="B644" s="37" t="n">
        <v>0.25</v>
      </c>
    </row>
    <row r="645">
      <c r="A645" s="5" t="inlineStr">
        <is>
          <t>Wight of Precinct Six</t>
        </is>
      </c>
      <c r="B645" s="37" t="n">
        <v>0.25</v>
      </c>
    </row>
    <row r="646">
      <c r="A646" s="5" t="inlineStr">
        <is>
          <t>Will of the Abzan</t>
        </is>
      </c>
      <c r="B646" s="37" t="n">
        <v>5.12</v>
      </c>
    </row>
    <row r="647">
      <c r="A647" s="5" t="inlineStr">
        <is>
          <t>Windborn Muse</t>
        </is>
      </c>
      <c r="B647" s="37" t="n">
        <v>0.75</v>
      </c>
    </row>
    <row r="648">
      <c r="A648" s="5" t="inlineStr">
        <is>
          <t>Winds of Abandon</t>
        </is>
      </c>
      <c r="B648" s="37" t="n">
        <v>4.19</v>
      </c>
    </row>
    <row r="649">
      <c r="A649" s="5" t="inlineStr">
        <is>
          <t>Wingmantle Chaplain</t>
        </is>
      </c>
      <c r="B649" s="37" t="n">
        <v>0.29</v>
      </c>
    </row>
    <row r="650">
      <c r="A650" s="5" t="inlineStr">
        <is>
          <t>Wingmate Roc</t>
        </is>
      </c>
      <c r="B650" s="37" t="n">
        <v>0.54</v>
      </c>
    </row>
    <row r="651">
      <c r="A651" s="5" t="inlineStr">
        <is>
          <t>Woe Strider</t>
        </is>
      </c>
      <c r="B651" s="37" t="n">
        <v>0.3</v>
      </c>
    </row>
    <row r="652">
      <c r="A652" s="5" t="inlineStr">
        <is>
          <t>Wonder</t>
        </is>
      </c>
      <c r="B652" s="37" t="n">
        <v>3.12</v>
      </c>
    </row>
    <row r="653">
      <c r="A653" s="5" t="inlineStr">
        <is>
          <t>Wood Elves</t>
        </is>
      </c>
      <c r="B653" s="37" t="n">
        <v>0.19</v>
      </c>
    </row>
    <row r="654">
      <c r="A654" s="5" t="inlineStr">
        <is>
          <t>Woodland Bellower</t>
        </is>
      </c>
      <c r="B654" s="37" t="n">
        <v>4.87</v>
      </c>
    </row>
    <row r="655">
      <c r="A655" s="5" t="inlineStr">
        <is>
          <t>Woodland Cemetery</t>
        </is>
      </c>
      <c r="B655" s="37" t="n">
        <v>0.95</v>
      </c>
    </row>
    <row r="656">
      <c r="A656" s="5" t="inlineStr">
        <is>
          <t>World Shaper</t>
        </is>
      </c>
      <c r="B656" s="37" t="n">
        <v>9.84</v>
      </c>
    </row>
    <row r="657">
      <c r="A657" s="5" t="inlineStr">
        <is>
          <t>Xanathar, Guild Kingpin</t>
        </is>
      </c>
      <c r="B657" s="37" t="n">
        <v>2.22</v>
      </c>
    </row>
    <row r="658">
      <c r="A658" s="5" t="inlineStr">
        <is>
          <t>Yarok, the Desecrated</t>
        </is>
      </c>
      <c r="B658" s="37" t="n">
        <v>0.36</v>
      </c>
    </row>
    <row r="659">
      <c r="A659" s="5" t="inlineStr">
        <is>
          <t>Yavimaya Elder</t>
        </is>
      </c>
      <c r="B659" s="37" t="n">
        <v>0.23</v>
      </c>
    </row>
    <row r="660">
      <c r="A660" s="5" t="inlineStr">
        <is>
          <t>Zagoth Triome</t>
        </is>
      </c>
      <c r="B660" s="37" t="n">
        <v>22.39</v>
      </c>
    </row>
    <row r="661">
      <c r="A661" s="5" t="inlineStr">
        <is>
          <t>Zendikar Resurgent</t>
        </is>
      </c>
      <c r="B661" s="37" t="n">
        <v>2.36</v>
      </c>
    </row>
    <row r="662">
      <c r="A662" s="5" t="inlineStr">
        <is>
          <t>Zendikar's Roil</t>
        </is>
      </c>
      <c r="B662" s="37" t="n">
        <v>0.9399999999999999</v>
      </c>
    </row>
    <row r="663">
      <c r="A663" s="5" t="inlineStr">
        <is>
          <t>Zetalpa, Primal Dawn</t>
        </is>
      </c>
      <c r="B663" s="37" t="n">
        <v>0.29</v>
      </c>
    </row>
    <row r="664">
      <c r="A664" s="5" t="inlineStr">
        <is>
          <t>Zodiark, Umbral God</t>
        </is>
      </c>
      <c r="B664" s="37" t="n">
        <v>0.62</v>
      </c>
    </row>
    <row r="665">
      <c r="A665" s="5" t="inlineStr">
        <is>
          <t>Zombie Master</t>
        </is>
      </c>
      <c r="B665" s="37" t="n">
        <v>0.49</v>
      </c>
    </row>
    <row r="666">
      <c r="A666" s="5" t="inlineStr">
        <is>
          <t>Zulaport Cutthroat</t>
        </is>
      </c>
      <c r="B666" s="37" t="n">
        <v>1.38</v>
      </c>
    </row>
    <row r="667">
      <c r="A667" s="5" t="inlineStr">
        <is>
          <t>Éowyn, Fearless Knight</t>
        </is>
      </c>
      <c r="B667" s="37" t="n">
        <v>1.2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76"/>
  <sheetViews>
    <sheetView showGridLines="0" workbookViewId="0">
      <pane ySplit="2" topLeftCell="A3" activePane="bottomLeft" state="frozen"/>
      <selection pane="bottomLeft" activeCell="A1" sqref="A1"/>
    </sheetView>
  </sheetViews>
  <sheetFormatPr baseColWidth="8" defaultRowHeight="15"/>
  <cols>
    <col width="34" customWidth="1" min="1" max="1"/>
    <col width="34" customWidth="1" min="2" max="2"/>
    <col width="14" customWidth="1" min="3" max="3"/>
    <col width="12" customWidth="1" min="4" max="4"/>
    <col width="11" customWidth="1" min="5" max="5"/>
    <col width="12" customWidth="1" min="6" max="6"/>
    <col width="100" customWidth="1" min="7" max="7"/>
  </cols>
  <sheetData>
    <row r="1">
      <c r="A1" s="2" t="inlineStr">
        <is>
          <t>Card data for every card referenced in this workbook — resolved across the catalog, the candidate pools and every simulation result.</t>
        </is>
      </c>
    </row>
    <row r="2">
      <c r="A2" s="12" t="inlineStr">
        <is>
          <t>Card</t>
        </is>
      </c>
      <c r="B2" s="12" t="inlineStr">
        <is>
          <t>Type line</t>
        </is>
      </c>
      <c r="C2" s="12" t="inlineStr">
        <is>
          <t>Mana cost</t>
        </is>
      </c>
      <c r="D2" s="12" t="inlineStr">
        <is>
          <t>Colour identity</t>
        </is>
      </c>
      <c r="E2" s="12" t="inlineStr">
        <is>
          <t>Price (USD)</t>
        </is>
      </c>
      <c r="F2" s="12" t="inlineStr">
        <is>
          <t>Game Changer</t>
        </is>
      </c>
      <c r="G2" s="12" t="inlineStr">
        <is>
          <t>Oracle text</t>
        </is>
      </c>
    </row>
    <row r="3">
      <c r="A3" s="13" t="inlineStr">
        <is>
          <t>Abrupt Decay</t>
        </is>
      </c>
      <c r="B3" s="13" t="inlineStr">
        <is>
          <t>Instant</t>
        </is>
      </c>
      <c r="C3" s="13" t="inlineStr">
        <is>
          <t>{B}{G}</t>
        </is>
      </c>
      <c r="D3" s="13" t="inlineStr">
        <is>
          <t>BG</t>
        </is>
      </c>
      <c r="E3" s="22" t="n">
        <v>2.43</v>
      </c>
      <c r="F3" s="13" t="inlineStr"/>
      <c r="G3" s="18" t="inlineStr">
        <is>
          <t>This spell can't be countered. / Destroy target nonland permanent with mana value 3 or less.</t>
        </is>
      </c>
    </row>
    <row r="4">
      <c r="A4" s="13" t="inlineStr">
        <is>
          <t>Access Tunnel</t>
        </is>
      </c>
      <c r="B4" s="13" t="inlineStr">
        <is>
          <t>Land</t>
        </is>
      </c>
      <c r="C4" s="13" t="inlineStr"/>
      <c r="D4" s="13" t="inlineStr"/>
      <c r="E4" s="22" t="n">
        <v>0.41</v>
      </c>
      <c r="F4" s="13" t="inlineStr"/>
      <c r="G4" s="18" t="inlineStr">
        <is>
          <t>{T}: Add {C}. / {3}, {T}: Target creature with power 3 or less can't be blocked this turn.</t>
        </is>
      </c>
    </row>
    <row r="5">
      <c r="A5" s="13" t="inlineStr">
        <is>
          <t>Acidic Slime</t>
        </is>
      </c>
      <c r="B5" s="13" t="inlineStr">
        <is>
          <t>Creature — Ooze</t>
        </is>
      </c>
      <c r="C5" s="13" t="inlineStr">
        <is>
          <t>{3}{G}{G}</t>
        </is>
      </c>
      <c r="D5" s="13" t="inlineStr">
        <is>
          <t>G</t>
        </is>
      </c>
      <c r="E5" s="22" t="n">
        <v>0.27</v>
      </c>
      <c r="F5" s="13" t="inlineStr"/>
      <c r="G5" s="18" t="inlineStr">
        <is>
          <t>Deathtouch (Any amount of damage this deals to a creature is enough to destroy it.) / When this creature enters, destroy target artifact, enchantment, or land.</t>
        </is>
      </c>
    </row>
    <row r="6">
      <c r="A6" s="13" t="inlineStr">
        <is>
          <t>Advanced Reconstruction</t>
        </is>
      </c>
      <c r="B6" s="13" t="inlineStr">
        <is>
          <t>Enchantment — Class</t>
        </is>
      </c>
      <c r="C6" s="13" t="inlineStr">
        <is>
          <t>{3}{R}</t>
        </is>
      </c>
      <c r="D6" s="13" t="inlineStr">
        <is>
          <t>R</t>
        </is>
      </c>
      <c r="E6" s="22" t="n">
        <v>0.35</v>
      </c>
      <c r="F6" s="13" t="inlineStr"/>
      <c r="G6" s="18" t="inlineStr">
        <is>
          <t>(Gain the next level as a sorcery to add its ability.) / At the beginning of your first main phase, mill a card, then exile a card from your graveyard at random. You may play the exiled card this turn. / {1}{R}: Level 2 / Whenever one or more cards leave your graveyard, this Class deals 2 damage to each opponent. / {1}{R}: Level 3 / Spells you cast from anywhere other than your hand cost {2} less to cast.</t>
        </is>
      </c>
    </row>
    <row r="7">
      <c r="A7" s="13" t="inlineStr">
        <is>
          <t>Aesi, Tyrant of Gyre Strait</t>
        </is>
      </c>
      <c r="B7" s="13" t="inlineStr">
        <is>
          <t>Legendary Creature — Serpent</t>
        </is>
      </c>
      <c r="C7" s="13" t="inlineStr">
        <is>
          <t>{4}{G}{U}</t>
        </is>
      </c>
      <c r="D7" s="13" t="inlineStr">
        <is>
          <t>GU</t>
        </is>
      </c>
      <c r="E7" s="22" t="n">
        <v>11.26</v>
      </c>
      <c r="F7" s="13" t="inlineStr"/>
      <c r="G7" s="18" t="inlineStr">
        <is>
          <t>You may play an additional land on each of your turns. / Landfall — Whenever a land you control enters, you may draw a card.</t>
        </is>
      </c>
    </row>
    <row r="8">
      <c r="A8" s="13" t="inlineStr">
        <is>
          <t>Agent of Treachery</t>
        </is>
      </c>
      <c r="B8" s="13" t="inlineStr">
        <is>
          <t>Creature — Human Rogue</t>
        </is>
      </c>
      <c r="C8" s="13" t="inlineStr">
        <is>
          <t>{5}{U}{U}</t>
        </is>
      </c>
      <c r="D8" s="13" t="inlineStr">
        <is>
          <t>U</t>
        </is>
      </c>
      <c r="E8" s="22" t="n">
        <v>5.27</v>
      </c>
      <c r="F8" s="13" t="inlineStr"/>
      <c r="G8" s="18" t="inlineStr">
        <is>
          <t>When this creature enters, gain control of target permanent. / At the beginning of your end step, if you control three or more permanents you don't own, draw three cards.</t>
        </is>
      </c>
    </row>
    <row r="9">
      <c r="A9" s="13" t="inlineStr">
        <is>
          <t>Altar of the Wretched // Wretched Bonemass</t>
        </is>
      </c>
      <c r="B9" s="13" t="inlineStr">
        <is>
          <t>Artifact // Creature — Skeleton Horror</t>
        </is>
      </c>
      <c r="C9" s="13" t="inlineStr">
        <is>
          <t>{2}{B}</t>
        </is>
      </c>
      <c r="D9" s="13" t="inlineStr">
        <is>
          <t>B</t>
        </is>
      </c>
      <c r="E9" s="22" t="n">
        <v>1.49</v>
      </c>
      <c r="F9" s="13" t="inlineStr"/>
      <c r="G9" s="18" t="inlineStr">
        <is>
          <t>When this artifact enters, you may sacrifice a nontoken creature. If you do, draw X cards, then mill X cards, where X is that creature's power. / Craft with one or more creatures {2}{B}{B} / {2}{B}: Return this card from your graveyard to your hand. // Wretched Bonemass's power and toughness are each equal to the total power of the exiled cards used to craft it. / This creature has flying as long as an exiled card used to craft it has flying. The same is true for first strike, double strike, deathtouch, haste, hexproof, indestructible, lifelink, menace, protection, reach, trample, and vigilance.</t>
        </is>
      </c>
    </row>
    <row r="10">
      <c r="A10" s="13" t="inlineStr">
        <is>
          <t>Angel of Indemnity</t>
        </is>
      </c>
      <c r="B10" s="13" t="inlineStr">
        <is>
          <t>Creature — Angel Warrior</t>
        </is>
      </c>
      <c r="C10" s="13" t="inlineStr">
        <is>
          <t>{5}{W}</t>
        </is>
      </c>
      <c r="D10" s="13" t="inlineStr">
        <is>
          <t>W</t>
        </is>
      </c>
      <c r="E10" s="22" t="n">
        <v>0.38</v>
      </c>
      <c r="F10" s="13" t="inlineStr"/>
      <c r="G10" s="18" t="inlineStr">
        <is>
          <t>Flying, lifelink / When this creature enters, return target permanent card with mana value 4 or less from your graveyard to the battlefield. / Encore {6}{W}{W} ({6}{W}{W}, Exile this card from your graveyard: For each opponent, create a token copy that attacks that opponent this turn if able. They gain haste. Sacrifice them at the beginning of the next end step. Activate only as a sorcery.)</t>
        </is>
      </c>
    </row>
    <row r="11">
      <c r="A11" s="13" t="inlineStr">
        <is>
          <t>Angelic Wall</t>
        </is>
      </c>
      <c r="B11" s="13" t="inlineStr">
        <is>
          <t>Creature — Wall</t>
        </is>
      </c>
      <c r="C11" s="13" t="inlineStr">
        <is>
          <t>{1}{W}</t>
        </is>
      </c>
      <c r="D11" s="13" t="inlineStr">
        <is>
          <t>W</t>
        </is>
      </c>
      <c r="E11" s="22" t="n">
        <v>0.18</v>
      </c>
      <c r="F11" s="13" t="inlineStr"/>
      <c r="G11" s="18" t="inlineStr">
        <is>
          <t>Defender (This creature can't attack.) / Flying</t>
        </is>
      </c>
    </row>
    <row r="12">
      <c r="A12" s="13" t="inlineStr">
        <is>
          <t>Anger</t>
        </is>
      </c>
      <c r="B12" s="13" t="inlineStr">
        <is>
          <t>Creature — Incarnation</t>
        </is>
      </c>
      <c r="C12" s="13" t="inlineStr">
        <is>
          <t>{3}{R}</t>
        </is>
      </c>
      <c r="D12" s="13" t="inlineStr">
        <is>
          <t>R</t>
        </is>
      </c>
      <c r="E12" s="22" t="n">
        <v>0.6</v>
      </c>
      <c r="F12" s="13" t="inlineStr"/>
      <c r="G12" s="18" t="inlineStr">
        <is>
          <t>Haste / As long as this card is in your graveyard and you control a Mountain, creatures you control have haste.</t>
        </is>
      </c>
    </row>
    <row r="13">
      <c r="A13" s="13" t="inlineStr">
        <is>
          <t>Anguished Unmaking</t>
        </is>
      </c>
      <c r="B13" s="13" t="inlineStr">
        <is>
          <t>Instant</t>
        </is>
      </c>
      <c r="C13" s="13" t="inlineStr">
        <is>
          <t>{1}{W}{B}</t>
        </is>
      </c>
      <c r="D13" s="13" t="inlineStr">
        <is>
          <t>BW</t>
        </is>
      </c>
      <c r="E13" s="22" t="n">
        <v>1.41</v>
      </c>
      <c r="F13" s="13" t="inlineStr"/>
      <c r="G13" s="18" t="inlineStr">
        <is>
          <t>Exile target nonland permanent. You lose 3 life.</t>
        </is>
      </c>
    </row>
    <row r="14">
      <c r="A14" s="13" t="inlineStr">
        <is>
          <t>Ao, the Dawn Sky</t>
        </is>
      </c>
      <c r="B14" s="13" t="inlineStr">
        <is>
          <t>Legendary Creature — Dragon Spirit</t>
        </is>
      </c>
      <c r="C14" s="13" t="inlineStr">
        <is>
          <t>{3}{W}{W}</t>
        </is>
      </c>
      <c r="D14" s="13" t="inlineStr">
        <is>
          <t>W</t>
        </is>
      </c>
      <c r="E14" s="22" t="n">
        <v>0.31</v>
      </c>
      <c r="F14" s="13" t="inlineStr"/>
      <c r="G14" s="18" t="inlineStr">
        <is>
          <t>Flying, vigilance / When Ao dies, choose one — / • Look at the top seven cards of your library. Put any number of nonland permanent cards with total mana value 4 or less from among them onto the battlefield. Put the rest on the bottom of your library in a random order. / • Put two +1/+1 counters on each permanent you control that's a creature or Vehicle.</t>
        </is>
      </c>
    </row>
    <row r="15">
      <c r="A15" s="13" t="inlineStr">
        <is>
          <t>Arasta of the Endless Web</t>
        </is>
      </c>
      <c r="B15" s="13" t="inlineStr">
        <is>
          <t>Legendary Enchantment Creature — Spider</t>
        </is>
      </c>
      <c r="C15" s="13" t="inlineStr">
        <is>
          <t>{2}{G}{G}</t>
        </is>
      </c>
      <c r="D15" s="13" t="inlineStr">
        <is>
          <t>G</t>
        </is>
      </c>
      <c r="E15" s="22" t="n">
        <v>0.38</v>
      </c>
      <c r="F15" s="13" t="inlineStr"/>
      <c r="G15" s="18" t="inlineStr">
        <is>
          <t>Reach / Whenever an opponent casts an instant or sorcery spell, create a 1/2 green Spider creature token with reach.</t>
        </is>
      </c>
    </row>
    <row r="16">
      <c r="A16" s="13" t="inlineStr">
        <is>
          <t>Arbor Adherent</t>
        </is>
      </c>
      <c r="B16" s="13" t="inlineStr">
        <is>
          <t>Creature — Dog Druid</t>
        </is>
      </c>
      <c r="C16" s="13" t="inlineStr">
        <is>
          <t>{3}{G}</t>
        </is>
      </c>
      <c r="D16" s="13" t="inlineStr">
        <is>
          <t>G</t>
        </is>
      </c>
      <c r="E16" s="22" t="n">
        <v>1.55</v>
      </c>
      <c r="F16" s="13" t="inlineStr"/>
      <c r="G16" s="18" t="inlineStr">
        <is>
          <t>{T}: Add one mana of any color. / {T}: Add X mana of any one color, where X is the greatest toughness among other creatures you control.</t>
        </is>
      </c>
    </row>
    <row r="17">
      <c r="A17" s="13" t="inlineStr">
        <is>
          <t>Arboreal Grazer</t>
        </is>
      </c>
      <c r="B17" s="13" t="inlineStr">
        <is>
          <t>Creature — Sloth Beast</t>
        </is>
      </c>
      <c r="C17" s="13" t="inlineStr">
        <is>
          <t>{G}</t>
        </is>
      </c>
      <c r="D17" s="13" t="inlineStr">
        <is>
          <t>G</t>
        </is>
      </c>
      <c r="E17" s="22" t="n">
        <v>0.26</v>
      </c>
      <c r="F17" s="13" t="inlineStr"/>
      <c r="G17" s="18" t="inlineStr">
        <is>
          <t>Reach / When this creature enters, you may put a land card from your hand onto the battlefield tapped.</t>
        </is>
      </c>
    </row>
    <row r="18">
      <c r="A18" s="13" t="inlineStr">
        <is>
          <t>Arcades, the Strategist</t>
        </is>
      </c>
      <c r="B18" s="13" t="inlineStr">
        <is>
          <t>Legendary Creature — Elder Dragon</t>
        </is>
      </c>
      <c r="C18" s="13" t="inlineStr">
        <is>
          <t>{1}{G}{W}{U}</t>
        </is>
      </c>
      <c r="D18" s="13" t="inlineStr">
        <is>
          <t>GUW</t>
        </is>
      </c>
      <c r="E18" s="22" t="n">
        <v>4.81</v>
      </c>
      <c r="F18" s="13" t="inlineStr"/>
      <c r="G18" s="18" t="inlineStr">
        <is>
          <t>Flying, vigilance / Whenever a creature you control with defender enters, draw a card. / Each creature you control with defender assigns combat damage equal to its toughness rather than its power and can attack as though it didn't have defender.</t>
        </is>
      </c>
    </row>
    <row r="19">
      <c r="A19" s="13" t="inlineStr">
        <is>
          <t>Arcane Sanctum</t>
        </is>
      </c>
      <c r="B19" s="13" t="inlineStr">
        <is>
          <t>Land</t>
        </is>
      </c>
      <c r="C19" s="13" t="inlineStr"/>
      <c r="D19" s="13" t="inlineStr">
        <is>
          <t>BUW</t>
        </is>
      </c>
      <c r="E19" s="22" t="n">
        <v>0.48</v>
      </c>
      <c r="F19" s="13" t="inlineStr"/>
      <c r="G19" s="18" t="inlineStr">
        <is>
          <t>This land enters tapped. / {T}: Add {W}, {U}, or {B}.</t>
        </is>
      </c>
    </row>
    <row r="20">
      <c r="A20" s="13" t="inlineStr">
        <is>
          <t>Arcane Signet</t>
        </is>
      </c>
      <c r="B20" s="13" t="inlineStr">
        <is>
          <t>Artifact</t>
        </is>
      </c>
      <c r="C20" s="13" t="inlineStr">
        <is>
          <t>{2}</t>
        </is>
      </c>
      <c r="D20" s="13" t="inlineStr"/>
      <c r="E20" s="22" t="n">
        <v>0.52</v>
      </c>
      <c r="F20" s="13" t="inlineStr"/>
      <c r="G20" s="18" t="inlineStr">
        <is>
          <t>{T}: Add one mana of any color in your commander's color identity.</t>
        </is>
      </c>
    </row>
    <row r="21">
      <c r="A21" s="13" t="inlineStr">
        <is>
          <t>Archaeomancer's Map</t>
        </is>
      </c>
      <c r="B21" s="13" t="inlineStr">
        <is>
          <t>Artifact</t>
        </is>
      </c>
      <c r="C21" s="13" t="inlineStr">
        <is>
          <t>{2}{W}</t>
        </is>
      </c>
      <c r="D21" s="13" t="inlineStr">
        <is>
          <t>W</t>
        </is>
      </c>
      <c r="E21" s="22" t="n">
        <v>1.2</v>
      </c>
      <c r="F21" s="13" t="inlineStr"/>
      <c r="G21" s="18" t="inlineStr">
        <is>
          <t>When this artifact enters, search your library for up to two basic Plains cards, reveal them, put them into your hand, then shuffle. / Whenever a land an opponent controls enters, if that player controls more lands than you, you may put a land card from your hand onto the battlefield.</t>
        </is>
      </c>
    </row>
    <row r="22">
      <c r="A22" s="13" t="inlineStr">
        <is>
          <t>Archfiend of Ifnir</t>
        </is>
      </c>
      <c r="B22" s="13" t="inlineStr">
        <is>
          <t>Creature — Demon</t>
        </is>
      </c>
      <c r="C22" s="13" t="inlineStr">
        <is>
          <t>{3}{B}{B}</t>
        </is>
      </c>
      <c r="D22" s="13" t="inlineStr">
        <is>
          <t>B</t>
        </is>
      </c>
      <c r="E22" s="22" t="n">
        <v>0.38</v>
      </c>
      <c r="F22" s="13" t="inlineStr"/>
      <c r="G22" s="18" t="inlineStr">
        <is>
          <t>Flying / Whenever you cycle or discard another card, put a -1/-1 counter on each creature your opponents control. / Cycling {2} ({2}, Discard this card: Draw a card.)</t>
        </is>
      </c>
    </row>
    <row r="23">
      <c r="A23" s="13" t="inlineStr">
        <is>
          <t>Assassin's Trophy</t>
        </is>
      </c>
      <c r="B23" s="13" t="inlineStr">
        <is>
          <t>Instant</t>
        </is>
      </c>
      <c r="C23" s="13" t="inlineStr">
        <is>
          <t>{B}{G}</t>
        </is>
      </c>
      <c r="D23" s="13" t="inlineStr">
        <is>
          <t>BG</t>
        </is>
      </c>
      <c r="E23" s="22" t="n">
        <v>0.99</v>
      </c>
      <c r="F23" s="13" t="inlineStr"/>
      <c r="G23" s="18" t="inlineStr">
        <is>
          <t>Destroy target permanent an opponent controls. Its controller may search their library for a basic land card, put it onto the battlefield, then shuffle.</t>
        </is>
      </c>
    </row>
    <row r="24">
      <c r="A24" s="13" t="inlineStr">
        <is>
          <t>Assault Formation</t>
        </is>
      </c>
      <c r="B24" s="13" t="inlineStr">
        <is>
          <t>Enchantment</t>
        </is>
      </c>
      <c r="C24" s="13" t="inlineStr">
        <is>
          <t>{1}{G}</t>
        </is>
      </c>
      <c r="D24" s="13" t="inlineStr">
        <is>
          <t>G</t>
        </is>
      </c>
      <c r="E24" s="22" t="n">
        <v>0.35</v>
      </c>
      <c r="F24" s="13" t="inlineStr"/>
      <c r="G24" s="18" t="inlineStr">
        <is>
          <t>Each creature you control assigns combat damage equal to its toughness rather than its power. / {G}: Target creature with defender can attack this turn as though it didn't have defender. / {2}{G}: Creatures you control get +0/+1 until end of turn.</t>
        </is>
      </c>
    </row>
    <row r="25">
      <c r="A25" s="13" t="inlineStr">
        <is>
          <t>Astral Cornucopia</t>
        </is>
      </c>
      <c r="B25" s="13" t="inlineStr">
        <is>
          <t>Artifact</t>
        </is>
      </c>
      <c r="C25" s="13" t="inlineStr">
        <is>
          <t>{X}{X}{X}</t>
        </is>
      </c>
      <c r="D25" s="13" t="inlineStr"/>
      <c r="E25" s="22" t="n">
        <v>0.29</v>
      </c>
      <c r="F25" s="13" t="inlineStr"/>
      <c r="G25" s="18" t="inlineStr">
        <is>
          <t>This artifact enters with X charge counters on it. / {T}: Choose a color. Add one mana of that color for each charge counter on this artifact.</t>
        </is>
      </c>
    </row>
    <row r="26">
      <c r="A26" s="13" t="inlineStr">
        <is>
          <t>Atraxa, Praetors' Voice</t>
        </is>
      </c>
      <c r="B26" s="13" t="inlineStr">
        <is>
          <t>Legendary Creature — Phyrexian Angel Horror</t>
        </is>
      </c>
      <c r="C26" s="13" t="inlineStr">
        <is>
          <t>{G}{W}{U}{B}</t>
        </is>
      </c>
      <c r="D26" s="13" t="inlineStr">
        <is>
          <t>BGUW</t>
        </is>
      </c>
      <c r="E26" s="22" t="n">
        <v>30.12</v>
      </c>
      <c r="F26" s="13" t="inlineStr"/>
      <c r="G26" s="18" t="inlineStr">
        <is>
          <t>Flying, vigilance, deathtouch, lifelink / At the beginning of your end step, proliferate. (Choose any number of permanents and/or players, then give each another counter of each kind already there.)</t>
        </is>
      </c>
    </row>
    <row r="27">
      <c r="A27" s="13" t="inlineStr">
        <is>
          <t>Atsushi, the Blazing Sky</t>
        </is>
      </c>
      <c r="B27" s="13" t="inlineStr">
        <is>
          <t>Legendary Creature — Dragon Spirit</t>
        </is>
      </c>
      <c r="C27" s="13" t="inlineStr">
        <is>
          <t>{2}{R}{R}</t>
        </is>
      </c>
      <c r="D27" s="13" t="inlineStr">
        <is>
          <t>R</t>
        </is>
      </c>
      <c r="E27" s="22" t="n">
        <v>0.38</v>
      </c>
      <c r="F27" s="13" t="inlineStr"/>
      <c r="G27" s="18" t="inlineStr">
        <is>
          <t>Flying, trample / When Atsushi dies, choose one — / • Exile the top two cards of your library. Until the end of your next turn, you may play those cards. / • Create three Treasure tokens.</t>
        </is>
      </c>
    </row>
    <row r="28">
      <c r="A28" s="13" t="inlineStr">
        <is>
          <t>Augusta, Order Returned</t>
        </is>
      </c>
      <c r="B28" s="13" t="inlineStr">
        <is>
          <t>Legendary Creature — Spirit Advisor</t>
        </is>
      </c>
      <c r="C28" s="13" t="inlineStr">
        <is>
          <t>{2}{W}</t>
        </is>
      </c>
      <c r="D28" s="13" t="inlineStr">
        <is>
          <t>W</t>
        </is>
      </c>
      <c r="E28" s="22" t="n">
        <v>0.2</v>
      </c>
      <c r="F28" s="13" t="inlineStr"/>
      <c r="G28" s="18" t="inlineStr">
        <is>
          <t>Flying, vigilance / Whenever Augusta attacks, each player exiles a card from their graveyard. When one or more nonland cards are exiled this way, put that many +1/+1 counters on target attacking creature.</t>
        </is>
      </c>
    </row>
    <row r="29">
      <c r="A29" s="13" t="inlineStr">
        <is>
          <t>Austere Command</t>
        </is>
      </c>
      <c r="B29" s="13" t="inlineStr">
        <is>
          <t>Sorcery</t>
        </is>
      </c>
      <c r="C29" s="13" t="inlineStr">
        <is>
          <t>{4}{W}{W}</t>
        </is>
      </c>
      <c r="D29" s="13" t="inlineStr">
        <is>
          <t>W</t>
        </is>
      </c>
      <c r="E29" s="22" t="n">
        <v>0.4</v>
      </c>
      <c r="F29" s="13" t="inlineStr"/>
      <c r="G29" s="18" t="inlineStr">
        <is>
          <t>Choose two — / • Destroy all artifacts. / • Destroy all enchantments. / • Destroy all creatures with mana value 3 or less. / • Destroy all creatures with mana value 4 or greater.</t>
        </is>
      </c>
    </row>
    <row r="30">
      <c r="A30" s="13" t="inlineStr">
        <is>
          <t>Authority of the Consuls</t>
        </is>
      </c>
      <c r="B30" s="13" t="inlineStr">
        <is>
          <t>Enchantment</t>
        </is>
      </c>
      <c r="C30" s="13" t="inlineStr">
        <is>
          <t>{W}</t>
        </is>
      </c>
      <c r="D30" s="13" t="inlineStr">
        <is>
          <t>W</t>
        </is>
      </c>
      <c r="E30" s="22" t="n">
        <v>4.41</v>
      </c>
      <c r="F30" s="13" t="inlineStr"/>
      <c r="G30" s="18" t="inlineStr">
        <is>
          <t>Creatures your opponents control enter tapped. / Whenever a creature an opponent controls enters, you gain 1 life.</t>
        </is>
      </c>
    </row>
    <row r="31">
      <c r="A31" s="13" t="inlineStr">
        <is>
          <t>Avenger of Zendikar</t>
        </is>
      </c>
      <c r="B31" s="13" t="inlineStr">
        <is>
          <t>Creature — Elemental</t>
        </is>
      </c>
      <c r="C31" s="13" t="inlineStr">
        <is>
          <t>{5}{G}{G}</t>
        </is>
      </c>
      <c r="D31" s="13" t="inlineStr">
        <is>
          <t>G</t>
        </is>
      </c>
      <c r="E31" s="22" t="n">
        <v>0.39</v>
      </c>
      <c r="F31" s="13" t="inlineStr"/>
      <c r="G31" s="18" t="inlineStr">
        <is>
          <t>When this creature enters, create a 0/1 green Plant creature token for each land you control. / Landfall — Whenever a land you control enters, you may put a +1/+1 counter on each Plant creature you control.</t>
        </is>
      </c>
    </row>
    <row r="32">
      <c r="A32" s="13" t="inlineStr">
        <is>
          <t>Axebane Guardian</t>
        </is>
      </c>
      <c r="B32" s="13" t="inlineStr">
        <is>
          <t>Creature — Human Druid</t>
        </is>
      </c>
      <c r="C32" s="13" t="inlineStr">
        <is>
          <t>{2}{G}</t>
        </is>
      </c>
      <c r="D32" s="13" t="inlineStr">
        <is>
          <t>G</t>
        </is>
      </c>
      <c r="E32" s="22" t="n">
        <v>0.28</v>
      </c>
      <c r="F32" s="13" t="inlineStr"/>
      <c r="G32" s="18" t="inlineStr">
        <is>
          <t>Defender / {T}: Add X mana in any combination of colors, where X is the number of creatures you control with defender.</t>
        </is>
      </c>
    </row>
    <row r="33">
      <c r="A33" s="13" t="inlineStr">
        <is>
          <t>Azorius Chancery</t>
        </is>
      </c>
      <c r="B33" s="13" t="inlineStr">
        <is>
          <t>Land</t>
        </is>
      </c>
      <c r="C33" s="13" t="inlineStr"/>
      <c r="D33" s="13" t="inlineStr">
        <is>
          <t>UW</t>
        </is>
      </c>
      <c r="E33" s="22" t="n">
        <v>0.35</v>
      </c>
      <c r="F33" s="13" t="inlineStr"/>
      <c r="G33" s="18" t="inlineStr">
        <is>
          <t>This land enters tapped. / When this land enters, return a land you control to its owner's hand. / {T}: Add {W}{U}.</t>
        </is>
      </c>
    </row>
    <row r="34">
      <c r="A34" s="13" t="inlineStr">
        <is>
          <t>Bag of Holding</t>
        </is>
      </c>
      <c r="B34" s="13" t="inlineStr">
        <is>
          <t>Artifact</t>
        </is>
      </c>
      <c r="C34" s="13" t="inlineStr">
        <is>
          <t>{1}</t>
        </is>
      </c>
      <c r="D34" s="13" t="inlineStr"/>
      <c r="E34" s="22" t="n">
        <v>0.34</v>
      </c>
      <c r="F34" s="13" t="inlineStr"/>
      <c r="G34" s="18" t="inlineStr">
        <is>
          <t>Whenever you discard a card, exile that card from your graveyard. / {2}, {T}: Draw a card, then discard a card. / {4}, {T}, Sacrifice this artifact: Return all cards exiled with this artifact to their owner's hand.</t>
        </is>
      </c>
    </row>
    <row r="35">
      <c r="A35" s="13" t="inlineStr">
        <is>
          <t>Baldin, Century Herdmaster</t>
        </is>
      </c>
      <c r="B35" s="13" t="inlineStr">
        <is>
          <t>Legendary Creature — Human Warrior</t>
        </is>
      </c>
      <c r="C35" s="13" t="inlineStr">
        <is>
          <t>{4}{W}{W}</t>
        </is>
      </c>
      <c r="D35" s="13" t="inlineStr">
        <is>
          <t>W</t>
        </is>
      </c>
      <c r="E35" s="22" t="n">
        <v>0.38</v>
      </c>
      <c r="F35" s="13" t="inlineStr"/>
      <c r="G35" s="18" t="inlineStr">
        <is>
          <t>During your turn, each creature assigns combat damage equal to its toughness rather than its power. / Whenever Baldin attacks, up to one hundred target creatures each get +0/+X until end of turn, where X is the number of cards in your hand.</t>
        </is>
      </c>
    </row>
    <row r="36">
      <c r="A36" s="13" t="inlineStr">
        <is>
          <t>Balefire Liege</t>
        </is>
      </c>
      <c r="B36" s="13" t="inlineStr">
        <is>
          <t>Creature — Spirit Horror</t>
        </is>
      </c>
      <c r="C36" s="13" t="inlineStr">
        <is>
          <t>{2}{R/W}{R/W}{R/W}</t>
        </is>
      </c>
      <c r="D36" s="13" t="inlineStr">
        <is>
          <t>RW</t>
        </is>
      </c>
      <c r="E36" s="22" t="n">
        <v>0.33</v>
      </c>
      <c r="F36" s="13" t="inlineStr"/>
      <c r="G36" s="18" t="inlineStr">
        <is>
          <t>Other red creatures you control get +1/+1. / Other white creatures you control get +1/+1. / Whenever you cast a red spell, this creature deals 3 damage to target player or planeswalker. / Whenever you cast a white spell, you gain 3 life.</t>
        </is>
      </c>
    </row>
    <row r="37">
      <c r="A37" s="13" t="inlineStr">
        <is>
          <t>Bant Charm</t>
        </is>
      </c>
      <c r="B37" s="13" t="inlineStr">
        <is>
          <t>Instant</t>
        </is>
      </c>
      <c r="C37" s="13" t="inlineStr">
        <is>
          <t>{G}{W}{U}</t>
        </is>
      </c>
      <c r="D37" s="13" t="inlineStr">
        <is>
          <t>GUW</t>
        </is>
      </c>
      <c r="E37" s="22" t="n">
        <v>0.32</v>
      </c>
      <c r="F37" s="13" t="inlineStr"/>
      <c r="G37" s="18" t="inlineStr">
        <is>
          <t>Choose one — / • Destroy target artifact. / • Put target creature on the bottom of its owner's library. / • Counter target instant spell.</t>
        </is>
      </c>
    </row>
    <row r="38">
      <c r="A38" s="13" t="inlineStr">
        <is>
          <t>Bant Panorama</t>
        </is>
      </c>
      <c r="B38" s="13" t="inlineStr">
        <is>
          <t>Land</t>
        </is>
      </c>
      <c r="C38" s="13" t="inlineStr"/>
      <c r="D38" s="13" t="inlineStr"/>
      <c r="E38" s="22" t="n">
        <v>0.33</v>
      </c>
      <c r="F38" s="13" t="inlineStr"/>
      <c r="G38" s="18" t="inlineStr">
        <is>
          <t>{T}: Add {C}. / {1}, {T}, Sacrifice this land: Search your library for a basic Forest, Plains, or Island card, put it onto the battlefield tapped, then shuffle.</t>
        </is>
      </c>
    </row>
    <row r="39">
      <c r="A39" s="13" t="inlineStr">
        <is>
          <t>Barren Moor</t>
        </is>
      </c>
      <c r="B39" s="13" t="inlineStr">
        <is>
          <t>Land</t>
        </is>
      </c>
      <c r="C39" s="13" t="inlineStr"/>
      <c r="D39" s="13" t="inlineStr">
        <is>
          <t>B</t>
        </is>
      </c>
      <c r="E39" s="22" t="n">
        <v>0.27</v>
      </c>
      <c r="F39" s="13" t="inlineStr"/>
      <c r="G39" s="18" t="inlineStr">
        <is>
          <t>This land enters tapped. / {T}: Add {B}. / Cycling {B} ({B}, Discard this card: Draw a card.)</t>
        </is>
      </c>
    </row>
    <row r="40">
      <c r="A40" s="13" t="inlineStr">
        <is>
          <t>Battlefield Forge</t>
        </is>
      </c>
      <c r="B40" s="13" t="inlineStr">
        <is>
          <t>Land</t>
        </is>
      </c>
      <c r="C40" s="13" t="inlineStr"/>
      <c r="D40" s="13" t="inlineStr">
        <is>
          <t>RW</t>
        </is>
      </c>
      <c r="E40" s="22" t="n">
        <v>0.39</v>
      </c>
      <c r="F40" s="13" t="inlineStr"/>
      <c r="G40" s="18" t="inlineStr">
        <is>
          <t>{T}: Add {C}. / {T}: Add {R} or {W}. This land deals 1 damage to you.</t>
        </is>
      </c>
    </row>
    <row r="41">
      <c r="A41" s="13" t="inlineStr">
        <is>
          <t>Bedrock Tortoise</t>
        </is>
      </c>
      <c r="B41" s="13" t="inlineStr">
        <is>
          <t>Creature — Turtle</t>
        </is>
      </c>
      <c r="C41" s="13" t="inlineStr">
        <is>
          <t>{3}{G}</t>
        </is>
      </c>
      <c r="D41" s="13" t="inlineStr">
        <is>
          <t>G</t>
        </is>
      </c>
      <c r="E41" s="22" t="n">
        <v>2.02</v>
      </c>
      <c r="F41" s="13" t="inlineStr"/>
      <c r="G41" s="18" t="inlineStr">
        <is>
          <t>During your turn, creatures you control have hexproof. / Each creature you control with toughness greater than its power assigns combat damage equal to its toughness rather than its power.</t>
        </is>
      </c>
    </row>
    <row r="42">
      <c r="A42" s="13" t="inlineStr">
        <is>
          <t>Behind the Scenes</t>
        </is>
      </c>
      <c r="B42" s="13" t="inlineStr">
        <is>
          <t>Enchantment</t>
        </is>
      </c>
      <c r="C42" s="13" t="inlineStr">
        <is>
          <t>{2}{B}</t>
        </is>
      </c>
      <c r="D42" s="13" t="inlineStr">
        <is>
          <t>BW</t>
        </is>
      </c>
      <c r="E42" s="22" t="n">
        <v>0.23</v>
      </c>
      <c r="F42" s="13" t="inlineStr"/>
      <c r="G42" s="18" t="inlineStr">
        <is>
          <t>Creatures you control have skulk. (They can't be blocked by creatures with greater power.) / {4}{W}: Creatures you control get +1/+1 until end of turn.</t>
        </is>
      </c>
    </row>
    <row r="43">
      <c r="A43" s="13" t="inlineStr">
        <is>
          <t>Betor, Ancestor's Voice</t>
        </is>
      </c>
      <c r="B43" s="13" t="inlineStr">
        <is>
          <t>Legendary Creature — Spirit Dragon</t>
        </is>
      </c>
      <c r="C43" s="13" t="inlineStr">
        <is>
          <t>{2}{W}{B}{G}</t>
        </is>
      </c>
      <c r="D43" s="13" t="inlineStr">
        <is>
          <t>BGW</t>
        </is>
      </c>
      <c r="E43" s="22" t="n">
        <v>3.56</v>
      </c>
      <c r="F43" s="13" t="inlineStr"/>
      <c r="G43" s="18" t="inlineStr">
        <is>
          <t>Flying, lifelink /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t>
        </is>
      </c>
    </row>
    <row r="44">
      <c r="A44" s="13" t="inlineStr">
        <is>
          <t>Betor, Kin to All</t>
        </is>
      </c>
      <c r="B44" s="13" t="inlineStr">
        <is>
          <t>Legendary Creature — Spirit Dragon</t>
        </is>
      </c>
      <c r="C44" s="13" t="inlineStr">
        <is>
          <t>{2}{W}{B}{G}</t>
        </is>
      </c>
      <c r="D44" s="13" t="inlineStr">
        <is>
          <t>BGW</t>
        </is>
      </c>
      <c r="E44" s="22" t="n">
        <v>5.23</v>
      </c>
      <c r="F44" s="13" t="inlineStr"/>
      <c r="G44" s="18" t="inlineStr">
        <is>
          <t>Flying / At the beginning of your end step, if creatures you control have total toughness 10 or greater, draw a card. Then if creatures you control have total toughness 20 or greater, untap each creature you control. Then if creatures you control have total toughness 40 or greater, each opponent loses half their life, rounded up.</t>
        </is>
      </c>
    </row>
    <row r="45">
      <c r="A45" s="13" t="inlineStr">
        <is>
          <t>Bitterthorn, Nissa's Animus</t>
        </is>
      </c>
      <c r="B45" s="13" t="inlineStr">
        <is>
          <t>Legendary Artifact — Equipment</t>
        </is>
      </c>
      <c r="C45" s="13" t="inlineStr">
        <is>
          <t>{3}</t>
        </is>
      </c>
      <c r="D45" s="13" t="inlineStr"/>
      <c r="E45" s="22" t="n">
        <v>5.78</v>
      </c>
      <c r="F45" s="13" t="inlineStr"/>
      <c r="G45" s="18" t="inlineStr">
        <is>
          <t>Living weapon (When this Equipment enters, create a 0/0 black Phyrexian Germ creature token, then attach this to it.) / Equipped creature gets +1/+1. / Whenever equipped creature attacks, you may search your library for a basic land card, put it onto the battlefield tapped, then shuffle. / Equip {3}</t>
        </is>
      </c>
    </row>
    <row r="46">
      <c r="A46" s="13" t="inlineStr">
        <is>
          <t>Blast Zone</t>
        </is>
      </c>
      <c r="B46" s="13" t="inlineStr">
        <is>
          <t>Land</t>
        </is>
      </c>
      <c r="C46" s="13" t="inlineStr"/>
      <c r="D46" s="13" t="inlineStr"/>
      <c r="E46" s="22" t="n">
        <v>0.38</v>
      </c>
      <c r="F46" s="13" t="inlineStr"/>
      <c r="G46" s="18" t="inlineStr">
        <is>
          <t>This land enters with a charge counter on it. / {T}: Add {C}. / {X}{X}, {T}: Put X charge counters on this land. / {3}, {T}, Sacrifice this land: Destroy each nonland permanent with mana value equal to the number of charge counters on this land.</t>
        </is>
      </c>
    </row>
    <row r="47">
      <c r="A47" s="13" t="inlineStr">
        <is>
          <t>Blight Pile</t>
        </is>
      </c>
      <c r="B47" s="13" t="inlineStr">
        <is>
          <t>Creature — Phyrexian</t>
        </is>
      </c>
      <c r="C47" s="13" t="inlineStr">
        <is>
          <t>{1}{B}</t>
        </is>
      </c>
      <c r="D47" s="13" t="inlineStr">
        <is>
          <t>B</t>
        </is>
      </c>
      <c r="E47" s="22" t="n">
        <v>0.24</v>
      </c>
      <c r="F47" s="13" t="inlineStr"/>
      <c r="G47" s="18" t="inlineStr">
        <is>
          <t>Defender / {2}{B}, {T}: Each opponent loses X life, where X is the number of creatures with defender you control.</t>
        </is>
      </c>
    </row>
    <row r="48">
      <c r="A48" s="13" t="inlineStr">
        <is>
          <t>Blighted Woodland</t>
        </is>
      </c>
      <c r="B48" s="13" t="inlineStr">
        <is>
          <t>Land</t>
        </is>
      </c>
      <c r="C48" s="13" t="inlineStr"/>
      <c r="D48" s="13" t="inlineStr">
        <is>
          <t>G</t>
        </is>
      </c>
      <c r="E48" s="22" t="n">
        <v>0.39</v>
      </c>
      <c r="F48" s="13" t="inlineStr"/>
      <c r="G48" s="18" t="inlineStr">
        <is>
          <t>{T}: Add {C}. / {3}{G}, {T}, Sacrifice this land: Search your library for up to two basic land cards, put them onto the battlefield tapped, then shuffle.</t>
        </is>
      </c>
    </row>
    <row r="49">
      <c r="A49" s="13" t="inlineStr">
        <is>
          <t>Blood Artist</t>
        </is>
      </c>
      <c r="B49" s="13" t="inlineStr">
        <is>
          <t>Creature — Vampire</t>
        </is>
      </c>
      <c r="C49" s="13" t="inlineStr">
        <is>
          <t>{1}{B}</t>
        </is>
      </c>
      <c r="D49" s="13" t="inlineStr">
        <is>
          <t>B</t>
        </is>
      </c>
      <c r="E49" s="22" t="n">
        <v>3.37</v>
      </c>
      <c r="F49" s="13" t="inlineStr"/>
      <c r="G49" s="18" t="inlineStr">
        <is>
          <t>Whenever this creature or another creature dies, target player loses 1 life and you gain 1 life.</t>
        </is>
      </c>
    </row>
    <row r="50">
      <c r="A50" s="13" t="inlineStr">
        <is>
          <t>Bloodchief's Thirst</t>
        </is>
      </c>
      <c r="B50" s="13" t="inlineStr">
        <is>
          <t>Sorcery</t>
        </is>
      </c>
      <c r="C50" s="13" t="inlineStr">
        <is>
          <t>{B}</t>
        </is>
      </c>
      <c r="D50" s="13" t="inlineStr">
        <is>
          <t>B</t>
        </is>
      </c>
      <c r="E50" s="22" t="n">
        <v>0.23</v>
      </c>
      <c r="F50" s="13" t="inlineStr"/>
      <c r="G50" s="18" t="inlineStr">
        <is>
          <t>Kicker {2}{B} (You may pay an additional {2}{B} as you cast this spell.) / Destroy target creature or planeswalker with mana value 2 or less. If this spell was kicked, instead destroy target creature or planeswalker.</t>
        </is>
      </c>
    </row>
    <row r="51">
      <c r="A51" s="13" t="inlineStr">
        <is>
          <t>Blossoming Sands</t>
        </is>
      </c>
      <c r="B51" s="13" t="inlineStr">
        <is>
          <t>Land</t>
        </is>
      </c>
      <c r="C51" s="13" t="inlineStr"/>
      <c r="D51" s="13" t="inlineStr">
        <is>
          <t>GW</t>
        </is>
      </c>
      <c r="E51" s="22" t="n">
        <v>0.19</v>
      </c>
      <c r="F51" s="13" t="inlineStr"/>
      <c r="G51" s="18" t="inlineStr">
        <is>
          <t>This land enters tapped. / When this land enters, you gain 1 life. / {T}: Add {G} or {W}.</t>
        </is>
      </c>
    </row>
    <row r="52">
      <c r="A52" s="13" t="inlineStr">
        <is>
          <t>Bojuka Bog</t>
        </is>
      </c>
      <c r="B52" s="13" t="inlineStr">
        <is>
          <t>Land</t>
        </is>
      </c>
      <c r="C52" s="13" t="inlineStr"/>
      <c r="D52" s="13" t="inlineStr">
        <is>
          <t>B</t>
        </is>
      </c>
      <c r="E52" s="22" t="n">
        <v>1.4</v>
      </c>
      <c r="F52" s="13" t="inlineStr"/>
      <c r="G52" s="18" t="inlineStr">
        <is>
          <t>This land enters tapped. / When this land enters, exile target player's graveyard. / {T}: Add {B}.</t>
        </is>
      </c>
    </row>
    <row r="53">
      <c r="A53" s="13" t="inlineStr">
        <is>
          <t>Bone Shards</t>
        </is>
      </c>
      <c r="B53" s="13" t="inlineStr">
        <is>
          <t>Sorcery</t>
        </is>
      </c>
      <c r="C53" s="13" t="inlineStr">
        <is>
          <t>{B}</t>
        </is>
      </c>
      <c r="D53" s="13" t="inlineStr">
        <is>
          <t>B</t>
        </is>
      </c>
      <c r="E53" s="22" t="n">
        <v>0.3</v>
      </c>
      <c r="F53" s="13" t="inlineStr"/>
      <c r="G53" s="18" t="inlineStr">
        <is>
          <t>As an additional cost to cast this spell, sacrifice a creature or discard a card. / Destroy target creature or planeswalker.</t>
        </is>
      </c>
    </row>
    <row r="54">
      <c r="A54" s="13" t="inlineStr">
        <is>
          <t>Boros Charm</t>
        </is>
      </c>
      <c r="B54" s="13" t="inlineStr">
        <is>
          <t>Instant</t>
        </is>
      </c>
      <c r="C54" s="13" t="inlineStr">
        <is>
          <t>{R}{W}</t>
        </is>
      </c>
      <c r="D54" s="13" t="inlineStr">
        <is>
          <t>RW</t>
        </is>
      </c>
      <c r="E54" s="22" t="n">
        <v>4.4</v>
      </c>
      <c r="F54" s="13" t="inlineStr"/>
      <c r="G54" s="18" t="inlineStr">
        <is>
          <t>Choose one — / • Boros Charm deals 4 damage to target player or planeswalker. / • Permanents you control gain indestructible until end of turn. / • Target creature gains double strike until end of turn.</t>
        </is>
      </c>
    </row>
    <row r="55">
      <c r="A55" s="13" t="inlineStr">
        <is>
          <t>Branching Evolution</t>
        </is>
      </c>
      <c r="B55" s="13" t="inlineStr">
        <is>
          <t>Enchantment</t>
        </is>
      </c>
      <c r="C55" s="13" t="inlineStr">
        <is>
          <t>{2}{G}</t>
        </is>
      </c>
      <c r="D55" s="13" t="inlineStr">
        <is>
          <t>G</t>
        </is>
      </c>
      <c r="E55" s="22" t="n">
        <v>7.44</v>
      </c>
      <c r="F55" s="13" t="inlineStr"/>
      <c r="G55" s="18" t="inlineStr">
        <is>
          <t>If one or more +1/+1 counters would be put on a creature you control, twice that many +1/+1 counters are put on that creature instead.</t>
        </is>
      </c>
    </row>
    <row r="56">
      <c r="A56" s="13" t="inlineStr">
        <is>
          <t>Burnished Hart</t>
        </is>
      </c>
      <c r="B56" s="13" t="inlineStr">
        <is>
          <t>Artifact Creature — Elk</t>
        </is>
      </c>
      <c r="C56" s="13" t="inlineStr">
        <is>
          <t>{3}</t>
        </is>
      </c>
      <c r="D56" s="13" t="inlineStr"/>
      <c r="E56" s="22" t="n">
        <v>0.27</v>
      </c>
      <c r="F56" s="13" t="inlineStr"/>
      <c r="G56" s="18" t="inlineStr">
        <is>
          <t>{3}, Sacrifice this creature: Search your library for up to two basic land cards, put them onto the battlefield tapped, then shuffle.</t>
        </is>
      </c>
    </row>
    <row r="57">
      <c r="A57" s="13" t="inlineStr">
        <is>
          <t>Canopy Gargantuan</t>
        </is>
      </c>
      <c r="B57" s="13" t="inlineStr">
        <is>
          <t>Creature — Dragon</t>
        </is>
      </c>
      <c r="C57" s="13" t="inlineStr">
        <is>
          <t>{5}{G}{G}</t>
        </is>
      </c>
      <c r="D57" s="13" t="inlineStr">
        <is>
          <t>G</t>
        </is>
      </c>
      <c r="E57" s="22" t="n">
        <v>3.25</v>
      </c>
      <c r="F57" s="13" t="inlineStr"/>
      <c r="G57" s="18" t="inlineStr">
        <is>
          <t>Flying, ward {2} / At the beginning of your upkeep, put a number of +1/+1 counters on each other creature you control equal to that creature's toughness.</t>
        </is>
      </c>
    </row>
    <row r="58">
      <c r="A58" s="13" t="inlineStr">
        <is>
          <t>Canopy Vista</t>
        </is>
      </c>
      <c r="B58" s="13" t="inlineStr">
        <is>
          <t>Land — Forest Plains</t>
        </is>
      </c>
      <c r="C58" s="13" t="inlineStr"/>
      <c r="D58" s="13" t="inlineStr">
        <is>
          <t>GW</t>
        </is>
      </c>
      <c r="E58" s="22" t="n">
        <v>0.34</v>
      </c>
      <c r="F58" s="13" t="inlineStr"/>
      <c r="G58" s="18" t="inlineStr">
        <is>
          <t>({T}: Add {G} or {W}.) / This land enters tapped unless you control two or more basic lands.</t>
        </is>
      </c>
    </row>
    <row r="59">
      <c r="A59" s="13" t="inlineStr">
        <is>
          <t>Carven Caryatid</t>
        </is>
      </c>
      <c r="B59" s="13" t="inlineStr">
        <is>
          <t>Creature — Spirit</t>
        </is>
      </c>
      <c r="C59" s="13" t="inlineStr">
        <is>
          <t>{1}{G}{G}</t>
        </is>
      </c>
      <c r="D59" s="13" t="inlineStr">
        <is>
          <t>G</t>
        </is>
      </c>
      <c r="E59" s="22" t="n">
        <v>0.25</v>
      </c>
      <c r="F59" s="13" t="inlineStr"/>
      <c r="G59" s="18" t="inlineStr">
        <is>
          <t>Defender (This creature can't attack.) / When this creature enters, draw a card.</t>
        </is>
      </c>
    </row>
    <row r="60">
      <c r="A60" s="13" t="inlineStr">
        <is>
          <t>Cast Down</t>
        </is>
      </c>
      <c r="B60" s="13" t="inlineStr">
        <is>
          <t>Instant</t>
        </is>
      </c>
      <c r="C60" s="13" t="inlineStr">
        <is>
          <t>{1}{B}</t>
        </is>
      </c>
      <c r="D60" s="13" t="inlineStr">
        <is>
          <t>B</t>
        </is>
      </c>
      <c r="E60" s="22" t="n">
        <v>0.35</v>
      </c>
      <c r="F60" s="13" t="inlineStr"/>
      <c r="G60" s="18" t="inlineStr">
        <is>
          <t>Destroy target nonlegendary creature.</t>
        </is>
      </c>
    </row>
    <row r="61">
      <c r="A61" s="13" t="inlineStr">
        <is>
          <t>Cast Out</t>
        </is>
      </c>
      <c r="B61" s="13" t="inlineStr">
        <is>
          <t>Enchantment</t>
        </is>
      </c>
      <c r="C61" s="13" t="inlineStr">
        <is>
          <t>{3}{W}</t>
        </is>
      </c>
      <c r="D61" s="13" t="inlineStr">
        <is>
          <t>W</t>
        </is>
      </c>
      <c r="E61" s="22" t="n">
        <v>0.28</v>
      </c>
      <c r="F61" s="13" t="inlineStr"/>
      <c r="G61" s="18" t="inlineStr">
        <is>
          <t>Flash / When this enchantment enters, exile target nonland permanent an opponent controls until this enchantment leaves the battlefield. / Cycling {W} ({W}, Discard this card: Draw a card.)</t>
        </is>
      </c>
    </row>
    <row r="62">
      <c r="A62" s="13" t="inlineStr">
        <is>
          <t>Casualties of War</t>
        </is>
      </c>
      <c r="B62" s="13" t="inlineStr">
        <is>
          <t>Sorcery</t>
        </is>
      </c>
      <c r="C62" s="13" t="inlineStr">
        <is>
          <t>{2}{B}{B}{G}{G}</t>
        </is>
      </c>
      <c r="D62" s="13" t="inlineStr">
        <is>
          <t>BG</t>
        </is>
      </c>
      <c r="E62" s="22" t="n">
        <v>0.33</v>
      </c>
      <c r="F62" s="13" t="inlineStr"/>
      <c r="G62" s="18" t="inlineStr">
        <is>
          <t>Choose one or more — / • Destroy target artifact. / • Destroy target creature. / • Destroy target enchantment. / • Destroy target land. / • Destroy target planeswalker.</t>
        </is>
      </c>
    </row>
    <row r="63">
      <c r="A63" s="13" t="inlineStr">
        <is>
          <t>Cathar Commando</t>
        </is>
      </c>
      <c r="B63" s="13" t="inlineStr">
        <is>
          <t>Creature — Human Soldier</t>
        </is>
      </c>
      <c r="C63" s="13" t="inlineStr">
        <is>
          <t>{1}{W}</t>
        </is>
      </c>
      <c r="D63" s="13" t="inlineStr">
        <is>
          <t>W</t>
        </is>
      </c>
      <c r="E63" s="22" t="n">
        <v>0.19</v>
      </c>
      <c r="F63" s="13" t="inlineStr"/>
      <c r="G63" s="18" t="inlineStr">
        <is>
          <t>Flash / {1}, Sacrifice this creature: Destroy target artifact or enchantment.</t>
        </is>
      </c>
    </row>
    <row r="64">
      <c r="A64" s="13" t="inlineStr">
        <is>
          <t>Ceaseless Conflict</t>
        </is>
      </c>
      <c r="B64" s="13" t="inlineStr">
        <is>
          <t>Sorcery</t>
        </is>
      </c>
      <c r="C64" s="13" t="inlineStr">
        <is>
          <t>{3}{W}{W}</t>
        </is>
      </c>
      <c r="D64" s="13" t="inlineStr">
        <is>
          <t>W</t>
        </is>
      </c>
      <c r="E64" s="22" t="n">
        <v>0.24</v>
      </c>
      <c r="F64" s="13" t="inlineStr"/>
      <c r="G64" s="18" t="inlineStr">
        <is>
          <t>Destroy all creatures. Then create a 3/2 red and white Spirit creature token for each nontoken creature you controlled that was destroyed this way.</t>
        </is>
      </c>
    </row>
    <row r="65">
      <c r="A65" s="13" t="inlineStr">
        <is>
          <t>Charming Prince</t>
        </is>
      </c>
      <c r="B65" s="13" t="inlineStr">
        <is>
          <t>Creature — Human Noble</t>
        </is>
      </c>
      <c r="C65" s="13" t="inlineStr">
        <is>
          <t>{1}{W}</t>
        </is>
      </c>
      <c r="D65" s="13" t="inlineStr">
        <is>
          <t>W</t>
        </is>
      </c>
      <c r="E65" s="22" t="n">
        <v>0.38</v>
      </c>
      <c r="F65" s="13" t="inlineStr"/>
      <c r="G65" s="18" t="inlineStr">
        <is>
          <t>When this creature enters, choose one — / • Scry 2. / • You gain 3 life. / • Exile another target creature you own. Return it to the battlefield under your control at the beginning of the next end step.</t>
        </is>
      </c>
    </row>
    <row r="66">
      <c r="A66" s="13" t="inlineStr">
        <is>
          <t>Chromatic Lantern</t>
        </is>
      </c>
      <c r="B66" s="13" t="inlineStr">
        <is>
          <t>Artifact</t>
        </is>
      </c>
      <c r="C66" s="13" t="inlineStr">
        <is>
          <t>{3}</t>
        </is>
      </c>
      <c r="D66" s="13" t="inlineStr"/>
      <c r="E66" s="22" t="n">
        <v>0.9</v>
      </c>
      <c r="F66" s="13" t="inlineStr"/>
      <c r="G66" s="18" t="inlineStr">
        <is>
          <t>Lands you control have "{T}: Add one mana of any color." / {T}: Add one mana of any color.</t>
        </is>
      </c>
    </row>
    <row r="67">
      <c r="A67" s="13" t="inlineStr">
        <is>
          <t>Claim Jumper</t>
        </is>
      </c>
      <c r="B67" s="13" t="inlineStr">
        <is>
          <t>Creature — Rabbit Mercenary</t>
        </is>
      </c>
      <c r="C67" s="13" t="inlineStr">
        <is>
          <t>{2}{W}</t>
        </is>
      </c>
      <c r="D67" s="13" t="inlineStr">
        <is>
          <t>W</t>
        </is>
      </c>
      <c r="E67" s="22" t="n">
        <v>0.37</v>
      </c>
      <c r="F67" s="13" t="inlineStr"/>
      <c r="G67" s="18" t="inlineStr">
        <is>
          <t>Vigilance / When this creature enters, if an opponent controls more lands than you, you may search your library for a Plains card and put it onto the battlefield tapped. Then if an opponent controls more lands than you, repeat this process once. If you search your library this way, shuffle.</t>
        </is>
      </c>
    </row>
    <row r="68">
      <c r="A68" s="13" t="inlineStr">
        <is>
          <t>Clifftop Retreat</t>
        </is>
      </c>
      <c r="B68" s="13" t="inlineStr">
        <is>
          <t>Land</t>
        </is>
      </c>
      <c r="C68" s="13" t="inlineStr"/>
      <c r="D68" s="13" t="inlineStr">
        <is>
          <t>RW</t>
        </is>
      </c>
      <c r="E68" s="22" t="n">
        <v>0.33</v>
      </c>
      <c r="F68" s="13" t="inlineStr"/>
      <c r="G68" s="18" t="inlineStr">
        <is>
          <t>This land enters tapped unless you control a Mountain or a Plains. / {T}: Add {R} or {W}.</t>
        </is>
      </c>
    </row>
    <row r="69">
      <c r="A69" s="13" t="inlineStr">
        <is>
          <t>Cloud's Limit Break</t>
        </is>
      </c>
      <c r="B69" s="13" t="inlineStr">
        <is>
          <t>Instant</t>
        </is>
      </c>
      <c r="C69" s="13" t="inlineStr">
        <is>
          <t>{1}{W}</t>
        </is>
      </c>
      <c r="D69" s="13" t="inlineStr">
        <is>
          <t>W</t>
        </is>
      </c>
      <c r="E69" s="22" t="n">
        <v>0.28</v>
      </c>
      <c r="F69" s="13" t="inlineStr"/>
      <c r="G69" s="18" t="inlineStr">
        <is>
          <t>Tiered (Choose one additional cost.) / • Cross-Slash — {0} — Destroy target tapped creature. / • Blade Beam — {1} — Destroy any number of target tapped creatures with different controllers. / • Omnislash — {3}{W} — Destroy all tapped creatures.</t>
        </is>
      </c>
    </row>
    <row r="70">
      <c r="A70" s="13" t="inlineStr">
        <is>
          <t>Cloudblazer</t>
        </is>
      </c>
      <c r="B70" s="13" t="inlineStr">
        <is>
          <t>Creature — Human Scout</t>
        </is>
      </c>
      <c r="C70" s="13" t="inlineStr">
        <is>
          <t>{3}{W}{U}</t>
        </is>
      </c>
      <c r="D70" s="13" t="inlineStr">
        <is>
          <t>UW</t>
        </is>
      </c>
      <c r="E70" s="22" t="n">
        <v>0.11</v>
      </c>
      <c r="F70" s="13" t="inlineStr"/>
      <c r="G70" s="18" t="inlineStr">
        <is>
          <t>Flying / When this creature enters, you gain 2 life and draw two cards.</t>
        </is>
      </c>
    </row>
    <row r="71">
      <c r="A71" s="13" t="inlineStr">
        <is>
          <t>Cloudstone Curio</t>
        </is>
      </c>
      <c r="B71" s="13" t="inlineStr">
        <is>
          <t>Artifact</t>
        </is>
      </c>
      <c r="C71" s="13" t="inlineStr">
        <is>
          <t>{3}</t>
        </is>
      </c>
      <c r="D71" s="13" t="inlineStr"/>
      <c r="E71" s="22" t="n">
        <v>16.92</v>
      </c>
      <c r="F71" s="13" t="inlineStr"/>
      <c r="G71" s="18" t="inlineStr">
        <is>
          <t>Whenever a nonartifact permanent you control enters, you may return another permanent you control that shares a permanent type with it to its owner's hand.</t>
        </is>
      </c>
    </row>
    <row r="72">
      <c r="A72" s="13" t="inlineStr">
        <is>
          <t>Coldsteel Heart</t>
        </is>
      </c>
      <c r="B72" s="13" t="inlineStr">
        <is>
          <t>Snow Artifact</t>
        </is>
      </c>
      <c r="C72" s="13" t="inlineStr">
        <is>
          <t>{2}</t>
        </is>
      </c>
      <c r="D72" s="13" t="inlineStr"/>
      <c r="E72" s="22" t="n">
        <v>1.72</v>
      </c>
      <c r="F72" s="13" t="inlineStr"/>
      <c r="G72" s="18" t="inlineStr">
        <is>
          <t>This artifact enters tapped. / As this artifact enters, choose a color. / {T}: Add one mana of the chosen color.</t>
        </is>
      </c>
    </row>
    <row r="73">
      <c r="A73" s="13" t="inlineStr">
        <is>
          <t>Colfenor's Urn</t>
        </is>
      </c>
      <c r="B73" s="13" t="inlineStr">
        <is>
          <t>Artifact</t>
        </is>
      </c>
      <c r="C73" s="13" t="inlineStr">
        <is>
          <t>{3}</t>
        </is>
      </c>
      <c r="D73" s="13" t="inlineStr"/>
      <c r="E73" s="22" t="n">
        <v>0.29</v>
      </c>
      <c r="F73" s="13" t="inlineStr"/>
      <c r="G73" s="18" t="inlineStr">
        <is>
          <t>Whenever a creature with toughness 4 or greater is put into your graveyard from the battlefield, you may exile it. / At the beginning of the end step, if three or more cards have been exiled with this artifact, sacrifice it. If you do, return those cards to the battlefield under their owner's control.</t>
        </is>
      </c>
    </row>
    <row r="74">
      <c r="A74" s="13" t="inlineStr">
        <is>
          <t>Collective Resistance</t>
        </is>
      </c>
      <c r="B74" s="13" t="inlineStr">
        <is>
          <t>Instant</t>
        </is>
      </c>
      <c r="C74" s="13" t="inlineStr">
        <is>
          <t>{1}{G}</t>
        </is>
      </c>
      <c r="D74" s="13" t="inlineStr">
        <is>
          <t>G</t>
        </is>
      </c>
      <c r="E74" s="22" t="n">
        <v>2.04</v>
      </c>
      <c r="F74" s="13" t="inlineStr"/>
      <c r="G74" s="18" t="inlineStr">
        <is>
          <t>Escalate {G} (Pay this cost for each mode chosen beyond the first.) / Choose one or more — / • Destroy target artifact. / • Destroy target enchantment. / • Target creature gains hexproof and indestructible until end of turn.</t>
        </is>
      </c>
    </row>
    <row r="75">
      <c r="A75" s="13" t="inlineStr">
        <is>
          <t>Colossus of Akros</t>
        </is>
      </c>
      <c r="B75" s="13" t="inlineStr">
        <is>
          <t>Artifact Creature — Golem</t>
        </is>
      </c>
      <c r="C75" s="13" t="inlineStr">
        <is>
          <t>{8}</t>
        </is>
      </c>
      <c r="D75" s="13" t="inlineStr"/>
      <c r="E75" s="22" t="n">
        <v>1.78</v>
      </c>
      <c r="F75" s="13" t="inlineStr"/>
      <c r="G75" s="18" t="inlineStr">
        <is>
          <t>Defender, indestructible / {10}: Monstrosity 10. (If this creature isn't monstrous, put ten +1/+1 counters on it and it becomes monstrous.) / As long as this creature is monstrous, it has trample and can attack as though it didn't have defender.</t>
        </is>
      </c>
    </row>
    <row r="76">
      <c r="A76" s="13" t="inlineStr">
        <is>
          <t>Command Tower</t>
        </is>
      </c>
      <c r="B76" s="13" t="inlineStr">
        <is>
          <t>Land</t>
        </is>
      </c>
      <c r="C76" s="13" t="inlineStr"/>
      <c r="D76" s="13" t="inlineStr"/>
      <c r="E76" s="22" t="n">
        <v>0.39</v>
      </c>
      <c r="F76" s="13" t="inlineStr"/>
      <c r="G76" s="18" t="inlineStr">
        <is>
          <t>{T}: Add one mana of any color in your commander's color identity.</t>
        </is>
      </c>
    </row>
    <row r="77">
      <c r="A77" s="13" t="inlineStr">
        <is>
          <t>Conclave Mentor</t>
        </is>
      </c>
      <c r="B77" s="13" t="inlineStr">
        <is>
          <t>Creature — Centaur Cleric</t>
        </is>
      </c>
      <c r="C77" s="13" t="inlineStr">
        <is>
          <t>{G}{W}</t>
        </is>
      </c>
      <c r="D77" s="13" t="inlineStr">
        <is>
          <t>GW</t>
        </is>
      </c>
      <c r="E77" s="22" t="n">
        <v>0.72</v>
      </c>
      <c r="F77" s="13" t="inlineStr"/>
      <c r="G77" s="18" t="inlineStr">
        <is>
          <t>If one or more +1/+1 counters would be put on a creature you control, that many plus one +1/+1 counters are put on that creature instead. / When this creature dies, you gain life equal to its power.</t>
        </is>
      </c>
    </row>
    <row r="78">
      <c r="A78" s="13" t="inlineStr">
        <is>
          <t>Consecrated Sphinx</t>
        </is>
      </c>
      <c r="B78" s="13" t="inlineStr">
        <is>
          <t>Creature — Sphinx</t>
        </is>
      </c>
      <c r="C78" s="13" t="inlineStr">
        <is>
          <t>{4}{U}{U}</t>
        </is>
      </c>
      <c r="D78" s="13" t="inlineStr">
        <is>
          <t>U</t>
        </is>
      </c>
      <c r="E78" s="22" t="n">
        <v>30.55</v>
      </c>
      <c r="F78" s="13" t="inlineStr"/>
      <c r="G78" s="18" t="inlineStr">
        <is>
          <t>Flying / Whenever an opponent draws a card, you may draw two cards.</t>
        </is>
      </c>
    </row>
    <row r="79">
      <c r="A79" s="13" t="inlineStr">
        <is>
          <t>Conspiracy Theorist</t>
        </is>
      </c>
      <c r="B79" s="13" t="inlineStr">
        <is>
          <t>Creature — Human Shaman</t>
        </is>
      </c>
      <c r="C79" s="13" t="inlineStr">
        <is>
          <t>{1}{R}</t>
        </is>
      </c>
      <c r="D79" s="13" t="inlineStr">
        <is>
          <t>R</t>
        </is>
      </c>
      <c r="E79" s="22" t="n">
        <v>0.32</v>
      </c>
      <c r="F79" s="13" t="inlineStr"/>
      <c r="G79" s="18" t="inlineStr">
        <is>
          <t>Whenever this creature attacks, you may pay {1} and discard a card. If you do, draw a card. / Whenever you discard one or more nonland cards, you may exile one of them from your graveyard. If you do, you may cast it this turn.</t>
        </is>
      </c>
    </row>
    <row r="80">
      <c r="A80" s="13" t="inlineStr">
        <is>
          <t>Contagion Clasp</t>
        </is>
      </c>
      <c r="B80" s="13" t="inlineStr">
        <is>
          <t>Artifact</t>
        </is>
      </c>
      <c r="C80" s="13" t="inlineStr">
        <is>
          <t>{2}</t>
        </is>
      </c>
      <c r="D80" s="13" t="inlineStr"/>
      <c r="E80" s="22" t="n">
        <v>0.37</v>
      </c>
      <c r="F80" s="13" t="inlineStr"/>
      <c r="G80" s="18" t="inlineStr">
        <is>
          <t>When this artifact enters, put a -1/-1 counter on target creature. / {4}, {T}: Proliferate. (Choose any number of permanents and/or players, then give each another counter of each kind already there.)</t>
        </is>
      </c>
    </row>
    <row r="81">
      <c r="A81" s="13" t="inlineStr">
        <is>
          <t>Containment Construct</t>
        </is>
      </c>
      <c r="B81" s="13" t="inlineStr">
        <is>
          <t>Artifact Creature — Construct</t>
        </is>
      </c>
      <c r="C81" s="13" t="inlineStr">
        <is>
          <t>{2}</t>
        </is>
      </c>
      <c r="D81" s="13" t="inlineStr"/>
      <c r="E81" s="22" t="n">
        <v>0.26</v>
      </c>
      <c r="F81" s="13" t="inlineStr"/>
      <c r="G81" s="18" t="inlineStr">
        <is>
          <t>Whenever you discard a card, you may exile that card from your graveyard. If you do, you may play that card this turn.</t>
        </is>
      </c>
    </row>
    <row r="82">
      <c r="A82" s="13" t="inlineStr">
        <is>
          <t>Contentious Plan</t>
        </is>
      </c>
      <c r="B82" s="13" t="inlineStr">
        <is>
          <t>Sorcery</t>
        </is>
      </c>
      <c r="C82" s="13" t="inlineStr">
        <is>
          <t>{1}{U}</t>
        </is>
      </c>
      <c r="D82" s="13" t="inlineStr">
        <is>
          <t>U</t>
        </is>
      </c>
      <c r="E82" s="22" t="n">
        <v>0.34</v>
      </c>
      <c r="F82" s="13" t="inlineStr"/>
      <c r="G82" s="18" t="inlineStr">
        <is>
          <t>Proliferate. (Choose any number of permanents and/or players, then give each another counter of each kind already there.) / Draw a card.</t>
        </is>
      </c>
    </row>
    <row r="83">
      <c r="A83" s="13" t="inlineStr">
        <is>
          <t>Corpsejack Menace</t>
        </is>
      </c>
      <c r="B83" s="13" t="inlineStr">
        <is>
          <t>Creature — Fungus</t>
        </is>
      </c>
      <c r="C83" s="13" t="inlineStr">
        <is>
          <t>{2}{B}{G}</t>
        </is>
      </c>
      <c r="D83" s="13" t="inlineStr">
        <is>
          <t>BG</t>
        </is>
      </c>
      <c r="E83" s="22" t="n">
        <v>0.91</v>
      </c>
      <c r="F83" s="13" t="inlineStr"/>
      <c r="G83" s="18" t="inlineStr">
        <is>
          <t>If one or more +1/+1 counters would be put on a creature you control, twice that many +1/+1 counters are put on it instead.</t>
        </is>
      </c>
    </row>
    <row r="84">
      <c r="A84" s="13" t="inlineStr">
        <is>
          <t>Crashing Drawbridge</t>
        </is>
      </c>
      <c r="B84" s="13" t="inlineStr">
        <is>
          <t>Artifact Creature — Wall</t>
        </is>
      </c>
      <c r="C84" s="13" t="inlineStr">
        <is>
          <t>{2}</t>
        </is>
      </c>
      <c r="D84" s="13" t="inlineStr"/>
      <c r="E84" s="22" t="n">
        <v>0.77</v>
      </c>
      <c r="F84" s="13" t="inlineStr"/>
      <c r="G84" s="18" t="inlineStr">
        <is>
          <t>Defender / {T}: Creatures you control gain haste until end of turn.</t>
        </is>
      </c>
    </row>
    <row r="85">
      <c r="A85" s="13" t="inlineStr">
        <is>
          <t>Craterhoof Behemoth</t>
        </is>
      </c>
      <c r="B85" s="13" t="inlineStr">
        <is>
          <t>Creature — Beast</t>
        </is>
      </c>
      <c r="C85" s="13" t="inlineStr">
        <is>
          <t>{5}{G}{G}{G}</t>
        </is>
      </c>
      <c r="D85" s="13" t="inlineStr">
        <is>
          <t>G</t>
        </is>
      </c>
      <c r="E85" s="22" t="n">
        <v>23.51</v>
      </c>
      <c r="F85" s="13" t="inlineStr"/>
      <c r="G85" s="18" t="inlineStr">
        <is>
          <t>Haste / When this creature enters, creatures you control gain trample and get +X/+X until end of turn, where X is the number of creatures you control.</t>
        </is>
      </c>
    </row>
    <row r="86">
      <c r="A86" s="13" t="inlineStr">
        <is>
          <t>Crop Rotation</t>
        </is>
      </c>
      <c r="B86" s="13" t="inlineStr">
        <is>
          <t>Instant</t>
        </is>
      </c>
      <c r="C86" s="13" t="inlineStr">
        <is>
          <t>{G}</t>
        </is>
      </c>
      <c r="D86" s="13" t="inlineStr">
        <is>
          <t>G</t>
        </is>
      </c>
      <c r="E86" s="22" t="n">
        <v>3.46</v>
      </c>
      <c r="F86" s="13" t="inlineStr"/>
      <c r="G86" s="18" t="inlineStr">
        <is>
          <t>As an additional cost to cast this spell, sacrifice a land. / Search your library for a land card, put that card onto the battlefield, then shuffle.</t>
        </is>
      </c>
    </row>
    <row r="87">
      <c r="A87" s="13" t="inlineStr">
        <is>
          <t>Crucible of Worlds</t>
        </is>
      </c>
      <c r="B87" s="13" t="inlineStr">
        <is>
          <t>Artifact</t>
        </is>
      </c>
      <c r="C87" s="13" t="inlineStr">
        <is>
          <t>{3}</t>
        </is>
      </c>
      <c r="D87" s="13" t="inlineStr"/>
      <c r="E87" s="22" t="n">
        <v>34.97</v>
      </c>
      <c r="F87" s="13" t="inlineStr"/>
      <c r="G87" s="18" t="inlineStr">
        <is>
          <t>You may play lands from your graveyard.</t>
        </is>
      </c>
    </row>
    <row r="88">
      <c r="A88" s="13" t="inlineStr">
        <is>
          <t>Cryptic Command</t>
        </is>
      </c>
      <c r="B88" s="13" t="inlineStr">
        <is>
          <t>Instant</t>
        </is>
      </c>
      <c r="C88" s="13" t="inlineStr"/>
      <c r="D88" s="13" t="inlineStr"/>
      <c r="E88" s="22" t="n">
        <v>7.44</v>
      </c>
      <c r="F88" s="13" t="inlineStr"/>
      <c r="G88" s="18" t="inlineStr"/>
    </row>
    <row r="89">
      <c r="A89" s="13" t="inlineStr">
        <is>
          <t>Cultivate</t>
        </is>
      </c>
      <c r="B89" s="13" t="inlineStr">
        <is>
          <t>Sorcery</t>
        </is>
      </c>
      <c r="C89" s="13" t="inlineStr">
        <is>
          <t>{2}{G}</t>
        </is>
      </c>
      <c r="D89" s="13" t="inlineStr">
        <is>
          <t>G</t>
        </is>
      </c>
      <c r="E89" s="22" t="n">
        <v>0.42</v>
      </c>
      <c r="F89" s="13" t="inlineStr"/>
      <c r="G89" s="18" t="inlineStr">
        <is>
          <t>Search your library for up to two basic land cards, reveal those cards, put one onto the battlefield tapped and the other into your hand, then shuffle.</t>
        </is>
      </c>
    </row>
    <row r="90">
      <c r="A90" s="13" t="inlineStr">
        <is>
          <t>Currency Converter</t>
        </is>
      </c>
      <c r="B90" s="13" t="inlineStr">
        <is>
          <t>Artifact</t>
        </is>
      </c>
      <c r="C90" s="13" t="inlineStr">
        <is>
          <t>{1}</t>
        </is>
      </c>
      <c r="D90" s="13" t="inlineStr"/>
      <c r="E90" s="22" t="n">
        <v>0.51</v>
      </c>
      <c r="F90" s="13" t="inlineStr"/>
      <c r="G90" s="18" t="inlineStr">
        <is>
          <t>Whenever you discard a card, you may exile that card from your graveyard. / {2}, {T}: Draw a card, then discard a card. / {T}: Put a card exiled with this artifact into its owner's graveyard. If it's a land card, create a Treasure token. If it's a nonland card, create a 2/2 black Rogue creature token.</t>
        </is>
      </c>
    </row>
    <row r="91">
      <c r="A91" s="13" t="inlineStr">
        <is>
          <t>Dakmor Salvage</t>
        </is>
      </c>
      <c r="B91" s="13" t="inlineStr">
        <is>
          <t>Land</t>
        </is>
      </c>
      <c r="C91" s="13" t="inlineStr"/>
      <c r="D91" s="13" t="inlineStr">
        <is>
          <t>B</t>
        </is>
      </c>
      <c r="E91" s="22" t="n">
        <v>0.35</v>
      </c>
      <c r="F91" s="13" t="inlineStr"/>
      <c r="G91" s="18" t="inlineStr">
        <is>
          <t>This land enters tapped. / {T}: Add {B}. / Dredge 2 (If you would draw a card, you may mill two cards instead. If you do, return this card from your graveyard to your hand.)</t>
        </is>
      </c>
    </row>
    <row r="92">
      <c r="A92" s="13" t="inlineStr">
        <is>
          <t>Damn</t>
        </is>
      </c>
      <c r="B92" s="13" t="inlineStr">
        <is>
          <t>Sorcery</t>
        </is>
      </c>
      <c r="C92" s="13" t="inlineStr">
        <is>
          <t>{B}{B}</t>
        </is>
      </c>
      <c r="D92" s="13" t="inlineStr">
        <is>
          <t>BW</t>
        </is>
      </c>
      <c r="E92" s="22" t="n">
        <v>1.96</v>
      </c>
      <c r="F92" s="13" t="inlineStr"/>
      <c r="G92" s="18" t="inlineStr">
        <is>
          <t>Destroy target creature. A creature destroyed this way can't be regenerated. / Overload {2}{W}{W} (You may cast this spell for its overload cost. If you do, change "target" in its text to "each.")</t>
        </is>
      </c>
    </row>
    <row r="93">
      <c r="A93" s="13" t="inlineStr">
        <is>
          <t>Darksteel Plate</t>
        </is>
      </c>
      <c r="B93" s="13" t="inlineStr">
        <is>
          <t>Artifact — Equipment</t>
        </is>
      </c>
      <c r="C93" s="13" t="inlineStr">
        <is>
          <t>{3}</t>
        </is>
      </c>
      <c r="D93" s="13" t="inlineStr"/>
      <c r="E93" s="22" t="n">
        <v>6.52</v>
      </c>
      <c r="F93" s="13" t="inlineStr"/>
      <c r="G93" s="18" t="inlineStr">
        <is>
          <t>Indestructible / Equipped creature has indestructible. / Equip {2}</t>
        </is>
      </c>
    </row>
    <row r="94">
      <c r="A94" s="13" t="inlineStr">
        <is>
          <t>Dawn of Hope</t>
        </is>
      </c>
      <c r="B94" s="13" t="inlineStr">
        <is>
          <t>Enchantment</t>
        </is>
      </c>
      <c r="C94" s="13" t="inlineStr">
        <is>
          <t>{1}{W}</t>
        </is>
      </c>
      <c r="D94" s="13" t="inlineStr">
        <is>
          <t>W</t>
        </is>
      </c>
      <c r="E94" s="22" t="n">
        <v>0.48</v>
      </c>
      <c r="F94" s="13" t="inlineStr"/>
      <c r="G94" s="18" t="inlineStr">
        <is>
          <t>Whenever you gain life, you may pay {2}. If you do, draw a card. / {3}{W}: Create a 1/1 white Soldier creature token with lifelink.</t>
        </is>
      </c>
    </row>
    <row r="95">
      <c r="A95" s="13" t="inlineStr">
        <is>
          <t>Deadeye Navigator</t>
        </is>
      </c>
      <c r="B95" s="13" t="inlineStr">
        <is>
          <t>Creature — Spirit</t>
        </is>
      </c>
      <c r="C95" s="13" t="inlineStr">
        <is>
          <t>{4}{U}{U}</t>
        </is>
      </c>
      <c r="D95" s="13" t="inlineStr">
        <is>
          <t>U</t>
        </is>
      </c>
      <c r="E95" s="22" t="n">
        <v>3.02</v>
      </c>
      <c r="F95" s="13" t="inlineStr"/>
      <c r="G95" s="18" t="inlineStr">
        <is>
          <t>Soulbond (You may pair this creature with another unpaired creature when either enters. They remain paired for as long as you control both of them.) / As long as Deadeye Navigator is paired with another creature, each of those creatures has "{1}{U}: Exile this creature, then return it to the battlefield under your control."</t>
        </is>
      </c>
    </row>
    <row r="96">
      <c r="A96" s="13" t="inlineStr">
        <is>
          <t>Deadly Dispute</t>
        </is>
      </c>
      <c r="B96" s="13" t="inlineStr">
        <is>
          <t>Instant</t>
        </is>
      </c>
      <c r="C96" s="13" t="inlineStr">
        <is>
          <t>{1}{B}</t>
        </is>
      </c>
      <c r="D96" s="13" t="inlineStr">
        <is>
          <t>B</t>
        </is>
      </c>
      <c r="E96" s="22" t="n">
        <v>0.32</v>
      </c>
      <c r="F96" s="13" t="inlineStr"/>
      <c r="G96" s="18" t="inlineStr">
        <is>
          <t>As an additional cost to cast this spell, sacrifice an artifact or creature. / Draw two cards and create a Treasure token. (It's an artifact with "{T}, Sacrifice this token: Add one mana of any color.")</t>
        </is>
      </c>
    </row>
    <row r="97">
      <c r="A97" s="13" t="inlineStr">
        <is>
          <t>Deathrite Shaman</t>
        </is>
      </c>
      <c r="B97" s="13" t="inlineStr">
        <is>
          <t>Creature — Elf Shaman</t>
        </is>
      </c>
      <c r="C97" s="13" t="inlineStr">
        <is>
          <t>{B/G}</t>
        </is>
      </c>
      <c r="D97" s="13" t="inlineStr">
        <is>
          <t>BG</t>
        </is>
      </c>
      <c r="E97" s="22" t="n">
        <v>8.33</v>
      </c>
      <c r="F97" s="13" t="inlineStr"/>
      <c r="G97" s="18" t="inlineStr">
        <is>
          <t>{T}: Exile target land card from a graveyard. Add one mana of any color. (Activate only as an instant.) / {B}, {T}: Exile target instant or sorcery card from a graveyard. Each opponent loses 2 life. / {G}, {T}: Exile target creature card from a graveyard. You gain 2 life.</t>
        </is>
      </c>
    </row>
    <row r="98">
      <c r="A98" s="13" t="inlineStr">
        <is>
          <t>Deceptive Landscape</t>
        </is>
      </c>
      <c r="B98" s="13" t="inlineStr">
        <is>
          <t>Land</t>
        </is>
      </c>
      <c r="C98" s="13" t="inlineStr"/>
      <c r="D98" s="13" t="inlineStr">
        <is>
          <t>BGW</t>
        </is>
      </c>
      <c r="E98" s="22" t="n">
        <v>0.2</v>
      </c>
      <c r="F98" s="13" t="inlineStr"/>
      <c r="G98" s="18" t="inlineStr">
        <is>
          <t>{T}: Add {C}. / {T}, Sacrifice this land: Search your library for a basic Plains, Swamp, or Forest card, put it onto the battlefield tapped, then shuffle. / Cycling {W}{B}{G} ({W}{B}{G}, Discard this card: Draw a card.)</t>
        </is>
      </c>
    </row>
    <row r="99">
      <c r="A99" s="13" t="inlineStr">
        <is>
          <t>Deepglow Skate</t>
        </is>
      </c>
      <c r="B99" s="13" t="inlineStr">
        <is>
          <t>Creature — Fish</t>
        </is>
      </c>
      <c r="C99" s="13" t="inlineStr">
        <is>
          <t>{4}{U}</t>
        </is>
      </c>
      <c r="D99" s="13" t="inlineStr">
        <is>
          <t>U</t>
        </is>
      </c>
      <c r="E99" s="22" t="n">
        <v>0.29</v>
      </c>
      <c r="F99" s="13" t="inlineStr"/>
      <c r="G99" s="18" t="inlineStr">
        <is>
          <t>When this creature enters, double the number of each kind of counter on any number of target permanents.</t>
        </is>
      </c>
    </row>
    <row r="100">
      <c r="A100" s="13" t="inlineStr">
        <is>
          <t>Despark</t>
        </is>
      </c>
      <c r="B100" s="13" t="inlineStr">
        <is>
          <t>Instant</t>
        </is>
      </c>
      <c r="C100" s="13" t="inlineStr">
        <is>
          <t>{W}{B}</t>
        </is>
      </c>
      <c r="D100" s="13" t="inlineStr">
        <is>
          <t>BW</t>
        </is>
      </c>
      <c r="E100" s="22" t="n">
        <v>0.4</v>
      </c>
      <c r="F100" s="13" t="inlineStr"/>
      <c r="G100" s="18" t="inlineStr">
        <is>
          <t>Exile target permanent with mana value 4 or greater.</t>
        </is>
      </c>
    </row>
    <row r="101">
      <c r="A101" s="13" t="inlineStr">
        <is>
          <t>Disenchant</t>
        </is>
      </c>
      <c r="B101" s="13" t="inlineStr">
        <is>
          <t>Instant</t>
        </is>
      </c>
      <c r="C101" s="13" t="inlineStr">
        <is>
          <t>{1}{W}</t>
        </is>
      </c>
      <c r="D101" s="13" t="inlineStr">
        <is>
          <t>W</t>
        </is>
      </c>
      <c r="E101" s="22" t="n">
        <v>0.1</v>
      </c>
      <c r="F101" s="13" t="inlineStr"/>
      <c r="G101" s="18" t="inlineStr">
        <is>
          <t>Destroy target artifact or enchantment.</t>
        </is>
      </c>
    </row>
    <row r="102">
      <c r="A102" s="13" t="inlineStr">
        <is>
          <t>Dismal Backwater</t>
        </is>
      </c>
      <c r="B102" s="13" t="inlineStr">
        <is>
          <t>Land</t>
        </is>
      </c>
      <c r="C102" s="13" t="inlineStr"/>
      <c r="D102" s="13" t="inlineStr">
        <is>
          <t>BU</t>
        </is>
      </c>
      <c r="E102" s="22" t="n">
        <v>0.21</v>
      </c>
      <c r="F102" s="13" t="inlineStr"/>
      <c r="G102" s="18" t="inlineStr">
        <is>
          <t>This land enters tapped. / When this land enters, you gain 1 life. / {T}: Add {U} or {B}.</t>
        </is>
      </c>
    </row>
    <row r="103">
      <c r="A103" s="13" t="inlineStr">
        <is>
          <t>Dispel</t>
        </is>
      </c>
      <c r="B103" s="13" t="inlineStr">
        <is>
          <t>Instant</t>
        </is>
      </c>
      <c r="C103" s="13" t="inlineStr">
        <is>
          <t>{U}</t>
        </is>
      </c>
      <c r="D103" s="13" t="inlineStr">
        <is>
          <t>U</t>
        </is>
      </c>
      <c r="E103" s="22" t="n">
        <v>0.36</v>
      </c>
      <c r="F103" s="13" t="inlineStr"/>
      <c r="G103" s="18" t="inlineStr">
        <is>
          <t>Counter target instant spell.</t>
        </is>
      </c>
    </row>
    <row r="104">
      <c r="A104" s="13" t="inlineStr">
        <is>
          <t>Doubling Season</t>
        </is>
      </c>
      <c r="B104" s="13" t="inlineStr">
        <is>
          <t>Enchantment</t>
        </is>
      </c>
      <c r="C104" s="13" t="inlineStr">
        <is>
          <t>{4}{G}</t>
        </is>
      </c>
      <c r="D104" s="13" t="inlineStr">
        <is>
          <t>G</t>
        </is>
      </c>
      <c r="E104" s="22" t="n">
        <v>35.01</v>
      </c>
      <c r="F104" s="13" t="inlineStr"/>
      <c r="G104" s="18" t="inlineStr">
        <is>
          <t>If an effect would create one or more tokens under your control, it creates twice that many of those tokens instead. / If an effect would put one or more counters on a permanent you control, it puts twice that many of those counters on that permanent instead.</t>
        </is>
      </c>
    </row>
    <row r="105">
      <c r="A105" s="13" t="inlineStr">
        <is>
          <t>Dovin's Veto</t>
        </is>
      </c>
      <c r="B105" s="13" t="inlineStr">
        <is>
          <t>Instant</t>
        </is>
      </c>
      <c r="C105" s="13" t="inlineStr">
        <is>
          <t>{W}{U}</t>
        </is>
      </c>
      <c r="D105" s="13" t="inlineStr">
        <is>
          <t>UW</t>
        </is>
      </c>
      <c r="E105" s="22" t="n">
        <v>4.23</v>
      </c>
      <c r="F105" s="13" t="inlineStr"/>
      <c r="G105" s="18" t="inlineStr">
        <is>
          <t>This spell can't be countered. / Counter target noncreature spell.</t>
        </is>
      </c>
    </row>
    <row r="106">
      <c r="A106" s="13" t="inlineStr">
        <is>
          <t>Dragon's Eye Sentry</t>
        </is>
      </c>
      <c r="B106" s="13" t="inlineStr">
        <is>
          <t>Creature — Human Monk</t>
        </is>
      </c>
      <c r="C106" s="13" t="inlineStr">
        <is>
          <t>{W}</t>
        </is>
      </c>
      <c r="D106" s="13" t="inlineStr">
        <is>
          <t>W</t>
        </is>
      </c>
      <c r="E106" s="22" t="n">
        <v>0.05</v>
      </c>
      <c r="F106" s="13" t="inlineStr"/>
      <c r="G106" s="18" t="inlineStr">
        <is>
          <t>Defender, first strike</t>
        </is>
      </c>
    </row>
    <row r="107">
      <c r="A107" s="13" t="inlineStr">
        <is>
          <t>Dragonlord Dromoka</t>
        </is>
      </c>
      <c r="B107" s="13" t="inlineStr">
        <is>
          <t>Legendary Creature — Elder Dragon</t>
        </is>
      </c>
      <c r="C107" s="13" t="inlineStr">
        <is>
          <t>{4}{G}{W}</t>
        </is>
      </c>
      <c r="D107" s="13" t="inlineStr">
        <is>
          <t>GW</t>
        </is>
      </c>
      <c r="E107" s="22" t="n">
        <v>1.91</v>
      </c>
      <c r="F107" s="13" t="inlineStr"/>
      <c r="G107" s="18" t="inlineStr">
        <is>
          <t>This spell can't be countered. / Flying, lifelink / Your opponents can't cast spells during your turn.</t>
        </is>
      </c>
    </row>
    <row r="108">
      <c r="A108" s="13" t="inlineStr">
        <is>
          <t>Dragonlord Ojutai</t>
        </is>
      </c>
      <c r="B108" s="13" t="inlineStr">
        <is>
          <t>Legendary Creature — Elder Dragon</t>
        </is>
      </c>
      <c r="C108" s="13" t="inlineStr">
        <is>
          <t>{3}{W}{U}</t>
        </is>
      </c>
      <c r="D108" s="13" t="inlineStr">
        <is>
          <t>UW</t>
        </is>
      </c>
      <c r="E108" s="22" t="n">
        <v>0.91</v>
      </c>
      <c r="F108" s="13" t="inlineStr"/>
      <c r="G108" s="18" t="inlineStr">
        <is>
          <t>Flying / Dragonlord Ojutai has hexproof as long as it's untapped. / Whenever Dragonlord Ojutai deals combat damage to a player, look at the top three cards of your library. Put one of them into your hand and the rest on the bottom of your library in any order.</t>
        </is>
      </c>
    </row>
    <row r="109">
      <c r="A109" s="13" t="inlineStr">
        <is>
          <t>Dredge the Mire</t>
        </is>
      </c>
      <c r="B109" s="13" t="inlineStr">
        <is>
          <t>Sorcery</t>
        </is>
      </c>
      <c r="C109" s="13" t="inlineStr">
        <is>
          <t>{3}{B}</t>
        </is>
      </c>
      <c r="D109" s="13" t="inlineStr">
        <is>
          <t>B</t>
        </is>
      </c>
      <c r="E109" s="22" t="n">
        <v>0.37</v>
      </c>
      <c r="F109" s="13" t="inlineStr"/>
      <c r="G109" s="18" t="inlineStr">
        <is>
          <t>Each opponent chooses a creature card in their graveyard. Put those cards onto the battlefield under your control.</t>
        </is>
      </c>
    </row>
    <row r="110">
      <c r="A110" s="13" t="inlineStr">
        <is>
          <t>Drowned Catacomb</t>
        </is>
      </c>
      <c r="B110" s="13" t="inlineStr">
        <is>
          <t>Land</t>
        </is>
      </c>
      <c r="C110" s="13" t="inlineStr"/>
      <c r="D110" s="13" t="inlineStr">
        <is>
          <t>BU</t>
        </is>
      </c>
      <c r="E110" s="22" t="n">
        <v>1.02</v>
      </c>
      <c r="F110" s="13" t="inlineStr"/>
      <c r="G110" s="18" t="inlineStr">
        <is>
          <t>This land enters tapped unless you control an Island or a Swamp. / {T}: Add {U} or {B}.</t>
        </is>
      </c>
    </row>
    <row r="111">
      <c r="A111" s="13" t="inlineStr">
        <is>
          <t>Drumbellower</t>
        </is>
      </c>
      <c r="B111" s="13" t="inlineStr">
        <is>
          <t>Creature — Spirit</t>
        </is>
      </c>
      <c r="C111" s="13" t="inlineStr">
        <is>
          <t>{2}{W}</t>
        </is>
      </c>
      <c r="D111" s="13" t="inlineStr">
        <is>
          <t>W</t>
        </is>
      </c>
      <c r="E111" s="22" t="n">
        <v>2.78</v>
      </c>
      <c r="F111" s="13" t="inlineStr"/>
      <c r="G111" s="18" t="inlineStr">
        <is>
          <t>Flying / Untap all creatures you control during each other player's untap step.</t>
        </is>
      </c>
    </row>
    <row r="112">
      <c r="A112" s="13" t="inlineStr">
        <is>
          <t>Elspeth, Sun's Champion</t>
        </is>
      </c>
      <c r="B112" s="13" t="inlineStr">
        <is>
          <t>Legendary Planeswalker — Elspeth</t>
        </is>
      </c>
      <c r="C112" s="13" t="inlineStr">
        <is>
          <t>{4}{W}{W}</t>
        </is>
      </c>
      <c r="D112" s="13" t="inlineStr">
        <is>
          <t>W</t>
        </is>
      </c>
      <c r="E112" s="22" t="n">
        <v>2.17</v>
      </c>
      <c r="F112" s="13" t="inlineStr"/>
      <c r="G112" s="18" t="inlineStr">
        <is>
          <t>+1: Create three 1/1 white Soldier creature tokens. / −3: Destroy all creatures with power 4 or greater. / −7: You get an emblem with "Creatures you control get +2/+2 and have flying."</t>
        </is>
      </c>
    </row>
    <row r="113">
      <c r="A113" s="13" t="inlineStr">
        <is>
          <t>Emeria, the Sky Ruin</t>
        </is>
      </c>
      <c r="B113" s="13" t="inlineStr">
        <is>
          <t>Land</t>
        </is>
      </c>
      <c r="C113" s="13" t="inlineStr"/>
      <c r="D113" s="13" t="inlineStr">
        <is>
          <t>W</t>
        </is>
      </c>
      <c r="E113" s="22" t="n">
        <v>5.87</v>
      </c>
      <c r="F113" s="13" t="inlineStr"/>
      <c r="G113" s="18" t="inlineStr">
        <is>
          <t>This land enters tapped. / At the beginning of your upkeep, if you control seven or more Plains, you may return target creature card from your graveyard to the battlefield. / {T}: Add {W}.</t>
        </is>
      </c>
    </row>
    <row r="114">
      <c r="A114" s="13" t="inlineStr">
        <is>
          <t>Esper Panorama</t>
        </is>
      </c>
      <c r="B114" s="13" t="inlineStr">
        <is>
          <t>Land</t>
        </is>
      </c>
      <c r="C114" s="13" t="inlineStr"/>
      <c r="D114" s="13" t="inlineStr"/>
      <c r="E114" s="22" t="n">
        <v>0.38</v>
      </c>
      <c r="F114" s="13" t="inlineStr"/>
      <c r="G114" s="18" t="inlineStr">
        <is>
          <t>{T}: Add {C}. / {1}, {T}, Sacrifice this land: Search your library for a basic Plains, Island, or Swamp card, put it onto the battlefield tapped, then shuffle.</t>
        </is>
      </c>
    </row>
    <row r="115">
      <c r="A115" s="13" t="inlineStr">
        <is>
          <t>Eternal Witness</t>
        </is>
      </c>
      <c r="B115" s="13" t="inlineStr">
        <is>
          <t>Creature — Human Shaman</t>
        </is>
      </c>
      <c r="C115" s="13" t="inlineStr">
        <is>
          <t>{1}{G}{G}</t>
        </is>
      </c>
      <c r="D115" s="13" t="inlineStr">
        <is>
          <t>G</t>
        </is>
      </c>
      <c r="E115" s="22" t="n">
        <v>1.8</v>
      </c>
      <c r="F115" s="13" t="inlineStr"/>
      <c r="G115" s="18" t="inlineStr">
        <is>
          <t>When this creature enters, you may return target card from your graveyard to your hand.</t>
        </is>
      </c>
    </row>
    <row r="116">
      <c r="A116" s="13" t="inlineStr">
        <is>
          <t>Everflowing Chalice</t>
        </is>
      </c>
      <c r="B116" s="13" t="inlineStr">
        <is>
          <t>Artifact</t>
        </is>
      </c>
      <c r="C116" s="13" t="inlineStr">
        <is>
          <t>{0}</t>
        </is>
      </c>
      <c r="D116" s="13" t="inlineStr"/>
      <c r="E116" s="22" t="n">
        <v>0.32</v>
      </c>
      <c r="F116" s="13" t="inlineStr"/>
      <c r="G116" s="18" t="inlineStr">
        <is>
          <t>Multikicker {2} (You may pay an additional {2} any number of times as you cast this spell.) / This artifact enters with a charge counter on it for each time it was kicked. / {T}: Add {C} for each charge counter on this artifact.</t>
        </is>
      </c>
    </row>
    <row r="117">
      <c r="A117" s="13" t="inlineStr">
        <is>
          <t>Evolution Sage</t>
        </is>
      </c>
      <c r="B117" s="13" t="inlineStr">
        <is>
          <t>Creature — Elf Druid</t>
        </is>
      </c>
      <c r="C117" s="13" t="inlineStr">
        <is>
          <t>{2}{G}</t>
        </is>
      </c>
      <c r="D117" s="13" t="inlineStr">
        <is>
          <t>G</t>
        </is>
      </c>
      <c r="E117" s="22" t="n">
        <v>2.28</v>
      </c>
      <c r="F117" s="13" t="inlineStr"/>
      <c r="G117" s="18" t="inlineStr">
        <is>
          <t>Landfall — Whenever a land you control enters, proliferate. (Choose any number of permanents and/or players, then give each another counter of each kind already there.)</t>
        </is>
      </c>
    </row>
    <row r="118">
      <c r="A118" s="13" t="inlineStr">
        <is>
          <t>Evolving Wilds</t>
        </is>
      </c>
      <c r="B118" s="13" t="inlineStr">
        <is>
          <t>Land</t>
        </is>
      </c>
      <c r="C118" s="13" t="inlineStr"/>
      <c r="D118" s="13" t="inlineStr"/>
      <c r="E118" s="22" t="n">
        <v>0.26</v>
      </c>
      <c r="F118" s="13" t="inlineStr"/>
      <c r="G118" s="18" t="inlineStr">
        <is>
          <t>{T}, Sacrifice this land: Search your library for a basic land card, put it onto the battlefield tapped, then shuffle.</t>
        </is>
      </c>
    </row>
    <row r="119">
      <c r="A119" s="13" t="inlineStr">
        <is>
          <t>Excava, the Risen Past</t>
        </is>
      </c>
      <c r="B119" s="13" t="inlineStr">
        <is>
          <t>Legendary Creature — Spirit Horse</t>
        </is>
      </c>
      <c r="C119" s="13" t="inlineStr">
        <is>
          <t>{2}{R}{W}</t>
        </is>
      </c>
      <c r="D119" s="13" t="inlineStr">
        <is>
          <t>RW</t>
        </is>
      </c>
      <c r="E119" s="22" t="n">
        <v>0.77</v>
      </c>
      <c r="F119" s="13" t="inlineStr"/>
      <c r="G119" s="18" t="inlineStr">
        <is>
          <t>Flying, haste /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t>
        </is>
      </c>
    </row>
    <row r="120">
      <c r="A120" s="13" t="inlineStr">
        <is>
          <t>Exotic Orchard</t>
        </is>
      </c>
      <c r="B120" s="13" t="inlineStr">
        <is>
          <t>Land</t>
        </is>
      </c>
      <c r="C120" s="13" t="inlineStr"/>
      <c r="D120" s="13" t="inlineStr"/>
      <c r="E120" s="22" t="n">
        <v>0.23</v>
      </c>
      <c r="F120" s="13" t="inlineStr"/>
      <c r="G120" s="18" t="inlineStr">
        <is>
          <t>{T}: Add one mana of any color that a land an opponent controls could produce.</t>
        </is>
      </c>
    </row>
    <row r="121">
      <c r="A121" s="13" t="inlineStr">
        <is>
          <t>Expel the Interlopers</t>
        </is>
      </c>
      <c r="B121" s="13" t="inlineStr">
        <is>
          <t>Sorcery</t>
        </is>
      </c>
      <c r="C121" s="13" t="inlineStr">
        <is>
          <t>{3}{W}{W}</t>
        </is>
      </c>
      <c r="D121" s="13" t="inlineStr">
        <is>
          <t>W</t>
        </is>
      </c>
      <c r="E121" s="22" t="n">
        <v>0.26</v>
      </c>
      <c r="F121" s="13" t="inlineStr"/>
      <c r="G121" s="18" t="inlineStr">
        <is>
          <t>Choose a number between 0 and 10. Destroy all creatures with power greater than or equal to the chosen number.</t>
        </is>
      </c>
    </row>
    <row r="122">
      <c r="A122" s="13" t="inlineStr">
        <is>
          <t>Fabled Passage</t>
        </is>
      </c>
      <c r="B122" s="13" t="inlineStr">
        <is>
          <t>Land</t>
        </is>
      </c>
      <c r="C122" s="13" t="inlineStr"/>
      <c r="D122" s="13" t="inlineStr"/>
      <c r="E122" s="22" t="n">
        <v>1.08</v>
      </c>
      <c r="F122" s="13" t="inlineStr"/>
      <c r="G122" s="18" t="inlineStr">
        <is>
          <t>{T}, Sacrifice this land: Search your library for a basic land card, put it onto the battlefield tapped, then shuffle. Then if you control four or more lands, untap that land.</t>
        </is>
      </c>
    </row>
    <row r="123">
      <c r="A123" s="13" t="inlineStr">
        <is>
          <t>Fact or Fiction</t>
        </is>
      </c>
      <c r="B123" s="13" t="inlineStr">
        <is>
          <t>Instant</t>
        </is>
      </c>
      <c r="C123" s="13" t="inlineStr">
        <is>
          <t>{3}{U}</t>
        </is>
      </c>
      <c r="D123" s="13" t="inlineStr">
        <is>
          <t>U</t>
        </is>
      </c>
      <c r="E123" s="22" t="n">
        <v>0.24</v>
      </c>
      <c r="F123" s="13" t="inlineStr"/>
      <c r="G123" s="18" t="inlineStr">
        <is>
          <t>Reveal the top five cards of your library. An opponent separates those cards into two piles. Put one pile into your hand and the other into your graveyard.</t>
        </is>
      </c>
    </row>
    <row r="124">
      <c r="A124" s="13" t="inlineStr">
        <is>
          <t>Faeburrow Elder</t>
        </is>
      </c>
      <c r="B124" s="13" t="inlineStr">
        <is>
          <t>Creature — Treefolk Druid</t>
        </is>
      </c>
      <c r="C124" s="13" t="inlineStr">
        <is>
          <t>{1}{G}{W}</t>
        </is>
      </c>
      <c r="D124" s="13" t="inlineStr">
        <is>
          <t>GW</t>
        </is>
      </c>
      <c r="E124" s="22" t="n">
        <v>0.39</v>
      </c>
      <c r="F124" s="13" t="inlineStr"/>
      <c r="G124" s="18" t="inlineStr">
        <is>
          <t>Vigilance / This creature gets +1/+1 for each color among permanents you control. / {T}: For each color among permanents you control, add one mana of that color.</t>
        </is>
      </c>
    </row>
    <row r="125">
      <c r="A125" s="13" t="inlineStr">
        <is>
          <t>Faithless Looting</t>
        </is>
      </c>
      <c r="B125" s="13" t="inlineStr">
        <is>
          <t>Sorcery</t>
        </is>
      </c>
      <c r="C125" s="13" t="inlineStr">
        <is>
          <t>{R}</t>
        </is>
      </c>
      <c r="D125" s="13" t="inlineStr">
        <is>
          <t>R</t>
        </is>
      </c>
      <c r="E125" s="22" t="n">
        <v>0.51</v>
      </c>
      <c r="F125" s="13" t="inlineStr"/>
      <c r="G125" s="18" t="inlineStr">
        <is>
          <t>Draw two cards, then discard two cards. / Flashback {2}{R} (You may cast this card from your graveyard for its flashback cost. Then exile it.)</t>
        </is>
      </c>
    </row>
    <row r="126">
      <c r="A126" s="13" t="inlineStr">
        <is>
          <t>Fall of the First Civilization</t>
        </is>
      </c>
      <c r="B126" s="13" t="inlineStr">
        <is>
          <t>Enchantment — Saga</t>
        </is>
      </c>
      <c r="C126" s="13" t="inlineStr">
        <is>
          <t>{2}{W}</t>
        </is>
      </c>
      <c r="D126" s="13" t="inlineStr">
        <is>
          <t>W</t>
        </is>
      </c>
      <c r="E126" s="22" t="n">
        <v>0.28</v>
      </c>
      <c r="F126" s="13" t="inlineStr"/>
      <c r="G126" s="18" t="inlineStr">
        <is>
          <t>(As this Saga enters and after your draw step, add a lore counter. Sacrifice after III.) / I — You and target opponent each draw two cards. / II — Exile target artifact an opponent controls. / III — Each player chooses three nonland permanents they control. Destroy all other nonland permanents.</t>
        </is>
      </c>
    </row>
    <row r="127">
      <c r="A127" s="13" t="inlineStr">
        <is>
          <t>Farewell</t>
        </is>
      </c>
      <c r="B127" s="13" t="inlineStr">
        <is>
          <t>Sorcery</t>
        </is>
      </c>
      <c r="C127" s="13" t="inlineStr">
        <is>
          <t>{4}{W}{W}</t>
        </is>
      </c>
      <c r="D127" s="13" t="inlineStr">
        <is>
          <t>W</t>
        </is>
      </c>
      <c r="E127" s="22" t="n">
        <v>5.9</v>
      </c>
      <c r="F127" s="13" t="inlineStr"/>
      <c r="G127" s="18" t="inlineStr">
        <is>
          <t>Choose one or more — / • Exile all artifacts. / • Exile all creatures. / • Exile all enchantments. / • Exile all graveyards.</t>
        </is>
      </c>
    </row>
    <row r="128">
      <c r="A128" s="13" t="inlineStr">
        <is>
          <t>Farseek</t>
        </is>
      </c>
      <c r="B128" s="13" t="inlineStr">
        <is>
          <t>Sorcery</t>
        </is>
      </c>
      <c r="C128" s="13" t="inlineStr">
        <is>
          <t>{1}{G}</t>
        </is>
      </c>
      <c r="D128" s="13" t="inlineStr">
        <is>
          <t>G</t>
        </is>
      </c>
      <c r="E128" s="22" t="n">
        <v>0.42</v>
      </c>
      <c r="F128" s="13" t="inlineStr"/>
      <c r="G128" s="18" t="inlineStr">
        <is>
          <t>Search your library for a Plains, Island, Swamp, or Mountain card, put it onto the battlefield tapped, then shuffle.</t>
        </is>
      </c>
    </row>
    <row r="129">
      <c r="A129" s="13" t="inlineStr">
        <is>
          <t>Fateful Tempest</t>
        </is>
      </c>
      <c r="B129" s="13" t="inlineStr">
        <is>
          <t>Sorcery</t>
        </is>
      </c>
      <c r="C129" s="13" t="inlineStr">
        <is>
          <t>{2}{R}</t>
        </is>
      </c>
      <c r="D129" s="13" t="inlineStr">
        <is>
          <t>R</t>
        </is>
      </c>
      <c r="E129" s="22" t="n">
        <v>0.23</v>
      </c>
      <c r="F129" s="13" t="inlineStr"/>
      <c r="G129" s="18" t="inlineStr">
        <is>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is>
      </c>
    </row>
    <row r="130">
      <c r="A130" s="13" t="inlineStr">
        <is>
          <t>Feed the Swarm</t>
        </is>
      </c>
      <c r="B130" s="13" t="inlineStr">
        <is>
          <t>Sorcery</t>
        </is>
      </c>
      <c r="C130" s="13" t="inlineStr">
        <is>
          <t>{1}{B}</t>
        </is>
      </c>
      <c r="D130" s="13" t="inlineStr">
        <is>
          <t>B</t>
        </is>
      </c>
      <c r="E130" s="22" t="n">
        <v>0.16</v>
      </c>
      <c r="F130" s="13" t="inlineStr"/>
      <c r="G130" s="18" t="inlineStr">
        <is>
          <t>Destroy target creature or enchantment an opponent controls. You lose life equal to that permanent's mana value.</t>
        </is>
      </c>
    </row>
    <row r="131">
      <c r="A131" s="13" t="inlineStr">
        <is>
          <t>Felidar Retreat</t>
        </is>
      </c>
      <c r="B131" s="13" t="inlineStr">
        <is>
          <t>Enchantment</t>
        </is>
      </c>
      <c r="C131" s="13" t="inlineStr">
        <is>
          <t>{3}{W}</t>
        </is>
      </c>
      <c r="D131" s="13" t="inlineStr">
        <is>
          <t>W</t>
        </is>
      </c>
      <c r="E131" s="22" t="n">
        <v>1.17</v>
      </c>
      <c r="F131" s="13" t="inlineStr"/>
      <c r="G131" s="18" t="inlineStr">
        <is>
          <t>Landfall — Whenever a land you control enters, choose one — / • Create a 2/2 white Cat Beast creature token. / • Put a +1/+1 counter on each creature you control. Those creatures gain vigilance until end of turn.</t>
        </is>
      </c>
    </row>
    <row r="132">
      <c r="A132" s="13" t="inlineStr">
        <is>
          <t>Fellwar Stone</t>
        </is>
      </c>
      <c r="B132" s="13" t="inlineStr">
        <is>
          <t>Artifact</t>
        </is>
      </c>
      <c r="C132" s="13" t="inlineStr">
        <is>
          <t>{2}</t>
        </is>
      </c>
      <c r="D132" s="13" t="inlineStr"/>
      <c r="E132" s="22" t="n">
        <v>0.8</v>
      </c>
      <c r="F132" s="13" t="inlineStr"/>
      <c r="G132" s="18" t="inlineStr">
        <is>
          <t>{T}: Add one mana of any color that a land an opponent controls could produce.</t>
        </is>
      </c>
    </row>
    <row r="133">
      <c r="A133" s="13" t="inlineStr">
        <is>
          <t>Felothar the Steadfast</t>
        </is>
      </c>
      <c r="B133" s="13" t="inlineStr">
        <is>
          <t>Legendary Creature — Human Warrior</t>
        </is>
      </c>
      <c r="C133" s="13" t="inlineStr">
        <is>
          <t>{1}{W}{B}{G}</t>
        </is>
      </c>
      <c r="D133" s="13" t="inlineStr">
        <is>
          <t>BGW</t>
        </is>
      </c>
      <c r="E133" s="22" t="n">
        <v>3.05</v>
      </c>
      <c r="F133" s="13" t="inlineStr"/>
      <c r="G133" s="18" t="inlineStr">
        <is>
          <t>Each creature you control assigns combat damage equal to its toughness rather than its power. / Creatures you control can attack as though they didn't have defender. / {3}, {T}, Sacrifice another creature: Draw cards equal to the sacrificed creature's toughness, then discard cards equal to its power.</t>
        </is>
      </c>
    </row>
    <row r="134">
      <c r="A134" s="13" t="inlineStr">
        <is>
          <t>Fertilid</t>
        </is>
      </c>
      <c r="B134" s="13" t="inlineStr">
        <is>
          <t>Creature — Elemental</t>
        </is>
      </c>
      <c r="C134" s="13" t="inlineStr">
        <is>
          <t>{2}{G}</t>
        </is>
      </c>
      <c r="D134" s="13" t="inlineStr">
        <is>
          <t>G</t>
        </is>
      </c>
      <c r="E134" s="22" t="n">
        <v>0.31</v>
      </c>
      <c r="F134" s="13" t="inlineStr"/>
      <c r="G134" s="18" t="inlineStr">
        <is>
          <t>This creature enters with two +1/+1 counters on it. / {1}{G}, Remove a +1/+1 counter from this creature: Target player searches their library for a basic land card, puts it onto the battlefield tapped, then shuffles.</t>
        </is>
      </c>
    </row>
    <row r="135">
      <c r="A135" s="13" t="inlineStr">
        <is>
          <t>Field of the Dead</t>
        </is>
      </c>
      <c r="B135" s="13" t="inlineStr">
        <is>
          <t>Land</t>
        </is>
      </c>
      <c r="C135" s="13" t="inlineStr"/>
      <c r="D135" s="13" t="inlineStr"/>
      <c r="E135" s="22" t="n">
        <v>27.4</v>
      </c>
      <c r="F135" s="13" t="inlineStr"/>
      <c r="G135" s="18" t="inlineStr">
        <is>
          <t>This land enters tapped. / {T}: Add {C}. / Whenever this land or another land you control enters, if you control seven or more lands with different names, create a 2/2 black Zombie creature token.</t>
        </is>
      </c>
    </row>
    <row r="136">
      <c r="A136" s="13" t="inlineStr">
        <is>
          <t>Fields of Strife</t>
        </is>
      </c>
      <c r="B136" s="13" t="inlineStr">
        <is>
          <t>Land</t>
        </is>
      </c>
      <c r="C136" s="13" t="inlineStr"/>
      <c r="D136" s="13" t="inlineStr">
        <is>
          <t>RW</t>
        </is>
      </c>
      <c r="E136" s="22" t="n">
        <v>0.13</v>
      </c>
      <c r="F136" s="13" t="inlineStr"/>
      <c r="G136" s="18" t="inlineStr">
        <is>
          <t>This land enters tapped. / {T}: Add {R} or {W}. / {2}{R}{W}, {T}: Surveil 1. (Look at the top card of your library. You may put it into your graveyard.)</t>
        </is>
      </c>
    </row>
    <row r="137">
      <c r="A137" s="13" t="inlineStr">
        <is>
          <t>Filigree Familiar</t>
        </is>
      </c>
      <c r="B137" s="13" t="inlineStr">
        <is>
          <t>Artifact Creature — Fox</t>
        </is>
      </c>
      <c r="C137" s="13" t="inlineStr">
        <is>
          <t>{3}</t>
        </is>
      </c>
      <c r="D137" s="13" t="inlineStr"/>
      <c r="E137" s="22" t="n">
        <v>0.26</v>
      </c>
      <c r="F137" s="13" t="inlineStr"/>
      <c r="G137" s="18" t="inlineStr">
        <is>
          <t>When this creature enters, you gain 2 life. / When this creature dies, draw a card.</t>
        </is>
      </c>
    </row>
    <row r="138">
      <c r="A138" s="13" t="inlineStr">
        <is>
          <t>Final Showdown</t>
        </is>
      </c>
      <c r="B138" s="13" t="inlineStr">
        <is>
          <t>Instant</t>
        </is>
      </c>
      <c r="C138" s="13" t="inlineStr">
        <is>
          <t>{W}</t>
        </is>
      </c>
      <c r="D138" s="13" t="inlineStr">
        <is>
          <t>W</t>
        </is>
      </c>
      <c r="E138" s="22" t="n">
        <v>5.89</v>
      </c>
      <c r="F138" s="13" t="inlineStr"/>
      <c r="G138" s="18" t="inlineStr">
        <is>
          <t>Spree (Choose one or more additional costs.) / + {1} — All creatures lose all abilities until end of turn. / + {1} — Choose a creature you control. It gains indestructible until end of turn. / + {3}{W}{W} — Destroy all creatures.</t>
        </is>
      </c>
    </row>
    <row r="139">
      <c r="A139" s="13" t="inlineStr">
        <is>
          <t>Fleshbag Marauder</t>
        </is>
      </c>
      <c r="B139" s="13" t="inlineStr">
        <is>
          <t>Creature — Zombie Warrior</t>
        </is>
      </c>
      <c r="C139" s="13" t="inlineStr">
        <is>
          <t>{2}{B}</t>
        </is>
      </c>
      <c r="D139" s="13" t="inlineStr">
        <is>
          <t>B</t>
        </is>
      </c>
      <c r="E139" s="22" t="n">
        <v>0.26</v>
      </c>
      <c r="F139" s="13" t="inlineStr"/>
      <c r="G139" s="18" t="inlineStr">
        <is>
          <t>When this creature enters, each player sacrifices a creature of their choice.</t>
        </is>
      </c>
    </row>
    <row r="140">
      <c r="A140" s="13" t="inlineStr">
        <is>
          <t>Flux Channeler</t>
        </is>
      </c>
      <c r="B140" s="13" t="inlineStr">
        <is>
          <t>Creature — Human Wizard</t>
        </is>
      </c>
      <c r="C140" s="13" t="inlineStr">
        <is>
          <t>{2}{U}</t>
        </is>
      </c>
      <c r="D140" s="13" t="inlineStr">
        <is>
          <t>U</t>
        </is>
      </c>
      <c r="E140" s="22" t="n">
        <v>3.58</v>
      </c>
      <c r="F140" s="13" t="inlineStr"/>
      <c r="G140" s="18" t="inlineStr">
        <is>
          <t>Whenever you cast a noncreature spell, proliferate. (Choose any number of permanents and/or players, then give each another counter of each kind already there.)</t>
        </is>
      </c>
    </row>
    <row r="141">
      <c r="A141" s="13" t="inlineStr">
        <is>
          <t>Fog Bank</t>
        </is>
      </c>
      <c r="B141" s="13" t="inlineStr">
        <is>
          <t>Creature — Wall</t>
        </is>
      </c>
      <c r="C141" s="13" t="inlineStr">
        <is>
          <t>{1}{U}</t>
        </is>
      </c>
      <c r="D141" s="13" t="inlineStr">
        <is>
          <t>U</t>
        </is>
      </c>
      <c r="E141" s="22" t="n">
        <v>0.14</v>
      </c>
      <c r="F141" s="13" t="inlineStr"/>
      <c r="G141" s="18" t="inlineStr">
        <is>
          <t>Defender (This creature can't attack.) / Flying / Prevent all combat damage that would be dealt to and dealt by this creature.</t>
        </is>
      </c>
    </row>
    <row r="142">
      <c r="A142" s="13" t="inlineStr">
        <is>
          <t>Forest</t>
        </is>
      </c>
      <c r="B142" s="13" t="inlineStr">
        <is>
          <t>Basic Land — Forest</t>
        </is>
      </c>
      <c r="C142" s="13" t="inlineStr"/>
      <c r="D142" s="13" t="inlineStr">
        <is>
          <t>G</t>
        </is>
      </c>
      <c r="E142" s="22" t="n">
        <v>0</v>
      </c>
      <c r="F142" s="13" t="inlineStr"/>
      <c r="G142" s="18" t="inlineStr">
        <is>
          <t>({T}: Add {G}.)</t>
        </is>
      </c>
    </row>
    <row r="143">
      <c r="A143" s="13" t="inlineStr">
        <is>
          <t>Forgotten Ancient</t>
        </is>
      </c>
      <c r="B143" s="13" t="inlineStr">
        <is>
          <t>Creature — Elemental</t>
        </is>
      </c>
      <c r="C143" s="13" t="inlineStr">
        <is>
          <t>{3}{G}</t>
        </is>
      </c>
      <c r="D143" s="13" t="inlineStr">
        <is>
          <t>G</t>
        </is>
      </c>
      <c r="E143" s="22" t="n">
        <v>0.37</v>
      </c>
      <c r="F143" s="13" t="inlineStr"/>
      <c r="G143" s="18" t="inlineStr">
        <is>
          <t>Whenever a player casts a spell, you may put a +1/+1 counter on this creature. / At the beginning of your upkeep, you may move any number of +1/+1 counters from this creature onto other creatures.</t>
        </is>
      </c>
    </row>
    <row r="144">
      <c r="A144" s="13" t="inlineStr">
        <is>
          <t>Fortified Rampart</t>
        </is>
      </c>
      <c r="B144" s="13" t="inlineStr">
        <is>
          <t>Creature — Wall</t>
        </is>
      </c>
      <c r="C144" s="13" t="inlineStr">
        <is>
          <t>{1}{W}</t>
        </is>
      </c>
      <c r="D144" s="13" t="inlineStr">
        <is>
          <t>W</t>
        </is>
      </c>
      <c r="E144" s="22" t="n">
        <v>0.25</v>
      </c>
      <c r="F144" s="13" t="inlineStr"/>
      <c r="G144" s="18" t="inlineStr">
        <is>
          <t>Defender</t>
        </is>
      </c>
    </row>
    <row r="145">
      <c r="A145" s="13" t="inlineStr">
        <is>
          <t>Fortified Village</t>
        </is>
      </c>
      <c r="B145" s="13" t="inlineStr">
        <is>
          <t>Land</t>
        </is>
      </c>
      <c r="C145" s="13" t="inlineStr"/>
      <c r="D145" s="13" t="inlineStr">
        <is>
          <t>GW</t>
        </is>
      </c>
      <c r="E145" s="22" t="n">
        <v>0.24</v>
      </c>
      <c r="F145" s="13" t="inlineStr"/>
      <c r="G145" s="18" t="inlineStr">
        <is>
          <t>As this land enters, you may reveal a Forest or Plains card from your hand. If you don't, this land enters tapped. / {T}: Add {G} or {W}.</t>
        </is>
      </c>
    </row>
    <row r="146">
      <c r="A146" s="13" t="inlineStr">
        <is>
          <t>Foul Orchard</t>
        </is>
      </c>
      <c r="B146" s="13" t="inlineStr">
        <is>
          <t>Land</t>
        </is>
      </c>
      <c r="C146" s="13" t="inlineStr"/>
      <c r="D146" s="13" t="inlineStr">
        <is>
          <t>BG</t>
        </is>
      </c>
      <c r="E146" s="22" t="n">
        <v>0.26</v>
      </c>
      <c r="F146" s="13" t="inlineStr"/>
      <c r="G146" s="18" t="inlineStr">
        <is>
          <t>This land enters tapped. / {T}: Add {B} or {G}.</t>
        </is>
      </c>
    </row>
    <row r="147">
      <c r="A147" s="13" t="inlineStr">
        <is>
          <t>Frontline Medic</t>
        </is>
      </c>
      <c r="B147" s="13" t="inlineStr">
        <is>
          <t>Creature — Human Cleric</t>
        </is>
      </c>
      <c r="C147" s="13" t="inlineStr">
        <is>
          <t>{2}{W}</t>
        </is>
      </c>
      <c r="D147" s="13" t="inlineStr">
        <is>
          <t>W</t>
        </is>
      </c>
      <c r="E147" s="22" t="n">
        <v>0.2</v>
      </c>
      <c r="F147" s="13" t="inlineStr"/>
      <c r="G147" s="18" t="inlineStr">
        <is>
          <t>Battalion — Whenever this creature and at least two other creatures attack, creatures you control gain indestructible until end of turn. / Sacrifice this creature: Counter target spell with {X} in its mana cost unless its controller pays {3}.</t>
        </is>
      </c>
    </row>
    <row r="148">
      <c r="A148" s="13" t="inlineStr">
        <is>
          <t>Fuel for the Cause</t>
        </is>
      </c>
      <c r="B148" s="13" t="inlineStr">
        <is>
          <t>Instant</t>
        </is>
      </c>
      <c r="C148" s="13" t="inlineStr">
        <is>
          <t>{2}{U}{U}</t>
        </is>
      </c>
      <c r="D148" s="13" t="inlineStr">
        <is>
          <t>U</t>
        </is>
      </c>
      <c r="E148" s="22" t="n">
        <v>0.37</v>
      </c>
      <c r="F148" s="13" t="inlineStr"/>
      <c r="G148" s="18" t="inlineStr">
        <is>
          <t>Counter target spell, then proliferate. (Choose any number of permanents and/or players, then give each another counter of each kind already there.)</t>
        </is>
      </c>
    </row>
    <row r="149">
      <c r="A149" s="13" t="inlineStr">
        <is>
          <t>Furycalm Snarl</t>
        </is>
      </c>
      <c r="B149" s="13" t="inlineStr">
        <is>
          <t>Land</t>
        </is>
      </c>
      <c r="C149" s="13" t="inlineStr"/>
      <c r="D149" s="13" t="inlineStr">
        <is>
          <t>RW</t>
        </is>
      </c>
      <c r="E149" s="22" t="n">
        <v>0.27</v>
      </c>
      <c r="F149" s="13" t="inlineStr"/>
      <c r="G149" s="18" t="inlineStr">
        <is>
          <t>As this land enters, you may reveal a Mountain or Plains card from your hand. If you don't, this land enters tapped. / {T}: Add {R} or {W}.</t>
        </is>
      </c>
    </row>
    <row r="150">
      <c r="A150" s="13" t="inlineStr">
        <is>
          <t>Generous Gift</t>
        </is>
      </c>
      <c r="B150" s="13" t="inlineStr">
        <is>
          <t>Instant</t>
        </is>
      </c>
      <c r="C150" s="13" t="inlineStr">
        <is>
          <t>{2}{W}</t>
        </is>
      </c>
      <c r="D150" s="13" t="inlineStr">
        <is>
          <t>W</t>
        </is>
      </c>
      <c r="E150" s="22" t="n">
        <v>0.73</v>
      </c>
      <c r="F150" s="13" t="inlineStr"/>
      <c r="G150" s="18" t="inlineStr">
        <is>
          <t>Destroy target permanent. Its controller creates a 3/3 green Elephant creature token.</t>
        </is>
      </c>
    </row>
    <row r="151">
      <c r="A151" s="13" t="inlineStr">
        <is>
          <t>Ghost Quarter</t>
        </is>
      </c>
      <c r="B151" s="13" t="inlineStr">
        <is>
          <t>Land</t>
        </is>
      </c>
      <c r="C151" s="13" t="inlineStr"/>
      <c r="D151" s="13" t="inlineStr"/>
      <c r="E151" s="22" t="n">
        <v>0.96</v>
      </c>
      <c r="F151" s="13" t="inlineStr"/>
      <c r="G151" s="18" t="inlineStr">
        <is>
          <t>{T}: Add {C}. / {T}, Sacrifice this land: Destroy target land. Its controller may search their library for a basic land card, put it onto the battlefield, then shuffle.</t>
        </is>
      </c>
    </row>
    <row r="152">
      <c r="A152" s="13" t="inlineStr">
        <is>
          <t>Giant's Boulder</t>
        </is>
      </c>
      <c r="B152" s="13" t="inlineStr">
        <is>
          <t>Artifact</t>
        </is>
      </c>
      <c r="C152" s="13" t="inlineStr">
        <is>
          <t>{1}</t>
        </is>
      </c>
      <c r="D152" s="13" t="inlineStr"/>
      <c r="E152" s="22" t="n">
        <v>0.12</v>
      </c>
      <c r="F152" s="13" t="inlineStr"/>
      <c r="G152" s="18" t="inlineStr">
        <is>
          <t>When this artifact enters, scry 2. (Look at the top two cards of your library, then put any number of them on the bottom and the rest on top in any order.) / {1}, {T}: Add one mana of any color. / {7}, {T}, Sacrifice this artifact: Destroy target permanent.</t>
        </is>
      </c>
    </row>
    <row r="153">
      <c r="A153" s="13" t="inlineStr">
        <is>
          <t>Glacial Fortress</t>
        </is>
      </c>
      <c r="B153" s="13" t="inlineStr">
        <is>
          <t>Land</t>
        </is>
      </c>
      <c r="C153" s="13" t="inlineStr"/>
      <c r="D153" s="13" t="inlineStr">
        <is>
          <t>UW</t>
        </is>
      </c>
      <c r="E153" s="22" t="n">
        <v>0.33</v>
      </c>
      <c r="F153" s="13" t="inlineStr"/>
      <c r="G153" s="18" t="inlineStr">
        <is>
          <t>This land enters tapped unless you control a Plains or an Island. / {T}: Add {W} or {U}.</t>
        </is>
      </c>
    </row>
    <row r="154">
      <c r="A154" s="13" t="inlineStr">
        <is>
          <t>Glacial Wall</t>
        </is>
      </c>
      <c r="B154" s="13" t="inlineStr">
        <is>
          <t>Creature — Wall</t>
        </is>
      </c>
      <c r="C154" s="13" t="inlineStr">
        <is>
          <t>{2}{U}</t>
        </is>
      </c>
      <c r="D154" s="13" t="inlineStr">
        <is>
          <t>U</t>
        </is>
      </c>
      <c r="E154" s="22" t="n">
        <v>0.3</v>
      </c>
      <c r="F154" s="13" t="inlineStr"/>
      <c r="G154" s="18" t="inlineStr">
        <is>
          <t>Defender (This creature can't attack.)</t>
        </is>
      </c>
    </row>
    <row r="155">
      <c r="A155" s="13" t="inlineStr">
        <is>
          <t>Glissa Sunslayer</t>
        </is>
      </c>
      <c r="B155" s="13" t="inlineStr">
        <is>
          <t>Legendary Creature — Phyrexian Zombie Elf</t>
        </is>
      </c>
      <c r="C155" s="13" t="inlineStr">
        <is>
          <t>{1}{B}{G}</t>
        </is>
      </c>
      <c r="D155" s="13" t="inlineStr">
        <is>
          <t>BG</t>
        </is>
      </c>
      <c r="E155" s="22" t="n">
        <v>0.53</v>
      </c>
      <c r="F155" s="13" t="inlineStr"/>
      <c r="G155" s="18" t="inlineStr">
        <is>
          <t>First strike, deathtouch / Whenever Glissa Sunslayer deals combat damage to a player, choose one — / • You draw a card and lose 1 life. / • Destroy target enchantment. / • Remove up to three counters from target permanent.</t>
        </is>
      </c>
    </row>
    <row r="156">
      <c r="A156" s="13" t="inlineStr">
        <is>
          <t>Glittering Massif</t>
        </is>
      </c>
      <c r="B156" s="13" t="inlineStr">
        <is>
          <t>Land — Mountain Plains</t>
        </is>
      </c>
      <c r="C156" s="13" t="inlineStr"/>
      <c r="D156" s="13" t="inlineStr">
        <is>
          <t>RW</t>
        </is>
      </c>
      <c r="E156" s="22" t="n">
        <v>0.25</v>
      </c>
      <c r="F156" s="13" t="inlineStr"/>
      <c r="G156" s="18" t="inlineStr">
        <is>
          <t>({T}: Add {R} or {W}.) / This land enters tapped. / Cycling {2} ({2}, Discard this card: Draw a card.)</t>
        </is>
      </c>
    </row>
    <row r="157">
      <c r="A157" s="13" t="inlineStr">
        <is>
          <t>Go for the Throat</t>
        </is>
      </c>
      <c r="B157" s="13" t="inlineStr">
        <is>
          <t>Instant</t>
        </is>
      </c>
      <c r="C157" s="13" t="inlineStr">
        <is>
          <t>{1}{B}</t>
        </is>
      </c>
      <c r="D157" s="13" t="inlineStr">
        <is>
          <t>B</t>
        </is>
      </c>
      <c r="E157" s="22" t="n">
        <v>0.57</v>
      </c>
      <c r="F157" s="13" t="inlineStr"/>
      <c r="G157" s="18" t="inlineStr">
        <is>
          <t>Destroy target nonartifact creature.</t>
        </is>
      </c>
    </row>
    <row r="158">
      <c r="A158" s="13" t="inlineStr">
        <is>
          <t>Goblin Bombardment</t>
        </is>
      </c>
      <c r="B158" s="13" t="inlineStr">
        <is>
          <t>Enchantment</t>
        </is>
      </c>
      <c r="C158" s="13" t="inlineStr">
        <is>
          <t>{1}{R}</t>
        </is>
      </c>
      <c r="D158" s="13" t="inlineStr">
        <is>
          <t>R</t>
        </is>
      </c>
      <c r="E158" s="22" t="n">
        <v>2.53</v>
      </c>
      <c r="F158" s="13" t="inlineStr"/>
      <c r="G158" s="18" t="inlineStr">
        <is>
          <t>Sacrifice a creature: This enchantment deals 1 damage to any target.</t>
        </is>
      </c>
    </row>
    <row r="159">
      <c r="A159" s="13" t="inlineStr">
        <is>
          <t>Golgari Charm</t>
        </is>
      </c>
      <c r="B159" s="13" t="inlineStr">
        <is>
          <t>Instant</t>
        </is>
      </c>
      <c r="C159" s="13" t="inlineStr">
        <is>
          <t>{B}{G}</t>
        </is>
      </c>
      <c r="D159" s="13" t="inlineStr">
        <is>
          <t>BG</t>
        </is>
      </c>
      <c r="E159" s="22" t="n">
        <v>2.33</v>
      </c>
      <c r="F159" s="13" t="inlineStr"/>
      <c r="G159" s="18" t="inlineStr">
        <is>
          <t>Choose one — / • All creatures get -1/-1 until end of turn. / • Destroy target enchantment. / • Regenerate each creature you control.</t>
        </is>
      </c>
    </row>
    <row r="160">
      <c r="A160" s="13" t="inlineStr">
        <is>
          <t>Golgari Grave-Troll</t>
        </is>
      </c>
      <c r="B160" s="13" t="inlineStr">
        <is>
          <t>Creature — Troll Skeleton</t>
        </is>
      </c>
      <c r="C160" s="13" t="inlineStr">
        <is>
          <t>{4}{G}</t>
        </is>
      </c>
      <c r="D160" s="13" t="inlineStr">
        <is>
          <t>G</t>
        </is>
      </c>
      <c r="E160" s="22" t="n">
        <v>2.24</v>
      </c>
      <c r="F160" s="13" t="inlineStr"/>
      <c r="G160" s="18" t="inlineStr">
        <is>
          <t>This creature enters with a +1/+1 counter on it for each creature card in your graveyard. / {1}, Remove a +1/+1 counter from this creature: Regenerate this creature. / Dredge 6 (If you would draw a card, you may mill six cards instead. If you do, return this card from your graveyard to your hand.)</t>
        </is>
      </c>
    </row>
    <row r="161">
      <c r="A161" s="13" t="inlineStr">
        <is>
          <t>Golgari Guildgate</t>
        </is>
      </c>
      <c r="B161" s="13" t="inlineStr">
        <is>
          <t>Land — Gate</t>
        </is>
      </c>
      <c r="C161" s="13" t="inlineStr"/>
      <c r="D161" s="13" t="inlineStr">
        <is>
          <t>BG</t>
        </is>
      </c>
      <c r="E161" s="22" t="n">
        <v>0.16</v>
      </c>
      <c r="F161" s="13" t="inlineStr"/>
      <c r="G161" s="18" t="inlineStr">
        <is>
          <t>This land enters tapped. / {T}: Add {B} or {G}.</t>
        </is>
      </c>
    </row>
    <row r="162">
      <c r="A162" s="13" t="inlineStr">
        <is>
          <t>Golgari Rot Farm</t>
        </is>
      </c>
      <c r="B162" s="13" t="inlineStr">
        <is>
          <t>Land</t>
        </is>
      </c>
      <c r="C162" s="13" t="inlineStr"/>
      <c r="D162" s="13" t="inlineStr">
        <is>
          <t>BG</t>
        </is>
      </c>
      <c r="E162" s="22" t="n">
        <v>0.34</v>
      </c>
      <c r="F162" s="13" t="inlineStr"/>
      <c r="G162" s="18" t="inlineStr">
        <is>
          <t>This land enters tapped. / When this land enters, return a land you control to its owner's hand. / {T}: Add {B}{G}.</t>
        </is>
      </c>
    </row>
    <row r="163">
      <c r="A163" s="13" t="inlineStr">
        <is>
          <t>Golgari Signet</t>
        </is>
      </c>
      <c r="B163" s="13" t="inlineStr">
        <is>
          <t>Artifact</t>
        </is>
      </c>
      <c r="C163" s="13" t="inlineStr">
        <is>
          <t>{2}</t>
        </is>
      </c>
      <c r="D163" s="13" t="inlineStr">
        <is>
          <t>BG</t>
        </is>
      </c>
      <c r="E163" s="22" t="n">
        <v>0.3</v>
      </c>
      <c r="F163" s="13" t="inlineStr"/>
      <c r="G163" s="18" t="inlineStr">
        <is>
          <t>{1}, {T}: Add {B}{G}.</t>
        </is>
      </c>
    </row>
    <row r="164">
      <c r="A164" s="13" t="inlineStr">
        <is>
          <t>Gollum, Riddle Master</t>
        </is>
      </c>
      <c r="B164" s="13" t="inlineStr">
        <is>
          <t>Legendary Creature — Halfling Horror</t>
        </is>
      </c>
      <c r="C164" s="13" t="inlineStr">
        <is>
          <t>{1}{B}</t>
        </is>
      </c>
      <c r="D164" s="13" t="inlineStr">
        <is>
          <t>B</t>
        </is>
      </c>
      <c r="E164" s="22" t="n">
        <v>2.61</v>
      </c>
      <c r="F164" s="13" t="inlineStr"/>
      <c r="G164" s="18" t="inlineStr">
        <is>
          <t>As Gollum enters, choose odd or even. (Zero is even.) / Whenever an opponent casts a spell with mana value of the chosen quality, choose one that hasn't been chosen — / • Put a +1/+1 counter on Gollum. / • Each opponent loses 2 life and you gain 2 life. / • Draw a card.</t>
        </is>
      </c>
    </row>
    <row r="165">
      <c r="A165" s="13" t="inlineStr">
        <is>
          <t>Grim Affliction</t>
        </is>
      </c>
      <c r="B165" s="13" t="inlineStr">
        <is>
          <t>Instant</t>
        </is>
      </c>
      <c r="C165" s="13" t="inlineStr">
        <is>
          <t>{2}{B}</t>
        </is>
      </c>
      <c r="D165" s="13" t="inlineStr">
        <is>
          <t>B</t>
        </is>
      </c>
      <c r="E165" s="22" t="n">
        <v>0.32</v>
      </c>
      <c r="F165" s="13" t="inlineStr"/>
      <c r="G165" s="18" t="inlineStr">
        <is>
          <t>Put a -1/-1 counter on target creature, then proliferate. (Choose any number of permanents and/or players, then give each another counter of each kind already there.)</t>
        </is>
      </c>
    </row>
    <row r="166">
      <c r="A166" s="13" t="inlineStr">
        <is>
          <t>Grim Backwoods</t>
        </is>
      </c>
      <c r="B166" s="13" t="inlineStr">
        <is>
          <t>Land</t>
        </is>
      </c>
      <c r="C166" s="13" t="inlineStr"/>
      <c r="D166" s="13" t="inlineStr">
        <is>
          <t>BG</t>
        </is>
      </c>
      <c r="E166" s="22" t="n">
        <v>0.22</v>
      </c>
      <c r="F166" s="13" t="inlineStr"/>
      <c r="G166" s="18" t="inlineStr">
        <is>
          <t>{T}: Add {C}. / {2}{B}{G}, {T}, Sacrifice a creature: Draw a card.</t>
        </is>
      </c>
    </row>
    <row r="167">
      <c r="A167" s="13" t="inlineStr">
        <is>
          <t>Grisly Salvage</t>
        </is>
      </c>
      <c r="B167" s="13" t="inlineStr">
        <is>
          <t>Instant</t>
        </is>
      </c>
      <c r="C167" s="13" t="inlineStr">
        <is>
          <t>{B}{G}</t>
        </is>
      </c>
      <c r="D167" s="13" t="inlineStr">
        <is>
          <t>BG</t>
        </is>
      </c>
      <c r="E167" s="22" t="n">
        <v>0.26</v>
      </c>
      <c r="F167" s="13" t="inlineStr"/>
      <c r="G167" s="18" t="inlineStr">
        <is>
          <t>Reveal the top five cards of your library. You may put a creature or land card from among them into your hand. Put the rest into your graveyard.</t>
        </is>
      </c>
    </row>
    <row r="168">
      <c r="A168" s="13" t="inlineStr">
        <is>
          <t>Growth Spiral</t>
        </is>
      </c>
      <c r="B168" s="13" t="inlineStr">
        <is>
          <t>Instant</t>
        </is>
      </c>
      <c r="C168" s="13" t="inlineStr">
        <is>
          <t>{G}{U}</t>
        </is>
      </c>
      <c r="D168" s="13" t="inlineStr">
        <is>
          <t>GU</t>
        </is>
      </c>
      <c r="E168" s="22" t="n">
        <v>0.31</v>
      </c>
      <c r="F168" s="13" t="inlineStr"/>
      <c r="G168" s="18" t="inlineStr">
        <is>
          <t>Draw a card. You may put a land card from your hand onto the battlefield.</t>
        </is>
      </c>
    </row>
    <row r="169">
      <c r="A169" s="13" t="inlineStr">
        <is>
          <t>Guardian Scalelord</t>
        </is>
      </c>
      <c r="B169" s="13" t="inlineStr">
        <is>
          <t>Creature — Dragon</t>
        </is>
      </c>
      <c r="C169" s="13" t="inlineStr">
        <is>
          <t>{4}{W}</t>
        </is>
      </c>
      <c r="D169" s="13" t="inlineStr">
        <is>
          <t>W</t>
        </is>
      </c>
      <c r="E169" s="22" t="n">
        <v>0.34</v>
      </c>
      <c r="F169" s="13" t="inlineStr"/>
      <c r="G169" s="18" t="inlineStr">
        <is>
          <t>Backup 1 (When this creature enters, put a +1/+1 counter on target creature. If that's another creature, it gains the following abilities until end of turn.) / Flying / Whenever this creature attacks, return target nonland permanent card with mana value X or less from your graveyard to the battlefield, where X is this creature's power.</t>
        </is>
      </c>
    </row>
    <row r="170">
      <c r="A170" s="13" t="inlineStr">
        <is>
          <t>Guardian of Faith</t>
        </is>
      </c>
      <c r="B170" s="13" t="inlineStr">
        <is>
          <t>Creature — Spirit Knight</t>
        </is>
      </c>
      <c r="C170" s="13" t="inlineStr">
        <is>
          <t>{1}{W}{W}</t>
        </is>
      </c>
      <c r="D170" s="13" t="inlineStr">
        <is>
          <t>W</t>
        </is>
      </c>
      <c r="E170" s="22" t="n">
        <v>0.64</v>
      </c>
      <c r="F170" s="13" t="inlineStr"/>
      <c r="G170" s="18" t="inlineStr">
        <is>
          <t>Flash / Vigilance / When this creature enters, any number of other target creatures you control phase out. (Treat them and anything attached to them as though they don't exist until their controller's next turn.)</t>
        </is>
      </c>
    </row>
    <row r="171">
      <c r="A171" s="13" t="inlineStr">
        <is>
          <t>Hardened Scales</t>
        </is>
      </c>
      <c r="B171" s="13" t="inlineStr">
        <is>
          <t>Enchantment</t>
        </is>
      </c>
      <c r="C171" s="13" t="inlineStr">
        <is>
          <t>{G}</t>
        </is>
      </c>
      <c r="D171" s="13" t="inlineStr">
        <is>
          <t>G</t>
        </is>
      </c>
      <c r="E171" s="22" t="n">
        <v>3.08</v>
      </c>
      <c r="F171" s="13" t="inlineStr"/>
      <c r="G171" s="18" t="inlineStr">
        <is>
          <t>If one or more +1/+1 counters would be put on a creature you control, that many plus one +1/+1 counters are put on it instead.</t>
        </is>
      </c>
    </row>
    <row r="172">
      <c r="A172" s="13" t="inlineStr">
        <is>
          <t>Harrow</t>
        </is>
      </c>
      <c r="B172" s="13" t="inlineStr">
        <is>
          <t>Instant</t>
        </is>
      </c>
      <c r="C172" s="13" t="inlineStr">
        <is>
          <t>{2}{G}</t>
        </is>
      </c>
      <c r="D172" s="13" t="inlineStr">
        <is>
          <t>G</t>
        </is>
      </c>
      <c r="E172" s="22" t="n">
        <v>0.3</v>
      </c>
      <c r="F172" s="13" t="inlineStr"/>
      <c r="G172" s="18" t="inlineStr">
        <is>
          <t>As an additional cost to cast this spell, sacrifice a land. / Search your library for up to two basic land cards, put them onto the battlefield, then shuffle.</t>
        </is>
      </c>
    </row>
    <row r="173">
      <c r="A173" s="13" t="inlineStr">
        <is>
          <t>Hazel of the Rootbloom</t>
        </is>
      </c>
      <c r="B173" s="13" t="inlineStr">
        <is>
          <t>Legendary Creature — Squirrel Druid</t>
        </is>
      </c>
      <c r="C173" s="13" t="inlineStr">
        <is>
          <t>{2}{B}{G}</t>
        </is>
      </c>
      <c r="D173" s="13" t="inlineStr">
        <is>
          <t>BG</t>
        </is>
      </c>
      <c r="E173" s="22" t="n">
        <v>6.45</v>
      </c>
      <c r="F173" s="13" t="inlineStr"/>
      <c r="G173" s="18" t="inlineStr">
        <is>
          <t>{T}, Pay 2 life, Tap X untapped tokens you control: Add X mana in any combination of colors. / At the beginning of your end step, create a token that's a copy of target token you control. If that token is a Squirrel, instead create two tokens that are copies of it.</t>
        </is>
      </c>
    </row>
    <row r="174">
      <c r="A174" s="13" t="inlineStr">
        <is>
          <t>Heritage Reclamation</t>
        </is>
      </c>
      <c r="B174" s="13" t="inlineStr">
        <is>
          <t>Instant</t>
        </is>
      </c>
      <c r="C174" s="13" t="inlineStr">
        <is>
          <t>{1}{G}</t>
        </is>
      </c>
      <c r="D174" s="13" t="inlineStr">
        <is>
          <t>G</t>
        </is>
      </c>
      <c r="E174" s="22" t="n">
        <v>0.36</v>
      </c>
      <c r="F174" s="13" t="inlineStr"/>
      <c r="G174" s="18" t="inlineStr">
        <is>
          <t>Choose one — / • Destroy target artifact. / • Destroy target enchantment. / • Exile up to one target card from a graveyard. Draw a card.</t>
        </is>
      </c>
    </row>
    <row r="175">
      <c r="A175" s="13" t="inlineStr">
        <is>
          <t>Heroic Intervention</t>
        </is>
      </c>
      <c r="B175" s="13" t="inlineStr">
        <is>
          <t>Instant</t>
        </is>
      </c>
      <c r="C175" s="13" t="inlineStr">
        <is>
          <t>{1}{G}</t>
        </is>
      </c>
      <c r="D175" s="13" t="inlineStr">
        <is>
          <t>G</t>
        </is>
      </c>
      <c r="E175" s="22" t="n">
        <v>15.69</v>
      </c>
      <c r="F175" s="13" t="inlineStr"/>
      <c r="G175" s="18" t="inlineStr">
        <is>
          <t>Permanents you control gain hexproof and indestructible until end of turn.</t>
        </is>
      </c>
    </row>
    <row r="176">
      <c r="A176" s="13" t="inlineStr">
        <is>
          <t>High Alert</t>
        </is>
      </c>
      <c r="B176" s="13" t="inlineStr">
        <is>
          <t>Enchantment</t>
        </is>
      </c>
      <c r="C176" s="13" t="inlineStr">
        <is>
          <t>{1}{W}{U}</t>
        </is>
      </c>
      <c r="D176" s="13" t="inlineStr">
        <is>
          <t>UW</t>
        </is>
      </c>
      <c r="E176" s="22" t="n">
        <v>0.39</v>
      </c>
      <c r="F176" s="13" t="inlineStr"/>
      <c r="G176" s="18" t="inlineStr">
        <is>
          <t>Each creature you control assigns combat damage equal to its toughness rather than its power. / Creatures you control can attack as though they didn't have defender. / {2}{W}{U}: Untap target creature.</t>
        </is>
      </c>
    </row>
    <row r="177">
      <c r="A177" s="13" t="inlineStr">
        <is>
          <t>Hinterland Harbor</t>
        </is>
      </c>
      <c r="B177" s="13" t="inlineStr">
        <is>
          <t>Land</t>
        </is>
      </c>
      <c r="C177" s="13" t="inlineStr"/>
      <c r="D177" s="13" t="inlineStr">
        <is>
          <t>GU</t>
        </is>
      </c>
      <c r="E177" s="22" t="n">
        <v>0.38</v>
      </c>
      <c r="F177" s="13" t="inlineStr"/>
      <c r="G177" s="18" t="inlineStr">
        <is>
          <t>This land enters tapped unless you control a Forest or an Island. / {T}: Add {G} or {U}.</t>
        </is>
      </c>
    </row>
    <row r="178">
      <c r="A178" s="13" t="inlineStr">
        <is>
          <t>Hissing Quagmire</t>
        </is>
      </c>
      <c r="B178" s="13" t="inlineStr">
        <is>
          <t>Land</t>
        </is>
      </c>
      <c r="C178" s="13" t="inlineStr"/>
      <c r="D178" s="13" t="inlineStr">
        <is>
          <t>BG</t>
        </is>
      </c>
      <c r="E178" s="22" t="n">
        <v>1.22</v>
      </c>
      <c r="F178" s="13" t="inlineStr"/>
      <c r="G178" s="18" t="inlineStr">
        <is>
          <t>This land enters tapped. / {T}: Add {B} or {G}. / {1}{B}{G}: Until end of turn, this land becomes a 2/2 black and green Elemental creature with deathtouch. It's still a land.</t>
        </is>
      </c>
    </row>
    <row r="179">
      <c r="A179" s="13" t="inlineStr">
        <is>
          <t>Hofri Ghostforge</t>
        </is>
      </c>
      <c r="B179" s="13" t="inlineStr">
        <is>
          <t>Legendary Creature — Dwarf Cleric</t>
        </is>
      </c>
      <c r="C179" s="13" t="inlineStr">
        <is>
          <t>{3}{R}{W}</t>
        </is>
      </c>
      <c r="D179" s="13" t="inlineStr">
        <is>
          <t>RW</t>
        </is>
      </c>
      <c r="E179" s="22" t="n">
        <v>0.29</v>
      </c>
      <c r="F179" s="13" t="inlineStr"/>
      <c r="G179" s="18" t="inlineStr">
        <is>
          <t>Spirits you control get +1/+1 and have trample and haste. / Whenever another nontoken creature you control dies, exile it. If you do, create a token that's a copy of that creature, except it's a Spirit in addition to its other types and it has "When this token leaves the battlefield, return the exiled card to its owner's graveyard."</t>
        </is>
      </c>
    </row>
    <row r="180">
      <c r="A180" s="13" t="inlineStr">
        <is>
          <t>Hornet Nest</t>
        </is>
      </c>
      <c r="B180" s="13" t="inlineStr">
        <is>
          <t>Creature — Insect</t>
        </is>
      </c>
      <c r="C180" s="13" t="inlineStr">
        <is>
          <t>{2}{G}</t>
        </is>
      </c>
      <c r="D180" s="13" t="inlineStr">
        <is>
          <t>G</t>
        </is>
      </c>
      <c r="E180" s="22" t="n">
        <v>0.37</v>
      </c>
      <c r="F180" s="13" t="inlineStr"/>
      <c r="G180" s="18" t="inlineStr">
        <is>
          <t>Defender (This creature can't attack.) / Whenever this creature is dealt damage, create that many 1/1 green Insect creature tokens with flying and deathtouch. (Any amount of damage a creature with deathtouch deals to a creature is enough to destroy it.)</t>
        </is>
      </c>
    </row>
    <row r="181">
      <c r="A181" s="13" t="inlineStr">
        <is>
          <t>Hover Barrier</t>
        </is>
      </c>
      <c r="B181" s="13" t="inlineStr">
        <is>
          <t>Creature — Illusion Wall</t>
        </is>
      </c>
      <c r="C181" s="13" t="inlineStr">
        <is>
          <t>{2}{U}</t>
        </is>
      </c>
      <c r="D181" s="13" t="inlineStr">
        <is>
          <t>U</t>
        </is>
      </c>
      <c r="E181" s="22" t="n">
        <v>0.45</v>
      </c>
      <c r="F181" s="13" t="inlineStr"/>
      <c r="G181" s="18" t="inlineStr">
        <is>
          <t>Defender, flying</t>
        </is>
      </c>
    </row>
    <row r="182">
      <c r="A182" s="13" t="inlineStr">
        <is>
          <t>Huatli, the Sun's Heart</t>
        </is>
      </c>
      <c r="B182" s="13" t="inlineStr">
        <is>
          <t>Legendary Planeswalker — Huatli</t>
        </is>
      </c>
      <c r="C182" s="13" t="inlineStr">
        <is>
          <t>{2}{G/W}</t>
        </is>
      </c>
      <c r="D182" s="13" t="inlineStr">
        <is>
          <t>GW</t>
        </is>
      </c>
      <c r="E182" s="22" t="n">
        <v>0.43</v>
      </c>
      <c r="F182" s="13" t="inlineStr"/>
      <c r="G182" s="18" t="inlineStr">
        <is>
          <t>Each creature you control assigns combat damage equal to its toughness rather than its power. / −3: You gain life equal to the greatest toughness among creatures you control.</t>
        </is>
      </c>
    </row>
    <row r="183">
      <c r="A183" s="13" t="inlineStr">
        <is>
          <t>Hullbreaker Horror</t>
        </is>
      </c>
      <c r="B183" s="13" t="inlineStr">
        <is>
          <t>Creature — Kraken Horror</t>
        </is>
      </c>
      <c r="C183" s="13" t="inlineStr">
        <is>
          <t>{5}{U}{U}</t>
        </is>
      </c>
      <c r="D183" s="13" t="inlineStr">
        <is>
          <t>U</t>
        </is>
      </c>
      <c r="E183" s="22" t="n">
        <v>5.91</v>
      </c>
      <c r="F183" s="13" t="inlineStr"/>
      <c r="G183" s="18" t="inlineStr">
        <is>
          <t>Flash / This spell can't be countered. / Whenever you cast a spell, choose up to one — / • Return target spell you don't control to its owner's hand. / • Return target nonland permanent to its owner's hand.</t>
        </is>
      </c>
    </row>
    <row r="184">
      <c r="A184" s="13" t="inlineStr">
        <is>
          <t>Ichor Wellspring</t>
        </is>
      </c>
      <c r="B184" s="13" t="inlineStr">
        <is>
          <t>Artifact</t>
        </is>
      </c>
      <c r="C184" s="13" t="inlineStr">
        <is>
          <t>{2}</t>
        </is>
      </c>
      <c r="D184" s="13" t="inlineStr"/>
      <c r="E184" s="22" t="n">
        <v>1.4</v>
      </c>
      <c r="F184" s="13" t="inlineStr"/>
      <c r="G184" s="18" t="inlineStr">
        <is>
          <t>When this artifact enters or is put into a graveyard from the battlefield, draw a card.</t>
        </is>
      </c>
    </row>
    <row r="185">
      <c r="A185" s="13" t="inlineStr">
        <is>
          <t>Ikra Shidiqi, the Usurper</t>
        </is>
      </c>
      <c r="B185" s="13" t="inlineStr">
        <is>
          <t>Legendary Creature — Snake Wizard</t>
        </is>
      </c>
      <c r="C185" s="13" t="inlineStr">
        <is>
          <t>{3}{B}{G}</t>
        </is>
      </c>
      <c r="D185" s="13" t="inlineStr">
        <is>
          <t>BG</t>
        </is>
      </c>
      <c r="E185" s="22" t="n">
        <v>0.45</v>
      </c>
      <c r="F185" s="13" t="inlineStr"/>
      <c r="G185" s="18" t="inlineStr">
        <is>
          <t>Menace / Whenever a creature you control deals combat damage to a player, you gain life equal to that creature's toughness. / Partner (You can have two commanders if both have partner.)</t>
        </is>
      </c>
    </row>
    <row r="186">
      <c r="A186" s="13" t="inlineStr">
        <is>
          <t>Indomitable Ancients</t>
        </is>
      </c>
      <c r="B186" s="13" t="inlineStr">
        <is>
          <t>Creature — Treefolk Warrior</t>
        </is>
      </c>
      <c r="C186" s="13" t="inlineStr">
        <is>
          <t>{2}{W}{W}</t>
        </is>
      </c>
      <c r="D186" s="13" t="inlineStr">
        <is>
          <t>W</t>
        </is>
      </c>
      <c r="E186" s="22" t="n">
        <v>0.39</v>
      </c>
      <c r="F186" s="13" t="inlineStr"/>
      <c r="G186" s="18" t="inlineStr"/>
    </row>
    <row r="187">
      <c r="A187" s="13" t="inlineStr">
        <is>
          <t>Indulging Patrician</t>
        </is>
      </c>
      <c r="B187" s="13" t="inlineStr">
        <is>
          <t>Creature — Vampire Noble</t>
        </is>
      </c>
      <c r="C187" s="13" t="inlineStr">
        <is>
          <t>{1}{W}{B}</t>
        </is>
      </c>
      <c r="D187" s="13" t="inlineStr">
        <is>
          <t>BW</t>
        </is>
      </c>
      <c r="E187" s="22" t="n">
        <v>0.33</v>
      </c>
      <c r="F187" s="13" t="inlineStr"/>
      <c r="G187" s="18" t="inlineStr">
        <is>
          <t>Flying / Lifelink (Damage dealt by this creature also causes you to gain that much life.) / At the beginning of your end step, if you gained 3 or more life this turn, each opponent loses 3 life.</t>
        </is>
      </c>
    </row>
    <row r="188">
      <c r="A188" s="13" t="inlineStr">
        <is>
          <t>Inexorable Tide</t>
        </is>
      </c>
      <c r="B188" s="13" t="inlineStr">
        <is>
          <t>Enchantment</t>
        </is>
      </c>
      <c r="C188" s="13" t="inlineStr">
        <is>
          <t>{3}{U}{U}</t>
        </is>
      </c>
      <c r="D188" s="13" t="inlineStr">
        <is>
          <t>U</t>
        </is>
      </c>
      <c r="E188" s="22" t="n">
        <v>3.43</v>
      </c>
      <c r="F188" s="13" t="inlineStr"/>
      <c r="G188" s="18" t="inlineStr">
        <is>
          <t>Whenever you cast a spell, proliferate. (Choose any number of permanents and/or players, then give each another counter of each kind already there.)</t>
        </is>
      </c>
    </row>
    <row r="189">
      <c r="A189" s="13" t="inlineStr">
        <is>
          <t>Infernal Grasp</t>
        </is>
      </c>
      <c r="B189" s="13" t="inlineStr">
        <is>
          <t>Instant</t>
        </is>
      </c>
      <c r="C189" s="13" t="inlineStr">
        <is>
          <t>{1}{B}</t>
        </is>
      </c>
      <c r="D189" s="13" t="inlineStr">
        <is>
          <t>B</t>
        </is>
      </c>
      <c r="E189" s="22" t="n">
        <v>0.33</v>
      </c>
      <c r="F189" s="13" t="inlineStr"/>
      <c r="G189" s="18" t="inlineStr">
        <is>
          <t>Destroy target creature. You lose 2 life.</t>
        </is>
      </c>
    </row>
    <row r="190">
      <c r="A190" s="13" t="inlineStr">
        <is>
          <t>Innkeeper's Talent</t>
        </is>
      </c>
      <c r="B190" s="13" t="inlineStr">
        <is>
          <t>Enchantment — Class</t>
        </is>
      </c>
      <c r="C190" s="13" t="inlineStr">
        <is>
          <t>{1}{G}</t>
        </is>
      </c>
      <c r="D190" s="13" t="inlineStr">
        <is>
          <t>G</t>
        </is>
      </c>
      <c r="E190" s="22" t="n">
        <v>8.48</v>
      </c>
      <c r="F190" s="13" t="inlineStr"/>
      <c r="G190" s="18" t="inlineStr">
        <is>
          <t>(Gain the next level as a sorcery to add its ability.) / At the beginning of combat on your turn, put a +1/+1 counter on target creature you control. / {G}: Level 2 / Permanents you control with counters on them have ward {1}. / {3}{G}: Level 3 / If you would put one or more counters on a permanent or player, put twice that many of each of those kinds of counters on that permanent or player instead.</t>
        </is>
      </c>
    </row>
    <row r="191">
      <c r="A191" s="13" t="inlineStr">
        <is>
          <t>Insidious Fungus</t>
        </is>
      </c>
      <c r="B191" s="13" t="inlineStr">
        <is>
          <t>Creature — Fungus</t>
        </is>
      </c>
      <c r="C191" s="13" t="inlineStr">
        <is>
          <t>{G}</t>
        </is>
      </c>
      <c r="D191" s="13" t="inlineStr">
        <is>
          <t>G</t>
        </is>
      </c>
      <c r="E191" s="22" t="n">
        <v>0.54</v>
      </c>
      <c r="F191" s="13" t="inlineStr"/>
      <c r="G191" s="18" t="inlineStr">
        <is>
          <t>{2}, Sacrifice this creature: Choose one — / • Destroy target artifact. / • Destroy target enchantment. / • Draw a card. Then you may put a land card from your hand onto the battlefield tapped.</t>
        </is>
      </c>
    </row>
    <row r="192">
      <c r="A192" s="13" t="inlineStr">
        <is>
          <t>Inspiring Call</t>
        </is>
      </c>
      <c r="B192" s="13" t="inlineStr">
        <is>
          <t>Instant</t>
        </is>
      </c>
      <c r="C192" s="13" t="inlineStr">
        <is>
          <t>{2}{G}</t>
        </is>
      </c>
      <c r="D192" s="13" t="inlineStr">
        <is>
          <t>G</t>
        </is>
      </c>
      <c r="E192" s="22" t="n">
        <v>0.31</v>
      </c>
      <c r="F192" s="13" t="inlineStr"/>
      <c r="G192" s="18" t="inlineStr">
        <is>
          <t>Draw a card for each creature you control with a +1/+1 counter on it. Those creatures gain indestructible until end of turn. (Damage and effects that say "destroy" don't destroy them.)</t>
        </is>
      </c>
    </row>
    <row r="193">
      <c r="A193" s="13" t="inlineStr">
        <is>
          <t>Iroas, God of Victory</t>
        </is>
      </c>
      <c r="B193" s="13" t="inlineStr">
        <is>
          <t>Legendary Enchantment Creature — God</t>
        </is>
      </c>
      <c r="C193" s="13" t="inlineStr">
        <is>
          <t>{2}{R}{W}</t>
        </is>
      </c>
      <c r="D193" s="13" t="inlineStr">
        <is>
          <t>RW</t>
        </is>
      </c>
      <c r="E193" s="22" t="n">
        <v>12.88</v>
      </c>
      <c r="F193" s="13" t="inlineStr"/>
      <c r="G193" s="18" t="inlineStr">
        <is>
          <t>Indestructible / As long as your devotion to red and white is less than seven, Iroas isn't a creature. / Creatures you control have menace. / Prevent all damage that would be dealt to attacking creatures you control.</t>
        </is>
      </c>
    </row>
    <row r="194">
      <c r="A194" s="13" t="inlineStr">
        <is>
          <t>Island</t>
        </is>
      </c>
      <c r="B194" s="13" t="inlineStr">
        <is>
          <t>Basic Land — Island</t>
        </is>
      </c>
      <c r="C194" s="13" t="inlineStr"/>
      <c r="D194" s="13" t="inlineStr">
        <is>
          <t>U</t>
        </is>
      </c>
      <c r="E194" s="22" t="n">
        <v>0</v>
      </c>
      <c r="F194" s="13" t="inlineStr"/>
      <c r="G194" s="18" t="inlineStr">
        <is>
          <t>({T}: Add {U}.)</t>
        </is>
      </c>
    </row>
    <row r="195">
      <c r="A195" s="13" t="inlineStr">
        <is>
          <t>Isolated Chapel</t>
        </is>
      </c>
      <c r="B195" s="13" t="inlineStr">
        <is>
          <t>Land</t>
        </is>
      </c>
      <c r="C195" s="13" t="inlineStr"/>
      <c r="D195" s="13" t="inlineStr">
        <is>
          <t>BW</t>
        </is>
      </c>
      <c r="E195" s="22" t="n">
        <v>0.4</v>
      </c>
      <c r="F195" s="13" t="inlineStr"/>
      <c r="G195" s="18" t="inlineStr">
        <is>
          <t>This land enters tapped unless you control a Plains or a Swamp. / {T}: Add {W} or {B}.</t>
        </is>
      </c>
    </row>
    <row r="196">
      <c r="A196" s="13" t="inlineStr">
        <is>
          <t>Jaddi Offshoot</t>
        </is>
      </c>
      <c r="B196" s="13" t="inlineStr">
        <is>
          <t>Creature — Plant</t>
        </is>
      </c>
      <c r="C196" s="13" t="inlineStr">
        <is>
          <t>{G}</t>
        </is>
      </c>
      <c r="D196" s="13" t="inlineStr">
        <is>
          <t>G</t>
        </is>
      </c>
      <c r="E196" s="22" t="n">
        <v>0.38</v>
      </c>
      <c r="F196" s="13" t="inlineStr"/>
      <c r="G196" s="18" t="inlineStr">
        <is>
          <t>Defender / Landfall — Whenever a land you control enters, you gain 1 life.</t>
        </is>
      </c>
    </row>
    <row r="197">
      <c r="A197" s="13" t="inlineStr">
        <is>
          <t>Jaws of Defeat</t>
        </is>
      </c>
      <c r="B197" s="13" t="inlineStr">
        <is>
          <t>Enchantment</t>
        </is>
      </c>
      <c r="C197" s="13" t="inlineStr">
        <is>
          <t>{3}{B}</t>
        </is>
      </c>
      <c r="D197" s="13" t="inlineStr">
        <is>
          <t>B</t>
        </is>
      </c>
      <c r="E197" s="22" t="n">
        <v>0.6899999999999999</v>
      </c>
      <c r="F197" s="13" t="inlineStr"/>
      <c r="G197" s="18" t="inlineStr">
        <is>
          <t>Whenever a creature you control enters, target opponent loses life equal to the difference between that creature's power and its toughness.</t>
        </is>
      </c>
    </row>
    <row r="198">
      <c r="A198" s="13" t="inlineStr">
        <is>
          <t>Jungle Barrier</t>
        </is>
      </c>
      <c r="B198" s="13" t="inlineStr">
        <is>
          <t>Creature — Plant Wall</t>
        </is>
      </c>
      <c r="C198" s="13" t="inlineStr">
        <is>
          <t>{2}{G}{U}</t>
        </is>
      </c>
      <c r="D198" s="13" t="inlineStr">
        <is>
          <t>GU</t>
        </is>
      </c>
      <c r="E198" s="22" t="n">
        <v>0.29</v>
      </c>
      <c r="F198" s="13" t="inlineStr"/>
      <c r="G198" s="18" t="inlineStr">
        <is>
          <t>Defender (This creature can't attack.) / When this creature enters, draw a card.</t>
        </is>
      </c>
    </row>
    <row r="199">
      <c r="A199" s="13" t="inlineStr">
        <is>
          <t>Jungle Hollow</t>
        </is>
      </c>
      <c r="B199" s="13" t="inlineStr">
        <is>
          <t>Land</t>
        </is>
      </c>
      <c r="C199" s="13" t="inlineStr"/>
      <c r="D199" s="13" t="inlineStr">
        <is>
          <t>BG</t>
        </is>
      </c>
      <c r="E199" s="22" t="n">
        <v>0.16</v>
      </c>
      <c r="F199" s="13" t="inlineStr"/>
      <c r="G199" s="18" t="inlineStr">
        <is>
          <t>This land enters tapped. / When this land enters, you gain 1 life. / {T}: Add {B} or {G}.</t>
        </is>
      </c>
    </row>
    <row r="200">
      <c r="A200" s="13" t="inlineStr">
        <is>
          <t>Kami of Ancient Law</t>
        </is>
      </c>
      <c r="B200" s="13" t="inlineStr">
        <is>
          <t>Creature — Spirit</t>
        </is>
      </c>
      <c r="C200" s="13" t="inlineStr">
        <is>
          <t>{1}{W}</t>
        </is>
      </c>
      <c r="D200" s="13" t="inlineStr">
        <is>
          <t>W</t>
        </is>
      </c>
      <c r="E200" s="22" t="n">
        <v>0.21</v>
      </c>
      <c r="F200" s="13" t="inlineStr"/>
      <c r="G200" s="18" t="inlineStr">
        <is>
          <t>Sacrifice this creature: Destroy target enchantment.</t>
        </is>
      </c>
    </row>
    <row r="201">
      <c r="A201" s="13" t="inlineStr">
        <is>
          <t>Kami of Whispered Hopes</t>
        </is>
      </c>
      <c r="B201" s="13" t="inlineStr">
        <is>
          <t>Creature — Spirit</t>
        </is>
      </c>
      <c r="C201" s="13" t="inlineStr">
        <is>
          <t>{2}{G}</t>
        </is>
      </c>
      <c r="D201" s="13" t="inlineStr">
        <is>
          <t>G</t>
        </is>
      </c>
      <c r="E201" s="22" t="n">
        <v>3.61</v>
      </c>
      <c r="F201" s="13" t="inlineStr"/>
      <c r="G201" s="18" t="inlineStr">
        <is>
          <t>If one or more +1/+1 counters would be put on a permanent you control, that many plus one +1/+1 counters are put on that permanent instead. / {T}: Add X mana of any one color, where X is this creature's power.</t>
        </is>
      </c>
    </row>
    <row r="202">
      <c r="A202" s="13" t="inlineStr">
        <is>
          <t>Karmic Guide</t>
        </is>
      </c>
      <c r="B202" s="13" t="inlineStr">
        <is>
          <t>Creature — Angel Spirit</t>
        </is>
      </c>
      <c r="C202" s="13" t="inlineStr">
        <is>
          <t>{3}{W}{W}</t>
        </is>
      </c>
      <c r="D202" s="13" t="inlineStr">
        <is>
          <t>W</t>
        </is>
      </c>
      <c r="E202" s="22" t="n">
        <v>0.39</v>
      </c>
      <c r="F202" s="13" t="inlineStr"/>
      <c r="G202" s="18" t="inlineStr">
        <is>
          <t>Flying, protection from black / Echo {3}{W}{W} (At the beginning of your upkeep, if this came under your control since the beginning of your last upkeep, sacrifice it unless you pay its echo cost.) / When this creature enters, return target creature card from your graveyard to the battlefield.</t>
        </is>
      </c>
    </row>
    <row r="203">
      <c r="A203" s="13" t="inlineStr">
        <is>
          <t>Karn's Bastion</t>
        </is>
      </c>
      <c r="B203" s="13" t="inlineStr">
        <is>
          <t>Land</t>
        </is>
      </c>
      <c r="C203" s="13" t="inlineStr"/>
      <c r="D203" s="13" t="inlineStr"/>
      <c r="E203" s="22" t="n">
        <v>2.76</v>
      </c>
      <c r="F203" s="13" t="inlineStr"/>
      <c r="G203" s="18" t="inlineStr">
        <is>
          <t>{T}: Add {C}. / {4}, {T}: Proliferate. (Choose any number of permanents and/or players, then give each another counter of each kind already there.)</t>
        </is>
      </c>
    </row>
    <row r="204">
      <c r="A204" s="13" t="inlineStr">
        <is>
          <t>Kasmina, Enigmatic Mentor</t>
        </is>
      </c>
      <c r="B204" s="13" t="inlineStr">
        <is>
          <t>Legendary Planeswalker — Kasmina</t>
        </is>
      </c>
      <c r="C204" s="13" t="inlineStr">
        <is>
          <t>{3}{U}</t>
        </is>
      </c>
      <c r="D204" s="13" t="inlineStr">
        <is>
          <t>U</t>
        </is>
      </c>
      <c r="E204" s="22" t="n">
        <v>0.37</v>
      </c>
      <c r="F204" s="13" t="inlineStr"/>
      <c r="G204" s="18" t="inlineStr">
        <is>
          <t>Spells your opponents cast that target a creature or planeswalker you control cost {2} more to cast. / −2: Create a 2/2 blue Wizard creature token. Draw a card, then discard a card.</t>
        </is>
      </c>
    </row>
    <row r="205">
      <c r="A205" s="13" t="inlineStr">
        <is>
          <t>Khalni Garden</t>
        </is>
      </c>
      <c r="B205" s="13" t="inlineStr">
        <is>
          <t>Land</t>
        </is>
      </c>
      <c r="C205" s="13" t="inlineStr"/>
      <c r="D205" s="13" t="inlineStr">
        <is>
          <t>G</t>
        </is>
      </c>
      <c r="E205" s="22" t="n">
        <v>1.04</v>
      </c>
      <c r="F205" s="13" t="inlineStr"/>
      <c r="G205" s="18" t="inlineStr">
        <is>
          <t>This land enters tapped. / When this land enters, create a 0/1 green Plant creature token. / {T}: Add {G}.</t>
        </is>
      </c>
    </row>
    <row r="206">
      <c r="A206" s="13" t="inlineStr">
        <is>
          <t>Khalni Heart Expedition</t>
        </is>
      </c>
      <c r="B206" s="13" t="inlineStr">
        <is>
          <t>Enchantment</t>
        </is>
      </c>
      <c r="C206" s="13" t="inlineStr">
        <is>
          <t>{1}{G}</t>
        </is>
      </c>
      <c r="D206" s="13" t="inlineStr">
        <is>
          <t>G</t>
        </is>
      </c>
      <c r="E206" s="22" t="n">
        <v>0.41</v>
      </c>
      <c r="F206" s="13" t="inlineStr"/>
      <c r="G206" s="18" t="inlineStr">
        <is>
          <t>Landfall — Whenever a land you control enters, you may put a quest counter on this enchantment. / Remove three quest counters from this enchantment and sacrifice it: Search your library for up to two basic land cards, put them onto the battlefield tapped, then shuffle.</t>
        </is>
      </c>
    </row>
    <row r="207">
      <c r="A207" s="13" t="inlineStr">
        <is>
          <t>Kirol, History Buff // Pack a Punch</t>
        </is>
      </c>
      <c r="B207" s="13" t="inlineStr">
        <is>
          <t>Legendary Creature — Vampire Cleric // Sorcery</t>
        </is>
      </c>
      <c r="C207" s="13" t="inlineStr">
        <is>
          <t>{R}{W} // {1}{R}{W}</t>
        </is>
      </c>
      <c r="D207" s="13" t="inlineStr">
        <is>
          <t>RW</t>
        </is>
      </c>
      <c r="E207" s="22" t="n">
        <v>0.14</v>
      </c>
      <c r="F207" s="13" t="inlineStr"/>
      <c r="G207" s="18" t="inlineStr">
        <is>
          <t>Whenever one or more cards leave your graveyard, Kirol becomes prepared. (While it's prepared, you may cast a copy of its spell. Doing so unprepares it.) / Mill a card. Put two +1/+1 counters on target creature. It gains trample until end of turn.</t>
        </is>
      </c>
    </row>
    <row r="208">
      <c r="A208" s="13" t="inlineStr">
        <is>
          <t>Knight of the White Orchid</t>
        </is>
      </c>
      <c r="B208" s="13" t="inlineStr">
        <is>
          <t>Creature — Human Knight</t>
        </is>
      </c>
      <c r="C208" s="13" t="inlineStr">
        <is>
          <t>{W}{W}</t>
        </is>
      </c>
      <c r="D208" s="13" t="inlineStr">
        <is>
          <t>W</t>
        </is>
      </c>
      <c r="E208" s="22" t="n">
        <v>4.51</v>
      </c>
      <c r="F208" s="13" t="inlineStr"/>
      <c r="G208" s="18" t="inlineStr">
        <is>
          <t>First strike / When this creature enters, if an opponent controls more lands than you, you may search your library for a Plains card, put it onto the battlefield, then shuffle.</t>
        </is>
      </c>
    </row>
    <row r="209">
      <c r="A209" s="13" t="inlineStr">
        <is>
          <t>Kodama's Reach</t>
        </is>
      </c>
      <c r="B209" s="13" t="inlineStr">
        <is>
          <t>Sorcery — Arcane</t>
        </is>
      </c>
      <c r="C209" s="13" t="inlineStr">
        <is>
          <t>{2}{G}</t>
        </is>
      </c>
      <c r="D209" s="13" t="inlineStr">
        <is>
          <t>G</t>
        </is>
      </c>
      <c r="E209" s="22" t="n">
        <v>1.54</v>
      </c>
      <c r="F209" s="13" t="inlineStr"/>
      <c r="G209" s="18" t="inlineStr">
        <is>
          <t>Search your library for up to two basic land cards, reveal those cards, put one onto the battlefield tapped and the other into your hand, then shuffle.</t>
        </is>
      </c>
    </row>
    <row r="210">
      <c r="A210" s="13" t="inlineStr">
        <is>
          <t>Kogla, the Titan Ape</t>
        </is>
      </c>
      <c r="B210" s="13" t="inlineStr">
        <is>
          <t>Legendary Creature — Ape</t>
        </is>
      </c>
      <c r="C210" s="13" t="inlineStr">
        <is>
          <t>{3}{G}{G}{G}</t>
        </is>
      </c>
      <c r="D210" s="13" t="inlineStr">
        <is>
          <t>G</t>
        </is>
      </c>
      <c r="E210" s="22" t="n">
        <v>3.27</v>
      </c>
      <c r="F210" s="13" t="inlineStr"/>
      <c r="G210" s="18" t="inlineStr">
        <is>
          <t>When Kogla enters, it fights up to one target creature you don't control. / Whenever Kogla attacks, destroy target artifact or enchantment defending player controls. / {1}{G}: Return target Human you control to its owner's hand. Kogla gains indestructible until end of turn.</t>
        </is>
      </c>
    </row>
    <row r="211">
      <c r="A211" s="13" t="inlineStr">
        <is>
          <t>Krosan Verge</t>
        </is>
      </c>
      <c r="B211" s="13" t="inlineStr">
        <is>
          <t>Land</t>
        </is>
      </c>
      <c r="C211" s="13" t="inlineStr"/>
      <c r="D211" s="13" t="inlineStr"/>
      <c r="E211" s="22" t="n">
        <v>0.25</v>
      </c>
      <c r="F211" s="13" t="inlineStr"/>
      <c r="G211" s="18" t="inlineStr">
        <is>
          <t>This land enters tapped. / {T}: Add {C}. / {2}, {T}, Sacrifice this land: Search your library for a Forest card and a Plains card, put them onto the battlefield tapped, then shuffle.</t>
        </is>
      </c>
    </row>
    <row r="212">
      <c r="A212" s="13" t="inlineStr">
        <is>
          <t>Kruphix, God of Horizons</t>
        </is>
      </c>
      <c r="B212" s="13" t="inlineStr">
        <is>
          <t>Legendary Enchantment Creature — God</t>
        </is>
      </c>
      <c r="C212" s="13" t="inlineStr">
        <is>
          <t>{3}{G}{U}</t>
        </is>
      </c>
      <c r="D212" s="13" t="inlineStr">
        <is>
          <t>GU</t>
        </is>
      </c>
      <c r="E212" s="22" t="n">
        <v>4.38</v>
      </c>
      <c r="F212" s="13" t="inlineStr"/>
      <c r="G212" s="18" t="inlineStr">
        <is>
          <t>Indestructible / As long as your devotion to green and blue is less than seven, Kruphix isn't a creature. / You have no maximum hand size. / If you would lose unspent mana, that mana becomes colorless instead.</t>
        </is>
      </c>
    </row>
    <row r="213">
      <c r="A213" s="13" t="inlineStr">
        <is>
          <t>Laelia, the Blade Reforged</t>
        </is>
      </c>
      <c r="B213" s="13" t="inlineStr">
        <is>
          <t>Legendary Creature — Spirit Warrior</t>
        </is>
      </c>
      <c r="C213" s="13" t="inlineStr">
        <is>
          <t>{2}{R}</t>
        </is>
      </c>
      <c r="D213" s="13" t="inlineStr">
        <is>
          <t>R</t>
        </is>
      </c>
      <c r="E213" s="22" t="n">
        <v>0.32</v>
      </c>
      <c r="F213" s="13" t="inlineStr"/>
      <c r="G213" s="18" t="inlineStr">
        <is>
          <t>Haste / Whenever Laelia attacks, exile the top card of your library. You may play that card this turn. / Whenever one or more cards are put into exile from your library and/or your graveyard, put a +1/+1 counter on Laelia.</t>
        </is>
      </c>
    </row>
    <row r="214">
      <c r="A214" s="13" t="inlineStr">
        <is>
          <t>Lake-town Lookout</t>
        </is>
      </c>
      <c r="B214" s="13" t="inlineStr">
        <is>
          <t>Creature — Human Scout</t>
        </is>
      </c>
      <c r="C214" s="13" t="inlineStr">
        <is>
          <t>{W}</t>
        </is>
      </c>
      <c r="D214" s="13" t="inlineStr">
        <is>
          <t>W</t>
        </is>
      </c>
      <c r="E214" s="22" t="n">
        <v>0.12</v>
      </c>
      <c r="F214" s="13" t="inlineStr"/>
      <c r="G214" s="18" t="inlineStr">
        <is>
          <t>When this creature dies, recruit. (Draw a card, then discard a card. If you discarded a nonland card, create a 1/1 white Human Soldier creature token.)</t>
        </is>
      </c>
    </row>
    <row r="215">
      <c r="A215" s="13" t="inlineStr">
        <is>
          <t>Life from the Loam</t>
        </is>
      </c>
      <c r="B215" s="13" t="inlineStr">
        <is>
          <t>Sorcery</t>
        </is>
      </c>
      <c r="C215" s="13" t="inlineStr">
        <is>
          <t>{1}{G}</t>
        </is>
      </c>
      <c r="D215" s="13" t="inlineStr">
        <is>
          <t>G</t>
        </is>
      </c>
      <c r="E215" s="22" t="n">
        <v>5.49</v>
      </c>
      <c r="F215" s="13" t="inlineStr"/>
      <c r="G215" s="18" t="inlineStr">
        <is>
          <t>Return up to three target land cards from your graveyard to your hand. / Dredge 3 (If you would draw a card, you may mill three cards instead. If you do, return this card from your graveyard to your hand.)</t>
        </is>
      </c>
    </row>
    <row r="216">
      <c r="A216" s="13" t="inlineStr">
        <is>
          <t>Lightning Greaves</t>
        </is>
      </c>
      <c r="B216" s="13" t="inlineStr">
        <is>
          <t>Artifact — Equipment</t>
        </is>
      </c>
      <c r="C216" s="13" t="inlineStr">
        <is>
          <t>{2}</t>
        </is>
      </c>
      <c r="D216" s="13" t="inlineStr"/>
      <c r="E216" s="22" t="n">
        <v>5.09</v>
      </c>
      <c r="F216" s="13" t="inlineStr"/>
      <c r="G216" s="18" t="inlineStr">
        <is>
          <t>Equipped creature has haste and shroud. (It can't be the target of spells or abilities.) / Equip {0}</t>
        </is>
      </c>
    </row>
    <row r="217">
      <c r="A217" s="13" t="inlineStr">
        <is>
          <t>Llanowar Scout</t>
        </is>
      </c>
      <c r="B217" s="13" t="inlineStr">
        <is>
          <t>Creature — Elf Scout</t>
        </is>
      </c>
      <c r="C217" s="13" t="inlineStr">
        <is>
          <t>{1}{G}</t>
        </is>
      </c>
      <c r="D217" s="13" t="inlineStr">
        <is>
          <t>G</t>
        </is>
      </c>
      <c r="E217" s="22" t="n">
        <v>0.38</v>
      </c>
      <c r="F217" s="13" t="inlineStr"/>
      <c r="G217" s="18" t="inlineStr">
        <is>
          <t>{T}: You may put a land card from your hand onto the battlefield.</t>
        </is>
      </c>
    </row>
    <row r="218">
      <c r="A218" s="13" t="inlineStr">
        <is>
          <t>Llanowar Wastes</t>
        </is>
      </c>
      <c r="B218" s="13" t="inlineStr">
        <is>
          <t>Land</t>
        </is>
      </c>
      <c r="C218" s="13" t="inlineStr"/>
      <c r="D218" s="13" t="inlineStr">
        <is>
          <t>BG</t>
        </is>
      </c>
      <c r="E218" s="22" t="n">
        <v>0.63</v>
      </c>
      <c r="F218" s="13" t="inlineStr"/>
      <c r="G218" s="18" t="inlineStr">
        <is>
          <t>{T}: Add {C}. / {T}: Add {B} or {G}. This land deals 1 damage to you.</t>
        </is>
      </c>
    </row>
    <row r="219">
      <c r="A219" s="13" t="inlineStr">
        <is>
          <t>Lorehold Archivist // Restore Relic</t>
        </is>
      </c>
      <c r="B219" s="13" t="inlineStr">
        <is>
          <t>Creature — Dwarf Artificer // Sorcery</t>
        </is>
      </c>
      <c r="C219" s="13" t="inlineStr">
        <is>
          <t>{1}{R}{W} // {2}{R}{W}</t>
        </is>
      </c>
      <c r="D219" s="13" t="inlineStr">
        <is>
          <t>RW</t>
        </is>
      </c>
      <c r="E219" s="22" t="n">
        <v>0.32</v>
      </c>
      <c r="F219" s="13" t="inlineStr"/>
      <c r="G219" s="18" t="inlineStr">
        <is>
          <t>First strike / At the beginning of your upkeep, if there are three or more artifact and/or creature cards in your graveyard, this creature becomes prepared. (While it's prepared, you may cast a copy of its spell. Doing so unprepares it.) / Exile target artifact or creature card from your graveyard. Create a token that's a copy of it.</t>
        </is>
      </c>
    </row>
    <row r="220">
      <c r="A220" s="13" t="inlineStr">
        <is>
          <t>Lorehold Campus</t>
        </is>
      </c>
      <c r="B220" s="13" t="inlineStr">
        <is>
          <t>Land</t>
        </is>
      </c>
      <c r="C220" s="13" t="inlineStr"/>
      <c r="D220" s="13" t="inlineStr">
        <is>
          <t>RW</t>
        </is>
      </c>
      <c r="E220" s="22" t="n">
        <v>0.24</v>
      </c>
      <c r="F220" s="13" t="inlineStr"/>
      <c r="G220" s="18" t="inlineStr">
        <is>
          <t>This land enters tapped. / {T}: Add {R} or {W}. / {4}, {T}: Scry 1. (Look at the top card of your library. You may put that card on the bottom.)</t>
        </is>
      </c>
    </row>
    <row r="221">
      <c r="A221" s="13" t="inlineStr">
        <is>
          <t>Lorehold Charm</t>
        </is>
      </c>
      <c r="B221" s="13" t="inlineStr">
        <is>
          <t>Instant</t>
        </is>
      </c>
      <c r="C221" s="13" t="inlineStr">
        <is>
          <t>{R}{W}</t>
        </is>
      </c>
      <c r="D221" s="13" t="inlineStr">
        <is>
          <t>RW</t>
        </is>
      </c>
      <c r="E221" s="22" t="n">
        <v>0.26</v>
      </c>
      <c r="F221" s="13" t="inlineStr"/>
      <c r="G221" s="18" t="inlineStr">
        <is>
          <t>Choose one — / • Each opponent sacrifices a nontoken artifact of their choice. / • Return target artifact or creature card with mana value 2 or less from your graveyard to the battlefield. / • Creatures you control get +1/+1 and gain trample until end of turn.</t>
        </is>
      </c>
    </row>
    <row r="222">
      <c r="A222" s="13" t="inlineStr">
        <is>
          <t>Lotus Cobra</t>
        </is>
      </c>
      <c r="B222" s="13" t="inlineStr">
        <is>
          <t>Creature — Snake</t>
        </is>
      </c>
      <c r="C222" s="13" t="inlineStr">
        <is>
          <t>{1}{G}</t>
        </is>
      </c>
      <c r="D222" s="13" t="inlineStr">
        <is>
          <t>G</t>
        </is>
      </c>
      <c r="E222" s="22" t="n">
        <v>6.14</v>
      </c>
      <c r="F222" s="13" t="inlineStr"/>
      <c r="G222" s="18" t="inlineStr">
        <is>
          <t>Landfall — Whenever a land you control enters, add one mana of any color.</t>
        </is>
      </c>
    </row>
    <row r="223">
      <c r="A223" s="13" t="inlineStr">
        <is>
          <t>Lotus Field</t>
        </is>
      </c>
      <c r="B223" s="13" t="inlineStr">
        <is>
          <t>Land</t>
        </is>
      </c>
      <c r="C223" s="13" t="inlineStr"/>
      <c r="D223" s="13" t="inlineStr"/>
      <c r="E223" s="22" t="n">
        <v>2.44</v>
      </c>
      <c r="F223" s="13" t="inlineStr"/>
      <c r="G223" s="18" t="inlineStr">
        <is>
          <t>Hexproof / This land enters tapped. / When this land enters, sacrifice two lands. / {T}: Add three mana of any one color.</t>
        </is>
      </c>
    </row>
    <row r="224">
      <c r="A224" s="13" t="inlineStr">
        <is>
          <t>Maelstrom Pulse</t>
        </is>
      </c>
      <c r="B224" s="13" t="inlineStr">
        <is>
          <t>Sorcery</t>
        </is>
      </c>
      <c r="C224" s="13" t="inlineStr">
        <is>
          <t>{1}{B}{G}</t>
        </is>
      </c>
      <c r="D224" s="13" t="inlineStr">
        <is>
          <t>BG</t>
        </is>
      </c>
      <c r="E224" s="22" t="n">
        <v>0.38</v>
      </c>
      <c r="F224" s="13" t="inlineStr"/>
      <c r="G224" s="18" t="inlineStr">
        <is>
          <t>Destroy target nonland permanent and all other permanents with the same name as that permanent.</t>
        </is>
      </c>
    </row>
    <row r="225">
      <c r="A225" s="13" t="inlineStr">
        <is>
          <t>Make a Stand</t>
        </is>
      </c>
      <c r="B225" s="13" t="inlineStr">
        <is>
          <t>Instant</t>
        </is>
      </c>
      <c r="C225" s="13" t="inlineStr">
        <is>
          <t>{2}{W}</t>
        </is>
      </c>
      <c r="D225" s="13" t="inlineStr">
        <is>
          <t>W</t>
        </is>
      </c>
      <c r="E225" s="22" t="n">
        <v>0.12</v>
      </c>
      <c r="F225" s="13" t="inlineStr"/>
      <c r="G225" s="18" t="inlineStr">
        <is>
          <t>Creatures you control get +1/+0 and gain indestructible until end of turn. (Damage and effects that say "destroy" don't destroy them.)</t>
        </is>
      </c>
    </row>
    <row r="226">
      <c r="A226" s="13" t="inlineStr">
        <is>
          <t>Marauding Blight-Priest</t>
        </is>
      </c>
      <c r="B226" s="13" t="inlineStr">
        <is>
          <t>Creature — Vampire Cleric</t>
        </is>
      </c>
      <c r="C226" s="13" t="inlineStr">
        <is>
          <t>{2}{B}</t>
        </is>
      </c>
      <c r="D226" s="13" t="inlineStr">
        <is>
          <t>B</t>
        </is>
      </c>
      <c r="E226" s="22" t="n">
        <v>0.29</v>
      </c>
      <c r="F226" s="13" t="inlineStr"/>
      <c r="G226" s="18" t="inlineStr">
        <is>
          <t>Whenever you gain life, each opponent loses 1 life.</t>
        </is>
      </c>
    </row>
    <row r="227">
      <c r="A227" s="13" t="inlineStr">
        <is>
          <t>Meandering Towershell</t>
        </is>
      </c>
      <c r="B227" s="13" t="inlineStr">
        <is>
          <t>Creature — Turtle</t>
        </is>
      </c>
      <c r="C227" s="13" t="inlineStr">
        <is>
          <t>{3}{G}{G}</t>
        </is>
      </c>
      <c r="D227" s="13" t="inlineStr">
        <is>
          <t>G</t>
        </is>
      </c>
      <c r="E227" s="22" t="n">
        <v>0.15</v>
      </c>
      <c r="F227" s="13" t="inlineStr"/>
      <c r="G227" s="18" t="inlineStr">
        <is>
          <t>Islandwalk (This creature can't be blocked as long as defending player controls an Island.) / Whenever this creature attacks, exile it. Return it to the battlefield under your control tapped and attacking at the beginning of the declare attackers step on your next turn.</t>
        </is>
      </c>
    </row>
    <row r="228">
      <c r="A228" s="13" t="inlineStr">
        <is>
          <t>Merciless Executioner</t>
        </is>
      </c>
      <c r="B228" s="13" t="inlineStr">
        <is>
          <t>Creature — Orc Warrior</t>
        </is>
      </c>
      <c r="C228" s="13" t="inlineStr">
        <is>
          <t>{2}{B}</t>
        </is>
      </c>
      <c r="D228" s="13" t="inlineStr">
        <is>
          <t>B</t>
        </is>
      </c>
      <c r="E228" s="22" t="n">
        <v>0.51</v>
      </c>
      <c r="F228" s="13" t="inlineStr"/>
      <c r="G228" s="18" t="inlineStr">
        <is>
          <t>When this creature enters, each player sacrifices a creature of their choice.</t>
        </is>
      </c>
    </row>
    <row r="229">
      <c r="A229" s="13" t="inlineStr">
        <is>
          <t>Merfolk Skydiver</t>
        </is>
      </c>
      <c r="B229" s="13" t="inlineStr">
        <is>
          <t>Creature — Merfolk Mutant</t>
        </is>
      </c>
      <c r="C229" s="13" t="inlineStr">
        <is>
          <t>{G}{U}</t>
        </is>
      </c>
      <c r="D229" s="13" t="inlineStr">
        <is>
          <t>GU</t>
        </is>
      </c>
      <c r="E229" s="22" t="n">
        <v>0.26</v>
      </c>
      <c r="F229" s="13" t="inlineStr"/>
      <c r="G229" s="18" t="inlineStr">
        <is>
          <t>Flying / When this creature enters, put a +1/+1 counter on target creature you control. / {3}{G}{U}: Proliferate. (Choose any number of permanents and/or players, then give each another counter of each kind already there.)</t>
        </is>
      </c>
    </row>
    <row r="230">
      <c r="A230" s="13" t="inlineStr">
        <is>
          <t>Midnight Reaper</t>
        </is>
      </c>
      <c r="B230" s="13" t="inlineStr">
        <is>
          <t>Creature — Zombie Knight</t>
        </is>
      </c>
      <c r="C230" s="13" t="inlineStr">
        <is>
          <t>{2}{B}</t>
        </is>
      </c>
      <c r="D230" s="13" t="inlineStr">
        <is>
          <t>B</t>
        </is>
      </c>
      <c r="E230" s="22" t="n">
        <v>0.19</v>
      </c>
      <c r="F230" s="13" t="inlineStr"/>
      <c r="G230" s="18" t="inlineStr">
        <is>
          <t>Whenever a nontoken creature you control dies, this creature deals 1 damage to you and you draw a card.</t>
        </is>
      </c>
    </row>
    <row r="231">
      <c r="A231" s="13" t="inlineStr">
        <is>
          <t>Millikin</t>
        </is>
      </c>
      <c r="B231" s="13" t="inlineStr">
        <is>
          <t>Artifact Creature — Construct</t>
        </is>
      </c>
      <c r="C231" s="13" t="inlineStr">
        <is>
          <t>{2}</t>
        </is>
      </c>
      <c r="D231" s="13" t="inlineStr"/>
      <c r="E231" s="22" t="n">
        <v>0.24</v>
      </c>
      <c r="F231" s="13" t="inlineStr"/>
      <c r="G231" s="18" t="inlineStr">
        <is>
          <t>{T}, Mill a card: Add {C}. (Activate only as an instant. To mill a card, put the top card of your library into your graveyard.)</t>
        </is>
      </c>
    </row>
    <row r="232">
      <c r="A232" s="13" t="inlineStr">
        <is>
          <t>Mind Stone</t>
        </is>
      </c>
      <c r="B232" s="13" t="inlineStr">
        <is>
          <t>Artifact</t>
        </is>
      </c>
      <c r="C232" s="13" t="inlineStr">
        <is>
          <t>{2}</t>
        </is>
      </c>
      <c r="D232" s="13" t="inlineStr"/>
      <c r="E232" s="22" t="n">
        <v>0.29</v>
      </c>
      <c r="F232" s="13" t="inlineStr"/>
      <c r="G232" s="18" t="inlineStr">
        <is>
          <t>{T}: Add {C}. / {1}, {T}, Sacrifice this artifact: Draw a card.</t>
        </is>
      </c>
    </row>
    <row r="233">
      <c r="A233" s="13" t="inlineStr">
        <is>
          <t>Mirkwood</t>
        </is>
      </c>
      <c r="B233" s="13" t="inlineStr">
        <is>
          <t>Land</t>
        </is>
      </c>
      <c r="C233" s="13" t="inlineStr"/>
      <c r="D233" s="13" t="inlineStr">
        <is>
          <t>BG</t>
        </is>
      </c>
      <c r="E233" s="22" t="n">
        <v>0.16</v>
      </c>
      <c r="F233" s="13" t="inlineStr"/>
      <c r="G233" s="18" t="inlineStr">
        <is>
          <t>This land enters tapped. / {T}: Add {B} or {G}. / {2}{B}{G}, {T}, Sacrifice this land: Put two +1/+1 counters on target Bear, Spider, or Wolf you control. Activate only as a sorcery.</t>
        </is>
      </c>
    </row>
    <row r="234">
      <c r="A234" s="13" t="inlineStr">
        <is>
          <t>Mistveil Plains</t>
        </is>
      </c>
      <c r="B234" s="13" t="inlineStr">
        <is>
          <t>Land — Plains</t>
        </is>
      </c>
      <c r="C234" s="13" t="inlineStr"/>
      <c r="D234" s="13" t="inlineStr">
        <is>
          <t>W</t>
        </is>
      </c>
      <c r="E234" s="22" t="n">
        <v>0.29</v>
      </c>
      <c r="F234" s="13" t="inlineStr"/>
      <c r="G234" s="18" t="inlineStr">
        <is>
          <t>({T}: Add {W}.) / This land enters tapped. / {W}, {T}: Put target card from your graveyard on the bottom of your library. Activate only if you control two or more white permanents.</t>
        </is>
      </c>
    </row>
    <row r="235">
      <c r="A235" s="13" t="inlineStr">
        <is>
          <t>Monologue Tax</t>
        </is>
      </c>
      <c r="B235" s="13" t="inlineStr">
        <is>
          <t>Enchantment</t>
        </is>
      </c>
      <c r="C235" s="13" t="inlineStr">
        <is>
          <t>{2}{W}</t>
        </is>
      </c>
      <c r="D235" s="13" t="inlineStr">
        <is>
          <t>W</t>
        </is>
      </c>
      <c r="E235" s="22" t="n">
        <v>0.86</v>
      </c>
      <c r="F235" s="13" t="inlineStr"/>
      <c r="G235" s="18" t="inlineStr">
        <is>
          <t>Whenever an opponent casts their second spell each turn, you create a Treasure token.</t>
        </is>
      </c>
    </row>
    <row r="236">
      <c r="A236" s="13" t="inlineStr">
        <is>
          <t>Moonshaker Cavalry</t>
        </is>
      </c>
      <c r="B236" s="13" t="inlineStr">
        <is>
          <t>Creature — Spirit Knight</t>
        </is>
      </c>
      <c r="C236" s="13" t="inlineStr">
        <is>
          <t>{5}{W}{W}{W}</t>
        </is>
      </c>
      <c r="D236" s="13" t="inlineStr">
        <is>
          <t>W</t>
        </is>
      </c>
      <c r="E236" s="22" t="n">
        <v>8.710000000000001</v>
      </c>
      <c r="F236" s="13" t="inlineStr"/>
      <c r="G236" s="18" t="inlineStr">
        <is>
          <t>Flying / When this creature enters, creatures you control gain flying and get +X/+X until end of turn, where X is the number of creatures you control.</t>
        </is>
      </c>
    </row>
    <row r="237">
      <c r="A237" s="13" t="inlineStr">
        <is>
          <t>Morbid Opportunist</t>
        </is>
      </c>
      <c r="B237" s="13" t="inlineStr">
        <is>
          <t>Creature — Human Rogue</t>
        </is>
      </c>
      <c r="C237" s="13" t="inlineStr">
        <is>
          <t>{2}{B}</t>
        </is>
      </c>
      <c r="D237" s="13" t="inlineStr">
        <is>
          <t>B</t>
        </is>
      </c>
      <c r="E237" s="22" t="n">
        <v>0.34</v>
      </c>
      <c r="F237" s="13" t="inlineStr"/>
      <c r="G237" s="18" t="inlineStr">
        <is>
          <t>Whenever one or more other creatures die, draw a card. This ability triggers only once each turn.</t>
        </is>
      </c>
    </row>
    <row r="238">
      <c r="A238" s="13" t="inlineStr">
        <is>
          <t>Mortify</t>
        </is>
      </c>
      <c r="B238" s="13" t="inlineStr">
        <is>
          <t>Instant</t>
        </is>
      </c>
      <c r="C238" s="13" t="inlineStr">
        <is>
          <t>{1}{W}{B}</t>
        </is>
      </c>
      <c r="D238" s="13" t="inlineStr">
        <is>
          <t>BW</t>
        </is>
      </c>
      <c r="E238" s="22" t="n">
        <v>0.2</v>
      </c>
      <c r="F238" s="13" t="inlineStr"/>
      <c r="G238" s="18" t="inlineStr">
        <is>
          <t>Destroy target creature or enchantment.</t>
        </is>
      </c>
    </row>
    <row r="239">
      <c r="A239" s="13" t="inlineStr">
        <is>
          <t>Mountain</t>
        </is>
      </c>
      <c r="B239" s="13" t="inlineStr">
        <is>
          <t>Basic Land — Mountain</t>
        </is>
      </c>
      <c r="C239" s="13" t="inlineStr"/>
      <c r="D239" s="13" t="inlineStr">
        <is>
          <t>R</t>
        </is>
      </c>
      <c r="E239" s="22" t="n">
        <v>0</v>
      </c>
      <c r="F239" s="13" t="inlineStr"/>
      <c r="G239" s="18" t="inlineStr">
        <is>
          <t>({T}: Add {R}.)</t>
        </is>
      </c>
    </row>
    <row r="240">
      <c r="A240" s="13" t="inlineStr">
        <is>
          <t>Mulch</t>
        </is>
      </c>
      <c r="B240" s="13" t="inlineStr">
        <is>
          <t>Sorcery</t>
        </is>
      </c>
      <c r="C240" s="13" t="inlineStr">
        <is>
          <t>{1}{G}</t>
        </is>
      </c>
      <c r="D240" s="13" t="inlineStr">
        <is>
          <t>G</t>
        </is>
      </c>
      <c r="E240" s="22" t="n">
        <v>0.3</v>
      </c>
      <c r="F240" s="13" t="inlineStr"/>
      <c r="G240" s="18" t="inlineStr">
        <is>
          <t>Reveal the top four cards of your library. Put all land cards revealed this way into your hand and the rest into your graveyard.</t>
        </is>
      </c>
    </row>
    <row r="241">
      <c r="A241" s="13" t="inlineStr">
        <is>
          <t>Mulldrifter</t>
        </is>
      </c>
      <c r="B241" s="13" t="inlineStr">
        <is>
          <t>Creature — Elemental</t>
        </is>
      </c>
      <c r="C241" s="13" t="inlineStr">
        <is>
          <t>{4}{U}</t>
        </is>
      </c>
      <c r="D241" s="13" t="inlineStr">
        <is>
          <t>U</t>
        </is>
      </c>
      <c r="E241" s="22" t="n">
        <v>0.34</v>
      </c>
      <c r="F241" s="13" t="inlineStr"/>
      <c r="G241" s="18" t="inlineStr">
        <is>
          <t>Flying / When this creature enters, draw two cards. / Evoke {2}{U} (You may cast this spell for its evoke cost. If you do, it's sacrificed when it enters.)</t>
        </is>
      </c>
    </row>
    <row r="242">
      <c r="A242" s="13" t="inlineStr">
        <is>
          <t>Myriad Landscape</t>
        </is>
      </c>
      <c r="B242" s="13" t="inlineStr">
        <is>
          <t>Land</t>
        </is>
      </c>
      <c r="C242" s="13" t="inlineStr"/>
      <c r="D242" s="13" t="inlineStr"/>
      <c r="E242" s="22" t="n">
        <v>0.35</v>
      </c>
      <c r="F242" s="13" t="inlineStr"/>
      <c r="G242" s="18" t="inlineStr">
        <is>
          <t>This land enters tapped. / {T}: Add {C}. / {2}, {T}, Sacrifice this land: Search your library for up to two basic land cards that share a land type, put them onto the battlefield tapped, then shuffle.</t>
        </is>
      </c>
    </row>
    <row r="243">
      <c r="A243" s="13" t="inlineStr">
        <is>
          <t>Mystic Confluence</t>
        </is>
      </c>
      <c r="B243" s="13" t="inlineStr">
        <is>
          <t>Instant</t>
        </is>
      </c>
      <c r="C243" s="13" t="inlineStr">
        <is>
          <t>{3}{U}{U}</t>
        </is>
      </c>
      <c r="D243" s="13" t="inlineStr">
        <is>
          <t>U</t>
        </is>
      </c>
      <c r="E243" s="22" t="n">
        <v>1.07</v>
      </c>
      <c r="F243" s="13" t="inlineStr"/>
      <c r="G243" s="18" t="inlineStr">
        <is>
          <t>Choose three. You may choose the same mode more than once. / • Counter target spell unless its controller pays {3}. / • Return target creature to its owner's hand. / • Draw a card.</t>
        </is>
      </c>
    </row>
    <row r="244">
      <c r="A244" s="13" t="inlineStr">
        <is>
          <t>Naktamun Lorespinner // Wheel of Fortune</t>
        </is>
      </c>
      <c r="B244" s="13" t="inlineStr">
        <is>
          <t>Creature — Jackal Wizard // Sorcery</t>
        </is>
      </c>
      <c r="C244" s="13" t="inlineStr">
        <is>
          <t>{2}{R} // {2}{R}</t>
        </is>
      </c>
      <c r="D244" s="13" t="inlineStr">
        <is>
          <t>R</t>
        </is>
      </c>
      <c r="E244" s="22" t="n">
        <v>1.73</v>
      </c>
      <c r="F244" s="13" t="inlineStr"/>
      <c r="G244" s="18" t="inlineStr">
        <is>
          <t>At the beginning of your upkeep, if a player has one or fewer cards in hand, this creature becomes prepared. (While it's prepared, you may cast a copy of its spell. Doing so unprepares it.) / Each player discards their hand, then draws seven cards.</t>
        </is>
      </c>
    </row>
    <row r="245">
      <c r="A245" s="13" t="inlineStr">
        <is>
          <t>Nature's Lore</t>
        </is>
      </c>
      <c r="B245" s="13" t="inlineStr">
        <is>
          <t>Sorcery</t>
        </is>
      </c>
      <c r="C245" s="13" t="inlineStr">
        <is>
          <t>{1}{G}</t>
        </is>
      </c>
      <c r="D245" s="13" t="inlineStr">
        <is>
          <t>G</t>
        </is>
      </c>
      <c r="E245" s="22" t="n">
        <v>2.83</v>
      </c>
      <c r="F245" s="13" t="inlineStr"/>
      <c r="G245" s="18" t="inlineStr">
        <is>
          <t>Search your library for a Forest card, put that card onto the battlefield, then shuffle.</t>
        </is>
      </c>
    </row>
    <row r="246">
      <c r="A246" s="13" t="inlineStr">
        <is>
          <t>Naya Panorama</t>
        </is>
      </c>
      <c r="B246" s="13" t="inlineStr">
        <is>
          <t>Land</t>
        </is>
      </c>
      <c r="C246" s="13" t="inlineStr"/>
      <c r="D246" s="13" t="inlineStr"/>
      <c r="E246" s="22" t="n">
        <v>0.36</v>
      </c>
      <c r="F246" s="13" t="inlineStr"/>
      <c r="G246" s="18" t="inlineStr">
        <is>
          <t>{T}: Add {C}. / {1}, {T}, Sacrifice this land: Search your library for a basic Mountain, Forest, or Plains card, put it onto the battlefield tapped, then shuffle.</t>
        </is>
      </c>
    </row>
    <row r="247">
      <c r="A247" s="13" t="inlineStr">
        <is>
          <t>Necropotence</t>
        </is>
      </c>
      <c r="B247" s="13" t="inlineStr">
        <is>
          <t>Enchantment</t>
        </is>
      </c>
      <c r="C247" s="13" t="inlineStr">
        <is>
          <t>{B}{B}{B}</t>
        </is>
      </c>
      <c r="D247" s="13" t="inlineStr">
        <is>
          <t>B</t>
        </is>
      </c>
      <c r="E247" s="22" t="n">
        <v>36.39</v>
      </c>
      <c r="F247" s="13" t="inlineStr"/>
      <c r="G247" s="18" t="inlineStr">
        <is>
          <t>Skip your draw step. / Whenever you discard a card, exile that card from your graveyard. / Pay 1 life: Exile the top card of your library face down. Put that card into your hand at the beginning of your next end step.</t>
        </is>
      </c>
    </row>
    <row r="248">
      <c r="A248" s="13" t="inlineStr">
        <is>
          <t>Negate</t>
        </is>
      </c>
      <c r="B248" s="13" t="inlineStr">
        <is>
          <t>Instant</t>
        </is>
      </c>
      <c r="C248" s="13" t="inlineStr">
        <is>
          <t>{1}{U}</t>
        </is>
      </c>
      <c r="D248" s="13" t="inlineStr">
        <is>
          <t>U</t>
        </is>
      </c>
      <c r="E248" s="22" t="n">
        <v>0.3</v>
      </c>
      <c r="F248" s="13" t="inlineStr"/>
      <c r="G248" s="18" t="inlineStr">
        <is>
          <t>Counter target noncreature spell.</t>
        </is>
      </c>
    </row>
    <row r="249">
      <c r="A249" s="13" t="inlineStr">
        <is>
          <t>Nezahal, Primal Tide</t>
        </is>
      </c>
      <c r="B249" s="13" t="inlineStr">
        <is>
          <t>Legendary Creature — Elder Dinosaur</t>
        </is>
      </c>
      <c r="C249" s="13" t="inlineStr">
        <is>
          <t>{5}{U}{U}</t>
        </is>
      </c>
      <c r="D249" s="13" t="inlineStr">
        <is>
          <t>U</t>
        </is>
      </c>
      <c r="E249" s="22" t="n">
        <v>8.41</v>
      </c>
      <c r="F249" s="13" t="inlineStr"/>
      <c r="G249" s="18" t="inlineStr">
        <is>
          <t>This spell can't be countered. / You have no maximum hand size. / Whenever an opponent casts a noncreature spell, draw a card. / Discard three cards: Exile Nezahal. Return it to the battlefield tapped under its owner's control at the beginning of the next end step.</t>
        </is>
      </c>
    </row>
    <row r="250">
      <c r="A250" s="13" t="inlineStr">
        <is>
          <t>Nikko-Onna</t>
        </is>
      </c>
      <c r="B250" s="13" t="inlineStr">
        <is>
          <t>Creature — Spirit</t>
        </is>
      </c>
      <c r="C250" s="13" t="inlineStr">
        <is>
          <t>{2}{W}</t>
        </is>
      </c>
      <c r="D250" s="13" t="inlineStr">
        <is>
          <t>W</t>
        </is>
      </c>
      <c r="E250" s="22" t="n">
        <v>0.64</v>
      </c>
      <c r="F250" s="13" t="inlineStr"/>
      <c r="G250" s="18" t="inlineStr">
        <is>
          <t>When this creature enters, destroy target enchantment. / Whenever you cast a Spirit or Arcane spell, you may return this creature to its owner's hand.</t>
        </is>
      </c>
    </row>
    <row r="251">
      <c r="A251" s="13" t="inlineStr">
        <is>
          <t>Nissa's Pilgrimage</t>
        </is>
      </c>
      <c r="B251" s="13" t="inlineStr">
        <is>
          <t>Sorcery</t>
        </is>
      </c>
      <c r="C251" s="13" t="inlineStr">
        <is>
          <t>{2}{G}</t>
        </is>
      </c>
      <c r="D251" s="13" t="inlineStr">
        <is>
          <t>G</t>
        </is>
      </c>
      <c r="E251" s="22" t="n">
        <v>0.43</v>
      </c>
      <c r="F251" s="13" t="inlineStr"/>
      <c r="G251" s="18" t="inlineStr">
        <is>
          <t>Search your library for up to two basic Forest cards, reveal those cards, and put one onto the battlefield tapped and the rest into your hand. Then shuffle. / Spell mastery — If there are two or more instant and/or sorcery cards in your graveyard, search your library for up to three basic Forest cards instead of two.</t>
        </is>
      </c>
    </row>
    <row r="252">
      <c r="A252" s="13" t="inlineStr">
        <is>
          <t>Nissa, Voice of Zendikar</t>
        </is>
      </c>
      <c r="B252" s="13" t="inlineStr">
        <is>
          <t>Legendary Planeswalker — Nissa</t>
        </is>
      </c>
      <c r="C252" s="13" t="inlineStr">
        <is>
          <t>{1}{G}{G}</t>
        </is>
      </c>
      <c r="D252" s="13" t="inlineStr">
        <is>
          <t>G</t>
        </is>
      </c>
      <c r="E252" s="22" t="n">
        <v>3.18</v>
      </c>
      <c r="F252" s="13" t="inlineStr"/>
      <c r="G252" s="18" t="inlineStr">
        <is>
          <t>+1: Create a 0/1 green Plant creature token. / −2: Put a +1/+1 counter on each creature you control. / −7: You gain X life and draw X cards, where X is the number of lands you control.</t>
        </is>
      </c>
    </row>
    <row r="253">
      <c r="A253" s="13" t="inlineStr">
        <is>
          <t>Nyx-Fleece Ram</t>
        </is>
      </c>
      <c r="B253" s="13" t="inlineStr">
        <is>
          <t>Enchantment Creature — Sheep</t>
        </is>
      </c>
      <c r="C253" s="13" t="inlineStr">
        <is>
          <t>{1}{W}</t>
        </is>
      </c>
      <c r="D253" s="13" t="inlineStr">
        <is>
          <t>W</t>
        </is>
      </c>
      <c r="E253" s="22" t="n">
        <v>0.29</v>
      </c>
      <c r="F253" s="13" t="inlineStr"/>
      <c r="G253" s="18" t="inlineStr">
        <is>
          <t>At the beginning of your upkeep, you gain 1 life.</t>
        </is>
      </c>
    </row>
    <row r="254">
      <c r="A254" s="13" t="inlineStr">
        <is>
          <t>Open the Armory</t>
        </is>
      </c>
      <c r="B254" s="13" t="inlineStr">
        <is>
          <t>Sorcery</t>
        </is>
      </c>
      <c r="C254" s="13" t="inlineStr">
        <is>
          <t>{1}{W}</t>
        </is>
      </c>
      <c r="D254" s="13" t="inlineStr">
        <is>
          <t>W</t>
        </is>
      </c>
      <c r="E254" s="22" t="n">
        <v>3.34</v>
      </c>
      <c r="F254" s="13" t="inlineStr"/>
      <c r="G254" s="18" t="inlineStr">
        <is>
          <t>Search your library for an Aura or Equipment card, reveal it, put it into your hand, then shuffle.</t>
        </is>
      </c>
    </row>
    <row r="255">
      <c r="A255" s="13" t="inlineStr">
        <is>
          <t>Opulent Palace</t>
        </is>
      </c>
      <c r="B255" s="13" t="inlineStr">
        <is>
          <t>Land</t>
        </is>
      </c>
      <c r="C255" s="13" t="inlineStr"/>
      <c r="D255" s="13" t="inlineStr">
        <is>
          <t>BGU</t>
        </is>
      </c>
      <c r="E255" s="22" t="n">
        <v>0.37</v>
      </c>
      <c r="F255" s="13" t="inlineStr"/>
      <c r="G255" s="18" t="inlineStr">
        <is>
          <t>This land enters tapped. / {T}: Add {B}, {G}, or {U}.</t>
        </is>
      </c>
    </row>
    <row r="256">
      <c r="A256" s="13" t="inlineStr">
        <is>
          <t>Ordeal of Nylea</t>
        </is>
      </c>
      <c r="B256" s="13" t="inlineStr">
        <is>
          <t>Enchantment — Aura</t>
        </is>
      </c>
      <c r="C256" s="13" t="inlineStr">
        <is>
          <t>{1}{G}</t>
        </is>
      </c>
      <c r="D256" s="13" t="inlineStr">
        <is>
          <t>G</t>
        </is>
      </c>
      <c r="E256" s="22" t="n">
        <v>0.17</v>
      </c>
      <c r="F256" s="13" t="inlineStr"/>
      <c r="G256" s="18" t="inlineStr">
        <is>
          <t>Enchant creature / Whenever enchanted creature attacks, put a +1/+1 counter on it. Then if it has three or more +1/+1 counters on it, sacrifice this Aura. / When you sacrifice this Aura, search your library for up to two basic land cards, put them onto the battlefield tapped, then shuffle.</t>
        </is>
      </c>
    </row>
    <row r="257">
      <c r="A257" s="13" t="inlineStr">
        <is>
          <t>Origin of Metalbending</t>
        </is>
      </c>
      <c r="B257" s="13" t="inlineStr">
        <is>
          <t>Instant — Lesson</t>
        </is>
      </c>
      <c r="C257" s="13" t="inlineStr">
        <is>
          <t>{1}{G}</t>
        </is>
      </c>
      <c r="D257" s="13" t="inlineStr">
        <is>
          <t>G</t>
        </is>
      </c>
      <c r="E257" s="22" t="n">
        <v>0.19</v>
      </c>
      <c r="F257" s="13" t="inlineStr"/>
      <c r="G257" s="18" t="inlineStr">
        <is>
          <t>Choose one — / • Destroy target artifact or enchantment. / • Put a +1/+1 counter on target creature you control. It gains indestructible until end of turn. (Damage and effects that say "destroy" don't destroy it.)</t>
        </is>
      </c>
    </row>
    <row r="258">
      <c r="A258" s="13" t="inlineStr">
        <is>
          <t>Orzhov Basilica</t>
        </is>
      </c>
      <c r="B258" s="13" t="inlineStr">
        <is>
          <t>Land</t>
        </is>
      </c>
      <c r="C258" s="13" t="inlineStr"/>
      <c r="D258" s="13" t="inlineStr">
        <is>
          <t>BW</t>
        </is>
      </c>
      <c r="E258" s="22" t="n">
        <v>0.25</v>
      </c>
      <c r="F258" s="13" t="inlineStr"/>
      <c r="G258" s="18" t="inlineStr">
        <is>
          <t>This land enters tapped. / When this land enters, return a land you control to its owner's hand. / {T}: Add {W}{B}.</t>
        </is>
      </c>
    </row>
    <row r="259">
      <c r="A259" s="13" t="inlineStr">
        <is>
          <t>Orzhov Signet</t>
        </is>
      </c>
      <c r="B259" s="13" t="inlineStr">
        <is>
          <t>Artifact</t>
        </is>
      </c>
      <c r="C259" s="13" t="inlineStr">
        <is>
          <t>{2}</t>
        </is>
      </c>
      <c r="D259" s="13" t="inlineStr">
        <is>
          <t>BW</t>
        </is>
      </c>
      <c r="E259" s="22" t="n">
        <v>0.37</v>
      </c>
      <c r="F259" s="13" t="inlineStr"/>
      <c r="G259" s="18" t="inlineStr">
        <is>
          <t>{1}, {T}: Add {W}{B}.</t>
        </is>
      </c>
    </row>
    <row r="260">
      <c r="A260" s="13" t="inlineStr">
        <is>
          <t>Overgrown Battlement</t>
        </is>
      </c>
      <c r="B260" s="13" t="inlineStr">
        <is>
          <t>Creature — Wall</t>
        </is>
      </c>
      <c r="C260" s="13" t="inlineStr">
        <is>
          <t>{1}{G}</t>
        </is>
      </c>
      <c r="D260" s="13" t="inlineStr">
        <is>
          <t>G</t>
        </is>
      </c>
      <c r="E260" s="22" t="n">
        <v>0.31</v>
      </c>
      <c r="F260" s="13" t="inlineStr"/>
      <c r="G260" s="18" t="inlineStr">
        <is>
          <t>Defender / {T}: Add {G} for each creature you control with defender.</t>
        </is>
      </c>
    </row>
    <row r="261">
      <c r="A261" s="13" t="inlineStr">
        <is>
          <t>Overgrown Farmland</t>
        </is>
      </c>
      <c r="B261" s="13" t="inlineStr">
        <is>
          <t>Land</t>
        </is>
      </c>
      <c r="C261" s="13" t="inlineStr"/>
      <c r="D261" s="13" t="inlineStr">
        <is>
          <t>GW</t>
        </is>
      </c>
      <c r="E261" s="22" t="n">
        <v>4.45</v>
      </c>
      <c r="F261" s="13" t="inlineStr"/>
      <c r="G261" s="18" t="inlineStr">
        <is>
          <t>This land enters tapped unless you control two or more other lands. / {T}: Add {G} or {W}.</t>
        </is>
      </c>
    </row>
    <row r="262">
      <c r="A262" s="13" t="inlineStr">
        <is>
          <t>Ozolith, the Shattered Spire</t>
        </is>
      </c>
      <c r="B262" s="13" t="inlineStr">
        <is>
          <t>Legendary Artifact</t>
        </is>
      </c>
      <c r="C262" s="13" t="inlineStr">
        <is>
          <t>{1}{G}</t>
        </is>
      </c>
      <c r="D262" s="13" t="inlineStr">
        <is>
          <t>G</t>
        </is>
      </c>
      <c r="E262" s="22" t="n">
        <v>6.03</v>
      </c>
      <c r="F262" s="13" t="inlineStr"/>
      <c r="G262" s="18" t="inlineStr">
        <is>
          <t>If one or more +1/+1 counters would be put on an artifact or creature you control, that many plus one +1/+1 counters are put on it instead. / {1}{G}, {T}: Put a +1/+1 counter on target artifact or creature you control. Activate only as a sorcery. / Cycling {2} ({2}, Discard this card: Draw a card.)</t>
        </is>
      </c>
    </row>
    <row r="263">
      <c r="A263" s="13" t="inlineStr">
        <is>
          <t>Panharmonicon</t>
        </is>
      </c>
      <c r="B263" s="13" t="inlineStr">
        <is>
          <t>Artifact</t>
        </is>
      </c>
      <c r="C263" s="13" t="inlineStr">
        <is>
          <t>{4}</t>
        </is>
      </c>
      <c r="D263" s="13" t="inlineStr"/>
      <c r="E263" s="22" t="n">
        <v>7.04</v>
      </c>
      <c r="F263" s="13" t="inlineStr"/>
      <c r="G263" s="18" t="inlineStr">
        <is>
          <t>If an artifact or creature entering causes a triggered ability of a permanent you control to trigger, that ability triggers an additional time.</t>
        </is>
      </c>
    </row>
    <row r="264">
      <c r="A264" s="13" t="inlineStr">
        <is>
          <t>Paradise Druid</t>
        </is>
      </c>
      <c r="B264" s="13" t="inlineStr">
        <is>
          <t>Creature — Elf Druid</t>
        </is>
      </c>
      <c r="C264" s="13" t="inlineStr">
        <is>
          <t>{1}{G}</t>
        </is>
      </c>
      <c r="D264" s="13" t="inlineStr">
        <is>
          <t>G</t>
        </is>
      </c>
      <c r="E264" s="22" t="n">
        <v>0.2</v>
      </c>
      <c r="F264" s="13" t="inlineStr"/>
      <c r="G264" s="18" t="inlineStr">
        <is>
          <t>This creature has hexproof as long as it's untapped. (It can't be the target of spells or abilities your opponents control.) / {T}: Add one mana of any color.</t>
        </is>
      </c>
    </row>
    <row r="265">
      <c r="A265" s="13" t="inlineStr">
        <is>
          <t>Patchwork Banner</t>
        </is>
      </c>
      <c r="B265" s="13" t="inlineStr">
        <is>
          <t>Artifact</t>
        </is>
      </c>
      <c r="C265" s="13" t="inlineStr">
        <is>
          <t>{3}</t>
        </is>
      </c>
      <c r="D265" s="13" t="inlineStr"/>
      <c r="E265" s="22" t="n">
        <v>2.62</v>
      </c>
      <c r="F265" s="13" t="inlineStr"/>
      <c r="G265" s="18" t="inlineStr">
        <is>
          <t>As this artifact enters, choose a creature type. / Creatures you control of the chosen type get +1/+1. / {T}: Add one mana of any color.</t>
        </is>
      </c>
    </row>
    <row r="266">
      <c r="A266" s="13" t="inlineStr">
        <is>
          <t>Path of Ancestry</t>
        </is>
      </c>
      <c r="B266" s="13" t="inlineStr">
        <is>
          <t>Land</t>
        </is>
      </c>
      <c r="C266" s="13" t="inlineStr"/>
      <c r="D266" s="13" t="inlineStr"/>
      <c r="E266" s="22" t="n">
        <v>0.16</v>
      </c>
      <c r="F266" s="13" t="inlineStr"/>
      <c r="G266" s="18" t="inlineStr">
        <is>
          <t>This land enters tapped. / {T}: Add one mana of any color in your commander's color identity. When that mana is spent to cast a creature spell that shares a creature type with your commander, scry 1. (Look at the top card of your library. You may put that card on the bottom.)</t>
        </is>
      </c>
    </row>
    <row r="267">
      <c r="A267" s="13" t="inlineStr">
        <is>
          <t>Path to Exile</t>
        </is>
      </c>
      <c r="B267" s="13" t="inlineStr">
        <is>
          <t>Instant</t>
        </is>
      </c>
      <c r="C267" s="13" t="inlineStr">
        <is>
          <t>{W}</t>
        </is>
      </c>
      <c r="D267" s="13" t="inlineStr">
        <is>
          <t>W</t>
        </is>
      </c>
      <c r="E267" s="22" t="n">
        <v>1.55</v>
      </c>
      <c r="F267" s="13" t="inlineStr"/>
      <c r="G267" s="18" t="inlineStr">
        <is>
          <t>Exile target creature. Its controller may search their library for a basic land card, put that card onto the battlefield tapped, then shuffle.</t>
        </is>
      </c>
    </row>
    <row r="268">
      <c r="A268" s="13" t="inlineStr">
        <is>
          <t>Peregrine Drake</t>
        </is>
      </c>
      <c r="B268" s="13" t="inlineStr">
        <is>
          <t>Creature — Drake</t>
        </is>
      </c>
      <c r="C268" s="13" t="inlineStr">
        <is>
          <t>{4}{U}</t>
        </is>
      </c>
      <c r="D268" s="13" t="inlineStr">
        <is>
          <t>U</t>
        </is>
      </c>
      <c r="E268" s="22" t="n">
        <v>0.25</v>
      </c>
      <c r="F268" s="13" t="inlineStr"/>
      <c r="G268" s="18" t="inlineStr">
        <is>
          <t>Flying / When this creature enters, untap up to five lands.</t>
        </is>
      </c>
    </row>
    <row r="269">
      <c r="A269" s="13" t="inlineStr">
        <is>
          <t>Perimeter Captain</t>
        </is>
      </c>
      <c r="B269" s="13" t="inlineStr">
        <is>
          <t>Creature — Human Soldier</t>
        </is>
      </c>
      <c r="C269" s="13" t="inlineStr">
        <is>
          <t>{W}</t>
        </is>
      </c>
      <c r="D269" s="13" t="inlineStr">
        <is>
          <t>W</t>
        </is>
      </c>
      <c r="E269" s="22" t="n">
        <v>1.28</v>
      </c>
      <c r="F269" s="13" t="inlineStr"/>
      <c r="G269" s="18" t="inlineStr">
        <is>
          <t>Defender / Whenever a creature you control with defender blocks, you may gain 2 life.</t>
        </is>
      </c>
    </row>
    <row r="270">
      <c r="A270" s="13" t="inlineStr">
        <is>
          <t>Perpetual Timepiece</t>
        </is>
      </c>
      <c r="B270" s="13" t="inlineStr">
        <is>
          <t>Artifact</t>
        </is>
      </c>
      <c r="C270" s="13" t="inlineStr">
        <is>
          <t>{2}</t>
        </is>
      </c>
      <c r="D270" s="13" t="inlineStr"/>
      <c r="E270" s="22" t="n">
        <v>0.26</v>
      </c>
      <c r="F270" s="13" t="inlineStr"/>
      <c r="G270" s="18" t="inlineStr">
        <is>
          <t>{T}: Mill two cards. (Put the top two cards of your library into your graveyard.) / {2}, Exile this artifact: Shuffle any number of target cards from your graveyard into your library.</t>
        </is>
      </c>
    </row>
    <row r="271">
      <c r="A271" s="13" t="inlineStr">
        <is>
          <t>Phyrexian Arena</t>
        </is>
      </c>
      <c r="B271" s="13" t="inlineStr">
        <is>
          <t>Enchantment</t>
        </is>
      </c>
      <c r="C271" s="13" t="inlineStr">
        <is>
          <t>{1}{B}{B}</t>
        </is>
      </c>
      <c r="D271" s="13" t="inlineStr">
        <is>
          <t>B</t>
        </is>
      </c>
      <c r="E271" s="22" t="n">
        <v>4.04</v>
      </c>
      <c r="F271" s="13" t="inlineStr"/>
      <c r="G271" s="18" t="inlineStr">
        <is>
          <t>At the beginning of your upkeep, you draw a card and you lose 1 life.</t>
        </is>
      </c>
    </row>
    <row r="272">
      <c r="A272" s="13" t="inlineStr">
        <is>
          <t>Pilgrim's Eye</t>
        </is>
      </c>
      <c r="B272" s="13" t="inlineStr">
        <is>
          <t>Artifact Creature — Thopter</t>
        </is>
      </c>
      <c r="C272" s="13" t="inlineStr">
        <is>
          <t>{3}</t>
        </is>
      </c>
      <c r="D272" s="13" t="inlineStr"/>
      <c r="E272" s="22" t="n">
        <v>0.17</v>
      </c>
      <c r="F272" s="13" t="inlineStr"/>
      <c r="G272" s="18" t="inlineStr">
        <is>
          <t>Flying / When this creature enters, you may search your library for a basic land card, reveal it, put it into your hand, then shuffle.</t>
        </is>
      </c>
    </row>
    <row r="273">
      <c r="A273" s="13" t="inlineStr">
        <is>
          <t>Plaguecrafter</t>
        </is>
      </c>
      <c r="B273" s="13" t="inlineStr">
        <is>
          <t>Creature — Human Shaman</t>
        </is>
      </c>
      <c r="C273" s="13" t="inlineStr">
        <is>
          <t>{2}{B}</t>
        </is>
      </c>
      <c r="D273" s="13" t="inlineStr">
        <is>
          <t>B</t>
        </is>
      </c>
      <c r="E273" s="22" t="n">
        <v>0.4</v>
      </c>
      <c r="F273" s="13" t="inlineStr"/>
      <c r="G273" s="18" t="inlineStr">
        <is>
          <t>When this creature enters, each player sacrifices a creature or planeswalker of their choice. Each player who can't discards a card.</t>
        </is>
      </c>
    </row>
    <row r="274">
      <c r="A274" s="13" t="inlineStr">
        <is>
          <t>Plaguemaw Beast</t>
        </is>
      </c>
      <c r="B274" s="13" t="inlineStr">
        <is>
          <t>Creature — Phyrexian Beast</t>
        </is>
      </c>
      <c r="C274" s="13" t="inlineStr">
        <is>
          <t>{3}{G}{G}</t>
        </is>
      </c>
      <c r="D274" s="13" t="inlineStr">
        <is>
          <t>G</t>
        </is>
      </c>
      <c r="E274" s="22" t="n">
        <v>0.19</v>
      </c>
      <c r="F274" s="13" t="inlineStr"/>
      <c r="G274" s="18" t="inlineStr">
        <is>
          <t>{T}, Sacrifice a creature: Proliferate. (Choose any number of permanents and/or players, then give each another counter of each kind already there.)</t>
        </is>
      </c>
    </row>
    <row r="275">
      <c r="A275" s="13" t="inlineStr">
        <is>
          <t>Plains</t>
        </is>
      </c>
      <c r="B275" s="13" t="inlineStr">
        <is>
          <t>Basic Land — Plains</t>
        </is>
      </c>
      <c r="C275" s="13" t="inlineStr"/>
      <c r="D275" s="13" t="inlineStr">
        <is>
          <t>W</t>
        </is>
      </c>
      <c r="E275" s="22" t="n">
        <v>0</v>
      </c>
      <c r="F275" s="13" t="inlineStr"/>
      <c r="G275" s="18" t="inlineStr">
        <is>
          <t>({T}: Add {W}.)</t>
        </is>
      </c>
    </row>
    <row r="276">
      <c r="A276" s="13" t="inlineStr">
        <is>
          <t>Pongify</t>
        </is>
      </c>
      <c r="B276" s="13" t="inlineStr">
        <is>
          <t>Instant</t>
        </is>
      </c>
      <c r="C276" s="13" t="inlineStr"/>
      <c r="D276" s="13" t="inlineStr"/>
      <c r="E276" s="22" t="n">
        <v>1.91</v>
      </c>
      <c r="F276" s="13" t="inlineStr"/>
      <c r="G276" s="18" t="inlineStr"/>
    </row>
    <row r="277">
      <c r="A277" s="13" t="inlineStr">
        <is>
          <t>Portable Hole</t>
        </is>
      </c>
      <c r="B277" s="13" t="inlineStr">
        <is>
          <t>Artifact</t>
        </is>
      </c>
      <c r="C277" s="13" t="inlineStr">
        <is>
          <t>{W}</t>
        </is>
      </c>
      <c r="D277" s="13" t="inlineStr">
        <is>
          <t>W</t>
        </is>
      </c>
      <c r="E277" s="22" t="n">
        <v>0.37</v>
      </c>
      <c r="F277" s="13" t="inlineStr"/>
      <c r="G277" s="18" t="inlineStr">
        <is>
          <t>When this artifact enters, exile target nonland permanent an opponent controls with mana value 2 or less until this artifact leaves the battlefield.</t>
        </is>
      </c>
    </row>
    <row r="278">
      <c r="A278" s="13" t="inlineStr">
        <is>
          <t>Portcullis Vine</t>
        </is>
      </c>
      <c r="B278" s="13" t="inlineStr">
        <is>
          <t>Creature — Plant Wall</t>
        </is>
      </c>
      <c r="C278" s="13" t="inlineStr">
        <is>
          <t>{G}</t>
        </is>
      </c>
      <c r="D278" s="13" t="inlineStr">
        <is>
          <t>G</t>
        </is>
      </c>
      <c r="E278" s="22" t="n">
        <v>0.22</v>
      </c>
      <c r="F278" s="13" t="inlineStr"/>
      <c r="G278" s="18" t="inlineStr">
        <is>
          <t>Defender (This creature can't attack.) / {2}, {T}, Sacrifice a creature with defender: Draw a card.</t>
        </is>
      </c>
    </row>
    <row r="279">
      <c r="A279" s="13" t="inlineStr">
        <is>
          <t>Primary Research</t>
        </is>
      </c>
      <c r="B279" s="13" t="inlineStr">
        <is>
          <t>Enchantment</t>
        </is>
      </c>
      <c r="C279" s="13" t="inlineStr">
        <is>
          <t>{4}{W}</t>
        </is>
      </c>
      <c r="D279" s="13" t="inlineStr">
        <is>
          <t>W</t>
        </is>
      </c>
      <c r="E279" s="22" t="n">
        <v>0.17</v>
      </c>
      <c r="F279" s="13" t="inlineStr"/>
      <c r="G279" s="18" t="inlineStr">
        <is>
          <t>When this enchantment enters, return target nonland permanent card with mana value 3 or less from your graveyard to the battlefield. / At the beginning of your end step, if a card left your graveyard this turn, draw a card.</t>
        </is>
      </c>
    </row>
    <row r="280">
      <c r="A280" s="13" t="inlineStr">
        <is>
          <t>Pristine Talisman</t>
        </is>
      </c>
      <c r="B280" s="13" t="inlineStr">
        <is>
          <t>Artifact</t>
        </is>
      </c>
      <c r="C280" s="13" t="inlineStr">
        <is>
          <t>{3}</t>
        </is>
      </c>
      <c r="D280" s="13" t="inlineStr"/>
      <c r="E280" s="22" t="n">
        <v>0.33</v>
      </c>
      <c r="F280" s="13" t="inlineStr"/>
      <c r="G280" s="18" t="inlineStr">
        <is>
          <t>{T}: Add {C}. You gain 1 life.</t>
        </is>
      </c>
    </row>
    <row r="281">
      <c r="A281" s="13" t="inlineStr">
        <is>
          <t>Professional Face-Breaker</t>
        </is>
      </c>
      <c r="B281" s="13" t="inlineStr">
        <is>
          <t>Creature — Human Warrior</t>
        </is>
      </c>
      <c r="C281" s="13" t="inlineStr">
        <is>
          <t>{2}{R}</t>
        </is>
      </c>
      <c r="D281" s="13" t="inlineStr">
        <is>
          <t>R</t>
        </is>
      </c>
      <c r="E281" s="22" t="n">
        <v>6.91</v>
      </c>
      <c r="F281" s="13" t="inlineStr"/>
      <c r="G281" s="18" t="inlineStr">
        <is>
          <t>Menace / Whenever one or more creatures you control deal combat damage to a player, create a Treasure token. / Sacrifice a Treasure: Exile the top card of your library. You may play that card this turn.</t>
        </is>
      </c>
    </row>
    <row r="282">
      <c r="A282" s="13" t="inlineStr">
        <is>
          <t>Protector of the Wastes</t>
        </is>
      </c>
      <c r="B282" s="13" t="inlineStr">
        <is>
          <t>Creature — Dragon</t>
        </is>
      </c>
      <c r="C282" s="13" t="inlineStr">
        <is>
          <t>{4}{W}{W}</t>
        </is>
      </c>
      <c r="D282" s="13" t="inlineStr">
        <is>
          <t>W</t>
        </is>
      </c>
      <c r="E282" s="22" t="n">
        <v>0.27</v>
      </c>
      <c r="F282" s="13" t="inlineStr"/>
      <c r="G282" s="18" t="inlineStr">
        <is>
          <t>Flying / When this creature enters or becomes monstrous, exile up to two target artifacts and/or enchantments controlled by different players. / {4}{W}: Monstrosity 3. (If this creature isn't monstrous, put three +1/+1 counters on it and it becomes monstrous.)</t>
        </is>
      </c>
    </row>
    <row r="283">
      <c r="A283" s="13" t="inlineStr">
        <is>
          <t>Putrefy</t>
        </is>
      </c>
      <c r="B283" s="13" t="inlineStr">
        <is>
          <t>Instant</t>
        </is>
      </c>
      <c r="C283" s="13" t="inlineStr">
        <is>
          <t>{1}{B}{G}</t>
        </is>
      </c>
      <c r="D283" s="13" t="inlineStr">
        <is>
          <t>BG</t>
        </is>
      </c>
      <c r="E283" s="22" t="n">
        <v>0.34</v>
      </c>
      <c r="F283" s="13" t="inlineStr"/>
      <c r="G283" s="18" t="inlineStr">
        <is>
          <t>Destroy target artifact or creature. It can't be regenerated.</t>
        </is>
      </c>
    </row>
    <row r="284">
      <c r="A284" s="13" t="inlineStr">
        <is>
          <t>Pyroblast</t>
        </is>
      </c>
      <c r="B284" s="13" t="inlineStr">
        <is>
          <t>Instant</t>
        </is>
      </c>
      <c r="C284" s="13" t="inlineStr">
        <is>
          <t>{R}</t>
        </is>
      </c>
      <c r="D284" s="13" t="inlineStr">
        <is>
          <t>R</t>
        </is>
      </c>
      <c r="E284" s="22" t="n">
        <v>10.08</v>
      </c>
      <c r="F284" s="13" t="inlineStr"/>
      <c r="G284" s="18" t="inlineStr">
        <is>
          <t>Choose one — / • Counter target spell if it's blue. / • Destroy target permanent if it's blue.</t>
        </is>
      </c>
    </row>
    <row r="285">
      <c r="A285" s="13" t="inlineStr">
        <is>
          <t>Quintorius, Field Historian</t>
        </is>
      </c>
      <c r="B285" s="13" t="inlineStr">
        <is>
          <t>Legendary Creature — Elephant Cleric</t>
        </is>
      </c>
      <c r="C285" s="13" t="inlineStr">
        <is>
          <t>{3}{R}{W}</t>
        </is>
      </c>
      <c r="D285" s="13" t="inlineStr">
        <is>
          <t>RW</t>
        </is>
      </c>
      <c r="E285" s="22" t="n">
        <v>0.21</v>
      </c>
      <c r="F285" s="13" t="inlineStr"/>
      <c r="G285" s="18" t="inlineStr">
        <is>
          <t>Spirits you control get +1/+0. / Whenever one or more cards leave your graveyard, create a 3/2 red and white Spirit creature token.</t>
        </is>
      </c>
    </row>
    <row r="286">
      <c r="A286" s="13" t="inlineStr">
        <is>
          <t>Quintorius, History Chaser</t>
        </is>
      </c>
      <c r="B286" s="13" t="inlineStr">
        <is>
          <t>Legendary Planeswalker — Quintorius</t>
        </is>
      </c>
      <c r="C286" s="13" t="inlineStr">
        <is>
          <t>{2}{R}{W}</t>
        </is>
      </c>
      <c r="D286" s="13" t="inlineStr">
        <is>
          <t>RW</t>
        </is>
      </c>
      <c r="E286" s="22" t="n">
        <v>0.62</v>
      </c>
      <c r="F286" s="13" t="inlineStr"/>
      <c r="G286" s="18" t="inlineStr">
        <is>
          <t>Whenever one or more cards leave your graveyard, create a 3/2 red and white Spirit creature token. / +1: You may discard a card. If you do, draw two cards, then mill a card. / −4: Spirits you control gain double strike and vigilance until end of turn. / Quintorius, History Chaser can be your commander.</t>
        </is>
      </c>
    </row>
    <row r="287">
      <c r="A287" s="13" t="inlineStr">
        <is>
          <t>Quintorius, Loremaster</t>
        </is>
      </c>
      <c r="B287" s="13" t="inlineStr">
        <is>
          <t>Legendary Creature — Elephant Cleric</t>
        </is>
      </c>
      <c r="C287" s="13" t="inlineStr">
        <is>
          <t>{3}{R}{W}</t>
        </is>
      </c>
      <c r="D287" s="13" t="inlineStr">
        <is>
          <t>RW</t>
        </is>
      </c>
      <c r="E287" s="22" t="n">
        <v>0.19</v>
      </c>
      <c r="F287" s="13" t="inlineStr"/>
      <c r="G287" s="18" t="inlineStr">
        <is>
          <t>Vigilance / At the beginning of your end step, exile target noncreature, nonland card from your graveyard. Create a 3/2 red and white Spirit creature token. / {1}{R}{W}, {T}, Sacrifice a Spirit: Choose target card exiled with Quintorius. You may cast that card this turn without paying its mana cost. If that spell would be put into a graveyard, put it on the bottom of its owner's library instead.</t>
        </is>
      </c>
    </row>
    <row r="288">
      <c r="A288" s="13" t="inlineStr">
        <is>
          <t>Radiant Grove</t>
        </is>
      </c>
      <c r="B288" s="13" t="inlineStr">
        <is>
          <t>Land — Forest Plains</t>
        </is>
      </c>
      <c r="C288" s="13" t="inlineStr"/>
      <c r="D288" s="13" t="inlineStr">
        <is>
          <t>GW</t>
        </is>
      </c>
      <c r="E288" s="22" t="n">
        <v>0.2</v>
      </c>
      <c r="F288" s="13" t="inlineStr"/>
      <c r="G288" s="18" t="inlineStr">
        <is>
          <t>({T}: Add {G} or {W}.) / This land enters tapped.</t>
        </is>
      </c>
    </row>
    <row r="289">
      <c r="A289" s="13" t="inlineStr">
        <is>
          <t>Radiant Summit</t>
        </is>
      </c>
      <c r="B289" s="13" t="inlineStr">
        <is>
          <t>Land — Mountain Plains</t>
        </is>
      </c>
      <c r="C289" s="13" t="inlineStr"/>
      <c r="D289" s="13" t="inlineStr">
        <is>
          <t>RW</t>
        </is>
      </c>
      <c r="E289" s="22" t="n">
        <v>0.38</v>
      </c>
      <c r="F289" s="13" t="inlineStr"/>
      <c r="G289" s="18" t="inlineStr">
        <is>
          <t>({T}: Add {R} or {W}.) / This land enters tapped unless you control two or more basic lands.</t>
        </is>
      </c>
    </row>
    <row r="290">
      <c r="A290" s="13" t="inlineStr">
        <is>
          <t>Ragged Short Spear</t>
        </is>
      </c>
      <c r="B290" s="13" t="inlineStr">
        <is>
          <t>Artifact — Equipment</t>
        </is>
      </c>
      <c r="C290" s="13" t="inlineStr">
        <is>
          <t>{1}{R}</t>
        </is>
      </c>
      <c r="D290" s="13" t="inlineStr">
        <is>
          <t>R</t>
        </is>
      </c>
      <c r="E290" s="22" t="n">
        <v>0.17</v>
      </c>
      <c r="F290" s="13" t="inlineStr"/>
      <c r="G290" s="18" t="inlineStr">
        <is>
          <t>When this Equipment enters, you may discard a card. If you do, draw two cards. / Equipped creature gets +2/+0. / Equip {3} ({3}: Attach to target creature you control. Equip only as a sorcery.)</t>
        </is>
      </c>
    </row>
    <row r="291">
      <c r="A291" s="13" t="inlineStr">
        <is>
          <t>Rampaging Baloths</t>
        </is>
      </c>
      <c r="B291" s="13" t="inlineStr">
        <is>
          <t>Creature — Beast</t>
        </is>
      </c>
      <c r="C291" s="13" t="inlineStr">
        <is>
          <t>{4}{G}{G}</t>
        </is>
      </c>
      <c r="D291" s="13" t="inlineStr">
        <is>
          <t>G</t>
        </is>
      </c>
      <c r="E291" s="22" t="n">
        <v>0.34</v>
      </c>
      <c r="F291" s="13" t="inlineStr"/>
      <c r="G291" s="18" t="inlineStr">
        <is>
          <t>Trample / Landfall — Whenever a land you control enters, create a 4/4 green Beast creature token.</t>
        </is>
      </c>
    </row>
    <row r="292">
      <c r="A292" s="13" t="inlineStr">
        <is>
          <t>Rampant Growth</t>
        </is>
      </c>
      <c r="B292" s="13" t="inlineStr">
        <is>
          <t>Sorcery</t>
        </is>
      </c>
      <c r="C292" s="13" t="inlineStr">
        <is>
          <t>{1}{G}</t>
        </is>
      </c>
      <c r="D292" s="13" t="inlineStr">
        <is>
          <t>G</t>
        </is>
      </c>
      <c r="E292" s="22" t="n">
        <v>0.64</v>
      </c>
      <c r="F292" s="13" t="inlineStr"/>
      <c r="G292" s="18" t="inlineStr">
        <is>
          <t>Search your library for a basic land card, put that card onto the battlefield tapped, then shuffle.</t>
        </is>
      </c>
    </row>
    <row r="293">
      <c r="A293" s="13" t="inlineStr">
        <is>
          <t>Rampart Architect</t>
        </is>
      </c>
      <c r="B293" s="13" t="inlineStr">
        <is>
          <t>Creature — Elephant Advisor</t>
        </is>
      </c>
      <c r="C293" s="13" t="inlineStr">
        <is>
          <t>{3}{G}</t>
        </is>
      </c>
      <c r="D293" s="13" t="inlineStr">
        <is>
          <t>G</t>
        </is>
      </c>
      <c r="E293" s="22" t="n">
        <v>0.28</v>
      </c>
      <c r="F293" s="13" t="inlineStr"/>
      <c r="G293" s="18" t="inlineStr">
        <is>
          <t>Whenever this creature enters or attacks, create a 1/3 white Wall creature token with defender. / Whenever a creature you control with defender dies, you may search your library for a basic land card, put that card onto the battlefield tapped, then shuffle.</t>
        </is>
      </c>
    </row>
    <row r="294">
      <c r="A294" s="13" t="inlineStr">
        <is>
          <t>Ramunap Excavator</t>
        </is>
      </c>
      <c r="B294" s="13" t="inlineStr">
        <is>
          <t>Creature — Snake Cleric</t>
        </is>
      </c>
      <c r="C294" s="13" t="inlineStr">
        <is>
          <t>{2}{G}</t>
        </is>
      </c>
      <c r="D294" s="13" t="inlineStr">
        <is>
          <t>G</t>
        </is>
      </c>
      <c r="E294" s="22" t="n">
        <v>5.45</v>
      </c>
      <c r="F294" s="13" t="inlineStr"/>
      <c r="G294" s="18" t="inlineStr">
        <is>
          <t>You may play lands from your graveyard.</t>
        </is>
      </c>
    </row>
    <row r="295">
      <c r="A295" s="13" t="inlineStr">
        <is>
          <t>Rapid Hybridization</t>
        </is>
      </c>
      <c r="B295" s="13" t="inlineStr">
        <is>
          <t>Instant</t>
        </is>
      </c>
      <c r="C295" s="13" t="inlineStr"/>
      <c r="D295" s="13" t="inlineStr"/>
      <c r="E295" s="22" t="n">
        <v>1.25</v>
      </c>
      <c r="F295" s="13" t="inlineStr"/>
      <c r="G295" s="18" t="inlineStr"/>
    </row>
    <row r="296">
      <c r="A296" s="13" t="inlineStr">
        <is>
          <t>Read the Bones</t>
        </is>
      </c>
      <c r="B296" s="13" t="inlineStr">
        <is>
          <t>Sorcery</t>
        </is>
      </c>
      <c r="C296" s="13" t="inlineStr">
        <is>
          <t>{2}{B}</t>
        </is>
      </c>
      <c r="D296" s="13" t="inlineStr">
        <is>
          <t>B</t>
        </is>
      </c>
      <c r="E296" s="22" t="n">
        <v>0.36</v>
      </c>
      <c r="F296" s="13" t="inlineStr"/>
      <c r="G296" s="18" t="inlineStr">
        <is>
          <t>Scry 2, then draw two cards. You lose 2 life. (To scry 2, look at the top two cards of your library, then put any number of them on the bottom and the rest on top in any order.)</t>
        </is>
      </c>
    </row>
    <row r="297">
      <c r="A297" s="13" t="inlineStr">
        <is>
          <t>Reclamation Sage</t>
        </is>
      </c>
      <c r="B297" s="13" t="inlineStr">
        <is>
          <t>Creature — Elf Shaman</t>
        </is>
      </c>
      <c r="C297" s="13" t="inlineStr">
        <is>
          <t>{2}{G}</t>
        </is>
      </c>
      <c r="D297" s="13" t="inlineStr">
        <is>
          <t>G</t>
        </is>
      </c>
      <c r="E297" s="22" t="n">
        <v>0.34</v>
      </c>
      <c r="F297" s="13" t="inlineStr"/>
      <c r="G297" s="18" t="inlineStr">
        <is>
          <t>When this creature enters, you may destroy target artifact or enchantment.</t>
        </is>
      </c>
    </row>
    <row r="298">
      <c r="A298" s="13" t="inlineStr">
        <is>
          <t>Reflector Mage</t>
        </is>
      </c>
      <c r="B298" s="13" t="inlineStr">
        <is>
          <t>Creature — Human Wizard</t>
        </is>
      </c>
      <c r="C298" s="13" t="inlineStr">
        <is>
          <t>{1}{W}{U}</t>
        </is>
      </c>
      <c r="D298" s="13" t="inlineStr">
        <is>
          <t>UW</t>
        </is>
      </c>
      <c r="E298" s="22" t="n">
        <v>0.38</v>
      </c>
      <c r="F298" s="13" t="inlineStr"/>
      <c r="G298" s="18" t="inlineStr">
        <is>
          <t>When this creature enters, return target creature an opponent controls to its owner's hand. That creature's owner can't cast spells with the same name as that creature until your next turn.</t>
        </is>
      </c>
    </row>
    <row r="299">
      <c r="A299" s="13" t="inlineStr">
        <is>
          <t>Relic Retriever</t>
        </is>
      </c>
      <c r="B299" s="13" t="inlineStr">
        <is>
          <t>Creature — Spirit Monkey</t>
        </is>
      </c>
      <c r="C299" s="13" t="inlineStr">
        <is>
          <t>{1}{R}</t>
        </is>
      </c>
      <c r="D299" s="13" t="inlineStr">
        <is>
          <t>R</t>
        </is>
      </c>
      <c r="E299" s="22" t="n">
        <v>0.24</v>
      </c>
      <c r="F299" s="13" t="inlineStr"/>
      <c r="G299" s="18" t="inlineStr">
        <is>
          <t>First strike / At the beginning of each end step, if a card left your graveyard this turn, create a Treasure token. (It's an artifact with "{T}, Sacrifice this token: Add one mana of any color.")</t>
        </is>
      </c>
    </row>
    <row r="300">
      <c r="A300" s="13" t="inlineStr">
        <is>
          <t>Remorseful Cleric</t>
        </is>
      </c>
      <c r="B300" s="13" t="inlineStr">
        <is>
          <t>Creature — Spirit Cleric</t>
        </is>
      </c>
      <c r="C300" s="13" t="inlineStr">
        <is>
          <t>{1}{W}</t>
        </is>
      </c>
      <c r="D300" s="13" t="inlineStr">
        <is>
          <t>W</t>
        </is>
      </c>
      <c r="E300" s="22" t="n">
        <v>0.27</v>
      </c>
      <c r="F300" s="13" t="inlineStr"/>
      <c r="G300" s="18" t="inlineStr">
        <is>
          <t>Flying / Sacrifice this creature: Exile target player's graveyard.</t>
        </is>
      </c>
    </row>
    <row r="301">
      <c r="A301" s="13" t="inlineStr">
        <is>
          <t>Return to Dust</t>
        </is>
      </c>
      <c r="B301" s="13" t="inlineStr">
        <is>
          <t>Instant</t>
        </is>
      </c>
      <c r="C301" s="13" t="inlineStr">
        <is>
          <t>{2}{W}{W}</t>
        </is>
      </c>
      <c r="D301" s="13" t="inlineStr">
        <is>
          <t>W</t>
        </is>
      </c>
      <c r="E301" s="22" t="n">
        <v>0.29</v>
      </c>
      <c r="F301" s="13" t="inlineStr"/>
      <c r="G301" s="18" t="inlineStr">
        <is>
          <t>Exile target artifact or enchantment. If you cast this spell during your main phase, you may exile up to one other target artifact or enchantment.</t>
        </is>
      </c>
    </row>
    <row r="302">
      <c r="A302" s="13" t="inlineStr">
        <is>
          <t>Reunion of the House</t>
        </is>
      </c>
      <c r="B302" s="13" t="inlineStr">
        <is>
          <t>Sorcery</t>
        </is>
      </c>
      <c r="C302" s="13" t="inlineStr">
        <is>
          <t>{5}{W}{W}</t>
        </is>
      </c>
      <c r="D302" s="13" t="inlineStr">
        <is>
          <t>W</t>
        </is>
      </c>
      <c r="E302" s="22" t="n">
        <v>0.24</v>
      </c>
      <c r="F302" s="13" t="inlineStr"/>
      <c r="G302" s="18" t="inlineStr">
        <is>
          <t>Return any number of target creature cards with total power 10 or less from your graveyard to the battlefield. Exile Reunion of the House.</t>
        </is>
      </c>
    </row>
    <row r="303">
      <c r="A303" s="13" t="inlineStr">
        <is>
          <t>Rewind</t>
        </is>
      </c>
      <c r="B303" s="13" t="inlineStr">
        <is>
          <t>Instant</t>
        </is>
      </c>
      <c r="C303" s="13" t="inlineStr">
        <is>
          <t>{2}{U}{U}</t>
        </is>
      </c>
      <c r="D303" s="13" t="inlineStr">
        <is>
          <t>U</t>
        </is>
      </c>
      <c r="E303" s="22" t="n">
        <v>0.43</v>
      </c>
      <c r="F303" s="13" t="inlineStr"/>
      <c r="G303" s="18" t="inlineStr">
        <is>
          <t>Counter target spell. Untap up to four lands.</t>
        </is>
      </c>
    </row>
    <row r="304">
      <c r="A304" s="13" t="inlineStr">
        <is>
          <t>Rhox Faithmender</t>
        </is>
      </c>
      <c r="B304" s="13" t="inlineStr">
        <is>
          <t>Creature — Rhino Monk</t>
        </is>
      </c>
      <c r="C304" s="13" t="inlineStr">
        <is>
          <t>{3}{W}</t>
        </is>
      </c>
      <c r="D304" s="13" t="inlineStr">
        <is>
          <t>W</t>
        </is>
      </c>
      <c r="E304" s="22" t="n">
        <v>1.8</v>
      </c>
      <c r="F304" s="13" t="inlineStr"/>
      <c r="G304" s="18" t="inlineStr">
        <is>
          <t>Lifelink (Damage dealt by this creature also causes you to gain that much life.) / If you would gain life, you gain twice that much life instead.</t>
        </is>
      </c>
    </row>
    <row r="305">
      <c r="A305" s="13" t="inlineStr">
        <is>
          <t>Rhystic Study</t>
        </is>
      </c>
      <c r="B305" s="13" t="inlineStr">
        <is>
          <t>Enchantment</t>
        </is>
      </c>
      <c r="C305" s="13" t="inlineStr">
        <is>
          <t>{2}{U}</t>
        </is>
      </c>
      <c r="D305" s="13" t="inlineStr">
        <is>
          <t>U</t>
        </is>
      </c>
      <c r="E305" s="22" t="n">
        <v>70.27</v>
      </c>
      <c r="F305" s="13" t="inlineStr"/>
      <c r="G305" s="18" t="inlineStr">
        <is>
          <t>Whenever an opponent casts a spell, you may draw a card unless that player pays {1}.</t>
        </is>
      </c>
    </row>
    <row r="306">
      <c r="A306" s="13" t="inlineStr">
        <is>
          <t>Rip Apart</t>
        </is>
      </c>
      <c r="B306" s="13" t="inlineStr">
        <is>
          <t>Sorcery</t>
        </is>
      </c>
      <c r="C306" s="13" t="inlineStr">
        <is>
          <t>{R}{W}</t>
        </is>
      </c>
      <c r="D306" s="13" t="inlineStr">
        <is>
          <t>RW</t>
        </is>
      </c>
      <c r="E306" s="22" t="n">
        <v>0.23</v>
      </c>
      <c r="F306" s="13" t="inlineStr"/>
      <c r="G306" s="18" t="inlineStr">
        <is>
          <t>Choose one — / • Rip Apart deals 3 damage to target creature or planeswalker. / • Destroy target artifact or enchantment.</t>
        </is>
      </c>
    </row>
    <row r="307">
      <c r="A307" s="13" t="inlineStr">
        <is>
          <t>Rise of the Eldrazi</t>
        </is>
      </c>
      <c r="B307" s="13" t="inlineStr">
        <is>
          <t>Sorcery</t>
        </is>
      </c>
      <c r="C307" s="13" t="inlineStr">
        <is>
          <t>{9}{C}{C}{C}</t>
        </is>
      </c>
      <c r="D307" s="13" t="inlineStr"/>
      <c r="E307" s="22" t="n">
        <v>27.58</v>
      </c>
      <c r="F307" s="13" t="inlineStr"/>
      <c r="G307" s="18" t="inlineStr">
        <is>
          <t>This spell can't be countered. / Destroy target permanent. Target player draws four cards. Take an extra turn after this one. / Exile Rise of the Eldrazi.</t>
        </is>
      </c>
    </row>
    <row r="308">
      <c r="A308" s="13" t="inlineStr">
        <is>
          <t>Risen Reef</t>
        </is>
      </c>
      <c r="B308" s="13" t="inlineStr">
        <is>
          <t>Creature — Elemental</t>
        </is>
      </c>
      <c r="C308" s="13" t="inlineStr">
        <is>
          <t>{1}{G}{U}</t>
        </is>
      </c>
      <c r="D308" s="13" t="inlineStr">
        <is>
          <t>GU</t>
        </is>
      </c>
      <c r="E308" s="22" t="n">
        <v>0.32</v>
      </c>
      <c r="F308" s="13" t="inlineStr"/>
      <c r="G308" s="18" t="inlineStr">
        <is>
          <t>Whenever this creature or another Elemental you control enters, look at the top card of your library. If it's a land card, you may put it onto the battlefield tapped. If you don't put the card onto the battlefield, put it into your hand.</t>
        </is>
      </c>
    </row>
    <row r="309">
      <c r="A309" s="13" t="inlineStr">
        <is>
          <t>Rishkar, Peema Renegade</t>
        </is>
      </c>
      <c r="B309" s="13" t="inlineStr">
        <is>
          <t>Legendary Creature — Elf Druid</t>
        </is>
      </c>
      <c r="C309" s="13" t="inlineStr">
        <is>
          <t>{2}{G}</t>
        </is>
      </c>
      <c r="D309" s="13" t="inlineStr">
        <is>
          <t>G</t>
        </is>
      </c>
      <c r="E309" s="22" t="n">
        <v>0.23</v>
      </c>
      <c r="F309" s="13" t="inlineStr"/>
      <c r="G309" s="18" t="inlineStr">
        <is>
          <t>When Rishkar enters, put a +1/+1 counter on each of up to two target creatures. / Each creature you control with a counter on it has "{T}: Add {G}."</t>
        </is>
      </c>
    </row>
    <row r="310">
      <c r="A310" s="13" t="inlineStr">
        <is>
          <t>Ritual of Soot</t>
        </is>
      </c>
      <c r="B310" s="13" t="inlineStr">
        <is>
          <t>Sorcery</t>
        </is>
      </c>
      <c r="C310" s="13" t="inlineStr">
        <is>
          <t>{2}{B}{B}</t>
        </is>
      </c>
      <c r="D310" s="13" t="inlineStr">
        <is>
          <t>B</t>
        </is>
      </c>
      <c r="E310" s="22" t="n">
        <v>0.26</v>
      </c>
      <c r="F310" s="13" t="inlineStr"/>
      <c r="G310" s="18" t="inlineStr">
        <is>
          <t>Destroy all creatures with mana value 3 or less.</t>
        </is>
      </c>
    </row>
    <row r="311">
      <c r="A311" s="13" t="inlineStr">
        <is>
          <t>Roiling Regrowth</t>
        </is>
      </c>
      <c r="B311" s="13" t="inlineStr">
        <is>
          <t>Instant</t>
        </is>
      </c>
      <c r="C311" s="13" t="inlineStr">
        <is>
          <t>{2}{G}</t>
        </is>
      </c>
      <c r="D311" s="13" t="inlineStr">
        <is>
          <t>G</t>
        </is>
      </c>
      <c r="E311" s="22" t="n">
        <v>0.32</v>
      </c>
      <c r="F311" s="13" t="inlineStr"/>
      <c r="G311" s="18" t="inlineStr">
        <is>
          <t>Sacrifice a land. Search your library for up to two basic land cards, put them onto the battlefield tapped, then shuffle.</t>
        </is>
      </c>
    </row>
    <row r="312">
      <c r="A312" s="13" t="inlineStr">
        <is>
          <t>Rolling Stones</t>
        </is>
      </c>
      <c r="B312" s="13" t="inlineStr">
        <is>
          <t>Enchantment</t>
        </is>
      </c>
      <c r="C312" s="13" t="inlineStr">
        <is>
          <t>{1}{W}</t>
        </is>
      </c>
      <c r="D312" s="13" t="inlineStr">
        <is>
          <t>W</t>
        </is>
      </c>
      <c r="E312" s="22" t="n">
        <v>1.83</v>
      </c>
      <c r="F312" s="13" t="inlineStr"/>
      <c r="G312" s="18" t="inlineStr">
        <is>
          <t>Wall creatures can attack as though they didn't have defender.</t>
        </is>
      </c>
    </row>
    <row r="313">
      <c r="A313" s="13" t="inlineStr">
        <is>
          <t>Rugged Prairie</t>
        </is>
      </c>
      <c r="B313" s="13" t="inlineStr">
        <is>
          <t>Land</t>
        </is>
      </c>
      <c r="C313" s="13" t="inlineStr"/>
      <c r="D313" s="13" t="inlineStr">
        <is>
          <t>RW</t>
        </is>
      </c>
      <c r="E313" s="22" t="n">
        <v>0.32</v>
      </c>
      <c r="F313" s="13" t="inlineStr"/>
      <c r="G313" s="18" t="inlineStr">
        <is>
          <t>{T}: Add {C}. / {R/W}, {T}: Add {R}{R}, {R}{W}, or {W}{W}.</t>
        </is>
      </c>
    </row>
    <row r="314">
      <c r="A314" s="13" t="inlineStr">
        <is>
          <t>Sacred Peaks</t>
        </is>
      </c>
      <c r="B314" s="13" t="inlineStr">
        <is>
          <t>Land — Mountain Plains</t>
        </is>
      </c>
      <c r="C314" s="13" t="inlineStr"/>
      <c r="D314" s="13" t="inlineStr">
        <is>
          <t>RW</t>
        </is>
      </c>
      <c r="E314" s="22" t="n">
        <v>0.25</v>
      </c>
      <c r="F314" s="13" t="inlineStr"/>
      <c r="G314" s="18" t="inlineStr">
        <is>
          <t>({T}: Add {R} or {W}.) / This land enters tapped.</t>
        </is>
      </c>
    </row>
    <row r="315">
      <c r="A315" s="13" t="inlineStr">
        <is>
          <t>Sakura-Tribe Elder</t>
        </is>
      </c>
      <c r="B315" s="13" t="inlineStr">
        <is>
          <t>Creature — Snake Shaman</t>
        </is>
      </c>
      <c r="C315" s="13" t="inlineStr">
        <is>
          <t>{1}{G}</t>
        </is>
      </c>
      <c r="D315" s="13" t="inlineStr">
        <is>
          <t>G</t>
        </is>
      </c>
      <c r="E315" s="22" t="n">
        <v>0.36</v>
      </c>
      <c r="F315" s="13" t="inlineStr"/>
      <c r="G315" s="18" t="inlineStr">
        <is>
          <t>Sacrifice this creature: Search your library for a basic land card, put that card onto the battlefield tapped, then shuffle.</t>
        </is>
      </c>
    </row>
    <row r="316">
      <c r="A316" s="13" t="inlineStr">
        <is>
          <t>Sakura-Tribe Scout</t>
        </is>
      </c>
      <c r="B316" s="13" t="inlineStr">
        <is>
          <t>Creature — Snake Shaman Scout</t>
        </is>
      </c>
      <c r="C316" s="13" t="inlineStr">
        <is>
          <t>{G}</t>
        </is>
      </c>
      <c r="D316" s="13" t="inlineStr">
        <is>
          <t>G</t>
        </is>
      </c>
      <c r="E316" s="22" t="n">
        <v>2.37</v>
      </c>
      <c r="F316" s="13" t="inlineStr"/>
      <c r="G316" s="18" t="inlineStr">
        <is>
          <t>{T}: You may put a land card from your hand onto the battlefield.</t>
        </is>
      </c>
    </row>
    <row r="317">
      <c r="A317" s="13" t="inlineStr">
        <is>
          <t>Sandsteppe Citadel</t>
        </is>
      </c>
      <c r="B317" s="13" t="inlineStr">
        <is>
          <t>Land</t>
        </is>
      </c>
      <c r="C317" s="13" t="inlineStr"/>
      <c r="D317" s="13" t="inlineStr">
        <is>
          <t>BGW</t>
        </is>
      </c>
      <c r="E317" s="22" t="n">
        <v>0.33</v>
      </c>
      <c r="F317" s="13" t="inlineStr"/>
      <c r="G317" s="18" t="inlineStr">
        <is>
          <t>This land enters tapped. / {T}: Add {W}, {B}, or {G}.</t>
        </is>
      </c>
    </row>
    <row r="318">
      <c r="A318" s="13" t="inlineStr">
        <is>
          <t>Satyr Wayfinder</t>
        </is>
      </c>
      <c r="B318" s="13" t="inlineStr">
        <is>
          <t>Creature — Satyr</t>
        </is>
      </c>
      <c r="C318" s="13" t="inlineStr">
        <is>
          <t>{1}{G}</t>
        </is>
      </c>
      <c r="D318" s="13" t="inlineStr">
        <is>
          <t>G</t>
        </is>
      </c>
      <c r="E318" s="22" t="n">
        <v>0.2</v>
      </c>
      <c r="F318" s="13" t="inlineStr"/>
      <c r="G318" s="18" t="inlineStr">
        <is>
          <t>When this creature enters, reveal the top four cards of your library. You may put a land card from among them into your hand. Put the rest into your graveyard.</t>
        </is>
      </c>
    </row>
    <row r="319">
      <c r="A319" s="13" t="inlineStr">
        <is>
          <t>Scoured Barrens</t>
        </is>
      </c>
      <c r="B319" s="13" t="inlineStr">
        <is>
          <t>Land</t>
        </is>
      </c>
      <c r="C319" s="13" t="inlineStr"/>
      <c r="D319" s="13" t="inlineStr">
        <is>
          <t>BW</t>
        </is>
      </c>
      <c r="E319" s="22" t="n">
        <v>0.21</v>
      </c>
      <c r="F319" s="13" t="inlineStr"/>
      <c r="G319" s="18" t="inlineStr">
        <is>
          <t>This land enters tapped. / When this land enters, you gain 1 life. / {T}: Add {W} or {B}.</t>
        </is>
      </c>
    </row>
    <row r="320">
      <c r="A320" s="13" t="inlineStr">
        <is>
          <t>Scute Swarm</t>
        </is>
      </c>
      <c r="B320" s="13" t="inlineStr">
        <is>
          <t>Creature — Insect</t>
        </is>
      </c>
      <c r="C320" s="13" t="inlineStr">
        <is>
          <t>{2}{G}</t>
        </is>
      </c>
      <c r="D320" s="13" t="inlineStr">
        <is>
          <t>G</t>
        </is>
      </c>
      <c r="E320" s="22" t="n">
        <v>8.630000000000001</v>
      </c>
      <c r="F320" s="13" t="inlineStr"/>
      <c r="G320" s="18" t="inlineStr">
        <is>
          <t>Landfall — Whenever a land you control enters, create a 1/1 green Insect creature token. If you control six or more lands, create a token that's a copy of this creature instead.</t>
        </is>
      </c>
    </row>
    <row r="321">
      <c r="A321" s="13" t="inlineStr">
        <is>
          <t>Seaside Citadel</t>
        </is>
      </c>
      <c r="B321" s="13" t="inlineStr">
        <is>
          <t>Land</t>
        </is>
      </c>
      <c r="C321" s="13" t="inlineStr"/>
      <c r="D321" s="13" t="inlineStr">
        <is>
          <t>GUW</t>
        </is>
      </c>
      <c r="E321" s="22" t="n">
        <v>0.3</v>
      </c>
      <c r="F321" s="13" t="inlineStr"/>
      <c r="G321" s="18" t="inlineStr">
        <is>
          <t>This land enters tapped. / {T}: Add {G}, {W}, or {U}.</t>
        </is>
      </c>
    </row>
    <row r="322">
      <c r="A322" s="13" t="inlineStr">
        <is>
          <t>Season of the Burrow</t>
        </is>
      </c>
      <c r="B322" s="13" t="inlineStr">
        <is>
          <t>Sorcery</t>
        </is>
      </c>
      <c r="C322" s="13" t="inlineStr">
        <is>
          <t>{3}{W}{W}</t>
        </is>
      </c>
      <c r="D322" s="13" t="inlineStr">
        <is>
          <t>W</t>
        </is>
      </c>
      <c r="E322" s="22" t="n">
        <v>2.65</v>
      </c>
      <c r="F322" s="13" t="inlineStr"/>
      <c r="G322" s="18" t="inlineStr">
        <is>
          <t>Choose up to five {P} worth of modes. You may choose the same mode more than once. / {P} — Create a 1/1 white Rabbit creature token. / {P}{P} — Exile target nonland permanent. Its controller draws a card. / {P}{P}{P} — Return target permanent card with mana value 3 or less from your graveyard to the battlefield with an indestructible counter on it.</t>
        </is>
      </c>
    </row>
    <row r="323">
      <c r="A323" s="13" t="inlineStr">
        <is>
          <t>Secret Rendezvous</t>
        </is>
      </c>
      <c r="B323" s="13" t="inlineStr">
        <is>
          <t>Sorcery</t>
        </is>
      </c>
      <c r="C323" s="13" t="inlineStr">
        <is>
          <t>{1}{W}{W}</t>
        </is>
      </c>
      <c r="D323" s="13" t="inlineStr">
        <is>
          <t>W</t>
        </is>
      </c>
      <c r="E323" s="22" t="n">
        <v>0.31</v>
      </c>
      <c r="F323" s="13" t="inlineStr"/>
      <c r="G323" s="18" t="inlineStr">
        <is>
          <t>You and target opponent each draw three cards.</t>
        </is>
      </c>
    </row>
    <row r="324">
      <c r="A324" s="13" t="inlineStr">
        <is>
          <t>Seedborn Muse</t>
        </is>
      </c>
      <c r="B324" s="13" t="inlineStr">
        <is>
          <t>Creature — Spirit</t>
        </is>
      </c>
      <c r="C324" s="13" t="inlineStr">
        <is>
          <t>{3}{G}{G}</t>
        </is>
      </c>
      <c r="D324" s="13" t="inlineStr">
        <is>
          <t>G</t>
        </is>
      </c>
      <c r="E324" s="22" t="n">
        <v>17.5</v>
      </c>
      <c r="F324" s="13" t="inlineStr"/>
      <c r="G324" s="18" t="inlineStr">
        <is>
          <t>Untap all permanents you control during each other player's untap step.</t>
        </is>
      </c>
    </row>
    <row r="325">
      <c r="A325" s="13" t="inlineStr">
        <is>
          <t>Seize the Spoils</t>
        </is>
      </c>
      <c r="B325" s="13" t="inlineStr">
        <is>
          <t>Sorcery</t>
        </is>
      </c>
      <c r="C325" s="13" t="inlineStr">
        <is>
          <t>{2}{R}</t>
        </is>
      </c>
      <c r="D325" s="13" t="inlineStr">
        <is>
          <t>R</t>
        </is>
      </c>
      <c r="E325" s="22" t="n">
        <v>0.27</v>
      </c>
      <c r="F325" s="13" t="inlineStr"/>
      <c r="G325" s="18" t="inlineStr">
        <is>
          <t>As an additional cost to cast this spell, discard a card. / Draw two cards and create a Treasure token. (It's an artifact with "{T}, Sacrifice this token: Add one mana of any color.")</t>
        </is>
      </c>
    </row>
    <row r="326">
      <c r="A326" s="13" t="inlineStr">
        <is>
          <t>Selesnya Sanctuary</t>
        </is>
      </c>
      <c r="B326" s="13" t="inlineStr">
        <is>
          <t>Land</t>
        </is>
      </c>
      <c r="C326" s="13" t="inlineStr"/>
      <c r="D326" s="13" t="inlineStr">
        <is>
          <t>GW</t>
        </is>
      </c>
      <c r="E326" s="22" t="n">
        <v>0.32</v>
      </c>
      <c r="F326" s="13" t="inlineStr"/>
      <c r="G326" s="18" t="inlineStr">
        <is>
          <t>This land enters tapped. / When this land enters, return a land you control to its owner's hand. / {T}: Add {G}{W}.</t>
        </is>
      </c>
    </row>
    <row r="327">
      <c r="A327" s="13" t="inlineStr">
        <is>
          <t>Selesnya Signet</t>
        </is>
      </c>
      <c r="B327" s="13" t="inlineStr">
        <is>
          <t>Artifact</t>
        </is>
      </c>
      <c r="C327" s="13" t="inlineStr">
        <is>
          <t>{2}</t>
        </is>
      </c>
      <c r="D327" s="13" t="inlineStr">
        <is>
          <t>GW</t>
        </is>
      </c>
      <c r="E327" s="22" t="n">
        <v>0.42</v>
      </c>
      <c r="F327" s="13" t="inlineStr"/>
      <c r="G327" s="18" t="inlineStr">
        <is>
          <t>{1}, {T}: Add {G}{W}.</t>
        </is>
      </c>
    </row>
    <row r="328">
      <c r="A328" s="13" t="inlineStr">
        <is>
          <t>Selfless Spirit</t>
        </is>
      </c>
      <c r="B328" s="13" t="inlineStr">
        <is>
          <t>Creature — Spirit Cleric</t>
        </is>
      </c>
      <c r="C328" s="13" t="inlineStr">
        <is>
          <t>{1}{W}</t>
        </is>
      </c>
      <c r="D328" s="13" t="inlineStr">
        <is>
          <t>W</t>
        </is>
      </c>
      <c r="E328" s="22" t="n">
        <v>0.45</v>
      </c>
      <c r="F328" s="13" t="inlineStr"/>
      <c r="G328" s="18" t="inlineStr">
        <is>
          <t>Flying / Sacrifice this creature: Creatures you control gain indestructible until end of turn.</t>
        </is>
      </c>
    </row>
    <row r="329">
      <c r="A329" s="13" t="inlineStr">
        <is>
          <t>Selvala, Heart of the Wilds</t>
        </is>
      </c>
      <c r="B329" s="13" t="inlineStr">
        <is>
          <t>Legendary Creature — Elf Scout</t>
        </is>
      </c>
      <c r="C329" s="13" t="inlineStr">
        <is>
          <t>{1}{G}{G}</t>
        </is>
      </c>
      <c r="D329" s="13" t="inlineStr">
        <is>
          <t>G</t>
        </is>
      </c>
      <c r="E329" s="22" t="n">
        <v>5.25</v>
      </c>
      <c r="F329" s="13" t="inlineStr"/>
      <c r="G329" s="18" t="inlineStr">
        <is>
          <t>Whenever another creature enters, its controller may draw a card if its power is greater than each other creature's power. / {G}, {T}: Add X mana in any combination of colors, where X is the greatest power among creatures you control.</t>
        </is>
      </c>
    </row>
    <row r="330">
      <c r="A330" s="13" t="inlineStr">
        <is>
          <t>Sepulchral Primordial</t>
        </is>
      </c>
      <c r="B330" s="13" t="inlineStr">
        <is>
          <t>Creature — Avatar</t>
        </is>
      </c>
      <c r="C330" s="13" t="inlineStr">
        <is>
          <t>{5}{B}{B}</t>
        </is>
      </c>
      <c r="D330" s="13" t="inlineStr">
        <is>
          <t>B</t>
        </is>
      </c>
      <c r="E330" s="22" t="n">
        <v>0.4</v>
      </c>
      <c r="F330" s="13" t="inlineStr"/>
      <c r="G330" s="18" t="inlineStr">
        <is>
          <t>Intimidate (This creature can't be blocked except by artifact creatures and/or creatures that share a color with it.) / When this creature enters, for each opponent, you may put up to one target creature card from that player's graveyard onto the battlefield under your control.</t>
        </is>
      </c>
    </row>
    <row r="331">
      <c r="A331" s="13" t="inlineStr">
        <is>
          <t>Serra Paragon</t>
        </is>
      </c>
      <c r="B331" s="13" t="inlineStr">
        <is>
          <t>Creature — Angel</t>
        </is>
      </c>
      <c r="C331" s="13" t="inlineStr">
        <is>
          <t>{2}{W}{W}</t>
        </is>
      </c>
      <c r="D331" s="13" t="inlineStr">
        <is>
          <t>W</t>
        </is>
      </c>
      <c r="E331" s="22" t="n">
        <v>0.63</v>
      </c>
      <c r="F331" s="13" t="inlineStr"/>
      <c r="G331" s="18" t="inlineStr">
        <is>
          <t>Flying / Once during each of your turns, you may play a land from your graveyard or cast a permanent spell with mana value 3 or less from your graveyard. If you do, it gains "When this permanent is put into a graveyard from the battlefield, exile it and you gain 2 life."</t>
        </is>
      </c>
    </row>
    <row r="332">
      <c r="A332" s="13" t="inlineStr">
        <is>
          <t>Sevinne's Reclamation</t>
        </is>
      </c>
      <c r="B332" s="13" t="inlineStr">
        <is>
          <t>Sorcery</t>
        </is>
      </c>
      <c r="C332" s="13" t="inlineStr">
        <is>
          <t>{2}{W}</t>
        </is>
      </c>
      <c r="D332" s="13" t="inlineStr">
        <is>
          <t>W</t>
        </is>
      </c>
      <c r="E332" s="22" t="n">
        <v>0.37</v>
      </c>
      <c r="F332" s="13" t="inlineStr"/>
      <c r="G332" s="18" t="inlineStr">
        <is>
          <t>Return target permanent card with mana value 3 or less from your graveyard to the battlefield. If this spell was cast from a graveyard, you may copy this spell and may choose a new target for the copy. / Flashback {4}{W} (You may cast this card from your graveyard for its flashback cost. Then exile it.)</t>
        </is>
      </c>
    </row>
    <row r="333">
      <c r="A333" s="13" t="inlineStr">
        <is>
          <t>Shadrix Silverquill</t>
        </is>
      </c>
      <c r="B333" s="13" t="inlineStr">
        <is>
          <t>Legendary Creature — Elder Dragon</t>
        </is>
      </c>
      <c r="C333" s="13" t="inlineStr">
        <is>
          <t>{3}{W}{B}</t>
        </is>
      </c>
      <c r="D333" s="13" t="inlineStr">
        <is>
          <t>BW</t>
        </is>
      </c>
      <c r="E333" s="22" t="n">
        <v>0.35</v>
      </c>
      <c r="F333" s="13" t="inlineStr"/>
      <c r="G333" s="18" t="inlineStr">
        <is>
          <t>Flying, double strike / At the beginning of combat on your turn, you may choose two. Each mode must target a different player. / • Target player creates a 2/1 white and black Inkling creature token with flying. / • Target player draws a card and loses 1 life. / • Target player puts a +1/+1 counter on each creature they control.</t>
        </is>
      </c>
    </row>
    <row r="334">
      <c r="A334" s="13" t="inlineStr">
        <is>
          <t>Shalai, Voice of Plenty</t>
        </is>
      </c>
      <c r="B334" s="13" t="inlineStr">
        <is>
          <t>Legendary Creature — Angel</t>
        </is>
      </c>
      <c r="C334" s="13" t="inlineStr">
        <is>
          <t>{3}{W}</t>
        </is>
      </c>
      <c r="D334" s="13" t="inlineStr">
        <is>
          <t>GW</t>
        </is>
      </c>
      <c r="E334" s="22" t="n">
        <v>1.01</v>
      </c>
      <c r="F334" s="13" t="inlineStr"/>
      <c r="G334" s="18" t="inlineStr">
        <is>
          <t>Flying / You, planeswalkers you control, and other creatures you control have hexproof. / {4}{G}{G}: Put a +1/+1 counter on each creature you control.</t>
        </is>
      </c>
    </row>
    <row r="335">
      <c r="A335" s="13" t="inlineStr">
        <is>
          <t>Shield Sphere</t>
        </is>
      </c>
      <c r="B335" s="13" t="inlineStr">
        <is>
          <t>Artifact Creature — Wall</t>
        </is>
      </c>
      <c r="C335" s="13" t="inlineStr">
        <is>
          <t>{0}</t>
        </is>
      </c>
      <c r="D335" s="13" t="inlineStr"/>
      <c r="E335" s="22" t="n">
        <v>9.5</v>
      </c>
      <c r="F335" s="13" t="inlineStr"/>
      <c r="G335" s="18" t="inlineStr">
        <is>
          <t>Defender / Whenever this creature blocks, put a -0/-1 counter on it.</t>
        </is>
      </c>
    </row>
    <row r="336">
      <c r="A336" s="13" t="inlineStr">
        <is>
          <t>Sidar Kondo of Jamuraa</t>
        </is>
      </c>
      <c r="B336" s="13" t="inlineStr">
        <is>
          <t>Legendary Creature — Human Knight</t>
        </is>
      </c>
      <c r="C336" s="13" t="inlineStr">
        <is>
          <t>{2}{G}{W}</t>
        </is>
      </c>
      <c r="D336" s="13" t="inlineStr">
        <is>
          <t>GW</t>
        </is>
      </c>
      <c r="E336" s="22" t="n">
        <v>0.3</v>
      </c>
      <c r="F336" s="13" t="inlineStr"/>
      <c r="G336" s="18" t="inlineStr">
        <is>
          <t>Flanking (Whenever a creature without flanking blocks this creature, the blocking creature gets -1/-1 until end of turn.) / Creatures your opponents control without flying or reach can't block creatures with power 2 or less. / Partner (You can have two commanders if both have partner.)</t>
        </is>
      </c>
    </row>
    <row r="337">
      <c r="A337" s="13" t="inlineStr">
        <is>
          <t>Sidisi, Undead Vizier</t>
        </is>
      </c>
      <c r="B337" s="13" t="inlineStr">
        <is>
          <t>Legendary Creature — Zombie Snake</t>
        </is>
      </c>
      <c r="C337" s="13" t="inlineStr">
        <is>
          <t>{3}{B}{B}</t>
        </is>
      </c>
      <c r="D337" s="13" t="inlineStr">
        <is>
          <t>B</t>
        </is>
      </c>
      <c r="E337" s="22" t="n">
        <v>8.51</v>
      </c>
      <c r="F337" s="13" t="inlineStr"/>
      <c r="G337" s="18" t="inlineStr">
        <is>
          <t>Deathtouch / Exploit (When this creature enters, you may sacrifice a creature.) / When Sidisi exploits a creature, you may search your library for a card, put it into your hand, then shuffle.</t>
        </is>
      </c>
    </row>
    <row r="338">
      <c r="A338" s="13" t="inlineStr">
        <is>
          <t>Sight of the Scalelords</t>
        </is>
      </c>
      <c r="B338" s="13" t="inlineStr">
        <is>
          <t>Enchantment</t>
        </is>
      </c>
      <c r="C338" s="13" t="inlineStr">
        <is>
          <t>{4}{G}</t>
        </is>
      </c>
      <c r="D338" s="13" t="inlineStr">
        <is>
          <t>G</t>
        </is>
      </c>
      <c r="E338" s="22" t="n">
        <v>0.55</v>
      </c>
      <c r="F338" s="13" t="inlineStr"/>
      <c r="G338" s="18" t="inlineStr">
        <is>
          <t>At the beginning of combat on your turn, creatures you control with toughness 4 or greater get +2/+2 and gain vigilance until end of turn.</t>
        </is>
      </c>
    </row>
    <row r="339">
      <c r="A339" s="13" t="inlineStr">
        <is>
          <t>Simic Charm</t>
        </is>
      </c>
      <c r="B339" s="13" t="inlineStr">
        <is>
          <t>Instant</t>
        </is>
      </c>
      <c r="C339" s="13" t="inlineStr"/>
      <c r="D339" s="13" t="inlineStr"/>
      <c r="E339" s="22" t="n">
        <v>3.43</v>
      </c>
      <c r="F339" s="13" t="inlineStr"/>
      <c r="G339" s="18" t="inlineStr"/>
    </row>
    <row r="340">
      <c r="A340" s="13" t="inlineStr">
        <is>
          <t>Simic Growth Chamber</t>
        </is>
      </c>
      <c r="B340" s="13" t="inlineStr">
        <is>
          <t>Land</t>
        </is>
      </c>
      <c r="C340" s="13" t="inlineStr"/>
      <c r="D340" s="13" t="inlineStr">
        <is>
          <t>GU</t>
        </is>
      </c>
      <c r="E340" s="22" t="n">
        <v>0.34</v>
      </c>
      <c r="F340" s="13" t="inlineStr"/>
      <c r="G340" s="18" t="inlineStr">
        <is>
          <t>This land enters tapped. / When this land enters, return a land you control to its owner's hand. / {T}: Add {G}{U}.</t>
        </is>
      </c>
    </row>
    <row r="341">
      <c r="A341" s="13" t="inlineStr">
        <is>
          <t>Skullclamp</t>
        </is>
      </c>
      <c r="B341" s="13" t="inlineStr">
        <is>
          <t>Artifact — Equipment</t>
        </is>
      </c>
      <c r="C341" s="13" t="inlineStr">
        <is>
          <t>{1}</t>
        </is>
      </c>
      <c r="D341" s="13" t="inlineStr"/>
      <c r="E341" s="22" t="n">
        <v>5.9</v>
      </c>
      <c r="F341" s="13" t="inlineStr"/>
      <c r="G341" s="18" t="inlineStr">
        <is>
          <t>Equipped creature gets +1/-1. / Whenever equipped creature dies, draw two cards. / Equip {1}</t>
        </is>
      </c>
    </row>
    <row r="342">
      <c r="A342" s="13" t="inlineStr">
        <is>
          <t>Skyclave Apparition</t>
        </is>
      </c>
      <c r="B342" s="13" t="inlineStr">
        <is>
          <t>Creature — Kor Spirit</t>
        </is>
      </c>
      <c r="C342" s="13" t="inlineStr">
        <is>
          <t>{1}{W}{W}</t>
        </is>
      </c>
      <c r="D342" s="13" t="inlineStr">
        <is>
          <t>W</t>
        </is>
      </c>
      <c r="E342" s="22" t="n">
        <v>0.3</v>
      </c>
      <c r="F342" s="13" t="inlineStr"/>
      <c r="G342" s="18" t="inlineStr">
        <is>
          <t>When this creature enters, exile up to one target nonland, nontoken permanent you don't control with mana value 4 or less. / When this creature leaves the battlefield, the exiled card's owner creates an X/X blue Illusion creature token, where X is the mana value of the exiled card.</t>
        </is>
      </c>
    </row>
    <row r="343">
      <c r="A343" s="13" t="inlineStr">
        <is>
          <t>Skyclave Relic</t>
        </is>
      </c>
      <c r="B343" s="13" t="inlineStr">
        <is>
          <t>Artifact</t>
        </is>
      </c>
      <c r="C343" s="13" t="inlineStr">
        <is>
          <t>{3}</t>
        </is>
      </c>
      <c r="D343" s="13" t="inlineStr"/>
      <c r="E343" s="22" t="n">
        <v>1.49</v>
      </c>
      <c r="F343" s="13" t="inlineStr"/>
      <c r="G343" s="18" t="inlineStr">
        <is>
          <t>Kicker {3} / Indestructible / When this artifact enters, if it was kicked, create two tapped tokens that are copies of this artifact. / {T}: Add one mana of any color.</t>
        </is>
      </c>
    </row>
    <row r="344">
      <c r="A344" s="13" t="inlineStr">
        <is>
          <t>Skyshroud Claim</t>
        </is>
      </c>
      <c r="B344" s="13" t="inlineStr">
        <is>
          <t>Sorcery</t>
        </is>
      </c>
      <c r="C344" s="13" t="inlineStr">
        <is>
          <t>{3}{G}</t>
        </is>
      </c>
      <c r="D344" s="13" t="inlineStr">
        <is>
          <t>G</t>
        </is>
      </c>
      <c r="E344" s="22" t="n">
        <v>1.07</v>
      </c>
      <c r="F344" s="13" t="inlineStr"/>
      <c r="G344" s="18" t="inlineStr">
        <is>
          <t>Search your library for up to two Forest cards, put them onto the battlefield, then shuffle.</t>
        </is>
      </c>
    </row>
    <row r="345">
      <c r="A345" s="13" t="inlineStr">
        <is>
          <t>Slagwurm Armor</t>
        </is>
      </c>
      <c r="B345" s="13" t="inlineStr">
        <is>
          <t>Artifact — Equipment</t>
        </is>
      </c>
      <c r="C345" s="13" t="inlineStr">
        <is>
          <t>{1}</t>
        </is>
      </c>
      <c r="D345" s="13" t="inlineStr"/>
      <c r="E345" s="22" t="n">
        <v>0.86</v>
      </c>
      <c r="F345" s="13" t="inlineStr"/>
      <c r="G345" s="18" t="inlineStr">
        <is>
          <t>Equipped creature gets +0/+6. / Equip {3} ({3}: Attach to target creature you control. Equip only as a sorcery. This card enters unattached and stays on the battlefield if the creature leaves.)</t>
        </is>
      </c>
    </row>
    <row r="346">
      <c r="A346" s="13" t="inlineStr">
        <is>
          <t>Slaughter the Strong</t>
        </is>
      </c>
      <c r="B346" s="13" t="inlineStr">
        <is>
          <t>Sorcery</t>
        </is>
      </c>
      <c r="C346" s="13" t="inlineStr">
        <is>
          <t>{1}{W}{W}</t>
        </is>
      </c>
      <c r="D346" s="13" t="inlineStr">
        <is>
          <t>W</t>
        </is>
      </c>
      <c r="E346" s="22" t="n">
        <v>0.35</v>
      </c>
      <c r="F346" s="13" t="inlineStr"/>
      <c r="G346" s="18" t="inlineStr">
        <is>
          <t>Each player chooses any number of creatures they control with total power 4 or less, then sacrifices all other creatures they control.</t>
        </is>
      </c>
    </row>
    <row r="347">
      <c r="A347" s="13" t="inlineStr">
        <is>
          <t>Slippery Karst</t>
        </is>
      </c>
      <c r="B347" s="13" t="inlineStr">
        <is>
          <t>Land</t>
        </is>
      </c>
      <c r="C347" s="13" t="inlineStr"/>
      <c r="D347" s="13" t="inlineStr">
        <is>
          <t>G</t>
        </is>
      </c>
      <c r="E347" s="22" t="n">
        <v>0.21</v>
      </c>
      <c r="F347" s="13" t="inlineStr"/>
      <c r="G347" s="18" t="inlineStr">
        <is>
          <t>This land enters tapped. / {T}: Add {G}. / Cycling {2} ({2}, Discard this card: Draw a card.)</t>
        </is>
      </c>
    </row>
    <row r="348">
      <c r="A348" s="13" t="inlineStr">
        <is>
          <t>Smothering Tithe</t>
        </is>
      </c>
      <c r="B348" s="13" t="inlineStr">
        <is>
          <t>Enchantment</t>
        </is>
      </c>
      <c r="C348" s="13" t="inlineStr">
        <is>
          <t>{3}{W}</t>
        </is>
      </c>
      <c r="D348" s="13" t="inlineStr">
        <is>
          <t>W</t>
        </is>
      </c>
      <c r="E348" s="22" t="n">
        <v>61.19</v>
      </c>
      <c r="F348" s="13" t="inlineStr"/>
      <c r="G348" s="18" t="inlineStr">
        <is>
          <t>Whenever an opponent draws a card, that player may pay {2}. If the player doesn't, you create a Treasure token. (It's an artifact with "{T}, Sacrifice this token: Add one mana of any color.")</t>
        </is>
      </c>
    </row>
    <row r="349">
      <c r="A349" s="13" t="inlineStr">
        <is>
          <t>Snuff Out</t>
        </is>
      </c>
      <c r="B349" s="13" t="inlineStr">
        <is>
          <t>Instant</t>
        </is>
      </c>
      <c r="C349" s="13" t="inlineStr">
        <is>
          <t>{3}{B}</t>
        </is>
      </c>
      <c r="D349" s="13" t="inlineStr">
        <is>
          <t>B</t>
        </is>
      </c>
      <c r="E349" s="22" t="n">
        <v>10.99</v>
      </c>
      <c r="F349" s="13" t="inlineStr"/>
      <c r="G349" s="18" t="inlineStr">
        <is>
          <t>If you control a Swamp, you may pay 4 life rather than pay this spell's mana cost. / Destroy target nonblack creature. It can't be regenerated.</t>
        </is>
      </c>
    </row>
    <row r="350">
      <c r="A350" s="13" t="inlineStr">
        <is>
          <t>Sol Ring</t>
        </is>
      </c>
      <c r="B350" s="13" t="inlineStr">
        <is>
          <t>Artifact</t>
        </is>
      </c>
      <c r="C350" s="13" t="inlineStr">
        <is>
          <t>{1}</t>
        </is>
      </c>
      <c r="D350" s="13" t="inlineStr"/>
      <c r="E350" s="22" t="n">
        <v>1.62</v>
      </c>
      <c r="F350" s="13" t="inlineStr"/>
      <c r="G350" s="18" t="inlineStr">
        <is>
          <t>{T}: Add {C}{C}.</t>
        </is>
      </c>
    </row>
    <row r="351">
      <c r="A351" s="13" t="inlineStr">
        <is>
          <t>Solemn Simulacrum</t>
        </is>
      </c>
      <c r="B351" s="13" t="inlineStr">
        <is>
          <t>Artifact Creature — Golem</t>
        </is>
      </c>
      <c r="C351" s="13" t="inlineStr">
        <is>
          <t>{4}</t>
        </is>
      </c>
      <c r="D351" s="13" t="inlineStr"/>
      <c r="E351" s="22" t="n">
        <v>0.35</v>
      </c>
      <c r="F351" s="13" t="inlineStr"/>
      <c r="G351" s="18" t="inlineStr">
        <is>
          <t>When this creature enters, you may search your library for a basic land card, put that card onto the battlefield tapped, then shuffle. / When this creature dies, you may draw a card.</t>
        </is>
      </c>
    </row>
    <row r="352">
      <c r="A352" s="13" t="inlineStr">
        <is>
          <t>Soul Warden</t>
        </is>
      </c>
      <c r="B352" s="13" t="inlineStr">
        <is>
          <t>Creature — Human Cleric</t>
        </is>
      </c>
      <c r="C352" s="13" t="inlineStr">
        <is>
          <t>{W}</t>
        </is>
      </c>
      <c r="D352" s="13" t="inlineStr">
        <is>
          <t>W</t>
        </is>
      </c>
      <c r="E352" s="22" t="n">
        <v>2.95</v>
      </c>
      <c r="F352" s="13" t="inlineStr"/>
      <c r="G352" s="18" t="inlineStr">
        <is>
          <t>Whenever another creature enters, you gain 1 life.</t>
        </is>
      </c>
    </row>
    <row r="353">
      <c r="A353" s="13" t="inlineStr">
        <is>
          <t>Spirit of Resilience</t>
        </is>
      </c>
      <c r="B353" s="13" t="inlineStr">
        <is>
          <t>Creature — Spirit Warrior</t>
        </is>
      </c>
      <c r="C353" s="13" t="inlineStr">
        <is>
          <t>{2}{R}</t>
        </is>
      </c>
      <c r="D353" s="13" t="inlineStr">
        <is>
          <t>R</t>
        </is>
      </c>
      <c r="E353" s="22" t="n">
        <v>0.19</v>
      </c>
      <c r="F353" s="13" t="inlineStr"/>
      <c r="G353" s="18" t="inlineStr">
        <is>
          <t>Whenever one or more cards leave your graveyard, put a +1/+1 counter on this creature, then you may have this creature become a copy of an artifact or creature card from among those cards until end of turn.</t>
        </is>
      </c>
    </row>
    <row r="354">
      <c r="A354" s="13" t="inlineStr">
        <is>
          <t>Splendid Reclamation</t>
        </is>
      </c>
      <c r="B354" s="13" t="inlineStr">
        <is>
          <t>Sorcery</t>
        </is>
      </c>
      <c r="C354" s="13" t="inlineStr">
        <is>
          <t>{3}{G}</t>
        </is>
      </c>
      <c r="D354" s="13" t="inlineStr">
        <is>
          <t>G</t>
        </is>
      </c>
      <c r="E354" s="22" t="n">
        <v>0.4</v>
      </c>
      <c r="F354" s="13" t="inlineStr"/>
      <c r="G354" s="18" t="inlineStr">
        <is>
          <t>Return all land cards from your graveyard to the battlefield tapped.</t>
        </is>
      </c>
    </row>
    <row r="355">
      <c r="A355" s="13" t="inlineStr">
        <is>
          <t>Splinterfright</t>
        </is>
      </c>
      <c r="B355" s="13" t="inlineStr">
        <is>
          <t>Creature — Elemental</t>
        </is>
      </c>
      <c r="C355" s="13" t="inlineStr">
        <is>
          <t>{2}{G}</t>
        </is>
      </c>
      <c r="D355" s="13" t="inlineStr">
        <is>
          <t>G</t>
        </is>
      </c>
      <c r="E355" s="22" t="n">
        <v>0.28</v>
      </c>
      <c r="F355" s="13" t="inlineStr"/>
      <c r="G355" s="18" t="inlineStr">
        <is>
          <t>Trample / Splinterfright's power and toughness are each equal to the number of creature cards in your graveyard. / At the beginning of your upkeep, mill two cards. (Put the top two cards of your library into your graveyard.)</t>
        </is>
      </c>
    </row>
    <row r="356">
      <c r="A356" s="13" t="inlineStr">
        <is>
          <t>Squee, Goblin Nabob</t>
        </is>
      </c>
      <c r="B356" s="13" t="inlineStr">
        <is>
          <t>Legendary Creature — Goblin</t>
        </is>
      </c>
      <c r="C356" s="13" t="inlineStr">
        <is>
          <t>{2}{R}</t>
        </is>
      </c>
      <c r="D356" s="13" t="inlineStr">
        <is>
          <t>R</t>
        </is>
      </c>
      <c r="E356" s="22" t="n">
        <v>0.28</v>
      </c>
      <c r="F356" s="13" t="inlineStr"/>
      <c r="G356" s="18" t="inlineStr">
        <is>
          <t>At the beginning of your upkeep, you may return this card from your graveyard to your hand.</t>
        </is>
      </c>
    </row>
    <row r="357">
      <c r="A357" s="13" t="inlineStr">
        <is>
          <t>Staff of Compleation</t>
        </is>
      </c>
      <c r="B357" s="13" t="inlineStr">
        <is>
          <t>Artifact</t>
        </is>
      </c>
      <c r="C357" s="13" t="inlineStr">
        <is>
          <t>{3}</t>
        </is>
      </c>
      <c r="D357" s="13" t="inlineStr"/>
      <c r="E357" s="22" t="n">
        <v>4.19</v>
      </c>
      <c r="F357" s="13" t="inlineStr"/>
      <c r="G357" s="18" t="inlineStr">
        <is>
          <t>{T}, Pay 1 life: Destroy target permanent you own. / {T}, Pay 2 life: Add one mana of any color. / {T}, Pay 3 life: Proliferate. / {T}, Pay 4 life: Draw a card. / {5}: Untap this artifact.</t>
        </is>
      </c>
    </row>
    <row r="358">
      <c r="A358" s="13" t="inlineStr">
        <is>
          <t>Staff of the Storyteller</t>
        </is>
      </c>
      <c r="B358" s="13" t="inlineStr">
        <is>
          <t>Artifact</t>
        </is>
      </c>
      <c r="C358" s="13" t="inlineStr">
        <is>
          <t>{1}{W}</t>
        </is>
      </c>
      <c r="D358" s="13" t="inlineStr">
        <is>
          <t>W</t>
        </is>
      </c>
      <c r="E358" s="22" t="n">
        <v>0.43</v>
      </c>
      <c r="F358" s="13" t="inlineStr"/>
      <c r="G358" s="18" t="inlineStr">
        <is>
          <t>When this artifact enters, create a 1/1 white Spirit creature token with flying. / Whenever you create one or more creature tokens, put a story counter on this artifact. / {W}, {T}, Remove a story counter from this artifact: Draw a card.</t>
        </is>
      </c>
    </row>
    <row r="359">
      <c r="A359" s="13" t="inlineStr">
        <is>
          <t>Steady Progress</t>
        </is>
      </c>
      <c r="B359" s="13" t="inlineStr">
        <is>
          <t>Instant</t>
        </is>
      </c>
      <c r="C359" s="13" t="inlineStr">
        <is>
          <t>{2}{U}</t>
        </is>
      </c>
      <c r="D359" s="13" t="inlineStr">
        <is>
          <t>U</t>
        </is>
      </c>
      <c r="E359" s="22" t="n">
        <v>0.29</v>
      </c>
      <c r="F359" s="13" t="inlineStr"/>
      <c r="G359" s="18" t="inlineStr">
        <is>
          <t>Proliferate. (Choose any number of permanents and/or players, then give each another counter of each kind already there.) / Draw a card.</t>
        </is>
      </c>
    </row>
    <row r="360">
      <c r="A360" s="13" t="inlineStr">
        <is>
          <t>Steel Wall</t>
        </is>
      </c>
      <c r="B360" s="13" t="inlineStr">
        <is>
          <t>Artifact Creature — Wall</t>
        </is>
      </c>
      <c r="C360" s="13" t="inlineStr">
        <is>
          <t>{1}</t>
        </is>
      </c>
      <c r="D360" s="13" t="inlineStr"/>
      <c r="E360" s="22" t="n">
        <v>0.16</v>
      </c>
      <c r="F360" s="13" t="inlineStr"/>
      <c r="G360" s="18" t="inlineStr">
        <is>
          <t>Defender (This creature can't attack.)</t>
        </is>
      </c>
    </row>
    <row r="361">
      <c r="A361" s="13" t="inlineStr">
        <is>
          <t>Stitcher's Supplier</t>
        </is>
      </c>
      <c r="B361" s="13" t="inlineStr">
        <is>
          <t>Creature — Zombie</t>
        </is>
      </c>
      <c r="C361" s="13" t="inlineStr">
        <is>
          <t>{B}</t>
        </is>
      </c>
      <c r="D361" s="13" t="inlineStr">
        <is>
          <t>B</t>
        </is>
      </c>
      <c r="E361" s="22" t="n">
        <v>0.34</v>
      </c>
      <c r="F361" s="13" t="inlineStr"/>
      <c r="G361" s="18" t="inlineStr">
        <is>
          <t>When this creature enters or dies, mill three cards. (Put the top three cards of your library into your graveyard.)</t>
        </is>
      </c>
    </row>
    <row r="362">
      <c r="A362" s="13" t="inlineStr">
        <is>
          <t>Stonework Puma</t>
        </is>
      </c>
      <c r="B362" s="13" t="inlineStr">
        <is>
          <t>Artifact Creature — Cat Ally</t>
        </is>
      </c>
      <c r="C362" s="13" t="inlineStr">
        <is>
          <t>{3}</t>
        </is>
      </c>
      <c r="D362" s="13" t="inlineStr"/>
      <c r="E362" s="22" t="n">
        <v>0.1</v>
      </c>
      <c r="F362" s="13" t="inlineStr"/>
      <c r="G362" s="18" t="inlineStr"/>
    </row>
    <row r="363">
      <c r="A363" s="13" t="inlineStr">
        <is>
          <t>Study Hall</t>
        </is>
      </c>
      <c r="B363" s="13" t="inlineStr">
        <is>
          <t>Land</t>
        </is>
      </c>
      <c r="C363" s="13" t="inlineStr"/>
      <c r="D363" s="13" t="inlineStr"/>
      <c r="E363" s="22" t="n">
        <v>0.21</v>
      </c>
      <c r="F363" s="13" t="inlineStr"/>
      <c r="G363" s="18" t="inlineStr">
        <is>
          <t>{T}: Add {C}. / {1}, {T}: Add one mana of any color. When you spend this mana to cast your commander, scry X, where X is the number of times it's been cast from the command zone this game.</t>
        </is>
      </c>
    </row>
    <row r="364">
      <c r="A364" s="13" t="inlineStr">
        <is>
          <t>Sun Titan</t>
        </is>
      </c>
      <c r="B364" s="13" t="inlineStr">
        <is>
          <t>Creature — Giant</t>
        </is>
      </c>
      <c r="C364" s="13" t="inlineStr">
        <is>
          <t>{4}{W}{W}</t>
        </is>
      </c>
      <c r="D364" s="13" t="inlineStr">
        <is>
          <t>W</t>
        </is>
      </c>
      <c r="E364" s="22" t="n">
        <v>0.37</v>
      </c>
      <c r="F364" s="13" t="inlineStr"/>
      <c r="G364" s="18" t="inlineStr">
        <is>
          <t>Vigilance / Whenever this creature enters or attacks, you may return target permanent card with mana value 3 or less from your graveyard to the battlefield.</t>
        </is>
      </c>
    </row>
    <row r="365">
      <c r="A365" s="13" t="inlineStr">
        <is>
          <t>Sunforger</t>
        </is>
      </c>
      <c r="B365" s="13" t="inlineStr">
        <is>
          <t>Artifact — Equipment</t>
        </is>
      </c>
      <c r="C365" s="13" t="inlineStr">
        <is>
          <t>{3}</t>
        </is>
      </c>
      <c r="D365" s="13" t="inlineStr">
        <is>
          <t>RW</t>
        </is>
      </c>
      <c r="E365" s="22" t="n">
        <v>4.06</v>
      </c>
      <c r="F365" s="13" t="inlineStr"/>
      <c r="G365" s="18" t="inlineStr">
        <is>
          <t>Equipped creature gets +4/+0. / {R}{W}, Unattach this Equipment: Search your library for a red or white instant card with mana value 4 or less and cast that card without paying its mana cost. Then shuffle. / Equip {3}</t>
        </is>
      </c>
    </row>
    <row r="366">
      <c r="A366" s="13" t="inlineStr">
        <is>
          <t>Sungrass Prairie</t>
        </is>
      </c>
      <c r="B366" s="13" t="inlineStr">
        <is>
          <t>Land</t>
        </is>
      </c>
      <c r="C366" s="13" t="inlineStr"/>
      <c r="D366" s="13" t="inlineStr">
        <is>
          <t>GW</t>
        </is>
      </c>
      <c r="E366" s="22" t="n">
        <v>0.27</v>
      </c>
      <c r="F366" s="13" t="inlineStr"/>
      <c r="G366" s="18" t="inlineStr">
        <is>
          <t>{1}, {T}: Add {G}{W}.</t>
        </is>
      </c>
    </row>
    <row r="367">
      <c r="A367" s="13" t="inlineStr">
        <is>
          <t>Sunpetal Grove</t>
        </is>
      </c>
      <c r="B367" s="13" t="inlineStr">
        <is>
          <t>Land</t>
        </is>
      </c>
      <c r="C367" s="13" t="inlineStr"/>
      <c r="D367" s="13" t="inlineStr">
        <is>
          <t>GW</t>
        </is>
      </c>
      <c r="E367" s="22" t="n">
        <v>0.37</v>
      </c>
      <c r="F367" s="13" t="inlineStr"/>
      <c r="G367" s="18" t="inlineStr">
        <is>
          <t>This land enters tapped unless you control a Forest or a Plains. / {T}: Add {G} or {W}.</t>
        </is>
      </c>
    </row>
    <row r="368">
      <c r="A368" s="13" t="inlineStr">
        <is>
          <t>Sunscorched Divide</t>
        </is>
      </c>
      <c r="B368" s="13" t="inlineStr">
        <is>
          <t>Land</t>
        </is>
      </c>
      <c r="C368" s="13" t="inlineStr"/>
      <c r="D368" s="13" t="inlineStr">
        <is>
          <t>RW</t>
        </is>
      </c>
      <c r="E368" s="22" t="n">
        <v>0.24</v>
      </c>
      <c r="F368" s="13" t="inlineStr"/>
      <c r="G368" s="18" t="inlineStr">
        <is>
          <t>{1}, {T}: Add {R}{W}.</t>
        </is>
      </c>
    </row>
    <row r="369">
      <c r="A369" s="13" t="inlineStr">
        <is>
          <t>Swamp</t>
        </is>
      </c>
      <c r="B369" s="13" t="inlineStr">
        <is>
          <t>Basic Land — Swamp</t>
        </is>
      </c>
      <c r="C369" s="13" t="inlineStr"/>
      <c r="D369" s="13" t="inlineStr">
        <is>
          <t>B</t>
        </is>
      </c>
      <c r="E369" s="22" t="n">
        <v>0</v>
      </c>
      <c r="F369" s="13" t="inlineStr"/>
      <c r="G369" s="18" t="inlineStr">
        <is>
          <t>({T}: Add {B}.)</t>
        </is>
      </c>
    </row>
    <row r="370">
      <c r="A370" s="13" t="inlineStr">
        <is>
          <t>Swift Demise</t>
        </is>
      </c>
      <c r="B370" s="13" t="inlineStr">
        <is>
          <t>Instant</t>
        </is>
      </c>
      <c r="C370" s="13" t="inlineStr">
        <is>
          <t>{2}{B}</t>
        </is>
      </c>
      <c r="D370" s="13" t="inlineStr">
        <is>
          <t>B</t>
        </is>
      </c>
      <c r="E370" s="22" t="n">
        <v>0.3</v>
      </c>
      <c r="F370" s="13" t="inlineStr"/>
      <c r="G370" s="18" t="inlineStr">
        <is>
          <t>Swift Demise deals 1 damage to target creature. Then destroy each creature you don't control that was dealt damage this turn.</t>
        </is>
      </c>
    </row>
    <row r="371">
      <c r="A371" s="13" t="inlineStr">
        <is>
          <t>Swiftfoot Boots</t>
        </is>
      </c>
      <c r="B371" s="13" t="inlineStr">
        <is>
          <t>Artifact — Equipment</t>
        </is>
      </c>
      <c r="C371" s="13" t="inlineStr">
        <is>
          <t>{2}</t>
        </is>
      </c>
      <c r="D371" s="13" t="inlineStr"/>
      <c r="E371" s="22" t="n">
        <v>0.75</v>
      </c>
      <c r="F371" s="13" t="inlineStr"/>
      <c r="G371" s="18" t="inlineStr">
        <is>
          <t>Equipped creature has hexproof and haste. (It can't be the target of spells or abilities your opponents control. It can attack and {T} no matter when it came under your control.) / Equip {1} ({1}: Attach to target creature you control. Equip only as a sorcery.)</t>
        </is>
      </c>
    </row>
    <row r="372">
      <c r="A372" s="13" t="inlineStr">
        <is>
          <t>Sword of Fire and Ice</t>
        </is>
      </c>
      <c r="B372" s="13" t="inlineStr">
        <is>
          <t>Artifact — Equipment</t>
        </is>
      </c>
      <c r="C372" s="13" t="inlineStr">
        <is>
          <t>{3}</t>
        </is>
      </c>
      <c r="D372" s="13" t="inlineStr"/>
      <c r="E372" s="22" t="n">
        <v>48.74</v>
      </c>
      <c r="F372" s="13" t="inlineStr"/>
      <c r="G372" s="18" t="inlineStr">
        <is>
          <t>Equipped creature gets +2/+2 and has protection from red and from blue. / Whenever equipped creature deals combat damage to a player, this Equipment deals 2 damage to any target and you draw a card. / Equip {2}</t>
        </is>
      </c>
    </row>
    <row r="373">
      <c r="A373" s="13" t="inlineStr">
        <is>
          <t>Swords to Plowshares</t>
        </is>
      </c>
      <c r="B373" s="13" t="inlineStr">
        <is>
          <t>Instant</t>
        </is>
      </c>
      <c r="C373" s="13" t="inlineStr">
        <is>
          <t>{W}</t>
        </is>
      </c>
      <c r="D373" s="13" t="inlineStr">
        <is>
          <t>W</t>
        </is>
      </c>
      <c r="E373" s="22" t="n">
        <v>1.42</v>
      </c>
      <c r="F373" s="13" t="inlineStr"/>
      <c r="G373" s="18" t="inlineStr">
        <is>
          <t>Exile target creature. Its controller gains life equal to its power.</t>
        </is>
      </c>
    </row>
    <row r="374">
      <c r="A374" s="13" t="inlineStr">
        <is>
          <t>Sylvan Caryatid</t>
        </is>
      </c>
      <c r="B374" s="13" t="inlineStr">
        <is>
          <t>Creature — Plant</t>
        </is>
      </c>
      <c r="C374" s="13" t="inlineStr">
        <is>
          <t>{1}{G}</t>
        </is>
      </c>
      <c r="D374" s="13" t="inlineStr">
        <is>
          <t>G</t>
        </is>
      </c>
      <c r="E374" s="22" t="n">
        <v>0.9399999999999999</v>
      </c>
      <c r="F374" s="13" t="inlineStr"/>
      <c r="G374" s="18" t="inlineStr">
        <is>
          <t>Defender, hexproof / {T}: Add one mana of any color.</t>
        </is>
      </c>
    </row>
    <row r="375">
      <c r="A375" s="13" t="inlineStr">
        <is>
          <t>Sylvan Ranger</t>
        </is>
      </c>
      <c r="B375" s="13" t="inlineStr">
        <is>
          <t>Creature — Elf Scout Ranger</t>
        </is>
      </c>
      <c r="C375" s="13" t="inlineStr">
        <is>
          <t>{1}{G}</t>
        </is>
      </c>
      <c r="D375" s="13" t="inlineStr">
        <is>
          <t>G</t>
        </is>
      </c>
      <c r="E375" s="22" t="n">
        <v>0.28</v>
      </c>
      <c r="F375" s="13" t="inlineStr"/>
      <c r="G375" s="18" t="inlineStr">
        <is>
          <t>When this creature enters, you may search your library for a basic land card, reveal it, put it into your hand, then shuffle.</t>
        </is>
      </c>
    </row>
    <row r="376">
      <c r="A376" s="13" t="inlineStr">
        <is>
          <t>Talisman of Conviction</t>
        </is>
      </c>
      <c r="B376" s="13" t="inlineStr">
        <is>
          <t>Artifact</t>
        </is>
      </c>
      <c r="C376" s="13" t="inlineStr">
        <is>
          <t>{2}</t>
        </is>
      </c>
      <c r="D376" s="13" t="inlineStr">
        <is>
          <t>RW</t>
        </is>
      </c>
      <c r="E376" s="22" t="n">
        <v>0.42</v>
      </c>
      <c r="F376" s="13" t="inlineStr"/>
      <c r="G376" s="18" t="inlineStr">
        <is>
          <t>{T}: Add {C}. / {T}: Add {R} or {W}. This artifact deals 1 damage to you.</t>
        </is>
      </c>
    </row>
    <row r="377">
      <c r="A377" s="13" t="inlineStr">
        <is>
          <t>Talisman of Progress</t>
        </is>
      </c>
      <c r="B377" s="13" t="inlineStr">
        <is>
          <t>Artifact</t>
        </is>
      </c>
      <c r="C377" s="13" t="inlineStr">
        <is>
          <t>{2}</t>
        </is>
      </c>
      <c r="D377" s="13" t="inlineStr">
        <is>
          <t>UW</t>
        </is>
      </c>
      <c r="E377" s="22" t="n">
        <v>0.36</v>
      </c>
      <c r="F377" s="13" t="inlineStr"/>
      <c r="G377" s="18" t="inlineStr">
        <is>
          <t>{T}: Add {C}. / {T}: Add {W} or {U}. This artifact deals 1 damage to you.</t>
        </is>
      </c>
    </row>
    <row r="378">
      <c r="A378" s="13" t="inlineStr">
        <is>
          <t>Tatyova, Benthic Druid</t>
        </is>
      </c>
      <c r="B378" s="13" t="inlineStr">
        <is>
          <t>Legendary Creature — Merfolk Druid</t>
        </is>
      </c>
      <c r="C378" s="13" t="inlineStr">
        <is>
          <t>{3}{G}{U}</t>
        </is>
      </c>
      <c r="D378" s="13" t="inlineStr">
        <is>
          <t>GU</t>
        </is>
      </c>
      <c r="E378" s="22" t="n">
        <v>0.33</v>
      </c>
      <c r="F378" s="13" t="inlineStr"/>
      <c r="G378" s="18" t="inlineStr">
        <is>
          <t>Landfall — Whenever a land you control enters, you gain 1 life and draw a card.</t>
        </is>
      </c>
    </row>
    <row r="379">
      <c r="A379" s="13" t="inlineStr">
        <is>
          <t>Teferi's Protection</t>
        </is>
      </c>
      <c r="B379" s="13" t="inlineStr">
        <is>
          <t>Instant</t>
        </is>
      </c>
      <c r="C379" s="13" t="inlineStr">
        <is>
          <t>{2}{W}</t>
        </is>
      </c>
      <c r="D379" s="13" t="inlineStr">
        <is>
          <t>W</t>
        </is>
      </c>
      <c r="E379" s="22" t="n">
        <v>47.53</v>
      </c>
      <c r="F379" s="13" t="inlineStr"/>
      <c r="G379" s="18" t="inlineStr">
        <is>
          <t>Until your next turn, your life total can't change and you gain protection from everything. All permanents you control phase out. (While they're phased out, they're treated as though they don't exist. They phase in before you untap during your untap step.) / Exile Teferi's Protection.</t>
        </is>
      </c>
    </row>
    <row r="380">
      <c r="A380" s="13" t="inlineStr">
        <is>
          <t>Temple of Enlightenment</t>
        </is>
      </c>
      <c r="B380" s="13" t="inlineStr">
        <is>
          <t>Land</t>
        </is>
      </c>
      <c r="C380" s="13" t="inlineStr"/>
      <c r="D380" s="13" t="inlineStr">
        <is>
          <t>UW</t>
        </is>
      </c>
      <c r="E380" s="22" t="n">
        <v>0.2</v>
      </c>
      <c r="F380" s="13" t="inlineStr"/>
      <c r="G380" s="18" t="inlineStr">
        <is>
          <t>This land enters tapped. / When this land enters, scry 1. (Look at the top card of your library. You may put that card on the bottom.) / {T}: Add {W} or {U}.</t>
        </is>
      </c>
    </row>
    <row r="381">
      <c r="A381" s="13" t="inlineStr">
        <is>
          <t>Temple of Malady</t>
        </is>
      </c>
      <c r="B381" s="13" t="inlineStr">
        <is>
          <t>Land</t>
        </is>
      </c>
      <c r="C381" s="13" t="inlineStr"/>
      <c r="D381" s="13" t="inlineStr">
        <is>
          <t>BG</t>
        </is>
      </c>
      <c r="E381" s="22" t="n">
        <v>0.37</v>
      </c>
      <c r="F381" s="13" t="inlineStr"/>
      <c r="G381" s="18" t="inlineStr">
        <is>
          <t>This land enters tapped. / When this land enters, scry 1. (Look at the top card of your library. You may put that card on the bottom.) / {T}: Add {B} or {G}.</t>
        </is>
      </c>
    </row>
    <row r="382">
      <c r="A382" s="13" t="inlineStr">
        <is>
          <t>Temple of Mystery</t>
        </is>
      </c>
      <c r="B382" s="13" t="inlineStr">
        <is>
          <t>Land</t>
        </is>
      </c>
      <c r="C382" s="13" t="inlineStr"/>
      <c r="D382" s="13" t="inlineStr">
        <is>
          <t>GU</t>
        </is>
      </c>
      <c r="E382" s="22" t="n">
        <v>0.28</v>
      </c>
      <c r="F382" s="13" t="inlineStr"/>
      <c r="G382" s="18" t="inlineStr">
        <is>
          <t>This land enters tapped. / When this land enters, scry 1. (Look at the top card of your library. You may put that card on the bottom.) / {T}: Add {G} or {U}.</t>
        </is>
      </c>
    </row>
    <row r="383">
      <c r="A383" s="13" t="inlineStr">
        <is>
          <t>Temple of Plenty</t>
        </is>
      </c>
      <c r="B383" s="13" t="inlineStr">
        <is>
          <t>Land</t>
        </is>
      </c>
      <c r="C383" s="13" t="inlineStr"/>
      <c r="D383" s="13" t="inlineStr">
        <is>
          <t>GW</t>
        </is>
      </c>
      <c r="E383" s="22" t="n">
        <v>0.29</v>
      </c>
      <c r="F383" s="13" t="inlineStr"/>
      <c r="G383" s="18" t="inlineStr">
        <is>
          <t>This land enters tapped. / When this land enters, scry 1. (Look at the top card of your library. You may put that card on the bottom.) / {T}: Add {G} or {W}.</t>
        </is>
      </c>
    </row>
    <row r="384">
      <c r="A384" s="13" t="inlineStr">
        <is>
          <t>Temple of Silence</t>
        </is>
      </c>
      <c r="B384" s="13" t="inlineStr">
        <is>
          <t>Land</t>
        </is>
      </c>
      <c r="C384" s="13" t="inlineStr"/>
      <c r="D384" s="13" t="inlineStr">
        <is>
          <t>BW</t>
        </is>
      </c>
      <c r="E384" s="22" t="n">
        <v>0.36</v>
      </c>
      <c r="F384" s="13" t="inlineStr"/>
      <c r="G384" s="18" t="inlineStr">
        <is>
          <t>This land enters tapped. / When this land enters, scry 1. (Look at the top card of your library. You may put that card on the bottom.) / {T}: Add {W} or {B}.</t>
        </is>
      </c>
    </row>
    <row r="385">
      <c r="A385" s="13" t="inlineStr">
        <is>
          <t>Temple of Triumph</t>
        </is>
      </c>
      <c r="B385" s="13" t="inlineStr">
        <is>
          <t>Land</t>
        </is>
      </c>
      <c r="C385" s="13" t="inlineStr"/>
      <c r="D385" s="13" t="inlineStr">
        <is>
          <t>RW</t>
        </is>
      </c>
      <c r="E385" s="22" t="n">
        <v>0.33</v>
      </c>
      <c r="F385" s="13" t="inlineStr"/>
      <c r="G385" s="18" t="inlineStr">
        <is>
          <t>This land enters tapped. / When this land enters, scry 1. (Look at the top card of your library. You may put that card on the bottom.) / {T}: Add {R} or {W}.</t>
        </is>
      </c>
    </row>
    <row r="386">
      <c r="A386" s="13" t="inlineStr">
        <is>
          <t>Teneb, the Harvester</t>
        </is>
      </c>
      <c r="B386" s="13" t="inlineStr">
        <is>
          <t>Legendary Creature — Dragon</t>
        </is>
      </c>
      <c r="C386" s="13" t="inlineStr">
        <is>
          <t>{3}{W}{B}{G}</t>
        </is>
      </c>
      <c r="D386" s="13" t="inlineStr">
        <is>
          <t>BGW</t>
        </is>
      </c>
      <c r="E386" s="22" t="n">
        <v>0.98</v>
      </c>
      <c r="F386" s="13" t="inlineStr"/>
      <c r="G386" s="18" t="inlineStr">
        <is>
          <t>Flying / Whenever Teneb deals combat damage to a player, you may pay {2}{B}. If you do, put target creature card from a graveyard onto the battlefield under your control.</t>
        </is>
      </c>
    </row>
    <row r="387">
      <c r="A387" s="13" t="inlineStr">
        <is>
          <t>Terramorphic Expanse</t>
        </is>
      </c>
      <c r="B387" s="13" t="inlineStr">
        <is>
          <t>Land</t>
        </is>
      </c>
      <c r="C387" s="13" t="inlineStr"/>
      <c r="D387" s="13" t="inlineStr"/>
      <c r="E387" s="22" t="n">
        <v>0.25</v>
      </c>
      <c r="F387" s="13" t="inlineStr"/>
      <c r="G387" s="18" t="inlineStr">
        <is>
          <t>{T}, Sacrifice this land: Search your library for a basic land card, put it onto the battlefield tapped, then shuffle.</t>
        </is>
      </c>
    </row>
    <row r="388">
      <c r="A388" s="13" t="inlineStr">
        <is>
          <t>Teshar, Ancestor's Apostle</t>
        </is>
      </c>
      <c r="B388" s="13" t="inlineStr">
        <is>
          <t>Legendary Creature — Bird Cleric</t>
        </is>
      </c>
      <c r="C388" s="13" t="inlineStr">
        <is>
          <t>{3}{W}</t>
        </is>
      </c>
      <c r="D388" s="13" t="inlineStr">
        <is>
          <t>W</t>
        </is>
      </c>
      <c r="E388" s="22" t="n">
        <v>0.33</v>
      </c>
      <c r="F388" s="13" t="inlineStr"/>
      <c r="G388" s="18" t="inlineStr">
        <is>
          <t>Flying / Whenever you cast a historic spell, return target creature card with mana value 3 or less from your graveyard to the battlefield. (Artifacts, legendaries, and Sagas are historic.)</t>
        </is>
      </c>
    </row>
    <row r="389">
      <c r="A389" s="13" t="inlineStr">
        <is>
          <t>Tetsuko Umezawa, Fugitive</t>
        </is>
      </c>
      <c r="B389" s="13" t="inlineStr">
        <is>
          <t>Legendary Creature — Human Rogue</t>
        </is>
      </c>
      <c r="C389" s="13" t="inlineStr">
        <is>
          <t>{1}{U}</t>
        </is>
      </c>
      <c r="D389" s="13" t="inlineStr">
        <is>
          <t>U</t>
        </is>
      </c>
      <c r="E389" s="22" t="n">
        <v>0.15</v>
      </c>
      <c r="F389" s="13" t="inlineStr"/>
      <c r="G389" s="18" t="inlineStr">
        <is>
          <t>Creatures you control with power or toughness 1 or less can't be blocked.</t>
        </is>
      </c>
    </row>
    <row r="390">
      <c r="A390" s="13" t="inlineStr">
        <is>
          <t>Teyo, the Shieldmage</t>
        </is>
      </c>
      <c r="B390" s="13" t="inlineStr">
        <is>
          <t>Legendary Planeswalker — Teyo</t>
        </is>
      </c>
      <c r="C390" s="13" t="inlineStr">
        <is>
          <t>{2}{W}</t>
        </is>
      </c>
      <c r="D390" s="13" t="inlineStr">
        <is>
          <t>W</t>
        </is>
      </c>
      <c r="E390" s="22" t="n">
        <v>0.33</v>
      </c>
      <c r="F390" s="13" t="inlineStr"/>
      <c r="G390" s="18" t="inlineStr">
        <is>
          <t>You have hexproof. (You can't be the target of spells or abilities your opponents control.) / −2: Create a 0/3 white Wall creature token with defender.</t>
        </is>
      </c>
    </row>
    <row r="391">
      <c r="A391" s="13" t="inlineStr">
        <is>
          <t>Tezzeret's Gambit</t>
        </is>
      </c>
      <c r="B391" s="13" t="inlineStr">
        <is>
          <t>Sorcery</t>
        </is>
      </c>
      <c r="C391" s="13" t="inlineStr">
        <is>
          <t>{3}{U/P}</t>
        </is>
      </c>
      <c r="D391" s="13" t="inlineStr">
        <is>
          <t>U</t>
        </is>
      </c>
      <c r="E391" s="22" t="n">
        <v>0.29</v>
      </c>
      <c r="F391" s="13" t="inlineStr"/>
      <c r="G391" s="18" t="inlineStr">
        <is>
          <t>({U/P} can be paid with either {U} or 2 life.) / Draw two cards, then proliferate. (Choose any number of permanents and/or players, then give each another counter of each kind already there.)</t>
        </is>
      </c>
    </row>
    <row r="392">
      <c r="A392" s="13" t="inlineStr">
        <is>
          <t>Thassa, Deep-Dwelling</t>
        </is>
      </c>
      <c r="B392" s="13" t="inlineStr">
        <is>
          <t>Legendary Enchantment Creature — God</t>
        </is>
      </c>
      <c r="C392" s="13" t="inlineStr">
        <is>
          <t>{3}{U}</t>
        </is>
      </c>
      <c r="D392" s="13" t="inlineStr">
        <is>
          <t>U</t>
        </is>
      </c>
      <c r="E392" s="22" t="n">
        <v>26.42</v>
      </c>
      <c r="F392" s="13" t="inlineStr"/>
      <c r="G392" s="18" t="inlineStr">
        <is>
          <t>Indestructible / As long as your devotion to blue is less than five, Thassa isn't a creature. / At the beginning of your end step, exile up to one other target creature you control, then return that card to the battlefield under your control. / {3}{U}: Tap another target creature.</t>
        </is>
      </c>
    </row>
    <row r="393">
      <c r="A393" s="13" t="inlineStr">
        <is>
          <t>The Chain Veil</t>
        </is>
      </c>
      <c r="B393" s="13" t="inlineStr">
        <is>
          <t>Legendary Artifact</t>
        </is>
      </c>
      <c r="C393" s="13" t="inlineStr">
        <is>
          <t>{4}</t>
        </is>
      </c>
      <c r="D393" s="13" t="inlineStr"/>
      <c r="E393" s="22" t="n">
        <v>5.61</v>
      </c>
      <c r="F393" s="13" t="inlineStr"/>
      <c r="G393" s="18" t="inlineStr">
        <is>
          <t>At the beginning of your end step, if you didn't activate a loyalty ability of a planeswalker this turn, you lose 2 life. / {4}, {T}: For each planeswalker you control, you may activate one of its loyalty abilities once this turn as though none of its loyalty abilities have been activated this turn.</t>
        </is>
      </c>
    </row>
    <row r="394">
      <c r="A394" s="13" t="inlineStr">
        <is>
          <t>The Gitrog Monster</t>
        </is>
      </c>
      <c r="B394" s="13" t="inlineStr">
        <is>
          <t>Legendary Creature — Frog Horror</t>
        </is>
      </c>
      <c r="C394" s="13" t="inlineStr">
        <is>
          <t>{3}{B}{G}</t>
        </is>
      </c>
      <c r="D394" s="13" t="inlineStr">
        <is>
          <t>BG</t>
        </is>
      </c>
      <c r="E394" s="22" t="n">
        <v>0.61</v>
      </c>
      <c r="F394" s="13" t="inlineStr"/>
      <c r="G394" s="18" t="inlineStr">
        <is>
          <t>Deathtouch / At the beginning of your upkeep, sacrifice The Gitrog Monster unless you sacrifice a land. / You may play an additional land on each of your turns. / Whenever one or more land cards are put into your graveyard from anywhere, draw a card.</t>
        </is>
      </c>
    </row>
    <row r="395">
      <c r="A395" s="13" t="inlineStr">
        <is>
          <t>The Ozolith</t>
        </is>
      </c>
      <c r="B395" s="13" t="inlineStr">
        <is>
          <t>Legendary Artifact</t>
        </is>
      </c>
      <c r="C395" s="13" t="inlineStr">
        <is>
          <t>{1}</t>
        </is>
      </c>
      <c r="D395" s="13" t="inlineStr"/>
      <c r="E395" s="22" t="n">
        <v>65.02</v>
      </c>
      <c r="F395" s="13" t="inlineStr"/>
      <c r="G395" s="18" t="inlineStr">
        <is>
          <t>Whenever a creature you control leaves the battlefield, if it had counters on it, put those counters on The Ozolith. / At the beginning of combat on your turn, if The Ozolith has counters on it, you may move all counters from The Ozolith onto target creature.</t>
        </is>
      </c>
    </row>
    <row r="396">
      <c r="A396" s="13" t="inlineStr">
        <is>
          <t>Thornwood Falls</t>
        </is>
      </c>
      <c r="B396" s="13" t="inlineStr">
        <is>
          <t>Land</t>
        </is>
      </c>
      <c r="C396" s="13" t="inlineStr"/>
      <c r="D396" s="13" t="inlineStr">
        <is>
          <t>GU</t>
        </is>
      </c>
      <c r="E396" s="22" t="n">
        <v>0.26</v>
      </c>
      <c r="F396" s="13" t="inlineStr"/>
      <c r="G396" s="18" t="inlineStr">
        <is>
          <t>This land enters tapped. / When this land enters, you gain 1 life. / {T}: Add {G} or {U}.</t>
        </is>
      </c>
    </row>
    <row r="397">
      <c r="A397" s="13" t="inlineStr">
        <is>
          <t>Throne of Geth</t>
        </is>
      </c>
      <c r="B397" s="13" t="inlineStr">
        <is>
          <t>Artifact</t>
        </is>
      </c>
      <c r="C397" s="13" t="inlineStr">
        <is>
          <t>{2}</t>
        </is>
      </c>
      <c r="D397" s="13" t="inlineStr"/>
      <c r="E397" s="22" t="n">
        <v>1.13</v>
      </c>
      <c r="F397" s="13" t="inlineStr"/>
      <c r="G397" s="18" t="inlineStr">
        <is>
          <t>{T}, Sacrifice an artifact: Proliferate. (Choose any number of permanents and/or players, then give each another counter of each kind already there.)</t>
        </is>
      </c>
    </row>
    <row r="398">
      <c r="A398" s="13" t="inlineStr">
        <is>
          <t>Thrummingbird</t>
        </is>
      </c>
      <c r="B398" s="13" t="inlineStr">
        <is>
          <t>Creature — Phyrexian Bird Horror</t>
        </is>
      </c>
      <c r="C398" s="13" t="inlineStr">
        <is>
          <t>{1}{U}</t>
        </is>
      </c>
      <c r="D398" s="13" t="inlineStr">
        <is>
          <t>U</t>
        </is>
      </c>
      <c r="E398" s="22" t="n">
        <v>0.29</v>
      </c>
      <c r="F398" s="13" t="inlineStr"/>
      <c r="G398" s="18" t="inlineStr">
        <is>
          <t>Flying / Whenever this creature deals combat damage to a player, proliferate. (Choose any number of permanents and/or players, then give each another counter of each kind already there.)</t>
        </is>
      </c>
    </row>
    <row r="399">
      <c r="A399" s="13" t="inlineStr">
        <is>
          <t>Tilling Treefolk</t>
        </is>
      </c>
      <c r="B399" s="13" t="inlineStr">
        <is>
          <t>Creature — Treefolk Druid</t>
        </is>
      </c>
      <c r="C399" s="13" t="inlineStr">
        <is>
          <t>{2}{G}</t>
        </is>
      </c>
      <c r="D399" s="13" t="inlineStr">
        <is>
          <t>G</t>
        </is>
      </c>
      <c r="E399" s="22" t="n">
        <v>0.25</v>
      </c>
      <c r="F399" s="13" t="inlineStr"/>
      <c r="G399" s="18" t="inlineStr">
        <is>
          <t>When this creature enters, you may return up to two target land cards from your graveyard to your hand.</t>
        </is>
      </c>
    </row>
    <row r="400">
      <c r="A400" s="13" t="inlineStr">
        <is>
          <t>Tip the Scales</t>
        </is>
      </c>
      <c r="B400" s="13" t="inlineStr">
        <is>
          <t>Sorcery</t>
        </is>
      </c>
      <c r="C400" s="13" t="inlineStr">
        <is>
          <t>{2}{B}</t>
        </is>
      </c>
      <c r="D400" s="13" t="inlineStr">
        <is>
          <t>B</t>
        </is>
      </c>
      <c r="E400" s="22" t="n">
        <v>0.25</v>
      </c>
      <c r="F400" s="13" t="inlineStr"/>
      <c r="G400" s="18" t="inlineStr">
        <is>
          <t>Sacrifice a creature. When you do, all creatures get -X/-X until end of turn, where X is the sacrificed creature's toughness.</t>
        </is>
      </c>
    </row>
    <row r="401">
      <c r="A401" s="13" t="inlineStr">
        <is>
          <t>Tireless Tracker</t>
        </is>
      </c>
      <c r="B401" s="13" t="inlineStr">
        <is>
          <t>Creature — Human Scout</t>
        </is>
      </c>
      <c r="C401" s="13" t="inlineStr">
        <is>
          <t>{2}{G}</t>
        </is>
      </c>
      <c r="D401" s="13" t="inlineStr">
        <is>
          <t>G</t>
        </is>
      </c>
      <c r="E401" s="22" t="n">
        <v>0.36</v>
      </c>
      <c r="F401" s="13" t="inlineStr"/>
      <c r="G401" s="18" t="inlineStr">
        <is>
          <t>Landfall — Whenever a land you control enters, investigate. (Create a Clue token. It's an artifact with "{2}, Sacrifice this token: Draw a card.") / Whenever you sacrifice a Clue, put a +1/+1 counter on this creature.</t>
        </is>
      </c>
    </row>
    <row r="402">
      <c r="A402" s="13" t="inlineStr">
        <is>
          <t>Titania, Protector of Argoth</t>
        </is>
      </c>
      <c r="B402" s="13" t="inlineStr">
        <is>
          <t>Legendary Creature — Elemental</t>
        </is>
      </c>
      <c r="C402" s="13" t="inlineStr">
        <is>
          <t>{3}{G}{G}</t>
        </is>
      </c>
      <c r="D402" s="13" t="inlineStr">
        <is>
          <t>G</t>
        </is>
      </c>
      <c r="E402" s="22" t="n">
        <v>0.37</v>
      </c>
      <c r="F402" s="13" t="inlineStr"/>
      <c r="G402" s="18" t="inlineStr">
        <is>
          <t>When Titania enters, return target land card from your graveyard to the battlefield. / Whenever a land you control is put into a graveyard from the battlefield, create a 5/3 green Elemental creature token.</t>
        </is>
      </c>
    </row>
    <row r="403">
      <c r="A403" s="13" t="inlineStr">
        <is>
          <t>Tocasia's Welcome</t>
        </is>
      </c>
      <c r="B403" s="13" t="inlineStr">
        <is>
          <t>Enchantment</t>
        </is>
      </c>
      <c r="C403" s="13" t="inlineStr">
        <is>
          <t>{2}{W}</t>
        </is>
      </c>
      <c r="D403" s="13" t="inlineStr">
        <is>
          <t>W</t>
        </is>
      </c>
      <c r="E403" s="22" t="n">
        <v>0.7</v>
      </c>
      <c r="F403" s="13" t="inlineStr"/>
      <c r="G403" s="18" t="inlineStr">
        <is>
          <t>Whenever one or more creatures you control with mana value 3 or less enter, draw a card. This ability triggers only once each turn.</t>
        </is>
      </c>
    </row>
    <row r="404">
      <c r="A404" s="13" t="inlineStr">
        <is>
          <t>Tower Defense</t>
        </is>
      </c>
      <c r="B404" s="13" t="inlineStr">
        <is>
          <t>Instant</t>
        </is>
      </c>
      <c r="C404" s="13" t="inlineStr">
        <is>
          <t>{1}{G}</t>
        </is>
      </c>
      <c r="D404" s="13" t="inlineStr">
        <is>
          <t>G</t>
        </is>
      </c>
      <c r="E404" s="22" t="n">
        <v>0.21</v>
      </c>
      <c r="F404" s="13" t="inlineStr"/>
      <c r="G404" s="18" t="inlineStr">
        <is>
          <t>Creatures you control get +0/+5 and gain reach until end of turn.</t>
        </is>
      </c>
    </row>
    <row r="405">
      <c r="A405" s="13" t="inlineStr">
        <is>
          <t>Towering Titan</t>
        </is>
      </c>
      <c r="B405" s="13" t="inlineStr">
        <is>
          <t>Creature — Giant</t>
        </is>
      </c>
      <c r="C405" s="13" t="inlineStr">
        <is>
          <t>{4}{G}{G}</t>
        </is>
      </c>
      <c r="D405" s="13" t="inlineStr">
        <is>
          <t>G</t>
        </is>
      </c>
      <c r="E405" s="22" t="n">
        <v>0.31</v>
      </c>
      <c r="F405" s="13" t="inlineStr"/>
      <c r="G405" s="18" t="inlineStr">
        <is>
          <t>This creature enters with X +1/+1 counters on it, where X is the total toughness of other creatures you control. / Sacrifice a creature with defender: All creatures gain trample until end of turn.</t>
        </is>
      </c>
    </row>
    <row r="406">
      <c r="A406" s="13" t="inlineStr">
        <is>
          <t>Toxrill, the Corrosive</t>
        </is>
      </c>
      <c r="B406" s="13" t="inlineStr">
        <is>
          <t>Legendary Creature — Slug Horror</t>
        </is>
      </c>
      <c r="C406" s="13" t="inlineStr">
        <is>
          <t>{5}{B}{B}</t>
        </is>
      </c>
      <c r="D406" s="13" t="inlineStr">
        <is>
          <t>BU</t>
        </is>
      </c>
      <c r="E406" s="22" t="n">
        <v>15.99</v>
      </c>
      <c r="F406" s="13" t="inlineStr"/>
      <c r="G406" s="18" t="inlineStr">
        <is>
          <t>At the beginning of each end step, put a slime counter on each creature you don't control. / Creatures you don't control get -1/-1 for each slime counter on them. / Whenever a creature you don't control with a slime counter on it dies, create a 1/1 black Slug creature token. / {U}{B}, Sacrifice a Slug: Draw a card.</t>
        </is>
      </c>
    </row>
    <row r="407">
      <c r="A407" s="13" t="inlineStr">
        <is>
          <t>Tragic Arrogance</t>
        </is>
      </c>
      <c r="B407" s="13" t="inlineStr">
        <is>
          <t>Sorcery</t>
        </is>
      </c>
      <c r="C407" s="13" t="inlineStr">
        <is>
          <t>{3}{W}{W}</t>
        </is>
      </c>
      <c r="D407" s="13" t="inlineStr">
        <is>
          <t>W</t>
        </is>
      </c>
      <c r="E407" s="22" t="n">
        <v>0.25</v>
      </c>
      <c r="F407" s="13" t="inlineStr"/>
      <c r="G407" s="18" t="inlineStr">
        <is>
          <t>For each player, you choose from among the permanents that player controls an artifact, a creature, an enchantment, and a planeswalker. Then each player sacrifices all other nonland permanents they control.</t>
        </is>
      </c>
    </row>
    <row r="408">
      <c r="A408" s="13" t="inlineStr">
        <is>
          <t>Tranquil Cove</t>
        </is>
      </c>
      <c r="B408" s="13" t="inlineStr">
        <is>
          <t>Land</t>
        </is>
      </c>
      <c r="C408" s="13" t="inlineStr"/>
      <c r="D408" s="13" t="inlineStr">
        <is>
          <t>UW</t>
        </is>
      </c>
      <c r="E408" s="22" t="n">
        <v>0.21</v>
      </c>
      <c r="F408" s="13" t="inlineStr"/>
      <c r="G408" s="18" t="inlineStr">
        <is>
          <t>This land enters tapped. / When this land enters, you gain 1 life. / {T}: Add {W} or {U}.</t>
        </is>
      </c>
    </row>
    <row r="409">
      <c r="A409" s="13" t="inlineStr">
        <is>
          <t>Tranquil Thicket</t>
        </is>
      </c>
      <c r="B409" s="13" t="inlineStr">
        <is>
          <t>Land</t>
        </is>
      </c>
      <c r="C409" s="13" t="inlineStr"/>
      <c r="D409" s="13" t="inlineStr">
        <is>
          <t>G</t>
        </is>
      </c>
      <c r="E409" s="22" t="n">
        <v>0.27</v>
      </c>
      <c r="F409" s="13" t="inlineStr"/>
      <c r="G409" s="18" t="inlineStr">
        <is>
          <t>This land enters tapped. / {T}: Add {G}. / Cycling {G} ({G}, Discard this card: Draw a card.)</t>
        </is>
      </c>
    </row>
    <row r="410">
      <c r="A410" s="13" t="inlineStr">
        <is>
          <t>Tree of Redemption</t>
        </is>
      </c>
      <c r="B410" s="13" t="inlineStr">
        <is>
          <t>Creature — Plant</t>
        </is>
      </c>
      <c r="C410" s="13" t="inlineStr">
        <is>
          <t>{3}{G}</t>
        </is>
      </c>
      <c r="D410" s="13" t="inlineStr">
        <is>
          <t>G</t>
        </is>
      </c>
      <c r="E410" s="22" t="n">
        <v>0.58</v>
      </c>
      <c r="F410" s="13" t="inlineStr"/>
      <c r="G410" s="18" t="inlineStr">
        <is>
          <t>Defender / {T}: Exchange your life total with this creature's toughness.</t>
        </is>
      </c>
    </row>
    <row r="411">
      <c r="A411" s="13" t="inlineStr">
        <is>
          <t>Trelasarra, Moon Dancer</t>
        </is>
      </c>
      <c r="B411" s="13" t="inlineStr">
        <is>
          <t>Legendary Creature — Elf Cleric</t>
        </is>
      </c>
      <c r="C411" s="13" t="inlineStr">
        <is>
          <t>{G}{W}</t>
        </is>
      </c>
      <c r="D411" s="13" t="inlineStr">
        <is>
          <t>GW</t>
        </is>
      </c>
      <c r="E411" s="22" t="n">
        <v>0.28</v>
      </c>
      <c r="F411" s="13" t="inlineStr"/>
      <c r="G411" s="18" t="inlineStr">
        <is>
          <t>Whenever you gain life, put a +1/+1 counter on Trelasarra and scry 1. (Look at the top card of your library. You may put that card on the bottom.)</t>
        </is>
      </c>
    </row>
    <row r="412">
      <c r="A412" s="13" t="inlineStr">
        <is>
          <t>Troll Negotiations</t>
        </is>
      </c>
      <c r="B412" s="13" t="inlineStr">
        <is>
          <t>Sorcery</t>
        </is>
      </c>
      <c r="C412" s="13" t="inlineStr">
        <is>
          <t>{2}{G}{G}</t>
        </is>
      </c>
      <c r="D412" s="13" t="inlineStr">
        <is>
          <t>G</t>
        </is>
      </c>
      <c r="E412" s="22" t="n">
        <v>0.13</v>
      </c>
      <c r="F412" s="13" t="inlineStr"/>
      <c r="G412" s="18" t="inlineStr">
        <is>
          <t>Put two +1/+1 counters on target creature you control. Then it fights target creature an opponent controls. (Each deals damage equal to its power to the other.)</t>
        </is>
      </c>
    </row>
    <row r="413">
      <c r="A413" s="13" t="inlineStr">
        <is>
          <t>Turbulent Steppe</t>
        </is>
      </c>
      <c r="B413" s="13" t="inlineStr">
        <is>
          <t>Land — Mountain Plains</t>
        </is>
      </c>
      <c r="C413" s="13" t="inlineStr"/>
      <c r="D413" s="13" t="inlineStr">
        <is>
          <t>RW</t>
        </is>
      </c>
      <c r="E413" s="22" t="n">
        <v>5.32</v>
      </c>
      <c r="F413" s="13" t="inlineStr"/>
      <c r="G413" s="18" t="inlineStr">
        <is>
          <t>({T}: Add {R} or {W}.) / This land enters tapped unless your opponents control eight or more lands.</t>
        </is>
      </c>
    </row>
    <row r="414">
      <c r="A414" s="13" t="inlineStr">
        <is>
          <t>Turntimber Sower</t>
        </is>
      </c>
      <c r="B414" s="13" t="inlineStr">
        <is>
          <t>Creature — Elf Druid</t>
        </is>
      </c>
      <c r="C414" s="13" t="inlineStr">
        <is>
          <t>{2}{G}</t>
        </is>
      </c>
      <c r="D414" s="13" t="inlineStr">
        <is>
          <t>G</t>
        </is>
      </c>
      <c r="E414" s="22" t="n">
        <v>0.36</v>
      </c>
      <c r="F414" s="13" t="inlineStr"/>
      <c r="G414" s="18" t="inlineStr">
        <is>
          <t>Whenever one or more land cards are put into your graveyard from anywhere, create a 0/1 green Plant creature token. / {G}, Sacrifice three creatures: Return target land card from your graveyard to your hand.</t>
        </is>
      </c>
    </row>
    <row r="415">
      <c r="A415" s="13" t="inlineStr">
        <is>
          <t>Twilight Mire</t>
        </is>
      </c>
      <c r="B415" s="13" t="inlineStr">
        <is>
          <t>Land</t>
        </is>
      </c>
      <c r="C415" s="13" t="inlineStr"/>
      <c r="D415" s="13" t="inlineStr">
        <is>
          <t>BG</t>
        </is>
      </c>
      <c r="E415" s="22" t="n">
        <v>0.41</v>
      </c>
      <c r="F415" s="13" t="inlineStr"/>
      <c r="G415" s="18" t="inlineStr">
        <is>
          <t>{T}: Add {C}. / {B/G}, {T}: Add {B}{B}, {B}{G}, or {G}{G}.</t>
        </is>
      </c>
    </row>
    <row r="416">
      <c r="A416" s="13" t="inlineStr">
        <is>
          <t>Ulamog, the Infinite Gyre</t>
        </is>
      </c>
      <c r="B416" s="13" t="inlineStr">
        <is>
          <t>Legendary Creature — Eldrazi</t>
        </is>
      </c>
      <c r="C416" s="13" t="inlineStr">
        <is>
          <t>{11}</t>
        </is>
      </c>
      <c r="D416" s="13" t="inlineStr"/>
      <c r="E416" s="22" t="n">
        <v>36.42</v>
      </c>
      <c r="F416" s="13" t="inlineStr"/>
      <c r="G416" s="18" t="inlineStr">
        <is>
          <t>When you cast this spell, destroy target permanent. / Indestructible / Annihilator 4 (Whenever this creature attacks, defending player sacrifices four permanents of their choice.) / When Ulamog is put into a graveyard from anywhere, its owner shuffles their graveyard into their library.</t>
        </is>
      </c>
    </row>
    <row r="417">
      <c r="A417" s="13" t="inlineStr">
        <is>
          <t>Unbreakable Formation</t>
        </is>
      </c>
      <c r="B417" s="13" t="inlineStr">
        <is>
          <t>Instant</t>
        </is>
      </c>
      <c r="C417" s="13" t="inlineStr">
        <is>
          <t>{2}{W}</t>
        </is>
      </c>
      <c r="D417" s="13" t="inlineStr">
        <is>
          <t>W</t>
        </is>
      </c>
      <c r="E417" s="22" t="n">
        <v>1.44</v>
      </c>
      <c r="F417" s="13" t="inlineStr"/>
      <c r="G417" s="18" t="inlineStr">
        <is>
          <t>Creatures you control gain indestructible until end of turn. / Addendum — If you cast this spell during your main phase, put a +1/+1 counter on each of those creatures and they gain vigilance until end of turn.</t>
        </is>
      </c>
    </row>
    <row r="418">
      <c r="A418" s="13" t="inlineStr">
        <is>
          <t>Underworld Breach</t>
        </is>
      </c>
      <c r="B418" s="13" t="inlineStr">
        <is>
          <t>Enchantment</t>
        </is>
      </c>
      <c r="C418" s="13" t="inlineStr">
        <is>
          <t>{1}{R}</t>
        </is>
      </c>
      <c r="D418" s="13" t="inlineStr">
        <is>
          <t>R</t>
        </is>
      </c>
      <c r="E418" s="22" t="n">
        <v>10.41</v>
      </c>
      <c r="F418" s="13" t="inlineStr"/>
      <c r="G418" s="18" t="inlineStr">
        <is>
          <t>Each nonland card in your graveyard has escape. The escape cost is equal to the card's mana cost plus exile three other cards from your graveyard. (You may cast cards from your graveyard for their escape cost.) / At the beginning of the end step, sacrifice this enchantment.</t>
        </is>
      </c>
    </row>
    <row r="419">
      <c r="A419" s="13" t="inlineStr">
        <is>
          <t>Uro, Titan of Nature's Wrath</t>
        </is>
      </c>
      <c r="B419" s="13" t="inlineStr">
        <is>
          <t>Legendary Creature — Elder Giant</t>
        </is>
      </c>
      <c r="C419" s="13" t="inlineStr">
        <is>
          <t>{1}{G}{U}</t>
        </is>
      </c>
      <c r="D419" s="13" t="inlineStr">
        <is>
          <t>GU</t>
        </is>
      </c>
      <c r="E419" s="22" t="n">
        <v>3.13</v>
      </c>
      <c r="F419" s="13" t="inlineStr"/>
      <c r="G419" s="18" t="inlineStr">
        <is>
          <t>When Uro enters, sacrifice it unless it escaped. / Whenever Uro enters or attacks, you gain 3 life and draw a card, then you may put a land card from your hand onto the battlefield. / Escape—{G}{G}{U}{U}, Exile five other cards from your graveyard. (You may cast this card from your graveyard for its escape cost.)</t>
        </is>
      </c>
    </row>
    <row r="420">
      <c r="A420" s="13" t="inlineStr">
        <is>
          <t>Utter End</t>
        </is>
      </c>
      <c r="B420" s="13" t="inlineStr">
        <is>
          <t>Instant</t>
        </is>
      </c>
      <c r="C420" s="13" t="inlineStr">
        <is>
          <t>{2}{W}{B}</t>
        </is>
      </c>
      <c r="D420" s="13" t="inlineStr">
        <is>
          <t>BW</t>
        </is>
      </c>
      <c r="E420" s="22" t="n">
        <v>0.29</v>
      </c>
      <c r="F420" s="13" t="inlineStr"/>
      <c r="G420" s="18" t="inlineStr">
        <is>
          <t>Exile target nonland permanent.</t>
        </is>
      </c>
    </row>
    <row r="421">
      <c r="A421" s="13" t="inlineStr">
        <is>
          <t>Valorous Stance</t>
        </is>
      </c>
      <c r="B421" s="13" t="inlineStr">
        <is>
          <t>Instant</t>
        </is>
      </c>
      <c r="C421" s="13" t="inlineStr">
        <is>
          <t>{1}{W}</t>
        </is>
      </c>
      <c r="D421" s="13" t="inlineStr">
        <is>
          <t>W</t>
        </is>
      </c>
      <c r="E421" s="22" t="n">
        <v>0.18</v>
      </c>
      <c r="F421" s="13" t="inlineStr"/>
      <c r="G421" s="18" t="inlineStr">
        <is>
          <t>Choose one — / • Target creature gains indestructible until end of turn. (Damage and effects that say "destroy" don't destroy it.) / • Destroy target creature with toughness 4 or greater.</t>
        </is>
      </c>
    </row>
    <row r="422">
      <c r="A422" s="13" t="inlineStr">
        <is>
          <t>Vanguard of the Restless</t>
        </is>
      </c>
      <c r="B422" s="13" t="inlineStr">
        <is>
          <t>Creature — Spirit Knight</t>
        </is>
      </c>
      <c r="C422" s="13" t="inlineStr">
        <is>
          <t>{2}{W}</t>
        </is>
      </c>
      <c r="D422" s="13" t="inlineStr">
        <is>
          <t>W</t>
        </is>
      </c>
      <c r="E422" s="22" t="n">
        <v>0.25</v>
      </c>
      <c r="F422" s="13" t="inlineStr"/>
      <c r="G422" s="18" t="inlineStr">
        <is>
          <t>Flying / Spirits you control get +1/+1 for each time you've cast your commander from the command zone this game. / Whenever a Spirit you control enters, you may pay {2}{W}. If you do, return this card from your graveyard to the battlefield.</t>
        </is>
      </c>
    </row>
    <row r="423">
      <c r="A423" s="13" t="inlineStr">
        <is>
          <t>Venat, Heart of Hydaelyn // Hydaelyn, the Mothercrystal</t>
        </is>
      </c>
      <c r="B423" s="13" t="inlineStr">
        <is>
          <t>Legendary Creature — Elder Wizard // Legendary Creature — God</t>
        </is>
      </c>
      <c r="C423" s="13" t="inlineStr">
        <is>
          <t>{1}{W}{W}</t>
        </is>
      </c>
      <c r="D423" s="13" t="inlineStr">
        <is>
          <t>W</t>
        </is>
      </c>
      <c r="E423" s="22" t="n">
        <v>1.81</v>
      </c>
      <c r="F423" s="13" t="inlineStr"/>
      <c r="G423" s="18" t="inlineStr">
        <is>
          <t>Whenever you cast a legendary spell, draw a card. This ability triggers only once each turn. / Hero's Sundering — {7}, {T}: Exile target nonland permanent. Transform Venat. Activate only as a sorcery. // Indestructible / Blessing of Light — At the beginning of combat on your turn, put a +1/+1 counter on another target creature you control. Until your next turn, it gains indestructible. If that creature is legendary, draw a card.</t>
        </is>
      </c>
    </row>
    <row r="424">
      <c r="A424" s="13" t="inlineStr">
        <is>
          <t>Venerable Warsinger</t>
        </is>
      </c>
      <c r="B424" s="13" t="inlineStr">
        <is>
          <t>Creature — Spirit Cleric</t>
        </is>
      </c>
      <c r="C424" s="13" t="inlineStr">
        <is>
          <t>{1}{R}{W}</t>
        </is>
      </c>
      <c r="D424" s="13" t="inlineStr">
        <is>
          <t>RW</t>
        </is>
      </c>
      <c r="E424" s="22" t="n">
        <v>0.23</v>
      </c>
      <c r="F424" s="13" t="inlineStr"/>
      <c r="G424" s="18" t="inlineStr">
        <is>
          <t>Vigilance, trample / Whenever this creature deals combat damage to a player, you may return target creature card with mana value X or less from your graveyard to the battlefield, where X is the amount of damage this creature dealt to that player.</t>
        </is>
      </c>
    </row>
    <row r="425">
      <c r="A425" s="13" t="inlineStr">
        <is>
          <t>Village Rites</t>
        </is>
      </c>
      <c r="B425" s="13" t="inlineStr">
        <is>
          <t>Instant</t>
        </is>
      </c>
      <c r="C425" s="13" t="inlineStr">
        <is>
          <t>{B}</t>
        </is>
      </c>
      <c r="D425" s="13" t="inlineStr">
        <is>
          <t>B</t>
        </is>
      </c>
      <c r="E425" s="22" t="n">
        <v>0.38</v>
      </c>
      <c r="F425" s="13" t="inlineStr"/>
      <c r="G425" s="18" t="inlineStr">
        <is>
          <t>As an additional cost to cast this spell, sacrifice a creature. / Draw two cards.</t>
        </is>
      </c>
    </row>
    <row r="426">
      <c r="A426" s="13" t="inlineStr">
        <is>
          <t>Vine Trellis</t>
        </is>
      </c>
      <c r="B426" s="13" t="inlineStr">
        <is>
          <t>Creature — Plant Wall</t>
        </is>
      </c>
      <c r="C426" s="13" t="inlineStr">
        <is>
          <t>{1}{G}</t>
        </is>
      </c>
      <c r="D426" s="13" t="inlineStr">
        <is>
          <t>G</t>
        </is>
      </c>
      <c r="E426" s="22" t="n">
        <v>1.17</v>
      </c>
      <c r="F426" s="13" t="inlineStr"/>
      <c r="G426" s="18" t="inlineStr">
        <is>
          <t>Defender (This creature can't attack.) / {T}: Add {G}.</t>
        </is>
      </c>
    </row>
    <row r="427">
      <c r="A427" s="13" t="inlineStr">
        <is>
          <t>Viral Drake</t>
        </is>
      </c>
      <c r="B427" s="13" t="inlineStr">
        <is>
          <t>Creature — Phyrexian Drake</t>
        </is>
      </c>
      <c r="C427" s="13" t="inlineStr">
        <is>
          <t>{3}{U}</t>
        </is>
      </c>
      <c r="D427" s="13" t="inlineStr">
        <is>
          <t>U</t>
        </is>
      </c>
      <c r="E427" s="22" t="n">
        <v>1.99</v>
      </c>
      <c r="F427" s="13" t="inlineStr"/>
      <c r="G427" s="18" t="inlineStr">
        <is>
          <t>Flying / Infect (This creature deals damage to creatures in the form of -1/-1 counters and to players in the form of poison counters.) / {3}{U}: Proliferate. (Choose any number of permanents and/or players, then give each another counter of each kind already there.)</t>
        </is>
      </c>
    </row>
    <row r="428">
      <c r="A428" s="13" t="inlineStr">
        <is>
          <t>Vivien Reid</t>
        </is>
      </c>
      <c r="B428" s="13" t="inlineStr">
        <is>
          <t>Legendary Planeswalker — Vivien</t>
        </is>
      </c>
      <c r="C428" s="13" t="inlineStr">
        <is>
          <t>{3}{G}{G}</t>
        </is>
      </c>
      <c r="D428" s="13" t="inlineStr">
        <is>
          <t>G</t>
        </is>
      </c>
      <c r="E428" s="22" t="n">
        <v>0.38</v>
      </c>
      <c r="F428" s="13" t="inlineStr"/>
      <c r="G428" s="18" t="inlineStr">
        <is>
          <t>+1: Look at the top four cards of your library. You may reveal a creature or land card from among them and put it into your hand. Put the rest on the bottom of your library in a random order. / −3: Destroy target artifact, enchantment, or creature with flying. / −8: You get an emblem with "Creatures you control get +2/+2 and have vigilance, trample, and indestructible."</t>
        </is>
      </c>
    </row>
    <row r="429">
      <c r="A429" s="13" t="inlineStr">
        <is>
          <t>Void Rend</t>
        </is>
      </c>
      <c r="B429" s="13" t="inlineStr">
        <is>
          <t>Instant</t>
        </is>
      </c>
      <c r="C429" s="13" t="inlineStr"/>
      <c r="D429" s="13" t="inlineStr"/>
      <c r="E429" s="22" t="n">
        <v>0.98</v>
      </c>
      <c r="F429" s="13" t="inlineStr"/>
      <c r="G429" s="18" t="inlineStr"/>
    </row>
    <row r="430">
      <c r="A430" s="13" t="inlineStr">
        <is>
          <t>Vorel of the Hull Clade</t>
        </is>
      </c>
      <c r="B430" s="13" t="inlineStr">
        <is>
          <t>Legendary Creature — Human Merfolk</t>
        </is>
      </c>
      <c r="C430" s="13" t="inlineStr">
        <is>
          <t>{1}{G}{U}</t>
        </is>
      </c>
      <c r="D430" s="13" t="inlineStr">
        <is>
          <t>GU</t>
        </is>
      </c>
      <c r="E430" s="22" t="n">
        <v>0.39</v>
      </c>
      <c r="F430" s="13" t="inlineStr"/>
      <c r="G430" s="18" t="inlineStr">
        <is>
          <t>{G}{U}, {T}: Double the number of each kind of counter on target artifact, creature, or land.</t>
        </is>
      </c>
    </row>
    <row r="431">
      <c r="A431" s="13" t="inlineStr">
        <is>
          <t>Vorinclex, Monstrous Raider</t>
        </is>
      </c>
      <c r="B431" s="13" t="inlineStr">
        <is>
          <t>Legendary Creature — Phyrexian Praetor</t>
        </is>
      </c>
      <c r="C431" s="13" t="inlineStr">
        <is>
          <t>{4}{G}{G}</t>
        </is>
      </c>
      <c r="D431" s="13" t="inlineStr">
        <is>
          <t>G</t>
        </is>
      </c>
      <c r="E431" s="22" t="n">
        <v>57.35</v>
      </c>
      <c r="F431" s="13" t="inlineStr"/>
      <c r="G431" s="18" t="inlineStr">
        <is>
          <t>Trample, haste / If you would put one or more counters on a permanent or player, put twice that many of each of those kinds of counters on that permanent or player instead. / If an opponent would put one or more counters on a permanent or player, they put half that many of each of those kinds of counters on that permanent or player instead, rounded down.</t>
        </is>
      </c>
    </row>
    <row r="432">
      <c r="A432" s="13" t="inlineStr">
        <is>
          <t>Vraska's Contempt</t>
        </is>
      </c>
      <c r="B432" s="13" t="inlineStr">
        <is>
          <t>Instant</t>
        </is>
      </c>
      <c r="C432" s="13" t="inlineStr">
        <is>
          <t>{2}{B}{B}</t>
        </is>
      </c>
      <c r="D432" s="13" t="inlineStr">
        <is>
          <t>B</t>
        </is>
      </c>
      <c r="E432" s="22" t="n">
        <v>0.36</v>
      </c>
      <c r="F432" s="13" t="inlineStr"/>
      <c r="G432" s="18" t="inlineStr">
        <is>
          <t>Exile target creature or planeswalker. You gain 2 life.</t>
        </is>
      </c>
    </row>
    <row r="433">
      <c r="A433" s="13" t="inlineStr">
        <is>
          <t>Wakestone Gargoyle</t>
        </is>
      </c>
      <c r="B433" s="13" t="inlineStr">
        <is>
          <t>Creature — Gargoyle</t>
        </is>
      </c>
      <c r="C433" s="13" t="inlineStr">
        <is>
          <t>{3}{W}</t>
        </is>
      </c>
      <c r="D433" s="13" t="inlineStr">
        <is>
          <t>W</t>
        </is>
      </c>
      <c r="E433" s="22" t="n">
        <v>0.31</v>
      </c>
      <c r="F433" s="13" t="inlineStr"/>
      <c r="G433" s="18" t="inlineStr">
        <is>
          <t>Defender, flying / {1}{W}: Creatures you control with defender can attack this turn as though they didn't have defender.</t>
        </is>
      </c>
    </row>
    <row r="434">
      <c r="A434" s="13" t="inlineStr">
        <is>
          <t>Walking Bulwark</t>
        </is>
      </c>
      <c r="B434" s="13" t="inlineStr">
        <is>
          <t>Artifact Creature — Golem</t>
        </is>
      </c>
      <c r="C434" s="13" t="inlineStr">
        <is>
          <t>{1}</t>
        </is>
      </c>
      <c r="D434" s="13" t="inlineStr"/>
      <c r="E434" s="22" t="n">
        <v>0.28</v>
      </c>
      <c r="F434" s="13" t="inlineStr"/>
      <c r="G434" s="18" t="inlineStr">
        <is>
          <t>Defender / {2}: Until end of turn, target creature with defender gains haste, can attack as though it didn't have defender, and assigns combat damage equal to its toughness rather than its power. Activate only as a sorcery.</t>
        </is>
      </c>
    </row>
    <row r="435">
      <c r="A435" s="13" t="inlineStr">
        <is>
          <t>Wall of Air</t>
        </is>
      </c>
      <c r="B435" s="13" t="inlineStr">
        <is>
          <t>Creature — Wall</t>
        </is>
      </c>
      <c r="C435" s="13" t="inlineStr">
        <is>
          <t>{1}{U}{U}</t>
        </is>
      </c>
      <c r="D435" s="13" t="inlineStr">
        <is>
          <t>U</t>
        </is>
      </c>
      <c r="E435" s="22" t="n">
        <v>0.25</v>
      </c>
      <c r="F435" s="13" t="inlineStr"/>
      <c r="G435" s="18" t="inlineStr">
        <is>
          <t>Defender, flying (This creature can't attack, and it can block creatures with flying.)</t>
        </is>
      </c>
    </row>
    <row r="436">
      <c r="A436" s="13" t="inlineStr">
        <is>
          <t>Wall of Blossoms</t>
        </is>
      </c>
      <c r="B436" s="13" t="inlineStr">
        <is>
          <t>Creature — Plant Wall</t>
        </is>
      </c>
      <c r="C436" s="13" t="inlineStr">
        <is>
          <t>{1}{G}</t>
        </is>
      </c>
      <c r="D436" s="13" t="inlineStr">
        <is>
          <t>G</t>
        </is>
      </c>
      <c r="E436" s="22" t="n">
        <v>0.25</v>
      </c>
      <c r="F436" s="13" t="inlineStr"/>
      <c r="G436" s="18" t="inlineStr">
        <is>
          <t>Defender / When this creature enters, draw a card.</t>
        </is>
      </c>
    </row>
    <row r="437">
      <c r="A437" s="13" t="inlineStr">
        <is>
          <t>Wall of Denial</t>
        </is>
      </c>
      <c r="B437" s="13" t="inlineStr">
        <is>
          <t>Creature — Wall</t>
        </is>
      </c>
      <c r="C437" s="13" t="inlineStr">
        <is>
          <t>{1}{W}{U}</t>
        </is>
      </c>
      <c r="D437" s="13" t="inlineStr">
        <is>
          <t>UW</t>
        </is>
      </c>
      <c r="E437" s="22" t="n">
        <v>0.46</v>
      </c>
      <c r="F437" s="13" t="inlineStr"/>
      <c r="G437" s="18" t="inlineStr">
        <is>
          <t>Defender, flying / Shroud (This creature can't be the target of spells or abilities.)</t>
        </is>
      </c>
    </row>
    <row r="438">
      <c r="A438" s="13" t="inlineStr">
        <is>
          <t>Wall of Frost</t>
        </is>
      </c>
      <c r="B438" s="13" t="inlineStr">
        <is>
          <t>Creature — Wall</t>
        </is>
      </c>
      <c r="C438" s="13" t="inlineStr">
        <is>
          <t>{1}{U}{U}</t>
        </is>
      </c>
      <c r="D438" s="13" t="inlineStr">
        <is>
          <t>U</t>
        </is>
      </c>
      <c r="E438" s="22" t="n">
        <v>0.29</v>
      </c>
      <c r="F438" s="13" t="inlineStr"/>
      <c r="G438" s="18" t="inlineStr">
        <is>
          <t>Defender / Whenever this creature blocks a creature, that creature doesn't untap during its controller's next untap step.</t>
        </is>
      </c>
    </row>
    <row r="439">
      <c r="A439" s="13" t="inlineStr">
        <is>
          <t>Wall of Junk</t>
        </is>
      </c>
      <c r="B439" s="13" t="inlineStr">
        <is>
          <t>Artifact Creature — Wall</t>
        </is>
      </c>
      <c r="C439" s="13" t="inlineStr">
        <is>
          <t>{2}</t>
        </is>
      </c>
      <c r="D439" s="13" t="inlineStr"/>
      <c r="E439" s="22" t="n">
        <v>0.35</v>
      </c>
      <c r="F439" s="13" t="inlineStr"/>
      <c r="G439" s="18" t="inlineStr">
        <is>
          <t>Defender (This creature can't attack.) / When this creature blocks, return it to its owner's hand at end of combat. (Return it only if it's on the battlefield.)</t>
        </is>
      </c>
    </row>
    <row r="440">
      <c r="A440" s="13" t="inlineStr">
        <is>
          <t>Wall of Kelp</t>
        </is>
      </c>
      <c r="B440" s="13" t="inlineStr">
        <is>
          <t>Creature — Plant Wall</t>
        </is>
      </c>
      <c r="C440" s="13" t="inlineStr">
        <is>
          <t>{U}{U}</t>
        </is>
      </c>
      <c r="D440" s="13" t="inlineStr">
        <is>
          <t>U</t>
        </is>
      </c>
      <c r="E440" s="22" t="n">
        <v>2.44</v>
      </c>
      <c r="F440" s="13" t="inlineStr"/>
      <c r="G440" s="18" t="inlineStr">
        <is>
          <t>Defender (This creature can't attack.) / {U}{U}, {T}: Create a 0/1 blue Plant Wall creature token with defender named Kelp.</t>
        </is>
      </c>
    </row>
    <row r="441">
      <c r="A441" s="13" t="inlineStr">
        <is>
          <t>Wall of Limbs</t>
        </is>
      </c>
      <c r="B441" s="13" t="inlineStr">
        <is>
          <t>Creature — Zombie Wall</t>
        </is>
      </c>
      <c r="C441" s="13" t="inlineStr">
        <is>
          <t>{2}{B}</t>
        </is>
      </c>
      <c r="D441" s="13" t="inlineStr">
        <is>
          <t>B</t>
        </is>
      </c>
      <c r="E441" s="22" t="n">
        <v>0.27</v>
      </c>
      <c r="F441" s="13" t="inlineStr"/>
      <c r="G441" s="18" t="inlineStr">
        <is>
          <t>Defender (This creature can't attack.) / Whenever you gain life, put a +1/+1 counter on this creature. / {5}{B}{B}, Sacrifice this creature: Target player loses X life, where X is this creature's power.</t>
        </is>
      </c>
    </row>
    <row r="442">
      <c r="A442" s="13" t="inlineStr">
        <is>
          <t>Wall of Mulch</t>
        </is>
      </c>
      <c r="B442" s="13" t="inlineStr">
        <is>
          <t>Creature — Wall</t>
        </is>
      </c>
      <c r="C442" s="13" t="inlineStr">
        <is>
          <t>{1}{G}</t>
        </is>
      </c>
      <c r="D442" s="13" t="inlineStr">
        <is>
          <t>G</t>
        </is>
      </c>
      <c r="E442" s="22" t="n">
        <v>0.26</v>
      </c>
      <c r="F442" s="13" t="inlineStr"/>
      <c r="G442" s="18" t="inlineStr">
        <is>
          <t>Defender (This creature can't attack.) / {G}, Sacrifice a Wall: Draw a card.</t>
        </is>
      </c>
    </row>
    <row r="443">
      <c r="A443" s="13" t="inlineStr">
        <is>
          <t>Wall of Nets</t>
        </is>
      </c>
      <c r="B443" s="13" t="inlineStr">
        <is>
          <t>Creature — Wall</t>
        </is>
      </c>
      <c r="C443" s="13" t="inlineStr">
        <is>
          <t>{1}{W}{W}</t>
        </is>
      </c>
      <c r="D443" s="13" t="inlineStr">
        <is>
          <t>W</t>
        </is>
      </c>
      <c r="E443" s="22" t="n">
        <v>5.71</v>
      </c>
      <c r="F443" s="13" t="inlineStr"/>
      <c r="G443" s="18" t="inlineStr">
        <is>
          <t>Defender (This creature can't attack.) / At end of combat, exile all creatures blocked by this creature. / When this creature leaves the battlefield, return all cards exiled with it to the battlefield under their owners' control.</t>
        </is>
      </c>
    </row>
    <row r="444">
      <c r="A444" s="13" t="inlineStr">
        <is>
          <t>Wall of Omens</t>
        </is>
      </c>
      <c r="B444" s="13" t="inlineStr">
        <is>
          <t>Creature — Wall</t>
        </is>
      </c>
      <c r="C444" s="13" t="inlineStr">
        <is>
          <t>{1}{W}</t>
        </is>
      </c>
      <c r="D444" s="13" t="inlineStr">
        <is>
          <t>W</t>
        </is>
      </c>
      <c r="E444" s="22" t="n">
        <v>0.29</v>
      </c>
      <c r="F444" s="13" t="inlineStr"/>
      <c r="G444" s="18" t="inlineStr">
        <is>
          <t>Defender / When this creature enters, draw a card.</t>
        </is>
      </c>
    </row>
    <row r="445">
      <c r="A445" s="13" t="inlineStr">
        <is>
          <t>Wall of Resurgence</t>
        </is>
      </c>
      <c r="B445" s="13" t="inlineStr">
        <is>
          <t>Creature — Wall</t>
        </is>
      </c>
      <c r="C445" s="13" t="inlineStr">
        <is>
          <t>{2}{W}</t>
        </is>
      </c>
      <c r="D445" s="13" t="inlineStr">
        <is>
          <t>W</t>
        </is>
      </c>
      <c r="E445" s="22" t="n">
        <v>0.1</v>
      </c>
      <c r="F445" s="13" t="inlineStr"/>
      <c r="G445" s="18" t="inlineStr">
        <is>
          <t>Defender / When this creature enters, you may put three +1/+1 counters on target land you control. If you do, that land becomes a 0/0 Elemental creature with haste that's still a land.</t>
        </is>
      </c>
    </row>
    <row r="446">
      <c r="A446" s="13" t="inlineStr">
        <is>
          <t>Wall of Reverence</t>
        </is>
      </c>
      <c r="B446" s="13" t="inlineStr">
        <is>
          <t>Creature — Spirit Wall</t>
        </is>
      </c>
      <c r="C446" s="13" t="inlineStr">
        <is>
          <t>{3}{W}</t>
        </is>
      </c>
      <c r="D446" s="13" t="inlineStr">
        <is>
          <t>W</t>
        </is>
      </c>
      <c r="E446" s="22" t="n">
        <v>0.36</v>
      </c>
      <c r="F446" s="13" t="inlineStr"/>
      <c r="G446" s="18" t="inlineStr">
        <is>
          <t>Defender, flying / At the beginning of your end step, you may gain life equal to the power of target creature you control.</t>
        </is>
      </c>
    </row>
    <row r="447">
      <c r="A447" s="13" t="inlineStr">
        <is>
          <t>Wall of Roots</t>
        </is>
      </c>
      <c r="B447" s="13" t="inlineStr">
        <is>
          <t>Creature — Plant Wall</t>
        </is>
      </c>
      <c r="C447" s="13" t="inlineStr">
        <is>
          <t>{1}{G}</t>
        </is>
      </c>
      <c r="D447" s="13" t="inlineStr">
        <is>
          <t>G</t>
        </is>
      </c>
      <c r="E447" s="22" t="n">
        <v>0.14</v>
      </c>
      <c r="F447" s="13" t="inlineStr"/>
      <c r="G447" s="18" t="inlineStr">
        <is>
          <t>Defender / Put a -0/-1 counter on this creature: Add {G}. Activate only once each turn.</t>
        </is>
      </c>
    </row>
    <row r="448">
      <c r="A448" s="13" t="inlineStr">
        <is>
          <t>Wall of Tanglecord</t>
        </is>
      </c>
      <c r="B448" s="13" t="inlineStr">
        <is>
          <t>Artifact Creature — Wall</t>
        </is>
      </c>
      <c r="C448" s="13" t="inlineStr">
        <is>
          <t>{2}</t>
        </is>
      </c>
      <c r="D448" s="13" t="inlineStr">
        <is>
          <t>G</t>
        </is>
      </c>
      <c r="E448" s="22" t="n">
        <v>0.35</v>
      </c>
      <c r="F448" s="13" t="inlineStr"/>
      <c r="G448" s="18" t="inlineStr">
        <is>
          <t>Defender / {G}: This creature gains reach until end of turn. (It can block creatures with flying.)</t>
        </is>
      </c>
    </row>
    <row r="449">
      <c r="A449" s="13" t="inlineStr">
        <is>
          <t>Wall of Vines</t>
        </is>
      </c>
      <c r="B449" s="13" t="inlineStr">
        <is>
          <t>Creature — Plant Wall</t>
        </is>
      </c>
      <c r="C449" s="13" t="inlineStr">
        <is>
          <t>{G}</t>
        </is>
      </c>
      <c r="D449" s="13" t="inlineStr">
        <is>
          <t>G</t>
        </is>
      </c>
      <c r="E449" s="22" t="n">
        <v>0.17</v>
      </c>
      <c r="F449" s="13" t="inlineStr"/>
      <c r="G449" s="18" t="inlineStr">
        <is>
          <t>Defender (This creature can't attack.) / Reach (This creature can block creatures with flying.)</t>
        </is>
      </c>
    </row>
    <row r="450">
      <c r="A450" s="13" t="inlineStr">
        <is>
          <t>Wanderer's Twig</t>
        </is>
      </c>
      <c r="B450" s="13" t="inlineStr">
        <is>
          <t>Artifact</t>
        </is>
      </c>
      <c r="C450" s="13" t="inlineStr">
        <is>
          <t>{1}</t>
        </is>
      </c>
      <c r="D450" s="13" t="inlineStr"/>
      <c r="E450" s="22" t="n">
        <v>0.23</v>
      </c>
      <c r="F450" s="13" t="inlineStr"/>
      <c r="G450" s="18" t="inlineStr">
        <is>
          <t>{1}, Sacrifice this artifact: Search your library for a basic land card, reveal it, put it into your hand, then shuffle.</t>
        </is>
      </c>
    </row>
    <row r="451">
      <c r="A451" s="13" t="inlineStr">
        <is>
          <t>Wave of Reckoning</t>
        </is>
      </c>
      <c r="B451" s="13" t="inlineStr">
        <is>
          <t>Sorcery</t>
        </is>
      </c>
      <c r="C451" s="13" t="inlineStr">
        <is>
          <t>{4}{W}</t>
        </is>
      </c>
      <c r="D451" s="13" t="inlineStr">
        <is>
          <t>W</t>
        </is>
      </c>
      <c r="E451" s="22" t="n">
        <v>0.41</v>
      </c>
      <c r="F451" s="13" t="inlineStr"/>
      <c r="G451" s="18" t="inlineStr">
        <is>
          <t>Each creature deals damage to itself equal to its power.</t>
        </is>
      </c>
    </row>
    <row r="452">
      <c r="A452" s="13" t="inlineStr">
        <is>
          <t>Wavesifter</t>
        </is>
      </c>
      <c r="B452" s="13" t="inlineStr">
        <is>
          <t>Creature — Elemental</t>
        </is>
      </c>
      <c r="C452" s="13" t="inlineStr">
        <is>
          <t>{3}{G}{U}</t>
        </is>
      </c>
      <c r="D452" s="13" t="inlineStr">
        <is>
          <t>GU</t>
        </is>
      </c>
      <c r="E452" s="22" t="n">
        <v>0.29</v>
      </c>
      <c r="F452" s="13" t="inlineStr"/>
      <c r="G452" s="18" t="inlineStr">
        <is>
          <t>Flying / When this creature enters, investigate twice. (To investigate, create a Clue token. It's an artifact with "{2}, Sacrifice this token: Draw a card.") / Evoke {G}{U} (You may cast this spell for its evoke cost. If you do, it's sacrificed when it enters.)</t>
        </is>
      </c>
    </row>
    <row r="453">
      <c r="A453" s="13" t="inlineStr">
        <is>
          <t>Wear Down</t>
        </is>
      </c>
      <c r="B453" s="13" t="inlineStr">
        <is>
          <t>Sorcery</t>
        </is>
      </c>
      <c r="C453" s="13" t="inlineStr">
        <is>
          <t>{1}{G}</t>
        </is>
      </c>
      <c r="D453" s="13" t="inlineStr">
        <is>
          <t>G</t>
        </is>
      </c>
      <c r="E453" s="22" t="n">
        <v>0.29</v>
      </c>
      <c r="F453" s="13" t="inlineStr"/>
      <c r="G453" s="18" t="inlineStr">
        <is>
          <t>Gift a card (You may promise an opponent a gift as you cast this spell. If you do, they draw a card before its other effects.) / Destroy target artifact or enchantment. If the gift was promised, instead destroy two target artifacts and/or enchantments.</t>
        </is>
      </c>
    </row>
    <row r="454">
      <c r="A454" s="13" t="inlineStr">
        <is>
          <t>Weathered Sentinels</t>
        </is>
      </c>
      <c r="B454" s="13" t="inlineStr">
        <is>
          <t>Artifact Creature — Wall</t>
        </is>
      </c>
      <c r="C454" s="13" t="inlineStr">
        <is>
          <t>{3}</t>
        </is>
      </c>
      <c r="D454" s="13" t="inlineStr"/>
      <c r="E454" s="22" t="n">
        <v>0.92</v>
      </c>
      <c r="F454" s="13" t="inlineStr"/>
      <c r="G454" s="18" t="inlineStr">
        <is>
          <t>Defender, reach, vigilance, trample / This creature can attack players who attacked you during their last turn as though it didn't have defender. / Whenever this creature attacks, it gets +3/+3 and gains indestructible until end of turn.</t>
        </is>
      </c>
    </row>
    <row r="455">
      <c r="A455" s="13" t="inlineStr">
        <is>
          <t>Weathered Wayfarer</t>
        </is>
      </c>
      <c r="B455" s="13" t="inlineStr">
        <is>
          <t>Creature — Human Nomad Cleric</t>
        </is>
      </c>
      <c r="C455" s="13" t="inlineStr">
        <is>
          <t>{W}</t>
        </is>
      </c>
      <c r="D455" s="13" t="inlineStr">
        <is>
          <t>W</t>
        </is>
      </c>
      <c r="E455" s="22" t="n">
        <v>2.08</v>
      </c>
      <c r="F455" s="13" t="inlineStr"/>
      <c r="G455" s="18" t="inlineStr">
        <is>
          <t>{W}, {T}: Search your library for a land card, reveal it, put it into your hand, then shuffle. Activate only if an opponent controls more lands than you.</t>
        </is>
      </c>
    </row>
    <row r="456">
      <c r="A456" s="13" t="inlineStr">
        <is>
          <t>Welcoming Vampire</t>
        </is>
      </c>
      <c r="B456" s="13" t="inlineStr">
        <is>
          <t>Creature — Vampire</t>
        </is>
      </c>
      <c r="C456" s="13" t="inlineStr">
        <is>
          <t>{2}{W}</t>
        </is>
      </c>
      <c r="D456" s="13" t="inlineStr">
        <is>
          <t>W</t>
        </is>
      </c>
      <c r="E456" s="22" t="n">
        <v>4.32</v>
      </c>
      <c r="F456" s="13" t="inlineStr"/>
      <c r="G456" s="18" t="inlineStr">
        <is>
          <t>Flying / Whenever one or more other creatures you control with power 2 or less enter, draw a card. This ability triggers only once each turn.</t>
        </is>
      </c>
    </row>
    <row r="457">
      <c r="A457" s="13" t="inlineStr">
        <is>
          <t>Well of Lost Dreams</t>
        </is>
      </c>
      <c r="B457" s="13" t="inlineStr">
        <is>
          <t>Artifact</t>
        </is>
      </c>
      <c r="C457" s="13" t="inlineStr">
        <is>
          <t>{4}</t>
        </is>
      </c>
      <c r="D457" s="13" t="inlineStr"/>
      <c r="E457" s="22" t="n">
        <v>4.91</v>
      </c>
      <c r="F457" s="13" t="inlineStr"/>
      <c r="G457" s="18" t="inlineStr">
        <is>
          <t>Whenever you gain life, you may pay {X}, where X is less than or equal to the amount of life you gained. If you do, draw X cards.</t>
        </is>
      </c>
    </row>
    <row r="458">
      <c r="A458" s="13" t="inlineStr">
        <is>
          <t>Whirlwind Denial</t>
        </is>
      </c>
      <c r="B458" s="13" t="inlineStr">
        <is>
          <t>Instant</t>
        </is>
      </c>
      <c r="C458" s="13" t="inlineStr">
        <is>
          <t>{2}{U}</t>
        </is>
      </c>
      <c r="D458" s="13" t="inlineStr">
        <is>
          <t>U</t>
        </is>
      </c>
      <c r="E458" s="22" t="n">
        <v>0.08</v>
      </c>
      <c r="F458" s="13" t="inlineStr"/>
      <c r="G458" s="18" t="inlineStr">
        <is>
          <t>For each spell and ability your opponents control, counter it unless its controller pays {4}.</t>
        </is>
      </c>
    </row>
    <row r="459">
      <c r="A459" s="13" t="inlineStr">
        <is>
          <t>White Orchid Phantom</t>
        </is>
      </c>
      <c r="B459" s="13" t="inlineStr">
        <is>
          <t>Creature — Spirit Knight</t>
        </is>
      </c>
      <c r="C459" s="13" t="inlineStr">
        <is>
          <t>{W}{W}</t>
        </is>
      </c>
      <c r="D459" s="13" t="inlineStr">
        <is>
          <t>W</t>
        </is>
      </c>
      <c r="E459" s="22" t="n">
        <v>0.25</v>
      </c>
      <c r="F459" s="13" t="inlineStr"/>
      <c r="G459" s="18" t="inlineStr">
        <is>
          <t>Flying, first strike / When this creature enters, destroy up to one target nonbasic land. Its controller may search their library for a basic land card, put it onto the battlefield tapped, then shuffle.</t>
        </is>
      </c>
    </row>
    <row r="460">
      <c r="A460" s="13" t="inlineStr">
        <is>
          <t>Will of the Abzan</t>
        </is>
      </c>
      <c r="B460" s="13" t="inlineStr">
        <is>
          <t>Sorcery</t>
        </is>
      </c>
      <c r="C460" s="13" t="inlineStr">
        <is>
          <t>{3}{B}</t>
        </is>
      </c>
      <c r="D460" s="13" t="inlineStr">
        <is>
          <t>B</t>
        </is>
      </c>
      <c r="E460" s="22" t="n">
        <v>5.12</v>
      </c>
      <c r="F460" s="13" t="inlineStr"/>
      <c r="G460" s="18" t="inlineStr">
        <is>
          <t>Choose one. If you control a commander as you cast this spell, you may choose both instead. / • Any number of target opponents each sacrifice a creature with the greatest power among creatures that player controls and lose 3 life. / • Return target creature card from your graveyard to the battlefield.</t>
        </is>
      </c>
    </row>
    <row r="461">
      <c r="A461" s="13" t="inlineStr">
        <is>
          <t>Winds of Abandon</t>
        </is>
      </c>
      <c r="B461" s="13" t="inlineStr">
        <is>
          <t>Sorcery</t>
        </is>
      </c>
      <c r="C461" s="13" t="inlineStr">
        <is>
          <t>{1}{W}</t>
        </is>
      </c>
      <c r="D461" s="13" t="inlineStr">
        <is>
          <t>W</t>
        </is>
      </c>
      <c r="E461" s="22" t="n">
        <v>4.19</v>
      </c>
      <c r="F461" s="13" t="inlineStr"/>
      <c r="G461" s="18" t="inlineStr">
        <is>
          <t>Exile target creature you don't control. For each creature exiled this way, its controller searches their library for a basic land card. Those players put those cards onto the battlefield tapped, then shuffle. / Overload {4}{W}{W} (You may cast this spell for its overload cost. If you do, change "target" in its text to "each.")</t>
        </is>
      </c>
    </row>
    <row r="462">
      <c r="A462" s="13" t="inlineStr">
        <is>
          <t>Wingmantle Chaplain</t>
        </is>
      </c>
      <c r="B462" s="13" t="inlineStr">
        <is>
          <t>Creature — Human Cleric</t>
        </is>
      </c>
      <c r="C462" s="13" t="inlineStr">
        <is>
          <t>{3}{W}</t>
        </is>
      </c>
      <c r="D462" s="13" t="inlineStr">
        <is>
          <t>W</t>
        </is>
      </c>
      <c r="E462" s="22" t="n">
        <v>0.29</v>
      </c>
      <c r="F462" s="13" t="inlineStr"/>
      <c r="G462" s="18" t="inlineStr">
        <is>
          <t>Defender / When this creature enters, create a 1/1 white Bird creature token with flying for each creature with defender you control. / Whenever another creature you control with defender enters, create a 1/1 white Bird creature token with flying.</t>
        </is>
      </c>
    </row>
    <row r="463">
      <c r="A463" s="13" t="inlineStr">
        <is>
          <t>Wonder</t>
        </is>
      </c>
      <c r="B463" s="13" t="inlineStr">
        <is>
          <t>Creature — Incarnation</t>
        </is>
      </c>
      <c r="C463" s="13" t="inlineStr">
        <is>
          <t>{3}{U}</t>
        </is>
      </c>
      <c r="D463" s="13" t="inlineStr">
        <is>
          <t>U</t>
        </is>
      </c>
      <c r="E463" s="22" t="n">
        <v>3.12</v>
      </c>
      <c r="F463" s="13" t="inlineStr"/>
      <c r="G463" s="18" t="inlineStr">
        <is>
          <t>Flying / As long as this card is in your graveyard and you control an Island, creatures you control have flying.</t>
        </is>
      </c>
    </row>
    <row r="464">
      <c r="A464" s="13" t="inlineStr">
        <is>
          <t>Wood Elves</t>
        </is>
      </c>
      <c r="B464" s="13" t="inlineStr">
        <is>
          <t>Creature — Elf Scout</t>
        </is>
      </c>
      <c r="C464" s="13" t="inlineStr">
        <is>
          <t>{2}{G}</t>
        </is>
      </c>
      <c r="D464" s="13" t="inlineStr">
        <is>
          <t>G</t>
        </is>
      </c>
      <c r="E464" s="22" t="n">
        <v>0.19</v>
      </c>
      <c r="F464" s="13" t="inlineStr"/>
      <c r="G464" s="18" t="inlineStr">
        <is>
          <t>When this creature enters, search your library for a Forest card, put that card onto the battlefield, then shuffle.</t>
        </is>
      </c>
    </row>
    <row r="465">
      <c r="A465" s="13" t="inlineStr">
        <is>
          <t>Woodland Bellower</t>
        </is>
      </c>
      <c r="B465" s="13" t="inlineStr">
        <is>
          <t>Creature — Beast</t>
        </is>
      </c>
      <c r="C465" s="13" t="inlineStr">
        <is>
          <t>{4}{G}{G}</t>
        </is>
      </c>
      <c r="D465" s="13" t="inlineStr">
        <is>
          <t>G</t>
        </is>
      </c>
      <c r="E465" s="22" t="n">
        <v>4.87</v>
      </c>
      <c r="F465" s="13" t="inlineStr"/>
      <c r="G465" s="18" t="inlineStr">
        <is>
          <t>When this creature enters, you may search your library for a nonlegendary green creature card with mana value 3 or less, put it onto the battlefield, then shuffle.</t>
        </is>
      </c>
    </row>
    <row r="466">
      <c r="A466" s="13" t="inlineStr">
        <is>
          <t>Woodland Cemetery</t>
        </is>
      </c>
      <c r="B466" s="13" t="inlineStr">
        <is>
          <t>Land</t>
        </is>
      </c>
      <c r="C466" s="13" t="inlineStr"/>
      <c r="D466" s="13" t="inlineStr">
        <is>
          <t>BG</t>
        </is>
      </c>
      <c r="E466" s="22" t="n">
        <v>0.95</v>
      </c>
      <c r="F466" s="13" t="inlineStr"/>
      <c r="G466" s="18" t="inlineStr">
        <is>
          <t>This land enters tapped unless you control a Swamp or a Forest. / {T}: Add {B} or {G}.</t>
        </is>
      </c>
    </row>
    <row r="467">
      <c r="A467" s="13" t="inlineStr">
        <is>
          <t>World Shaper</t>
        </is>
      </c>
      <c r="B467" s="13" t="inlineStr">
        <is>
          <t>Creature — Merfolk Shaman</t>
        </is>
      </c>
      <c r="C467" s="13" t="inlineStr">
        <is>
          <t>{3}{G}</t>
        </is>
      </c>
      <c r="D467" s="13" t="inlineStr">
        <is>
          <t>G</t>
        </is>
      </c>
      <c r="E467" s="22" t="n">
        <v>9.84</v>
      </c>
      <c r="F467" s="13" t="inlineStr"/>
      <c r="G467" s="18" t="inlineStr">
        <is>
          <t>Whenever this creature attacks, you may mill three cards. / When this creature dies, return all land cards from your graveyard to the battlefield tapped.</t>
        </is>
      </c>
    </row>
    <row r="468">
      <c r="A468" s="13" t="inlineStr">
        <is>
          <t>Yarok, the Desecrated</t>
        </is>
      </c>
      <c r="B468" s="13" t="inlineStr">
        <is>
          <t>Legendary Creature — Elemental Horror</t>
        </is>
      </c>
      <c r="C468" s="13" t="inlineStr">
        <is>
          <t>{2}{B}{G}{U}</t>
        </is>
      </c>
      <c r="D468" s="13" t="inlineStr">
        <is>
          <t>BGU</t>
        </is>
      </c>
      <c r="E468" s="22" t="n">
        <v>0.36</v>
      </c>
      <c r="F468" s="13" t="inlineStr"/>
      <c r="G468" s="18" t="inlineStr">
        <is>
          <t>Deathtouch, lifelink / If a permanent entering causes a triggered ability of a permanent you control to trigger, that ability triggers an additional time.</t>
        </is>
      </c>
    </row>
    <row r="469">
      <c r="A469" s="13" t="inlineStr">
        <is>
          <t>Yavimaya Elder</t>
        </is>
      </c>
      <c r="B469" s="13" t="inlineStr">
        <is>
          <t>Creature — Human Druid</t>
        </is>
      </c>
      <c r="C469" s="13" t="inlineStr">
        <is>
          <t>{1}{G}{G}</t>
        </is>
      </c>
      <c r="D469" s="13" t="inlineStr">
        <is>
          <t>G</t>
        </is>
      </c>
      <c r="E469" s="22" t="n">
        <v>0.23</v>
      </c>
      <c r="F469" s="13" t="inlineStr"/>
      <c r="G469" s="18" t="inlineStr">
        <is>
          <t>When this creature dies, you may search your library for up to two basic land cards, reveal them, put them into your hand, then shuffle. / {2}, Sacrifice this creature: Draw a card.</t>
        </is>
      </c>
    </row>
    <row r="470">
      <c r="A470" s="13" t="inlineStr">
        <is>
          <t>Zagoth Triome</t>
        </is>
      </c>
      <c r="B470" s="13" t="inlineStr">
        <is>
          <t>Land — Swamp Forest Island</t>
        </is>
      </c>
      <c r="C470" s="13" t="inlineStr"/>
      <c r="D470" s="13" t="inlineStr">
        <is>
          <t>BGU</t>
        </is>
      </c>
      <c r="E470" s="22" t="n">
        <v>22.39</v>
      </c>
      <c r="F470" s="13" t="inlineStr"/>
      <c r="G470" s="18" t="inlineStr">
        <is>
          <t>({T}: Add {B}, {G}, or {U}.) / This land enters tapped. / Cycling {3} ({3}, Discard this card: Draw a card.)</t>
        </is>
      </c>
    </row>
    <row r="471">
      <c r="A471" s="13" t="inlineStr">
        <is>
          <t>Zendikar's Roil</t>
        </is>
      </c>
      <c r="B471" s="13" t="inlineStr">
        <is>
          <t>Enchantment</t>
        </is>
      </c>
      <c r="C471" s="13" t="inlineStr">
        <is>
          <t>{3}{G}{G}</t>
        </is>
      </c>
      <c r="D471" s="13" t="inlineStr">
        <is>
          <t>G</t>
        </is>
      </c>
      <c r="E471" s="22" t="n">
        <v>0.9399999999999999</v>
      </c>
      <c r="F471" s="13" t="inlineStr"/>
      <c r="G471" s="18" t="inlineStr">
        <is>
          <t>Landfall — Whenever a land you control enters, create a 2/2 green Elemental creature token.</t>
        </is>
      </c>
    </row>
    <row r="472">
      <c r="A472" s="13" t="inlineStr">
        <is>
          <t>Zetalpa, Primal Dawn</t>
        </is>
      </c>
      <c r="B472" s="13" t="inlineStr">
        <is>
          <t>Legendary Creature — Elder Dinosaur</t>
        </is>
      </c>
      <c r="C472" s="13" t="inlineStr">
        <is>
          <t>{6}{W}{W}</t>
        </is>
      </c>
      <c r="D472" s="13" t="inlineStr">
        <is>
          <t>W</t>
        </is>
      </c>
      <c r="E472" s="22" t="n">
        <v>0.29</v>
      </c>
      <c r="F472" s="13" t="inlineStr"/>
      <c r="G472" s="18" t="inlineStr">
        <is>
          <t>Flying, double strike, vigilance, trample, indestructible</t>
        </is>
      </c>
    </row>
    <row r="473">
      <c r="A473" s="13" t="inlineStr">
        <is>
          <t>Zodiark, Umbral God</t>
        </is>
      </c>
      <c r="B473" s="13" t="inlineStr">
        <is>
          <t>Legendary Creature — God</t>
        </is>
      </c>
      <c r="C473" s="13" t="inlineStr">
        <is>
          <t>{B}{B}{B}{B}{B}</t>
        </is>
      </c>
      <c r="D473" s="13" t="inlineStr">
        <is>
          <t>B</t>
        </is>
      </c>
      <c r="E473" s="22" t="n">
        <v>0.62</v>
      </c>
      <c r="F473" s="13" t="inlineStr"/>
      <c r="G473" s="18" t="inlineStr">
        <is>
          <t>Indestructible / When Zodiark enters, each player sacrifices half the non-God creatures they control of their choice, rounded down. / Whenever a player sacrifices another creature, put a +1/+1 counter on Zodiark.</t>
        </is>
      </c>
    </row>
    <row r="474">
      <c r="A474" s="13" t="inlineStr">
        <is>
          <t>Zombie Master</t>
        </is>
      </c>
      <c r="B474" s="13" t="inlineStr">
        <is>
          <t>Creature — Zombie</t>
        </is>
      </c>
      <c r="C474" s="13" t="inlineStr">
        <is>
          <t>{1}{B}{B}</t>
        </is>
      </c>
      <c r="D474" s="13" t="inlineStr">
        <is>
          <t>B</t>
        </is>
      </c>
      <c r="E474" s="22" t="n">
        <v>0.49</v>
      </c>
      <c r="F474" s="13" t="inlineStr"/>
      <c r="G474" s="18" t="inlineStr">
        <is>
          <t>Other Zombie creatures have swampwalk. (They can't be blocked as long as defending player controls a Swamp.) / Other Zombies have "{B}: Regenerate this permanent."</t>
        </is>
      </c>
    </row>
    <row r="475">
      <c r="A475" s="13" t="inlineStr">
        <is>
          <t>Zulaport Cutthroat</t>
        </is>
      </c>
      <c r="B475" s="13" t="inlineStr">
        <is>
          <t>Creature — Human Rogue Ally</t>
        </is>
      </c>
      <c r="C475" s="13" t="inlineStr">
        <is>
          <t>{1}{B}</t>
        </is>
      </c>
      <c r="D475" s="13" t="inlineStr">
        <is>
          <t>B</t>
        </is>
      </c>
      <c r="E475" s="22" t="n">
        <v>1.38</v>
      </c>
      <c r="F475" s="13" t="inlineStr"/>
      <c r="G475" s="18" t="inlineStr">
        <is>
          <t>Whenever this creature or another creature you control dies, each opponent loses 1 life and you gain 1 life.</t>
        </is>
      </c>
    </row>
    <row r="476">
      <c r="A476" s="13" t="inlineStr">
        <is>
          <t>Éowyn, Fearless Knight</t>
        </is>
      </c>
      <c r="B476" s="13" t="inlineStr">
        <is>
          <t>Legendary Creature — Human Knight</t>
        </is>
      </c>
      <c r="C476" s="13" t="inlineStr">
        <is>
          <t>{2}{R}{W}</t>
        </is>
      </c>
      <c r="D476" s="13" t="inlineStr">
        <is>
          <t>RW</t>
        </is>
      </c>
      <c r="E476" s="22" t="n">
        <v>1.2</v>
      </c>
      <c r="F476" s="13" t="inlineStr"/>
      <c r="G476" s="18" t="inlineStr">
        <is>
          <t>Haste / When Éowyn enters, exile target creature an opponent controls with greater power. Legendary creatures you control gain protection from each of that creature's colors until end of turn.</t>
        </is>
      </c>
    </row>
  </sheetData>
  <mergeCells count="1">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06"/>
  <sheetViews>
    <sheetView showGridLines="0" workbookViewId="0">
      <pane ySplit="4" topLeftCell="A5" activePane="bottomLeft" state="frozen"/>
      <selection pane="bottomLeft" activeCell="A1" sqref="A1"/>
    </sheetView>
  </sheetViews>
  <sheetFormatPr baseColWidth="8" defaultRowHeight="15"/>
  <cols>
    <col width="24" customWidth="1" min="1" max="1"/>
    <col width="9" customWidth="1" min="2" max="2"/>
    <col width="7" customWidth="1" min="3" max="3"/>
    <col width="14" customWidth="1" min="4" max="4"/>
    <col width="30" customWidth="1" min="5" max="5"/>
    <col width="11" customWidth="1" min="6" max="6"/>
  </cols>
  <sheetData>
    <row r="1">
      <c r="A1" s="1" t="inlineStr">
        <is>
          <t>Final List — hand this tab to the session updating the web app</t>
        </is>
      </c>
    </row>
    <row r="2">
      <c r="A2" s="2" t="inlineStr">
        <is>
          <t>Live formulas: every row follows the FINAL PICK you set on that deck's sheet. Values update as you choose.</t>
        </is>
      </c>
    </row>
    <row r="4">
      <c r="A4" s="12" t="inlineStr">
        <is>
          <t>Deck</t>
        </is>
      </c>
      <c r="B4" s="12" t="inlineStr">
        <is>
          <t>Variant</t>
        </is>
      </c>
      <c r="C4" s="12" t="inlineStr">
        <is>
          <t>Slot</t>
        </is>
      </c>
      <c r="D4" s="12" t="inlineStr">
        <is>
          <t>Chosen build</t>
        </is>
      </c>
      <c r="E4" s="12" t="inlineStr">
        <is>
          <t>Card</t>
        </is>
      </c>
      <c r="F4" s="12" t="inlineStr">
        <is>
          <t>Price</t>
        </is>
      </c>
    </row>
    <row r="5">
      <c r="A5" s="13" t="inlineStr">
        <is>
          <t>Ancestral Bulwark</t>
        </is>
      </c>
      <c r="B5" s="38" t="inlineStr">
        <is>
          <t>1o</t>
        </is>
      </c>
      <c r="C5" s="38" t="n">
        <v>1</v>
      </c>
      <c r="D5" s="13">
        <f>'1o Ancestral Bulwark'!M6</f>
        <v/>
      </c>
      <c r="E5" s="13">
        <f>'1o Ancestral Bulwark'!N6</f>
        <v/>
      </c>
      <c r="F5" s="22">
        <f>'1o Ancestral Bulwark'!O6</f>
        <v/>
      </c>
    </row>
    <row r="6">
      <c r="A6" s="13" t="inlineStr">
        <is>
          <t>Ancestral Bulwark</t>
        </is>
      </c>
      <c r="B6" s="38" t="inlineStr">
        <is>
          <t>1o</t>
        </is>
      </c>
      <c r="C6" s="38" t="n">
        <v>2</v>
      </c>
      <c r="D6" s="13">
        <f>'1o Ancestral Bulwark'!M7</f>
        <v/>
      </c>
      <c r="E6" s="13">
        <f>'1o Ancestral Bulwark'!N7</f>
        <v/>
      </c>
      <c r="F6" s="22">
        <f>'1o Ancestral Bulwark'!O7</f>
        <v/>
      </c>
    </row>
    <row r="7">
      <c r="A7" s="13" t="inlineStr">
        <is>
          <t>Ancestral Bulwark</t>
        </is>
      </c>
      <c r="B7" s="38" t="inlineStr">
        <is>
          <t>1o</t>
        </is>
      </c>
      <c r="C7" s="38" t="n">
        <v>3</v>
      </c>
      <c r="D7" s="13">
        <f>'1o Ancestral Bulwark'!M8</f>
        <v/>
      </c>
      <c r="E7" s="13">
        <f>'1o Ancestral Bulwark'!N8</f>
        <v/>
      </c>
      <c r="F7" s="22">
        <f>'1o Ancestral Bulwark'!O8</f>
        <v/>
      </c>
    </row>
    <row r="8">
      <c r="A8" s="13" t="inlineStr">
        <is>
          <t>Ancestral Bulwark</t>
        </is>
      </c>
      <c r="B8" s="38" t="inlineStr">
        <is>
          <t>1o</t>
        </is>
      </c>
      <c r="C8" s="38" t="n">
        <v>4</v>
      </c>
      <c r="D8" s="13">
        <f>'1o Ancestral Bulwark'!M9</f>
        <v/>
      </c>
      <c r="E8" s="13">
        <f>'1o Ancestral Bulwark'!N9</f>
        <v/>
      </c>
      <c r="F8" s="22">
        <f>'1o Ancestral Bulwark'!O9</f>
        <v/>
      </c>
    </row>
    <row r="9">
      <c r="A9" s="13" t="inlineStr">
        <is>
          <t>Ancestral Bulwark</t>
        </is>
      </c>
      <c r="B9" s="38" t="inlineStr">
        <is>
          <t>1o</t>
        </is>
      </c>
      <c r="C9" s="38" t="n">
        <v>5</v>
      </c>
      <c r="D9" s="13">
        <f>'1o Ancestral Bulwark'!M10</f>
        <v/>
      </c>
      <c r="E9" s="13">
        <f>'1o Ancestral Bulwark'!N10</f>
        <v/>
      </c>
      <c r="F9" s="22">
        <f>'1o Ancestral Bulwark'!O10</f>
        <v/>
      </c>
    </row>
    <row r="10">
      <c r="A10" s="13" t="inlineStr">
        <is>
          <t>Ancestral Bulwark</t>
        </is>
      </c>
      <c r="B10" s="38" t="inlineStr">
        <is>
          <t>1o</t>
        </is>
      </c>
      <c r="C10" s="38" t="n">
        <v>6</v>
      </c>
      <c r="D10" s="13">
        <f>'1o Ancestral Bulwark'!M11</f>
        <v/>
      </c>
      <c r="E10" s="13">
        <f>'1o Ancestral Bulwark'!N11</f>
        <v/>
      </c>
      <c r="F10" s="22">
        <f>'1o Ancestral Bulwark'!O11</f>
        <v/>
      </c>
    </row>
    <row r="11">
      <c r="A11" s="13" t="inlineStr">
        <is>
          <t>Ancestral Bulwark</t>
        </is>
      </c>
      <c r="B11" s="38" t="inlineStr">
        <is>
          <t>1o</t>
        </is>
      </c>
      <c r="C11" s="38" t="n">
        <v>7</v>
      </c>
      <c r="D11" s="13">
        <f>'1o Ancestral Bulwark'!M12</f>
        <v/>
      </c>
      <c r="E11" s="13">
        <f>'1o Ancestral Bulwark'!N12</f>
        <v/>
      </c>
      <c r="F11" s="22">
        <f>'1o Ancestral Bulwark'!O12</f>
        <v/>
      </c>
    </row>
    <row r="12">
      <c r="A12" s="13" t="inlineStr">
        <is>
          <t>Ancestral Bulwark</t>
        </is>
      </c>
      <c r="B12" s="38" t="inlineStr">
        <is>
          <t>1o</t>
        </is>
      </c>
      <c r="C12" s="38" t="n">
        <v>8</v>
      </c>
      <c r="D12" s="13">
        <f>'1o Ancestral Bulwark'!M13</f>
        <v/>
      </c>
      <c r="E12" s="13">
        <f>'1o Ancestral Bulwark'!N13</f>
        <v/>
      </c>
      <c r="F12" s="22">
        <f>'1o Ancestral Bulwark'!O13</f>
        <v/>
      </c>
    </row>
    <row r="13">
      <c r="A13" s="13" t="inlineStr">
        <is>
          <t>Ancestral Bulwark</t>
        </is>
      </c>
      <c r="B13" s="38" t="inlineStr">
        <is>
          <t>1o</t>
        </is>
      </c>
      <c r="C13" s="38" t="n">
        <v>9</v>
      </c>
      <c r="D13" s="13">
        <f>'1o Ancestral Bulwark'!M14</f>
        <v/>
      </c>
      <c r="E13" s="13">
        <f>'1o Ancestral Bulwark'!N14</f>
        <v/>
      </c>
      <c r="F13" s="22">
        <f>'1o Ancestral Bulwark'!O14</f>
        <v/>
      </c>
    </row>
    <row r="14">
      <c r="A14" s="13" t="inlineStr">
        <is>
          <t>Ancestral Bulwark</t>
        </is>
      </c>
      <c r="B14" s="38" t="inlineStr">
        <is>
          <t>1o</t>
        </is>
      </c>
      <c r="C14" s="38" t="n">
        <v>10</v>
      </c>
      <c r="D14" s="13">
        <f>'1o Ancestral Bulwark'!M15</f>
        <v/>
      </c>
      <c r="E14" s="13">
        <f>'1o Ancestral Bulwark'!N15</f>
        <v/>
      </c>
      <c r="F14" s="22">
        <f>'1o Ancestral Bulwark'!O15</f>
        <v/>
      </c>
    </row>
    <row r="15">
      <c r="A15" s="13" t="inlineStr">
        <is>
          <t>Ancestral Bulwark</t>
        </is>
      </c>
      <c r="B15" s="38" t="inlineStr">
        <is>
          <t>1o</t>
        </is>
      </c>
      <c r="C15" s="38" t="n">
        <v>11</v>
      </c>
      <c r="D15" s="13">
        <f>'1o Ancestral Bulwark'!M16</f>
        <v/>
      </c>
      <c r="E15" s="13">
        <f>'1o Ancestral Bulwark'!N16</f>
        <v/>
      </c>
      <c r="F15" s="22">
        <f>'1o Ancestral Bulwark'!O16</f>
        <v/>
      </c>
    </row>
    <row r="16">
      <c r="A16" s="13" t="inlineStr">
        <is>
          <t>Ancestral Bulwark</t>
        </is>
      </c>
      <c r="B16" s="38" t="inlineStr">
        <is>
          <t>1o</t>
        </is>
      </c>
      <c r="C16" s="38" t="n">
        <v>12</v>
      </c>
      <c r="D16" s="13">
        <f>'1o Ancestral Bulwark'!M17</f>
        <v/>
      </c>
      <c r="E16" s="13">
        <f>'1o Ancestral Bulwark'!N17</f>
        <v/>
      </c>
      <c r="F16" s="22">
        <f>'1o Ancestral Bulwark'!O17</f>
        <v/>
      </c>
    </row>
    <row r="17">
      <c r="A17" s="13" t="inlineStr">
        <is>
          <t>Ancestral Bulwark</t>
        </is>
      </c>
      <c r="B17" s="38" t="inlineStr">
        <is>
          <t>1o</t>
        </is>
      </c>
      <c r="C17" s="38" t="n">
        <v>13</v>
      </c>
      <c r="D17" s="13">
        <f>'1o Ancestral Bulwark'!M18</f>
        <v/>
      </c>
      <c r="E17" s="13">
        <f>'1o Ancestral Bulwark'!N18</f>
        <v/>
      </c>
      <c r="F17" s="22">
        <f>'1o Ancestral Bulwark'!O18</f>
        <v/>
      </c>
    </row>
    <row r="18">
      <c r="A18" s="13" t="inlineStr">
        <is>
          <t>Ancestral Bulwark</t>
        </is>
      </c>
      <c r="B18" s="38" t="inlineStr">
        <is>
          <t>1o</t>
        </is>
      </c>
      <c r="C18" s="38" t="n">
        <v>14</v>
      </c>
      <c r="D18" s="13">
        <f>'1o Ancestral Bulwark'!M19</f>
        <v/>
      </c>
      <c r="E18" s="13">
        <f>'1o Ancestral Bulwark'!N19</f>
        <v/>
      </c>
      <c r="F18" s="22">
        <f>'1o Ancestral Bulwark'!O19</f>
        <v/>
      </c>
    </row>
    <row r="19">
      <c r="A19" s="13" t="inlineStr">
        <is>
          <t>Ancestral Bulwark</t>
        </is>
      </c>
      <c r="B19" s="38" t="inlineStr">
        <is>
          <t>1o</t>
        </is>
      </c>
      <c r="C19" s="38" t="n">
        <v>15</v>
      </c>
      <c r="D19" s="13">
        <f>'1o Ancestral Bulwark'!M20</f>
        <v/>
      </c>
      <c r="E19" s="13">
        <f>'1o Ancestral Bulwark'!N20</f>
        <v/>
      </c>
      <c r="F19" s="22">
        <f>'1o Ancestral Bulwark'!O20</f>
        <v/>
      </c>
    </row>
    <row r="20">
      <c r="A20" s="13" t="inlineStr">
        <is>
          <t>Ancestral Bulwark</t>
        </is>
      </c>
      <c r="B20" s="38" t="inlineStr">
        <is>
          <t>1o</t>
        </is>
      </c>
      <c r="C20" s="38" t="n">
        <v>16</v>
      </c>
      <c r="D20" s="13">
        <f>'1o Ancestral Bulwark'!M21</f>
        <v/>
      </c>
      <c r="E20" s="13">
        <f>'1o Ancestral Bulwark'!N21</f>
        <v/>
      </c>
      <c r="F20" s="22">
        <f>'1o Ancestral Bulwark'!O21</f>
        <v/>
      </c>
    </row>
    <row r="21">
      <c r="A21" s="13" t="inlineStr">
        <is>
          <t>Ancestral Bulwark</t>
        </is>
      </c>
      <c r="B21" s="38" t="inlineStr">
        <is>
          <t>1o</t>
        </is>
      </c>
      <c r="C21" s="38" t="n">
        <v>17</v>
      </c>
      <c r="D21" s="13">
        <f>'1o Ancestral Bulwark'!M22</f>
        <v/>
      </c>
      <c r="E21" s="13">
        <f>'1o Ancestral Bulwark'!N22</f>
        <v/>
      </c>
      <c r="F21" s="22">
        <f>'1o Ancestral Bulwark'!O22</f>
        <v/>
      </c>
    </row>
    <row r="22">
      <c r="A22" s="13" t="inlineStr">
        <is>
          <t>Ancestral Bulwark</t>
        </is>
      </c>
      <c r="B22" s="38" t="inlineStr">
        <is>
          <t>1o</t>
        </is>
      </c>
      <c r="C22" s="38" t="n">
        <v>18</v>
      </c>
      <c r="D22" s="13">
        <f>'1o Ancestral Bulwark'!M23</f>
        <v/>
      </c>
      <c r="E22" s="13">
        <f>'1o Ancestral Bulwark'!N23</f>
        <v/>
      </c>
      <c r="F22" s="22">
        <f>'1o Ancestral Bulwark'!O23</f>
        <v/>
      </c>
    </row>
    <row r="23">
      <c r="A23" s="13" t="inlineStr">
        <is>
          <t>Ancestral Bulwark</t>
        </is>
      </c>
      <c r="B23" s="38" t="inlineStr">
        <is>
          <t>1o</t>
        </is>
      </c>
      <c r="C23" s="38" t="n">
        <v>19</v>
      </c>
      <c r="D23" s="13">
        <f>'1o Ancestral Bulwark'!M24</f>
        <v/>
      </c>
      <c r="E23" s="13">
        <f>'1o Ancestral Bulwark'!N24</f>
        <v/>
      </c>
      <c r="F23" s="22">
        <f>'1o Ancestral Bulwark'!O24</f>
        <v/>
      </c>
    </row>
    <row r="24">
      <c r="A24" s="13" t="inlineStr">
        <is>
          <t>Ancestral Bulwark</t>
        </is>
      </c>
      <c r="B24" s="38" t="inlineStr">
        <is>
          <t>1o</t>
        </is>
      </c>
      <c r="C24" s="38" t="n">
        <v>20</v>
      </c>
      <c r="D24" s="13">
        <f>'1o Ancestral Bulwark'!M25</f>
        <v/>
      </c>
      <c r="E24" s="13">
        <f>'1o Ancestral Bulwark'!N25</f>
        <v/>
      </c>
      <c r="F24" s="22">
        <f>'1o Ancestral Bulwark'!O25</f>
        <v/>
      </c>
    </row>
    <row r="25">
      <c r="A25" s="13" t="inlineStr">
        <is>
          <t>Ancestral Bulwark</t>
        </is>
      </c>
      <c r="B25" s="38" t="inlineStr">
        <is>
          <t>1o</t>
        </is>
      </c>
      <c r="C25" s="38" t="n">
        <v>21</v>
      </c>
      <c r="D25" s="13">
        <f>'1o Ancestral Bulwark'!M26</f>
        <v/>
      </c>
      <c r="E25" s="13">
        <f>'1o Ancestral Bulwark'!N26</f>
        <v/>
      </c>
      <c r="F25" s="22">
        <f>'1o Ancestral Bulwark'!O26</f>
        <v/>
      </c>
    </row>
    <row r="26">
      <c r="A26" s="13" t="inlineStr">
        <is>
          <t>Ancestral Bulwark</t>
        </is>
      </c>
      <c r="B26" s="38" t="inlineStr">
        <is>
          <t>1o</t>
        </is>
      </c>
      <c r="C26" s="38" t="n">
        <v>22</v>
      </c>
      <c r="D26" s="13">
        <f>'1o Ancestral Bulwark'!M27</f>
        <v/>
      </c>
      <c r="E26" s="13">
        <f>'1o Ancestral Bulwark'!N27</f>
        <v/>
      </c>
      <c r="F26" s="22">
        <f>'1o Ancestral Bulwark'!O27</f>
        <v/>
      </c>
    </row>
    <row r="27">
      <c r="A27" s="13" t="inlineStr">
        <is>
          <t>Ancestral Bulwark</t>
        </is>
      </c>
      <c r="B27" s="38" t="inlineStr">
        <is>
          <t>1o</t>
        </is>
      </c>
      <c r="C27" s="38" t="n">
        <v>23</v>
      </c>
      <c r="D27" s="13">
        <f>'1o Ancestral Bulwark'!M28</f>
        <v/>
      </c>
      <c r="E27" s="13">
        <f>'1o Ancestral Bulwark'!N28</f>
        <v/>
      </c>
      <c r="F27" s="22">
        <f>'1o Ancestral Bulwark'!O28</f>
        <v/>
      </c>
    </row>
    <row r="28">
      <c r="A28" s="13" t="inlineStr">
        <is>
          <t>Ancestral Bulwark</t>
        </is>
      </c>
      <c r="B28" s="38" t="inlineStr">
        <is>
          <t>1o</t>
        </is>
      </c>
      <c r="C28" s="38" t="n">
        <v>24</v>
      </c>
      <c r="D28" s="13">
        <f>'1o Ancestral Bulwark'!M29</f>
        <v/>
      </c>
      <c r="E28" s="13">
        <f>'1o Ancestral Bulwark'!N29</f>
        <v/>
      </c>
      <c r="F28" s="22">
        <f>'1o Ancestral Bulwark'!O29</f>
        <v/>
      </c>
    </row>
    <row r="29">
      <c r="A29" s="13" t="inlineStr">
        <is>
          <t>Ancestral Bulwark</t>
        </is>
      </c>
      <c r="B29" s="38" t="inlineStr">
        <is>
          <t>1o</t>
        </is>
      </c>
      <c r="C29" s="38" t="n">
        <v>25</v>
      </c>
      <c r="D29" s="13">
        <f>'1o Ancestral Bulwark'!M30</f>
        <v/>
      </c>
      <c r="E29" s="13">
        <f>'1o Ancestral Bulwark'!N30</f>
        <v/>
      </c>
      <c r="F29" s="22">
        <f>'1o Ancestral Bulwark'!O30</f>
        <v/>
      </c>
    </row>
    <row r="30">
      <c r="A30" s="13" t="inlineStr">
        <is>
          <t>Ancestral Bulwark</t>
        </is>
      </c>
      <c r="B30" s="38" t="inlineStr">
        <is>
          <t>1o</t>
        </is>
      </c>
      <c r="C30" s="38" t="n">
        <v>26</v>
      </c>
      <c r="D30" s="13">
        <f>'1o Ancestral Bulwark'!M31</f>
        <v/>
      </c>
      <c r="E30" s="13">
        <f>'1o Ancestral Bulwark'!N31</f>
        <v/>
      </c>
      <c r="F30" s="22">
        <f>'1o Ancestral Bulwark'!O31</f>
        <v/>
      </c>
    </row>
    <row r="31">
      <c r="A31" s="13" t="inlineStr">
        <is>
          <t>Ancestral Bulwark</t>
        </is>
      </c>
      <c r="B31" s="38" t="inlineStr">
        <is>
          <t>1o</t>
        </is>
      </c>
      <c r="C31" s="38" t="n">
        <v>27</v>
      </c>
      <c r="D31" s="13">
        <f>'1o Ancestral Bulwark'!M32</f>
        <v/>
      </c>
      <c r="E31" s="13">
        <f>'1o Ancestral Bulwark'!N32</f>
        <v/>
      </c>
      <c r="F31" s="22">
        <f>'1o Ancestral Bulwark'!O32</f>
        <v/>
      </c>
    </row>
    <row r="32">
      <c r="A32" s="13" t="inlineStr">
        <is>
          <t>Ancestral Bulwark</t>
        </is>
      </c>
      <c r="B32" s="38" t="inlineStr">
        <is>
          <t>1o</t>
        </is>
      </c>
      <c r="C32" s="38" t="n">
        <v>28</v>
      </c>
      <c r="D32" s="13">
        <f>'1o Ancestral Bulwark'!M33</f>
        <v/>
      </c>
      <c r="E32" s="13">
        <f>'1o Ancestral Bulwark'!N33</f>
        <v/>
      </c>
      <c r="F32" s="22">
        <f>'1o Ancestral Bulwark'!O33</f>
        <v/>
      </c>
    </row>
    <row r="33">
      <c r="A33" s="13" t="inlineStr">
        <is>
          <t>Ancestral Bulwark</t>
        </is>
      </c>
      <c r="B33" s="38" t="inlineStr">
        <is>
          <t>1o</t>
        </is>
      </c>
      <c r="C33" s="38" t="n">
        <v>29</v>
      </c>
      <c r="D33" s="13">
        <f>'1o Ancestral Bulwark'!M34</f>
        <v/>
      </c>
      <c r="E33" s="13">
        <f>'1o Ancestral Bulwark'!N34</f>
        <v/>
      </c>
      <c r="F33" s="22">
        <f>'1o Ancestral Bulwark'!O34</f>
        <v/>
      </c>
    </row>
    <row r="34">
      <c r="A34" s="13" t="inlineStr">
        <is>
          <t>Ancestral Bulwark</t>
        </is>
      </c>
      <c r="B34" s="38" t="inlineStr">
        <is>
          <t>1o</t>
        </is>
      </c>
      <c r="C34" s="38" t="n">
        <v>30</v>
      </c>
      <c r="D34" s="13">
        <f>'1o Ancestral Bulwark'!M35</f>
        <v/>
      </c>
      <c r="E34" s="13">
        <f>'1o Ancestral Bulwark'!N35</f>
        <v/>
      </c>
      <c r="F34" s="22">
        <f>'1o Ancestral Bulwark'!O35</f>
        <v/>
      </c>
    </row>
    <row r="35">
      <c r="A35" s="13" t="inlineStr">
        <is>
          <t>Ancestral Bulwark</t>
        </is>
      </c>
      <c r="B35" s="38" t="inlineStr">
        <is>
          <t>1o</t>
        </is>
      </c>
      <c r="C35" s="38" t="n">
        <v>31</v>
      </c>
      <c r="D35" s="13">
        <f>'1o Ancestral Bulwark'!M36</f>
        <v/>
      </c>
      <c r="E35" s="13">
        <f>'1o Ancestral Bulwark'!N36</f>
        <v/>
      </c>
      <c r="F35" s="22">
        <f>'1o Ancestral Bulwark'!O36</f>
        <v/>
      </c>
    </row>
    <row r="36">
      <c r="A36" s="13" t="inlineStr">
        <is>
          <t>Ancestral Bulwark</t>
        </is>
      </c>
      <c r="B36" s="38" t="inlineStr">
        <is>
          <t>1o</t>
        </is>
      </c>
      <c r="C36" s="38" t="n">
        <v>32</v>
      </c>
      <c r="D36" s="13">
        <f>'1o Ancestral Bulwark'!M37</f>
        <v/>
      </c>
      <c r="E36" s="13">
        <f>'1o Ancestral Bulwark'!N37</f>
        <v/>
      </c>
      <c r="F36" s="22">
        <f>'1o Ancestral Bulwark'!O37</f>
        <v/>
      </c>
    </row>
    <row r="37">
      <c r="A37" s="13" t="inlineStr">
        <is>
          <t>Ancestral Bulwark</t>
        </is>
      </c>
      <c r="B37" s="38" t="inlineStr">
        <is>
          <t>1o</t>
        </is>
      </c>
      <c r="C37" s="38" t="n">
        <v>33</v>
      </c>
      <c r="D37" s="13">
        <f>'1o Ancestral Bulwark'!M38</f>
        <v/>
      </c>
      <c r="E37" s="13">
        <f>'1o Ancestral Bulwark'!N38</f>
        <v/>
      </c>
      <c r="F37" s="22">
        <f>'1o Ancestral Bulwark'!O38</f>
        <v/>
      </c>
    </row>
    <row r="38">
      <c r="A38" s="13" t="inlineStr">
        <is>
          <t>Ancestral Bulwark</t>
        </is>
      </c>
      <c r="B38" s="38" t="inlineStr">
        <is>
          <t>1o</t>
        </is>
      </c>
      <c r="C38" s="38" t="n">
        <v>34</v>
      </c>
      <c r="D38" s="13">
        <f>'1o Ancestral Bulwark'!M39</f>
        <v/>
      </c>
      <c r="E38" s="13">
        <f>'1o Ancestral Bulwark'!N39</f>
        <v/>
      </c>
      <c r="F38" s="22">
        <f>'1o Ancestral Bulwark'!O39</f>
        <v/>
      </c>
    </row>
    <row r="39">
      <c r="A39" s="13" t="inlineStr">
        <is>
          <t>Ancestral Bulwark</t>
        </is>
      </c>
      <c r="B39" s="38" t="inlineStr">
        <is>
          <t>1o</t>
        </is>
      </c>
      <c r="C39" s="38" t="n">
        <v>35</v>
      </c>
      <c r="D39" s="13">
        <f>'1o Ancestral Bulwark'!M40</f>
        <v/>
      </c>
      <c r="E39" s="13">
        <f>'1o Ancestral Bulwark'!N40</f>
        <v/>
      </c>
      <c r="F39" s="22">
        <f>'1o Ancestral Bulwark'!O40</f>
        <v/>
      </c>
    </row>
    <row r="40">
      <c r="A40" s="13" t="inlineStr">
        <is>
          <t>Ancestral Bulwark</t>
        </is>
      </c>
      <c r="B40" s="38" t="inlineStr">
        <is>
          <t>1o</t>
        </is>
      </c>
      <c r="C40" s="38" t="n">
        <v>36</v>
      </c>
      <c r="D40" s="13">
        <f>'1o Ancestral Bulwark'!M41</f>
        <v/>
      </c>
      <c r="E40" s="13">
        <f>'1o Ancestral Bulwark'!N41</f>
        <v/>
      </c>
      <c r="F40" s="22">
        <f>'1o Ancestral Bulwark'!O41</f>
        <v/>
      </c>
    </row>
    <row r="41">
      <c r="A41" s="13" t="inlineStr">
        <is>
          <t>Ancestral Bulwark</t>
        </is>
      </c>
      <c r="B41" s="38" t="inlineStr">
        <is>
          <t>1o</t>
        </is>
      </c>
      <c r="C41" s="38" t="n">
        <v>37</v>
      </c>
      <c r="D41" s="13">
        <f>'1o Ancestral Bulwark'!M42</f>
        <v/>
      </c>
      <c r="E41" s="13">
        <f>'1o Ancestral Bulwark'!N42</f>
        <v/>
      </c>
      <c r="F41" s="22">
        <f>'1o Ancestral Bulwark'!O42</f>
        <v/>
      </c>
    </row>
    <row r="42">
      <c r="A42" s="13" t="inlineStr">
        <is>
          <t>Ancestral Bulwark</t>
        </is>
      </c>
      <c r="B42" s="38" t="inlineStr">
        <is>
          <t>1o</t>
        </is>
      </c>
      <c r="C42" s="38" t="n">
        <v>38</v>
      </c>
      <c r="D42" s="13">
        <f>'1o Ancestral Bulwark'!M43</f>
        <v/>
      </c>
      <c r="E42" s="13">
        <f>'1o Ancestral Bulwark'!N43</f>
        <v/>
      </c>
      <c r="F42" s="22">
        <f>'1o Ancestral Bulwark'!O43</f>
        <v/>
      </c>
    </row>
    <row r="43">
      <c r="A43" s="13" t="inlineStr">
        <is>
          <t>Ancestral Bulwark</t>
        </is>
      </c>
      <c r="B43" s="38" t="inlineStr">
        <is>
          <t>1o</t>
        </is>
      </c>
      <c r="C43" s="38" t="n">
        <v>39</v>
      </c>
      <c r="D43" s="13">
        <f>'1o Ancestral Bulwark'!M44</f>
        <v/>
      </c>
      <c r="E43" s="13">
        <f>'1o Ancestral Bulwark'!N44</f>
        <v/>
      </c>
      <c r="F43" s="22">
        <f>'1o Ancestral Bulwark'!O44</f>
        <v/>
      </c>
    </row>
    <row r="44">
      <c r="A44" s="13" t="inlineStr">
        <is>
          <t>Ancestral Bulwark</t>
        </is>
      </c>
      <c r="B44" s="38" t="inlineStr">
        <is>
          <t>1o</t>
        </is>
      </c>
      <c r="C44" s="38" t="n">
        <v>40</v>
      </c>
      <c r="D44" s="13">
        <f>'1o Ancestral Bulwark'!M45</f>
        <v/>
      </c>
      <c r="E44" s="13">
        <f>'1o Ancestral Bulwark'!N45</f>
        <v/>
      </c>
      <c r="F44" s="22">
        <f>'1o Ancestral Bulwark'!O45</f>
        <v/>
      </c>
    </row>
    <row r="45">
      <c r="A45" s="13" t="inlineStr">
        <is>
          <t>Ancestral Bulwark</t>
        </is>
      </c>
      <c r="B45" s="38" t="inlineStr">
        <is>
          <t>1o</t>
        </is>
      </c>
      <c r="C45" s="38" t="n">
        <v>41</v>
      </c>
      <c r="D45" s="13">
        <f>'1o Ancestral Bulwark'!M46</f>
        <v/>
      </c>
      <c r="E45" s="13">
        <f>'1o Ancestral Bulwark'!N46</f>
        <v/>
      </c>
      <c r="F45" s="22">
        <f>'1o Ancestral Bulwark'!O46</f>
        <v/>
      </c>
    </row>
    <row r="46">
      <c r="A46" s="13" t="inlineStr">
        <is>
          <t>Ancestral Bulwark</t>
        </is>
      </c>
      <c r="B46" s="38" t="inlineStr">
        <is>
          <t>1o</t>
        </is>
      </c>
      <c r="C46" s="38" t="n">
        <v>42</v>
      </c>
      <c r="D46" s="13">
        <f>'1o Ancestral Bulwark'!M47</f>
        <v/>
      </c>
      <c r="E46" s="13">
        <f>'1o Ancestral Bulwark'!N47</f>
        <v/>
      </c>
      <c r="F46" s="22">
        <f>'1o Ancestral Bulwark'!O47</f>
        <v/>
      </c>
    </row>
    <row r="47">
      <c r="A47" s="13" t="inlineStr">
        <is>
          <t>Ancestral Bulwark</t>
        </is>
      </c>
      <c r="B47" s="38" t="inlineStr">
        <is>
          <t>1o</t>
        </is>
      </c>
      <c r="C47" s="38" t="n">
        <v>43</v>
      </c>
      <c r="D47" s="13">
        <f>'1o Ancestral Bulwark'!M48</f>
        <v/>
      </c>
      <c r="E47" s="13">
        <f>'1o Ancestral Bulwark'!N48</f>
        <v/>
      </c>
      <c r="F47" s="22">
        <f>'1o Ancestral Bulwark'!O48</f>
        <v/>
      </c>
    </row>
    <row r="48">
      <c r="A48" s="13" t="inlineStr">
        <is>
          <t>Ancestral Bulwark</t>
        </is>
      </c>
      <c r="B48" s="38" t="inlineStr">
        <is>
          <t>1o</t>
        </is>
      </c>
      <c r="C48" s="38" t="n">
        <v>44</v>
      </c>
      <c r="D48" s="13">
        <f>'1o Ancestral Bulwark'!M49</f>
        <v/>
      </c>
      <c r="E48" s="13">
        <f>'1o Ancestral Bulwark'!N49</f>
        <v/>
      </c>
      <c r="F48" s="22">
        <f>'1o Ancestral Bulwark'!O49</f>
        <v/>
      </c>
    </row>
    <row r="49">
      <c r="A49" s="13" t="inlineStr">
        <is>
          <t>Ancestral Bulwark</t>
        </is>
      </c>
      <c r="B49" s="38" t="inlineStr">
        <is>
          <t>1o</t>
        </is>
      </c>
      <c r="C49" s="38" t="n">
        <v>45</v>
      </c>
      <c r="D49" s="13">
        <f>'1o Ancestral Bulwark'!M50</f>
        <v/>
      </c>
      <c r="E49" s="13">
        <f>'1o Ancestral Bulwark'!N50</f>
        <v/>
      </c>
      <c r="F49" s="22">
        <f>'1o Ancestral Bulwark'!O50</f>
        <v/>
      </c>
    </row>
    <row r="50">
      <c r="A50" s="13" t="inlineStr">
        <is>
          <t>Ancestral Bulwark</t>
        </is>
      </c>
      <c r="B50" s="38" t="inlineStr">
        <is>
          <t>1o</t>
        </is>
      </c>
      <c r="C50" s="38" t="n">
        <v>46</v>
      </c>
      <c r="D50" s="13">
        <f>'1o Ancestral Bulwark'!M51</f>
        <v/>
      </c>
      <c r="E50" s="13">
        <f>'1o Ancestral Bulwark'!N51</f>
        <v/>
      </c>
      <c r="F50" s="22">
        <f>'1o Ancestral Bulwark'!O51</f>
        <v/>
      </c>
    </row>
    <row r="51">
      <c r="A51" s="13" t="inlineStr">
        <is>
          <t>Ancestral Bulwark</t>
        </is>
      </c>
      <c r="B51" s="38" t="inlineStr">
        <is>
          <t>1o</t>
        </is>
      </c>
      <c r="C51" s="38" t="n">
        <v>47</v>
      </c>
      <c r="D51" s="13">
        <f>'1o Ancestral Bulwark'!M52</f>
        <v/>
      </c>
      <c r="E51" s="13">
        <f>'1o Ancestral Bulwark'!N52</f>
        <v/>
      </c>
      <c r="F51" s="22">
        <f>'1o Ancestral Bulwark'!O52</f>
        <v/>
      </c>
    </row>
    <row r="52">
      <c r="A52" s="13" t="inlineStr">
        <is>
          <t>Ancestral Bulwark</t>
        </is>
      </c>
      <c r="B52" s="38" t="inlineStr">
        <is>
          <t>1o</t>
        </is>
      </c>
      <c r="C52" s="38" t="n">
        <v>48</v>
      </c>
      <c r="D52" s="13">
        <f>'1o Ancestral Bulwark'!M53</f>
        <v/>
      </c>
      <c r="E52" s="13">
        <f>'1o Ancestral Bulwark'!N53</f>
        <v/>
      </c>
      <c r="F52" s="22">
        <f>'1o Ancestral Bulwark'!O53</f>
        <v/>
      </c>
    </row>
    <row r="53">
      <c r="A53" s="13" t="inlineStr">
        <is>
          <t>Ancestral Bulwark</t>
        </is>
      </c>
      <c r="B53" s="38" t="inlineStr">
        <is>
          <t>1o</t>
        </is>
      </c>
      <c r="C53" s="38" t="n">
        <v>49</v>
      </c>
      <c r="D53" s="13">
        <f>'1o Ancestral Bulwark'!M54</f>
        <v/>
      </c>
      <c r="E53" s="13">
        <f>'1o Ancestral Bulwark'!N54</f>
        <v/>
      </c>
      <c r="F53" s="22">
        <f>'1o Ancestral Bulwark'!O54</f>
        <v/>
      </c>
    </row>
    <row r="54">
      <c r="A54" s="13" t="inlineStr">
        <is>
          <t>Ancestral Bulwark</t>
        </is>
      </c>
      <c r="B54" s="38" t="inlineStr">
        <is>
          <t>1o</t>
        </is>
      </c>
      <c r="C54" s="38" t="n">
        <v>50</v>
      </c>
      <c r="D54" s="13">
        <f>'1o Ancestral Bulwark'!M55</f>
        <v/>
      </c>
      <c r="E54" s="13">
        <f>'1o Ancestral Bulwark'!N55</f>
        <v/>
      </c>
      <c r="F54" s="22">
        <f>'1o Ancestral Bulwark'!O55</f>
        <v/>
      </c>
    </row>
    <row r="55">
      <c r="A55" s="13" t="inlineStr">
        <is>
          <t>Ancestral Bulwark</t>
        </is>
      </c>
      <c r="B55" s="38" t="inlineStr">
        <is>
          <t>1o</t>
        </is>
      </c>
      <c r="C55" s="38" t="n">
        <v>51</v>
      </c>
      <c r="D55" s="13">
        <f>'1o Ancestral Bulwark'!M56</f>
        <v/>
      </c>
      <c r="E55" s="13">
        <f>'1o Ancestral Bulwark'!N56</f>
        <v/>
      </c>
      <c r="F55" s="22">
        <f>'1o Ancestral Bulwark'!O56</f>
        <v/>
      </c>
    </row>
    <row r="56">
      <c r="A56" s="13" t="inlineStr">
        <is>
          <t>Ancestral Bulwark</t>
        </is>
      </c>
      <c r="B56" s="38" t="inlineStr">
        <is>
          <t>1o</t>
        </is>
      </c>
      <c r="C56" s="38" t="n">
        <v>52</v>
      </c>
      <c r="D56" s="13">
        <f>'1o Ancestral Bulwark'!M57</f>
        <v/>
      </c>
      <c r="E56" s="13">
        <f>'1o Ancestral Bulwark'!N57</f>
        <v/>
      </c>
      <c r="F56" s="22">
        <f>'1o Ancestral Bulwark'!O57</f>
        <v/>
      </c>
    </row>
    <row r="57">
      <c r="A57" s="13" t="inlineStr">
        <is>
          <t>Ancestral Bulwark</t>
        </is>
      </c>
      <c r="B57" s="38" t="inlineStr">
        <is>
          <t>1o</t>
        </is>
      </c>
      <c r="C57" s="38" t="n">
        <v>53</v>
      </c>
      <c r="D57" s="13">
        <f>'1o Ancestral Bulwark'!M58</f>
        <v/>
      </c>
      <c r="E57" s="13">
        <f>'1o Ancestral Bulwark'!N58</f>
        <v/>
      </c>
      <c r="F57" s="22">
        <f>'1o Ancestral Bulwark'!O58</f>
        <v/>
      </c>
    </row>
    <row r="58">
      <c r="A58" s="13" t="inlineStr">
        <is>
          <t>Ancestral Bulwark</t>
        </is>
      </c>
      <c r="B58" s="38" t="inlineStr">
        <is>
          <t>1o</t>
        </is>
      </c>
      <c r="C58" s="38" t="n">
        <v>54</v>
      </c>
      <c r="D58" s="13">
        <f>'1o Ancestral Bulwark'!M59</f>
        <v/>
      </c>
      <c r="E58" s="13">
        <f>'1o Ancestral Bulwark'!N59</f>
        <v/>
      </c>
      <c r="F58" s="22">
        <f>'1o Ancestral Bulwark'!O59</f>
        <v/>
      </c>
    </row>
    <row r="59">
      <c r="A59" s="13" t="inlineStr">
        <is>
          <t>Ancestral Bulwark</t>
        </is>
      </c>
      <c r="B59" s="38" t="inlineStr">
        <is>
          <t>1o</t>
        </is>
      </c>
      <c r="C59" s="38" t="n">
        <v>55</v>
      </c>
      <c r="D59" s="13">
        <f>'1o Ancestral Bulwark'!M60</f>
        <v/>
      </c>
      <c r="E59" s="13">
        <f>'1o Ancestral Bulwark'!N60</f>
        <v/>
      </c>
      <c r="F59" s="22">
        <f>'1o Ancestral Bulwark'!O60</f>
        <v/>
      </c>
    </row>
    <row r="60">
      <c r="A60" s="13" t="inlineStr">
        <is>
          <t>Ancestral Bulwark</t>
        </is>
      </c>
      <c r="B60" s="38" t="inlineStr">
        <is>
          <t>1o</t>
        </is>
      </c>
      <c r="C60" s="38" t="n">
        <v>56</v>
      </c>
      <c r="D60" s="13">
        <f>'1o Ancestral Bulwark'!M61</f>
        <v/>
      </c>
      <c r="E60" s="13">
        <f>'1o Ancestral Bulwark'!N61</f>
        <v/>
      </c>
      <c r="F60" s="22">
        <f>'1o Ancestral Bulwark'!O61</f>
        <v/>
      </c>
    </row>
    <row r="61">
      <c r="A61" s="13" t="inlineStr">
        <is>
          <t>Ancestral Bulwark</t>
        </is>
      </c>
      <c r="B61" s="38" t="inlineStr">
        <is>
          <t>1o</t>
        </is>
      </c>
      <c r="C61" s="38" t="n">
        <v>57</v>
      </c>
      <c r="D61" s="13">
        <f>'1o Ancestral Bulwark'!M62</f>
        <v/>
      </c>
      <c r="E61" s="13">
        <f>'1o Ancestral Bulwark'!N62</f>
        <v/>
      </c>
      <c r="F61" s="22">
        <f>'1o Ancestral Bulwark'!O62</f>
        <v/>
      </c>
    </row>
    <row r="62">
      <c r="A62" s="13" t="inlineStr">
        <is>
          <t>Ancestral Bulwark</t>
        </is>
      </c>
      <c r="B62" s="38" t="inlineStr">
        <is>
          <t>1o</t>
        </is>
      </c>
      <c r="C62" s="38" t="n">
        <v>58</v>
      </c>
      <c r="D62" s="13">
        <f>'1o Ancestral Bulwark'!M63</f>
        <v/>
      </c>
      <c r="E62" s="13">
        <f>'1o Ancestral Bulwark'!N63</f>
        <v/>
      </c>
      <c r="F62" s="22">
        <f>'1o Ancestral Bulwark'!O63</f>
        <v/>
      </c>
    </row>
    <row r="63">
      <c r="A63" s="13" t="inlineStr">
        <is>
          <t>Ancestral Bulwark</t>
        </is>
      </c>
      <c r="B63" s="38" t="inlineStr">
        <is>
          <t>1o</t>
        </is>
      </c>
      <c r="C63" s="38" t="n">
        <v>59</v>
      </c>
      <c r="D63" s="13">
        <f>'1o Ancestral Bulwark'!M64</f>
        <v/>
      </c>
      <c r="E63" s="13">
        <f>'1o Ancestral Bulwark'!N64</f>
        <v/>
      </c>
      <c r="F63" s="22">
        <f>'1o Ancestral Bulwark'!O64</f>
        <v/>
      </c>
    </row>
    <row r="64">
      <c r="A64" s="13" t="inlineStr">
        <is>
          <t>Ancestral Bulwark</t>
        </is>
      </c>
      <c r="B64" s="38" t="inlineStr">
        <is>
          <t>1o</t>
        </is>
      </c>
      <c r="C64" s="38" t="n">
        <v>60</v>
      </c>
      <c r="D64" s="13">
        <f>'1o Ancestral Bulwark'!M65</f>
        <v/>
      </c>
      <c r="E64" s="13">
        <f>'1o Ancestral Bulwark'!N65</f>
        <v/>
      </c>
      <c r="F64" s="22">
        <f>'1o Ancestral Bulwark'!O65</f>
        <v/>
      </c>
    </row>
    <row r="65">
      <c r="A65" s="13" t="inlineStr">
        <is>
          <t>Ancestral Bulwark</t>
        </is>
      </c>
      <c r="B65" s="38" t="inlineStr">
        <is>
          <t>1o</t>
        </is>
      </c>
      <c r="C65" s="38" t="n">
        <v>61</v>
      </c>
      <c r="D65" s="13">
        <f>'1o Ancestral Bulwark'!M66</f>
        <v/>
      </c>
      <c r="E65" s="13">
        <f>'1o Ancestral Bulwark'!N66</f>
        <v/>
      </c>
      <c r="F65" s="22">
        <f>'1o Ancestral Bulwark'!O66</f>
        <v/>
      </c>
    </row>
    <row r="66">
      <c r="A66" s="13" t="inlineStr">
        <is>
          <t>Ancestral Bulwark</t>
        </is>
      </c>
      <c r="B66" s="38" t="inlineStr">
        <is>
          <t>1o</t>
        </is>
      </c>
      <c r="C66" s="38" t="n">
        <v>62</v>
      </c>
      <c r="D66" s="13">
        <f>'1o Ancestral Bulwark'!M67</f>
        <v/>
      </c>
      <c r="E66" s="13">
        <f>'1o Ancestral Bulwark'!N67</f>
        <v/>
      </c>
      <c r="F66" s="22">
        <f>'1o Ancestral Bulwark'!O67</f>
        <v/>
      </c>
    </row>
    <row r="67">
      <c r="A67" s="13" t="inlineStr">
        <is>
          <t>Ancestral Bulwark</t>
        </is>
      </c>
      <c r="B67" s="38" t="inlineStr">
        <is>
          <t>1o</t>
        </is>
      </c>
      <c r="C67" s="38" t="n">
        <v>63</v>
      </c>
      <c r="D67" s="13">
        <f>'1o Ancestral Bulwark'!M68</f>
        <v/>
      </c>
      <c r="E67" s="13">
        <f>'1o Ancestral Bulwark'!N68</f>
        <v/>
      </c>
      <c r="F67" s="22">
        <f>'1o Ancestral Bulwark'!O68</f>
        <v/>
      </c>
    </row>
    <row r="68">
      <c r="A68" s="13" t="inlineStr">
        <is>
          <t>Ancestral Bulwark</t>
        </is>
      </c>
      <c r="B68" s="38" t="inlineStr">
        <is>
          <t>1o</t>
        </is>
      </c>
      <c r="C68" s="38" t="n">
        <v>64</v>
      </c>
      <c r="D68" s="13">
        <f>'1o Ancestral Bulwark'!M69</f>
        <v/>
      </c>
      <c r="E68" s="13">
        <f>'1o Ancestral Bulwark'!N69</f>
        <v/>
      </c>
      <c r="F68" s="22">
        <f>'1o Ancestral Bulwark'!O69</f>
        <v/>
      </c>
    </row>
    <row r="69">
      <c r="A69" s="13" t="inlineStr">
        <is>
          <t>Ancestral Bulwark</t>
        </is>
      </c>
      <c r="B69" s="38" t="inlineStr">
        <is>
          <t>1o</t>
        </is>
      </c>
      <c r="C69" s="38" t="n">
        <v>65</v>
      </c>
      <c r="D69" s="13">
        <f>'1o Ancestral Bulwark'!M70</f>
        <v/>
      </c>
      <c r="E69" s="13">
        <f>'1o Ancestral Bulwark'!N70</f>
        <v/>
      </c>
      <c r="F69" s="22">
        <f>'1o Ancestral Bulwark'!O70</f>
        <v/>
      </c>
    </row>
    <row r="70">
      <c r="A70" s="13" t="inlineStr">
        <is>
          <t>Ancestral Bulwark</t>
        </is>
      </c>
      <c r="B70" s="38" t="inlineStr">
        <is>
          <t>1o</t>
        </is>
      </c>
      <c r="C70" s="38" t="n">
        <v>66</v>
      </c>
      <c r="D70" s="13">
        <f>'1o Ancestral Bulwark'!M71</f>
        <v/>
      </c>
      <c r="E70" s="13">
        <f>'1o Ancestral Bulwark'!N71</f>
        <v/>
      </c>
      <c r="F70" s="22">
        <f>'1o Ancestral Bulwark'!O71</f>
        <v/>
      </c>
    </row>
    <row r="71">
      <c r="A71" s="13" t="inlineStr">
        <is>
          <t>Ancestral Bulwark</t>
        </is>
      </c>
      <c r="B71" s="38" t="inlineStr">
        <is>
          <t>1o</t>
        </is>
      </c>
      <c r="C71" s="38" t="n">
        <v>67</v>
      </c>
      <c r="D71" s="13">
        <f>'1o Ancestral Bulwark'!M72</f>
        <v/>
      </c>
      <c r="E71" s="13">
        <f>'1o Ancestral Bulwark'!N72</f>
        <v/>
      </c>
      <c r="F71" s="22">
        <f>'1o Ancestral Bulwark'!O72</f>
        <v/>
      </c>
    </row>
    <row r="72">
      <c r="A72" s="13" t="inlineStr">
        <is>
          <t>Ancestral Bulwark</t>
        </is>
      </c>
      <c r="B72" s="38" t="inlineStr">
        <is>
          <t>1o</t>
        </is>
      </c>
      <c r="C72" s="38" t="n">
        <v>68</v>
      </c>
      <c r="D72" s="13">
        <f>'1o Ancestral Bulwark'!M73</f>
        <v/>
      </c>
      <c r="E72" s="13">
        <f>'1o Ancestral Bulwark'!N73</f>
        <v/>
      </c>
      <c r="F72" s="22">
        <f>'1o Ancestral Bulwark'!O73</f>
        <v/>
      </c>
    </row>
    <row r="73">
      <c r="A73" s="13" t="inlineStr">
        <is>
          <t>Ancestral Bulwark</t>
        </is>
      </c>
      <c r="B73" s="38" t="inlineStr">
        <is>
          <t>1o</t>
        </is>
      </c>
      <c r="C73" s="38" t="n">
        <v>69</v>
      </c>
      <c r="D73" s="13">
        <f>'1o Ancestral Bulwark'!M74</f>
        <v/>
      </c>
      <c r="E73" s="13">
        <f>'1o Ancestral Bulwark'!N74</f>
        <v/>
      </c>
      <c r="F73" s="22">
        <f>'1o Ancestral Bulwark'!O74</f>
        <v/>
      </c>
    </row>
    <row r="74">
      <c r="A74" s="13" t="inlineStr">
        <is>
          <t>Ancestral Bulwark</t>
        </is>
      </c>
      <c r="B74" s="38" t="inlineStr">
        <is>
          <t>1o</t>
        </is>
      </c>
      <c r="C74" s="38" t="n">
        <v>70</v>
      </c>
      <c r="D74" s="13">
        <f>'1o Ancestral Bulwark'!M75</f>
        <v/>
      </c>
      <c r="E74" s="13">
        <f>'1o Ancestral Bulwark'!N75</f>
        <v/>
      </c>
      <c r="F74" s="22">
        <f>'1o Ancestral Bulwark'!O75</f>
        <v/>
      </c>
    </row>
    <row r="75">
      <c r="A75" s="13" t="inlineStr">
        <is>
          <t>Ancestral Bulwark</t>
        </is>
      </c>
      <c r="B75" s="38" t="inlineStr">
        <is>
          <t>1o</t>
        </is>
      </c>
      <c r="C75" s="38" t="n">
        <v>71</v>
      </c>
      <c r="D75" s="13">
        <f>'1o Ancestral Bulwark'!M76</f>
        <v/>
      </c>
      <c r="E75" s="13">
        <f>'1o Ancestral Bulwark'!N76</f>
        <v/>
      </c>
      <c r="F75" s="22">
        <f>'1o Ancestral Bulwark'!O76</f>
        <v/>
      </c>
    </row>
    <row r="76">
      <c r="A76" s="13" t="inlineStr">
        <is>
          <t>Ancestral Bulwark</t>
        </is>
      </c>
      <c r="B76" s="38" t="inlineStr">
        <is>
          <t>1o</t>
        </is>
      </c>
      <c r="C76" s="38" t="n">
        <v>72</v>
      </c>
      <c r="D76" s="13">
        <f>'1o Ancestral Bulwark'!M77</f>
        <v/>
      </c>
      <c r="E76" s="13">
        <f>'1o Ancestral Bulwark'!N77</f>
        <v/>
      </c>
      <c r="F76" s="22">
        <f>'1o Ancestral Bulwark'!O77</f>
        <v/>
      </c>
    </row>
    <row r="77">
      <c r="A77" s="13" t="inlineStr">
        <is>
          <t>Ancestral Bulwark</t>
        </is>
      </c>
      <c r="B77" s="38" t="inlineStr">
        <is>
          <t>1o</t>
        </is>
      </c>
      <c r="C77" s="38" t="n">
        <v>73</v>
      </c>
      <c r="D77" s="13">
        <f>'1o Ancestral Bulwark'!M78</f>
        <v/>
      </c>
      <c r="E77" s="13">
        <f>'1o Ancestral Bulwark'!N78</f>
        <v/>
      </c>
      <c r="F77" s="22">
        <f>'1o Ancestral Bulwark'!O78</f>
        <v/>
      </c>
    </row>
    <row r="78">
      <c r="A78" s="13" t="inlineStr">
        <is>
          <t>Ancestral Bulwark</t>
        </is>
      </c>
      <c r="B78" s="38" t="inlineStr">
        <is>
          <t>1o</t>
        </is>
      </c>
      <c r="C78" s="38" t="n">
        <v>74</v>
      </c>
      <c r="D78" s="13">
        <f>'1o Ancestral Bulwark'!M79</f>
        <v/>
      </c>
      <c r="E78" s="13">
        <f>'1o Ancestral Bulwark'!N79</f>
        <v/>
      </c>
      <c r="F78" s="22">
        <f>'1o Ancestral Bulwark'!O79</f>
        <v/>
      </c>
    </row>
    <row r="79">
      <c r="A79" s="13" t="inlineStr">
        <is>
          <t>Ancestral Bulwark</t>
        </is>
      </c>
      <c r="B79" s="38" t="inlineStr">
        <is>
          <t>1o</t>
        </is>
      </c>
      <c r="C79" s="38" t="n">
        <v>75</v>
      </c>
      <c r="D79" s="13">
        <f>'1o Ancestral Bulwark'!M80</f>
        <v/>
      </c>
      <c r="E79" s="13">
        <f>'1o Ancestral Bulwark'!N80</f>
        <v/>
      </c>
      <c r="F79" s="22">
        <f>'1o Ancestral Bulwark'!O80</f>
        <v/>
      </c>
    </row>
    <row r="80">
      <c r="A80" s="13" t="inlineStr">
        <is>
          <t>Ancestral Bulwark</t>
        </is>
      </c>
      <c r="B80" s="38" t="inlineStr">
        <is>
          <t>1o</t>
        </is>
      </c>
      <c r="C80" s="38" t="n">
        <v>76</v>
      </c>
      <c r="D80" s="13">
        <f>'1o Ancestral Bulwark'!M81</f>
        <v/>
      </c>
      <c r="E80" s="13">
        <f>'1o Ancestral Bulwark'!N81</f>
        <v/>
      </c>
      <c r="F80" s="22">
        <f>'1o Ancestral Bulwark'!O81</f>
        <v/>
      </c>
    </row>
    <row r="81">
      <c r="A81" s="13" t="inlineStr">
        <is>
          <t>Ancestral Bulwark</t>
        </is>
      </c>
      <c r="B81" s="38" t="inlineStr">
        <is>
          <t>1o</t>
        </is>
      </c>
      <c r="C81" s="38" t="n">
        <v>77</v>
      </c>
      <c r="D81" s="13">
        <f>'1o Ancestral Bulwark'!M82</f>
        <v/>
      </c>
      <c r="E81" s="13">
        <f>'1o Ancestral Bulwark'!N82</f>
        <v/>
      </c>
      <c r="F81" s="22">
        <f>'1o Ancestral Bulwark'!O82</f>
        <v/>
      </c>
    </row>
    <row r="82">
      <c r="A82" s="13" t="inlineStr">
        <is>
          <t>Ancestral Bulwark</t>
        </is>
      </c>
      <c r="B82" s="38" t="inlineStr">
        <is>
          <t>1o</t>
        </is>
      </c>
      <c r="C82" s="38" t="n">
        <v>78</v>
      </c>
      <c r="D82" s="13">
        <f>'1o Ancestral Bulwark'!M83</f>
        <v/>
      </c>
      <c r="E82" s="13">
        <f>'1o Ancestral Bulwark'!N83</f>
        <v/>
      </c>
      <c r="F82" s="22">
        <f>'1o Ancestral Bulwark'!O83</f>
        <v/>
      </c>
    </row>
    <row r="83">
      <c r="A83" s="13" t="inlineStr">
        <is>
          <t>Ancestral Bulwark</t>
        </is>
      </c>
      <c r="B83" s="38" t="inlineStr">
        <is>
          <t>1o</t>
        </is>
      </c>
      <c r="C83" s="38" t="n">
        <v>79</v>
      </c>
      <c r="D83" s="13">
        <f>'1o Ancestral Bulwark'!M84</f>
        <v/>
      </c>
      <c r="E83" s="13">
        <f>'1o Ancestral Bulwark'!N84</f>
        <v/>
      </c>
      <c r="F83" s="22">
        <f>'1o Ancestral Bulwark'!O84</f>
        <v/>
      </c>
    </row>
    <row r="84">
      <c r="A84" s="13" t="inlineStr">
        <is>
          <t>Ancestral Bulwark</t>
        </is>
      </c>
      <c r="B84" s="38" t="inlineStr">
        <is>
          <t>1o</t>
        </is>
      </c>
      <c r="C84" s="38" t="n">
        <v>80</v>
      </c>
      <c r="D84" s="13">
        <f>'1o Ancestral Bulwark'!M85</f>
        <v/>
      </c>
      <c r="E84" s="13">
        <f>'1o Ancestral Bulwark'!N85</f>
        <v/>
      </c>
      <c r="F84" s="22">
        <f>'1o Ancestral Bulwark'!O85</f>
        <v/>
      </c>
    </row>
    <row r="85">
      <c r="A85" s="13" t="inlineStr">
        <is>
          <t>Ancestral Bulwark</t>
        </is>
      </c>
      <c r="B85" s="38" t="inlineStr">
        <is>
          <t>1o</t>
        </is>
      </c>
      <c r="C85" s="38" t="n">
        <v>81</v>
      </c>
      <c r="D85" s="13">
        <f>'1o Ancestral Bulwark'!M86</f>
        <v/>
      </c>
      <c r="E85" s="13">
        <f>'1o Ancestral Bulwark'!N86</f>
        <v/>
      </c>
      <c r="F85" s="22">
        <f>'1o Ancestral Bulwark'!O86</f>
        <v/>
      </c>
    </row>
    <row r="86">
      <c r="A86" s="13" t="inlineStr">
        <is>
          <t>Ancestral Bulwark</t>
        </is>
      </c>
      <c r="B86" s="38" t="inlineStr">
        <is>
          <t>1o</t>
        </is>
      </c>
      <c r="C86" s="38" t="n">
        <v>82</v>
      </c>
      <c r="D86" s="13">
        <f>'1o Ancestral Bulwark'!M87</f>
        <v/>
      </c>
      <c r="E86" s="13">
        <f>'1o Ancestral Bulwark'!N87</f>
        <v/>
      </c>
      <c r="F86" s="22">
        <f>'1o Ancestral Bulwark'!O87</f>
        <v/>
      </c>
    </row>
    <row r="87">
      <c r="A87" s="13" t="inlineStr">
        <is>
          <t>Ancestral Bulwark</t>
        </is>
      </c>
      <c r="B87" s="38" t="inlineStr">
        <is>
          <t>1o</t>
        </is>
      </c>
      <c r="C87" s="38" t="n">
        <v>83</v>
      </c>
      <c r="D87" s="13">
        <f>'1o Ancestral Bulwark'!M88</f>
        <v/>
      </c>
      <c r="E87" s="13">
        <f>'1o Ancestral Bulwark'!N88</f>
        <v/>
      </c>
      <c r="F87" s="22">
        <f>'1o Ancestral Bulwark'!O88</f>
        <v/>
      </c>
    </row>
    <row r="88">
      <c r="A88" s="13" t="inlineStr">
        <is>
          <t>Ancestral Bulwark</t>
        </is>
      </c>
      <c r="B88" s="38" t="inlineStr">
        <is>
          <t>1o</t>
        </is>
      </c>
      <c r="C88" s="38" t="n">
        <v>84</v>
      </c>
      <c r="D88" s="13">
        <f>'1o Ancestral Bulwark'!M89</f>
        <v/>
      </c>
      <c r="E88" s="13">
        <f>'1o Ancestral Bulwark'!N89</f>
        <v/>
      </c>
      <c r="F88" s="22">
        <f>'1o Ancestral Bulwark'!O89</f>
        <v/>
      </c>
    </row>
    <row r="89">
      <c r="A89" s="13" t="inlineStr">
        <is>
          <t>Ancestral Bulwark</t>
        </is>
      </c>
      <c r="B89" s="38" t="inlineStr">
        <is>
          <t>1o</t>
        </is>
      </c>
      <c r="C89" s="38" t="n">
        <v>85</v>
      </c>
      <c r="D89" s="13">
        <f>'1o Ancestral Bulwark'!M90</f>
        <v/>
      </c>
      <c r="E89" s="13">
        <f>'1o Ancestral Bulwark'!N90</f>
        <v/>
      </c>
      <c r="F89" s="22">
        <f>'1o Ancestral Bulwark'!O90</f>
        <v/>
      </c>
    </row>
    <row r="90">
      <c r="A90" s="13" t="inlineStr">
        <is>
          <t>Ancestral Bulwark</t>
        </is>
      </c>
      <c r="B90" s="38" t="inlineStr">
        <is>
          <t>1o</t>
        </is>
      </c>
      <c r="C90" s="38" t="n">
        <v>86</v>
      </c>
      <c r="D90" s="13">
        <f>'1o Ancestral Bulwark'!M91</f>
        <v/>
      </c>
      <c r="E90" s="13">
        <f>'1o Ancestral Bulwark'!N91</f>
        <v/>
      </c>
      <c r="F90" s="22">
        <f>'1o Ancestral Bulwark'!O91</f>
        <v/>
      </c>
    </row>
    <row r="91">
      <c r="A91" s="13" t="inlineStr">
        <is>
          <t>Ancestral Bulwark</t>
        </is>
      </c>
      <c r="B91" s="38" t="inlineStr">
        <is>
          <t>1o</t>
        </is>
      </c>
      <c r="C91" s="38" t="n">
        <v>87</v>
      </c>
      <c r="D91" s="13">
        <f>'1o Ancestral Bulwark'!M92</f>
        <v/>
      </c>
      <c r="E91" s="13">
        <f>'1o Ancestral Bulwark'!N92</f>
        <v/>
      </c>
      <c r="F91" s="22">
        <f>'1o Ancestral Bulwark'!O92</f>
        <v/>
      </c>
    </row>
    <row r="92">
      <c r="A92" s="13" t="inlineStr">
        <is>
          <t>Ancestral Bulwark</t>
        </is>
      </c>
      <c r="B92" s="38" t="inlineStr">
        <is>
          <t>1o</t>
        </is>
      </c>
      <c r="C92" s="38" t="n">
        <v>88</v>
      </c>
      <c r="D92" s="13">
        <f>'1o Ancestral Bulwark'!M93</f>
        <v/>
      </c>
      <c r="E92" s="13">
        <f>'1o Ancestral Bulwark'!N93</f>
        <v/>
      </c>
      <c r="F92" s="22">
        <f>'1o Ancestral Bulwark'!O93</f>
        <v/>
      </c>
    </row>
    <row r="93">
      <c r="A93" s="13" t="inlineStr">
        <is>
          <t>Ancestral Bulwark</t>
        </is>
      </c>
      <c r="B93" s="38" t="inlineStr">
        <is>
          <t>1o</t>
        </is>
      </c>
      <c r="C93" s="38" t="n">
        <v>89</v>
      </c>
      <c r="D93" s="13">
        <f>'1o Ancestral Bulwark'!M94</f>
        <v/>
      </c>
      <c r="E93" s="13">
        <f>'1o Ancestral Bulwark'!N94</f>
        <v/>
      </c>
      <c r="F93" s="22">
        <f>'1o Ancestral Bulwark'!O94</f>
        <v/>
      </c>
    </row>
    <row r="94">
      <c r="A94" s="13" t="inlineStr">
        <is>
          <t>Ancestral Bulwark</t>
        </is>
      </c>
      <c r="B94" s="38" t="inlineStr">
        <is>
          <t>1o</t>
        </is>
      </c>
      <c r="C94" s="38" t="n">
        <v>90</v>
      </c>
      <c r="D94" s="13">
        <f>'1o Ancestral Bulwark'!M95</f>
        <v/>
      </c>
      <c r="E94" s="13">
        <f>'1o Ancestral Bulwark'!N95</f>
        <v/>
      </c>
      <c r="F94" s="22">
        <f>'1o Ancestral Bulwark'!O95</f>
        <v/>
      </c>
    </row>
    <row r="95">
      <c r="A95" s="13" t="inlineStr">
        <is>
          <t>Ancestral Bulwark</t>
        </is>
      </c>
      <c r="B95" s="38" t="inlineStr">
        <is>
          <t>1o</t>
        </is>
      </c>
      <c r="C95" s="38" t="n">
        <v>91</v>
      </c>
      <c r="D95" s="13">
        <f>'1o Ancestral Bulwark'!M96</f>
        <v/>
      </c>
      <c r="E95" s="13">
        <f>'1o Ancestral Bulwark'!N96</f>
        <v/>
      </c>
      <c r="F95" s="22">
        <f>'1o Ancestral Bulwark'!O96</f>
        <v/>
      </c>
    </row>
    <row r="96">
      <c r="A96" s="13" t="inlineStr">
        <is>
          <t>Ancestral Bulwark</t>
        </is>
      </c>
      <c r="B96" s="38" t="inlineStr">
        <is>
          <t>1o</t>
        </is>
      </c>
      <c r="C96" s="38" t="n">
        <v>92</v>
      </c>
      <c r="D96" s="13">
        <f>'1o Ancestral Bulwark'!M97</f>
        <v/>
      </c>
      <c r="E96" s="13">
        <f>'1o Ancestral Bulwark'!N97</f>
        <v/>
      </c>
      <c r="F96" s="22">
        <f>'1o Ancestral Bulwark'!O97</f>
        <v/>
      </c>
    </row>
    <row r="97">
      <c r="A97" s="13" t="inlineStr">
        <is>
          <t>Ancestral Bulwark</t>
        </is>
      </c>
      <c r="B97" s="38" t="inlineStr">
        <is>
          <t>1o</t>
        </is>
      </c>
      <c r="C97" s="38" t="n">
        <v>93</v>
      </c>
      <c r="D97" s="13">
        <f>'1o Ancestral Bulwark'!M98</f>
        <v/>
      </c>
      <c r="E97" s="13">
        <f>'1o Ancestral Bulwark'!N98</f>
        <v/>
      </c>
      <c r="F97" s="22">
        <f>'1o Ancestral Bulwark'!O98</f>
        <v/>
      </c>
    </row>
    <row r="98">
      <c r="A98" s="13" t="inlineStr">
        <is>
          <t>Ancestral Bulwark</t>
        </is>
      </c>
      <c r="B98" s="38" t="inlineStr">
        <is>
          <t>1o</t>
        </is>
      </c>
      <c r="C98" s="38" t="n">
        <v>94</v>
      </c>
      <c r="D98" s="13">
        <f>'1o Ancestral Bulwark'!M99</f>
        <v/>
      </c>
      <c r="E98" s="13">
        <f>'1o Ancestral Bulwark'!N99</f>
        <v/>
      </c>
      <c r="F98" s="22">
        <f>'1o Ancestral Bulwark'!O99</f>
        <v/>
      </c>
    </row>
    <row r="99">
      <c r="A99" s="13" t="inlineStr">
        <is>
          <t>Ancestral Bulwark</t>
        </is>
      </c>
      <c r="B99" s="38" t="inlineStr">
        <is>
          <t>1o</t>
        </is>
      </c>
      <c r="C99" s="38" t="n">
        <v>95</v>
      </c>
      <c r="D99" s="13">
        <f>'1o Ancestral Bulwark'!M100</f>
        <v/>
      </c>
      <c r="E99" s="13">
        <f>'1o Ancestral Bulwark'!N100</f>
        <v/>
      </c>
      <c r="F99" s="22">
        <f>'1o Ancestral Bulwark'!O100</f>
        <v/>
      </c>
    </row>
    <row r="100">
      <c r="A100" s="13" t="inlineStr">
        <is>
          <t>Ancestral Bulwark</t>
        </is>
      </c>
      <c r="B100" s="38" t="inlineStr">
        <is>
          <t>1o</t>
        </is>
      </c>
      <c r="C100" s="38" t="n">
        <v>96</v>
      </c>
      <c r="D100" s="13">
        <f>'1o Ancestral Bulwark'!M101</f>
        <v/>
      </c>
      <c r="E100" s="13">
        <f>'1o Ancestral Bulwark'!N101</f>
        <v/>
      </c>
      <c r="F100" s="22">
        <f>'1o Ancestral Bulwark'!O101</f>
        <v/>
      </c>
    </row>
    <row r="101">
      <c r="A101" s="13" t="inlineStr">
        <is>
          <t>Ancestral Bulwark</t>
        </is>
      </c>
      <c r="B101" s="38" t="inlineStr">
        <is>
          <t>1o</t>
        </is>
      </c>
      <c r="C101" s="38" t="n">
        <v>97</v>
      </c>
      <c r="D101" s="13">
        <f>'1o Ancestral Bulwark'!M102</f>
        <v/>
      </c>
      <c r="E101" s="13">
        <f>'1o Ancestral Bulwark'!N102</f>
        <v/>
      </c>
      <c r="F101" s="22">
        <f>'1o Ancestral Bulwark'!O102</f>
        <v/>
      </c>
    </row>
    <row r="102">
      <c r="A102" s="13" t="inlineStr">
        <is>
          <t>Ancestral Bulwark</t>
        </is>
      </c>
      <c r="B102" s="38" t="inlineStr">
        <is>
          <t>1o</t>
        </is>
      </c>
      <c r="C102" s="38" t="n">
        <v>98</v>
      </c>
      <c r="D102" s="13">
        <f>'1o Ancestral Bulwark'!M103</f>
        <v/>
      </c>
      <c r="E102" s="13">
        <f>'1o Ancestral Bulwark'!N103</f>
        <v/>
      </c>
      <c r="F102" s="22">
        <f>'1o Ancestral Bulwark'!O103</f>
        <v/>
      </c>
    </row>
    <row r="103">
      <c r="A103" s="13" t="inlineStr">
        <is>
          <t>Ancestral Bulwark</t>
        </is>
      </c>
      <c r="B103" s="38" t="inlineStr">
        <is>
          <t>1o</t>
        </is>
      </c>
      <c r="C103" s="38" t="n">
        <v>99</v>
      </c>
      <c r="D103" s="13">
        <f>'1o Ancestral Bulwark'!M104</f>
        <v/>
      </c>
      <c r="E103" s="13">
        <f>'1o Ancestral Bulwark'!N104</f>
        <v/>
      </c>
      <c r="F103" s="22">
        <f>'1o Ancestral Bulwark'!O104</f>
        <v/>
      </c>
    </row>
    <row r="104">
      <c r="A104" s="13" t="inlineStr">
        <is>
          <t>Ancestral Bulwark</t>
        </is>
      </c>
      <c r="B104" s="38" t="inlineStr">
        <is>
          <t>1o</t>
        </is>
      </c>
      <c r="C104" s="38" t="n">
        <v>100</v>
      </c>
      <c r="D104" s="13">
        <f>'1o Ancestral Bulwark'!M105</f>
        <v/>
      </c>
      <c r="E104" s="13">
        <f>'1o Ancestral Bulwark'!N105</f>
        <v/>
      </c>
      <c r="F104" s="22">
        <f>'1o Ancestral Bulwark'!O105</f>
        <v/>
      </c>
    </row>
    <row r="105">
      <c r="A105" s="13" t="inlineStr">
        <is>
          <t>Proliferate Council</t>
        </is>
      </c>
      <c r="B105" s="38" t="inlineStr">
        <is>
          <t>2c</t>
        </is>
      </c>
      <c r="C105" s="38" t="n">
        <v>1</v>
      </c>
      <c r="D105" s="13">
        <f>'2c Proliferate Council'!K6</f>
        <v/>
      </c>
      <c r="E105" s="13">
        <f>'2c Proliferate Council'!L6</f>
        <v/>
      </c>
      <c r="F105" s="22">
        <f>'2c Proliferate Council'!M6</f>
        <v/>
      </c>
    </row>
    <row r="106">
      <c r="A106" s="13" t="inlineStr">
        <is>
          <t>Proliferate Council</t>
        </is>
      </c>
      <c r="B106" s="38" t="inlineStr">
        <is>
          <t>2c</t>
        </is>
      </c>
      <c r="C106" s="38" t="n">
        <v>2</v>
      </c>
      <c r="D106" s="13">
        <f>'2c Proliferate Council'!K7</f>
        <v/>
      </c>
      <c r="E106" s="13">
        <f>'2c Proliferate Council'!L7</f>
        <v/>
      </c>
      <c r="F106" s="22">
        <f>'2c Proliferate Council'!M7</f>
        <v/>
      </c>
    </row>
    <row r="107">
      <c r="A107" s="13" t="inlineStr">
        <is>
          <t>Proliferate Council</t>
        </is>
      </c>
      <c r="B107" s="38" t="inlineStr">
        <is>
          <t>2c</t>
        </is>
      </c>
      <c r="C107" s="38" t="n">
        <v>3</v>
      </c>
      <c r="D107" s="13">
        <f>'2c Proliferate Council'!K8</f>
        <v/>
      </c>
      <c r="E107" s="13">
        <f>'2c Proliferate Council'!L8</f>
        <v/>
      </c>
      <c r="F107" s="22">
        <f>'2c Proliferate Council'!M8</f>
        <v/>
      </c>
    </row>
    <row r="108">
      <c r="A108" s="13" t="inlineStr">
        <is>
          <t>Proliferate Council</t>
        </is>
      </c>
      <c r="B108" s="38" t="inlineStr">
        <is>
          <t>2c</t>
        </is>
      </c>
      <c r="C108" s="38" t="n">
        <v>4</v>
      </c>
      <c r="D108" s="13">
        <f>'2c Proliferate Council'!K9</f>
        <v/>
      </c>
      <c r="E108" s="13">
        <f>'2c Proliferate Council'!L9</f>
        <v/>
      </c>
      <c r="F108" s="22">
        <f>'2c Proliferate Council'!M9</f>
        <v/>
      </c>
    </row>
    <row r="109">
      <c r="A109" s="13" t="inlineStr">
        <is>
          <t>Proliferate Council</t>
        </is>
      </c>
      <c r="B109" s="38" t="inlineStr">
        <is>
          <t>2c</t>
        </is>
      </c>
      <c r="C109" s="38" t="n">
        <v>5</v>
      </c>
      <c r="D109" s="13">
        <f>'2c Proliferate Council'!K10</f>
        <v/>
      </c>
      <c r="E109" s="13">
        <f>'2c Proliferate Council'!L10</f>
        <v/>
      </c>
      <c r="F109" s="22">
        <f>'2c Proliferate Council'!M10</f>
        <v/>
      </c>
    </row>
    <row r="110">
      <c r="A110" s="13" t="inlineStr">
        <is>
          <t>Proliferate Council</t>
        </is>
      </c>
      <c r="B110" s="38" t="inlineStr">
        <is>
          <t>2c</t>
        </is>
      </c>
      <c r="C110" s="38" t="n">
        <v>6</v>
      </c>
      <c r="D110" s="13">
        <f>'2c Proliferate Council'!K11</f>
        <v/>
      </c>
      <c r="E110" s="13">
        <f>'2c Proliferate Council'!L11</f>
        <v/>
      </c>
      <c r="F110" s="22">
        <f>'2c Proliferate Council'!M11</f>
        <v/>
      </c>
    </row>
    <row r="111">
      <c r="A111" s="13" t="inlineStr">
        <is>
          <t>Proliferate Council</t>
        </is>
      </c>
      <c r="B111" s="38" t="inlineStr">
        <is>
          <t>2c</t>
        </is>
      </c>
      <c r="C111" s="38" t="n">
        <v>7</v>
      </c>
      <c r="D111" s="13">
        <f>'2c Proliferate Council'!K12</f>
        <v/>
      </c>
      <c r="E111" s="13">
        <f>'2c Proliferate Council'!L12</f>
        <v/>
      </c>
      <c r="F111" s="22">
        <f>'2c Proliferate Council'!M12</f>
        <v/>
      </c>
    </row>
    <row r="112">
      <c r="A112" s="13" t="inlineStr">
        <is>
          <t>Proliferate Council</t>
        </is>
      </c>
      <c r="B112" s="38" t="inlineStr">
        <is>
          <t>2c</t>
        </is>
      </c>
      <c r="C112" s="38" t="n">
        <v>8</v>
      </c>
      <c r="D112" s="13">
        <f>'2c Proliferate Council'!K13</f>
        <v/>
      </c>
      <c r="E112" s="13">
        <f>'2c Proliferate Council'!L13</f>
        <v/>
      </c>
      <c r="F112" s="22">
        <f>'2c Proliferate Council'!M13</f>
        <v/>
      </c>
    </row>
    <row r="113">
      <c r="A113" s="13" t="inlineStr">
        <is>
          <t>Proliferate Council</t>
        </is>
      </c>
      <c r="B113" s="38" t="inlineStr">
        <is>
          <t>2c</t>
        </is>
      </c>
      <c r="C113" s="38" t="n">
        <v>9</v>
      </c>
      <c r="D113" s="13">
        <f>'2c Proliferate Council'!K14</f>
        <v/>
      </c>
      <c r="E113" s="13">
        <f>'2c Proliferate Council'!L14</f>
        <v/>
      </c>
      <c r="F113" s="22">
        <f>'2c Proliferate Council'!M14</f>
        <v/>
      </c>
    </row>
    <row r="114">
      <c r="A114" s="13" t="inlineStr">
        <is>
          <t>Proliferate Council</t>
        </is>
      </c>
      <c r="B114" s="38" t="inlineStr">
        <is>
          <t>2c</t>
        </is>
      </c>
      <c r="C114" s="38" t="n">
        <v>10</v>
      </c>
      <c r="D114" s="13">
        <f>'2c Proliferate Council'!K15</f>
        <v/>
      </c>
      <c r="E114" s="13">
        <f>'2c Proliferate Council'!L15</f>
        <v/>
      </c>
      <c r="F114" s="22">
        <f>'2c Proliferate Council'!M15</f>
        <v/>
      </c>
    </row>
    <row r="115">
      <c r="A115" s="13" t="inlineStr">
        <is>
          <t>Proliferate Council</t>
        </is>
      </c>
      <c r="B115" s="38" t="inlineStr">
        <is>
          <t>2c</t>
        </is>
      </c>
      <c r="C115" s="38" t="n">
        <v>11</v>
      </c>
      <c r="D115" s="13">
        <f>'2c Proliferate Council'!K16</f>
        <v/>
      </c>
      <c r="E115" s="13">
        <f>'2c Proliferate Council'!L16</f>
        <v/>
      </c>
      <c r="F115" s="22">
        <f>'2c Proliferate Council'!M16</f>
        <v/>
      </c>
    </row>
    <row r="116">
      <c r="A116" s="13" t="inlineStr">
        <is>
          <t>Proliferate Council</t>
        </is>
      </c>
      <c r="B116" s="38" t="inlineStr">
        <is>
          <t>2c</t>
        </is>
      </c>
      <c r="C116" s="38" t="n">
        <v>12</v>
      </c>
      <c r="D116" s="13">
        <f>'2c Proliferate Council'!K17</f>
        <v/>
      </c>
      <c r="E116" s="13">
        <f>'2c Proliferate Council'!L17</f>
        <v/>
      </c>
      <c r="F116" s="22">
        <f>'2c Proliferate Council'!M17</f>
        <v/>
      </c>
    </row>
    <row r="117">
      <c r="A117" s="13" t="inlineStr">
        <is>
          <t>Proliferate Council</t>
        </is>
      </c>
      <c r="B117" s="38" t="inlineStr">
        <is>
          <t>2c</t>
        </is>
      </c>
      <c r="C117" s="38" t="n">
        <v>13</v>
      </c>
      <c r="D117" s="13">
        <f>'2c Proliferate Council'!K18</f>
        <v/>
      </c>
      <c r="E117" s="13">
        <f>'2c Proliferate Council'!L18</f>
        <v/>
      </c>
      <c r="F117" s="22">
        <f>'2c Proliferate Council'!M18</f>
        <v/>
      </c>
    </row>
    <row r="118">
      <c r="A118" s="13" t="inlineStr">
        <is>
          <t>Proliferate Council</t>
        </is>
      </c>
      <c r="B118" s="38" t="inlineStr">
        <is>
          <t>2c</t>
        </is>
      </c>
      <c r="C118" s="38" t="n">
        <v>14</v>
      </c>
      <c r="D118" s="13">
        <f>'2c Proliferate Council'!K19</f>
        <v/>
      </c>
      <c r="E118" s="13">
        <f>'2c Proliferate Council'!L19</f>
        <v/>
      </c>
      <c r="F118" s="22">
        <f>'2c Proliferate Council'!M19</f>
        <v/>
      </c>
    </row>
    <row r="119">
      <c r="A119" s="13" t="inlineStr">
        <is>
          <t>Proliferate Council</t>
        </is>
      </c>
      <c r="B119" s="38" t="inlineStr">
        <is>
          <t>2c</t>
        </is>
      </c>
      <c r="C119" s="38" t="n">
        <v>15</v>
      </c>
      <c r="D119" s="13">
        <f>'2c Proliferate Council'!K20</f>
        <v/>
      </c>
      <c r="E119" s="13">
        <f>'2c Proliferate Council'!L20</f>
        <v/>
      </c>
      <c r="F119" s="22">
        <f>'2c Proliferate Council'!M20</f>
        <v/>
      </c>
    </row>
    <row r="120">
      <c r="A120" s="13" t="inlineStr">
        <is>
          <t>Proliferate Council</t>
        </is>
      </c>
      <c r="B120" s="38" t="inlineStr">
        <is>
          <t>2c</t>
        </is>
      </c>
      <c r="C120" s="38" t="n">
        <v>16</v>
      </c>
      <c r="D120" s="13">
        <f>'2c Proliferate Council'!K21</f>
        <v/>
      </c>
      <c r="E120" s="13">
        <f>'2c Proliferate Council'!L21</f>
        <v/>
      </c>
      <c r="F120" s="22">
        <f>'2c Proliferate Council'!M21</f>
        <v/>
      </c>
    </row>
    <row r="121">
      <c r="A121" s="13" t="inlineStr">
        <is>
          <t>Proliferate Council</t>
        </is>
      </c>
      <c r="B121" s="38" t="inlineStr">
        <is>
          <t>2c</t>
        </is>
      </c>
      <c r="C121" s="38" t="n">
        <v>17</v>
      </c>
      <c r="D121" s="13">
        <f>'2c Proliferate Council'!K22</f>
        <v/>
      </c>
      <c r="E121" s="13">
        <f>'2c Proliferate Council'!L22</f>
        <v/>
      </c>
      <c r="F121" s="22">
        <f>'2c Proliferate Council'!M22</f>
        <v/>
      </c>
    </row>
    <row r="122">
      <c r="A122" s="13" t="inlineStr">
        <is>
          <t>Proliferate Council</t>
        </is>
      </c>
      <c r="B122" s="38" t="inlineStr">
        <is>
          <t>2c</t>
        </is>
      </c>
      <c r="C122" s="38" t="n">
        <v>18</v>
      </c>
      <c r="D122" s="13">
        <f>'2c Proliferate Council'!K23</f>
        <v/>
      </c>
      <c r="E122" s="13">
        <f>'2c Proliferate Council'!L23</f>
        <v/>
      </c>
      <c r="F122" s="22">
        <f>'2c Proliferate Council'!M23</f>
        <v/>
      </c>
    </row>
    <row r="123">
      <c r="A123" s="13" t="inlineStr">
        <is>
          <t>Proliferate Council</t>
        </is>
      </c>
      <c r="B123" s="38" t="inlineStr">
        <is>
          <t>2c</t>
        </is>
      </c>
      <c r="C123" s="38" t="n">
        <v>19</v>
      </c>
      <c r="D123" s="13">
        <f>'2c Proliferate Council'!K24</f>
        <v/>
      </c>
      <c r="E123" s="13">
        <f>'2c Proliferate Council'!L24</f>
        <v/>
      </c>
      <c r="F123" s="22">
        <f>'2c Proliferate Council'!M24</f>
        <v/>
      </c>
    </row>
    <row r="124">
      <c r="A124" s="13" t="inlineStr">
        <is>
          <t>Proliferate Council</t>
        </is>
      </c>
      <c r="B124" s="38" t="inlineStr">
        <is>
          <t>2c</t>
        </is>
      </c>
      <c r="C124" s="38" t="n">
        <v>20</v>
      </c>
      <c r="D124" s="13">
        <f>'2c Proliferate Council'!K25</f>
        <v/>
      </c>
      <c r="E124" s="13">
        <f>'2c Proliferate Council'!L25</f>
        <v/>
      </c>
      <c r="F124" s="22">
        <f>'2c Proliferate Council'!M25</f>
        <v/>
      </c>
    </row>
    <row r="125">
      <c r="A125" s="13" t="inlineStr">
        <is>
          <t>Proliferate Council</t>
        </is>
      </c>
      <c r="B125" s="38" t="inlineStr">
        <is>
          <t>2c</t>
        </is>
      </c>
      <c r="C125" s="38" t="n">
        <v>21</v>
      </c>
      <c r="D125" s="13">
        <f>'2c Proliferate Council'!K26</f>
        <v/>
      </c>
      <c r="E125" s="13">
        <f>'2c Proliferate Council'!L26</f>
        <v/>
      </c>
      <c r="F125" s="22">
        <f>'2c Proliferate Council'!M26</f>
        <v/>
      </c>
    </row>
    <row r="126">
      <c r="A126" s="13" t="inlineStr">
        <is>
          <t>Proliferate Council</t>
        </is>
      </c>
      <c r="B126" s="38" t="inlineStr">
        <is>
          <t>2c</t>
        </is>
      </c>
      <c r="C126" s="38" t="n">
        <v>22</v>
      </c>
      <c r="D126" s="13">
        <f>'2c Proliferate Council'!K27</f>
        <v/>
      </c>
      <c r="E126" s="13">
        <f>'2c Proliferate Council'!L27</f>
        <v/>
      </c>
      <c r="F126" s="22">
        <f>'2c Proliferate Council'!M27</f>
        <v/>
      </c>
    </row>
    <row r="127">
      <c r="A127" s="13" t="inlineStr">
        <is>
          <t>Proliferate Council</t>
        </is>
      </c>
      <c r="B127" s="38" t="inlineStr">
        <is>
          <t>2c</t>
        </is>
      </c>
      <c r="C127" s="38" t="n">
        <v>23</v>
      </c>
      <c r="D127" s="13">
        <f>'2c Proliferate Council'!K28</f>
        <v/>
      </c>
      <c r="E127" s="13">
        <f>'2c Proliferate Council'!L28</f>
        <v/>
      </c>
      <c r="F127" s="22">
        <f>'2c Proliferate Council'!M28</f>
        <v/>
      </c>
    </row>
    <row r="128">
      <c r="A128" s="13" t="inlineStr">
        <is>
          <t>Proliferate Council</t>
        </is>
      </c>
      <c r="B128" s="38" t="inlineStr">
        <is>
          <t>2c</t>
        </is>
      </c>
      <c r="C128" s="38" t="n">
        <v>24</v>
      </c>
      <c r="D128" s="13">
        <f>'2c Proliferate Council'!K29</f>
        <v/>
      </c>
      <c r="E128" s="13">
        <f>'2c Proliferate Council'!L29</f>
        <v/>
      </c>
      <c r="F128" s="22">
        <f>'2c Proliferate Council'!M29</f>
        <v/>
      </c>
    </row>
    <row r="129">
      <c r="A129" s="13" t="inlineStr">
        <is>
          <t>Proliferate Council</t>
        </is>
      </c>
      <c r="B129" s="38" t="inlineStr">
        <is>
          <t>2c</t>
        </is>
      </c>
      <c r="C129" s="38" t="n">
        <v>25</v>
      </c>
      <c r="D129" s="13">
        <f>'2c Proliferate Council'!K30</f>
        <v/>
      </c>
      <c r="E129" s="13">
        <f>'2c Proliferate Council'!L30</f>
        <v/>
      </c>
      <c r="F129" s="22">
        <f>'2c Proliferate Council'!M30</f>
        <v/>
      </c>
    </row>
    <row r="130">
      <c r="A130" s="13" t="inlineStr">
        <is>
          <t>Proliferate Council</t>
        </is>
      </c>
      <c r="B130" s="38" t="inlineStr">
        <is>
          <t>2c</t>
        </is>
      </c>
      <c r="C130" s="38" t="n">
        <v>26</v>
      </c>
      <c r="D130" s="13">
        <f>'2c Proliferate Council'!K31</f>
        <v/>
      </c>
      <c r="E130" s="13">
        <f>'2c Proliferate Council'!L31</f>
        <v/>
      </c>
      <c r="F130" s="22">
        <f>'2c Proliferate Council'!M31</f>
        <v/>
      </c>
    </row>
    <row r="131">
      <c r="A131" s="13" t="inlineStr">
        <is>
          <t>Proliferate Council</t>
        </is>
      </c>
      <c r="B131" s="38" t="inlineStr">
        <is>
          <t>2c</t>
        </is>
      </c>
      <c r="C131" s="38" t="n">
        <v>27</v>
      </c>
      <c r="D131" s="13">
        <f>'2c Proliferate Council'!K32</f>
        <v/>
      </c>
      <c r="E131" s="13">
        <f>'2c Proliferate Council'!L32</f>
        <v/>
      </c>
      <c r="F131" s="22">
        <f>'2c Proliferate Council'!M32</f>
        <v/>
      </c>
    </row>
    <row r="132">
      <c r="A132" s="13" t="inlineStr">
        <is>
          <t>Proliferate Council</t>
        </is>
      </c>
      <c r="B132" s="38" t="inlineStr">
        <is>
          <t>2c</t>
        </is>
      </c>
      <c r="C132" s="38" t="n">
        <v>28</v>
      </c>
      <c r="D132" s="13">
        <f>'2c Proliferate Council'!K33</f>
        <v/>
      </c>
      <c r="E132" s="13">
        <f>'2c Proliferate Council'!L33</f>
        <v/>
      </c>
      <c r="F132" s="22">
        <f>'2c Proliferate Council'!M33</f>
        <v/>
      </c>
    </row>
    <row r="133">
      <c r="A133" s="13" t="inlineStr">
        <is>
          <t>Proliferate Council</t>
        </is>
      </c>
      <c r="B133" s="38" t="inlineStr">
        <is>
          <t>2c</t>
        </is>
      </c>
      <c r="C133" s="38" t="n">
        <v>29</v>
      </c>
      <c r="D133" s="13">
        <f>'2c Proliferate Council'!K34</f>
        <v/>
      </c>
      <c r="E133" s="13">
        <f>'2c Proliferate Council'!L34</f>
        <v/>
      </c>
      <c r="F133" s="22">
        <f>'2c Proliferate Council'!M34</f>
        <v/>
      </c>
    </row>
    <row r="134">
      <c r="A134" s="13" t="inlineStr">
        <is>
          <t>Proliferate Council</t>
        </is>
      </c>
      <c r="B134" s="38" t="inlineStr">
        <is>
          <t>2c</t>
        </is>
      </c>
      <c r="C134" s="38" t="n">
        <v>30</v>
      </c>
      <c r="D134" s="13">
        <f>'2c Proliferate Council'!K35</f>
        <v/>
      </c>
      <c r="E134" s="13">
        <f>'2c Proliferate Council'!L35</f>
        <v/>
      </c>
      <c r="F134" s="22">
        <f>'2c Proliferate Council'!M35</f>
        <v/>
      </c>
    </row>
    <row r="135">
      <c r="A135" s="13" t="inlineStr">
        <is>
          <t>Proliferate Council</t>
        </is>
      </c>
      <c r="B135" s="38" t="inlineStr">
        <is>
          <t>2c</t>
        </is>
      </c>
      <c r="C135" s="38" t="n">
        <v>31</v>
      </c>
      <c r="D135" s="13">
        <f>'2c Proliferate Council'!K36</f>
        <v/>
      </c>
      <c r="E135" s="13">
        <f>'2c Proliferate Council'!L36</f>
        <v/>
      </c>
      <c r="F135" s="22">
        <f>'2c Proliferate Council'!M36</f>
        <v/>
      </c>
    </row>
    <row r="136">
      <c r="A136" s="13" t="inlineStr">
        <is>
          <t>Proliferate Council</t>
        </is>
      </c>
      <c r="B136" s="38" t="inlineStr">
        <is>
          <t>2c</t>
        </is>
      </c>
      <c r="C136" s="38" t="n">
        <v>32</v>
      </c>
      <c r="D136" s="13">
        <f>'2c Proliferate Council'!K37</f>
        <v/>
      </c>
      <c r="E136" s="13">
        <f>'2c Proliferate Council'!L37</f>
        <v/>
      </c>
      <c r="F136" s="22">
        <f>'2c Proliferate Council'!M37</f>
        <v/>
      </c>
    </row>
    <row r="137">
      <c r="A137" s="13" t="inlineStr">
        <is>
          <t>Proliferate Council</t>
        </is>
      </c>
      <c r="B137" s="38" t="inlineStr">
        <is>
          <t>2c</t>
        </is>
      </c>
      <c r="C137" s="38" t="n">
        <v>33</v>
      </c>
      <c r="D137" s="13">
        <f>'2c Proliferate Council'!K38</f>
        <v/>
      </c>
      <c r="E137" s="13">
        <f>'2c Proliferate Council'!L38</f>
        <v/>
      </c>
      <c r="F137" s="22">
        <f>'2c Proliferate Council'!M38</f>
        <v/>
      </c>
    </row>
    <row r="138">
      <c r="A138" s="13" t="inlineStr">
        <is>
          <t>Proliferate Council</t>
        </is>
      </c>
      <c r="B138" s="38" t="inlineStr">
        <is>
          <t>2c</t>
        </is>
      </c>
      <c r="C138" s="38" t="n">
        <v>34</v>
      </c>
      <c r="D138" s="13">
        <f>'2c Proliferate Council'!K39</f>
        <v/>
      </c>
      <c r="E138" s="13">
        <f>'2c Proliferate Council'!L39</f>
        <v/>
      </c>
      <c r="F138" s="22">
        <f>'2c Proliferate Council'!M39</f>
        <v/>
      </c>
    </row>
    <row r="139">
      <c r="A139" s="13" t="inlineStr">
        <is>
          <t>Proliferate Council</t>
        </is>
      </c>
      <c r="B139" s="38" t="inlineStr">
        <is>
          <t>2c</t>
        </is>
      </c>
      <c r="C139" s="38" t="n">
        <v>35</v>
      </c>
      <c r="D139" s="13">
        <f>'2c Proliferate Council'!K40</f>
        <v/>
      </c>
      <c r="E139" s="13">
        <f>'2c Proliferate Council'!L40</f>
        <v/>
      </c>
      <c r="F139" s="22">
        <f>'2c Proliferate Council'!M40</f>
        <v/>
      </c>
    </row>
    <row r="140">
      <c r="A140" s="13" t="inlineStr">
        <is>
          <t>Proliferate Council</t>
        </is>
      </c>
      <c r="B140" s="38" t="inlineStr">
        <is>
          <t>2c</t>
        </is>
      </c>
      <c r="C140" s="38" t="n">
        <v>36</v>
      </c>
      <c r="D140" s="13">
        <f>'2c Proliferate Council'!K41</f>
        <v/>
      </c>
      <c r="E140" s="13">
        <f>'2c Proliferate Council'!L41</f>
        <v/>
      </c>
      <c r="F140" s="22">
        <f>'2c Proliferate Council'!M41</f>
        <v/>
      </c>
    </row>
    <row r="141">
      <c r="A141" s="13" t="inlineStr">
        <is>
          <t>Proliferate Council</t>
        </is>
      </c>
      <c r="B141" s="38" t="inlineStr">
        <is>
          <t>2c</t>
        </is>
      </c>
      <c r="C141" s="38" t="n">
        <v>37</v>
      </c>
      <c r="D141" s="13">
        <f>'2c Proliferate Council'!K42</f>
        <v/>
      </c>
      <c r="E141" s="13">
        <f>'2c Proliferate Council'!L42</f>
        <v/>
      </c>
      <c r="F141" s="22">
        <f>'2c Proliferate Council'!M42</f>
        <v/>
      </c>
    </row>
    <row r="142">
      <c r="A142" s="13" t="inlineStr">
        <is>
          <t>Proliferate Council</t>
        </is>
      </c>
      <c r="B142" s="38" t="inlineStr">
        <is>
          <t>2c</t>
        </is>
      </c>
      <c r="C142" s="38" t="n">
        <v>38</v>
      </c>
      <c r="D142" s="13">
        <f>'2c Proliferate Council'!K43</f>
        <v/>
      </c>
      <c r="E142" s="13">
        <f>'2c Proliferate Council'!L43</f>
        <v/>
      </c>
      <c r="F142" s="22">
        <f>'2c Proliferate Council'!M43</f>
        <v/>
      </c>
    </row>
    <row r="143">
      <c r="A143" s="13" t="inlineStr">
        <is>
          <t>Proliferate Council</t>
        </is>
      </c>
      <c r="B143" s="38" t="inlineStr">
        <is>
          <t>2c</t>
        </is>
      </c>
      <c r="C143" s="38" t="n">
        <v>39</v>
      </c>
      <c r="D143" s="13">
        <f>'2c Proliferate Council'!K44</f>
        <v/>
      </c>
      <c r="E143" s="13">
        <f>'2c Proliferate Council'!L44</f>
        <v/>
      </c>
      <c r="F143" s="22">
        <f>'2c Proliferate Council'!M44</f>
        <v/>
      </c>
    </row>
    <row r="144">
      <c r="A144" s="13" t="inlineStr">
        <is>
          <t>Proliferate Council</t>
        </is>
      </c>
      <c r="B144" s="38" t="inlineStr">
        <is>
          <t>2c</t>
        </is>
      </c>
      <c r="C144" s="38" t="n">
        <v>40</v>
      </c>
      <c r="D144" s="13">
        <f>'2c Proliferate Council'!K45</f>
        <v/>
      </c>
      <c r="E144" s="13">
        <f>'2c Proliferate Council'!L45</f>
        <v/>
      </c>
      <c r="F144" s="22">
        <f>'2c Proliferate Council'!M45</f>
        <v/>
      </c>
    </row>
    <row r="145">
      <c r="A145" s="13" t="inlineStr">
        <is>
          <t>Proliferate Council</t>
        </is>
      </c>
      <c r="B145" s="38" t="inlineStr">
        <is>
          <t>2c</t>
        </is>
      </c>
      <c r="C145" s="38" t="n">
        <v>41</v>
      </c>
      <c r="D145" s="13">
        <f>'2c Proliferate Council'!K46</f>
        <v/>
      </c>
      <c r="E145" s="13">
        <f>'2c Proliferate Council'!L46</f>
        <v/>
      </c>
      <c r="F145" s="22">
        <f>'2c Proliferate Council'!M46</f>
        <v/>
      </c>
    </row>
    <row r="146">
      <c r="A146" s="13" t="inlineStr">
        <is>
          <t>Proliferate Council</t>
        </is>
      </c>
      <c r="B146" s="38" t="inlineStr">
        <is>
          <t>2c</t>
        </is>
      </c>
      <c r="C146" s="38" t="n">
        <v>42</v>
      </c>
      <c r="D146" s="13">
        <f>'2c Proliferate Council'!K47</f>
        <v/>
      </c>
      <c r="E146" s="13">
        <f>'2c Proliferate Council'!L47</f>
        <v/>
      </c>
      <c r="F146" s="22">
        <f>'2c Proliferate Council'!M47</f>
        <v/>
      </c>
    </row>
    <row r="147">
      <c r="A147" s="13" t="inlineStr">
        <is>
          <t>Proliferate Council</t>
        </is>
      </c>
      <c r="B147" s="38" t="inlineStr">
        <is>
          <t>2c</t>
        </is>
      </c>
      <c r="C147" s="38" t="n">
        <v>43</v>
      </c>
      <c r="D147" s="13">
        <f>'2c Proliferate Council'!K48</f>
        <v/>
      </c>
      <c r="E147" s="13">
        <f>'2c Proliferate Council'!L48</f>
        <v/>
      </c>
      <c r="F147" s="22">
        <f>'2c Proliferate Council'!M48</f>
        <v/>
      </c>
    </row>
    <row r="148">
      <c r="A148" s="13" t="inlineStr">
        <is>
          <t>Proliferate Council</t>
        </is>
      </c>
      <c r="B148" s="38" t="inlineStr">
        <is>
          <t>2c</t>
        </is>
      </c>
      <c r="C148" s="38" t="n">
        <v>44</v>
      </c>
      <c r="D148" s="13">
        <f>'2c Proliferate Council'!K49</f>
        <v/>
      </c>
      <c r="E148" s="13">
        <f>'2c Proliferate Council'!L49</f>
        <v/>
      </c>
      <c r="F148" s="22">
        <f>'2c Proliferate Council'!M49</f>
        <v/>
      </c>
    </row>
    <row r="149">
      <c r="A149" s="13" t="inlineStr">
        <is>
          <t>Proliferate Council</t>
        </is>
      </c>
      <c r="B149" s="38" t="inlineStr">
        <is>
          <t>2c</t>
        </is>
      </c>
      <c r="C149" s="38" t="n">
        <v>45</v>
      </c>
      <c r="D149" s="13">
        <f>'2c Proliferate Council'!K50</f>
        <v/>
      </c>
      <c r="E149" s="13">
        <f>'2c Proliferate Council'!L50</f>
        <v/>
      </c>
      <c r="F149" s="22">
        <f>'2c Proliferate Council'!M50</f>
        <v/>
      </c>
    </row>
    <row r="150">
      <c r="A150" s="13" t="inlineStr">
        <is>
          <t>Proliferate Council</t>
        </is>
      </c>
      <c r="B150" s="38" t="inlineStr">
        <is>
          <t>2c</t>
        </is>
      </c>
      <c r="C150" s="38" t="n">
        <v>46</v>
      </c>
      <c r="D150" s="13">
        <f>'2c Proliferate Council'!K51</f>
        <v/>
      </c>
      <c r="E150" s="13">
        <f>'2c Proliferate Council'!L51</f>
        <v/>
      </c>
      <c r="F150" s="22">
        <f>'2c Proliferate Council'!M51</f>
        <v/>
      </c>
    </row>
    <row r="151">
      <c r="A151" s="13" t="inlineStr">
        <is>
          <t>Proliferate Council</t>
        </is>
      </c>
      <c r="B151" s="38" t="inlineStr">
        <is>
          <t>2c</t>
        </is>
      </c>
      <c r="C151" s="38" t="n">
        <v>47</v>
      </c>
      <c r="D151" s="13">
        <f>'2c Proliferate Council'!K52</f>
        <v/>
      </c>
      <c r="E151" s="13">
        <f>'2c Proliferate Council'!L52</f>
        <v/>
      </c>
      <c r="F151" s="22">
        <f>'2c Proliferate Council'!M52</f>
        <v/>
      </c>
    </row>
    <row r="152">
      <c r="A152" s="13" t="inlineStr">
        <is>
          <t>Proliferate Council</t>
        </is>
      </c>
      <c r="B152" s="38" t="inlineStr">
        <is>
          <t>2c</t>
        </is>
      </c>
      <c r="C152" s="38" t="n">
        <v>48</v>
      </c>
      <c r="D152" s="13">
        <f>'2c Proliferate Council'!K53</f>
        <v/>
      </c>
      <c r="E152" s="13">
        <f>'2c Proliferate Council'!L53</f>
        <v/>
      </c>
      <c r="F152" s="22">
        <f>'2c Proliferate Council'!M53</f>
        <v/>
      </c>
    </row>
    <row r="153">
      <c r="A153" s="13" t="inlineStr">
        <is>
          <t>Proliferate Council</t>
        </is>
      </c>
      <c r="B153" s="38" t="inlineStr">
        <is>
          <t>2c</t>
        </is>
      </c>
      <c r="C153" s="38" t="n">
        <v>49</v>
      </c>
      <c r="D153" s="13">
        <f>'2c Proliferate Council'!K54</f>
        <v/>
      </c>
      <c r="E153" s="13">
        <f>'2c Proliferate Council'!L54</f>
        <v/>
      </c>
      <c r="F153" s="22">
        <f>'2c Proliferate Council'!M54</f>
        <v/>
      </c>
    </row>
    <row r="154">
      <c r="A154" s="13" t="inlineStr">
        <is>
          <t>Proliferate Council</t>
        </is>
      </c>
      <c r="B154" s="38" t="inlineStr">
        <is>
          <t>2c</t>
        </is>
      </c>
      <c r="C154" s="38" t="n">
        <v>50</v>
      </c>
      <c r="D154" s="13">
        <f>'2c Proliferate Council'!K55</f>
        <v/>
      </c>
      <c r="E154" s="13">
        <f>'2c Proliferate Council'!L55</f>
        <v/>
      </c>
      <c r="F154" s="22">
        <f>'2c Proliferate Council'!M55</f>
        <v/>
      </c>
    </row>
    <row r="155">
      <c r="A155" s="13" t="inlineStr">
        <is>
          <t>Proliferate Council</t>
        </is>
      </c>
      <c r="B155" s="38" t="inlineStr">
        <is>
          <t>2c</t>
        </is>
      </c>
      <c r="C155" s="38" t="n">
        <v>51</v>
      </c>
      <c r="D155" s="13">
        <f>'2c Proliferate Council'!K56</f>
        <v/>
      </c>
      <c r="E155" s="13">
        <f>'2c Proliferate Council'!L56</f>
        <v/>
      </c>
      <c r="F155" s="22">
        <f>'2c Proliferate Council'!M56</f>
        <v/>
      </c>
    </row>
    <row r="156">
      <c r="A156" s="13" t="inlineStr">
        <is>
          <t>Proliferate Council</t>
        </is>
      </c>
      <c r="B156" s="38" t="inlineStr">
        <is>
          <t>2c</t>
        </is>
      </c>
      <c r="C156" s="38" t="n">
        <v>52</v>
      </c>
      <c r="D156" s="13">
        <f>'2c Proliferate Council'!K57</f>
        <v/>
      </c>
      <c r="E156" s="13">
        <f>'2c Proliferate Council'!L57</f>
        <v/>
      </c>
      <c r="F156" s="22">
        <f>'2c Proliferate Council'!M57</f>
        <v/>
      </c>
    </row>
    <row r="157">
      <c r="A157" s="13" t="inlineStr">
        <is>
          <t>Proliferate Council</t>
        </is>
      </c>
      <c r="B157" s="38" t="inlineStr">
        <is>
          <t>2c</t>
        </is>
      </c>
      <c r="C157" s="38" t="n">
        <v>53</v>
      </c>
      <c r="D157" s="13">
        <f>'2c Proliferate Council'!K58</f>
        <v/>
      </c>
      <c r="E157" s="13">
        <f>'2c Proliferate Council'!L58</f>
        <v/>
      </c>
      <c r="F157" s="22">
        <f>'2c Proliferate Council'!M58</f>
        <v/>
      </c>
    </row>
    <row r="158">
      <c r="A158" s="13" t="inlineStr">
        <is>
          <t>Proliferate Council</t>
        </is>
      </c>
      <c r="B158" s="38" t="inlineStr">
        <is>
          <t>2c</t>
        </is>
      </c>
      <c r="C158" s="38" t="n">
        <v>54</v>
      </c>
      <c r="D158" s="13">
        <f>'2c Proliferate Council'!K59</f>
        <v/>
      </c>
      <c r="E158" s="13">
        <f>'2c Proliferate Council'!L59</f>
        <v/>
      </c>
      <c r="F158" s="22">
        <f>'2c Proliferate Council'!M59</f>
        <v/>
      </c>
    </row>
    <row r="159">
      <c r="A159" s="13" t="inlineStr">
        <is>
          <t>Proliferate Council</t>
        </is>
      </c>
      <c r="B159" s="38" t="inlineStr">
        <is>
          <t>2c</t>
        </is>
      </c>
      <c r="C159" s="38" t="n">
        <v>55</v>
      </c>
      <c r="D159" s="13">
        <f>'2c Proliferate Council'!K60</f>
        <v/>
      </c>
      <c r="E159" s="13">
        <f>'2c Proliferate Council'!L60</f>
        <v/>
      </c>
      <c r="F159" s="22">
        <f>'2c Proliferate Council'!M60</f>
        <v/>
      </c>
    </row>
    <row r="160">
      <c r="A160" s="13" t="inlineStr">
        <is>
          <t>Proliferate Council</t>
        </is>
      </c>
      <c r="B160" s="38" t="inlineStr">
        <is>
          <t>2c</t>
        </is>
      </c>
      <c r="C160" s="38" t="n">
        <v>56</v>
      </c>
      <c r="D160" s="13">
        <f>'2c Proliferate Council'!K61</f>
        <v/>
      </c>
      <c r="E160" s="13">
        <f>'2c Proliferate Council'!L61</f>
        <v/>
      </c>
      <c r="F160" s="22">
        <f>'2c Proliferate Council'!M61</f>
        <v/>
      </c>
    </row>
    <row r="161">
      <c r="A161" s="13" t="inlineStr">
        <is>
          <t>Proliferate Council</t>
        </is>
      </c>
      <c r="B161" s="38" t="inlineStr">
        <is>
          <t>2c</t>
        </is>
      </c>
      <c r="C161" s="38" t="n">
        <v>57</v>
      </c>
      <c r="D161" s="13">
        <f>'2c Proliferate Council'!K62</f>
        <v/>
      </c>
      <c r="E161" s="13">
        <f>'2c Proliferate Council'!L62</f>
        <v/>
      </c>
      <c r="F161" s="22">
        <f>'2c Proliferate Council'!M62</f>
        <v/>
      </c>
    </row>
    <row r="162">
      <c r="A162" s="13" t="inlineStr">
        <is>
          <t>Proliferate Council</t>
        </is>
      </c>
      <c r="B162" s="38" t="inlineStr">
        <is>
          <t>2c</t>
        </is>
      </c>
      <c r="C162" s="38" t="n">
        <v>58</v>
      </c>
      <c r="D162" s="13">
        <f>'2c Proliferate Council'!K63</f>
        <v/>
      </c>
      <c r="E162" s="13">
        <f>'2c Proliferate Council'!L63</f>
        <v/>
      </c>
      <c r="F162" s="22">
        <f>'2c Proliferate Council'!M63</f>
        <v/>
      </c>
    </row>
    <row r="163">
      <c r="A163" s="13" t="inlineStr">
        <is>
          <t>Proliferate Council</t>
        </is>
      </c>
      <c r="B163" s="38" t="inlineStr">
        <is>
          <t>2c</t>
        </is>
      </c>
      <c r="C163" s="38" t="n">
        <v>59</v>
      </c>
      <c r="D163" s="13">
        <f>'2c Proliferate Council'!K64</f>
        <v/>
      </c>
      <c r="E163" s="13">
        <f>'2c Proliferate Council'!L64</f>
        <v/>
      </c>
      <c r="F163" s="22">
        <f>'2c Proliferate Council'!M64</f>
        <v/>
      </c>
    </row>
    <row r="164">
      <c r="A164" s="13" t="inlineStr">
        <is>
          <t>Proliferate Council</t>
        </is>
      </c>
      <c r="B164" s="38" t="inlineStr">
        <is>
          <t>2c</t>
        </is>
      </c>
      <c r="C164" s="38" t="n">
        <v>60</v>
      </c>
      <c r="D164" s="13">
        <f>'2c Proliferate Council'!K65</f>
        <v/>
      </c>
      <c r="E164" s="13">
        <f>'2c Proliferate Council'!L65</f>
        <v/>
      </c>
      <c r="F164" s="22">
        <f>'2c Proliferate Council'!M65</f>
        <v/>
      </c>
    </row>
    <row r="165">
      <c r="A165" s="13" t="inlineStr">
        <is>
          <t>Proliferate Council</t>
        </is>
      </c>
      <c r="B165" s="38" t="inlineStr">
        <is>
          <t>2c</t>
        </is>
      </c>
      <c r="C165" s="38" t="n">
        <v>61</v>
      </c>
      <c r="D165" s="13">
        <f>'2c Proliferate Council'!K66</f>
        <v/>
      </c>
      <c r="E165" s="13">
        <f>'2c Proliferate Council'!L66</f>
        <v/>
      </c>
      <c r="F165" s="22">
        <f>'2c Proliferate Council'!M66</f>
        <v/>
      </c>
    </row>
    <row r="166">
      <c r="A166" s="13" t="inlineStr">
        <is>
          <t>Proliferate Council</t>
        </is>
      </c>
      <c r="B166" s="38" t="inlineStr">
        <is>
          <t>2c</t>
        </is>
      </c>
      <c r="C166" s="38" t="n">
        <v>62</v>
      </c>
      <c r="D166" s="13">
        <f>'2c Proliferate Council'!K67</f>
        <v/>
      </c>
      <c r="E166" s="13">
        <f>'2c Proliferate Council'!L67</f>
        <v/>
      </c>
      <c r="F166" s="22">
        <f>'2c Proliferate Council'!M67</f>
        <v/>
      </c>
    </row>
    <row r="167">
      <c r="A167" s="13" t="inlineStr">
        <is>
          <t>Proliferate Council</t>
        </is>
      </c>
      <c r="B167" s="38" t="inlineStr">
        <is>
          <t>2c</t>
        </is>
      </c>
      <c r="C167" s="38" t="n">
        <v>63</v>
      </c>
      <c r="D167" s="13">
        <f>'2c Proliferate Council'!K68</f>
        <v/>
      </c>
      <c r="E167" s="13">
        <f>'2c Proliferate Council'!L68</f>
        <v/>
      </c>
      <c r="F167" s="22">
        <f>'2c Proliferate Council'!M68</f>
        <v/>
      </c>
    </row>
    <row r="168">
      <c r="A168" s="13" t="inlineStr">
        <is>
          <t>Proliferate Council</t>
        </is>
      </c>
      <c r="B168" s="38" t="inlineStr">
        <is>
          <t>2c</t>
        </is>
      </c>
      <c r="C168" s="38" t="n">
        <v>64</v>
      </c>
      <c r="D168" s="13">
        <f>'2c Proliferate Council'!K69</f>
        <v/>
      </c>
      <c r="E168" s="13">
        <f>'2c Proliferate Council'!L69</f>
        <v/>
      </c>
      <c r="F168" s="22">
        <f>'2c Proliferate Council'!M69</f>
        <v/>
      </c>
    </row>
    <row r="169">
      <c r="A169" s="13" t="inlineStr">
        <is>
          <t>Proliferate Council</t>
        </is>
      </c>
      <c r="B169" s="38" t="inlineStr">
        <is>
          <t>2c</t>
        </is>
      </c>
      <c r="C169" s="38" t="n">
        <v>65</v>
      </c>
      <c r="D169" s="13">
        <f>'2c Proliferate Council'!K70</f>
        <v/>
      </c>
      <c r="E169" s="13">
        <f>'2c Proliferate Council'!L70</f>
        <v/>
      </c>
      <c r="F169" s="22">
        <f>'2c Proliferate Council'!M70</f>
        <v/>
      </c>
    </row>
    <row r="170">
      <c r="A170" s="13" t="inlineStr">
        <is>
          <t>Proliferate Council</t>
        </is>
      </c>
      <c r="B170" s="38" t="inlineStr">
        <is>
          <t>2c</t>
        </is>
      </c>
      <c r="C170" s="38" t="n">
        <v>66</v>
      </c>
      <c r="D170" s="13">
        <f>'2c Proliferate Council'!K71</f>
        <v/>
      </c>
      <c r="E170" s="13">
        <f>'2c Proliferate Council'!L71</f>
        <v/>
      </c>
      <c r="F170" s="22">
        <f>'2c Proliferate Council'!M71</f>
        <v/>
      </c>
    </row>
    <row r="171">
      <c r="A171" s="13" t="inlineStr">
        <is>
          <t>Proliferate Council</t>
        </is>
      </c>
      <c r="B171" s="38" t="inlineStr">
        <is>
          <t>2c</t>
        </is>
      </c>
      <c r="C171" s="38" t="n">
        <v>67</v>
      </c>
      <c r="D171" s="13">
        <f>'2c Proliferate Council'!K72</f>
        <v/>
      </c>
      <c r="E171" s="13">
        <f>'2c Proliferate Council'!L72</f>
        <v/>
      </c>
      <c r="F171" s="22">
        <f>'2c Proliferate Council'!M72</f>
        <v/>
      </c>
    </row>
    <row r="172">
      <c r="A172" s="13" t="inlineStr">
        <is>
          <t>Proliferate Council</t>
        </is>
      </c>
      <c r="B172" s="38" t="inlineStr">
        <is>
          <t>2c</t>
        </is>
      </c>
      <c r="C172" s="38" t="n">
        <v>68</v>
      </c>
      <c r="D172" s="13">
        <f>'2c Proliferate Council'!K73</f>
        <v/>
      </c>
      <c r="E172" s="13">
        <f>'2c Proliferate Council'!L73</f>
        <v/>
      </c>
      <c r="F172" s="22">
        <f>'2c Proliferate Council'!M73</f>
        <v/>
      </c>
    </row>
    <row r="173">
      <c r="A173" s="13" t="inlineStr">
        <is>
          <t>Proliferate Council</t>
        </is>
      </c>
      <c r="B173" s="38" t="inlineStr">
        <is>
          <t>2c</t>
        </is>
      </c>
      <c r="C173" s="38" t="n">
        <v>69</v>
      </c>
      <c r="D173" s="13">
        <f>'2c Proliferate Council'!K74</f>
        <v/>
      </c>
      <c r="E173" s="13">
        <f>'2c Proliferate Council'!L74</f>
        <v/>
      </c>
      <c r="F173" s="22">
        <f>'2c Proliferate Council'!M74</f>
        <v/>
      </c>
    </row>
    <row r="174">
      <c r="A174" s="13" t="inlineStr">
        <is>
          <t>Proliferate Council</t>
        </is>
      </c>
      <c r="B174" s="38" t="inlineStr">
        <is>
          <t>2c</t>
        </is>
      </c>
      <c r="C174" s="38" t="n">
        <v>70</v>
      </c>
      <c r="D174" s="13">
        <f>'2c Proliferate Council'!K75</f>
        <v/>
      </c>
      <c r="E174" s="13">
        <f>'2c Proliferate Council'!L75</f>
        <v/>
      </c>
      <c r="F174" s="22">
        <f>'2c Proliferate Council'!M75</f>
        <v/>
      </c>
    </row>
    <row r="175">
      <c r="A175" s="13" t="inlineStr">
        <is>
          <t>Proliferate Council</t>
        </is>
      </c>
      <c r="B175" s="38" t="inlineStr">
        <is>
          <t>2c</t>
        </is>
      </c>
      <c r="C175" s="38" t="n">
        <v>71</v>
      </c>
      <c r="D175" s="13">
        <f>'2c Proliferate Council'!K76</f>
        <v/>
      </c>
      <c r="E175" s="13">
        <f>'2c Proliferate Council'!L76</f>
        <v/>
      </c>
      <c r="F175" s="22">
        <f>'2c Proliferate Council'!M76</f>
        <v/>
      </c>
    </row>
    <row r="176">
      <c r="A176" s="13" t="inlineStr">
        <is>
          <t>Proliferate Council</t>
        </is>
      </c>
      <c r="B176" s="38" t="inlineStr">
        <is>
          <t>2c</t>
        </is>
      </c>
      <c r="C176" s="38" t="n">
        <v>72</v>
      </c>
      <c r="D176" s="13">
        <f>'2c Proliferate Council'!K77</f>
        <v/>
      </c>
      <c r="E176" s="13">
        <f>'2c Proliferate Council'!L77</f>
        <v/>
      </c>
      <c r="F176" s="22">
        <f>'2c Proliferate Council'!M77</f>
        <v/>
      </c>
    </row>
    <row r="177">
      <c r="A177" s="13" t="inlineStr">
        <is>
          <t>Proliferate Council</t>
        </is>
      </c>
      <c r="B177" s="38" t="inlineStr">
        <is>
          <t>2c</t>
        </is>
      </c>
      <c r="C177" s="38" t="n">
        <v>73</v>
      </c>
      <c r="D177" s="13">
        <f>'2c Proliferate Council'!K78</f>
        <v/>
      </c>
      <c r="E177" s="13">
        <f>'2c Proliferate Council'!L78</f>
        <v/>
      </c>
      <c r="F177" s="22">
        <f>'2c Proliferate Council'!M78</f>
        <v/>
      </c>
    </row>
    <row r="178">
      <c r="A178" s="13" t="inlineStr">
        <is>
          <t>Proliferate Council</t>
        </is>
      </c>
      <c r="B178" s="38" t="inlineStr">
        <is>
          <t>2c</t>
        </is>
      </c>
      <c r="C178" s="38" t="n">
        <v>74</v>
      </c>
      <c r="D178" s="13">
        <f>'2c Proliferate Council'!K79</f>
        <v/>
      </c>
      <c r="E178" s="13">
        <f>'2c Proliferate Council'!L79</f>
        <v/>
      </c>
      <c r="F178" s="22">
        <f>'2c Proliferate Council'!M79</f>
        <v/>
      </c>
    </row>
    <row r="179">
      <c r="A179" s="13" t="inlineStr">
        <is>
          <t>Proliferate Council</t>
        </is>
      </c>
      <c r="B179" s="38" t="inlineStr">
        <is>
          <t>2c</t>
        </is>
      </c>
      <c r="C179" s="38" t="n">
        <v>75</v>
      </c>
      <c r="D179" s="13">
        <f>'2c Proliferate Council'!K80</f>
        <v/>
      </c>
      <c r="E179" s="13">
        <f>'2c Proliferate Council'!L80</f>
        <v/>
      </c>
      <c r="F179" s="22">
        <f>'2c Proliferate Council'!M80</f>
        <v/>
      </c>
    </row>
    <row r="180">
      <c r="A180" s="13" t="inlineStr">
        <is>
          <t>Proliferate Council</t>
        </is>
      </c>
      <c r="B180" s="38" t="inlineStr">
        <is>
          <t>2c</t>
        </is>
      </c>
      <c r="C180" s="38" t="n">
        <v>76</v>
      </c>
      <c r="D180" s="13">
        <f>'2c Proliferate Council'!K81</f>
        <v/>
      </c>
      <c r="E180" s="13">
        <f>'2c Proliferate Council'!L81</f>
        <v/>
      </c>
      <c r="F180" s="22">
        <f>'2c Proliferate Council'!M81</f>
        <v/>
      </c>
    </row>
    <row r="181">
      <c r="A181" s="13" t="inlineStr">
        <is>
          <t>Proliferate Council</t>
        </is>
      </c>
      <c r="B181" s="38" t="inlineStr">
        <is>
          <t>2c</t>
        </is>
      </c>
      <c r="C181" s="38" t="n">
        <v>77</v>
      </c>
      <c r="D181" s="13">
        <f>'2c Proliferate Council'!K82</f>
        <v/>
      </c>
      <c r="E181" s="13">
        <f>'2c Proliferate Council'!L82</f>
        <v/>
      </c>
      <c r="F181" s="22">
        <f>'2c Proliferate Council'!M82</f>
        <v/>
      </c>
    </row>
    <row r="182">
      <c r="A182" s="13" t="inlineStr">
        <is>
          <t>Proliferate Council</t>
        </is>
      </c>
      <c r="B182" s="38" t="inlineStr">
        <is>
          <t>2c</t>
        </is>
      </c>
      <c r="C182" s="38" t="n">
        <v>78</v>
      </c>
      <c r="D182" s="13">
        <f>'2c Proliferate Council'!K83</f>
        <v/>
      </c>
      <c r="E182" s="13">
        <f>'2c Proliferate Council'!L83</f>
        <v/>
      </c>
      <c r="F182" s="22">
        <f>'2c Proliferate Council'!M83</f>
        <v/>
      </c>
    </row>
    <row r="183">
      <c r="A183" s="13" t="inlineStr">
        <is>
          <t>Proliferate Council</t>
        </is>
      </c>
      <c r="B183" s="38" t="inlineStr">
        <is>
          <t>2c</t>
        </is>
      </c>
      <c r="C183" s="38" t="n">
        <v>79</v>
      </c>
      <c r="D183" s="13">
        <f>'2c Proliferate Council'!K84</f>
        <v/>
      </c>
      <c r="E183" s="13">
        <f>'2c Proliferate Council'!L84</f>
        <v/>
      </c>
      <c r="F183" s="22">
        <f>'2c Proliferate Council'!M84</f>
        <v/>
      </c>
    </row>
    <row r="184">
      <c r="A184" s="13" t="inlineStr">
        <is>
          <t>Proliferate Council</t>
        </is>
      </c>
      <c r="B184" s="38" t="inlineStr">
        <is>
          <t>2c</t>
        </is>
      </c>
      <c r="C184" s="38" t="n">
        <v>80</v>
      </c>
      <c r="D184" s="13">
        <f>'2c Proliferate Council'!K85</f>
        <v/>
      </c>
      <c r="E184" s="13">
        <f>'2c Proliferate Council'!L85</f>
        <v/>
      </c>
      <c r="F184" s="22">
        <f>'2c Proliferate Council'!M85</f>
        <v/>
      </c>
    </row>
    <row r="185">
      <c r="A185" s="13" t="inlineStr">
        <is>
          <t>Proliferate Council</t>
        </is>
      </c>
      <c r="B185" s="38" t="inlineStr">
        <is>
          <t>2c</t>
        </is>
      </c>
      <c r="C185" s="38" t="n">
        <v>81</v>
      </c>
      <c r="D185" s="13">
        <f>'2c Proliferate Council'!K86</f>
        <v/>
      </c>
      <c r="E185" s="13">
        <f>'2c Proliferate Council'!L86</f>
        <v/>
      </c>
      <c r="F185" s="22">
        <f>'2c Proliferate Council'!M86</f>
        <v/>
      </c>
    </row>
    <row r="186">
      <c r="A186" s="13" t="inlineStr">
        <is>
          <t>Proliferate Council</t>
        </is>
      </c>
      <c r="B186" s="38" t="inlineStr">
        <is>
          <t>2c</t>
        </is>
      </c>
      <c r="C186" s="38" t="n">
        <v>82</v>
      </c>
      <c r="D186" s="13">
        <f>'2c Proliferate Council'!K87</f>
        <v/>
      </c>
      <c r="E186" s="13">
        <f>'2c Proliferate Council'!L87</f>
        <v/>
      </c>
      <c r="F186" s="22">
        <f>'2c Proliferate Council'!M87</f>
        <v/>
      </c>
    </row>
    <row r="187">
      <c r="A187" s="13" t="inlineStr">
        <is>
          <t>Proliferate Council</t>
        </is>
      </c>
      <c r="B187" s="38" t="inlineStr">
        <is>
          <t>2c</t>
        </is>
      </c>
      <c r="C187" s="38" t="n">
        <v>83</v>
      </c>
      <c r="D187" s="13">
        <f>'2c Proliferate Council'!K88</f>
        <v/>
      </c>
      <c r="E187" s="13">
        <f>'2c Proliferate Council'!L88</f>
        <v/>
      </c>
      <c r="F187" s="22">
        <f>'2c Proliferate Council'!M88</f>
        <v/>
      </c>
    </row>
    <row r="188">
      <c r="A188" s="13" t="inlineStr">
        <is>
          <t>Proliferate Council</t>
        </is>
      </c>
      <c r="B188" s="38" t="inlineStr">
        <is>
          <t>2c</t>
        </is>
      </c>
      <c r="C188" s="38" t="n">
        <v>84</v>
      </c>
      <c r="D188" s="13">
        <f>'2c Proliferate Council'!K89</f>
        <v/>
      </c>
      <c r="E188" s="13">
        <f>'2c Proliferate Council'!L89</f>
        <v/>
      </c>
      <c r="F188" s="22">
        <f>'2c Proliferate Council'!M89</f>
        <v/>
      </c>
    </row>
    <row r="189">
      <c r="A189" s="13" t="inlineStr">
        <is>
          <t>Proliferate Council</t>
        </is>
      </c>
      <c r="B189" s="38" t="inlineStr">
        <is>
          <t>2c</t>
        </is>
      </c>
      <c r="C189" s="38" t="n">
        <v>85</v>
      </c>
      <c r="D189" s="13">
        <f>'2c Proliferate Council'!K90</f>
        <v/>
      </c>
      <c r="E189" s="13">
        <f>'2c Proliferate Council'!L90</f>
        <v/>
      </c>
      <c r="F189" s="22">
        <f>'2c Proliferate Council'!M90</f>
        <v/>
      </c>
    </row>
    <row r="190">
      <c r="A190" s="13" t="inlineStr">
        <is>
          <t>Proliferate Council</t>
        </is>
      </c>
      <c r="B190" s="38" t="inlineStr">
        <is>
          <t>2c</t>
        </is>
      </c>
      <c r="C190" s="38" t="n">
        <v>86</v>
      </c>
      <c r="D190" s="13">
        <f>'2c Proliferate Council'!K91</f>
        <v/>
      </c>
      <c r="E190" s="13">
        <f>'2c Proliferate Council'!L91</f>
        <v/>
      </c>
      <c r="F190" s="22">
        <f>'2c Proliferate Council'!M91</f>
        <v/>
      </c>
    </row>
    <row r="191">
      <c r="A191" s="13" t="inlineStr">
        <is>
          <t>Proliferate Council</t>
        </is>
      </c>
      <c r="B191" s="38" t="inlineStr">
        <is>
          <t>2c</t>
        </is>
      </c>
      <c r="C191" s="38" t="n">
        <v>87</v>
      </c>
      <c r="D191" s="13">
        <f>'2c Proliferate Council'!K92</f>
        <v/>
      </c>
      <c r="E191" s="13">
        <f>'2c Proliferate Council'!L92</f>
        <v/>
      </c>
      <c r="F191" s="22">
        <f>'2c Proliferate Council'!M92</f>
        <v/>
      </c>
    </row>
    <row r="192">
      <c r="A192" s="13" t="inlineStr">
        <is>
          <t>Proliferate Council</t>
        </is>
      </c>
      <c r="B192" s="38" t="inlineStr">
        <is>
          <t>2c</t>
        </is>
      </c>
      <c r="C192" s="38" t="n">
        <v>88</v>
      </c>
      <c r="D192" s="13">
        <f>'2c Proliferate Council'!K93</f>
        <v/>
      </c>
      <c r="E192" s="13">
        <f>'2c Proliferate Council'!L93</f>
        <v/>
      </c>
      <c r="F192" s="22">
        <f>'2c Proliferate Council'!M93</f>
        <v/>
      </c>
    </row>
    <row r="193">
      <c r="A193" s="13" t="inlineStr">
        <is>
          <t>Proliferate Council</t>
        </is>
      </c>
      <c r="B193" s="38" t="inlineStr">
        <is>
          <t>2c</t>
        </is>
      </c>
      <c r="C193" s="38" t="n">
        <v>89</v>
      </c>
      <c r="D193" s="13">
        <f>'2c Proliferate Council'!K94</f>
        <v/>
      </c>
      <c r="E193" s="13">
        <f>'2c Proliferate Council'!L94</f>
        <v/>
      </c>
      <c r="F193" s="22">
        <f>'2c Proliferate Council'!M94</f>
        <v/>
      </c>
    </row>
    <row r="194">
      <c r="A194" s="13" t="inlineStr">
        <is>
          <t>Proliferate Council</t>
        </is>
      </c>
      <c r="B194" s="38" t="inlineStr">
        <is>
          <t>2c</t>
        </is>
      </c>
      <c r="C194" s="38" t="n">
        <v>90</v>
      </c>
      <c r="D194" s="13">
        <f>'2c Proliferate Council'!K95</f>
        <v/>
      </c>
      <c r="E194" s="13">
        <f>'2c Proliferate Council'!L95</f>
        <v/>
      </c>
      <c r="F194" s="22">
        <f>'2c Proliferate Council'!M95</f>
        <v/>
      </c>
    </row>
    <row r="195">
      <c r="A195" s="13" t="inlineStr">
        <is>
          <t>Proliferate Council</t>
        </is>
      </c>
      <c r="B195" s="38" t="inlineStr">
        <is>
          <t>2c</t>
        </is>
      </c>
      <c r="C195" s="38" t="n">
        <v>91</v>
      </c>
      <c r="D195" s="13">
        <f>'2c Proliferate Council'!K96</f>
        <v/>
      </c>
      <c r="E195" s="13">
        <f>'2c Proliferate Council'!L96</f>
        <v/>
      </c>
      <c r="F195" s="22">
        <f>'2c Proliferate Council'!M96</f>
        <v/>
      </c>
    </row>
    <row r="196">
      <c r="A196" s="13" t="inlineStr">
        <is>
          <t>Proliferate Council</t>
        </is>
      </c>
      <c r="B196" s="38" t="inlineStr">
        <is>
          <t>2c</t>
        </is>
      </c>
      <c r="C196" s="38" t="n">
        <v>92</v>
      </c>
      <c r="D196" s="13">
        <f>'2c Proliferate Council'!K97</f>
        <v/>
      </c>
      <c r="E196" s="13">
        <f>'2c Proliferate Council'!L97</f>
        <v/>
      </c>
      <c r="F196" s="22">
        <f>'2c Proliferate Council'!M97</f>
        <v/>
      </c>
    </row>
    <row r="197">
      <c r="A197" s="13" t="inlineStr">
        <is>
          <t>Proliferate Council</t>
        </is>
      </c>
      <c r="B197" s="38" t="inlineStr">
        <is>
          <t>2c</t>
        </is>
      </c>
      <c r="C197" s="38" t="n">
        <v>93</v>
      </c>
      <c r="D197" s="13">
        <f>'2c Proliferate Council'!K98</f>
        <v/>
      </c>
      <c r="E197" s="13">
        <f>'2c Proliferate Council'!L98</f>
        <v/>
      </c>
      <c r="F197" s="22">
        <f>'2c Proliferate Council'!M98</f>
        <v/>
      </c>
    </row>
    <row r="198">
      <c r="A198" s="13" t="inlineStr">
        <is>
          <t>Proliferate Council</t>
        </is>
      </c>
      <c r="B198" s="38" t="inlineStr">
        <is>
          <t>2c</t>
        </is>
      </c>
      <c r="C198" s="38" t="n">
        <v>94</v>
      </c>
      <c r="D198" s="13">
        <f>'2c Proliferate Council'!K99</f>
        <v/>
      </c>
      <c r="E198" s="13">
        <f>'2c Proliferate Council'!L99</f>
        <v/>
      </c>
      <c r="F198" s="22">
        <f>'2c Proliferate Council'!M99</f>
        <v/>
      </c>
    </row>
    <row r="199">
      <c r="A199" s="13" t="inlineStr">
        <is>
          <t>Proliferate Council</t>
        </is>
      </c>
      <c r="B199" s="38" t="inlineStr">
        <is>
          <t>2c</t>
        </is>
      </c>
      <c r="C199" s="38" t="n">
        <v>95</v>
      </c>
      <c r="D199" s="13">
        <f>'2c Proliferate Council'!K100</f>
        <v/>
      </c>
      <c r="E199" s="13">
        <f>'2c Proliferate Council'!L100</f>
        <v/>
      </c>
      <c r="F199" s="22">
        <f>'2c Proliferate Council'!M100</f>
        <v/>
      </c>
    </row>
    <row r="200">
      <c r="A200" s="13" t="inlineStr">
        <is>
          <t>Proliferate Council</t>
        </is>
      </c>
      <c r="B200" s="38" t="inlineStr">
        <is>
          <t>2c</t>
        </is>
      </c>
      <c r="C200" s="38" t="n">
        <v>96</v>
      </c>
      <c r="D200" s="13">
        <f>'2c Proliferate Council'!K101</f>
        <v/>
      </c>
      <c r="E200" s="13">
        <f>'2c Proliferate Council'!L101</f>
        <v/>
      </c>
      <c r="F200" s="22">
        <f>'2c Proliferate Council'!M101</f>
        <v/>
      </c>
    </row>
    <row r="201">
      <c r="A201" s="13" t="inlineStr">
        <is>
          <t>Proliferate Council</t>
        </is>
      </c>
      <c r="B201" s="38" t="inlineStr">
        <is>
          <t>2c</t>
        </is>
      </c>
      <c r="C201" s="38" t="n">
        <v>97</v>
      </c>
      <c r="D201" s="13">
        <f>'2c Proliferate Council'!K102</f>
        <v/>
      </c>
      <c r="E201" s="13">
        <f>'2c Proliferate Council'!L102</f>
        <v/>
      </c>
      <c r="F201" s="22">
        <f>'2c Proliferate Council'!M102</f>
        <v/>
      </c>
    </row>
    <row r="202">
      <c r="A202" s="13" t="inlineStr">
        <is>
          <t>Proliferate Council</t>
        </is>
      </c>
      <c r="B202" s="38" t="inlineStr">
        <is>
          <t>2c</t>
        </is>
      </c>
      <c r="C202" s="38" t="n">
        <v>98</v>
      </c>
      <c r="D202" s="13">
        <f>'2c Proliferate Council'!K103</f>
        <v/>
      </c>
      <c r="E202" s="13">
        <f>'2c Proliferate Council'!L103</f>
        <v/>
      </c>
      <c r="F202" s="22">
        <f>'2c Proliferate Council'!M103</f>
        <v/>
      </c>
    </row>
    <row r="203">
      <c r="A203" s="13" t="inlineStr">
        <is>
          <t>Proliferate Council</t>
        </is>
      </c>
      <c r="B203" s="38" t="inlineStr">
        <is>
          <t>2c</t>
        </is>
      </c>
      <c r="C203" s="38" t="n">
        <v>99</v>
      </c>
      <c r="D203" s="13">
        <f>'2c Proliferate Council'!K104</f>
        <v/>
      </c>
      <c r="E203" s="13">
        <f>'2c Proliferate Council'!L104</f>
        <v/>
      </c>
      <c r="F203" s="22">
        <f>'2c Proliferate Council'!M104</f>
        <v/>
      </c>
    </row>
    <row r="204">
      <c r="A204" s="13" t="inlineStr">
        <is>
          <t>Proliferate Council</t>
        </is>
      </c>
      <c r="B204" s="38" t="inlineStr">
        <is>
          <t>2c</t>
        </is>
      </c>
      <c r="C204" s="38" t="n">
        <v>100</v>
      </c>
      <c r="D204" s="13">
        <f>'2c Proliferate Council'!K105</f>
        <v/>
      </c>
      <c r="E204" s="13">
        <f>'2c Proliferate Council'!L105</f>
        <v/>
      </c>
      <c r="F204" s="22">
        <f>'2c Proliferate Council'!M105</f>
        <v/>
      </c>
    </row>
    <row r="205">
      <c r="A205" s="13" t="inlineStr">
        <is>
          <t>Golgari Land Engine</t>
        </is>
      </c>
      <c r="B205" s="38" t="inlineStr">
        <is>
          <t>3e</t>
        </is>
      </c>
      <c r="C205" s="38" t="n">
        <v>1</v>
      </c>
      <c r="D205" s="13">
        <f>'3e Golgari Land Engine'!M6</f>
        <v/>
      </c>
      <c r="E205" s="13">
        <f>'3e Golgari Land Engine'!N6</f>
        <v/>
      </c>
      <c r="F205" s="22">
        <f>'3e Golgari Land Engine'!O6</f>
        <v/>
      </c>
    </row>
    <row r="206">
      <c r="A206" s="13" t="inlineStr">
        <is>
          <t>Golgari Land Engine</t>
        </is>
      </c>
      <c r="B206" s="38" t="inlineStr">
        <is>
          <t>3e</t>
        </is>
      </c>
      <c r="C206" s="38" t="n">
        <v>2</v>
      </c>
      <c r="D206" s="13">
        <f>'3e Golgari Land Engine'!M7</f>
        <v/>
      </c>
      <c r="E206" s="13">
        <f>'3e Golgari Land Engine'!N7</f>
        <v/>
      </c>
      <c r="F206" s="22">
        <f>'3e Golgari Land Engine'!O7</f>
        <v/>
      </c>
    </row>
    <row r="207">
      <c r="A207" s="13" t="inlineStr">
        <is>
          <t>Golgari Land Engine</t>
        </is>
      </c>
      <c r="B207" s="38" t="inlineStr">
        <is>
          <t>3e</t>
        </is>
      </c>
      <c r="C207" s="38" t="n">
        <v>3</v>
      </c>
      <c r="D207" s="13">
        <f>'3e Golgari Land Engine'!M8</f>
        <v/>
      </c>
      <c r="E207" s="13">
        <f>'3e Golgari Land Engine'!N8</f>
        <v/>
      </c>
      <c r="F207" s="22">
        <f>'3e Golgari Land Engine'!O8</f>
        <v/>
      </c>
    </row>
    <row r="208">
      <c r="A208" s="13" t="inlineStr">
        <is>
          <t>Golgari Land Engine</t>
        </is>
      </c>
      <c r="B208" s="38" t="inlineStr">
        <is>
          <t>3e</t>
        </is>
      </c>
      <c r="C208" s="38" t="n">
        <v>4</v>
      </c>
      <c r="D208" s="13">
        <f>'3e Golgari Land Engine'!M9</f>
        <v/>
      </c>
      <c r="E208" s="13">
        <f>'3e Golgari Land Engine'!N9</f>
        <v/>
      </c>
      <c r="F208" s="22">
        <f>'3e Golgari Land Engine'!O9</f>
        <v/>
      </c>
    </row>
    <row r="209">
      <c r="A209" s="13" t="inlineStr">
        <is>
          <t>Golgari Land Engine</t>
        </is>
      </c>
      <c r="B209" s="38" t="inlineStr">
        <is>
          <t>3e</t>
        </is>
      </c>
      <c r="C209" s="38" t="n">
        <v>5</v>
      </c>
      <c r="D209" s="13">
        <f>'3e Golgari Land Engine'!M10</f>
        <v/>
      </c>
      <c r="E209" s="13">
        <f>'3e Golgari Land Engine'!N10</f>
        <v/>
      </c>
      <c r="F209" s="22">
        <f>'3e Golgari Land Engine'!O10</f>
        <v/>
      </c>
    </row>
    <row r="210">
      <c r="A210" s="13" t="inlineStr">
        <is>
          <t>Golgari Land Engine</t>
        </is>
      </c>
      <c r="B210" s="38" t="inlineStr">
        <is>
          <t>3e</t>
        </is>
      </c>
      <c r="C210" s="38" t="n">
        <v>6</v>
      </c>
      <c r="D210" s="13">
        <f>'3e Golgari Land Engine'!M11</f>
        <v/>
      </c>
      <c r="E210" s="13">
        <f>'3e Golgari Land Engine'!N11</f>
        <v/>
      </c>
      <c r="F210" s="22">
        <f>'3e Golgari Land Engine'!O11</f>
        <v/>
      </c>
    </row>
    <row r="211">
      <c r="A211" s="13" t="inlineStr">
        <is>
          <t>Golgari Land Engine</t>
        </is>
      </c>
      <c r="B211" s="38" t="inlineStr">
        <is>
          <t>3e</t>
        </is>
      </c>
      <c r="C211" s="38" t="n">
        <v>7</v>
      </c>
      <c r="D211" s="13">
        <f>'3e Golgari Land Engine'!M12</f>
        <v/>
      </c>
      <c r="E211" s="13">
        <f>'3e Golgari Land Engine'!N12</f>
        <v/>
      </c>
      <c r="F211" s="22">
        <f>'3e Golgari Land Engine'!O12</f>
        <v/>
      </c>
    </row>
    <row r="212">
      <c r="A212" s="13" t="inlineStr">
        <is>
          <t>Golgari Land Engine</t>
        </is>
      </c>
      <c r="B212" s="38" t="inlineStr">
        <is>
          <t>3e</t>
        </is>
      </c>
      <c r="C212" s="38" t="n">
        <v>8</v>
      </c>
      <c r="D212" s="13">
        <f>'3e Golgari Land Engine'!M13</f>
        <v/>
      </c>
      <c r="E212" s="13">
        <f>'3e Golgari Land Engine'!N13</f>
        <v/>
      </c>
      <c r="F212" s="22">
        <f>'3e Golgari Land Engine'!O13</f>
        <v/>
      </c>
    </row>
    <row r="213">
      <c r="A213" s="13" t="inlineStr">
        <is>
          <t>Golgari Land Engine</t>
        </is>
      </c>
      <c r="B213" s="38" t="inlineStr">
        <is>
          <t>3e</t>
        </is>
      </c>
      <c r="C213" s="38" t="n">
        <v>9</v>
      </c>
      <c r="D213" s="13">
        <f>'3e Golgari Land Engine'!M14</f>
        <v/>
      </c>
      <c r="E213" s="13">
        <f>'3e Golgari Land Engine'!N14</f>
        <v/>
      </c>
      <c r="F213" s="22">
        <f>'3e Golgari Land Engine'!O14</f>
        <v/>
      </c>
    </row>
    <row r="214">
      <c r="A214" s="13" t="inlineStr">
        <is>
          <t>Golgari Land Engine</t>
        </is>
      </c>
      <c r="B214" s="38" t="inlineStr">
        <is>
          <t>3e</t>
        </is>
      </c>
      <c r="C214" s="38" t="n">
        <v>10</v>
      </c>
      <c r="D214" s="13">
        <f>'3e Golgari Land Engine'!M15</f>
        <v/>
      </c>
      <c r="E214" s="13">
        <f>'3e Golgari Land Engine'!N15</f>
        <v/>
      </c>
      <c r="F214" s="22">
        <f>'3e Golgari Land Engine'!O15</f>
        <v/>
      </c>
    </row>
    <row r="215">
      <c r="A215" s="13" t="inlineStr">
        <is>
          <t>Golgari Land Engine</t>
        </is>
      </c>
      <c r="B215" s="38" t="inlineStr">
        <is>
          <t>3e</t>
        </is>
      </c>
      <c r="C215" s="38" t="n">
        <v>11</v>
      </c>
      <c r="D215" s="13">
        <f>'3e Golgari Land Engine'!M16</f>
        <v/>
      </c>
      <c r="E215" s="13">
        <f>'3e Golgari Land Engine'!N16</f>
        <v/>
      </c>
      <c r="F215" s="22">
        <f>'3e Golgari Land Engine'!O16</f>
        <v/>
      </c>
    </row>
    <row r="216">
      <c r="A216" s="13" t="inlineStr">
        <is>
          <t>Golgari Land Engine</t>
        </is>
      </c>
      <c r="B216" s="38" t="inlineStr">
        <is>
          <t>3e</t>
        </is>
      </c>
      <c r="C216" s="38" t="n">
        <v>12</v>
      </c>
      <c r="D216" s="13">
        <f>'3e Golgari Land Engine'!M17</f>
        <v/>
      </c>
      <c r="E216" s="13">
        <f>'3e Golgari Land Engine'!N17</f>
        <v/>
      </c>
      <c r="F216" s="22">
        <f>'3e Golgari Land Engine'!O17</f>
        <v/>
      </c>
    </row>
    <row r="217">
      <c r="A217" s="13" t="inlineStr">
        <is>
          <t>Golgari Land Engine</t>
        </is>
      </c>
      <c r="B217" s="38" t="inlineStr">
        <is>
          <t>3e</t>
        </is>
      </c>
      <c r="C217" s="38" t="n">
        <v>13</v>
      </c>
      <c r="D217" s="13">
        <f>'3e Golgari Land Engine'!M18</f>
        <v/>
      </c>
      <c r="E217" s="13">
        <f>'3e Golgari Land Engine'!N18</f>
        <v/>
      </c>
      <c r="F217" s="22">
        <f>'3e Golgari Land Engine'!O18</f>
        <v/>
      </c>
    </row>
    <row r="218">
      <c r="A218" s="13" t="inlineStr">
        <is>
          <t>Golgari Land Engine</t>
        </is>
      </c>
      <c r="B218" s="38" t="inlineStr">
        <is>
          <t>3e</t>
        </is>
      </c>
      <c r="C218" s="38" t="n">
        <v>14</v>
      </c>
      <c r="D218" s="13">
        <f>'3e Golgari Land Engine'!M19</f>
        <v/>
      </c>
      <c r="E218" s="13">
        <f>'3e Golgari Land Engine'!N19</f>
        <v/>
      </c>
      <c r="F218" s="22">
        <f>'3e Golgari Land Engine'!O19</f>
        <v/>
      </c>
    </row>
    <row r="219">
      <c r="A219" s="13" t="inlineStr">
        <is>
          <t>Golgari Land Engine</t>
        </is>
      </c>
      <c r="B219" s="38" t="inlineStr">
        <is>
          <t>3e</t>
        </is>
      </c>
      <c r="C219" s="38" t="n">
        <v>15</v>
      </c>
      <c r="D219" s="13">
        <f>'3e Golgari Land Engine'!M20</f>
        <v/>
      </c>
      <c r="E219" s="13">
        <f>'3e Golgari Land Engine'!N20</f>
        <v/>
      </c>
      <c r="F219" s="22">
        <f>'3e Golgari Land Engine'!O20</f>
        <v/>
      </c>
    </row>
    <row r="220">
      <c r="A220" s="13" t="inlineStr">
        <is>
          <t>Golgari Land Engine</t>
        </is>
      </c>
      <c r="B220" s="38" t="inlineStr">
        <is>
          <t>3e</t>
        </is>
      </c>
      <c r="C220" s="38" t="n">
        <v>16</v>
      </c>
      <c r="D220" s="13">
        <f>'3e Golgari Land Engine'!M21</f>
        <v/>
      </c>
      <c r="E220" s="13">
        <f>'3e Golgari Land Engine'!N21</f>
        <v/>
      </c>
      <c r="F220" s="22">
        <f>'3e Golgari Land Engine'!O21</f>
        <v/>
      </c>
    </row>
    <row r="221">
      <c r="A221" s="13" t="inlineStr">
        <is>
          <t>Golgari Land Engine</t>
        </is>
      </c>
      <c r="B221" s="38" t="inlineStr">
        <is>
          <t>3e</t>
        </is>
      </c>
      <c r="C221" s="38" t="n">
        <v>17</v>
      </c>
      <c r="D221" s="13">
        <f>'3e Golgari Land Engine'!M22</f>
        <v/>
      </c>
      <c r="E221" s="13">
        <f>'3e Golgari Land Engine'!N22</f>
        <v/>
      </c>
      <c r="F221" s="22">
        <f>'3e Golgari Land Engine'!O22</f>
        <v/>
      </c>
    </row>
    <row r="222">
      <c r="A222" s="13" t="inlineStr">
        <is>
          <t>Golgari Land Engine</t>
        </is>
      </c>
      <c r="B222" s="38" t="inlineStr">
        <is>
          <t>3e</t>
        </is>
      </c>
      <c r="C222" s="38" t="n">
        <v>18</v>
      </c>
      <c r="D222" s="13">
        <f>'3e Golgari Land Engine'!M23</f>
        <v/>
      </c>
      <c r="E222" s="13">
        <f>'3e Golgari Land Engine'!N23</f>
        <v/>
      </c>
      <c r="F222" s="22">
        <f>'3e Golgari Land Engine'!O23</f>
        <v/>
      </c>
    </row>
    <row r="223">
      <c r="A223" s="13" t="inlineStr">
        <is>
          <t>Golgari Land Engine</t>
        </is>
      </c>
      <c r="B223" s="38" t="inlineStr">
        <is>
          <t>3e</t>
        </is>
      </c>
      <c r="C223" s="38" t="n">
        <v>19</v>
      </c>
      <c r="D223" s="13">
        <f>'3e Golgari Land Engine'!M24</f>
        <v/>
      </c>
      <c r="E223" s="13">
        <f>'3e Golgari Land Engine'!N24</f>
        <v/>
      </c>
      <c r="F223" s="22">
        <f>'3e Golgari Land Engine'!O24</f>
        <v/>
      </c>
    </row>
    <row r="224">
      <c r="A224" s="13" t="inlineStr">
        <is>
          <t>Golgari Land Engine</t>
        </is>
      </c>
      <c r="B224" s="38" t="inlineStr">
        <is>
          <t>3e</t>
        </is>
      </c>
      <c r="C224" s="38" t="n">
        <v>20</v>
      </c>
      <c r="D224" s="13">
        <f>'3e Golgari Land Engine'!M25</f>
        <v/>
      </c>
      <c r="E224" s="13">
        <f>'3e Golgari Land Engine'!N25</f>
        <v/>
      </c>
      <c r="F224" s="22">
        <f>'3e Golgari Land Engine'!O25</f>
        <v/>
      </c>
    </row>
    <row r="225">
      <c r="A225" s="13" t="inlineStr">
        <is>
          <t>Golgari Land Engine</t>
        </is>
      </c>
      <c r="B225" s="38" t="inlineStr">
        <is>
          <t>3e</t>
        </is>
      </c>
      <c r="C225" s="38" t="n">
        <v>21</v>
      </c>
      <c r="D225" s="13">
        <f>'3e Golgari Land Engine'!M26</f>
        <v/>
      </c>
      <c r="E225" s="13">
        <f>'3e Golgari Land Engine'!N26</f>
        <v/>
      </c>
      <c r="F225" s="22">
        <f>'3e Golgari Land Engine'!O26</f>
        <v/>
      </c>
    </row>
    <row r="226">
      <c r="A226" s="13" t="inlineStr">
        <is>
          <t>Golgari Land Engine</t>
        </is>
      </c>
      <c r="B226" s="38" t="inlineStr">
        <is>
          <t>3e</t>
        </is>
      </c>
      <c r="C226" s="38" t="n">
        <v>22</v>
      </c>
      <c r="D226" s="13">
        <f>'3e Golgari Land Engine'!M27</f>
        <v/>
      </c>
      <c r="E226" s="13">
        <f>'3e Golgari Land Engine'!N27</f>
        <v/>
      </c>
      <c r="F226" s="22">
        <f>'3e Golgari Land Engine'!O27</f>
        <v/>
      </c>
    </row>
    <row r="227">
      <c r="A227" s="13" t="inlineStr">
        <is>
          <t>Golgari Land Engine</t>
        </is>
      </c>
      <c r="B227" s="38" t="inlineStr">
        <is>
          <t>3e</t>
        </is>
      </c>
      <c r="C227" s="38" t="n">
        <v>23</v>
      </c>
      <c r="D227" s="13">
        <f>'3e Golgari Land Engine'!M28</f>
        <v/>
      </c>
      <c r="E227" s="13">
        <f>'3e Golgari Land Engine'!N28</f>
        <v/>
      </c>
      <c r="F227" s="22">
        <f>'3e Golgari Land Engine'!O28</f>
        <v/>
      </c>
    </row>
    <row r="228">
      <c r="A228" s="13" t="inlineStr">
        <is>
          <t>Golgari Land Engine</t>
        </is>
      </c>
      <c r="B228" s="38" t="inlineStr">
        <is>
          <t>3e</t>
        </is>
      </c>
      <c r="C228" s="38" t="n">
        <v>24</v>
      </c>
      <c r="D228" s="13">
        <f>'3e Golgari Land Engine'!M29</f>
        <v/>
      </c>
      <c r="E228" s="13">
        <f>'3e Golgari Land Engine'!N29</f>
        <v/>
      </c>
      <c r="F228" s="22">
        <f>'3e Golgari Land Engine'!O29</f>
        <v/>
      </c>
    </row>
    <row r="229">
      <c r="A229" s="13" t="inlineStr">
        <is>
          <t>Golgari Land Engine</t>
        </is>
      </c>
      <c r="B229" s="38" t="inlineStr">
        <is>
          <t>3e</t>
        </is>
      </c>
      <c r="C229" s="38" t="n">
        <v>25</v>
      </c>
      <c r="D229" s="13">
        <f>'3e Golgari Land Engine'!M30</f>
        <v/>
      </c>
      <c r="E229" s="13">
        <f>'3e Golgari Land Engine'!N30</f>
        <v/>
      </c>
      <c r="F229" s="22">
        <f>'3e Golgari Land Engine'!O30</f>
        <v/>
      </c>
    </row>
    <row r="230">
      <c r="A230" s="13" t="inlineStr">
        <is>
          <t>Golgari Land Engine</t>
        </is>
      </c>
      <c r="B230" s="38" t="inlineStr">
        <is>
          <t>3e</t>
        </is>
      </c>
      <c r="C230" s="38" t="n">
        <v>26</v>
      </c>
      <c r="D230" s="13">
        <f>'3e Golgari Land Engine'!M31</f>
        <v/>
      </c>
      <c r="E230" s="13">
        <f>'3e Golgari Land Engine'!N31</f>
        <v/>
      </c>
      <c r="F230" s="22">
        <f>'3e Golgari Land Engine'!O31</f>
        <v/>
      </c>
    </row>
    <row r="231">
      <c r="A231" s="13" t="inlineStr">
        <is>
          <t>Golgari Land Engine</t>
        </is>
      </c>
      <c r="B231" s="38" t="inlineStr">
        <is>
          <t>3e</t>
        </is>
      </c>
      <c r="C231" s="38" t="n">
        <v>27</v>
      </c>
      <c r="D231" s="13">
        <f>'3e Golgari Land Engine'!M32</f>
        <v/>
      </c>
      <c r="E231" s="13">
        <f>'3e Golgari Land Engine'!N32</f>
        <v/>
      </c>
      <c r="F231" s="22">
        <f>'3e Golgari Land Engine'!O32</f>
        <v/>
      </c>
    </row>
    <row r="232">
      <c r="A232" s="13" t="inlineStr">
        <is>
          <t>Golgari Land Engine</t>
        </is>
      </c>
      <c r="B232" s="38" t="inlineStr">
        <is>
          <t>3e</t>
        </is>
      </c>
      <c r="C232" s="38" t="n">
        <v>28</v>
      </c>
      <c r="D232" s="13">
        <f>'3e Golgari Land Engine'!M33</f>
        <v/>
      </c>
      <c r="E232" s="13">
        <f>'3e Golgari Land Engine'!N33</f>
        <v/>
      </c>
      <c r="F232" s="22">
        <f>'3e Golgari Land Engine'!O33</f>
        <v/>
      </c>
    </row>
    <row r="233">
      <c r="A233" s="13" t="inlineStr">
        <is>
          <t>Golgari Land Engine</t>
        </is>
      </c>
      <c r="B233" s="38" t="inlineStr">
        <is>
          <t>3e</t>
        </is>
      </c>
      <c r="C233" s="38" t="n">
        <v>29</v>
      </c>
      <c r="D233" s="13">
        <f>'3e Golgari Land Engine'!M34</f>
        <v/>
      </c>
      <c r="E233" s="13">
        <f>'3e Golgari Land Engine'!N34</f>
        <v/>
      </c>
      <c r="F233" s="22">
        <f>'3e Golgari Land Engine'!O34</f>
        <v/>
      </c>
    </row>
    <row r="234">
      <c r="A234" s="13" t="inlineStr">
        <is>
          <t>Golgari Land Engine</t>
        </is>
      </c>
      <c r="B234" s="38" t="inlineStr">
        <is>
          <t>3e</t>
        </is>
      </c>
      <c r="C234" s="38" t="n">
        <v>30</v>
      </c>
      <c r="D234" s="13">
        <f>'3e Golgari Land Engine'!M35</f>
        <v/>
      </c>
      <c r="E234" s="13">
        <f>'3e Golgari Land Engine'!N35</f>
        <v/>
      </c>
      <c r="F234" s="22">
        <f>'3e Golgari Land Engine'!O35</f>
        <v/>
      </c>
    </row>
    <row r="235">
      <c r="A235" s="13" t="inlineStr">
        <is>
          <t>Golgari Land Engine</t>
        </is>
      </c>
      <c r="B235" s="38" t="inlineStr">
        <is>
          <t>3e</t>
        </is>
      </c>
      <c r="C235" s="38" t="n">
        <v>31</v>
      </c>
      <c r="D235" s="13">
        <f>'3e Golgari Land Engine'!M36</f>
        <v/>
      </c>
      <c r="E235" s="13">
        <f>'3e Golgari Land Engine'!N36</f>
        <v/>
      </c>
      <c r="F235" s="22">
        <f>'3e Golgari Land Engine'!O36</f>
        <v/>
      </c>
    </row>
    <row r="236">
      <c r="A236" s="13" t="inlineStr">
        <is>
          <t>Golgari Land Engine</t>
        </is>
      </c>
      <c r="B236" s="38" t="inlineStr">
        <is>
          <t>3e</t>
        </is>
      </c>
      <c r="C236" s="38" t="n">
        <v>32</v>
      </c>
      <c r="D236" s="13">
        <f>'3e Golgari Land Engine'!M37</f>
        <v/>
      </c>
      <c r="E236" s="13">
        <f>'3e Golgari Land Engine'!N37</f>
        <v/>
      </c>
      <c r="F236" s="22">
        <f>'3e Golgari Land Engine'!O37</f>
        <v/>
      </c>
    </row>
    <row r="237">
      <c r="A237" s="13" t="inlineStr">
        <is>
          <t>Golgari Land Engine</t>
        </is>
      </c>
      <c r="B237" s="38" t="inlineStr">
        <is>
          <t>3e</t>
        </is>
      </c>
      <c r="C237" s="38" t="n">
        <v>33</v>
      </c>
      <c r="D237" s="13">
        <f>'3e Golgari Land Engine'!M38</f>
        <v/>
      </c>
      <c r="E237" s="13">
        <f>'3e Golgari Land Engine'!N38</f>
        <v/>
      </c>
      <c r="F237" s="22">
        <f>'3e Golgari Land Engine'!O38</f>
        <v/>
      </c>
    </row>
    <row r="238">
      <c r="A238" s="13" t="inlineStr">
        <is>
          <t>Golgari Land Engine</t>
        </is>
      </c>
      <c r="B238" s="38" t="inlineStr">
        <is>
          <t>3e</t>
        </is>
      </c>
      <c r="C238" s="38" t="n">
        <v>34</v>
      </c>
      <c r="D238" s="13">
        <f>'3e Golgari Land Engine'!M39</f>
        <v/>
      </c>
      <c r="E238" s="13">
        <f>'3e Golgari Land Engine'!N39</f>
        <v/>
      </c>
      <c r="F238" s="22">
        <f>'3e Golgari Land Engine'!O39</f>
        <v/>
      </c>
    </row>
    <row r="239">
      <c r="A239" s="13" t="inlineStr">
        <is>
          <t>Golgari Land Engine</t>
        </is>
      </c>
      <c r="B239" s="38" t="inlineStr">
        <is>
          <t>3e</t>
        </is>
      </c>
      <c r="C239" s="38" t="n">
        <v>35</v>
      </c>
      <c r="D239" s="13">
        <f>'3e Golgari Land Engine'!M40</f>
        <v/>
      </c>
      <c r="E239" s="13">
        <f>'3e Golgari Land Engine'!N40</f>
        <v/>
      </c>
      <c r="F239" s="22">
        <f>'3e Golgari Land Engine'!O40</f>
        <v/>
      </c>
    </row>
    <row r="240">
      <c r="A240" s="13" t="inlineStr">
        <is>
          <t>Golgari Land Engine</t>
        </is>
      </c>
      <c r="B240" s="38" t="inlineStr">
        <is>
          <t>3e</t>
        </is>
      </c>
      <c r="C240" s="38" t="n">
        <v>36</v>
      </c>
      <c r="D240" s="13">
        <f>'3e Golgari Land Engine'!M41</f>
        <v/>
      </c>
      <c r="E240" s="13">
        <f>'3e Golgari Land Engine'!N41</f>
        <v/>
      </c>
      <c r="F240" s="22">
        <f>'3e Golgari Land Engine'!O41</f>
        <v/>
      </c>
    </row>
    <row r="241">
      <c r="A241" s="13" t="inlineStr">
        <is>
          <t>Golgari Land Engine</t>
        </is>
      </c>
      <c r="B241" s="38" t="inlineStr">
        <is>
          <t>3e</t>
        </is>
      </c>
      <c r="C241" s="38" t="n">
        <v>37</v>
      </c>
      <c r="D241" s="13">
        <f>'3e Golgari Land Engine'!M42</f>
        <v/>
      </c>
      <c r="E241" s="13">
        <f>'3e Golgari Land Engine'!N42</f>
        <v/>
      </c>
      <c r="F241" s="22">
        <f>'3e Golgari Land Engine'!O42</f>
        <v/>
      </c>
    </row>
    <row r="242">
      <c r="A242" s="13" t="inlineStr">
        <is>
          <t>Golgari Land Engine</t>
        </is>
      </c>
      <c r="B242" s="38" t="inlineStr">
        <is>
          <t>3e</t>
        </is>
      </c>
      <c r="C242" s="38" t="n">
        <v>38</v>
      </c>
      <c r="D242" s="13">
        <f>'3e Golgari Land Engine'!M43</f>
        <v/>
      </c>
      <c r="E242" s="13">
        <f>'3e Golgari Land Engine'!N43</f>
        <v/>
      </c>
      <c r="F242" s="22">
        <f>'3e Golgari Land Engine'!O43</f>
        <v/>
      </c>
    </row>
    <row r="243">
      <c r="A243" s="13" t="inlineStr">
        <is>
          <t>Golgari Land Engine</t>
        </is>
      </c>
      <c r="B243" s="38" t="inlineStr">
        <is>
          <t>3e</t>
        </is>
      </c>
      <c r="C243" s="38" t="n">
        <v>39</v>
      </c>
      <c r="D243" s="13">
        <f>'3e Golgari Land Engine'!M44</f>
        <v/>
      </c>
      <c r="E243" s="13">
        <f>'3e Golgari Land Engine'!N44</f>
        <v/>
      </c>
      <c r="F243" s="22">
        <f>'3e Golgari Land Engine'!O44</f>
        <v/>
      </c>
    </row>
    <row r="244">
      <c r="A244" s="13" t="inlineStr">
        <is>
          <t>Golgari Land Engine</t>
        </is>
      </c>
      <c r="B244" s="38" t="inlineStr">
        <is>
          <t>3e</t>
        </is>
      </c>
      <c r="C244" s="38" t="n">
        <v>40</v>
      </c>
      <c r="D244" s="13">
        <f>'3e Golgari Land Engine'!M45</f>
        <v/>
      </c>
      <c r="E244" s="13">
        <f>'3e Golgari Land Engine'!N45</f>
        <v/>
      </c>
      <c r="F244" s="22">
        <f>'3e Golgari Land Engine'!O45</f>
        <v/>
      </c>
    </row>
    <row r="245">
      <c r="A245" s="13" t="inlineStr">
        <is>
          <t>Golgari Land Engine</t>
        </is>
      </c>
      <c r="B245" s="38" t="inlineStr">
        <is>
          <t>3e</t>
        </is>
      </c>
      <c r="C245" s="38" t="n">
        <v>41</v>
      </c>
      <c r="D245" s="13">
        <f>'3e Golgari Land Engine'!M46</f>
        <v/>
      </c>
      <c r="E245" s="13">
        <f>'3e Golgari Land Engine'!N46</f>
        <v/>
      </c>
      <c r="F245" s="22">
        <f>'3e Golgari Land Engine'!O46</f>
        <v/>
      </c>
    </row>
    <row r="246">
      <c r="A246" s="13" t="inlineStr">
        <is>
          <t>Golgari Land Engine</t>
        </is>
      </c>
      <c r="B246" s="38" t="inlineStr">
        <is>
          <t>3e</t>
        </is>
      </c>
      <c r="C246" s="38" t="n">
        <v>42</v>
      </c>
      <c r="D246" s="13">
        <f>'3e Golgari Land Engine'!M47</f>
        <v/>
      </c>
      <c r="E246" s="13">
        <f>'3e Golgari Land Engine'!N47</f>
        <v/>
      </c>
      <c r="F246" s="22">
        <f>'3e Golgari Land Engine'!O47</f>
        <v/>
      </c>
    </row>
    <row r="247">
      <c r="A247" s="13" t="inlineStr">
        <is>
          <t>Golgari Land Engine</t>
        </is>
      </c>
      <c r="B247" s="38" t="inlineStr">
        <is>
          <t>3e</t>
        </is>
      </c>
      <c r="C247" s="38" t="n">
        <v>43</v>
      </c>
      <c r="D247" s="13">
        <f>'3e Golgari Land Engine'!M48</f>
        <v/>
      </c>
      <c r="E247" s="13">
        <f>'3e Golgari Land Engine'!N48</f>
        <v/>
      </c>
      <c r="F247" s="22">
        <f>'3e Golgari Land Engine'!O48</f>
        <v/>
      </c>
    </row>
    <row r="248">
      <c r="A248" s="13" t="inlineStr">
        <is>
          <t>Golgari Land Engine</t>
        </is>
      </c>
      <c r="B248" s="38" t="inlineStr">
        <is>
          <t>3e</t>
        </is>
      </c>
      <c r="C248" s="38" t="n">
        <v>44</v>
      </c>
      <c r="D248" s="13">
        <f>'3e Golgari Land Engine'!M49</f>
        <v/>
      </c>
      <c r="E248" s="13">
        <f>'3e Golgari Land Engine'!N49</f>
        <v/>
      </c>
      <c r="F248" s="22">
        <f>'3e Golgari Land Engine'!O49</f>
        <v/>
      </c>
    </row>
    <row r="249">
      <c r="A249" s="13" t="inlineStr">
        <is>
          <t>Golgari Land Engine</t>
        </is>
      </c>
      <c r="B249" s="38" t="inlineStr">
        <is>
          <t>3e</t>
        </is>
      </c>
      <c r="C249" s="38" t="n">
        <v>45</v>
      </c>
      <c r="D249" s="13">
        <f>'3e Golgari Land Engine'!M50</f>
        <v/>
      </c>
      <c r="E249" s="13">
        <f>'3e Golgari Land Engine'!N50</f>
        <v/>
      </c>
      <c r="F249" s="22">
        <f>'3e Golgari Land Engine'!O50</f>
        <v/>
      </c>
    </row>
    <row r="250">
      <c r="A250" s="13" t="inlineStr">
        <is>
          <t>Golgari Land Engine</t>
        </is>
      </c>
      <c r="B250" s="38" t="inlineStr">
        <is>
          <t>3e</t>
        </is>
      </c>
      <c r="C250" s="38" t="n">
        <v>46</v>
      </c>
      <c r="D250" s="13">
        <f>'3e Golgari Land Engine'!M51</f>
        <v/>
      </c>
      <c r="E250" s="13">
        <f>'3e Golgari Land Engine'!N51</f>
        <v/>
      </c>
      <c r="F250" s="22">
        <f>'3e Golgari Land Engine'!O51</f>
        <v/>
      </c>
    </row>
    <row r="251">
      <c r="A251" s="13" t="inlineStr">
        <is>
          <t>Golgari Land Engine</t>
        </is>
      </c>
      <c r="B251" s="38" t="inlineStr">
        <is>
          <t>3e</t>
        </is>
      </c>
      <c r="C251" s="38" t="n">
        <v>47</v>
      </c>
      <c r="D251" s="13">
        <f>'3e Golgari Land Engine'!M52</f>
        <v/>
      </c>
      <c r="E251" s="13">
        <f>'3e Golgari Land Engine'!N52</f>
        <v/>
      </c>
      <c r="F251" s="22">
        <f>'3e Golgari Land Engine'!O52</f>
        <v/>
      </c>
    </row>
    <row r="252">
      <c r="A252" s="13" t="inlineStr">
        <is>
          <t>Golgari Land Engine</t>
        </is>
      </c>
      <c r="B252" s="38" t="inlineStr">
        <is>
          <t>3e</t>
        </is>
      </c>
      <c r="C252" s="38" t="n">
        <v>48</v>
      </c>
      <c r="D252" s="13">
        <f>'3e Golgari Land Engine'!M53</f>
        <v/>
      </c>
      <c r="E252" s="13">
        <f>'3e Golgari Land Engine'!N53</f>
        <v/>
      </c>
      <c r="F252" s="22">
        <f>'3e Golgari Land Engine'!O53</f>
        <v/>
      </c>
    </row>
    <row r="253">
      <c r="A253" s="13" t="inlineStr">
        <is>
          <t>Golgari Land Engine</t>
        </is>
      </c>
      <c r="B253" s="38" t="inlineStr">
        <is>
          <t>3e</t>
        </is>
      </c>
      <c r="C253" s="38" t="n">
        <v>49</v>
      </c>
      <c r="D253" s="13">
        <f>'3e Golgari Land Engine'!M54</f>
        <v/>
      </c>
      <c r="E253" s="13">
        <f>'3e Golgari Land Engine'!N54</f>
        <v/>
      </c>
      <c r="F253" s="22">
        <f>'3e Golgari Land Engine'!O54</f>
        <v/>
      </c>
    </row>
    <row r="254">
      <c r="A254" s="13" t="inlineStr">
        <is>
          <t>Golgari Land Engine</t>
        </is>
      </c>
      <c r="B254" s="38" t="inlineStr">
        <is>
          <t>3e</t>
        </is>
      </c>
      <c r="C254" s="38" t="n">
        <v>50</v>
      </c>
      <c r="D254" s="13">
        <f>'3e Golgari Land Engine'!M55</f>
        <v/>
      </c>
      <c r="E254" s="13">
        <f>'3e Golgari Land Engine'!N55</f>
        <v/>
      </c>
      <c r="F254" s="22">
        <f>'3e Golgari Land Engine'!O55</f>
        <v/>
      </c>
    </row>
    <row r="255">
      <c r="A255" s="13" t="inlineStr">
        <is>
          <t>Golgari Land Engine</t>
        </is>
      </c>
      <c r="B255" s="38" t="inlineStr">
        <is>
          <t>3e</t>
        </is>
      </c>
      <c r="C255" s="38" t="n">
        <v>51</v>
      </c>
      <c r="D255" s="13">
        <f>'3e Golgari Land Engine'!M56</f>
        <v/>
      </c>
      <c r="E255" s="13">
        <f>'3e Golgari Land Engine'!N56</f>
        <v/>
      </c>
      <c r="F255" s="22">
        <f>'3e Golgari Land Engine'!O56</f>
        <v/>
      </c>
    </row>
    <row r="256">
      <c r="A256" s="13" t="inlineStr">
        <is>
          <t>Golgari Land Engine</t>
        </is>
      </c>
      <c r="B256" s="38" t="inlineStr">
        <is>
          <t>3e</t>
        </is>
      </c>
      <c r="C256" s="38" t="n">
        <v>52</v>
      </c>
      <c r="D256" s="13">
        <f>'3e Golgari Land Engine'!M57</f>
        <v/>
      </c>
      <c r="E256" s="13">
        <f>'3e Golgari Land Engine'!N57</f>
        <v/>
      </c>
      <c r="F256" s="22">
        <f>'3e Golgari Land Engine'!O57</f>
        <v/>
      </c>
    </row>
    <row r="257">
      <c r="A257" s="13" t="inlineStr">
        <is>
          <t>Golgari Land Engine</t>
        </is>
      </c>
      <c r="B257" s="38" t="inlineStr">
        <is>
          <t>3e</t>
        </is>
      </c>
      <c r="C257" s="38" t="n">
        <v>53</v>
      </c>
      <c r="D257" s="13">
        <f>'3e Golgari Land Engine'!M58</f>
        <v/>
      </c>
      <c r="E257" s="13">
        <f>'3e Golgari Land Engine'!N58</f>
        <v/>
      </c>
      <c r="F257" s="22">
        <f>'3e Golgari Land Engine'!O58</f>
        <v/>
      </c>
    </row>
    <row r="258">
      <c r="A258" s="13" t="inlineStr">
        <is>
          <t>Golgari Land Engine</t>
        </is>
      </c>
      <c r="B258" s="38" t="inlineStr">
        <is>
          <t>3e</t>
        </is>
      </c>
      <c r="C258" s="38" t="n">
        <v>54</v>
      </c>
      <c r="D258" s="13">
        <f>'3e Golgari Land Engine'!M59</f>
        <v/>
      </c>
      <c r="E258" s="13">
        <f>'3e Golgari Land Engine'!N59</f>
        <v/>
      </c>
      <c r="F258" s="22">
        <f>'3e Golgari Land Engine'!O59</f>
        <v/>
      </c>
    </row>
    <row r="259">
      <c r="A259" s="13" t="inlineStr">
        <is>
          <t>Golgari Land Engine</t>
        </is>
      </c>
      <c r="B259" s="38" t="inlineStr">
        <is>
          <t>3e</t>
        </is>
      </c>
      <c r="C259" s="38" t="n">
        <v>55</v>
      </c>
      <c r="D259" s="13">
        <f>'3e Golgari Land Engine'!M60</f>
        <v/>
      </c>
      <c r="E259" s="13">
        <f>'3e Golgari Land Engine'!N60</f>
        <v/>
      </c>
      <c r="F259" s="22">
        <f>'3e Golgari Land Engine'!O60</f>
        <v/>
      </c>
    </row>
    <row r="260">
      <c r="A260" s="13" t="inlineStr">
        <is>
          <t>Golgari Land Engine</t>
        </is>
      </c>
      <c r="B260" s="38" t="inlineStr">
        <is>
          <t>3e</t>
        </is>
      </c>
      <c r="C260" s="38" t="n">
        <v>56</v>
      </c>
      <c r="D260" s="13">
        <f>'3e Golgari Land Engine'!M61</f>
        <v/>
      </c>
      <c r="E260" s="13">
        <f>'3e Golgari Land Engine'!N61</f>
        <v/>
      </c>
      <c r="F260" s="22">
        <f>'3e Golgari Land Engine'!O61</f>
        <v/>
      </c>
    </row>
    <row r="261">
      <c r="A261" s="13" t="inlineStr">
        <is>
          <t>Golgari Land Engine</t>
        </is>
      </c>
      <c r="B261" s="38" t="inlineStr">
        <is>
          <t>3e</t>
        </is>
      </c>
      <c r="C261" s="38" t="n">
        <v>57</v>
      </c>
      <c r="D261" s="13">
        <f>'3e Golgari Land Engine'!M62</f>
        <v/>
      </c>
      <c r="E261" s="13">
        <f>'3e Golgari Land Engine'!N62</f>
        <v/>
      </c>
      <c r="F261" s="22">
        <f>'3e Golgari Land Engine'!O62</f>
        <v/>
      </c>
    </row>
    <row r="262">
      <c r="A262" s="13" t="inlineStr">
        <is>
          <t>Golgari Land Engine</t>
        </is>
      </c>
      <c r="B262" s="38" t="inlineStr">
        <is>
          <t>3e</t>
        </is>
      </c>
      <c r="C262" s="38" t="n">
        <v>58</v>
      </c>
      <c r="D262" s="13">
        <f>'3e Golgari Land Engine'!M63</f>
        <v/>
      </c>
      <c r="E262" s="13">
        <f>'3e Golgari Land Engine'!N63</f>
        <v/>
      </c>
      <c r="F262" s="22">
        <f>'3e Golgari Land Engine'!O63</f>
        <v/>
      </c>
    </row>
    <row r="263">
      <c r="A263" s="13" t="inlineStr">
        <is>
          <t>Golgari Land Engine</t>
        </is>
      </c>
      <c r="B263" s="38" t="inlineStr">
        <is>
          <t>3e</t>
        </is>
      </c>
      <c r="C263" s="38" t="n">
        <v>59</v>
      </c>
      <c r="D263" s="13">
        <f>'3e Golgari Land Engine'!M64</f>
        <v/>
      </c>
      <c r="E263" s="13">
        <f>'3e Golgari Land Engine'!N64</f>
        <v/>
      </c>
      <c r="F263" s="22">
        <f>'3e Golgari Land Engine'!O64</f>
        <v/>
      </c>
    </row>
    <row r="264">
      <c r="A264" s="13" t="inlineStr">
        <is>
          <t>Golgari Land Engine</t>
        </is>
      </c>
      <c r="B264" s="38" t="inlineStr">
        <is>
          <t>3e</t>
        </is>
      </c>
      <c r="C264" s="38" t="n">
        <v>60</v>
      </c>
      <c r="D264" s="13">
        <f>'3e Golgari Land Engine'!M65</f>
        <v/>
      </c>
      <c r="E264" s="13">
        <f>'3e Golgari Land Engine'!N65</f>
        <v/>
      </c>
      <c r="F264" s="22">
        <f>'3e Golgari Land Engine'!O65</f>
        <v/>
      </c>
    </row>
    <row r="265">
      <c r="A265" s="13" t="inlineStr">
        <is>
          <t>Golgari Land Engine</t>
        </is>
      </c>
      <c r="B265" s="38" t="inlineStr">
        <is>
          <t>3e</t>
        </is>
      </c>
      <c r="C265" s="38" t="n">
        <v>61</v>
      </c>
      <c r="D265" s="13">
        <f>'3e Golgari Land Engine'!M66</f>
        <v/>
      </c>
      <c r="E265" s="13">
        <f>'3e Golgari Land Engine'!N66</f>
        <v/>
      </c>
      <c r="F265" s="22">
        <f>'3e Golgari Land Engine'!O66</f>
        <v/>
      </c>
    </row>
    <row r="266">
      <c r="A266" s="13" t="inlineStr">
        <is>
          <t>Golgari Land Engine</t>
        </is>
      </c>
      <c r="B266" s="38" t="inlineStr">
        <is>
          <t>3e</t>
        </is>
      </c>
      <c r="C266" s="38" t="n">
        <v>62</v>
      </c>
      <c r="D266" s="13">
        <f>'3e Golgari Land Engine'!M67</f>
        <v/>
      </c>
      <c r="E266" s="13">
        <f>'3e Golgari Land Engine'!N67</f>
        <v/>
      </c>
      <c r="F266" s="22">
        <f>'3e Golgari Land Engine'!O67</f>
        <v/>
      </c>
    </row>
    <row r="267">
      <c r="A267" s="13" t="inlineStr">
        <is>
          <t>Golgari Land Engine</t>
        </is>
      </c>
      <c r="B267" s="38" t="inlineStr">
        <is>
          <t>3e</t>
        </is>
      </c>
      <c r="C267" s="38" t="n">
        <v>63</v>
      </c>
      <c r="D267" s="13">
        <f>'3e Golgari Land Engine'!M68</f>
        <v/>
      </c>
      <c r="E267" s="13">
        <f>'3e Golgari Land Engine'!N68</f>
        <v/>
      </c>
      <c r="F267" s="22">
        <f>'3e Golgari Land Engine'!O68</f>
        <v/>
      </c>
    </row>
    <row r="268">
      <c r="A268" s="13" t="inlineStr">
        <is>
          <t>Golgari Land Engine</t>
        </is>
      </c>
      <c r="B268" s="38" t="inlineStr">
        <is>
          <t>3e</t>
        </is>
      </c>
      <c r="C268" s="38" t="n">
        <v>64</v>
      </c>
      <c r="D268" s="13">
        <f>'3e Golgari Land Engine'!M69</f>
        <v/>
      </c>
      <c r="E268" s="13">
        <f>'3e Golgari Land Engine'!N69</f>
        <v/>
      </c>
      <c r="F268" s="22">
        <f>'3e Golgari Land Engine'!O69</f>
        <v/>
      </c>
    </row>
    <row r="269">
      <c r="A269" s="13" t="inlineStr">
        <is>
          <t>Golgari Land Engine</t>
        </is>
      </c>
      <c r="B269" s="38" t="inlineStr">
        <is>
          <t>3e</t>
        </is>
      </c>
      <c r="C269" s="38" t="n">
        <v>65</v>
      </c>
      <c r="D269" s="13">
        <f>'3e Golgari Land Engine'!M70</f>
        <v/>
      </c>
      <c r="E269" s="13">
        <f>'3e Golgari Land Engine'!N70</f>
        <v/>
      </c>
      <c r="F269" s="22">
        <f>'3e Golgari Land Engine'!O70</f>
        <v/>
      </c>
    </row>
    <row r="270">
      <c r="A270" s="13" t="inlineStr">
        <is>
          <t>Golgari Land Engine</t>
        </is>
      </c>
      <c r="B270" s="38" t="inlineStr">
        <is>
          <t>3e</t>
        </is>
      </c>
      <c r="C270" s="38" t="n">
        <v>66</v>
      </c>
      <c r="D270" s="13">
        <f>'3e Golgari Land Engine'!M71</f>
        <v/>
      </c>
      <c r="E270" s="13">
        <f>'3e Golgari Land Engine'!N71</f>
        <v/>
      </c>
      <c r="F270" s="22">
        <f>'3e Golgari Land Engine'!O71</f>
        <v/>
      </c>
    </row>
    <row r="271">
      <c r="A271" s="13" t="inlineStr">
        <is>
          <t>Golgari Land Engine</t>
        </is>
      </c>
      <c r="B271" s="38" t="inlineStr">
        <is>
          <t>3e</t>
        </is>
      </c>
      <c r="C271" s="38" t="n">
        <v>67</v>
      </c>
      <c r="D271" s="13">
        <f>'3e Golgari Land Engine'!M72</f>
        <v/>
      </c>
      <c r="E271" s="13">
        <f>'3e Golgari Land Engine'!N72</f>
        <v/>
      </c>
      <c r="F271" s="22">
        <f>'3e Golgari Land Engine'!O72</f>
        <v/>
      </c>
    </row>
    <row r="272">
      <c r="A272" s="13" t="inlineStr">
        <is>
          <t>Golgari Land Engine</t>
        </is>
      </c>
      <c r="B272" s="38" t="inlineStr">
        <is>
          <t>3e</t>
        </is>
      </c>
      <c r="C272" s="38" t="n">
        <v>68</v>
      </c>
      <c r="D272" s="13">
        <f>'3e Golgari Land Engine'!M73</f>
        <v/>
      </c>
      <c r="E272" s="13">
        <f>'3e Golgari Land Engine'!N73</f>
        <v/>
      </c>
      <c r="F272" s="22">
        <f>'3e Golgari Land Engine'!O73</f>
        <v/>
      </c>
    </row>
    <row r="273">
      <c r="A273" s="13" t="inlineStr">
        <is>
          <t>Golgari Land Engine</t>
        </is>
      </c>
      <c r="B273" s="38" t="inlineStr">
        <is>
          <t>3e</t>
        </is>
      </c>
      <c r="C273" s="38" t="n">
        <v>69</v>
      </c>
      <c r="D273" s="13">
        <f>'3e Golgari Land Engine'!M74</f>
        <v/>
      </c>
      <c r="E273" s="13">
        <f>'3e Golgari Land Engine'!N74</f>
        <v/>
      </c>
      <c r="F273" s="22">
        <f>'3e Golgari Land Engine'!O74</f>
        <v/>
      </c>
    </row>
    <row r="274">
      <c r="A274" s="13" t="inlineStr">
        <is>
          <t>Golgari Land Engine</t>
        </is>
      </c>
      <c r="B274" s="38" t="inlineStr">
        <is>
          <t>3e</t>
        </is>
      </c>
      <c r="C274" s="38" t="n">
        <v>70</v>
      </c>
      <c r="D274" s="13">
        <f>'3e Golgari Land Engine'!M75</f>
        <v/>
      </c>
      <c r="E274" s="13">
        <f>'3e Golgari Land Engine'!N75</f>
        <v/>
      </c>
      <c r="F274" s="22">
        <f>'3e Golgari Land Engine'!O75</f>
        <v/>
      </c>
    </row>
    <row r="275">
      <c r="A275" s="13" t="inlineStr">
        <is>
          <t>Golgari Land Engine</t>
        </is>
      </c>
      <c r="B275" s="38" t="inlineStr">
        <is>
          <t>3e</t>
        </is>
      </c>
      <c r="C275" s="38" t="n">
        <v>71</v>
      </c>
      <c r="D275" s="13">
        <f>'3e Golgari Land Engine'!M76</f>
        <v/>
      </c>
      <c r="E275" s="13">
        <f>'3e Golgari Land Engine'!N76</f>
        <v/>
      </c>
      <c r="F275" s="22">
        <f>'3e Golgari Land Engine'!O76</f>
        <v/>
      </c>
    </row>
    <row r="276">
      <c r="A276" s="13" t="inlineStr">
        <is>
          <t>Golgari Land Engine</t>
        </is>
      </c>
      <c r="B276" s="38" t="inlineStr">
        <is>
          <t>3e</t>
        </is>
      </c>
      <c r="C276" s="38" t="n">
        <v>72</v>
      </c>
      <c r="D276" s="13">
        <f>'3e Golgari Land Engine'!M77</f>
        <v/>
      </c>
      <c r="E276" s="13">
        <f>'3e Golgari Land Engine'!N77</f>
        <v/>
      </c>
      <c r="F276" s="22">
        <f>'3e Golgari Land Engine'!O77</f>
        <v/>
      </c>
    </row>
    <row r="277">
      <c r="A277" s="13" t="inlineStr">
        <is>
          <t>Golgari Land Engine</t>
        </is>
      </c>
      <c r="B277" s="38" t="inlineStr">
        <is>
          <t>3e</t>
        </is>
      </c>
      <c r="C277" s="38" t="n">
        <v>73</v>
      </c>
      <c r="D277" s="13">
        <f>'3e Golgari Land Engine'!M78</f>
        <v/>
      </c>
      <c r="E277" s="13">
        <f>'3e Golgari Land Engine'!N78</f>
        <v/>
      </c>
      <c r="F277" s="22">
        <f>'3e Golgari Land Engine'!O78</f>
        <v/>
      </c>
    </row>
    <row r="278">
      <c r="A278" s="13" t="inlineStr">
        <is>
          <t>Golgari Land Engine</t>
        </is>
      </c>
      <c r="B278" s="38" t="inlineStr">
        <is>
          <t>3e</t>
        </is>
      </c>
      <c r="C278" s="38" t="n">
        <v>74</v>
      </c>
      <c r="D278" s="13">
        <f>'3e Golgari Land Engine'!M79</f>
        <v/>
      </c>
      <c r="E278" s="13">
        <f>'3e Golgari Land Engine'!N79</f>
        <v/>
      </c>
      <c r="F278" s="22">
        <f>'3e Golgari Land Engine'!O79</f>
        <v/>
      </c>
    </row>
    <row r="279">
      <c r="A279" s="13" t="inlineStr">
        <is>
          <t>Golgari Land Engine</t>
        </is>
      </c>
      <c r="B279" s="38" t="inlineStr">
        <is>
          <t>3e</t>
        </is>
      </c>
      <c r="C279" s="38" t="n">
        <v>75</v>
      </c>
      <c r="D279" s="13">
        <f>'3e Golgari Land Engine'!M80</f>
        <v/>
      </c>
      <c r="E279" s="13">
        <f>'3e Golgari Land Engine'!N80</f>
        <v/>
      </c>
      <c r="F279" s="22">
        <f>'3e Golgari Land Engine'!O80</f>
        <v/>
      </c>
    </row>
    <row r="280">
      <c r="A280" s="13" t="inlineStr">
        <is>
          <t>Golgari Land Engine</t>
        </is>
      </c>
      <c r="B280" s="38" t="inlineStr">
        <is>
          <t>3e</t>
        </is>
      </c>
      <c r="C280" s="38" t="n">
        <v>76</v>
      </c>
      <c r="D280" s="13">
        <f>'3e Golgari Land Engine'!M81</f>
        <v/>
      </c>
      <c r="E280" s="13">
        <f>'3e Golgari Land Engine'!N81</f>
        <v/>
      </c>
      <c r="F280" s="22">
        <f>'3e Golgari Land Engine'!O81</f>
        <v/>
      </c>
    </row>
    <row r="281">
      <c r="A281" s="13" t="inlineStr">
        <is>
          <t>Golgari Land Engine</t>
        </is>
      </c>
      <c r="B281" s="38" t="inlineStr">
        <is>
          <t>3e</t>
        </is>
      </c>
      <c r="C281" s="38" t="n">
        <v>77</v>
      </c>
      <c r="D281" s="13">
        <f>'3e Golgari Land Engine'!M82</f>
        <v/>
      </c>
      <c r="E281" s="13">
        <f>'3e Golgari Land Engine'!N82</f>
        <v/>
      </c>
      <c r="F281" s="22">
        <f>'3e Golgari Land Engine'!O82</f>
        <v/>
      </c>
    </row>
    <row r="282">
      <c r="A282" s="13" t="inlineStr">
        <is>
          <t>Golgari Land Engine</t>
        </is>
      </c>
      <c r="B282" s="38" t="inlineStr">
        <is>
          <t>3e</t>
        </is>
      </c>
      <c r="C282" s="38" t="n">
        <v>78</v>
      </c>
      <c r="D282" s="13">
        <f>'3e Golgari Land Engine'!M83</f>
        <v/>
      </c>
      <c r="E282" s="13">
        <f>'3e Golgari Land Engine'!N83</f>
        <v/>
      </c>
      <c r="F282" s="22">
        <f>'3e Golgari Land Engine'!O83</f>
        <v/>
      </c>
    </row>
    <row r="283">
      <c r="A283" s="13" t="inlineStr">
        <is>
          <t>Golgari Land Engine</t>
        </is>
      </c>
      <c r="B283" s="38" t="inlineStr">
        <is>
          <t>3e</t>
        </is>
      </c>
      <c r="C283" s="38" t="n">
        <v>79</v>
      </c>
      <c r="D283" s="13">
        <f>'3e Golgari Land Engine'!M84</f>
        <v/>
      </c>
      <c r="E283" s="13">
        <f>'3e Golgari Land Engine'!N84</f>
        <v/>
      </c>
      <c r="F283" s="22">
        <f>'3e Golgari Land Engine'!O84</f>
        <v/>
      </c>
    </row>
    <row r="284">
      <c r="A284" s="13" t="inlineStr">
        <is>
          <t>Golgari Land Engine</t>
        </is>
      </c>
      <c r="B284" s="38" t="inlineStr">
        <is>
          <t>3e</t>
        </is>
      </c>
      <c r="C284" s="38" t="n">
        <v>80</v>
      </c>
      <c r="D284" s="13">
        <f>'3e Golgari Land Engine'!M85</f>
        <v/>
      </c>
      <c r="E284" s="13">
        <f>'3e Golgari Land Engine'!N85</f>
        <v/>
      </c>
      <c r="F284" s="22">
        <f>'3e Golgari Land Engine'!O85</f>
        <v/>
      </c>
    </row>
    <row r="285">
      <c r="A285" s="13" t="inlineStr">
        <is>
          <t>Golgari Land Engine</t>
        </is>
      </c>
      <c r="B285" s="38" t="inlineStr">
        <is>
          <t>3e</t>
        </is>
      </c>
      <c r="C285" s="38" t="n">
        <v>81</v>
      </c>
      <c r="D285" s="13">
        <f>'3e Golgari Land Engine'!M86</f>
        <v/>
      </c>
      <c r="E285" s="13">
        <f>'3e Golgari Land Engine'!N86</f>
        <v/>
      </c>
      <c r="F285" s="22">
        <f>'3e Golgari Land Engine'!O86</f>
        <v/>
      </c>
    </row>
    <row r="286">
      <c r="A286" s="13" t="inlineStr">
        <is>
          <t>Golgari Land Engine</t>
        </is>
      </c>
      <c r="B286" s="38" t="inlineStr">
        <is>
          <t>3e</t>
        </is>
      </c>
      <c r="C286" s="38" t="n">
        <v>82</v>
      </c>
      <c r="D286" s="13">
        <f>'3e Golgari Land Engine'!M87</f>
        <v/>
      </c>
      <c r="E286" s="13">
        <f>'3e Golgari Land Engine'!N87</f>
        <v/>
      </c>
      <c r="F286" s="22">
        <f>'3e Golgari Land Engine'!O87</f>
        <v/>
      </c>
    </row>
    <row r="287">
      <c r="A287" s="13" t="inlineStr">
        <is>
          <t>Golgari Land Engine</t>
        </is>
      </c>
      <c r="B287" s="38" t="inlineStr">
        <is>
          <t>3e</t>
        </is>
      </c>
      <c r="C287" s="38" t="n">
        <v>83</v>
      </c>
      <c r="D287" s="13">
        <f>'3e Golgari Land Engine'!M88</f>
        <v/>
      </c>
      <c r="E287" s="13">
        <f>'3e Golgari Land Engine'!N88</f>
        <v/>
      </c>
      <c r="F287" s="22">
        <f>'3e Golgari Land Engine'!O88</f>
        <v/>
      </c>
    </row>
    <row r="288">
      <c r="A288" s="13" t="inlineStr">
        <is>
          <t>Golgari Land Engine</t>
        </is>
      </c>
      <c r="B288" s="38" t="inlineStr">
        <is>
          <t>3e</t>
        </is>
      </c>
      <c r="C288" s="38" t="n">
        <v>84</v>
      </c>
      <c r="D288" s="13">
        <f>'3e Golgari Land Engine'!M89</f>
        <v/>
      </c>
      <c r="E288" s="13">
        <f>'3e Golgari Land Engine'!N89</f>
        <v/>
      </c>
      <c r="F288" s="22">
        <f>'3e Golgari Land Engine'!O89</f>
        <v/>
      </c>
    </row>
    <row r="289">
      <c r="A289" s="13" t="inlineStr">
        <is>
          <t>Golgari Land Engine</t>
        </is>
      </c>
      <c r="B289" s="38" t="inlineStr">
        <is>
          <t>3e</t>
        </is>
      </c>
      <c r="C289" s="38" t="n">
        <v>85</v>
      </c>
      <c r="D289" s="13">
        <f>'3e Golgari Land Engine'!M90</f>
        <v/>
      </c>
      <c r="E289" s="13">
        <f>'3e Golgari Land Engine'!N90</f>
        <v/>
      </c>
      <c r="F289" s="22">
        <f>'3e Golgari Land Engine'!O90</f>
        <v/>
      </c>
    </row>
    <row r="290">
      <c r="A290" s="13" t="inlineStr">
        <is>
          <t>Golgari Land Engine</t>
        </is>
      </c>
      <c r="B290" s="38" t="inlineStr">
        <is>
          <t>3e</t>
        </is>
      </c>
      <c r="C290" s="38" t="n">
        <v>86</v>
      </c>
      <c r="D290" s="13">
        <f>'3e Golgari Land Engine'!M91</f>
        <v/>
      </c>
      <c r="E290" s="13">
        <f>'3e Golgari Land Engine'!N91</f>
        <v/>
      </c>
      <c r="F290" s="22">
        <f>'3e Golgari Land Engine'!O91</f>
        <v/>
      </c>
    </row>
    <row r="291">
      <c r="A291" s="13" t="inlineStr">
        <is>
          <t>Golgari Land Engine</t>
        </is>
      </c>
      <c r="B291" s="38" t="inlineStr">
        <is>
          <t>3e</t>
        </is>
      </c>
      <c r="C291" s="38" t="n">
        <v>87</v>
      </c>
      <c r="D291" s="13">
        <f>'3e Golgari Land Engine'!M92</f>
        <v/>
      </c>
      <c r="E291" s="13">
        <f>'3e Golgari Land Engine'!N92</f>
        <v/>
      </c>
      <c r="F291" s="22">
        <f>'3e Golgari Land Engine'!O92</f>
        <v/>
      </c>
    </row>
    <row r="292">
      <c r="A292" s="13" t="inlineStr">
        <is>
          <t>Golgari Land Engine</t>
        </is>
      </c>
      <c r="B292" s="38" t="inlineStr">
        <is>
          <t>3e</t>
        </is>
      </c>
      <c r="C292" s="38" t="n">
        <v>88</v>
      </c>
      <c r="D292" s="13">
        <f>'3e Golgari Land Engine'!M93</f>
        <v/>
      </c>
      <c r="E292" s="13">
        <f>'3e Golgari Land Engine'!N93</f>
        <v/>
      </c>
      <c r="F292" s="22">
        <f>'3e Golgari Land Engine'!O93</f>
        <v/>
      </c>
    </row>
    <row r="293">
      <c r="A293" s="13" t="inlineStr">
        <is>
          <t>Golgari Land Engine</t>
        </is>
      </c>
      <c r="B293" s="38" t="inlineStr">
        <is>
          <t>3e</t>
        </is>
      </c>
      <c r="C293" s="38" t="n">
        <v>89</v>
      </c>
      <c r="D293" s="13">
        <f>'3e Golgari Land Engine'!M94</f>
        <v/>
      </c>
      <c r="E293" s="13">
        <f>'3e Golgari Land Engine'!N94</f>
        <v/>
      </c>
      <c r="F293" s="22">
        <f>'3e Golgari Land Engine'!O94</f>
        <v/>
      </c>
    </row>
    <row r="294">
      <c r="A294" s="13" t="inlineStr">
        <is>
          <t>Golgari Land Engine</t>
        </is>
      </c>
      <c r="B294" s="38" t="inlineStr">
        <is>
          <t>3e</t>
        </is>
      </c>
      <c r="C294" s="38" t="n">
        <v>90</v>
      </c>
      <c r="D294" s="13">
        <f>'3e Golgari Land Engine'!M95</f>
        <v/>
      </c>
      <c r="E294" s="13">
        <f>'3e Golgari Land Engine'!N95</f>
        <v/>
      </c>
      <c r="F294" s="22">
        <f>'3e Golgari Land Engine'!O95</f>
        <v/>
      </c>
    </row>
    <row r="295">
      <c r="A295" s="13" t="inlineStr">
        <is>
          <t>Golgari Land Engine</t>
        </is>
      </c>
      <c r="B295" s="38" t="inlineStr">
        <is>
          <t>3e</t>
        </is>
      </c>
      <c r="C295" s="38" t="n">
        <v>91</v>
      </c>
      <c r="D295" s="13">
        <f>'3e Golgari Land Engine'!M96</f>
        <v/>
      </c>
      <c r="E295" s="13">
        <f>'3e Golgari Land Engine'!N96</f>
        <v/>
      </c>
      <c r="F295" s="22">
        <f>'3e Golgari Land Engine'!O96</f>
        <v/>
      </c>
    </row>
    <row r="296">
      <c r="A296" s="13" t="inlineStr">
        <is>
          <t>Golgari Land Engine</t>
        </is>
      </c>
      <c r="B296" s="38" t="inlineStr">
        <is>
          <t>3e</t>
        </is>
      </c>
      <c r="C296" s="38" t="n">
        <v>92</v>
      </c>
      <c r="D296" s="13">
        <f>'3e Golgari Land Engine'!M97</f>
        <v/>
      </c>
      <c r="E296" s="13">
        <f>'3e Golgari Land Engine'!N97</f>
        <v/>
      </c>
      <c r="F296" s="22">
        <f>'3e Golgari Land Engine'!O97</f>
        <v/>
      </c>
    </row>
    <row r="297">
      <c r="A297" s="13" t="inlineStr">
        <is>
          <t>Golgari Land Engine</t>
        </is>
      </c>
      <c r="B297" s="38" t="inlineStr">
        <is>
          <t>3e</t>
        </is>
      </c>
      <c r="C297" s="38" t="n">
        <v>93</v>
      </c>
      <c r="D297" s="13">
        <f>'3e Golgari Land Engine'!M98</f>
        <v/>
      </c>
      <c r="E297" s="13">
        <f>'3e Golgari Land Engine'!N98</f>
        <v/>
      </c>
      <c r="F297" s="22">
        <f>'3e Golgari Land Engine'!O98</f>
        <v/>
      </c>
    </row>
    <row r="298">
      <c r="A298" s="13" t="inlineStr">
        <is>
          <t>Golgari Land Engine</t>
        </is>
      </c>
      <c r="B298" s="38" t="inlineStr">
        <is>
          <t>3e</t>
        </is>
      </c>
      <c r="C298" s="38" t="n">
        <v>94</v>
      </c>
      <c r="D298" s="13">
        <f>'3e Golgari Land Engine'!M99</f>
        <v/>
      </c>
      <c r="E298" s="13">
        <f>'3e Golgari Land Engine'!N99</f>
        <v/>
      </c>
      <c r="F298" s="22">
        <f>'3e Golgari Land Engine'!O99</f>
        <v/>
      </c>
    </row>
    <row r="299">
      <c r="A299" s="13" t="inlineStr">
        <is>
          <t>Golgari Land Engine</t>
        </is>
      </c>
      <c r="B299" s="38" t="inlineStr">
        <is>
          <t>3e</t>
        </is>
      </c>
      <c r="C299" s="38" t="n">
        <v>95</v>
      </c>
      <c r="D299" s="13">
        <f>'3e Golgari Land Engine'!M100</f>
        <v/>
      </c>
      <c r="E299" s="13">
        <f>'3e Golgari Land Engine'!N100</f>
        <v/>
      </c>
      <c r="F299" s="22">
        <f>'3e Golgari Land Engine'!O100</f>
        <v/>
      </c>
    </row>
    <row r="300">
      <c r="A300" s="13" t="inlineStr">
        <is>
          <t>Golgari Land Engine</t>
        </is>
      </c>
      <c r="B300" s="38" t="inlineStr">
        <is>
          <t>3e</t>
        </is>
      </c>
      <c r="C300" s="38" t="n">
        <v>96</v>
      </c>
      <c r="D300" s="13">
        <f>'3e Golgari Land Engine'!M101</f>
        <v/>
      </c>
      <c r="E300" s="13">
        <f>'3e Golgari Land Engine'!N101</f>
        <v/>
      </c>
      <c r="F300" s="22">
        <f>'3e Golgari Land Engine'!O101</f>
        <v/>
      </c>
    </row>
    <row r="301">
      <c r="A301" s="13" t="inlineStr">
        <is>
          <t>Golgari Land Engine</t>
        </is>
      </c>
      <c r="B301" s="38" t="inlineStr">
        <is>
          <t>3e</t>
        </is>
      </c>
      <c r="C301" s="38" t="n">
        <v>97</v>
      </c>
      <c r="D301" s="13">
        <f>'3e Golgari Land Engine'!M102</f>
        <v/>
      </c>
      <c r="E301" s="13">
        <f>'3e Golgari Land Engine'!N102</f>
        <v/>
      </c>
      <c r="F301" s="22">
        <f>'3e Golgari Land Engine'!O102</f>
        <v/>
      </c>
    </row>
    <row r="302">
      <c r="A302" s="13" t="inlineStr">
        <is>
          <t>Golgari Land Engine</t>
        </is>
      </c>
      <c r="B302" s="38" t="inlineStr">
        <is>
          <t>3e</t>
        </is>
      </c>
      <c r="C302" s="38" t="n">
        <v>98</v>
      </c>
      <c r="D302" s="13">
        <f>'3e Golgari Land Engine'!M103</f>
        <v/>
      </c>
      <c r="E302" s="13">
        <f>'3e Golgari Land Engine'!N103</f>
        <v/>
      </c>
      <c r="F302" s="22">
        <f>'3e Golgari Land Engine'!O103</f>
        <v/>
      </c>
    </row>
    <row r="303">
      <c r="A303" s="13" t="inlineStr">
        <is>
          <t>Golgari Land Engine</t>
        </is>
      </c>
      <c r="B303" s="38" t="inlineStr">
        <is>
          <t>3e</t>
        </is>
      </c>
      <c r="C303" s="38" t="n">
        <v>99</v>
      </c>
      <c r="D303" s="13">
        <f>'3e Golgari Land Engine'!M104</f>
        <v/>
      </c>
      <c r="E303" s="13">
        <f>'3e Golgari Land Engine'!N104</f>
        <v/>
      </c>
      <c r="F303" s="22">
        <f>'3e Golgari Land Engine'!O104</f>
        <v/>
      </c>
    </row>
    <row r="304">
      <c r="A304" s="13" t="inlineStr">
        <is>
          <t>Golgari Land Engine</t>
        </is>
      </c>
      <c r="B304" s="38" t="inlineStr">
        <is>
          <t>3e</t>
        </is>
      </c>
      <c r="C304" s="38" t="n">
        <v>100</v>
      </c>
      <c r="D304" s="13">
        <f>'3e Golgari Land Engine'!M105</f>
        <v/>
      </c>
      <c r="E304" s="13">
        <f>'3e Golgari Land Engine'!N105</f>
        <v/>
      </c>
      <c r="F304" s="22">
        <f>'3e Golgari Land Engine'!O105</f>
        <v/>
      </c>
    </row>
    <row r="305">
      <c r="A305" s="13" t="inlineStr">
        <is>
          <t>Bant Walls</t>
        </is>
      </c>
      <c r="B305" s="38" t="inlineStr">
        <is>
          <t>4c</t>
        </is>
      </c>
      <c r="C305" s="38" t="n">
        <v>1</v>
      </c>
      <c r="D305" s="13">
        <f>'4c Bant Walls'!K6</f>
        <v/>
      </c>
      <c r="E305" s="13">
        <f>'4c Bant Walls'!L6</f>
        <v/>
      </c>
      <c r="F305" s="22">
        <f>'4c Bant Walls'!M6</f>
        <v/>
      </c>
    </row>
    <row r="306">
      <c r="A306" s="13" t="inlineStr">
        <is>
          <t>Bant Walls</t>
        </is>
      </c>
      <c r="B306" s="38" t="inlineStr">
        <is>
          <t>4c</t>
        </is>
      </c>
      <c r="C306" s="38" t="n">
        <v>2</v>
      </c>
      <c r="D306" s="13">
        <f>'4c Bant Walls'!K7</f>
        <v/>
      </c>
      <c r="E306" s="13">
        <f>'4c Bant Walls'!L7</f>
        <v/>
      </c>
      <c r="F306" s="22">
        <f>'4c Bant Walls'!M7</f>
        <v/>
      </c>
    </row>
    <row r="307">
      <c r="A307" s="13" t="inlineStr">
        <is>
          <t>Bant Walls</t>
        </is>
      </c>
      <c r="B307" s="38" t="inlineStr">
        <is>
          <t>4c</t>
        </is>
      </c>
      <c r="C307" s="38" t="n">
        <v>3</v>
      </c>
      <c r="D307" s="13">
        <f>'4c Bant Walls'!K8</f>
        <v/>
      </c>
      <c r="E307" s="13">
        <f>'4c Bant Walls'!L8</f>
        <v/>
      </c>
      <c r="F307" s="22">
        <f>'4c Bant Walls'!M8</f>
        <v/>
      </c>
    </row>
    <row r="308">
      <c r="A308" s="13" t="inlineStr">
        <is>
          <t>Bant Walls</t>
        </is>
      </c>
      <c r="B308" s="38" t="inlineStr">
        <is>
          <t>4c</t>
        </is>
      </c>
      <c r="C308" s="38" t="n">
        <v>4</v>
      </c>
      <c r="D308" s="13">
        <f>'4c Bant Walls'!K9</f>
        <v/>
      </c>
      <c r="E308" s="13">
        <f>'4c Bant Walls'!L9</f>
        <v/>
      </c>
      <c r="F308" s="22">
        <f>'4c Bant Walls'!M9</f>
        <v/>
      </c>
    </row>
    <row r="309">
      <c r="A309" s="13" t="inlineStr">
        <is>
          <t>Bant Walls</t>
        </is>
      </c>
      <c r="B309" s="38" t="inlineStr">
        <is>
          <t>4c</t>
        </is>
      </c>
      <c r="C309" s="38" t="n">
        <v>5</v>
      </c>
      <c r="D309" s="13">
        <f>'4c Bant Walls'!K10</f>
        <v/>
      </c>
      <c r="E309" s="13">
        <f>'4c Bant Walls'!L10</f>
        <v/>
      </c>
      <c r="F309" s="22">
        <f>'4c Bant Walls'!M10</f>
        <v/>
      </c>
    </row>
    <row r="310">
      <c r="A310" s="13" t="inlineStr">
        <is>
          <t>Bant Walls</t>
        </is>
      </c>
      <c r="B310" s="38" t="inlineStr">
        <is>
          <t>4c</t>
        </is>
      </c>
      <c r="C310" s="38" t="n">
        <v>6</v>
      </c>
      <c r="D310" s="13">
        <f>'4c Bant Walls'!K11</f>
        <v/>
      </c>
      <c r="E310" s="13">
        <f>'4c Bant Walls'!L11</f>
        <v/>
      </c>
      <c r="F310" s="22">
        <f>'4c Bant Walls'!M11</f>
        <v/>
      </c>
    </row>
    <row r="311">
      <c r="A311" s="13" t="inlineStr">
        <is>
          <t>Bant Walls</t>
        </is>
      </c>
      <c r="B311" s="38" t="inlineStr">
        <is>
          <t>4c</t>
        </is>
      </c>
      <c r="C311" s="38" t="n">
        <v>7</v>
      </c>
      <c r="D311" s="13">
        <f>'4c Bant Walls'!K12</f>
        <v/>
      </c>
      <c r="E311" s="13">
        <f>'4c Bant Walls'!L12</f>
        <v/>
      </c>
      <c r="F311" s="22">
        <f>'4c Bant Walls'!M12</f>
        <v/>
      </c>
    </row>
    <row r="312">
      <c r="A312" s="13" t="inlineStr">
        <is>
          <t>Bant Walls</t>
        </is>
      </c>
      <c r="B312" s="38" t="inlineStr">
        <is>
          <t>4c</t>
        </is>
      </c>
      <c r="C312" s="38" t="n">
        <v>8</v>
      </c>
      <c r="D312" s="13">
        <f>'4c Bant Walls'!K13</f>
        <v/>
      </c>
      <c r="E312" s="13">
        <f>'4c Bant Walls'!L13</f>
        <v/>
      </c>
      <c r="F312" s="22">
        <f>'4c Bant Walls'!M13</f>
        <v/>
      </c>
    </row>
    <row r="313">
      <c r="A313" s="13" t="inlineStr">
        <is>
          <t>Bant Walls</t>
        </is>
      </c>
      <c r="B313" s="38" t="inlineStr">
        <is>
          <t>4c</t>
        </is>
      </c>
      <c r="C313" s="38" t="n">
        <v>9</v>
      </c>
      <c r="D313" s="13">
        <f>'4c Bant Walls'!K14</f>
        <v/>
      </c>
      <c r="E313" s="13">
        <f>'4c Bant Walls'!L14</f>
        <v/>
      </c>
      <c r="F313" s="22">
        <f>'4c Bant Walls'!M14</f>
        <v/>
      </c>
    </row>
    <row r="314">
      <c r="A314" s="13" t="inlineStr">
        <is>
          <t>Bant Walls</t>
        </is>
      </c>
      <c r="B314" s="38" t="inlineStr">
        <is>
          <t>4c</t>
        </is>
      </c>
      <c r="C314" s="38" t="n">
        <v>10</v>
      </c>
      <c r="D314" s="13">
        <f>'4c Bant Walls'!K15</f>
        <v/>
      </c>
      <c r="E314" s="13">
        <f>'4c Bant Walls'!L15</f>
        <v/>
      </c>
      <c r="F314" s="22">
        <f>'4c Bant Walls'!M15</f>
        <v/>
      </c>
    </row>
    <row r="315">
      <c r="A315" s="13" t="inlineStr">
        <is>
          <t>Bant Walls</t>
        </is>
      </c>
      <c r="B315" s="38" t="inlineStr">
        <is>
          <t>4c</t>
        </is>
      </c>
      <c r="C315" s="38" t="n">
        <v>11</v>
      </c>
      <c r="D315" s="13">
        <f>'4c Bant Walls'!K16</f>
        <v/>
      </c>
      <c r="E315" s="13">
        <f>'4c Bant Walls'!L16</f>
        <v/>
      </c>
      <c r="F315" s="22">
        <f>'4c Bant Walls'!M16</f>
        <v/>
      </c>
    </row>
    <row r="316">
      <c r="A316" s="13" t="inlineStr">
        <is>
          <t>Bant Walls</t>
        </is>
      </c>
      <c r="B316" s="38" t="inlineStr">
        <is>
          <t>4c</t>
        </is>
      </c>
      <c r="C316" s="38" t="n">
        <v>12</v>
      </c>
      <c r="D316" s="13">
        <f>'4c Bant Walls'!K17</f>
        <v/>
      </c>
      <c r="E316" s="13">
        <f>'4c Bant Walls'!L17</f>
        <v/>
      </c>
      <c r="F316" s="22">
        <f>'4c Bant Walls'!M17</f>
        <v/>
      </c>
    </row>
    <row r="317">
      <c r="A317" s="13" t="inlineStr">
        <is>
          <t>Bant Walls</t>
        </is>
      </c>
      <c r="B317" s="38" t="inlineStr">
        <is>
          <t>4c</t>
        </is>
      </c>
      <c r="C317" s="38" t="n">
        <v>13</v>
      </c>
      <c r="D317" s="13">
        <f>'4c Bant Walls'!K18</f>
        <v/>
      </c>
      <c r="E317" s="13">
        <f>'4c Bant Walls'!L18</f>
        <v/>
      </c>
      <c r="F317" s="22">
        <f>'4c Bant Walls'!M18</f>
        <v/>
      </c>
    </row>
    <row r="318">
      <c r="A318" s="13" t="inlineStr">
        <is>
          <t>Bant Walls</t>
        </is>
      </c>
      <c r="B318" s="38" t="inlineStr">
        <is>
          <t>4c</t>
        </is>
      </c>
      <c r="C318" s="38" t="n">
        <v>14</v>
      </c>
      <c r="D318" s="13">
        <f>'4c Bant Walls'!K19</f>
        <v/>
      </c>
      <c r="E318" s="13">
        <f>'4c Bant Walls'!L19</f>
        <v/>
      </c>
      <c r="F318" s="22">
        <f>'4c Bant Walls'!M19</f>
        <v/>
      </c>
    </row>
    <row r="319">
      <c r="A319" s="13" t="inlineStr">
        <is>
          <t>Bant Walls</t>
        </is>
      </c>
      <c r="B319" s="38" t="inlineStr">
        <is>
          <t>4c</t>
        </is>
      </c>
      <c r="C319" s="38" t="n">
        <v>15</v>
      </c>
      <c r="D319" s="13">
        <f>'4c Bant Walls'!K20</f>
        <v/>
      </c>
      <c r="E319" s="13">
        <f>'4c Bant Walls'!L20</f>
        <v/>
      </c>
      <c r="F319" s="22">
        <f>'4c Bant Walls'!M20</f>
        <v/>
      </c>
    </row>
    <row r="320">
      <c r="A320" s="13" t="inlineStr">
        <is>
          <t>Bant Walls</t>
        </is>
      </c>
      <c r="B320" s="38" t="inlineStr">
        <is>
          <t>4c</t>
        </is>
      </c>
      <c r="C320" s="38" t="n">
        <v>16</v>
      </c>
      <c r="D320" s="13">
        <f>'4c Bant Walls'!K21</f>
        <v/>
      </c>
      <c r="E320" s="13">
        <f>'4c Bant Walls'!L21</f>
        <v/>
      </c>
      <c r="F320" s="22">
        <f>'4c Bant Walls'!M21</f>
        <v/>
      </c>
    </row>
    <row r="321">
      <c r="A321" s="13" t="inlineStr">
        <is>
          <t>Bant Walls</t>
        </is>
      </c>
      <c r="B321" s="38" t="inlineStr">
        <is>
          <t>4c</t>
        </is>
      </c>
      <c r="C321" s="38" t="n">
        <v>17</v>
      </c>
      <c r="D321" s="13">
        <f>'4c Bant Walls'!K22</f>
        <v/>
      </c>
      <c r="E321" s="13">
        <f>'4c Bant Walls'!L22</f>
        <v/>
      </c>
      <c r="F321" s="22">
        <f>'4c Bant Walls'!M22</f>
        <v/>
      </c>
    </row>
    <row r="322">
      <c r="A322" s="13" t="inlineStr">
        <is>
          <t>Bant Walls</t>
        </is>
      </c>
      <c r="B322" s="38" t="inlineStr">
        <is>
          <t>4c</t>
        </is>
      </c>
      <c r="C322" s="38" t="n">
        <v>18</v>
      </c>
      <c r="D322" s="13">
        <f>'4c Bant Walls'!K23</f>
        <v/>
      </c>
      <c r="E322" s="13">
        <f>'4c Bant Walls'!L23</f>
        <v/>
      </c>
      <c r="F322" s="22">
        <f>'4c Bant Walls'!M23</f>
        <v/>
      </c>
    </row>
    <row r="323">
      <c r="A323" s="13" t="inlineStr">
        <is>
          <t>Bant Walls</t>
        </is>
      </c>
      <c r="B323" s="38" t="inlineStr">
        <is>
          <t>4c</t>
        </is>
      </c>
      <c r="C323" s="38" t="n">
        <v>19</v>
      </c>
      <c r="D323" s="13">
        <f>'4c Bant Walls'!K24</f>
        <v/>
      </c>
      <c r="E323" s="13">
        <f>'4c Bant Walls'!L24</f>
        <v/>
      </c>
      <c r="F323" s="22">
        <f>'4c Bant Walls'!M24</f>
        <v/>
      </c>
    </row>
    <row r="324">
      <c r="A324" s="13" t="inlineStr">
        <is>
          <t>Bant Walls</t>
        </is>
      </c>
      <c r="B324" s="38" t="inlineStr">
        <is>
          <t>4c</t>
        </is>
      </c>
      <c r="C324" s="38" t="n">
        <v>20</v>
      </c>
      <c r="D324" s="13">
        <f>'4c Bant Walls'!K25</f>
        <v/>
      </c>
      <c r="E324" s="13">
        <f>'4c Bant Walls'!L25</f>
        <v/>
      </c>
      <c r="F324" s="22">
        <f>'4c Bant Walls'!M25</f>
        <v/>
      </c>
    </row>
    <row r="325">
      <c r="A325" s="13" t="inlineStr">
        <is>
          <t>Bant Walls</t>
        </is>
      </c>
      <c r="B325" s="38" t="inlineStr">
        <is>
          <t>4c</t>
        </is>
      </c>
      <c r="C325" s="38" t="n">
        <v>21</v>
      </c>
      <c r="D325" s="13">
        <f>'4c Bant Walls'!K26</f>
        <v/>
      </c>
      <c r="E325" s="13">
        <f>'4c Bant Walls'!L26</f>
        <v/>
      </c>
      <c r="F325" s="22">
        <f>'4c Bant Walls'!M26</f>
        <v/>
      </c>
    </row>
    <row r="326">
      <c r="A326" s="13" t="inlineStr">
        <is>
          <t>Bant Walls</t>
        </is>
      </c>
      <c r="B326" s="38" t="inlineStr">
        <is>
          <t>4c</t>
        </is>
      </c>
      <c r="C326" s="38" t="n">
        <v>22</v>
      </c>
      <c r="D326" s="13">
        <f>'4c Bant Walls'!K27</f>
        <v/>
      </c>
      <c r="E326" s="13">
        <f>'4c Bant Walls'!L27</f>
        <v/>
      </c>
      <c r="F326" s="22">
        <f>'4c Bant Walls'!M27</f>
        <v/>
      </c>
    </row>
    <row r="327">
      <c r="A327" s="13" t="inlineStr">
        <is>
          <t>Bant Walls</t>
        </is>
      </c>
      <c r="B327" s="38" t="inlineStr">
        <is>
          <t>4c</t>
        </is>
      </c>
      <c r="C327" s="38" t="n">
        <v>23</v>
      </c>
      <c r="D327" s="13">
        <f>'4c Bant Walls'!K28</f>
        <v/>
      </c>
      <c r="E327" s="13">
        <f>'4c Bant Walls'!L28</f>
        <v/>
      </c>
      <c r="F327" s="22">
        <f>'4c Bant Walls'!M28</f>
        <v/>
      </c>
    </row>
    <row r="328">
      <c r="A328" s="13" t="inlineStr">
        <is>
          <t>Bant Walls</t>
        </is>
      </c>
      <c r="B328" s="38" t="inlineStr">
        <is>
          <t>4c</t>
        </is>
      </c>
      <c r="C328" s="38" t="n">
        <v>24</v>
      </c>
      <c r="D328" s="13">
        <f>'4c Bant Walls'!K29</f>
        <v/>
      </c>
      <c r="E328" s="13">
        <f>'4c Bant Walls'!L29</f>
        <v/>
      </c>
      <c r="F328" s="22">
        <f>'4c Bant Walls'!M29</f>
        <v/>
      </c>
    </row>
    <row r="329">
      <c r="A329" s="13" t="inlineStr">
        <is>
          <t>Bant Walls</t>
        </is>
      </c>
      <c r="B329" s="38" t="inlineStr">
        <is>
          <t>4c</t>
        </is>
      </c>
      <c r="C329" s="38" t="n">
        <v>25</v>
      </c>
      <c r="D329" s="13">
        <f>'4c Bant Walls'!K30</f>
        <v/>
      </c>
      <c r="E329" s="13">
        <f>'4c Bant Walls'!L30</f>
        <v/>
      </c>
      <c r="F329" s="22">
        <f>'4c Bant Walls'!M30</f>
        <v/>
      </c>
    </row>
    <row r="330">
      <c r="A330" s="13" t="inlineStr">
        <is>
          <t>Bant Walls</t>
        </is>
      </c>
      <c r="B330" s="38" t="inlineStr">
        <is>
          <t>4c</t>
        </is>
      </c>
      <c r="C330" s="38" t="n">
        <v>26</v>
      </c>
      <c r="D330" s="13">
        <f>'4c Bant Walls'!K31</f>
        <v/>
      </c>
      <c r="E330" s="13">
        <f>'4c Bant Walls'!L31</f>
        <v/>
      </c>
      <c r="F330" s="22">
        <f>'4c Bant Walls'!M31</f>
        <v/>
      </c>
    </row>
    <row r="331">
      <c r="A331" s="13" t="inlineStr">
        <is>
          <t>Bant Walls</t>
        </is>
      </c>
      <c r="B331" s="38" t="inlineStr">
        <is>
          <t>4c</t>
        </is>
      </c>
      <c r="C331" s="38" t="n">
        <v>27</v>
      </c>
      <c r="D331" s="13">
        <f>'4c Bant Walls'!K32</f>
        <v/>
      </c>
      <c r="E331" s="13">
        <f>'4c Bant Walls'!L32</f>
        <v/>
      </c>
      <c r="F331" s="22">
        <f>'4c Bant Walls'!M32</f>
        <v/>
      </c>
    </row>
    <row r="332">
      <c r="A332" s="13" t="inlineStr">
        <is>
          <t>Bant Walls</t>
        </is>
      </c>
      <c r="B332" s="38" t="inlineStr">
        <is>
          <t>4c</t>
        </is>
      </c>
      <c r="C332" s="38" t="n">
        <v>28</v>
      </c>
      <c r="D332" s="13">
        <f>'4c Bant Walls'!K33</f>
        <v/>
      </c>
      <c r="E332" s="13">
        <f>'4c Bant Walls'!L33</f>
        <v/>
      </c>
      <c r="F332" s="22">
        <f>'4c Bant Walls'!M33</f>
        <v/>
      </c>
    </row>
    <row r="333">
      <c r="A333" s="13" t="inlineStr">
        <is>
          <t>Bant Walls</t>
        </is>
      </c>
      <c r="B333" s="38" t="inlineStr">
        <is>
          <t>4c</t>
        </is>
      </c>
      <c r="C333" s="38" t="n">
        <v>29</v>
      </c>
      <c r="D333" s="13">
        <f>'4c Bant Walls'!K34</f>
        <v/>
      </c>
      <c r="E333" s="13">
        <f>'4c Bant Walls'!L34</f>
        <v/>
      </c>
      <c r="F333" s="22">
        <f>'4c Bant Walls'!M34</f>
        <v/>
      </c>
    </row>
    <row r="334">
      <c r="A334" s="13" t="inlineStr">
        <is>
          <t>Bant Walls</t>
        </is>
      </c>
      <c r="B334" s="38" t="inlineStr">
        <is>
          <t>4c</t>
        </is>
      </c>
      <c r="C334" s="38" t="n">
        <v>30</v>
      </c>
      <c r="D334" s="13">
        <f>'4c Bant Walls'!K35</f>
        <v/>
      </c>
      <c r="E334" s="13">
        <f>'4c Bant Walls'!L35</f>
        <v/>
      </c>
      <c r="F334" s="22">
        <f>'4c Bant Walls'!M35</f>
        <v/>
      </c>
    </row>
    <row r="335">
      <c r="A335" s="13" t="inlineStr">
        <is>
          <t>Bant Walls</t>
        </is>
      </c>
      <c r="B335" s="38" t="inlineStr">
        <is>
          <t>4c</t>
        </is>
      </c>
      <c r="C335" s="38" t="n">
        <v>31</v>
      </c>
      <c r="D335" s="13">
        <f>'4c Bant Walls'!K36</f>
        <v/>
      </c>
      <c r="E335" s="13">
        <f>'4c Bant Walls'!L36</f>
        <v/>
      </c>
      <c r="F335" s="22">
        <f>'4c Bant Walls'!M36</f>
        <v/>
      </c>
    </row>
    <row r="336">
      <c r="A336" s="13" t="inlineStr">
        <is>
          <t>Bant Walls</t>
        </is>
      </c>
      <c r="B336" s="38" t="inlineStr">
        <is>
          <t>4c</t>
        </is>
      </c>
      <c r="C336" s="38" t="n">
        <v>32</v>
      </c>
      <c r="D336" s="13">
        <f>'4c Bant Walls'!K37</f>
        <v/>
      </c>
      <c r="E336" s="13">
        <f>'4c Bant Walls'!L37</f>
        <v/>
      </c>
      <c r="F336" s="22">
        <f>'4c Bant Walls'!M37</f>
        <v/>
      </c>
    </row>
    <row r="337">
      <c r="A337" s="13" t="inlineStr">
        <is>
          <t>Bant Walls</t>
        </is>
      </c>
      <c r="B337" s="38" t="inlineStr">
        <is>
          <t>4c</t>
        </is>
      </c>
      <c r="C337" s="38" t="n">
        <v>33</v>
      </c>
      <c r="D337" s="13">
        <f>'4c Bant Walls'!K38</f>
        <v/>
      </c>
      <c r="E337" s="13">
        <f>'4c Bant Walls'!L38</f>
        <v/>
      </c>
      <c r="F337" s="22">
        <f>'4c Bant Walls'!M38</f>
        <v/>
      </c>
    </row>
    <row r="338">
      <c r="A338" s="13" t="inlineStr">
        <is>
          <t>Bant Walls</t>
        </is>
      </c>
      <c r="B338" s="38" t="inlineStr">
        <is>
          <t>4c</t>
        </is>
      </c>
      <c r="C338" s="38" t="n">
        <v>34</v>
      </c>
      <c r="D338" s="13">
        <f>'4c Bant Walls'!K39</f>
        <v/>
      </c>
      <c r="E338" s="13">
        <f>'4c Bant Walls'!L39</f>
        <v/>
      </c>
      <c r="F338" s="22">
        <f>'4c Bant Walls'!M39</f>
        <v/>
      </c>
    </row>
    <row r="339">
      <c r="A339" s="13" t="inlineStr">
        <is>
          <t>Bant Walls</t>
        </is>
      </c>
      <c r="B339" s="38" t="inlineStr">
        <is>
          <t>4c</t>
        </is>
      </c>
      <c r="C339" s="38" t="n">
        <v>35</v>
      </c>
      <c r="D339" s="13">
        <f>'4c Bant Walls'!K40</f>
        <v/>
      </c>
      <c r="E339" s="13">
        <f>'4c Bant Walls'!L40</f>
        <v/>
      </c>
      <c r="F339" s="22">
        <f>'4c Bant Walls'!M40</f>
        <v/>
      </c>
    </row>
    <row r="340">
      <c r="A340" s="13" t="inlineStr">
        <is>
          <t>Bant Walls</t>
        </is>
      </c>
      <c r="B340" s="38" t="inlineStr">
        <is>
          <t>4c</t>
        </is>
      </c>
      <c r="C340" s="38" t="n">
        <v>36</v>
      </c>
      <c r="D340" s="13">
        <f>'4c Bant Walls'!K41</f>
        <v/>
      </c>
      <c r="E340" s="13">
        <f>'4c Bant Walls'!L41</f>
        <v/>
      </c>
      <c r="F340" s="22">
        <f>'4c Bant Walls'!M41</f>
        <v/>
      </c>
    </row>
    <row r="341">
      <c r="A341" s="13" t="inlineStr">
        <is>
          <t>Bant Walls</t>
        </is>
      </c>
      <c r="B341" s="38" t="inlineStr">
        <is>
          <t>4c</t>
        </is>
      </c>
      <c r="C341" s="38" t="n">
        <v>37</v>
      </c>
      <c r="D341" s="13">
        <f>'4c Bant Walls'!K42</f>
        <v/>
      </c>
      <c r="E341" s="13">
        <f>'4c Bant Walls'!L42</f>
        <v/>
      </c>
      <c r="F341" s="22">
        <f>'4c Bant Walls'!M42</f>
        <v/>
      </c>
    </row>
    <row r="342">
      <c r="A342" s="13" t="inlineStr">
        <is>
          <t>Bant Walls</t>
        </is>
      </c>
      <c r="B342" s="38" t="inlineStr">
        <is>
          <t>4c</t>
        </is>
      </c>
      <c r="C342" s="38" t="n">
        <v>38</v>
      </c>
      <c r="D342" s="13">
        <f>'4c Bant Walls'!K43</f>
        <v/>
      </c>
      <c r="E342" s="13">
        <f>'4c Bant Walls'!L43</f>
        <v/>
      </c>
      <c r="F342" s="22">
        <f>'4c Bant Walls'!M43</f>
        <v/>
      </c>
    </row>
    <row r="343">
      <c r="A343" s="13" t="inlineStr">
        <is>
          <t>Bant Walls</t>
        </is>
      </c>
      <c r="B343" s="38" t="inlineStr">
        <is>
          <t>4c</t>
        </is>
      </c>
      <c r="C343" s="38" t="n">
        <v>39</v>
      </c>
      <c r="D343" s="13">
        <f>'4c Bant Walls'!K44</f>
        <v/>
      </c>
      <c r="E343" s="13">
        <f>'4c Bant Walls'!L44</f>
        <v/>
      </c>
      <c r="F343" s="22">
        <f>'4c Bant Walls'!M44</f>
        <v/>
      </c>
    </row>
    <row r="344">
      <c r="A344" s="13" t="inlineStr">
        <is>
          <t>Bant Walls</t>
        </is>
      </c>
      <c r="B344" s="38" t="inlineStr">
        <is>
          <t>4c</t>
        </is>
      </c>
      <c r="C344" s="38" t="n">
        <v>40</v>
      </c>
      <c r="D344" s="13">
        <f>'4c Bant Walls'!K45</f>
        <v/>
      </c>
      <c r="E344" s="13">
        <f>'4c Bant Walls'!L45</f>
        <v/>
      </c>
      <c r="F344" s="22">
        <f>'4c Bant Walls'!M45</f>
        <v/>
      </c>
    </row>
    <row r="345">
      <c r="A345" s="13" t="inlineStr">
        <is>
          <t>Bant Walls</t>
        </is>
      </c>
      <c r="B345" s="38" t="inlineStr">
        <is>
          <t>4c</t>
        </is>
      </c>
      <c r="C345" s="38" t="n">
        <v>41</v>
      </c>
      <c r="D345" s="13">
        <f>'4c Bant Walls'!K46</f>
        <v/>
      </c>
      <c r="E345" s="13">
        <f>'4c Bant Walls'!L46</f>
        <v/>
      </c>
      <c r="F345" s="22">
        <f>'4c Bant Walls'!M46</f>
        <v/>
      </c>
    </row>
    <row r="346">
      <c r="A346" s="13" t="inlineStr">
        <is>
          <t>Bant Walls</t>
        </is>
      </c>
      <c r="B346" s="38" t="inlineStr">
        <is>
          <t>4c</t>
        </is>
      </c>
      <c r="C346" s="38" t="n">
        <v>42</v>
      </c>
      <c r="D346" s="13">
        <f>'4c Bant Walls'!K47</f>
        <v/>
      </c>
      <c r="E346" s="13">
        <f>'4c Bant Walls'!L47</f>
        <v/>
      </c>
      <c r="F346" s="22">
        <f>'4c Bant Walls'!M47</f>
        <v/>
      </c>
    </row>
    <row r="347">
      <c r="A347" s="13" t="inlineStr">
        <is>
          <t>Bant Walls</t>
        </is>
      </c>
      <c r="B347" s="38" t="inlineStr">
        <is>
          <t>4c</t>
        </is>
      </c>
      <c r="C347" s="38" t="n">
        <v>43</v>
      </c>
      <c r="D347" s="13">
        <f>'4c Bant Walls'!K48</f>
        <v/>
      </c>
      <c r="E347" s="13">
        <f>'4c Bant Walls'!L48</f>
        <v/>
      </c>
      <c r="F347" s="22">
        <f>'4c Bant Walls'!M48</f>
        <v/>
      </c>
    </row>
    <row r="348">
      <c r="A348" s="13" t="inlineStr">
        <is>
          <t>Bant Walls</t>
        </is>
      </c>
      <c r="B348" s="38" t="inlineStr">
        <is>
          <t>4c</t>
        </is>
      </c>
      <c r="C348" s="38" t="n">
        <v>44</v>
      </c>
      <c r="D348" s="13">
        <f>'4c Bant Walls'!K49</f>
        <v/>
      </c>
      <c r="E348" s="13">
        <f>'4c Bant Walls'!L49</f>
        <v/>
      </c>
      <c r="F348" s="22">
        <f>'4c Bant Walls'!M49</f>
        <v/>
      </c>
    </row>
    <row r="349">
      <c r="A349" s="13" t="inlineStr">
        <is>
          <t>Bant Walls</t>
        </is>
      </c>
      <c r="B349" s="38" t="inlineStr">
        <is>
          <t>4c</t>
        </is>
      </c>
      <c r="C349" s="38" t="n">
        <v>45</v>
      </c>
      <c r="D349" s="13">
        <f>'4c Bant Walls'!K50</f>
        <v/>
      </c>
      <c r="E349" s="13">
        <f>'4c Bant Walls'!L50</f>
        <v/>
      </c>
      <c r="F349" s="22">
        <f>'4c Bant Walls'!M50</f>
        <v/>
      </c>
    </row>
    <row r="350">
      <c r="A350" s="13" t="inlineStr">
        <is>
          <t>Bant Walls</t>
        </is>
      </c>
      <c r="B350" s="38" t="inlineStr">
        <is>
          <t>4c</t>
        </is>
      </c>
      <c r="C350" s="38" t="n">
        <v>46</v>
      </c>
      <c r="D350" s="13">
        <f>'4c Bant Walls'!K51</f>
        <v/>
      </c>
      <c r="E350" s="13">
        <f>'4c Bant Walls'!L51</f>
        <v/>
      </c>
      <c r="F350" s="22">
        <f>'4c Bant Walls'!M51</f>
        <v/>
      </c>
    </row>
    <row r="351">
      <c r="A351" s="13" t="inlineStr">
        <is>
          <t>Bant Walls</t>
        </is>
      </c>
      <c r="B351" s="38" t="inlineStr">
        <is>
          <t>4c</t>
        </is>
      </c>
      <c r="C351" s="38" t="n">
        <v>47</v>
      </c>
      <c r="D351" s="13">
        <f>'4c Bant Walls'!K52</f>
        <v/>
      </c>
      <c r="E351" s="13">
        <f>'4c Bant Walls'!L52</f>
        <v/>
      </c>
      <c r="F351" s="22">
        <f>'4c Bant Walls'!M52</f>
        <v/>
      </c>
    </row>
    <row r="352">
      <c r="A352" s="13" t="inlineStr">
        <is>
          <t>Bant Walls</t>
        </is>
      </c>
      <c r="B352" s="38" t="inlineStr">
        <is>
          <t>4c</t>
        </is>
      </c>
      <c r="C352" s="38" t="n">
        <v>48</v>
      </c>
      <c r="D352" s="13">
        <f>'4c Bant Walls'!K53</f>
        <v/>
      </c>
      <c r="E352" s="13">
        <f>'4c Bant Walls'!L53</f>
        <v/>
      </c>
      <c r="F352" s="22">
        <f>'4c Bant Walls'!M53</f>
        <v/>
      </c>
    </row>
    <row r="353">
      <c r="A353" s="13" t="inlineStr">
        <is>
          <t>Bant Walls</t>
        </is>
      </c>
      <c r="B353" s="38" t="inlineStr">
        <is>
          <t>4c</t>
        </is>
      </c>
      <c r="C353" s="38" t="n">
        <v>49</v>
      </c>
      <c r="D353" s="13">
        <f>'4c Bant Walls'!K54</f>
        <v/>
      </c>
      <c r="E353" s="13">
        <f>'4c Bant Walls'!L54</f>
        <v/>
      </c>
      <c r="F353" s="22">
        <f>'4c Bant Walls'!M54</f>
        <v/>
      </c>
    </row>
    <row r="354">
      <c r="A354" s="13" t="inlineStr">
        <is>
          <t>Bant Walls</t>
        </is>
      </c>
      <c r="B354" s="38" t="inlineStr">
        <is>
          <t>4c</t>
        </is>
      </c>
      <c r="C354" s="38" t="n">
        <v>50</v>
      </c>
      <c r="D354" s="13">
        <f>'4c Bant Walls'!K55</f>
        <v/>
      </c>
      <c r="E354" s="13">
        <f>'4c Bant Walls'!L55</f>
        <v/>
      </c>
      <c r="F354" s="22">
        <f>'4c Bant Walls'!M55</f>
        <v/>
      </c>
    </row>
    <row r="355">
      <c r="A355" s="13" t="inlineStr">
        <is>
          <t>Bant Walls</t>
        </is>
      </c>
      <c r="B355" s="38" t="inlineStr">
        <is>
          <t>4c</t>
        </is>
      </c>
      <c r="C355" s="38" t="n">
        <v>51</v>
      </c>
      <c r="D355" s="13">
        <f>'4c Bant Walls'!K56</f>
        <v/>
      </c>
      <c r="E355" s="13">
        <f>'4c Bant Walls'!L56</f>
        <v/>
      </c>
      <c r="F355" s="22">
        <f>'4c Bant Walls'!M56</f>
        <v/>
      </c>
    </row>
    <row r="356">
      <c r="A356" s="13" t="inlineStr">
        <is>
          <t>Bant Walls</t>
        </is>
      </c>
      <c r="B356" s="38" t="inlineStr">
        <is>
          <t>4c</t>
        </is>
      </c>
      <c r="C356" s="38" t="n">
        <v>52</v>
      </c>
      <c r="D356" s="13">
        <f>'4c Bant Walls'!K57</f>
        <v/>
      </c>
      <c r="E356" s="13">
        <f>'4c Bant Walls'!L57</f>
        <v/>
      </c>
      <c r="F356" s="22">
        <f>'4c Bant Walls'!M57</f>
        <v/>
      </c>
    </row>
    <row r="357">
      <c r="A357" s="13" t="inlineStr">
        <is>
          <t>Bant Walls</t>
        </is>
      </c>
      <c r="B357" s="38" t="inlineStr">
        <is>
          <t>4c</t>
        </is>
      </c>
      <c r="C357" s="38" t="n">
        <v>53</v>
      </c>
      <c r="D357" s="13">
        <f>'4c Bant Walls'!K58</f>
        <v/>
      </c>
      <c r="E357" s="13">
        <f>'4c Bant Walls'!L58</f>
        <v/>
      </c>
      <c r="F357" s="22">
        <f>'4c Bant Walls'!M58</f>
        <v/>
      </c>
    </row>
    <row r="358">
      <c r="A358" s="13" t="inlineStr">
        <is>
          <t>Bant Walls</t>
        </is>
      </c>
      <c r="B358" s="38" t="inlineStr">
        <is>
          <t>4c</t>
        </is>
      </c>
      <c r="C358" s="38" t="n">
        <v>54</v>
      </c>
      <c r="D358" s="13">
        <f>'4c Bant Walls'!K59</f>
        <v/>
      </c>
      <c r="E358" s="13">
        <f>'4c Bant Walls'!L59</f>
        <v/>
      </c>
      <c r="F358" s="22">
        <f>'4c Bant Walls'!M59</f>
        <v/>
      </c>
    </row>
    <row r="359">
      <c r="A359" s="13" t="inlineStr">
        <is>
          <t>Bant Walls</t>
        </is>
      </c>
      <c r="B359" s="38" t="inlineStr">
        <is>
          <t>4c</t>
        </is>
      </c>
      <c r="C359" s="38" t="n">
        <v>55</v>
      </c>
      <c r="D359" s="13">
        <f>'4c Bant Walls'!K60</f>
        <v/>
      </c>
      <c r="E359" s="13">
        <f>'4c Bant Walls'!L60</f>
        <v/>
      </c>
      <c r="F359" s="22">
        <f>'4c Bant Walls'!M60</f>
        <v/>
      </c>
    </row>
    <row r="360">
      <c r="A360" s="13" t="inlineStr">
        <is>
          <t>Bant Walls</t>
        </is>
      </c>
      <c r="B360" s="38" t="inlineStr">
        <is>
          <t>4c</t>
        </is>
      </c>
      <c r="C360" s="38" t="n">
        <v>56</v>
      </c>
      <c r="D360" s="13">
        <f>'4c Bant Walls'!K61</f>
        <v/>
      </c>
      <c r="E360" s="13">
        <f>'4c Bant Walls'!L61</f>
        <v/>
      </c>
      <c r="F360" s="22">
        <f>'4c Bant Walls'!M61</f>
        <v/>
      </c>
    </row>
    <row r="361">
      <c r="A361" s="13" t="inlineStr">
        <is>
          <t>Bant Walls</t>
        </is>
      </c>
      <c r="B361" s="38" t="inlineStr">
        <is>
          <t>4c</t>
        </is>
      </c>
      <c r="C361" s="38" t="n">
        <v>57</v>
      </c>
      <c r="D361" s="13">
        <f>'4c Bant Walls'!K62</f>
        <v/>
      </c>
      <c r="E361" s="13">
        <f>'4c Bant Walls'!L62</f>
        <v/>
      </c>
      <c r="F361" s="22">
        <f>'4c Bant Walls'!M62</f>
        <v/>
      </c>
    </row>
    <row r="362">
      <c r="A362" s="13" t="inlineStr">
        <is>
          <t>Bant Walls</t>
        </is>
      </c>
      <c r="B362" s="38" t="inlineStr">
        <is>
          <t>4c</t>
        </is>
      </c>
      <c r="C362" s="38" t="n">
        <v>58</v>
      </c>
      <c r="D362" s="13">
        <f>'4c Bant Walls'!K63</f>
        <v/>
      </c>
      <c r="E362" s="13">
        <f>'4c Bant Walls'!L63</f>
        <v/>
      </c>
      <c r="F362" s="22">
        <f>'4c Bant Walls'!M63</f>
        <v/>
      </c>
    </row>
    <row r="363">
      <c r="A363" s="13" t="inlineStr">
        <is>
          <t>Bant Walls</t>
        </is>
      </c>
      <c r="B363" s="38" t="inlineStr">
        <is>
          <t>4c</t>
        </is>
      </c>
      <c r="C363" s="38" t="n">
        <v>59</v>
      </c>
      <c r="D363" s="13">
        <f>'4c Bant Walls'!K64</f>
        <v/>
      </c>
      <c r="E363" s="13">
        <f>'4c Bant Walls'!L64</f>
        <v/>
      </c>
      <c r="F363" s="22">
        <f>'4c Bant Walls'!M64</f>
        <v/>
      </c>
    </row>
    <row r="364">
      <c r="A364" s="13" t="inlineStr">
        <is>
          <t>Bant Walls</t>
        </is>
      </c>
      <c r="B364" s="38" t="inlineStr">
        <is>
          <t>4c</t>
        </is>
      </c>
      <c r="C364" s="38" t="n">
        <v>60</v>
      </c>
      <c r="D364" s="13">
        <f>'4c Bant Walls'!K65</f>
        <v/>
      </c>
      <c r="E364" s="13">
        <f>'4c Bant Walls'!L65</f>
        <v/>
      </c>
      <c r="F364" s="22">
        <f>'4c Bant Walls'!M65</f>
        <v/>
      </c>
    </row>
    <row r="365">
      <c r="A365" s="13" t="inlineStr">
        <is>
          <t>Bant Walls</t>
        </is>
      </c>
      <c r="B365" s="38" t="inlineStr">
        <is>
          <t>4c</t>
        </is>
      </c>
      <c r="C365" s="38" t="n">
        <v>61</v>
      </c>
      <c r="D365" s="13">
        <f>'4c Bant Walls'!K66</f>
        <v/>
      </c>
      <c r="E365" s="13">
        <f>'4c Bant Walls'!L66</f>
        <v/>
      </c>
      <c r="F365" s="22">
        <f>'4c Bant Walls'!M66</f>
        <v/>
      </c>
    </row>
    <row r="366">
      <c r="A366" s="13" t="inlineStr">
        <is>
          <t>Bant Walls</t>
        </is>
      </c>
      <c r="B366" s="38" t="inlineStr">
        <is>
          <t>4c</t>
        </is>
      </c>
      <c r="C366" s="38" t="n">
        <v>62</v>
      </c>
      <c r="D366" s="13">
        <f>'4c Bant Walls'!K67</f>
        <v/>
      </c>
      <c r="E366" s="13">
        <f>'4c Bant Walls'!L67</f>
        <v/>
      </c>
      <c r="F366" s="22">
        <f>'4c Bant Walls'!M67</f>
        <v/>
      </c>
    </row>
    <row r="367">
      <c r="A367" s="13" t="inlineStr">
        <is>
          <t>Bant Walls</t>
        </is>
      </c>
      <c r="B367" s="38" t="inlineStr">
        <is>
          <t>4c</t>
        </is>
      </c>
      <c r="C367" s="38" t="n">
        <v>63</v>
      </c>
      <c r="D367" s="13">
        <f>'4c Bant Walls'!K68</f>
        <v/>
      </c>
      <c r="E367" s="13">
        <f>'4c Bant Walls'!L68</f>
        <v/>
      </c>
      <c r="F367" s="22">
        <f>'4c Bant Walls'!M68</f>
        <v/>
      </c>
    </row>
    <row r="368">
      <c r="A368" s="13" t="inlineStr">
        <is>
          <t>Bant Walls</t>
        </is>
      </c>
      <c r="B368" s="38" t="inlineStr">
        <is>
          <t>4c</t>
        </is>
      </c>
      <c r="C368" s="38" t="n">
        <v>64</v>
      </c>
      <c r="D368" s="13">
        <f>'4c Bant Walls'!K69</f>
        <v/>
      </c>
      <c r="E368" s="13">
        <f>'4c Bant Walls'!L69</f>
        <v/>
      </c>
      <c r="F368" s="22">
        <f>'4c Bant Walls'!M69</f>
        <v/>
      </c>
    </row>
    <row r="369">
      <c r="A369" s="13" t="inlineStr">
        <is>
          <t>Bant Walls</t>
        </is>
      </c>
      <c r="B369" s="38" t="inlineStr">
        <is>
          <t>4c</t>
        </is>
      </c>
      <c r="C369" s="38" t="n">
        <v>65</v>
      </c>
      <c r="D369" s="13">
        <f>'4c Bant Walls'!K70</f>
        <v/>
      </c>
      <c r="E369" s="13">
        <f>'4c Bant Walls'!L70</f>
        <v/>
      </c>
      <c r="F369" s="22">
        <f>'4c Bant Walls'!M70</f>
        <v/>
      </c>
    </row>
    <row r="370">
      <c r="A370" s="13" t="inlineStr">
        <is>
          <t>Bant Walls</t>
        </is>
      </c>
      <c r="B370" s="38" t="inlineStr">
        <is>
          <t>4c</t>
        </is>
      </c>
      <c r="C370" s="38" t="n">
        <v>66</v>
      </c>
      <c r="D370" s="13">
        <f>'4c Bant Walls'!K71</f>
        <v/>
      </c>
      <c r="E370" s="13">
        <f>'4c Bant Walls'!L71</f>
        <v/>
      </c>
      <c r="F370" s="22">
        <f>'4c Bant Walls'!M71</f>
        <v/>
      </c>
    </row>
    <row r="371">
      <c r="A371" s="13" t="inlineStr">
        <is>
          <t>Bant Walls</t>
        </is>
      </c>
      <c r="B371" s="38" t="inlineStr">
        <is>
          <t>4c</t>
        </is>
      </c>
      <c r="C371" s="38" t="n">
        <v>67</v>
      </c>
      <c r="D371" s="13">
        <f>'4c Bant Walls'!K72</f>
        <v/>
      </c>
      <c r="E371" s="13">
        <f>'4c Bant Walls'!L72</f>
        <v/>
      </c>
      <c r="F371" s="22">
        <f>'4c Bant Walls'!M72</f>
        <v/>
      </c>
    </row>
    <row r="372">
      <c r="A372" s="13" t="inlineStr">
        <is>
          <t>Bant Walls</t>
        </is>
      </c>
      <c r="B372" s="38" t="inlineStr">
        <is>
          <t>4c</t>
        </is>
      </c>
      <c r="C372" s="38" t="n">
        <v>68</v>
      </c>
      <c r="D372" s="13">
        <f>'4c Bant Walls'!K73</f>
        <v/>
      </c>
      <c r="E372" s="13">
        <f>'4c Bant Walls'!L73</f>
        <v/>
      </c>
      <c r="F372" s="22">
        <f>'4c Bant Walls'!M73</f>
        <v/>
      </c>
    </row>
    <row r="373">
      <c r="A373" s="13" t="inlineStr">
        <is>
          <t>Bant Walls</t>
        </is>
      </c>
      <c r="B373" s="38" t="inlineStr">
        <is>
          <t>4c</t>
        </is>
      </c>
      <c r="C373" s="38" t="n">
        <v>69</v>
      </c>
      <c r="D373" s="13">
        <f>'4c Bant Walls'!K74</f>
        <v/>
      </c>
      <c r="E373" s="13">
        <f>'4c Bant Walls'!L74</f>
        <v/>
      </c>
      <c r="F373" s="22">
        <f>'4c Bant Walls'!M74</f>
        <v/>
      </c>
    </row>
    <row r="374">
      <c r="A374" s="13" t="inlineStr">
        <is>
          <t>Bant Walls</t>
        </is>
      </c>
      <c r="B374" s="38" t="inlineStr">
        <is>
          <t>4c</t>
        </is>
      </c>
      <c r="C374" s="38" t="n">
        <v>70</v>
      </c>
      <c r="D374" s="13">
        <f>'4c Bant Walls'!K75</f>
        <v/>
      </c>
      <c r="E374" s="13">
        <f>'4c Bant Walls'!L75</f>
        <v/>
      </c>
      <c r="F374" s="22">
        <f>'4c Bant Walls'!M75</f>
        <v/>
      </c>
    </row>
    <row r="375">
      <c r="A375" s="13" t="inlineStr">
        <is>
          <t>Bant Walls</t>
        </is>
      </c>
      <c r="B375" s="38" t="inlineStr">
        <is>
          <t>4c</t>
        </is>
      </c>
      <c r="C375" s="38" t="n">
        <v>71</v>
      </c>
      <c r="D375" s="13">
        <f>'4c Bant Walls'!K76</f>
        <v/>
      </c>
      <c r="E375" s="13">
        <f>'4c Bant Walls'!L76</f>
        <v/>
      </c>
      <c r="F375" s="22">
        <f>'4c Bant Walls'!M76</f>
        <v/>
      </c>
    </row>
    <row r="376">
      <c r="A376" s="13" t="inlineStr">
        <is>
          <t>Bant Walls</t>
        </is>
      </c>
      <c r="B376" s="38" t="inlineStr">
        <is>
          <t>4c</t>
        </is>
      </c>
      <c r="C376" s="38" t="n">
        <v>72</v>
      </c>
      <c r="D376" s="13">
        <f>'4c Bant Walls'!K77</f>
        <v/>
      </c>
      <c r="E376" s="13">
        <f>'4c Bant Walls'!L77</f>
        <v/>
      </c>
      <c r="F376" s="22">
        <f>'4c Bant Walls'!M77</f>
        <v/>
      </c>
    </row>
    <row r="377">
      <c r="A377" s="13" t="inlineStr">
        <is>
          <t>Bant Walls</t>
        </is>
      </c>
      <c r="B377" s="38" t="inlineStr">
        <is>
          <t>4c</t>
        </is>
      </c>
      <c r="C377" s="38" t="n">
        <v>73</v>
      </c>
      <c r="D377" s="13">
        <f>'4c Bant Walls'!K78</f>
        <v/>
      </c>
      <c r="E377" s="13">
        <f>'4c Bant Walls'!L78</f>
        <v/>
      </c>
      <c r="F377" s="22">
        <f>'4c Bant Walls'!M78</f>
        <v/>
      </c>
    </row>
    <row r="378">
      <c r="A378" s="13" t="inlineStr">
        <is>
          <t>Bant Walls</t>
        </is>
      </c>
      <c r="B378" s="38" t="inlineStr">
        <is>
          <t>4c</t>
        </is>
      </c>
      <c r="C378" s="38" t="n">
        <v>74</v>
      </c>
      <c r="D378" s="13">
        <f>'4c Bant Walls'!K79</f>
        <v/>
      </c>
      <c r="E378" s="13">
        <f>'4c Bant Walls'!L79</f>
        <v/>
      </c>
      <c r="F378" s="22">
        <f>'4c Bant Walls'!M79</f>
        <v/>
      </c>
    </row>
    <row r="379">
      <c r="A379" s="13" t="inlineStr">
        <is>
          <t>Bant Walls</t>
        </is>
      </c>
      <c r="B379" s="38" t="inlineStr">
        <is>
          <t>4c</t>
        </is>
      </c>
      <c r="C379" s="38" t="n">
        <v>75</v>
      </c>
      <c r="D379" s="13">
        <f>'4c Bant Walls'!K80</f>
        <v/>
      </c>
      <c r="E379" s="13">
        <f>'4c Bant Walls'!L80</f>
        <v/>
      </c>
      <c r="F379" s="22">
        <f>'4c Bant Walls'!M80</f>
        <v/>
      </c>
    </row>
    <row r="380">
      <c r="A380" s="13" t="inlineStr">
        <is>
          <t>Bant Walls</t>
        </is>
      </c>
      <c r="B380" s="38" t="inlineStr">
        <is>
          <t>4c</t>
        </is>
      </c>
      <c r="C380" s="38" t="n">
        <v>76</v>
      </c>
      <c r="D380" s="13">
        <f>'4c Bant Walls'!K81</f>
        <v/>
      </c>
      <c r="E380" s="13">
        <f>'4c Bant Walls'!L81</f>
        <v/>
      </c>
      <c r="F380" s="22">
        <f>'4c Bant Walls'!M81</f>
        <v/>
      </c>
    </row>
    <row r="381">
      <c r="A381" s="13" t="inlineStr">
        <is>
          <t>Bant Walls</t>
        </is>
      </c>
      <c r="B381" s="38" t="inlineStr">
        <is>
          <t>4c</t>
        </is>
      </c>
      <c r="C381" s="38" t="n">
        <v>77</v>
      </c>
      <c r="D381" s="13">
        <f>'4c Bant Walls'!K82</f>
        <v/>
      </c>
      <c r="E381" s="13">
        <f>'4c Bant Walls'!L82</f>
        <v/>
      </c>
      <c r="F381" s="22">
        <f>'4c Bant Walls'!M82</f>
        <v/>
      </c>
    </row>
    <row r="382">
      <c r="A382" s="13" t="inlineStr">
        <is>
          <t>Bant Walls</t>
        </is>
      </c>
      <c r="B382" s="38" t="inlineStr">
        <is>
          <t>4c</t>
        </is>
      </c>
      <c r="C382" s="38" t="n">
        <v>78</v>
      </c>
      <c r="D382" s="13">
        <f>'4c Bant Walls'!K83</f>
        <v/>
      </c>
      <c r="E382" s="13">
        <f>'4c Bant Walls'!L83</f>
        <v/>
      </c>
      <c r="F382" s="22">
        <f>'4c Bant Walls'!M83</f>
        <v/>
      </c>
    </row>
    <row r="383">
      <c r="A383" s="13" t="inlineStr">
        <is>
          <t>Bant Walls</t>
        </is>
      </c>
      <c r="B383" s="38" t="inlineStr">
        <is>
          <t>4c</t>
        </is>
      </c>
      <c r="C383" s="38" t="n">
        <v>79</v>
      </c>
      <c r="D383" s="13">
        <f>'4c Bant Walls'!K84</f>
        <v/>
      </c>
      <c r="E383" s="13">
        <f>'4c Bant Walls'!L84</f>
        <v/>
      </c>
      <c r="F383" s="22">
        <f>'4c Bant Walls'!M84</f>
        <v/>
      </c>
    </row>
    <row r="384">
      <c r="A384" s="13" t="inlineStr">
        <is>
          <t>Bant Walls</t>
        </is>
      </c>
      <c r="B384" s="38" t="inlineStr">
        <is>
          <t>4c</t>
        </is>
      </c>
      <c r="C384" s="38" t="n">
        <v>80</v>
      </c>
      <c r="D384" s="13">
        <f>'4c Bant Walls'!K85</f>
        <v/>
      </c>
      <c r="E384" s="13">
        <f>'4c Bant Walls'!L85</f>
        <v/>
      </c>
      <c r="F384" s="22">
        <f>'4c Bant Walls'!M85</f>
        <v/>
      </c>
    </row>
    <row r="385">
      <c r="A385" s="13" t="inlineStr">
        <is>
          <t>Bant Walls</t>
        </is>
      </c>
      <c r="B385" s="38" t="inlineStr">
        <is>
          <t>4c</t>
        </is>
      </c>
      <c r="C385" s="38" t="n">
        <v>81</v>
      </c>
      <c r="D385" s="13">
        <f>'4c Bant Walls'!K86</f>
        <v/>
      </c>
      <c r="E385" s="13">
        <f>'4c Bant Walls'!L86</f>
        <v/>
      </c>
      <c r="F385" s="22">
        <f>'4c Bant Walls'!M86</f>
        <v/>
      </c>
    </row>
    <row r="386">
      <c r="A386" s="13" t="inlineStr">
        <is>
          <t>Bant Walls</t>
        </is>
      </c>
      <c r="B386" s="38" t="inlineStr">
        <is>
          <t>4c</t>
        </is>
      </c>
      <c r="C386" s="38" t="n">
        <v>82</v>
      </c>
      <c r="D386" s="13">
        <f>'4c Bant Walls'!K87</f>
        <v/>
      </c>
      <c r="E386" s="13">
        <f>'4c Bant Walls'!L87</f>
        <v/>
      </c>
      <c r="F386" s="22">
        <f>'4c Bant Walls'!M87</f>
        <v/>
      </c>
    </row>
    <row r="387">
      <c r="A387" s="13" t="inlineStr">
        <is>
          <t>Bant Walls</t>
        </is>
      </c>
      <c r="B387" s="38" t="inlineStr">
        <is>
          <t>4c</t>
        </is>
      </c>
      <c r="C387" s="38" t="n">
        <v>83</v>
      </c>
      <c r="D387" s="13">
        <f>'4c Bant Walls'!K88</f>
        <v/>
      </c>
      <c r="E387" s="13">
        <f>'4c Bant Walls'!L88</f>
        <v/>
      </c>
      <c r="F387" s="22">
        <f>'4c Bant Walls'!M88</f>
        <v/>
      </c>
    </row>
    <row r="388">
      <c r="A388" s="13" t="inlineStr">
        <is>
          <t>Bant Walls</t>
        </is>
      </c>
      <c r="B388" s="38" t="inlineStr">
        <is>
          <t>4c</t>
        </is>
      </c>
      <c r="C388" s="38" t="n">
        <v>84</v>
      </c>
      <c r="D388" s="13">
        <f>'4c Bant Walls'!K89</f>
        <v/>
      </c>
      <c r="E388" s="13">
        <f>'4c Bant Walls'!L89</f>
        <v/>
      </c>
      <c r="F388" s="22">
        <f>'4c Bant Walls'!M89</f>
        <v/>
      </c>
    </row>
    <row r="389">
      <c r="A389" s="13" t="inlineStr">
        <is>
          <t>Bant Walls</t>
        </is>
      </c>
      <c r="B389" s="38" t="inlineStr">
        <is>
          <t>4c</t>
        </is>
      </c>
      <c r="C389" s="38" t="n">
        <v>85</v>
      </c>
      <c r="D389" s="13">
        <f>'4c Bant Walls'!K90</f>
        <v/>
      </c>
      <c r="E389" s="13">
        <f>'4c Bant Walls'!L90</f>
        <v/>
      </c>
      <c r="F389" s="22">
        <f>'4c Bant Walls'!M90</f>
        <v/>
      </c>
    </row>
    <row r="390">
      <c r="A390" s="13" t="inlineStr">
        <is>
          <t>Bant Walls</t>
        </is>
      </c>
      <c r="B390" s="38" t="inlineStr">
        <is>
          <t>4c</t>
        </is>
      </c>
      <c r="C390" s="38" t="n">
        <v>86</v>
      </c>
      <c r="D390" s="13">
        <f>'4c Bant Walls'!K91</f>
        <v/>
      </c>
      <c r="E390" s="13">
        <f>'4c Bant Walls'!L91</f>
        <v/>
      </c>
      <c r="F390" s="22">
        <f>'4c Bant Walls'!M91</f>
        <v/>
      </c>
    </row>
    <row r="391">
      <c r="A391" s="13" t="inlineStr">
        <is>
          <t>Bant Walls</t>
        </is>
      </c>
      <c r="B391" s="38" t="inlineStr">
        <is>
          <t>4c</t>
        </is>
      </c>
      <c r="C391" s="38" t="n">
        <v>87</v>
      </c>
      <c r="D391" s="13">
        <f>'4c Bant Walls'!K92</f>
        <v/>
      </c>
      <c r="E391" s="13">
        <f>'4c Bant Walls'!L92</f>
        <v/>
      </c>
      <c r="F391" s="22">
        <f>'4c Bant Walls'!M92</f>
        <v/>
      </c>
    </row>
    <row r="392">
      <c r="A392" s="13" t="inlineStr">
        <is>
          <t>Bant Walls</t>
        </is>
      </c>
      <c r="B392" s="38" t="inlineStr">
        <is>
          <t>4c</t>
        </is>
      </c>
      <c r="C392" s="38" t="n">
        <v>88</v>
      </c>
      <c r="D392" s="13">
        <f>'4c Bant Walls'!K93</f>
        <v/>
      </c>
      <c r="E392" s="13">
        <f>'4c Bant Walls'!L93</f>
        <v/>
      </c>
      <c r="F392" s="22">
        <f>'4c Bant Walls'!M93</f>
        <v/>
      </c>
    </row>
    <row r="393">
      <c r="A393" s="13" t="inlineStr">
        <is>
          <t>Bant Walls</t>
        </is>
      </c>
      <c r="B393" s="38" t="inlineStr">
        <is>
          <t>4c</t>
        </is>
      </c>
      <c r="C393" s="38" t="n">
        <v>89</v>
      </c>
      <c r="D393" s="13">
        <f>'4c Bant Walls'!K94</f>
        <v/>
      </c>
      <c r="E393" s="13">
        <f>'4c Bant Walls'!L94</f>
        <v/>
      </c>
      <c r="F393" s="22">
        <f>'4c Bant Walls'!M94</f>
        <v/>
      </c>
    </row>
    <row r="394">
      <c r="A394" s="13" t="inlineStr">
        <is>
          <t>Bant Walls</t>
        </is>
      </c>
      <c r="B394" s="38" t="inlineStr">
        <is>
          <t>4c</t>
        </is>
      </c>
      <c r="C394" s="38" t="n">
        <v>90</v>
      </c>
      <c r="D394" s="13">
        <f>'4c Bant Walls'!K95</f>
        <v/>
      </c>
      <c r="E394" s="13">
        <f>'4c Bant Walls'!L95</f>
        <v/>
      </c>
      <c r="F394" s="22">
        <f>'4c Bant Walls'!M95</f>
        <v/>
      </c>
    </row>
    <row r="395">
      <c r="A395" s="13" t="inlineStr">
        <is>
          <t>Bant Walls</t>
        </is>
      </c>
      <c r="B395" s="38" t="inlineStr">
        <is>
          <t>4c</t>
        </is>
      </c>
      <c r="C395" s="38" t="n">
        <v>91</v>
      </c>
      <c r="D395" s="13">
        <f>'4c Bant Walls'!K96</f>
        <v/>
      </c>
      <c r="E395" s="13">
        <f>'4c Bant Walls'!L96</f>
        <v/>
      </c>
      <c r="F395" s="22">
        <f>'4c Bant Walls'!M96</f>
        <v/>
      </c>
    </row>
    <row r="396">
      <c r="A396" s="13" t="inlineStr">
        <is>
          <t>Bant Walls</t>
        </is>
      </c>
      <c r="B396" s="38" t="inlineStr">
        <is>
          <t>4c</t>
        </is>
      </c>
      <c r="C396" s="38" t="n">
        <v>92</v>
      </c>
      <c r="D396" s="13">
        <f>'4c Bant Walls'!K97</f>
        <v/>
      </c>
      <c r="E396" s="13">
        <f>'4c Bant Walls'!L97</f>
        <v/>
      </c>
      <c r="F396" s="22">
        <f>'4c Bant Walls'!M97</f>
        <v/>
      </c>
    </row>
    <row r="397">
      <c r="A397" s="13" t="inlineStr">
        <is>
          <t>Bant Walls</t>
        </is>
      </c>
      <c r="B397" s="38" t="inlineStr">
        <is>
          <t>4c</t>
        </is>
      </c>
      <c r="C397" s="38" t="n">
        <v>93</v>
      </c>
      <c r="D397" s="13">
        <f>'4c Bant Walls'!K98</f>
        <v/>
      </c>
      <c r="E397" s="13">
        <f>'4c Bant Walls'!L98</f>
        <v/>
      </c>
      <c r="F397" s="22">
        <f>'4c Bant Walls'!M98</f>
        <v/>
      </c>
    </row>
    <row r="398">
      <c r="A398" s="13" t="inlineStr">
        <is>
          <t>Bant Walls</t>
        </is>
      </c>
      <c r="B398" s="38" t="inlineStr">
        <is>
          <t>4c</t>
        </is>
      </c>
      <c r="C398" s="38" t="n">
        <v>94</v>
      </c>
      <c r="D398" s="13">
        <f>'4c Bant Walls'!K99</f>
        <v/>
      </c>
      <c r="E398" s="13">
        <f>'4c Bant Walls'!L99</f>
        <v/>
      </c>
      <c r="F398" s="22">
        <f>'4c Bant Walls'!M99</f>
        <v/>
      </c>
    </row>
    <row r="399">
      <c r="A399" s="13" t="inlineStr">
        <is>
          <t>Bant Walls</t>
        </is>
      </c>
      <c r="B399" s="38" t="inlineStr">
        <is>
          <t>4c</t>
        </is>
      </c>
      <c r="C399" s="38" t="n">
        <v>95</v>
      </c>
      <c r="D399" s="13">
        <f>'4c Bant Walls'!K100</f>
        <v/>
      </c>
      <c r="E399" s="13">
        <f>'4c Bant Walls'!L100</f>
        <v/>
      </c>
      <c r="F399" s="22">
        <f>'4c Bant Walls'!M100</f>
        <v/>
      </c>
    </row>
    <row r="400">
      <c r="A400" s="13" t="inlineStr">
        <is>
          <t>Bant Walls</t>
        </is>
      </c>
      <c r="B400" s="38" t="inlineStr">
        <is>
          <t>4c</t>
        </is>
      </c>
      <c r="C400" s="38" t="n">
        <v>96</v>
      </c>
      <c r="D400" s="13">
        <f>'4c Bant Walls'!K101</f>
        <v/>
      </c>
      <c r="E400" s="13">
        <f>'4c Bant Walls'!L101</f>
        <v/>
      </c>
      <c r="F400" s="22">
        <f>'4c Bant Walls'!M101</f>
        <v/>
      </c>
    </row>
    <row r="401">
      <c r="A401" s="13" t="inlineStr">
        <is>
          <t>Bant Walls</t>
        </is>
      </c>
      <c r="B401" s="38" t="inlineStr">
        <is>
          <t>4c</t>
        </is>
      </c>
      <c r="C401" s="38" t="n">
        <v>97</v>
      </c>
      <c r="D401" s="13">
        <f>'4c Bant Walls'!K102</f>
        <v/>
      </c>
      <c r="E401" s="13">
        <f>'4c Bant Walls'!L102</f>
        <v/>
      </c>
      <c r="F401" s="22">
        <f>'4c Bant Walls'!M102</f>
        <v/>
      </c>
    </row>
    <row r="402">
      <c r="A402" s="13" t="inlineStr">
        <is>
          <t>Bant Walls</t>
        </is>
      </c>
      <c r="B402" s="38" t="inlineStr">
        <is>
          <t>4c</t>
        </is>
      </c>
      <c r="C402" s="38" t="n">
        <v>98</v>
      </c>
      <c r="D402" s="13">
        <f>'4c Bant Walls'!K103</f>
        <v/>
      </c>
      <c r="E402" s="13">
        <f>'4c Bant Walls'!L103</f>
        <v/>
      </c>
      <c r="F402" s="22">
        <f>'4c Bant Walls'!M103</f>
        <v/>
      </c>
    </row>
    <row r="403">
      <c r="A403" s="13" t="inlineStr">
        <is>
          <t>Bant Walls</t>
        </is>
      </c>
      <c r="B403" s="38" t="inlineStr">
        <is>
          <t>4c</t>
        </is>
      </c>
      <c r="C403" s="38" t="n">
        <v>99</v>
      </c>
      <c r="D403" s="13">
        <f>'4c Bant Walls'!K104</f>
        <v/>
      </c>
      <c r="E403" s="13">
        <f>'4c Bant Walls'!L104</f>
        <v/>
      </c>
      <c r="F403" s="22">
        <f>'4c Bant Walls'!M104</f>
        <v/>
      </c>
    </row>
    <row r="404">
      <c r="A404" s="13" t="inlineStr">
        <is>
          <t>Bant Walls</t>
        </is>
      </c>
      <c r="B404" s="38" t="inlineStr">
        <is>
          <t>4c</t>
        </is>
      </c>
      <c r="C404" s="38" t="n">
        <v>100</v>
      </c>
      <c r="D404" s="13">
        <f>'4c Bant Walls'!K105</f>
        <v/>
      </c>
      <c r="E404" s="13">
        <f>'4c Bant Walls'!L105</f>
        <v/>
      </c>
      <c r="F404" s="22">
        <f>'4c Bant Walls'!M105</f>
        <v/>
      </c>
    </row>
    <row r="405">
      <c r="A405" s="13" t="inlineStr">
        <is>
          <t>Lorehold Spirit</t>
        </is>
      </c>
      <c r="B405" s="38" t="inlineStr">
        <is>
          <t>5o</t>
        </is>
      </c>
      <c r="C405" s="38" t="n">
        <v>1</v>
      </c>
      <c r="D405" s="13">
        <f>'5o Lorehold Spirit'!M6</f>
        <v/>
      </c>
      <c r="E405" s="13">
        <f>'5o Lorehold Spirit'!N6</f>
        <v/>
      </c>
      <c r="F405" s="22">
        <f>'5o Lorehold Spirit'!O6</f>
        <v/>
      </c>
    </row>
    <row r="406">
      <c r="A406" s="13" t="inlineStr">
        <is>
          <t>Lorehold Spirit</t>
        </is>
      </c>
      <c r="B406" s="38" t="inlineStr">
        <is>
          <t>5o</t>
        </is>
      </c>
      <c r="C406" s="38" t="n">
        <v>2</v>
      </c>
      <c r="D406" s="13">
        <f>'5o Lorehold Spirit'!M7</f>
        <v/>
      </c>
      <c r="E406" s="13">
        <f>'5o Lorehold Spirit'!N7</f>
        <v/>
      </c>
      <c r="F406" s="22">
        <f>'5o Lorehold Spirit'!O7</f>
        <v/>
      </c>
    </row>
    <row r="407">
      <c r="A407" s="13" t="inlineStr">
        <is>
          <t>Lorehold Spirit</t>
        </is>
      </c>
      <c r="B407" s="38" t="inlineStr">
        <is>
          <t>5o</t>
        </is>
      </c>
      <c r="C407" s="38" t="n">
        <v>3</v>
      </c>
      <c r="D407" s="13">
        <f>'5o Lorehold Spirit'!M8</f>
        <v/>
      </c>
      <c r="E407" s="13">
        <f>'5o Lorehold Spirit'!N8</f>
        <v/>
      </c>
      <c r="F407" s="22">
        <f>'5o Lorehold Spirit'!O8</f>
        <v/>
      </c>
    </row>
    <row r="408">
      <c r="A408" s="13" t="inlineStr">
        <is>
          <t>Lorehold Spirit</t>
        </is>
      </c>
      <c r="B408" s="38" t="inlineStr">
        <is>
          <t>5o</t>
        </is>
      </c>
      <c r="C408" s="38" t="n">
        <v>4</v>
      </c>
      <c r="D408" s="13">
        <f>'5o Lorehold Spirit'!M9</f>
        <v/>
      </c>
      <c r="E408" s="13">
        <f>'5o Lorehold Spirit'!N9</f>
        <v/>
      </c>
      <c r="F408" s="22">
        <f>'5o Lorehold Spirit'!O9</f>
        <v/>
      </c>
    </row>
    <row r="409">
      <c r="A409" s="13" t="inlineStr">
        <is>
          <t>Lorehold Spirit</t>
        </is>
      </c>
      <c r="B409" s="38" t="inlineStr">
        <is>
          <t>5o</t>
        </is>
      </c>
      <c r="C409" s="38" t="n">
        <v>5</v>
      </c>
      <c r="D409" s="13">
        <f>'5o Lorehold Spirit'!M10</f>
        <v/>
      </c>
      <c r="E409" s="13">
        <f>'5o Lorehold Spirit'!N10</f>
        <v/>
      </c>
      <c r="F409" s="22">
        <f>'5o Lorehold Spirit'!O10</f>
        <v/>
      </c>
    </row>
    <row r="410">
      <c r="A410" s="13" t="inlineStr">
        <is>
          <t>Lorehold Spirit</t>
        </is>
      </c>
      <c r="B410" s="38" t="inlineStr">
        <is>
          <t>5o</t>
        </is>
      </c>
      <c r="C410" s="38" t="n">
        <v>6</v>
      </c>
      <c r="D410" s="13">
        <f>'5o Lorehold Spirit'!M11</f>
        <v/>
      </c>
      <c r="E410" s="13">
        <f>'5o Lorehold Spirit'!N11</f>
        <v/>
      </c>
      <c r="F410" s="22">
        <f>'5o Lorehold Spirit'!O11</f>
        <v/>
      </c>
    </row>
    <row r="411">
      <c r="A411" s="13" t="inlineStr">
        <is>
          <t>Lorehold Spirit</t>
        </is>
      </c>
      <c r="B411" s="38" t="inlineStr">
        <is>
          <t>5o</t>
        </is>
      </c>
      <c r="C411" s="38" t="n">
        <v>7</v>
      </c>
      <c r="D411" s="13">
        <f>'5o Lorehold Spirit'!M12</f>
        <v/>
      </c>
      <c r="E411" s="13">
        <f>'5o Lorehold Spirit'!N12</f>
        <v/>
      </c>
      <c r="F411" s="22">
        <f>'5o Lorehold Spirit'!O12</f>
        <v/>
      </c>
    </row>
    <row r="412">
      <c r="A412" s="13" t="inlineStr">
        <is>
          <t>Lorehold Spirit</t>
        </is>
      </c>
      <c r="B412" s="38" t="inlineStr">
        <is>
          <t>5o</t>
        </is>
      </c>
      <c r="C412" s="38" t="n">
        <v>8</v>
      </c>
      <c r="D412" s="13">
        <f>'5o Lorehold Spirit'!M13</f>
        <v/>
      </c>
      <c r="E412" s="13">
        <f>'5o Lorehold Spirit'!N13</f>
        <v/>
      </c>
      <c r="F412" s="22">
        <f>'5o Lorehold Spirit'!O13</f>
        <v/>
      </c>
    </row>
    <row r="413">
      <c r="A413" s="13" t="inlineStr">
        <is>
          <t>Lorehold Spirit</t>
        </is>
      </c>
      <c r="B413" s="38" t="inlineStr">
        <is>
          <t>5o</t>
        </is>
      </c>
      <c r="C413" s="38" t="n">
        <v>9</v>
      </c>
      <c r="D413" s="13">
        <f>'5o Lorehold Spirit'!M14</f>
        <v/>
      </c>
      <c r="E413" s="13">
        <f>'5o Lorehold Spirit'!N14</f>
        <v/>
      </c>
      <c r="F413" s="22">
        <f>'5o Lorehold Spirit'!O14</f>
        <v/>
      </c>
    </row>
    <row r="414">
      <c r="A414" s="13" t="inlineStr">
        <is>
          <t>Lorehold Spirit</t>
        </is>
      </c>
      <c r="B414" s="38" t="inlineStr">
        <is>
          <t>5o</t>
        </is>
      </c>
      <c r="C414" s="38" t="n">
        <v>10</v>
      </c>
      <c r="D414" s="13">
        <f>'5o Lorehold Spirit'!M15</f>
        <v/>
      </c>
      <c r="E414" s="13">
        <f>'5o Lorehold Spirit'!N15</f>
        <v/>
      </c>
      <c r="F414" s="22">
        <f>'5o Lorehold Spirit'!O15</f>
        <v/>
      </c>
    </row>
    <row r="415">
      <c r="A415" s="13" t="inlineStr">
        <is>
          <t>Lorehold Spirit</t>
        </is>
      </c>
      <c r="B415" s="38" t="inlineStr">
        <is>
          <t>5o</t>
        </is>
      </c>
      <c r="C415" s="38" t="n">
        <v>11</v>
      </c>
      <c r="D415" s="13">
        <f>'5o Lorehold Spirit'!M16</f>
        <v/>
      </c>
      <c r="E415" s="13">
        <f>'5o Lorehold Spirit'!N16</f>
        <v/>
      </c>
      <c r="F415" s="22">
        <f>'5o Lorehold Spirit'!O16</f>
        <v/>
      </c>
    </row>
    <row r="416">
      <c r="A416" s="13" t="inlineStr">
        <is>
          <t>Lorehold Spirit</t>
        </is>
      </c>
      <c r="B416" s="38" t="inlineStr">
        <is>
          <t>5o</t>
        </is>
      </c>
      <c r="C416" s="38" t="n">
        <v>12</v>
      </c>
      <c r="D416" s="13">
        <f>'5o Lorehold Spirit'!M17</f>
        <v/>
      </c>
      <c r="E416" s="13">
        <f>'5o Lorehold Spirit'!N17</f>
        <v/>
      </c>
      <c r="F416" s="22">
        <f>'5o Lorehold Spirit'!O17</f>
        <v/>
      </c>
    </row>
    <row r="417">
      <c r="A417" s="13" t="inlineStr">
        <is>
          <t>Lorehold Spirit</t>
        </is>
      </c>
      <c r="B417" s="38" t="inlineStr">
        <is>
          <t>5o</t>
        </is>
      </c>
      <c r="C417" s="38" t="n">
        <v>13</v>
      </c>
      <c r="D417" s="13">
        <f>'5o Lorehold Spirit'!M18</f>
        <v/>
      </c>
      <c r="E417" s="13">
        <f>'5o Lorehold Spirit'!N18</f>
        <v/>
      </c>
      <c r="F417" s="22">
        <f>'5o Lorehold Spirit'!O18</f>
        <v/>
      </c>
    </row>
    <row r="418">
      <c r="A418" s="13" t="inlineStr">
        <is>
          <t>Lorehold Spirit</t>
        </is>
      </c>
      <c r="B418" s="38" t="inlineStr">
        <is>
          <t>5o</t>
        </is>
      </c>
      <c r="C418" s="38" t="n">
        <v>14</v>
      </c>
      <c r="D418" s="13">
        <f>'5o Lorehold Spirit'!M19</f>
        <v/>
      </c>
      <c r="E418" s="13">
        <f>'5o Lorehold Spirit'!N19</f>
        <v/>
      </c>
      <c r="F418" s="22">
        <f>'5o Lorehold Spirit'!O19</f>
        <v/>
      </c>
    </row>
    <row r="419">
      <c r="A419" s="13" t="inlineStr">
        <is>
          <t>Lorehold Spirit</t>
        </is>
      </c>
      <c r="B419" s="38" t="inlineStr">
        <is>
          <t>5o</t>
        </is>
      </c>
      <c r="C419" s="38" t="n">
        <v>15</v>
      </c>
      <c r="D419" s="13">
        <f>'5o Lorehold Spirit'!M20</f>
        <v/>
      </c>
      <c r="E419" s="13">
        <f>'5o Lorehold Spirit'!N20</f>
        <v/>
      </c>
      <c r="F419" s="22">
        <f>'5o Lorehold Spirit'!O20</f>
        <v/>
      </c>
    </row>
    <row r="420">
      <c r="A420" s="13" t="inlineStr">
        <is>
          <t>Lorehold Spirit</t>
        </is>
      </c>
      <c r="B420" s="38" t="inlineStr">
        <is>
          <t>5o</t>
        </is>
      </c>
      <c r="C420" s="38" t="n">
        <v>16</v>
      </c>
      <c r="D420" s="13">
        <f>'5o Lorehold Spirit'!M21</f>
        <v/>
      </c>
      <c r="E420" s="13">
        <f>'5o Lorehold Spirit'!N21</f>
        <v/>
      </c>
      <c r="F420" s="22">
        <f>'5o Lorehold Spirit'!O21</f>
        <v/>
      </c>
    </row>
    <row r="421">
      <c r="A421" s="13" t="inlineStr">
        <is>
          <t>Lorehold Spirit</t>
        </is>
      </c>
      <c r="B421" s="38" t="inlineStr">
        <is>
          <t>5o</t>
        </is>
      </c>
      <c r="C421" s="38" t="n">
        <v>17</v>
      </c>
      <c r="D421" s="13">
        <f>'5o Lorehold Spirit'!M22</f>
        <v/>
      </c>
      <c r="E421" s="13">
        <f>'5o Lorehold Spirit'!N22</f>
        <v/>
      </c>
      <c r="F421" s="22">
        <f>'5o Lorehold Spirit'!O22</f>
        <v/>
      </c>
    </row>
    <row r="422">
      <c r="A422" s="13" t="inlineStr">
        <is>
          <t>Lorehold Spirit</t>
        </is>
      </c>
      <c r="B422" s="38" t="inlineStr">
        <is>
          <t>5o</t>
        </is>
      </c>
      <c r="C422" s="38" t="n">
        <v>18</v>
      </c>
      <c r="D422" s="13">
        <f>'5o Lorehold Spirit'!M23</f>
        <v/>
      </c>
      <c r="E422" s="13">
        <f>'5o Lorehold Spirit'!N23</f>
        <v/>
      </c>
      <c r="F422" s="22">
        <f>'5o Lorehold Spirit'!O23</f>
        <v/>
      </c>
    </row>
    <row r="423">
      <c r="A423" s="13" t="inlineStr">
        <is>
          <t>Lorehold Spirit</t>
        </is>
      </c>
      <c r="B423" s="38" t="inlineStr">
        <is>
          <t>5o</t>
        </is>
      </c>
      <c r="C423" s="38" t="n">
        <v>19</v>
      </c>
      <c r="D423" s="13">
        <f>'5o Lorehold Spirit'!M24</f>
        <v/>
      </c>
      <c r="E423" s="13">
        <f>'5o Lorehold Spirit'!N24</f>
        <v/>
      </c>
      <c r="F423" s="22">
        <f>'5o Lorehold Spirit'!O24</f>
        <v/>
      </c>
    </row>
    <row r="424">
      <c r="A424" s="13" t="inlineStr">
        <is>
          <t>Lorehold Spirit</t>
        </is>
      </c>
      <c r="B424" s="38" t="inlineStr">
        <is>
          <t>5o</t>
        </is>
      </c>
      <c r="C424" s="38" t="n">
        <v>20</v>
      </c>
      <c r="D424" s="13">
        <f>'5o Lorehold Spirit'!M25</f>
        <v/>
      </c>
      <c r="E424" s="13">
        <f>'5o Lorehold Spirit'!N25</f>
        <v/>
      </c>
      <c r="F424" s="22">
        <f>'5o Lorehold Spirit'!O25</f>
        <v/>
      </c>
    </row>
    <row r="425">
      <c r="A425" s="13" t="inlineStr">
        <is>
          <t>Lorehold Spirit</t>
        </is>
      </c>
      <c r="B425" s="38" t="inlineStr">
        <is>
          <t>5o</t>
        </is>
      </c>
      <c r="C425" s="38" t="n">
        <v>21</v>
      </c>
      <c r="D425" s="13">
        <f>'5o Lorehold Spirit'!M26</f>
        <v/>
      </c>
      <c r="E425" s="13">
        <f>'5o Lorehold Spirit'!N26</f>
        <v/>
      </c>
      <c r="F425" s="22">
        <f>'5o Lorehold Spirit'!O26</f>
        <v/>
      </c>
    </row>
    <row r="426">
      <c r="A426" s="13" t="inlineStr">
        <is>
          <t>Lorehold Spirit</t>
        </is>
      </c>
      <c r="B426" s="38" t="inlineStr">
        <is>
          <t>5o</t>
        </is>
      </c>
      <c r="C426" s="38" t="n">
        <v>22</v>
      </c>
      <c r="D426" s="13">
        <f>'5o Lorehold Spirit'!M27</f>
        <v/>
      </c>
      <c r="E426" s="13">
        <f>'5o Lorehold Spirit'!N27</f>
        <v/>
      </c>
      <c r="F426" s="22">
        <f>'5o Lorehold Spirit'!O27</f>
        <v/>
      </c>
    </row>
    <row r="427">
      <c r="A427" s="13" t="inlineStr">
        <is>
          <t>Lorehold Spirit</t>
        </is>
      </c>
      <c r="B427" s="38" t="inlineStr">
        <is>
          <t>5o</t>
        </is>
      </c>
      <c r="C427" s="38" t="n">
        <v>23</v>
      </c>
      <c r="D427" s="13">
        <f>'5o Lorehold Spirit'!M28</f>
        <v/>
      </c>
      <c r="E427" s="13">
        <f>'5o Lorehold Spirit'!N28</f>
        <v/>
      </c>
      <c r="F427" s="22">
        <f>'5o Lorehold Spirit'!O28</f>
        <v/>
      </c>
    </row>
    <row r="428">
      <c r="A428" s="13" t="inlineStr">
        <is>
          <t>Lorehold Spirit</t>
        </is>
      </c>
      <c r="B428" s="38" t="inlineStr">
        <is>
          <t>5o</t>
        </is>
      </c>
      <c r="C428" s="38" t="n">
        <v>24</v>
      </c>
      <c r="D428" s="13">
        <f>'5o Lorehold Spirit'!M29</f>
        <v/>
      </c>
      <c r="E428" s="13">
        <f>'5o Lorehold Spirit'!N29</f>
        <v/>
      </c>
      <c r="F428" s="22">
        <f>'5o Lorehold Spirit'!O29</f>
        <v/>
      </c>
    </row>
    <row r="429">
      <c r="A429" s="13" t="inlineStr">
        <is>
          <t>Lorehold Spirit</t>
        </is>
      </c>
      <c r="B429" s="38" t="inlineStr">
        <is>
          <t>5o</t>
        </is>
      </c>
      <c r="C429" s="38" t="n">
        <v>25</v>
      </c>
      <c r="D429" s="13">
        <f>'5o Lorehold Spirit'!M30</f>
        <v/>
      </c>
      <c r="E429" s="13">
        <f>'5o Lorehold Spirit'!N30</f>
        <v/>
      </c>
      <c r="F429" s="22">
        <f>'5o Lorehold Spirit'!O30</f>
        <v/>
      </c>
    </row>
    <row r="430">
      <c r="A430" s="13" t="inlineStr">
        <is>
          <t>Lorehold Spirit</t>
        </is>
      </c>
      <c r="B430" s="38" t="inlineStr">
        <is>
          <t>5o</t>
        </is>
      </c>
      <c r="C430" s="38" t="n">
        <v>26</v>
      </c>
      <c r="D430" s="13">
        <f>'5o Lorehold Spirit'!M31</f>
        <v/>
      </c>
      <c r="E430" s="13">
        <f>'5o Lorehold Spirit'!N31</f>
        <v/>
      </c>
      <c r="F430" s="22">
        <f>'5o Lorehold Spirit'!O31</f>
        <v/>
      </c>
    </row>
    <row r="431">
      <c r="A431" s="13" t="inlineStr">
        <is>
          <t>Lorehold Spirit</t>
        </is>
      </c>
      <c r="B431" s="38" t="inlineStr">
        <is>
          <t>5o</t>
        </is>
      </c>
      <c r="C431" s="38" t="n">
        <v>27</v>
      </c>
      <c r="D431" s="13">
        <f>'5o Lorehold Spirit'!M32</f>
        <v/>
      </c>
      <c r="E431" s="13">
        <f>'5o Lorehold Spirit'!N32</f>
        <v/>
      </c>
      <c r="F431" s="22">
        <f>'5o Lorehold Spirit'!O32</f>
        <v/>
      </c>
    </row>
    <row r="432">
      <c r="A432" s="13" t="inlineStr">
        <is>
          <t>Lorehold Spirit</t>
        </is>
      </c>
      <c r="B432" s="38" t="inlineStr">
        <is>
          <t>5o</t>
        </is>
      </c>
      <c r="C432" s="38" t="n">
        <v>28</v>
      </c>
      <c r="D432" s="13">
        <f>'5o Lorehold Spirit'!M33</f>
        <v/>
      </c>
      <c r="E432" s="13">
        <f>'5o Lorehold Spirit'!N33</f>
        <v/>
      </c>
      <c r="F432" s="22">
        <f>'5o Lorehold Spirit'!O33</f>
        <v/>
      </c>
    </row>
    <row r="433">
      <c r="A433" s="13" t="inlineStr">
        <is>
          <t>Lorehold Spirit</t>
        </is>
      </c>
      <c r="B433" s="38" t="inlineStr">
        <is>
          <t>5o</t>
        </is>
      </c>
      <c r="C433" s="38" t="n">
        <v>29</v>
      </c>
      <c r="D433" s="13">
        <f>'5o Lorehold Spirit'!M34</f>
        <v/>
      </c>
      <c r="E433" s="13">
        <f>'5o Lorehold Spirit'!N34</f>
        <v/>
      </c>
      <c r="F433" s="22">
        <f>'5o Lorehold Spirit'!O34</f>
        <v/>
      </c>
    </row>
    <row r="434">
      <c r="A434" s="13" t="inlineStr">
        <is>
          <t>Lorehold Spirit</t>
        </is>
      </c>
      <c r="B434" s="38" t="inlineStr">
        <is>
          <t>5o</t>
        </is>
      </c>
      <c r="C434" s="38" t="n">
        <v>30</v>
      </c>
      <c r="D434" s="13">
        <f>'5o Lorehold Spirit'!M35</f>
        <v/>
      </c>
      <c r="E434" s="13">
        <f>'5o Lorehold Spirit'!N35</f>
        <v/>
      </c>
      <c r="F434" s="22">
        <f>'5o Lorehold Spirit'!O35</f>
        <v/>
      </c>
    </row>
    <row r="435">
      <c r="A435" s="13" t="inlineStr">
        <is>
          <t>Lorehold Spirit</t>
        </is>
      </c>
      <c r="B435" s="38" t="inlineStr">
        <is>
          <t>5o</t>
        </is>
      </c>
      <c r="C435" s="38" t="n">
        <v>31</v>
      </c>
      <c r="D435" s="13">
        <f>'5o Lorehold Spirit'!M36</f>
        <v/>
      </c>
      <c r="E435" s="13">
        <f>'5o Lorehold Spirit'!N36</f>
        <v/>
      </c>
      <c r="F435" s="22">
        <f>'5o Lorehold Spirit'!O36</f>
        <v/>
      </c>
    </row>
    <row r="436">
      <c r="A436" s="13" t="inlineStr">
        <is>
          <t>Lorehold Spirit</t>
        </is>
      </c>
      <c r="B436" s="38" t="inlineStr">
        <is>
          <t>5o</t>
        </is>
      </c>
      <c r="C436" s="38" t="n">
        <v>32</v>
      </c>
      <c r="D436" s="13">
        <f>'5o Lorehold Spirit'!M37</f>
        <v/>
      </c>
      <c r="E436" s="13">
        <f>'5o Lorehold Spirit'!N37</f>
        <v/>
      </c>
      <c r="F436" s="22">
        <f>'5o Lorehold Spirit'!O37</f>
        <v/>
      </c>
    </row>
    <row r="437">
      <c r="A437" s="13" t="inlineStr">
        <is>
          <t>Lorehold Spirit</t>
        </is>
      </c>
      <c r="B437" s="38" t="inlineStr">
        <is>
          <t>5o</t>
        </is>
      </c>
      <c r="C437" s="38" t="n">
        <v>33</v>
      </c>
      <c r="D437" s="13">
        <f>'5o Lorehold Spirit'!M38</f>
        <v/>
      </c>
      <c r="E437" s="13">
        <f>'5o Lorehold Spirit'!N38</f>
        <v/>
      </c>
      <c r="F437" s="22">
        <f>'5o Lorehold Spirit'!O38</f>
        <v/>
      </c>
    </row>
    <row r="438">
      <c r="A438" s="13" t="inlineStr">
        <is>
          <t>Lorehold Spirit</t>
        </is>
      </c>
      <c r="B438" s="38" t="inlineStr">
        <is>
          <t>5o</t>
        </is>
      </c>
      <c r="C438" s="38" t="n">
        <v>34</v>
      </c>
      <c r="D438" s="13">
        <f>'5o Lorehold Spirit'!M39</f>
        <v/>
      </c>
      <c r="E438" s="13">
        <f>'5o Lorehold Spirit'!N39</f>
        <v/>
      </c>
      <c r="F438" s="22">
        <f>'5o Lorehold Spirit'!O39</f>
        <v/>
      </c>
    </row>
    <row r="439">
      <c r="A439" s="13" t="inlineStr">
        <is>
          <t>Lorehold Spirit</t>
        </is>
      </c>
      <c r="B439" s="38" t="inlineStr">
        <is>
          <t>5o</t>
        </is>
      </c>
      <c r="C439" s="38" t="n">
        <v>35</v>
      </c>
      <c r="D439" s="13">
        <f>'5o Lorehold Spirit'!M40</f>
        <v/>
      </c>
      <c r="E439" s="13">
        <f>'5o Lorehold Spirit'!N40</f>
        <v/>
      </c>
      <c r="F439" s="22">
        <f>'5o Lorehold Spirit'!O40</f>
        <v/>
      </c>
    </row>
    <row r="440">
      <c r="A440" s="13" t="inlineStr">
        <is>
          <t>Lorehold Spirit</t>
        </is>
      </c>
      <c r="B440" s="38" t="inlineStr">
        <is>
          <t>5o</t>
        </is>
      </c>
      <c r="C440" s="38" t="n">
        <v>36</v>
      </c>
      <c r="D440" s="13">
        <f>'5o Lorehold Spirit'!M41</f>
        <v/>
      </c>
      <c r="E440" s="13">
        <f>'5o Lorehold Spirit'!N41</f>
        <v/>
      </c>
      <c r="F440" s="22">
        <f>'5o Lorehold Spirit'!O41</f>
        <v/>
      </c>
    </row>
    <row r="441">
      <c r="A441" s="13" t="inlineStr">
        <is>
          <t>Lorehold Spirit</t>
        </is>
      </c>
      <c r="B441" s="38" t="inlineStr">
        <is>
          <t>5o</t>
        </is>
      </c>
      <c r="C441" s="38" t="n">
        <v>37</v>
      </c>
      <c r="D441" s="13">
        <f>'5o Lorehold Spirit'!M42</f>
        <v/>
      </c>
      <c r="E441" s="13">
        <f>'5o Lorehold Spirit'!N42</f>
        <v/>
      </c>
      <c r="F441" s="22">
        <f>'5o Lorehold Spirit'!O42</f>
        <v/>
      </c>
    </row>
    <row r="442">
      <c r="A442" s="13" t="inlineStr">
        <is>
          <t>Lorehold Spirit</t>
        </is>
      </c>
      <c r="B442" s="38" t="inlineStr">
        <is>
          <t>5o</t>
        </is>
      </c>
      <c r="C442" s="38" t="n">
        <v>38</v>
      </c>
      <c r="D442" s="13">
        <f>'5o Lorehold Spirit'!M43</f>
        <v/>
      </c>
      <c r="E442" s="13">
        <f>'5o Lorehold Spirit'!N43</f>
        <v/>
      </c>
      <c r="F442" s="22">
        <f>'5o Lorehold Spirit'!O43</f>
        <v/>
      </c>
    </row>
    <row r="443">
      <c r="A443" s="13" t="inlineStr">
        <is>
          <t>Lorehold Spirit</t>
        </is>
      </c>
      <c r="B443" s="38" t="inlineStr">
        <is>
          <t>5o</t>
        </is>
      </c>
      <c r="C443" s="38" t="n">
        <v>39</v>
      </c>
      <c r="D443" s="13">
        <f>'5o Lorehold Spirit'!M44</f>
        <v/>
      </c>
      <c r="E443" s="13">
        <f>'5o Lorehold Spirit'!N44</f>
        <v/>
      </c>
      <c r="F443" s="22">
        <f>'5o Lorehold Spirit'!O44</f>
        <v/>
      </c>
    </row>
    <row r="444">
      <c r="A444" s="13" t="inlineStr">
        <is>
          <t>Lorehold Spirit</t>
        </is>
      </c>
      <c r="B444" s="38" t="inlineStr">
        <is>
          <t>5o</t>
        </is>
      </c>
      <c r="C444" s="38" t="n">
        <v>40</v>
      </c>
      <c r="D444" s="13">
        <f>'5o Lorehold Spirit'!M45</f>
        <v/>
      </c>
      <c r="E444" s="13">
        <f>'5o Lorehold Spirit'!N45</f>
        <v/>
      </c>
      <c r="F444" s="22">
        <f>'5o Lorehold Spirit'!O45</f>
        <v/>
      </c>
    </row>
    <row r="445">
      <c r="A445" s="13" t="inlineStr">
        <is>
          <t>Lorehold Spirit</t>
        </is>
      </c>
      <c r="B445" s="38" t="inlineStr">
        <is>
          <t>5o</t>
        </is>
      </c>
      <c r="C445" s="38" t="n">
        <v>41</v>
      </c>
      <c r="D445" s="13">
        <f>'5o Lorehold Spirit'!M46</f>
        <v/>
      </c>
      <c r="E445" s="13">
        <f>'5o Lorehold Spirit'!N46</f>
        <v/>
      </c>
      <c r="F445" s="22">
        <f>'5o Lorehold Spirit'!O46</f>
        <v/>
      </c>
    </row>
    <row r="446">
      <c r="A446" s="13" t="inlineStr">
        <is>
          <t>Lorehold Spirit</t>
        </is>
      </c>
      <c r="B446" s="38" t="inlineStr">
        <is>
          <t>5o</t>
        </is>
      </c>
      <c r="C446" s="38" t="n">
        <v>42</v>
      </c>
      <c r="D446" s="13">
        <f>'5o Lorehold Spirit'!M47</f>
        <v/>
      </c>
      <c r="E446" s="13">
        <f>'5o Lorehold Spirit'!N47</f>
        <v/>
      </c>
      <c r="F446" s="22">
        <f>'5o Lorehold Spirit'!O47</f>
        <v/>
      </c>
    </row>
    <row r="447">
      <c r="A447" s="13" t="inlineStr">
        <is>
          <t>Lorehold Spirit</t>
        </is>
      </c>
      <c r="B447" s="38" t="inlineStr">
        <is>
          <t>5o</t>
        </is>
      </c>
      <c r="C447" s="38" t="n">
        <v>43</v>
      </c>
      <c r="D447" s="13">
        <f>'5o Lorehold Spirit'!M48</f>
        <v/>
      </c>
      <c r="E447" s="13">
        <f>'5o Lorehold Spirit'!N48</f>
        <v/>
      </c>
      <c r="F447" s="22">
        <f>'5o Lorehold Spirit'!O48</f>
        <v/>
      </c>
    </row>
    <row r="448">
      <c r="A448" s="13" t="inlineStr">
        <is>
          <t>Lorehold Spirit</t>
        </is>
      </c>
      <c r="B448" s="38" t="inlineStr">
        <is>
          <t>5o</t>
        </is>
      </c>
      <c r="C448" s="38" t="n">
        <v>44</v>
      </c>
      <c r="D448" s="13">
        <f>'5o Lorehold Spirit'!M49</f>
        <v/>
      </c>
      <c r="E448" s="13">
        <f>'5o Lorehold Spirit'!N49</f>
        <v/>
      </c>
      <c r="F448" s="22">
        <f>'5o Lorehold Spirit'!O49</f>
        <v/>
      </c>
    </row>
    <row r="449">
      <c r="A449" s="13" t="inlineStr">
        <is>
          <t>Lorehold Spirit</t>
        </is>
      </c>
      <c r="B449" s="38" t="inlineStr">
        <is>
          <t>5o</t>
        </is>
      </c>
      <c r="C449" s="38" t="n">
        <v>45</v>
      </c>
      <c r="D449" s="13">
        <f>'5o Lorehold Spirit'!M50</f>
        <v/>
      </c>
      <c r="E449" s="13">
        <f>'5o Lorehold Spirit'!N50</f>
        <v/>
      </c>
      <c r="F449" s="22">
        <f>'5o Lorehold Spirit'!O50</f>
        <v/>
      </c>
    </row>
    <row r="450">
      <c r="A450" s="13" t="inlineStr">
        <is>
          <t>Lorehold Spirit</t>
        </is>
      </c>
      <c r="B450" s="38" t="inlineStr">
        <is>
          <t>5o</t>
        </is>
      </c>
      <c r="C450" s="38" t="n">
        <v>46</v>
      </c>
      <c r="D450" s="13">
        <f>'5o Lorehold Spirit'!M51</f>
        <v/>
      </c>
      <c r="E450" s="13">
        <f>'5o Lorehold Spirit'!N51</f>
        <v/>
      </c>
      <c r="F450" s="22">
        <f>'5o Lorehold Spirit'!O51</f>
        <v/>
      </c>
    </row>
    <row r="451">
      <c r="A451" s="13" t="inlineStr">
        <is>
          <t>Lorehold Spirit</t>
        </is>
      </c>
      <c r="B451" s="38" t="inlineStr">
        <is>
          <t>5o</t>
        </is>
      </c>
      <c r="C451" s="38" t="n">
        <v>47</v>
      </c>
      <c r="D451" s="13">
        <f>'5o Lorehold Spirit'!M52</f>
        <v/>
      </c>
      <c r="E451" s="13">
        <f>'5o Lorehold Spirit'!N52</f>
        <v/>
      </c>
      <c r="F451" s="22">
        <f>'5o Lorehold Spirit'!O52</f>
        <v/>
      </c>
    </row>
    <row r="452">
      <c r="A452" s="13" t="inlineStr">
        <is>
          <t>Lorehold Spirit</t>
        </is>
      </c>
      <c r="B452" s="38" t="inlineStr">
        <is>
          <t>5o</t>
        </is>
      </c>
      <c r="C452" s="38" t="n">
        <v>48</v>
      </c>
      <c r="D452" s="13">
        <f>'5o Lorehold Spirit'!M53</f>
        <v/>
      </c>
      <c r="E452" s="13">
        <f>'5o Lorehold Spirit'!N53</f>
        <v/>
      </c>
      <c r="F452" s="22">
        <f>'5o Lorehold Spirit'!O53</f>
        <v/>
      </c>
    </row>
    <row r="453">
      <c r="A453" s="13" t="inlineStr">
        <is>
          <t>Lorehold Spirit</t>
        </is>
      </c>
      <c r="B453" s="38" t="inlineStr">
        <is>
          <t>5o</t>
        </is>
      </c>
      <c r="C453" s="38" t="n">
        <v>49</v>
      </c>
      <c r="D453" s="13">
        <f>'5o Lorehold Spirit'!M54</f>
        <v/>
      </c>
      <c r="E453" s="13">
        <f>'5o Lorehold Spirit'!N54</f>
        <v/>
      </c>
      <c r="F453" s="22">
        <f>'5o Lorehold Spirit'!O54</f>
        <v/>
      </c>
    </row>
    <row r="454">
      <c r="A454" s="13" t="inlineStr">
        <is>
          <t>Lorehold Spirit</t>
        </is>
      </c>
      <c r="B454" s="38" t="inlineStr">
        <is>
          <t>5o</t>
        </is>
      </c>
      <c r="C454" s="38" t="n">
        <v>50</v>
      </c>
      <c r="D454" s="13">
        <f>'5o Lorehold Spirit'!M55</f>
        <v/>
      </c>
      <c r="E454" s="13">
        <f>'5o Lorehold Spirit'!N55</f>
        <v/>
      </c>
      <c r="F454" s="22">
        <f>'5o Lorehold Spirit'!O55</f>
        <v/>
      </c>
    </row>
    <row r="455">
      <c r="A455" s="13" t="inlineStr">
        <is>
          <t>Lorehold Spirit</t>
        </is>
      </c>
      <c r="B455" s="38" t="inlineStr">
        <is>
          <t>5o</t>
        </is>
      </c>
      <c r="C455" s="38" t="n">
        <v>51</v>
      </c>
      <c r="D455" s="13">
        <f>'5o Lorehold Spirit'!M56</f>
        <v/>
      </c>
      <c r="E455" s="13">
        <f>'5o Lorehold Spirit'!N56</f>
        <v/>
      </c>
      <c r="F455" s="22">
        <f>'5o Lorehold Spirit'!O56</f>
        <v/>
      </c>
    </row>
    <row r="456">
      <c r="A456" s="13" t="inlineStr">
        <is>
          <t>Lorehold Spirit</t>
        </is>
      </c>
      <c r="B456" s="38" t="inlineStr">
        <is>
          <t>5o</t>
        </is>
      </c>
      <c r="C456" s="38" t="n">
        <v>52</v>
      </c>
      <c r="D456" s="13">
        <f>'5o Lorehold Spirit'!M57</f>
        <v/>
      </c>
      <c r="E456" s="13">
        <f>'5o Lorehold Spirit'!N57</f>
        <v/>
      </c>
      <c r="F456" s="22">
        <f>'5o Lorehold Spirit'!O57</f>
        <v/>
      </c>
    </row>
    <row r="457">
      <c r="A457" s="13" t="inlineStr">
        <is>
          <t>Lorehold Spirit</t>
        </is>
      </c>
      <c r="B457" s="38" t="inlineStr">
        <is>
          <t>5o</t>
        </is>
      </c>
      <c r="C457" s="38" t="n">
        <v>53</v>
      </c>
      <c r="D457" s="13">
        <f>'5o Lorehold Spirit'!M58</f>
        <v/>
      </c>
      <c r="E457" s="13">
        <f>'5o Lorehold Spirit'!N58</f>
        <v/>
      </c>
      <c r="F457" s="22">
        <f>'5o Lorehold Spirit'!O58</f>
        <v/>
      </c>
    </row>
    <row r="458">
      <c r="A458" s="13" t="inlineStr">
        <is>
          <t>Lorehold Spirit</t>
        </is>
      </c>
      <c r="B458" s="38" t="inlineStr">
        <is>
          <t>5o</t>
        </is>
      </c>
      <c r="C458" s="38" t="n">
        <v>54</v>
      </c>
      <c r="D458" s="13">
        <f>'5o Lorehold Spirit'!M59</f>
        <v/>
      </c>
      <c r="E458" s="13">
        <f>'5o Lorehold Spirit'!N59</f>
        <v/>
      </c>
      <c r="F458" s="22">
        <f>'5o Lorehold Spirit'!O59</f>
        <v/>
      </c>
    </row>
    <row r="459">
      <c r="A459" s="13" t="inlineStr">
        <is>
          <t>Lorehold Spirit</t>
        </is>
      </c>
      <c r="B459" s="38" t="inlineStr">
        <is>
          <t>5o</t>
        </is>
      </c>
      <c r="C459" s="38" t="n">
        <v>55</v>
      </c>
      <c r="D459" s="13">
        <f>'5o Lorehold Spirit'!M60</f>
        <v/>
      </c>
      <c r="E459" s="13">
        <f>'5o Lorehold Spirit'!N60</f>
        <v/>
      </c>
      <c r="F459" s="22">
        <f>'5o Lorehold Spirit'!O60</f>
        <v/>
      </c>
    </row>
    <row r="460">
      <c r="A460" s="13" t="inlineStr">
        <is>
          <t>Lorehold Spirit</t>
        </is>
      </c>
      <c r="B460" s="38" t="inlineStr">
        <is>
          <t>5o</t>
        </is>
      </c>
      <c r="C460" s="38" t="n">
        <v>56</v>
      </c>
      <c r="D460" s="13">
        <f>'5o Lorehold Spirit'!M61</f>
        <v/>
      </c>
      <c r="E460" s="13">
        <f>'5o Lorehold Spirit'!N61</f>
        <v/>
      </c>
      <c r="F460" s="22">
        <f>'5o Lorehold Spirit'!O61</f>
        <v/>
      </c>
    </row>
    <row r="461">
      <c r="A461" s="13" t="inlineStr">
        <is>
          <t>Lorehold Spirit</t>
        </is>
      </c>
      <c r="B461" s="38" t="inlineStr">
        <is>
          <t>5o</t>
        </is>
      </c>
      <c r="C461" s="38" t="n">
        <v>57</v>
      </c>
      <c r="D461" s="13">
        <f>'5o Lorehold Spirit'!M62</f>
        <v/>
      </c>
      <c r="E461" s="13">
        <f>'5o Lorehold Spirit'!N62</f>
        <v/>
      </c>
      <c r="F461" s="22">
        <f>'5o Lorehold Spirit'!O62</f>
        <v/>
      </c>
    </row>
    <row r="462">
      <c r="A462" s="13" t="inlineStr">
        <is>
          <t>Lorehold Spirit</t>
        </is>
      </c>
      <c r="B462" s="38" t="inlineStr">
        <is>
          <t>5o</t>
        </is>
      </c>
      <c r="C462" s="38" t="n">
        <v>58</v>
      </c>
      <c r="D462" s="13">
        <f>'5o Lorehold Spirit'!M63</f>
        <v/>
      </c>
      <c r="E462" s="13">
        <f>'5o Lorehold Spirit'!N63</f>
        <v/>
      </c>
      <c r="F462" s="22">
        <f>'5o Lorehold Spirit'!O63</f>
        <v/>
      </c>
    </row>
    <row r="463">
      <c r="A463" s="13" t="inlineStr">
        <is>
          <t>Lorehold Spirit</t>
        </is>
      </c>
      <c r="B463" s="38" t="inlineStr">
        <is>
          <t>5o</t>
        </is>
      </c>
      <c r="C463" s="38" t="n">
        <v>59</v>
      </c>
      <c r="D463" s="13">
        <f>'5o Lorehold Spirit'!M64</f>
        <v/>
      </c>
      <c r="E463" s="13">
        <f>'5o Lorehold Spirit'!N64</f>
        <v/>
      </c>
      <c r="F463" s="22">
        <f>'5o Lorehold Spirit'!O64</f>
        <v/>
      </c>
    </row>
    <row r="464">
      <c r="A464" s="13" t="inlineStr">
        <is>
          <t>Lorehold Spirit</t>
        </is>
      </c>
      <c r="B464" s="38" t="inlineStr">
        <is>
          <t>5o</t>
        </is>
      </c>
      <c r="C464" s="38" t="n">
        <v>60</v>
      </c>
      <c r="D464" s="13">
        <f>'5o Lorehold Spirit'!M65</f>
        <v/>
      </c>
      <c r="E464" s="13">
        <f>'5o Lorehold Spirit'!N65</f>
        <v/>
      </c>
      <c r="F464" s="22">
        <f>'5o Lorehold Spirit'!O65</f>
        <v/>
      </c>
    </row>
    <row r="465">
      <c r="A465" s="13" t="inlineStr">
        <is>
          <t>Lorehold Spirit</t>
        </is>
      </c>
      <c r="B465" s="38" t="inlineStr">
        <is>
          <t>5o</t>
        </is>
      </c>
      <c r="C465" s="38" t="n">
        <v>61</v>
      </c>
      <c r="D465" s="13">
        <f>'5o Lorehold Spirit'!M66</f>
        <v/>
      </c>
      <c r="E465" s="13">
        <f>'5o Lorehold Spirit'!N66</f>
        <v/>
      </c>
      <c r="F465" s="22">
        <f>'5o Lorehold Spirit'!O66</f>
        <v/>
      </c>
    </row>
    <row r="466">
      <c r="A466" s="13" t="inlineStr">
        <is>
          <t>Lorehold Spirit</t>
        </is>
      </c>
      <c r="B466" s="38" t="inlineStr">
        <is>
          <t>5o</t>
        </is>
      </c>
      <c r="C466" s="38" t="n">
        <v>62</v>
      </c>
      <c r="D466" s="13">
        <f>'5o Lorehold Spirit'!M67</f>
        <v/>
      </c>
      <c r="E466" s="13">
        <f>'5o Lorehold Spirit'!N67</f>
        <v/>
      </c>
      <c r="F466" s="22">
        <f>'5o Lorehold Spirit'!O67</f>
        <v/>
      </c>
    </row>
    <row r="467">
      <c r="A467" s="13" t="inlineStr">
        <is>
          <t>Lorehold Spirit</t>
        </is>
      </c>
      <c r="B467" s="38" t="inlineStr">
        <is>
          <t>5o</t>
        </is>
      </c>
      <c r="C467" s="38" t="n">
        <v>63</v>
      </c>
      <c r="D467" s="13">
        <f>'5o Lorehold Spirit'!M68</f>
        <v/>
      </c>
      <c r="E467" s="13">
        <f>'5o Lorehold Spirit'!N68</f>
        <v/>
      </c>
      <c r="F467" s="22">
        <f>'5o Lorehold Spirit'!O68</f>
        <v/>
      </c>
    </row>
    <row r="468">
      <c r="A468" s="13" t="inlineStr">
        <is>
          <t>Lorehold Spirit</t>
        </is>
      </c>
      <c r="B468" s="38" t="inlineStr">
        <is>
          <t>5o</t>
        </is>
      </c>
      <c r="C468" s="38" t="n">
        <v>64</v>
      </c>
      <c r="D468" s="13">
        <f>'5o Lorehold Spirit'!M69</f>
        <v/>
      </c>
      <c r="E468" s="13">
        <f>'5o Lorehold Spirit'!N69</f>
        <v/>
      </c>
      <c r="F468" s="22">
        <f>'5o Lorehold Spirit'!O69</f>
        <v/>
      </c>
    </row>
    <row r="469">
      <c r="A469" s="13" t="inlineStr">
        <is>
          <t>Lorehold Spirit</t>
        </is>
      </c>
      <c r="B469" s="38" t="inlineStr">
        <is>
          <t>5o</t>
        </is>
      </c>
      <c r="C469" s="38" t="n">
        <v>65</v>
      </c>
      <c r="D469" s="13">
        <f>'5o Lorehold Spirit'!M70</f>
        <v/>
      </c>
      <c r="E469" s="13">
        <f>'5o Lorehold Spirit'!N70</f>
        <v/>
      </c>
      <c r="F469" s="22">
        <f>'5o Lorehold Spirit'!O70</f>
        <v/>
      </c>
    </row>
    <row r="470">
      <c r="A470" s="13" t="inlineStr">
        <is>
          <t>Lorehold Spirit</t>
        </is>
      </c>
      <c r="B470" s="38" t="inlineStr">
        <is>
          <t>5o</t>
        </is>
      </c>
      <c r="C470" s="38" t="n">
        <v>66</v>
      </c>
      <c r="D470" s="13">
        <f>'5o Lorehold Spirit'!M71</f>
        <v/>
      </c>
      <c r="E470" s="13">
        <f>'5o Lorehold Spirit'!N71</f>
        <v/>
      </c>
      <c r="F470" s="22">
        <f>'5o Lorehold Spirit'!O71</f>
        <v/>
      </c>
    </row>
    <row r="471">
      <c r="A471" s="13" t="inlineStr">
        <is>
          <t>Lorehold Spirit</t>
        </is>
      </c>
      <c r="B471" s="38" t="inlineStr">
        <is>
          <t>5o</t>
        </is>
      </c>
      <c r="C471" s="38" t="n">
        <v>67</v>
      </c>
      <c r="D471" s="13">
        <f>'5o Lorehold Spirit'!M72</f>
        <v/>
      </c>
      <c r="E471" s="13">
        <f>'5o Lorehold Spirit'!N72</f>
        <v/>
      </c>
      <c r="F471" s="22">
        <f>'5o Lorehold Spirit'!O72</f>
        <v/>
      </c>
    </row>
    <row r="472">
      <c r="A472" s="13" t="inlineStr">
        <is>
          <t>Lorehold Spirit</t>
        </is>
      </c>
      <c r="B472" s="38" t="inlineStr">
        <is>
          <t>5o</t>
        </is>
      </c>
      <c r="C472" s="38" t="n">
        <v>68</v>
      </c>
      <c r="D472" s="13">
        <f>'5o Lorehold Spirit'!M73</f>
        <v/>
      </c>
      <c r="E472" s="13">
        <f>'5o Lorehold Spirit'!N73</f>
        <v/>
      </c>
      <c r="F472" s="22">
        <f>'5o Lorehold Spirit'!O73</f>
        <v/>
      </c>
    </row>
    <row r="473">
      <c r="A473" s="13" t="inlineStr">
        <is>
          <t>Lorehold Spirit</t>
        </is>
      </c>
      <c r="B473" s="38" t="inlineStr">
        <is>
          <t>5o</t>
        </is>
      </c>
      <c r="C473" s="38" t="n">
        <v>69</v>
      </c>
      <c r="D473" s="13">
        <f>'5o Lorehold Spirit'!M74</f>
        <v/>
      </c>
      <c r="E473" s="13">
        <f>'5o Lorehold Spirit'!N74</f>
        <v/>
      </c>
      <c r="F473" s="22">
        <f>'5o Lorehold Spirit'!O74</f>
        <v/>
      </c>
    </row>
    <row r="474">
      <c r="A474" s="13" t="inlineStr">
        <is>
          <t>Lorehold Spirit</t>
        </is>
      </c>
      <c r="B474" s="38" t="inlineStr">
        <is>
          <t>5o</t>
        </is>
      </c>
      <c r="C474" s="38" t="n">
        <v>70</v>
      </c>
      <c r="D474" s="13">
        <f>'5o Lorehold Spirit'!M75</f>
        <v/>
      </c>
      <c r="E474" s="13">
        <f>'5o Lorehold Spirit'!N75</f>
        <v/>
      </c>
      <c r="F474" s="22">
        <f>'5o Lorehold Spirit'!O75</f>
        <v/>
      </c>
    </row>
    <row r="475">
      <c r="A475" s="13" t="inlineStr">
        <is>
          <t>Lorehold Spirit</t>
        </is>
      </c>
      <c r="B475" s="38" t="inlineStr">
        <is>
          <t>5o</t>
        </is>
      </c>
      <c r="C475" s="38" t="n">
        <v>71</v>
      </c>
      <c r="D475" s="13">
        <f>'5o Lorehold Spirit'!M76</f>
        <v/>
      </c>
      <c r="E475" s="13">
        <f>'5o Lorehold Spirit'!N76</f>
        <v/>
      </c>
      <c r="F475" s="22">
        <f>'5o Lorehold Spirit'!O76</f>
        <v/>
      </c>
    </row>
    <row r="476">
      <c r="A476" s="13" t="inlineStr">
        <is>
          <t>Lorehold Spirit</t>
        </is>
      </c>
      <c r="B476" s="38" t="inlineStr">
        <is>
          <t>5o</t>
        </is>
      </c>
      <c r="C476" s="38" t="n">
        <v>72</v>
      </c>
      <c r="D476" s="13">
        <f>'5o Lorehold Spirit'!M77</f>
        <v/>
      </c>
      <c r="E476" s="13">
        <f>'5o Lorehold Spirit'!N77</f>
        <v/>
      </c>
      <c r="F476" s="22">
        <f>'5o Lorehold Spirit'!O77</f>
        <v/>
      </c>
    </row>
    <row r="477">
      <c r="A477" s="13" t="inlineStr">
        <is>
          <t>Lorehold Spirit</t>
        </is>
      </c>
      <c r="B477" s="38" t="inlineStr">
        <is>
          <t>5o</t>
        </is>
      </c>
      <c r="C477" s="38" t="n">
        <v>73</v>
      </c>
      <c r="D477" s="13">
        <f>'5o Lorehold Spirit'!M78</f>
        <v/>
      </c>
      <c r="E477" s="13">
        <f>'5o Lorehold Spirit'!N78</f>
        <v/>
      </c>
      <c r="F477" s="22">
        <f>'5o Lorehold Spirit'!O78</f>
        <v/>
      </c>
    </row>
    <row r="478">
      <c r="A478" s="13" t="inlineStr">
        <is>
          <t>Lorehold Spirit</t>
        </is>
      </c>
      <c r="B478" s="38" t="inlineStr">
        <is>
          <t>5o</t>
        </is>
      </c>
      <c r="C478" s="38" t="n">
        <v>74</v>
      </c>
      <c r="D478" s="13">
        <f>'5o Lorehold Spirit'!M79</f>
        <v/>
      </c>
      <c r="E478" s="13">
        <f>'5o Lorehold Spirit'!N79</f>
        <v/>
      </c>
      <c r="F478" s="22">
        <f>'5o Lorehold Spirit'!O79</f>
        <v/>
      </c>
    </row>
    <row r="479">
      <c r="A479" s="13" t="inlineStr">
        <is>
          <t>Lorehold Spirit</t>
        </is>
      </c>
      <c r="B479" s="38" t="inlineStr">
        <is>
          <t>5o</t>
        </is>
      </c>
      <c r="C479" s="38" t="n">
        <v>75</v>
      </c>
      <c r="D479" s="13">
        <f>'5o Lorehold Spirit'!M80</f>
        <v/>
      </c>
      <c r="E479" s="13">
        <f>'5o Lorehold Spirit'!N80</f>
        <v/>
      </c>
      <c r="F479" s="22">
        <f>'5o Lorehold Spirit'!O80</f>
        <v/>
      </c>
    </row>
    <row r="480">
      <c r="A480" s="13" t="inlineStr">
        <is>
          <t>Lorehold Spirit</t>
        </is>
      </c>
      <c r="B480" s="38" t="inlineStr">
        <is>
          <t>5o</t>
        </is>
      </c>
      <c r="C480" s="38" t="n">
        <v>76</v>
      </c>
      <c r="D480" s="13">
        <f>'5o Lorehold Spirit'!M81</f>
        <v/>
      </c>
      <c r="E480" s="13">
        <f>'5o Lorehold Spirit'!N81</f>
        <v/>
      </c>
      <c r="F480" s="22">
        <f>'5o Lorehold Spirit'!O81</f>
        <v/>
      </c>
    </row>
    <row r="481">
      <c r="A481" s="13" t="inlineStr">
        <is>
          <t>Lorehold Spirit</t>
        </is>
      </c>
      <c r="B481" s="38" t="inlineStr">
        <is>
          <t>5o</t>
        </is>
      </c>
      <c r="C481" s="38" t="n">
        <v>77</v>
      </c>
      <c r="D481" s="13">
        <f>'5o Lorehold Spirit'!M82</f>
        <v/>
      </c>
      <c r="E481" s="13">
        <f>'5o Lorehold Spirit'!N82</f>
        <v/>
      </c>
      <c r="F481" s="22">
        <f>'5o Lorehold Spirit'!O82</f>
        <v/>
      </c>
    </row>
    <row r="482">
      <c r="A482" s="13" t="inlineStr">
        <is>
          <t>Lorehold Spirit</t>
        </is>
      </c>
      <c r="B482" s="38" t="inlineStr">
        <is>
          <t>5o</t>
        </is>
      </c>
      <c r="C482" s="38" t="n">
        <v>78</v>
      </c>
      <c r="D482" s="13">
        <f>'5o Lorehold Spirit'!M83</f>
        <v/>
      </c>
      <c r="E482" s="13">
        <f>'5o Lorehold Spirit'!N83</f>
        <v/>
      </c>
      <c r="F482" s="22">
        <f>'5o Lorehold Spirit'!O83</f>
        <v/>
      </c>
    </row>
    <row r="483">
      <c r="A483" s="13" t="inlineStr">
        <is>
          <t>Lorehold Spirit</t>
        </is>
      </c>
      <c r="B483" s="38" t="inlineStr">
        <is>
          <t>5o</t>
        </is>
      </c>
      <c r="C483" s="38" t="n">
        <v>79</v>
      </c>
      <c r="D483" s="13">
        <f>'5o Lorehold Spirit'!M84</f>
        <v/>
      </c>
      <c r="E483" s="13">
        <f>'5o Lorehold Spirit'!N84</f>
        <v/>
      </c>
      <c r="F483" s="22">
        <f>'5o Lorehold Spirit'!O84</f>
        <v/>
      </c>
    </row>
    <row r="484">
      <c r="A484" s="13" t="inlineStr">
        <is>
          <t>Lorehold Spirit</t>
        </is>
      </c>
      <c r="B484" s="38" t="inlineStr">
        <is>
          <t>5o</t>
        </is>
      </c>
      <c r="C484" s="38" t="n">
        <v>80</v>
      </c>
      <c r="D484" s="13">
        <f>'5o Lorehold Spirit'!M85</f>
        <v/>
      </c>
      <c r="E484" s="13">
        <f>'5o Lorehold Spirit'!N85</f>
        <v/>
      </c>
      <c r="F484" s="22">
        <f>'5o Lorehold Spirit'!O85</f>
        <v/>
      </c>
    </row>
    <row r="485">
      <c r="A485" s="13" t="inlineStr">
        <is>
          <t>Lorehold Spirit</t>
        </is>
      </c>
      <c r="B485" s="38" t="inlineStr">
        <is>
          <t>5o</t>
        </is>
      </c>
      <c r="C485" s="38" t="n">
        <v>81</v>
      </c>
      <c r="D485" s="13">
        <f>'5o Lorehold Spirit'!M86</f>
        <v/>
      </c>
      <c r="E485" s="13">
        <f>'5o Lorehold Spirit'!N86</f>
        <v/>
      </c>
      <c r="F485" s="22">
        <f>'5o Lorehold Spirit'!O86</f>
        <v/>
      </c>
    </row>
    <row r="486">
      <c r="A486" s="13" t="inlineStr">
        <is>
          <t>Lorehold Spirit</t>
        </is>
      </c>
      <c r="B486" s="38" t="inlineStr">
        <is>
          <t>5o</t>
        </is>
      </c>
      <c r="C486" s="38" t="n">
        <v>82</v>
      </c>
      <c r="D486" s="13">
        <f>'5o Lorehold Spirit'!M87</f>
        <v/>
      </c>
      <c r="E486" s="13">
        <f>'5o Lorehold Spirit'!N87</f>
        <v/>
      </c>
      <c r="F486" s="22">
        <f>'5o Lorehold Spirit'!O87</f>
        <v/>
      </c>
    </row>
    <row r="487">
      <c r="A487" s="13" t="inlineStr">
        <is>
          <t>Lorehold Spirit</t>
        </is>
      </c>
      <c r="B487" s="38" t="inlineStr">
        <is>
          <t>5o</t>
        </is>
      </c>
      <c r="C487" s="38" t="n">
        <v>83</v>
      </c>
      <c r="D487" s="13">
        <f>'5o Lorehold Spirit'!M88</f>
        <v/>
      </c>
      <c r="E487" s="13">
        <f>'5o Lorehold Spirit'!N88</f>
        <v/>
      </c>
      <c r="F487" s="22">
        <f>'5o Lorehold Spirit'!O88</f>
        <v/>
      </c>
    </row>
    <row r="488">
      <c r="A488" s="13" t="inlineStr">
        <is>
          <t>Lorehold Spirit</t>
        </is>
      </c>
      <c r="B488" s="38" t="inlineStr">
        <is>
          <t>5o</t>
        </is>
      </c>
      <c r="C488" s="38" t="n">
        <v>84</v>
      </c>
      <c r="D488" s="13">
        <f>'5o Lorehold Spirit'!M89</f>
        <v/>
      </c>
      <c r="E488" s="13">
        <f>'5o Lorehold Spirit'!N89</f>
        <v/>
      </c>
      <c r="F488" s="22">
        <f>'5o Lorehold Spirit'!O89</f>
        <v/>
      </c>
    </row>
    <row r="489">
      <c r="A489" s="13" t="inlineStr">
        <is>
          <t>Lorehold Spirit</t>
        </is>
      </c>
      <c r="B489" s="38" t="inlineStr">
        <is>
          <t>5o</t>
        </is>
      </c>
      <c r="C489" s="38" t="n">
        <v>85</v>
      </c>
      <c r="D489" s="13">
        <f>'5o Lorehold Spirit'!M90</f>
        <v/>
      </c>
      <c r="E489" s="13">
        <f>'5o Lorehold Spirit'!N90</f>
        <v/>
      </c>
      <c r="F489" s="22">
        <f>'5o Lorehold Spirit'!O90</f>
        <v/>
      </c>
    </row>
    <row r="490">
      <c r="A490" s="13" t="inlineStr">
        <is>
          <t>Lorehold Spirit</t>
        </is>
      </c>
      <c r="B490" s="38" t="inlineStr">
        <is>
          <t>5o</t>
        </is>
      </c>
      <c r="C490" s="38" t="n">
        <v>86</v>
      </c>
      <c r="D490" s="13">
        <f>'5o Lorehold Spirit'!M91</f>
        <v/>
      </c>
      <c r="E490" s="13">
        <f>'5o Lorehold Spirit'!N91</f>
        <v/>
      </c>
      <c r="F490" s="22">
        <f>'5o Lorehold Spirit'!O91</f>
        <v/>
      </c>
    </row>
    <row r="491">
      <c r="A491" s="13" t="inlineStr">
        <is>
          <t>Lorehold Spirit</t>
        </is>
      </c>
      <c r="B491" s="38" t="inlineStr">
        <is>
          <t>5o</t>
        </is>
      </c>
      <c r="C491" s="38" t="n">
        <v>87</v>
      </c>
      <c r="D491" s="13">
        <f>'5o Lorehold Spirit'!M92</f>
        <v/>
      </c>
      <c r="E491" s="13">
        <f>'5o Lorehold Spirit'!N92</f>
        <v/>
      </c>
      <c r="F491" s="22">
        <f>'5o Lorehold Spirit'!O92</f>
        <v/>
      </c>
    </row>
    <row r="492">
      <c r="A492" s="13" t="inlineStr">
        <is>
          <t>Lorehold Spirit</t>
        </is>
      </c>
      <c r="B492" s="38" t="inlineStr">
        <is>
          <t>5o</t>
        </is>
      </c>
      <c r="C492" s="38" t="n">
        <v>88</v>
      </c>
      <c r="D492" s="13">
        <f>'5o Lorehold Spirit'!M93</f>
        <v/>
      </c>
      <c r="E492" s="13">
        <f>'5o Lorehold Spirit'!N93</f>
        <v/>
      </c>
      <c r="F492" s="22">
        <f>'5o Lorehold Spirit'!O93</f>
        <v/>
      </c>
    </row>
    <row r="493">
      <c r="A493" s="13" t="inlineStr">
        <is>
          <t>Lorehold Spirit</t>
        </is>
      </c>
      <c r="B493" s="38" t="inlineStr">
        <is>
          <t>5o</t>
        </is>
      </c>
      <c r="C493" s="38" t="n">
        <v>89</v>
      </c>
      <c r="D493" s="13">
        <f>'5o Lorehold Spirit'!M94</f>
        <v/>
      </c>
      <c r="E493" s="13">
        <f>'5o Lorehold Spirit'!N94</f>
        <v/>
      </c>
      <c r="F493" s="22">
        <f>'5o Lorehold Spirit'!O94</f>
        <v/>
      </c>
    </row>
    <row r="494">
      <c r="A494" s="13" t="inlineStr">
        <is>
          <t>Lorehold Spirit</t>
        </is>
      </c>
      <c r="B494" s="38" t="inlineStr">
        <is>
          <t>5o</t>
        </is>
      </c>
      <c r="C494" s="38" t="n">
        <v>90</v>
      </c>
      <c r="D494" s="13">
        <f>'5o Lorehold Spirit'!M95</f>
        <v/>
      </c>
      <c r="E494" s="13">
        <f>'5o Lorehold Spirit'!N95</f>
        <v/>
      </c>
      <c r="F494" s="22">
        <f>'5o Lorehold Spirit'!O95</f>
        <v/>
      </c>
    </row>
    <row r="495">
      <c r="A495" s="13" t="inlineStr">
        <is>
          <t>Lorehold Spirit</t>
        </is>
      </c>
      <c r="B495" s="38" t="inlineStr">
        <is>
          <t>5o</t>
        </is>
      </c>
      <c r="C495" s="38" t="n">
        <v>91</v>
      </c>
      <c r="D495" s="13">
        <f>'5o Lorehold Spirit'!M96</f>
        <v/>
      </c>
      <c r="E495" s="13">
        <f>'5o Lorehold Spirit'!N96</f>
        <v/>
      </c>
      <c r="F495" s="22">
        <f>'5o Lorehold Spirit'!O96</f>
        <v/>
      </c>
    </row>
    <row r="496">
      <c r="A496" s="13" t="inlineStr">
        <is>
          <t>Lorehold Spirit</t>
        </is>
      </c>
      <c r="B496" s="38" t="inlineStr">
        <is>
          <t>5o</t>
        </is>
      </c>
      <c r="C496" s="38" t="n">
        <v>92</v>
      </c>
      <c r="D496" s="13">
        <f>'5o Lorehold Spirit'!M97</f>
        <v/>
      </c>
      <c r="E496" s="13">
        <f>'5o Lorehold Spirit'!N97</f>
        <v/>
      </c>
      <c r="F496" s="22">
        <f>'5o Lorehold Spirit'!O97</f>
        <v/>
      </c>
    </row>
    <row r="497">
      <c r="A497" s="13" t="inlineStr">
        <is>
          <t>Lorehold Spirit</t>
        </is>
      </c>
      <c r="B497" s="38" t="inlineStr">
        <is>
          <t>5o</t>
        </is>
      </c>
      <c r="C497" s="38" t="n">
        <v>93</v>
      </c>
      <c r="D497" s="13">
        <f>'5o Lorehold Spirit'!M98</f>
        <v/>
      </c>
      <c r="E497" s="13">
        <f>'5o Lorehold Spirit'!N98</f>
        <v/>
      </c>
      <c r="F497" s="22">
        <f>'5o Lorehold Spirit'!O98</f>
        <v/>
      </c>
    </row>
    <row r="498">
      <c r="A498" s="13" t="inlineStr">
        <is>
          <t>Lorehold Spirit</t>
        </is>
      </c>
      <c r="B498" s="38" t="inlineStr">
        <is>
          <t>5o</t>
        </is>
      </c>
      <c r="C498" s="38" t="n">
        <v>94</v>
      </c>
      <c r="D498" s="13">
        <f>'5o Lorehold Spirit'!M99</f>
        <v/>
      </c>
      <c r="E498" s="13">
        <f>'5o Lorehold Spirit'!N99</f>
        <v/>
      </c>
      <c r="F498" s="22">
        <f>'5o Lorehold Spirit'!O99</f>
        <v/>
      </c>
    </row>
    <row r="499">
      <c r="A499" s="13" t="inlineStr">
        <is>
          <t>Lorehold Spirit</t>
        </is>
      </c>
      <c r="B499" s="38" t="inlineStr">
        <is>
          <t>5o</t>
        </is>
      </c>
      <c r="C499" s="38" t="n">
        <v>95</v>
      </c>
      <c r="D499" s="13">
        <f>'5o Lorehold Spirit'!M100</f>
        <v/>
      </c>
      <c r="E499" s="13">
        <f>'5o Lorehold Spirit'!N100</f>
        <v/>
      </c>
      <c r="F499" s="22">
        <f>'5o Lorehold Spirit'!O100</f>
        <v/>
      </c>
    </row>
    <row r="500">
      <c r="A500" s="13" t="inlineStr">
        <is>
          <t>Lorehold Spirit</t>
        </is>
      </c>
      <c r="B500" s="38" t="inlineStr">
        <is>
          <t>5o</t>
        </is>
      </c>
      <c r="C500" s="38" t="n">
        <v>96</v>
      </c>
      <c r="D500" s="13">
        <f>'5o Lorehold Spirit'!M101</f>
        <v/>
      </c>
      <c r="E500" s="13">
        <f>'5o Lorehold Spirit'!N101</f>
        <v/>
      </c>
      <c r="F500" s="22">
        <f>'5o Lorehold Spirit'!O101</f>
        <v/>
      </c>
    </row>
    <row r="501">
      <c r="A501" s="13" t="inlineStr">
        <is>
          <t>Lorehold Spirit</t>
        </is>
      </c>
      <c r="B501" s="38" t="inlineStr">
        <is>
          <t>5o</t>
        </is>
      </c>
      <c r="C501" s="38" t="n">
        <v>97</v>
      </c>
      <c r="D501" s="13">
        <f>'5o Lorehold Spirit'!M102</f>
        <v/>
      </c>
      <c r="E501" s="13">
        <f>'5o Lorehold Spirit'!N102</f>
        <v/>
      </c>
      <c r="F501" s="22">
        <f>'5o Lorehold Spirit'!O102</f>
        <v/>
      </c>
    </row>
    <row r="502">
      <c r="A502" s="13" t="inlineStr">
        <is>
          <t>Lorehold Spirit</t>
        </is>
      </c>
      <c r="B502" s="38" t="inlineStr">
        <is>
          <t>5o</t>
        </is>
      </c>
      <c r="C502" s="38" t="n">
        <v>98</v>
      </c>
      <c r="D502" s="13">
        <f>'5o Lorehold Spirit'!M103</f>
        <v/>
      </c>
      <c r="E502" s="13">
        <f>'5o Lorehold Spirit'!N103</f>
        <v/>
      </c>
      <c r="F502" s="22">
        <f>'5o Lorehold Spirit'!O103</f>
        <v/>
      </c>
    </row>
    <row r="503">
      <c r="A503" s="13" t="inlineStr">
        <is>
          <t>Lorehold Spirit</t>
        </is>
      </c>
      <c r="B503" s="38" t="inlineStr">
        <is>
          <t>5o</t>
        </is>
      </c>
      <c r="C503" s="38" t="n">
        <v>99</v>
      </c>
      <c r="D503" s="13">
        <f>'5o Lorehold Spirit'!M104</f>
        <v/>
      </c>
      <c r="E503" s="13">
        <f>'5o Lorehold Spirit'!N104</f>
        <v/>
      </c>
      <c r="F503" s="22">
        <f>'5o Lorehold Spirit'!O104</f>
        <v/>
      </c>
    </row>
    <row r="504">
      <c r="A504" s="13" t="inlineStr">
        <is>
          <t>Lorehold Spirit</t>
        </is>
      </c>
      <c r="B504" s="38" t="inlineStr">
        <is>
          <t>5o</t>
        </is>
      </c>
      <c r="C504" s="38" t="n">
        <v>100</v>
      </c>
      <c r="D504" s="13">
        <f>'5o Lorehold Spirit'!M105</f>
        <v/>
      </c>
      <c r="E504" s="13">
        <f>'5o Lorehold Spirit'!N105</f>
        <v/>
      </c>
      <c r="F504" s="22">
        <f>'5o Lorehold Spirit'!O105</f>
        <v/>
      </c>
    </row>
    <row r="505">
      <c r="A505" s="13" t="inlineStr">
        <is>
          <t>Sultai ETB Doubling</t>
        </is>
      </c>
      <c r="B505" s="38" t="inlineStr">
        <is>
          <t>6f</t>
        </is>
      </c>
      <c r="C505" s="38" t="n">
        <v>1</v>
      </c>
      <c r="D505" s="13">
        <f>'6f Sultai ETB Doubling'!K6</f>
        <v/>
      </c>
      <c r="E505" s="13">
        <f>'6f Sultai ETB Doubling'!L6</f>
        <v/>
      </c>
      <c r="F505" s="22">
        <f>'6f Sultai ETB Doubling'!M6</f>
        <v/>
      </c>
    </row>
    <row r="506">
      <c r="A506" s="13" t="inlineStr">
        <is>
          <t>Sultai ETB Doubling</t>
        </is>
      </c>
      <c r="B506" s="38" t="inlineStr">
        <is>
          <t>6f</t>
        </is>
      </c>
      <c r="C506" s="38" t="n">
        <v>2</v>
      </c>
      <c r="D506" s="13">
        <f>'6f Sultai ETB Doubling'!K7</f>
        <v/>
      </c>
      <c r="E506" s="13">
        <f>'6f Sultai ETB Doubling'!L7</f>
        <v/>
      </c>
      <c r="F506" s="22">
        <f>'6f Sultai ETB Doubling'!M7</f>
        <v/>
      </c>
    </row>
    <row r="507">
      <c r="A507" s="13" t="inlineStr">
        <is>
          <t>Sultai ETB Doubling</t>
        </is>
      </c>
      <c r="B507" s="38" t="inlineStr">
        <is>
          <t>6f</t>
        </is>
      </c>
      <c r="C507" s="38" t="n">
        <v>3</v>
      </c>
      <c r="D507" s="13">
        <f>'6f Sultai ETB Doubling'!K8</f>
        <v/>
      </c>
      <c r="E507" s="13">
        <f>'6f Sultai ETB Doubling'!L8</f>
        <v/>
      </c>
      <c r="F507" s="22">
        <f>'6f Sultai ETB Doubling'!M8</f>
        <v/>
      </c>
    </row>
    <row r="508">
      <c r="A508" s="13" t="inlineStr">
        <is>
          <t>Sultai ETB Doubling</t>
        </is>
      </c>
      <c r="B508" s="38" t="inlineStr">
        <is>
          <t>6f</t>
        </is>
      </c>
      <c r="C508" s="38" t="n">
        <v>4</v>
      </c>
      <c r="D508" s="13">
        <f>'6f Sultai ETB Doubling'!K9</f>
        <v/>
      </c>
      <c r="E508" s="13">
        <f>'6f Sultai ETB Doubling'!L9</f>
        <v/>
      </c>
      <c r="F508" s="22">
        <f>'6f Sultai ETB Doubling'!M9</f>
        <v/>
      </c>
    </row>
    <row r="509">
      <c r="A509" s="13" t="inlineStr">
        <is>
          <t>Sultai ETB Doubling</t>
        </is>
      </c>
      <c r="B509" s="38" t="inlineStr">
        <is>
          <t>6f</t>
        </is>
      </c>
      <c r="C509" s="38" t="n">
        <v>5</v>
      </c>
      <c r="D509" s="13">
        <f>'6f Sultai ETB Doubling'!K10</f>
        <v/>
      </c>
      <c r="E509" s="13">
        <f>'6f Sultai ETB Doubling'!L10</f>
        <v/>
      </c>
      <c r="F509" s="22">
        <f>'6f Sultai ETB Doubling'!M10</f>
        <v/>
      </c>
    </row>
    <row r="510">
      <c r="A510" s="13" t="inlineStr">
        <is>
          <t>Sultai ETB Doubling</t>
        </is>
      </c>
      <c r="B510" s="38" t="inlineStr">
        <is>
          <t>6f</t>
        </is>
      </c>
      <c r="C510" s="38" t="n">
        <v>6</v>
      </c>
      <c r="D510" s="13">
        <f>'6f Sultai ETB Doubling'!K11</f>
        <v/>
      </c>
      <c r="E510" s="13">
        <f>'6f Sultai ETB Doubling'!L11</f>
        <v/>
      </c>
      <c r="F510" s="22">
        <f>'6f Sultai ETB Doubling'!M11</f>
        <v/>
      </c>
    </row>
    <row r="511">
      <c r="A511" s="13" t="inlineStr">
        <is>
          <t>Sultai ETB Doubling</t>
        </is>
      </c>
      <c r="B511" s="38" t="inlineStr">
        <is>
          <t>6f</t>
        </is>
      </c>
      <c r="C511" s="38" t="n">
        <v>7</v>
      </c>
      <c r="D511" s="13">
        <f>'6f Sultai ETB Doubling'!K12</f>
        <v/>
      </c>
      <c r="E511" s="13">
        <f>'6f Sultai ETB Doubling'!L12</f>
        <v/>
      </c>
      <c r="F511" s="22">
        <f>'6f Sultai ETB Doubling'!M12</f>
        <v/>
      </c>
    </row>
    <row r="512">
      <c r="A512" s="13" t="inlineStr">
        <is>
          <t>Sultai ETB Doubling</t>
        </is>
      </c>
      <c r="B512" s="38" t="inlineStr">
        <is>
          <t>6f</t>
        </is>
      </c>
      <c r="C512" s="38" t="n">
        <v>8</v>
      </c>
      <c r="D512" s="13">
        <f>'6f Sultai ETB Doubling'!K13</f>
        <v/>
      </c>
      <c r="E512" s="13">
        <f>'6f Sultai ETB Doubling'!L13</f>
        <v/>
      </c>
      <c r="F512" s="22">
        <f>'6f Sultai ETB Doubling'!M13</f>
        <v/>
      </c>
    </row>
    <row r="513">
      <c r="A513" s="13" t="inlineStr">
        <is>
          <t>Sultai ETB Doubling</t>
        </is>
      </c>
      <c r="B513" s="38" t="inlineStr">
        <is>
          <t>6f</t>
        </is>
      </c>
      <c r="C513" s="38" t="n">
        <v>9</v>
      </c>
      <c r="D513" s="13">
        <f>'6f Sultai ETB Doubling'!K14</f>
        <v/>
      </c>
      <c r="E513" s="13">
        <f>'6f Sultai ETB Doubling'!L14</f>
        <v/>
      </c>
      <c r="F513" s="22">
        <f>'6f Sultai ETB Doubling'!M14</f>
        <v/>
      </c>
    </row>
    <row r="514">
      <c r="A514" s="13" t="inlineStr">
        <is>
          <t>Sultai ETB Doubling</t>
        </is>
      </c>
      <c r="B514" s="38" t="inlineStr">
        <is>
          <t>6f</t>
        </is>
      </c>
      <c r="C514" s="38" t="n">
        <v>10</v>
      </c>
      <c r="D514" s="13">
        <f>'6f Sultai ETB Doubling'!K15</f>
        <v/>
      </c>
      <c r="E514" s="13">
        <f>'6f Sultai ETB Doubling'!L15</f>
        <v/>
      </c>
      <c r="F514" s="22">
        <f>'6f Sultai ETB Doubling'!M15</f>
        <v/>
      </c>
    </row>
    <row r="515">
      <c r="A515" s="13" t="inlineStr">
        <is>
          <t>Sultai ETB Doubling</t>
        </is>
      </c>
      <c r="B515" s="38" t="inlineStr">
        <is>
          <t>6f</t>
        </is>
      </c>
      <c r="C515" s="38" t="n">
        <v>11</v>
      </c>
      <c r="D515" s="13">
        <f>'6f Sultai ETB Doubling'!K16</f>
        <v/>
      </c>
      <c r="E515" s="13">
        <f>'6f Sultai ETB Doubling'!L16</f>
        <v/>
      </c>
      <c r="F515" s="22">
        <f>'6f Sultai ETB Doubling'!M16</f>
        <v/>
      </c>
    </row>
    <row r="516">
      <c r="A516" s="13" t="inlineStr">
        <is>
          <t>Sultai ETB Doubling</t>
        </is>
      </c>
      <c r="B516" s="38" t="inlineStr">
        <is>
          <t>6f</t>
        </is>
      </c>
      <c r="C516" s="38" t="n">
        <v>12</v>
      </c>
      <c r="D516" s="13">
        <f>'6f Sultai ETB Doubling'!K17</f>
        <v/>
      </c>
      <c r="E516" s="13">
        <f>'6f Sultai ETB Doubling'!L17</f>
        <v/>
      </c>
      <c r="F516" s="22">
        <f>'6f Sultai ETB Doubling'!M17</f>
        <v/>
      </c>
    </row>
    <row r="517">
      <c r="A517" s="13" t="inlineStr">
        <is>
          <t>Sultai ETB Doubling</t>
        </is>
      </c>
      <c r="B517" s="38" t="inlineStr">
        <is>
          <t>6f</t>
        </is>
      </c>
      <c r="C517" s="38" t="n">
        <v>13</v>
      </c>
      <c r="D517" s="13">
        <f>'6f Sultai ETB Doubling'!K18</f>
        <v/>
      </c>
      <c r="E517" s="13">
        <f>'6f Sultai ETB Doubling'!L18</f>
        <v/>
      </c>
      <c r="F517" s="22">
        <f>'6f Sultai ETB Doubling'!M18</f>
        <v/>
      </c>
    </row>
    <row r="518">
      <c r="A518" s="13" t="inlineStr">
        <is>
          <t>Sultai ETB Doubling</t>
        </is>
      </c>
      <c r="B518" s="38" t="inlineStr">
        <is>
          <t>6f</t>
        </is>
      </c>
      <c r="C518" s="38" t="n">
        <v>14</v>
      </c>
      <c r="D518" s="13">
        <f>'6f Sultai ETB Doubling'!K19</f>
        <v/>
      </c>
      <c r="E518" s="13">
        <f>'6f Sultai ETB Doubling'!L19</f>
        <v/>
      </c>
      <c r="F518" s="22">
        <f>'6f Sultai ETB Doubling'!M19</f>
        <v/>
      </c>
    </row>
    <row r="519">
      <c r="A519" s="13" t="inlineStr">
        <is>
          <t>Sultai ETB Doubling</t>
        </is>
      </c>
      <c r="B519" s="38" t="inlineStr">
        <is>
          <t>6f</t>
        </is>
      </c>
      <c r="C519" s="38" t="n">
        <v>15</v>
      </c>
      <c r="D519" s="13">
        <f>'6f Sultai ETB Doubling'!K20</f>
        <v/>
      </c>
      <c r="E519" s="13">
        <f>'6f Sultai ETB Doubling'!L20</f>
        <v/>
      </c>
      <c r="F519" s="22">
        <f>'6f Sultai ETB Doubling'!M20</f>
        <v/>
      </c>
    </row>
    <row r="520">
      <c r="A520" s="13" t="inlineStr">
        <is>
          <t>Sultai ETB Doubling</t>
        </is>
      </c>
      <c r="B520" s="38" t="inlineStr">
        <is>
          <t>6f</t>
        </is>
      </c>
      <c r="C520" s="38" t="n">
        <v>16</v>
      </c>
      <c r="D520" s="13">
        <f>'6f Sultai ETB Doubling'!K21</f>
        <v/>
      </c>
      <c r="E520" s="13">
        <f>'6f Sultai ETB Doubling'!L21</f>
        <v/>
      </c>
      <c r="F520" s="22">
        <f>'6f Sultai ETB Doubling'!M21</f>
        <v/>
      </c>
    </row>
    <row r="521">
      <c r="A521" s="13" t="inlineStr">
        <is>
          <t>Sultai ETB Doubling</t>
        </is>
      </c>
      <c r="B521" s="38" t="inlineStr">
        <is>
          <t>6f</t>
        </is>
      </c>
      <c r="C521" s="38" t="n">
        <v>17</v>
      </c>
      <c r="D521" s="13">
        <f>'6f Sultai ETB Doubling'!K22</f>
        <v/>
      </c>
      <c r="E521" s="13">
        <f>'6f Sultai ETB Doubling'!L22</f>
        <v/>
      </c>
      <c r="F521" s="22">
        <f>'6f Sultai ETB Doubling'!M22</f>
        <v/>
      </c>
    </row>
    <row r="522">
      <c r="A522" s="13" t="inlineStr">
        <is>
          <t>Sultai ETB Doubling</t>
        </is>
      </c>
      <c r="B522" s="38" t="inlineStr">
        <is>
          <t>6f</t>
        </is>
      </c>
      <c r="C522" s="38" t="n">
        <v>18</v>
      </c>
      <c r="D522" s="13">
        <f>'6f Sultai ETB Doubling'!K23</f>
        <v/>
      </c>
      <c r="E522" s="13">
        <f>'6f Sultai ETB Doubling'!L23</f>
        <v/>
      </c>
      <c r="F522" s="22">
        <f>'6f Sultai ETB Doubling'!M23</f>
        <v/>
      </c>
    </row>
    <row r="523">
      <c r="A523" s="13" t="inlineStr">
        <is>
          <t>Sultai ETB Doubling</t>
        </is>
      </c>
      <c r="B523" s="38" t="inlineStr">
        <is>
          <t>6f</t>
        </is>
      </c>
      <c r="C523" s="38" t="n">
        <v>19</v>
      </c>
      <c r="D523" s="13">
        <f>'6f Sultai ETB Doubling'!K24</f>
        <v/>
      </c>
      <c r="E523" s="13">
        <f>'6f Sultai ETB Doubling'!L24</f>
        <v/>
      </c>
      <c r="F523" s="22">
        <f>'6f Sultai ETB Doubling'!M24</f>
        <v/>
      </c>
    </row>
    <row r="524">
      <c r="A524" s="13" t="inlineStr">
        <is>
          <t>Sultai ETB Doubling</t>
        </is>
      </c>
      <c r="B524" s="38" t="inlineStr">
        <is>
          <t>6f</t>
        </is>
      </c>
      <c r="C524" s="38" t="n">
        <v>20</v>
      </c>
      <c r="D524" s="13">
        <f>'6f Sultai ETB Doubling'!K25</f>
        <v/>
      </c>
      <c r="E524" s="13">
        <f>'6f Sultai ETB Doubling'!L25</f>
        <v/>
      </c>
      <c r="F524" s="22">
        <f>'6f Sultai ETB Doubling'!M25</f>
        <v/>
      </c>
    </row>
    <row r="525">
      <c r="A525" s="13" t="inlineStr">
        <is>
          <t>Sultai ETB Doubling</t>
        </is>
      </c>
      <c r="B525" s="38" t="inlineStr">
        <is>
          <t>6f</t>
        </is>
      </c>
      <c r="C525" s="38" t="n">
        <v>21</v>
      </c>
      <c r="D525" s="13">
        <f>'6f Sultai ETB Doubling'!K26</f>
        <v/>
      </c>
      <c r="E525" s="13">
        <f>'6f Sultai ETB Doubling'!L26</f>
        <v/>
      </c>
      <c r="F525" s="22">
        <f>'6f Sultai ETB Doubling'!M26</f>
        <v/>
      </c>
    </row>
    <row r="526">
      <c r="A526" s="13" t="inlineStr">
        <is>
          <t>Sultai ETB Doubling</t>
        </is>
      </c>
      <c r="B526" s="38" t="inlineStr">
        <is>
          <t>6f</t>
        </is>
      </c>
      <c r="C526" s="38" t="n">
        <v>22</v>
      </c>
      <c r="D526" s="13">
        <f>'6f Sultai ETB Doubling'!K27</f>
        <v/>
      </c>
      <c r="E526" s="13">
        <f>'6f Sultai ETB Doubling'!L27</f>
        <v/>
      </c>
      <c r="F526" s="22">
        <f>'6f Sultai ETB Doubling'!M27</f>
        <v/>
      </c>
    </row>
    <row r="527">
      <c r="A527" s="13" t="inlineStr">
        <is>
          <t>Sultai ETB Doubling</t>
        </is>
      </c>
      <c r="B527" s="38" t="inlineStr">
        <is>
          <t>6f</t>
        </is>
      </c>
      <c r="C527" s="38" t="n">
        <v>23</v>
      </c>
      <c r="D527" s="13">
        <f>'6f Sultai ETB Doubling'!K28</f>
        <v/>
      </c>
      <c r="E527" s="13">
        <f>'6f Sultai ETB Doubling'!L28</f>
        <v/>
      </c>
      <c r="F527" s="22">
        <f>'6f Sultai ETB Doubling'!M28</f>
        <v/>
      </c>
    </row>
    <row r="528">
      <c r="A528" s="13" t="inlineStr">
        <is>
          <t>Sultai ETB Doubling</t>
        </is>
      </c>
      <c r="B528" s="38" t="inlineStr">
        <is>
          <t>6f</t>
        </is>
      </c>
      <c r="C528" s="38" t="n">
        <v>24</v>
      </c>
      <c r="D528" s="13">
        <f>'6f Sultai ETB Doubling'!K29</f>
        <v/>
      </c>
      <c r="E528" s="13">
        <f>'6f Sultai ETB Doubling'!L29</f>
        <v/>
      </c>
      <c r="F528" s="22">
        <f>'6f Sultai ETB Doubling'!M29</f>
        <v/>
      </c>
    </row>
    <row r="529">
      <c r="A529" s="13" t="inlineStr">
        <is>
          <t>Sultai ETB Doubling</t>
        </is>
      </c>
      <c r="B529" s="38" t="inlineStr">
        <is>
          <t>6f</t>
        </is>
      </c>
      <c r="C529" s="38" t="n">
        <v>25</v>
      </c>
      <c r="D529" s="13">
        <f>'6f Sultai ETB Doubling'!K30</f>
        <v/>
      </c>
      <c r="E529" s="13">
        <f>'6f Sultai ETB Doubling'!L30</f>
        <v/>
      </c>
      <c r="F529" s="22">
        <f>'6f Sultai ETB Doubling'!M30</f>
        <v/>
      </c>
    </row>
    <row r="530">
      <c r="A530" s="13" t="inlineStr">
        <is>
          <t>Sultai ETB Doubling</t>
        </is>
      </c>
      <c r="B530" s="38" t="inlineStr">
        <is>
          <t>6f</t>
        </is>
      </c>
      <c r="C530" s="38" t="n">
        <v>26</v>
      </c>
      <c r="D530" s="13">
        <f>'6f Sultai ETB Doubling'!K31</f>
        <v/>
      </c>
      <c r="E530" s="13">
        <f>'6f Sultai ETB Doubling'!L31</f>
        <v/>
      </c>
      <c r="F530" s="22">
        <f>'6f Sultai ETB Doubling'!M31</f>
        <v/>
      </c>
    </row>
    <row r="531">
      <c r="A531" s="13" t="inlineStr">
        <is>
          <t>Sultai ETB Doubling</t>
        </is>
      </c>
      <c r="B531" s="38" t="inlineStr">
        <is>
          <t>6f</t>
        </is>
      </c>
      <c r="C531" s="38" t="n">
        <v>27</v>
      </c>
      <c r="D531" s="13">
        <f>'6f Sultai ETB Doubling'!K32</f>
        <v/>
      </c>
      <c r="E531" s="13">
        <f>'6f Sultai ETB Doubling'!L32</f>
        <v/>
      </c>
      <c r="F531" s="22">
        <f>'6f Sultai ETB Doubling'!M32</f>
        <v/>
      </c>
    </row>
    <row r="532">
      <c r="A532" s="13" t="inlineStr">
        <is>
          <t>Sultai ETB Doubling</t>
        </is>
      </c>
      <c r="B532" s="38" t="inlineStr">
        <is>
          <t>6f</t>
        </is>
      </c>
      <c r="C532" s="38" t="n">
        <v>28</v>
      </c>
      <c r="D532" s="13">
        <f>'6f Sultai ETB Doubling'!K33</f>
        <v/>
      </c>
      <c r="E532" s="13">
        <f>'6f Sultai ETB Doubling'!L33</f>
        <v/>
      </c>
      <c r="F532" s="22">
        <f>'6f Sultai ETB Doubling'!M33</f>
        <v/>
      </c>
    </row>
    <row r="533">
      <c r="A533" s="13" t="inlineStr">
        <is>
          <t>Sultai ETB Doubling</t>
        </is>
      </c>
      <c r="B533" s="38" t="inlineStr">
        <is>
          <t>6f</t>
        </is>
      </c>
      <c r="C533" s="38" t="n">
        <v>29</v>
      </c>
      <c r="D533" s="13">
        <f>'6f Sultai ETB Doubling'!K34</f>
        <v/>
      </c>
      <c r="E533" s="13">
        <f>'6f Sultai ETB Doubling'!L34</f>
        <v/>
      </c>
      <c r="F533" s="22">
        <f>'6f Sultai ETB Doubling'!M34</f>
        <v/>
      </c>
    </row>
    <row r="534">
      <c r="A534" s="13" t="inlineStr">
        <is>
          <t>Sultai ETB Doubling</t>
        </is>
      </c>
      <c r="B534" s="38" t="inlineStr">
        <is>
          <t>6f</t>
        </is>
      </c>
      <c r="C534" s="38" t="n">
        <v>30</v>
      </c>
      <c r="D534" s="13">
        <f>'6f Sultai ETB Doubling'!K35</f>
        <v/>
      </c>
      <c r="E534" s="13">
        <f>'6f Sultai ETB Doubling'!L35</f>
        <v/>
      </c>
      <c r="F534" s="22">
        <f>'6f Sultai ETB Doubling'!M35</f>
        <v/>
      </c>
    </row>
    <row r="535">
      <c r="A535" s="13" t="inlineStr">
        <is>
          <t>Sultai ETB Doubling</t>
        </is>
      </c>
      <c r="B535" s="38" t="inlineStr">
        <is>
          <t>6f</t>
        </is>
      </c>
      <c r="C535" s="38" t="n">
        <v>31</v>
      </c>
      <c r="D535" s="13">
        <f>'6f Sultai ETB Doubling'!K36</f>
        <v/>
      </c>
      <c r="E535" s="13">
        <f>'6f Sultai ETB Doubling'!L36</f>
        <v/>
      </c>
      <c r="F535" s="22">
        <f>'6f Sultai ETB Doubling'!M36</f>
        <v/>
      </c>
    </row>
    <row r="536">
      <c r="A536" s="13" t="inlineStr">
        <is>
          <t>Sultai ETB Doubling</t>
        </is>
      </c>
      <c r="B536" s="38" t="inlineStr">
        <is>
          <t>6f</t>
        </is>
      </c>
      <c r="C536" s="38" t="n">
        <v>32</v>
      </c>
      <c r="D536" s="13">
        <f>'6f Sultai ETB Doubling'!K37</f>
        <v/>
      </c>
      <c r="E536" s="13">
        <f>'6f Sultai ETB Doubling'!L37</f>
        <v/>
      </c>
      <c r="F536" s="22">
        <f>'6f Sultai ETB Doubling'!M37</f>
        <v/>
      </c>
    </row>
    <row r="537">
      <c r="A537" s="13" t="inlineStr">
        <is>
          <t>Sultai ETB Doubling</t>
        </is>
      </c>
      <c r="B537" s="38" t="inlineStr">
        <is>
          <t>6f</t>
        </is>
      </c>
      <c r="C537" s="38" t="n">
        <v>33</v>
      </c>
      <c r="D537" s="13">
        <f>'6f Sultai ETB Doubling'!K38</f>
        <v/>
      </c>
      <c r="E537" s="13">
        <f>'6f Sultai ETB Doubling'!L38</f>
        <v/>
      </c>
      <c r="F537" s="22">
        <f>'6f Sultai ETB Doubling'!M38</f>
        <v/>
      </c>
    </row>
    <row r="538">
      <c r="A538" s="13" t="inlineStr">
        <is>
          <t>Sultai ETB Doubling</t>
        </is>
      </c>
      <c r="B538" s="38" t="inlineStr">
        <is>
          <t>6f</t>
        </is>
      </c>
      <c r="C538" s="38" t="n">
        <v>34</v>
      </c>
      <c r="D538" s="13">
        <f>'6f Sultai ETB Doubling'!K39</f>
        <v/>
      </c>
      <c r="E538" s="13">
        <f>'6f Sultai ETB Doubling'!L39</f>
        <v/>
      </c>
      <c r="F538" s="22">
        <f>'6f Sultai ETB Doubling'!M39</f>
        <v/>
      </c>
    </row>
    <row r="539">
      <c r="A539" s="13" t="inlineStr">
        <is>
          <t>Sultai ETB Doubling</t>
        </is>
      </c>
      <c r="B539" s="38" t="inlineStr">
        <is>
          <t>6f</t>
        </is>
      </c>
      <c r="C539" s="38" t="n">
        <v>35</v>
      </c>
      <c r="D539" s="13">
        <f>'6f Sultai ETB Doubling'!K40</f>
        <v/>
      </c>
      <c r="E539" s="13">
        <f>'6f Sultai ETB Doubling'!L40</f>
        <v/>
      </c>
      <c r="F539" s="22">
        <f>'6f Sultai ETB Doubling'!M40</f>
        <v/>
      </c>
    </row>
    <row r="540">
      <c r="A540" s="13" t="inlineStr">
        <is>
          <t>Sultai ETB Doubling</t>
        </is>
      </c>
      <c r="B540" s="38" t="inlineStr">
        <is>
          <t>6f</t>
        </is>
      </c>
      <c r="C540" s="38" t="n">
        <v>36</v>
      </c>
      <c r="D540" s="13">
        <f>'6f Sultai ETB Doubling'!K41</f>
        <v/>
      </c>
      <c r="E540" s="13">
        <f>'6f Sultai ETB Doubling'!L41</f>
        <v/>
      </c>
      <c r="F540" s="22">
        <f>'6f Sultai ETB Doubling'!M41</f>
        <v/>
      </c>
    </row>
    <row r="541">
      <c r="A541" s="13" t="inlineStr">
        <is>
          <t>Sultai ETB Doubling</t>
        </is>
      </c>
      <c r="B541" s="38" t="inlineStr">
        <is>
          <t>6f</t>
        </is>
      </c>
      <c r="C541" s="38" t="n">
        <v>37</v>
      </c>
      <c r="D541" s="13">
        <f>'6f Sultai ETB Doubling'!K42</f>
        <v/>
      </c>
      <c r="E541" s="13">
        <f>'6f Sultai ETB Doubling'!L42</f>
        <v/>
      </c>
      <c r="F541" s="22">
        <f>'6f Sultai ETB Doubling'!M42</f>
        <v/>
      </c>
    </row>
    <row r="542">
      <c r="A542" s="13" t="inlineStr">
        <is>
          <t>Sultai ETB Doubling</t>
        </is>
      </c>
      <c r="B542" s="38" t="inlineStr">
        <is>
          <t>6f</t>
        </is>
      </c>
      <c r="C542" s="38" t="n">
        <v>38</v>
      </c>
      <c r="D542" s="13">
        <f>'6f Sultai ETB Doubling'!K43</f>
        <v/>
      </c>
      <c r="E542" s="13">
        <f>'6f Sultai ETB Doubling'!L43</f>
        <v/>
      </c>
      <c r="F542" s="22">
        <f>'6f Sultai ETB Doubling'!M43</f>
        <v/>
      </c>
    </row>
    <row r="543">
      <c r="A543" s="13" t="inlineStr">
        <is>
          <t>Sultai ETB Doubling</t>
        </is>
      </c>
      <c r="B543" s="38" t="inlineStr">
        <is>
          <t>6f</t>
        </is>
      </c>
      <c r="C543" s="38" t="n">
        <v>39</v>
      </c>
      <c r="D543" s="13">
        <f>'6f Sultai ETB Doubling'!K44</f>
        <v/>
      </c>
      <c r="E543" s="13">
        <f>'6f Sultai ETB Doubling'!L44</f>
        <v/>
      </c>
      <c r="F543" s="22">
        <f>'6f Sultai ETB Doubling'!M44</f>
        <v/>
      </c>
    </row>
    <row r="544">
      <c r="A544" s="13" t="inlineStr">
        <is>
          <t>Sultai ETB Doubling</t>
        </is>
      </c>
      <c r="B544" s="38" t="inlineStr">
        <is>
          <t>6f</t>
        </is>
      </c>
      <c r="C544" s="38" t="n">
        <v>40</v>
      </c>
      <c r="D544" s="13">
        <f>'6f Sultai ETB Doubling'!K45</f>
        <v/>
      </c>
      <c r="E544" s="13">
        <f>'6f Sultai ETB Doubling'!L45</f>
        <v/>
      </c>
      <c r="F544" s="22">
        <f>'6f Sultai ETB Doubling'!M45</f>
        <v/>
      </c>
    </row>
    <row r="545">
      <c r="A545" s="13" t="inlineStr">
        <is>
          <t>Sultai ETB Doubling</t>
        </is>
      </c>
      <c r="B545" s="38" t="inlineStr">
        <is>
          <t>6f</t>
        </is>
      </c>
      <c r="C545" s="38" t="n">
        <v>41</v>
      </c>
      <c r="D545" s="13">
        <f>'6f Sultai ETB Doubling'!K46</f>
        <v/>
      </c>
      <c r="E545" s="13">
        <f>'6f Sultai ETB Doubling'!L46</f>
        <v/>
      </c>
      <c r="F545" s="22">
        <f>'6f Sultai ETB Doubling'!M46</f>
        <v/>
      </c>
    </row>
    <row r="546">
      <c r="A546" s="13" t="inlineStr">
        <is>
          <t>Sultai ETB Doubling</t>
        </is>
      </c>
      <c r="B546" s="38" t="inlineStr">
        <is>
          <t>6f</t>
        </is>
      </c>
      <c r="C546" s="38" t="n">
        <v>42</v>
      </c>
      <c r="D546" s="13">
        <f>'6f Sultai ETB Doubling'!K47</f>
        <v/>
      </c>
      <c r="E546" s="13">
        <f>'6f Sultai ETB Doubling'!L47</f>
        <v/>
      </c>
      <c r="F546" s="22">
        <f>'6f Sultai ETB Doubling'!M47</f>
        <v/>
      </c>
    </row>
    <row r="547">
      <c r="A547" s="13" t="inlineStr">
        <is>
          <t>Sultai ETB Doubling</t>
        </is>
      </c>
      <c r="B547" s="38" t="inlineStr">
        <is>
          <t>6f</t>
        </is>
      </c>
      <c r="C547" s="38" t="n">
        <v>43</v>
      </c>
      <c r="D547" s="13">
        <f>'6f Sultai ETB Doubling'!K48</f>
        <v/>
      </c>
      <c r="E547" s="13">
        <f>'6f Sultai ETB Doubling'!L48</f>
        <v/>
      </c>
      <c r="F547" s="22">
        <f>'6f Sultai ETB Doubling'!M48</f>
        <v/>
      </c>
    </row>
    <row r="548">
      <c r="A548" s="13" t="inlineStr">
        <is>
          <t>Sultai ETB Doubling</t>
        </is>
      </c>
      <c r="B548" s="38" t="inlineStr">
        <is>
          <t>6f</t>
        </is>
      </c>
      <c r="C548" s="38" t="n">
        <v>44</v>
      </c>
      <c r="D548" s="13">
        <f>'6f Sultai ETB Doubling'!K49</f>
        <v/>
      </c>
      <c r="E548" s="13">
        <f>'6f Sultai ETB Doubling'!L49</f>
        <v/>
      </c>
      <c r="F548" s="22">
        <f>'6f Sultai ETB Doubling'!M49</f>
        <v/>
      </c>
    </row>
    <row r="549">
      <c r="A549" s="13" t="inlineStr">
        <is>
          <t>Sultai ETB Doubling</t>
        </is>
      </c>
      <c r="B549" s="38" t="inlineStr">
        <is>
          <t>6f</t>
        </is>
      </c>
      <c r="C549" s="38" t="n">
        <v>45</v>
      </c>
      <c r="D549" s="13">
        <f>'6f Sultai ETB Doubling'!K50</f>
        <v/>
      </c>
      <c r="E549" s="13">
        <f>'6f Sultai ETB Doubling'!L50</f>
        <v/>
      </c>
      <c r="F549" s="22">
        <f>'6f Sultai ETB Doubling'!M50</f>
        <v/>
      </c>
    </row>
    <row r="550">
      <c r="A550" s="13" t="inlineStr">
        <is>
          <t>Sultai ETB Doubling</t>
        </is>
      </c>
      <c r="B550" s="38" t="inlineStr">
        <is>
          <t>6f</t>
        </is>
      </c>
      <c r="C550" s="38" t="n">
        <v>46</v>
      </c>
      <c r="D550" s="13">
        <f>'6f Sultai ETB Doubling'!K51</f>
        <v/>
      </c>
      <c r="E550" s="13">
        <f>'6f Sultai ETB Doubling'!L51</f>
        <v/>
      </c>
      <c r="F550" s="22">
        <f>'6f Sultai ETB Doubling'!M51</f>
        <v/>
      </c>
    </row>
    <row r="551">
      <c r="A551" s="13" t="inlineStr">
        <is>
          <t>Sultai ETB Doubling</t>
        </is>
      </c>
      <c r="B551" s="38" t="inlineStr">
        <is>
          <t>6f</t>
        </is>
      </c>
      <c r="C551" s="38" t="n">
        <v>47</v>
      </c>
      <c r="D551" s="13">
        <f>'6f Sultai ETB Doubling'!K52</f>
        <v/>
      </c>
      <c r="E551" s="13">
        <f>'6f Sultai ETB Doubling'!L52</f>
        <v/>
      </c>
      <c r="F551" s="22">
        <f>'6f Sultai ETB Doubling'!M52</f>
        <v/>
      </c>
    </row>
    <row r="552">
      <c r="A552" s="13" t="inlineStr">
        <is>
          <t>Sultai ETB Doubling</t>
        </is>
      </c>
      <c r="B552" s="38" t="inlineStr">
        <is>
          <t>6f</t>
        </is>
      </c>
      <c r="C552" s="38" t="n">
        <v>48</v>
      </c>
      <c r="D552" s="13">
        <f>'6f Sultai ETB Doubling'!K53</f>
        <v/>
      </c>
      <c r="E552" s="13">
        <f>'6f Sultai ETB Doubling'!L53</f>
        <v/>
      </c>
      <c r="F552" s="22">
        <f>'6f Sultai ETB Doubling'!M53</f>
        <v/>
      </c>
    </row>
    <row r="553">
      <c r="A553" s="13" t="inlineStr">
        <is>
          <t>Sultai ETB Doubling</t>
        </is>
      </c>
      <c r="B553" s="38" t="inlineStr">
        <is>
          <t>6f</t>
        </is>
      </c>
      <c r="C553" s="38" t="n">
        <v>49</v>
      </c>
      <c r="D553" s="13">
        <f>'6f Sultai ETB Doubling'!K54</f>
        <v/>
      </c>
      <c r="E553" s="13">
        <f>'6f Sultai ETB Doubling'!L54</f>
        <v/>
      </c>
      <c r="F553" s="22">
        <f>'6f Sultai ETB Doubling'!M54</f>
        <v/>
      </c>
    </row>
    <row r="554">
      <c r="A554" s="13" t="inlineStr">
        <is>
          <t>Sultai ETB Doubling</t>
        </is>
      </c>
      <c r="B554" s="38" t="inlineStr">
        <is>
          <t>6f</t>
        </is>
      </c>
      <c r="C554" s="38" t="n">
        <v>50</v>
      </c>
      <c r="D554" s="13">
        <f>'6f Sultai ETB Doubling'!K55</f>
        <v/>
      </c>
      <c r="E554" s="13">
        <f>'6f Sultai ETB Doubling'!L55</f>
        <v/>
      </c>
      <c r="F554" s="22">
        <f>'6f Sultai ETB Doubling'!M55</f>
        <v/>
      </c>
    </row>
    <row r="555">
      <c r="A555" s="13" t="inlineStr">
        <is>
          <t>Sultai ETB Doubling</t>
        </is>
      </c>
      <c r="B555" s="38" t="inlineStr">
        <is>
          <t>6f</t>
        </is>
      </c>
      <c r="C555" s="38" t="n">
        <v>51</v>
      </c>
      <c r="D555" s="13">
        <f>'6f Sultai ETB Doubling'!K56</f>
        <v/>
      </c>
      <c r="E555" s="13">
        <f>'6f Sultai ETB Doubling'!L56</f>
        <v/>
      </c>
      <c r="F555" s="22">
        <f>'6f Sultai ETB Doubling'!M56</f>
        <v/>
      </c>
    </row>
    <row r="556">
      <c r="A556" s="13" t="inlineStr">
        <is>
          <t>Sultai ETB Doubling</t>
        </is>
      </c>
      <c r="B556" s="38" t="inlineStr">
        <is>
          <t>6f</t>
        </is>
      </c>
      <c r="C556" s="38" t="n">
        <v>52</v>
      </c>
      <c r="D556" s="13">
        <f>'6f Sultai ETB Doubling'!K57</f>
        <v/>
      </c>
      <c r="E556" s="13">
        <f>'6f Sultai ETB Doubling'!L57</f>
        <v/>
      </c>
      <c r="F556" s="22">
        <f>'6f Sultai ETB Doubling'!M57</f>
        <v/>
      </c>
    </row>
    <row r="557">
      <c r="A557" s="13" t="inlineStr">
        <is>
          <t>Sultai ETB Doubling</t>
        </is>
      </c>
      <c r="B557" s="38" t="inlineStr">
        <is>
          <t>6f</t>
        </is>
      </c>
      <c r="C557" s="38" t="n">
        <v>53</v>
      </c>
      <c r="D557" s="13">
        <f>'6f Sultai ETB Doubling'!K58</f>
        <v/>
      </c>
      <c r="E557" s="13">
        <f>'6f Sultai ETB Doubling'!L58</f>
        <v/>
      </c>
      <c r="F557" s="22">
        <f>'6f Sultai ETB Doubling'!M58</f>
        <v/>
      </c>
    </row>
    <row r="558">
      <c r="A558" s="13" t="inlineStr">
        <is>
          <t>Sultai ETB Doubling</t>
        </is>
      </c>
      <c r="B558" s="38" t="inlineStr">
        <is>
          <t>6f</t>
        </is>
      </c>
      <c r="C558" s="38" t="n">
        <v>54</v>
      </c>
      <c r="D558" s="13">
        <f>'6f Sultai ETB Doubling'!K59</f>
        <v/>
      </c>
      <c r="E558" s="13">
        <f>'6f Sultai ETB Doubling'!L59</f>
        <v/>
      </c>
      <c r="F558" s="22">
        <f>'6f Sultai ETB Doubling'!M59</f>
        <v/>
      </c>
    </row>
    <row r="559">
      <c r="A559" s="13" t="inlineStr">
        <is>
          <t>Sultai ETB Doubling</t>
        </is>
      </c>
      <c r="B559" s="38" t="inlineStr">
        <is>
          <t>6f</t>
        </is>
      </c>
      <c r="C559" s="38" t="n">
        <v>55</v>
      </c>
      <c r="D559" s="13">
        <f>'6f Sultai ETB Doubling'!K60</f>
        <v/>
      </c>
      <c r="E559" s="13">
        <f>'6f Sultai ETB Doubling'!L60</f>
        <v/>
      </c>
      <c r="F559" s="22">
        <f>'6f Sultai ETB Doubling'!M60</f>
        <v/>
      </c>
    </row>
    <row r="560">
      <c r="A560" s="13" t="inlineStr">
        <is>
          <t>Sultai ETB Doubling</t>
        </is>
      </c>
      <c r="B560" s="38" t="inlineStr">
        <is>
          <t>6f</t>
        </is>
      </c>
      <c r="C560" s="38" t="n">
        <v>56</v>
      </c>
      <c r="D560" s="13">
        <f>'6f Sultai ETB Doubling'!K61</f>
        <v/>
      </c>
      <c r="E560" s="13">
        <f>'6f Sultai ETB Doubling'!L61</f>
        <v/>
      </c>
      <c r="F560" s="22">
        <f>'6f Sultai ETB Doubling'!M61</f>
        <v/>
      </c>
    </row>
    <row r="561">
      <c r="A561" s="13" t="inlineStr">
        <is>
          <t>Sultai ETB Doubling</t>
        </is>
      </c>
      <c r="B561" s="38" t="inlineStr">
        <is>
          <t>6f</t>
        </is>
      </c>
      <c r="C561" s="38" t="n">
        <v>57</v>
      </c>
      <c r="D561" s="13">
        <f>'6f Sultai ETB Doubling'!K62</f>
        <v/>
      </c>
      <c r="E561" s="13">
        <f>'6f Sultai ETB Doubling'!L62</f>
        <v/>
      </c>
      <c r="F561" s="22">
        <f>'6f Sultai ETB Doubling'!M62</f>
        <v/>
      </c>
    </row>
    <row r="562">
      <c r="A562" s="13" t="inlineStr">
        <is>
          <t>Sultai ETB Doubling</t>
        </is>
      </c>
      <c r="B562" s="38" t="inlineStr">
        <is>
          <t>6f</t>
        </is>
      </c>
      <c r="C562" s="38" t="n">
        <v>58</v>
      </c>
      <c r="D562" s="13">
        <f>'6f Sultai ETB Doubling'!K63</f>
        <v/>
      </c>
      <c r="E562" s="13">
        <f>'6f Sultai ETB Doubling'!L63</f>
        <v/>
      </c>
      <c r="F562" s="22">
        <f>'6f Sultai ETB Doubling'!M63</f>
        <v/>
      </c>
    </row>
    <row r="563">
      <c r="A563" s="13" t="inlineStr">
        <is>
          <t>Sultai ETB Doubling</t>
        </is>
      </c>
      <c r="B563" s="38" t="inlineStr">
        <is>
          <t>6f</t>
        </is>
      </c>
      <c r="C563" s="38" t="n">
        <v>59</v>
      </c>
      <c r="D563" s="13">
        <f>'6f Sultai ETB Doubling'!K64</f>
        <v/>
      </c>
      <c r="E563" s="13">
        <f>'6f Sultai ETB Doubling'!L64</f>
        <v/>
      </c>
      <c r="F563" s="22">
        <f>'6f Sultai ETB Doubling'!M64</f>
        <v/>
      </c>
    </row>
    <row r="564">
      <c r="A564" s="13" t="inlineStr">
        <is>
          <t>Sultai ETB Doubling</t>
        </is>
      </c>
      <c r="B564" s="38" t="inlineStr">
        <is>
          <t>6f</t>
        </is>
      </c>
      <c r="C564" s="38" t="n">
        <v>60</v>
      </c>
      <c r="D564" s="13">
        <f>'6f Sultai ETB Doubling'!K65</f>
        <v/>
      </c>
      <c r="E564" s="13">
        <f>'6f Sultai ETB Doubling'!L65</f>
        <v/>
      </c>
      <c r="F564" s="22">
        <f>'6f Sultai ETB Doubling'!M65</f>
        <v/>
      </c>
    </row>
    <row r="565">
      <c r="A565" s="13" t="inlineStr">
        <is>
          <t>Sultai ETB Doubling</t>
        </is>
      </c>
      <c r="B565" s="38" t="inlineStr">
        <is>
          <t>6f</t>
        </is>
      </c>
      <c r="C565" s="38" t="n">
        <v>61</v>
      </c>
      <c r="D565" s="13">
        <f>'6f Sultai ETB Doubling'!K66</f>
        <v/>
      </c>
      <c r="E565" s="13">
        <f>'6f Sultai ETB Doubling'!L66</f>
        <v/>
      </c>
      <c r="F565" s="22">
        <f>'6f Sultai ETB Doubling'!M66</f>
        <v/>
      </c>
    </row>
    <row r="566">
      <c r="A566" s="13" t="inlineStr">
        <is>
          <t>Sultai ETB Doubling</t>
        </is>
      </c>
      <c r="B566" s="38" t="inlineStr">
        <is>
          <t>6f</t>
        </is>
      </c>
      <c r="C566" s="38" t="n">
        <v>62</v>
      </c>
      <c r="D566" s="13">
        <f>'6f Sultai ETB Doubling'!K67</f>
        <v/>
      </c>
      <c r="E566" s="13">
        <f>'6f Sultai ETB Doubling'!L67</f>
        <v/>
      </c>
      <c r="F566" s="22">
        <f>'6f Sultai ETB Doubling'!M67</f>
        <v/>
      </c>
    </row>
    <row r="567">
      <c r="A567" s="13" t="inlineStr">
        <is>
          <t>Sultai ETB Doubling</t>
        </is>
      </c>
      <c r="B567" s="38" t="inlineStr">
        <is>
          <t>6f</t>
        </is>
      </c>
      <c r="C567" s="38" t="n">
        <v>63</v>
      </c>
      <c r="D567" s="13">
        <f>'6f Sultai ETB Doubling'!K68</f>
        <v/>
      </c>
      <c r="E567" s="13">
        <f>'6f Sultai ETB Doubling'!L68</f>
        <v/>
      </c>
      <c r="F567" s="22">
        <f>'6f Sultai ETB Doubling'!M68</f>
        <v/>
      </c>
    </row>
    <row r="568">
      <c r="A568" s="13" t="inlineStr">
        <is>
          <t>Sultai ETB Doubling</t>
        </is>
      </c>
      <c r="B568" s="38" t="inlineStr">
        <is>
          <t>6f</t>
        </is>
      </c>
      <c r="C568" s="38" t="n">
        <v>64</v>
      </c>
      <c r="D568" s="13">
        <f>'6f Sultai ETB Doubling'!K69</f>
        <v/>
      </c>
      <c r="E568" s="13">
        <f>'6f Sultai ETB Doubling'!L69</f>
        <v/>
      </c>
      <c r="F568" s="22">
        <f>'6f Sultai ETB Doubling'!M69</f>
        <v/>
      </c>
    </row>
    <row r="569">
      <c r="A569" s="13" t="inlineStr">
        <is>
          <t>Sultai ETB Doubling</t>
        </is>
      </c>
      <c r="B569" s="38" t="inlineStr">
        <is>
          <t>6f</t>
        </is>
      </c>
      <c r="C569" s="38" t="n">
        <v>65</v>
      </c>
      <c r="D569" s="13">
        <f>'6f Sultai ETB Doubling'!K70</f>
        <v/>
      </c>
      <c r="E569" s="13">
        <f>'6f Sultai ETB Doubling'!L70</f>
        <v/>
      </c>
      <c r="F569" s="22">
        <f>'6f Sultai ETB Doubling'!M70</f>
        <v/>
      </c>
    </row>
    <row r="570">
      <c r="A570" s="13" t="inlineStr">
        <is>
          <t>Sultai ETB Doubling</t>
        </is>
      </c>
      <c r="B570" s="38" t="inlineStr">
        <is>
          <t>6f</t>
        </is>
      </c>
      <c r="C570" s="38" t="n">
        <v>66</v>
      </c>
      <c r="D570" s="13">
        <f>'6f Sultai ETB Doubling'!K71</f>
        <v/>
      </c>
      <c r="E570" s="13">
        <f>'6f Sultai ETB Doubling'!L71</f>
        <v/>
      </c>
      <c r="F570" s="22">
        <f>'6f Sultai ETB Doubling'!M71</f>
        <v/>
      </c>
    </row>
    <row r="571">
      <c r="A571" s="13" t="inlineStr">
        <is>
          <t>Sultai ETB Doubling</t>
        </is>
      </c>
      <c r="B571" s="38" t="inlineStr">
        <is>
          <t>6f</t>
        </is>
      </c>
      <c r="C571" s="38" t="n">
        <v>67</v>
      </c>
      <c r="D571" s="13">
        <f>'6f Sultai ETB Doubling'!K72</f>
        <v/>
      </c>
      <c r="E571" s="13">
        <f>'6f Sultai ETB Doubling'!L72</f>
        <v/>
      </c>
      <c r="F571" s="22">
        <f>'6f Sultai ETB Doubling'!M72</f>
        <v/>
      </c>
    </row>
    <row r="572">
      <c r="A572" s="13" t="inlineStr">
        <is>
          <t>Sultai ETB Doubling</t>
        </is>
      </c>
      <c r="B572" s="38" t="inlineStr">
        <is>
          <t>6f</t>
        </is>
      </c>
      <c r="C572" s="38" t="n">
        <v>68</v>
      </c>
      <c r="D572" s="13">
        <f>'6f Sultai ETB Doubling'!K73</f>
        <v/>
      </c>
      <c r="E572" s="13">
        <f>'6f Sultai ETB Doubling'!L73</f>
        <v/>
      </c>
      <c r="F572" s="22">
        <f>'6f Sultai ETB Doubling'!M73</f>
        <v/>
      </c>
    </row>
    <row r="573">
      <c r="A573" s="13" t="inlineStr">
        <is>
          <t>Sultai ETB Doubling</t>
        </is>
      </c>
      <c r="B573" s="38" t="inlineStr">
        <is>
          <t>6f</t>
        </is>
      </c>
      <c r="C573" s="38" t="n">
        <v>69</v>
      </c>
      <c r="D573" s="13">
        <f>'6f Sultai ETB Doubling'!K74</f>
        <v/>
      </c>
      <c r="E573" s="13">
        <f>'6f Sultai ETB Doubling'!L74</f>
        <v/>
      </c>
      <c r="F573" s="22">
        <f>'6f Sultai ETB Doubling'!M74</f>
        <v/>
      </c>
    </row>
    <row r="574">
      <c r="A574" s="13" t="inlineStr">
        <is>
          <t>Sultai ETB Doubling</t>
        </is>
      </c>
      <c r="B574" s="38" t="inlineStr">
        <is>
          <t>6f</t>
        </is>
      </c>
      <c r="C574" s="38" t="n">
        <v>70</v>
      </c>
      <c r="D574" s="13">
        <f>'6f Sultai ETB Doubling'!K75</f>
        <v/>
      </c>
      <c r="E574" s="13">
        <f>'6f Sultai ETB Doubling'!L75</f>
        <v/>
      </c>
      <c r="F574" s="22">
        <f>'6f Sultai ETB Doubling'!M75</f>
        <v/>
      </c>
    </row>
    <row r="575">
      <c r="A575" s="13" t="inlineStr">
        <is>
          <t>Sultai ETB Doubling</t>
        </is>
      </c>
      <c r="B575" s="38" t="inlineStr">
        <is>
          <t>6f</t>
        </is>
      </c>
      <c r="C575" s="38" t="n">
        <v>71</v>
      </c>
      <c r="D575" s="13">
        <f>'6f Sultai ETB Doubling'!K76</f>
        <v/>
      </c>
      <c r="E575" s="13">
        <f>'6f Sultai ETB Doubling'!L76</f>
        <v/>
      </c>
      <c r="F575" s="22">
        <f>'6f Sultai ETB Doubling'!M76</f>
        <v/>
      </c>
    </row>
    <row r="576">
      <c r="A576" s="13" t="inlineStr">
        <is>
          <t>Sultai ETB Doubling</t>
        </is>
      </c>
      <c r="B576" s="38" t="inlineStr">
        <is>
          <t>6f</t>
        </is>
      </c>
      <c r="C576" s="38" t="n">
        <v>72</v>
      </c>
      <c r="D576" s="13">
        <f>'6f Sultai ETB Doubling'!K77</f>
        <v/>
      </c>
      <c r="E576" s="13">
        <f>'6f Sultai ETB Doubling'!L77</f>
        <v/>
      </c>
      <c r="F576" s="22">
        <f>'6f Sultai ETB Doubling'!M77</f>
        <v/>
      </c>
    </row>
    <row r="577">
      <c r="A577" s="13" t="inlineStr">
        <is>
          <t>Sultai ETB Doubling</t>
        </is>
      </c>
      <c r="B577" s="38" t="inlineStr">
        <is>
          <t>6f</t>
        </is>
      </c>
      <c r="C577" s="38" t="n">
        <v>73</v>
      </c>
      <c r="D577" s="13">
        <f>'6f Sultai ETB Doubling'!K78</f>
        <v/>
      </c>
      <c r="E577" s="13">
        <f>'6f Sultai ETB Doubling'!L78</f>
        <v/>
      </c>
      <c r="F577" s="22">
        <f>'6f Sultai ETB Doubling'!M78</f>
        <v/>
      </c>
    </row>
    <row r="578">
      <c r="A578" s="13" t="inlineStr">
        <is>
          <t>Sultai ETB Doubling</t>
        </is>
      </c>
      <c r="B578" s="38" t="inlineStr">
        <is>
          <t>6f</t>
        </is>
      </c>
      <c r="C578" s="38" t="n">
        <v>74</v>
      </c>
      <c r="D578" s="13">
        <f>'6f Sultai ETB Doubling'!K79</f>
        <v/>
      </c>
      <c r="E578" s="13">
        <f>'6f Sultai ETB Doubling'!L79</f>
        <v/>
      </c>
      <c r="F578" s="22">
        <f>'6f Sultai ETB Doubling'!M79</f>
        <v/>
      </c>
    </row>
    <row r="579">
      <c r="A579" s="13" t="inlineStr">
        <is>
          <t>Sultai ETB Doubling</t>
        </is>
      </c>
      <c r="B579" s="38" t="inlineStr">
        <is>
          <t>6f</t>
        </is>
      </c>
      <c r="C579" s="38" t="n">
        <v>75</v>
      </c>
      <c r="D579" s="13">
        <f>'6f Sultai ETB Doubling'!K80</f>
        <v/>
      </c>
      <c r="E579" s="13">
        <f>'6f Sultai ETB Doubling'!L80</f>
        <v/>
      </c>
      <c r="F579" s="22">
        <f>'6f Sultai ETB Doubling'!M80</f>
        <v/>
      </c>
    </row>
    <row r="580">
      <c r="A580" s="13" t="inlineStr">
        <is>
          <t>Sultai ETB Doubling</t>
        </is>
      </c>
      <c r="B580" s="38" t="inlineStr">
        <is>
          <t>6f</t>
        </is>
      </c>
      <c r="C580" s="38" t="n">
        <v>76</v>
      </c>
      <c r="D580" s="13">
        <f>'6f Sultai ETB Doubling'!K81</f>
        <v/>
      </c>
      <c r="E580" s="13">
        <f>'6f Sultai ETB Doubling'!L81</f>
        <v/>
      </c>
      <c r="F580" s="22">
        <f>'6f Sultai ETB Doubling'!M81</f>
        <v/>
      </c>
    </row>
    <row r="581">
      <c r="A581" s="13" t="inlineStr">
        <is>
          <t>Sultai ETB Doubling</t>
        </is>
      </c>
      <c r="B581" s="38" t="inlineStr">
        <is>
          <t>6f</t>
        </is>
      </c>
      <c r="C581" s="38" t="n">
        <v>77</v>
      </c>
      <c r="D581" s="13">
        <f>'6f Sultai ETB Doubling'!K82</f>
        <v/>
      </c>
      <c r="E581" s="13">
        <f>'6f Sultai ETB Doubling'!L82</f>
        <v/>
      </c>
      <c r="F581" s="22">
        <f>'6f Sultai ETB Doubling'!M82</f>
        <v/>
      </c>
    </row>
    <row r="582">
      <c r="A582" s="13" t="inlineStr">
        <is>
          <t>Sultai ETB Doubling</t>
        </is>
      </c>
      <c r="B582" s="38" t="inlineStr">
        <is>
          <t>6f</t>
        </is>
      </c>
      <c r="C582" s="38" t="n">
        <v>78</v>
      </c>
      <c r="D582" s="13">
        <f>'6f Sultai ETB Doubling'!K83</f>
        <v/>
      </c>
      <c r="E582" s="13">
        <f>'6f Sultai ETB Doubling'!L83</f>
        <v/>
      </c>
      <c r="F582" s="22">
        <f>'6f Sultai ETB Doubling'!M83</f>
        <v/>
      </c>
    </row>
    <row r="583">
      <c r="A583" s="13" t="inlineStr">
        <is>
          <t>Sultai ETB Doubling</t>
        </is>
      </c>
      <c r="B583" s="38" t="inlineStr">
        <is>
          <t>6f</t>
        </is>
      </c>
      <c r="C583" s="38" t="n">
        <v>79</v>
      </c>
      <c r="D583" s="13">
        <f>'6f Sultai ETB Doubling'!K84</f>
        <v/>
      </c>
      <c r="E583" s="13">
        <f>'6f Sultai ETB Doubling'!L84</f>
        <v/>
      </c>
      <c r="F583" s="22">
        <f>'6f Sultai ETB Doubling'!M84</f>
        <v/>
      </c>
    </row>
    <row r="584">
      <c r="A584" s="13" t="inlineStr">
        <is>
          <t>Sultai ETB Doubling</t>
        </is>
      </c>
      <c r="B584" s="38" t="inlineStr">
        <is>
          <t>6f</t>
        </is>
      </c>
      <c r="C584" s="38" t="n">
        <v>80</v>
      </c>
      <c r="D584" s="13">
        <f>'6f Sultai ETB Doubling'!K85</f>
        <v/>
      </c>
      <c r="E584" s="13">
        <f>'6f Sultai ETB Doubling'!L85</f>
        <v/>
      </c>
      <c r="F584" s="22">
        <f>'6f Sultai ETB Doubling'!M85</f>
        <v/>
      </c>
    </row>
    <row r="585">
      <c r="A585" s="13" t="inlineStr">
        <is>
          <t>Sultai ETB Doubling</t>
        </is>
      </c>
      <c r="B585" s="38" t="inlineStr">
        <is>
          <t>6f</t>
        </is>
      </c>
      <c r="C585" s="38" t="n">
        <v>81</v>
      </c>
      <c r="D585" s="13">
        <f>'6f Sultai ETB Doubling'!K86</f>
        <v/>
      </c>
      <c r="E585" s="13">
        <f>'6f Sultai ETB Doubling'!L86</f>
        <v/>
      </c>
      <c r="F585" s="22">
        <f>'6f Sultai ETB Doubling'!M86</f>
        <v/>
      </c>
    </row>
    <row r="586">
      <c r="A586" s="13" t="inlineStr">
        <is>
          <t>Sultai ETB Doubling</t>
        </is>
      </c>
      <c r="B586" s="38" t="inlineStr">
        <is>
          <t>6f</t>
        </is>
      </c>
      <c r="C586" s="38" t="n">
        <v>82</v>
      </c>
      <c r="D586" s="13">
        <f>'6f Sultai ETB Doubling'!K87</f>
        <v/>
      </c>
      <c r="E586" s="13">
        <f>'6f Sultai ETB Doubling'!L87</f>
        <v/>
      </c>
      <c r="F586" s="22">
        <f>'6f Sultai ETB Doubling'!M87</f>
        <v/>
      </c>
    </row>
    <row r="587">
      <c r="A587" s="13" t="inlineStr">
        <is>
          <t>Sultai ETB Doubling</t>
        </is>
      </c>
      <c r="B587" s="38" t="inlineStr">
        <is>
          <t>6f</t>
        </is>
      </c>
      <c r="C587" s="38" t="n">
        <v>83</v>
      </c>
      <c r="D587" s="13">
        <f>'6f Sultai ETB Doubling'!K88</f>
        <v/>
      </c>
      <c r="E587" s="13">
        <f>'6f Sultai ETB Doubling'!L88</f>
        <v/>
      </c>
      <c r="F587" s="22">
        <f>'6f Sultai ETB Doubling'!M88</f>
        <v/>
      </c>
    </row>
    <row r="588">
      <c r="A588" s="13" t="inlineStr">
        <is>
          <t>Sultai ETB Doubling</t>
        </is>
      </c>
      <c r="B588" s="38" t="inlineStr">
        <is>
          <t>6f</t>
        </is>
      </c>
      <c r="C588" s="38" t="n">
        <v>84</v>
      </c>
      <c r="D588" s="13">
        <f>'6f Sultai ETB Doubling'!K89</f>
        <v/>
      </c>
      <c r="E588" s="13">
        <f>'6f Sultai ETB Doubling'!L89</f>
        <v/>
      </c>
      <c r="F588" s="22">
        <f>'6f Sultai ETB Doubling'!M89</f>
        <v/>
      </c>
    </row>
    <row r="589">
      <c r="A589" s="13" t="inlineStr">
        <is>
          <t>Sultai ETB Doubling</t>
        </is>
      </c>
      <c r="B589" s="38" t="inlineStr">
        <is>
          <t>6f</t>
        </is>
      </c>
      <c r="C589" s="38" t="n">
        <v>85</v>
      </c>
      <c r="D589" s="13">
        <f>'6f Sultai ETB Doubling'!K90</f>
        <v/>
      </c>
      <c r="E589" s="13">
        <f>'6f Sultai ETB Doubling'!L90</f>
        <v/>
      </c>
      <c r="F589" s="22">
        <f>'6f Sultai ETB Doubling'!M90</f>
        <v/>
      </c>
    </row>
    <row r="590">
      <c r="A590" s="13" t="inlineStr">
        <is>
          <t>Sultai ETB Doubling</t>
        </is>
      </c>
      <c r="B590" s="38" t="inlineStr">
        <is>
          <t>6f</t>
        </is>
      </c>
      <c r="C590" s="38" t="n">
        <v>86</v>
      </c>
      <c r="D590" s="13">
        <f>'6f Sultai ETB Doubling'!K91</f>
        <v/>
      </c>
      <c r="E590" s="13">
        <f>'6f Sultai ETB Doubling'!L91</f>
        <v/>
      </c>
      <c r="F590" s="22">
        <f>'6f Sultai ETB Doubling'!M91</f>
        <v/>
      </c>
    </row>
    <row r="591">
      <c r="A591" s="13" t="inlineStr">
        <is>
          <t>Sultai ETB Doubling</t>
        </is>
      </c>
      <c r="B591" s="38" t="inlineStr">
        <is>
          <t>6f</t>
        </is>
      </c>
      <c r="C591" s="38" t="n">
        <v>87</v>
      </c>
      <c r="D591" s="13">
        <f>'6f Sultai ETB Doubling'!K92</f>
        <v/>
      </c>
      <c r="E591" s="13">
        <f>'6f Sultai ETB Doubling'!L92</f>
        <v/>
      </c>
      <c r="F591" s="22">
        <f>'6f Sultai ETB Doubling'!M92</f>
        <v/>
      </c>
    </row>
    <row r="592">
      <c r="A592" s="13" t="inlineStr">
        <is>
          <t>Sultai ETB Doubling</t>
        </is>
      </c>
      <c r="B592" s="38" t="inlineStr">
        <is>
          <t>6f</t>
        </is>
      </c>
      <c r="C592" s="38" t="n">
        <v>88</v>
      </c>
      <c r="D592" s="13">
        <f>'6f Sultai ETB Doubling'!K93</f>
        <v/>
      </c>
      <c r="E592" s="13">
        <f>'6f Sultai ETB Doubling'!L93</f>
        <v/>
      </c>
      <c r="F592" s="22">
        <f>'6f Sultai ETB Doubling'!M93</f>
        <v/>
      </c>
    </row>
    <row r="593">
      <c r="A593" s="13" t="inlineStr">
        <is>
          <t>Sultai ETB Doubling</t>
        </is>
      </c>
      <c r="B593" s="38" t="inlineStr">
        <is>
          <t>6f</t>
        </is>
      </c>
      <c r="C593" s="38" t="n">
        <v>89</v>
      </c>
      <c r="D593" s="13">
        <f>'6f Sultai ETB Doubling'!K94</f>
        <v/>
      </c>
      <c r="E593" s="13">
        <f>'6f Sultai ETB Doubling'!L94</f>
        <v/>
      </c>
      <c r="F593" s="22">
        <f>'6f Sultai ETB Doubling'!M94</f>
        <v/>
      </c>
    </row>
    <row r="594">
      <c r="A594" s="13" t="inlineStr">
        <is>
          <t>Sultai ETB Doubling</t>
        </is>
      </c>
      <c r="B594" s="38" t="inlineStr">
        <is>
          <t>6f</t>
        </is>
      </c>
      <c r="C594" s="38" t="n">
        <v>90</v>
      </c>
      <c r="D594" s="13">
        <f>'6f Sultai ETB Doubling'!K95</f>
        <v/>
      </c>
      <c r="E594" s="13">
        <f>'6f Sultai ETB Doubling'!L95</f>
        <v/>
      </c>
      <c r="F594" s="22">
        <f>'6f Sultai ETB Doubling'!M95</f>
        <v/>
      </c>
    </row>
    <row r="595">
      <c r="A595" s="13" t="inlineStr">
        <is>
          <t>Sultai ETB Doubling</t>
        </is>
      </c>
      <c r="B595" s="38" t="inlineStr">
        <is>
          <t>6f</t>
        </is>
      </c>
      <c r="C595" s="38" t="n">
        <v>91</v>
      </c>
      <c r="D595" s="13">
        <f>'6f Sultai ETB Doubling'!K96</f>
        <v/>
      </c>
      <c r="E595" s="13">
        <f>'6f Sultai ETB Doubling'!L96</f>
        <v/>
      </c>
      <c r="F595" s="22">
        <f>'6f Sultai ETB Doubling'!M96</f>
        <v/>
      </c>
    </row>
    <row r="596">
      <c r="A596" s="13" t="inlineStr">
        <is>
          <t>Sultai ETB Doubling</t>
        </is>
      </c>
      <c r="B596" s="38" t="inlineStr">
        <is>
          <t>6f</t>
        </is>
      </c>
      <c r="C596" s="38" t="n">
        <v>92</v>
      </c>
      <c r="D596" s="13">
        <f>'6f Sultai ETB Doubling'!K97</f>
        <v/>
      </c>
      <c r="E596" s="13">
        <f>'6f Sultai ETB Doubling'!L97</f>
        <v/>
      </c>
      <c r="F596" s="22">
        <f>'6f Sultai ETB Doubling'!M97</f>
        <v/>
      </c>
    </row>
    <row r="597">
      <c r="A597" s="13" t="inlineStr">
        <is>
          <t>Sultai ETB Doubling</t>
        </is>
      </c>
      <c r="B597" s="38" t="inlineStr">
        <is>
          <t>6f</t>
        </is>
      </c>
      <c r="C597" s="38" t="n">
        <v>93</v>
      </c>
      <c r="D597" s="13">
        <f>'6f Sultai ETB Doubling'!K98</f>
        <v/>
      </c>
      <c r="E597" s="13">
        <f>'6f Sultai ETB Doubling'!L98</f>
        <v/>
      </c>
      <c r="F597" s="22">
        <f>'6f Sultai ETB Doubling'!M98</f>
        <v/>
      </c>
    </row>
    <row r="598">
      <c r="A598" s="13" t="inlineStr">
        <is>
          <t>Sultai ETB Doubling</t>
        </is>
      </c>
      <c r="B598" s="38" t="inlineStr">
        <is>
          <t>6f</t>
        </is>
      </c>
      <c r="C598" s="38" t="n">
        <v>94</v>
      </c>
      <c r="D598" s="13">
        <f>'6f Sultai ETB Doubling'!K99</f>
        <v/>
      </c>
      <c r="E598" s="13">
        <f>'6f Sultai ETB Doubling'!L99</f>
        <v/>
      </c>
      <c r="F598" s="22">
        <f>'6f Sultai ETB Doubling'!M99</f>
        <v/>
      </c>
    </row>
    <row r="599">
      <c r="A599" s="13" t="inlineStr">
        <is>
          <t>Sultai ETB Doubling</t>
        </is>
      </c>
      <c r="B599" s="38" t="inlineStr">
        <is>
          <t>6f</t>
        </is>
      </c>
      <c r="C599" s="38" t="n">
        <v>95</v>
      </c>
      <c r="D599" s="13">
        <f>'6f Sultai ETB Doubling'!K100</f>
        <v/>
      </c>
      <c r="E599" s="13">
        <f>'6f Sultai ETB Doubling'!L100</f>
        <v/>
      </c>
      <c r="F599" s="22">
        <f>'6f Sultai ETB Doubling'!M100</f>
        <v/>
      </c>
    </row>
    <row r="600">
      <c r="A600" s="13" t="inlineStr">
        <is>
          <t>Sultai ETB Doubling</t>
        </is>
      </c>
      <c r="B600" s="38" t="inlineStr">
        <is>
          <t>6f</t>
        </is>
      </c>
      <c r="C600" s="38" t="n">
        <v>96</v>
      </c>
      <c r="D600" s="13">
        <f>'6f Sultai ETB Doubling'!K101</f>
        <v/>
      </c>
      <c r="E600" s="13">
        <f>'6f Sultai ETB Doubling'!L101</f>
        <v/>
      </c>
      <c r="F600" s="22">
        <f>'6f Sultai ETB Doubling'!M101</f>
        <v/>
      </c>
    </row>
    <row r="601">
      <c r="A601" s="13" t="inlineStr">
        <is>
          <t>Sultai ETB Doubling</t>
        </is>
      </c>
      <c r="B601" s="38" t="inlineStr">
        <is>
          <t>6f</t>
        </is>
      </c>
      <c r="C601" s="38" t="n">
        <v>97</v>
      </c>
      <c r="D601" s="13">
        <f>'6f Sultai ETB Doubling'!K102</f>
        <v/>
      </c>
      <c r="E601" s="13">
        <f>'6f Sultai ETB Doubling'!L102</f>
        <v/>
      </c>
      <c r="F601" s="22">
        <f>'6f Sultai ETB Doubling'!M102</f>
        <v/>
      </c>
    </row>
    <row r="602">
      <c r="A602" s="13" t="inlineStr">
        <is>
          <t>Sultai ETB Doubling</t>
        </is>
      </c>
      <c r="B602" s="38" t="inlineStr">
        <is>
          <t>6f</t>
        </is>
      </c>
      <c r="C602" s="38" t="n">
        <v>98</v>
      </c>
      <c r="D602" s="13">
        <f>'6f Sultai ETB Doubling'!K103</f>
        <v/>
      </c>
      <c r="E602" s="13">
        <f>'6f Sultai ETB Doubling'!L103</f>
        <v/>
      </c>
      <c r="F602" s="22">
        <f>'6f Sultai ETB Doubling'!M103</f>
        <v/>
      </c>
    </row>
    <row r="603">
      <c r="A603" s="13" t="inlineStr">
        <is>
          <t>Sultai ETB Doubling</t>
        </is>
      </c>
      <c r="B603" s="38" t="inlineStr">
        <is>
          <t>6f</t>
        </is>
      </c>
      <c r="C603" s="38" t="n">
        <v>99</v>
      </c>
      <c r="D603" s="13">
        <f>'6f Sultai ETB Doubling'!K104</f>
        <v/>
      </c>
      <c r="E603" s="13">
        <f>'6f Sultai ETB Doubling'!L104</f>
        <v/>
      </c>
      <c r="F603" s="22">
        <f>'6f Sultai ETB Doubling'!M104</f>
        <v/>
      </c>
    </row>
    <row r="604">
      <c r="A604" s="13" t="inlineStr">
        <is>
          <t>Sultai ETB Doubling</t>
        </is>
      </c>
      <c r="B604" s="38" t="inlineStr">
        <is>
          <t>6f</t>
        </is>
      </c>
      <c r="C604" s="38" t="n">
        <v>100</v>
      </c>
      <c r="D604" s="13">
        <f>'6f Sultai ETB Doubling'!K105</f>
        <v/>
      </c>
      <c r="E604" s="13">
        <f>'6f Sultai ETB Doubling'!L105</f>
        <v/>
      </c>
      <c r="F604" s="22">
        <f>'6f Sultai ETB Doubling'!M105</f>
        <v/>
      </c>
    </row>
    <row r="606">
      <c r="E606" s="9" t="inlineStr">
        <is>
          <t>TOTAL</t>
        </is>
      </c>
      <c r="F606" s="39">
        <f>SUM(F5:F604)</f>
        <v/>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Methodology, and what the model cannot see</t>
        </is>
      </c>
    </row>
    <row r="3">
      <c r="A3" s="9" t="inlineStr">
        <is>
          <t>How a simulated column was produced</t>
        </is>
      </c>
    </row>
    <row r="4" ht="62" customHeight="1">
      <c r="A4" s="10" t="inlineStr">
        <is>
          <t>The runner builds the list, fetches a candidate pool in the commander's colours, measures a baseline over thousands of games, ranks where the deck actually loses, proposes swaps, re-measures, and repeats until three rounds in a row gain less than 0.75 points. It then replays the original and the optimized list on 5,000 seeds the optimizer never saw. Only that holdout comparison sets the verdict, so a gain that existed only on the tuned seeds is reported as not-confirmed and discarded.</t>
        </is>
      </c>
    </row>
    <row r="6">
      <c r="A6" s="9" t="inlineStr">
        <is>
          <t>Verdicts</t>
        </is>
      </c>
    </row>
    <row r="7" ht="62" customHeight="1">
      <c r="A7" s="10" t="inlineStr">
        <is>
          <t>confirmed = the improvement held up on unseen seeds by more than the sampling error. within-noise = ahead, but by less than the error bar. not-confirmed = it only looked better on the seeds it was tuned against. no-change = nothing in the pool beat the list.</t>
        </is>
      </c>
    </row>
    <row r="9">
      <c r="A9" s="9" t="inlineStr">
        <is>
          <t>Why Enhance-2 and Max-2 were re-verified separately</t>
        </is>
      </c>
    </row>
    <row r="10" ht="62" customHeight="1">
      <c r="A10" s="10" t="inlineStr">
        <is>
          <t>Those lists were assembled from evidence gathered in separate runs. Assembling a list is not the same as measuring it, so all twelve assembled lists were re-simulated end to end. That check earned its keep: it caught a real bug where a card correctly placed by one stage could be silently evicted by a same-named candidate targeting a different slot, because Commander is singleton. Fixed at the source and re-verified from scratch.</t>
        </is>
      </c>
    </row>
    <row r="12">
      <c r="A12" s="9" t="inlineStr">
        <is>
          <t>What changed in the v2.1 fun-weighted engine</t>
        </is>
      </c>
    </row>
    <row r="13" ht="62" customHeight="1">
      <c r="A13" s="10" t="inlineStr">
        <is>
          <t>Three corrections and one scoring change. Corrections: creatures that assign combat damage by toughness (Arcades-style) are now modelled — before, the Bant Walls deck's entire game plan was invisible; planeswalker commanders no longer enter combat as 0-power creatures; and lands reading 'Add {R} or {W}' now produce both colours instead of only the first, which had been overstating mana screw for every multicolour deck (36 real lands affected). Scoring: win rate cut from 0.40 to 0.30 of the composite, with 0.10 given to a fun/participation signal built from how often the deck got to play at all, how much board it developed, and whether the game ran a reasonable length.</t>
        </is>
      </c>
    </row>
    <row r="15">
      <c r="A15" s="9" t="inlineStr">
        <is>
          <t>The Iroas number is not what it looks like</t>
        </is>
      </c>
    </row>
    <row r="16" ht="62" customHeight="1">
      <c r="A16" s="10" t="inlineStr">
        <is>
          <t>Iroas measures +13.2 over Quintorius, and that entire margin is a blind spot. The engine does not model devotion, so it treats Iroas as a permanent 7/4 indestructible body. Held to the enchantment it usually is, it scores 59.6 — the same as Quintorius to one decimal. Deck 5's 50 nonland permanents carry 1.22 red/white pips on average, so a normal board of four or five reaches about 5.5 devotion against the 7 Iroas requires. Adopt it for the menace and the damage prevention if you want them; do not adopt it for the measured score.</t>
        </is>
      </c>
    </row>
    <row r="18">
      <c r="A18" s="9" t="inlineStr">
        <is>
          <t>The Hazel swap is a rebuild, not a tweak</t>
        </is>
      </c>
    </row>
    <row r="19" ht="62" customHeight="1">
      <c r="A19" s="10" t="inlineStr">
        <is>
          <t>Hazel measures +4.5 over Gitrog on the same 99, but the optimizer's own response to her is to cut ten lands from a 48-land lands-matter deck — correctly, because she pays off tokens rather than landfall. Taking Hazel means accepting that the Golgari Land Engine stops being a land engine.</t>
        </is>
      </c>
    </row>
    <row r="21">
      <c r="A21" s="9" t="inlineStr">
        <is>
          <t>What the model cannot see at all</t>
        </is>
      </c>
    </row>
    <row r="22" ht="62" customHeight="1">
      <c r="A22" s="10" t="inlineStr">
        <is>
          <t>Combat and repeatable drain are the only routes to victory it knows. Opponents are nine archetype curves (three power tiers, six playstyles), not real decks — they never counter a spell, never target the right permanent, never make a deal. There is no stack and no real blocking assignment; a toughness-weighted damage reduction stands in for it. Proliferate, trigger doubling, devotion and most commander-specific synergy text are invisible. Read every number as a comparison between two versions of one deck, never as absolute odds.</t>
        </is>
      </c>
    </row>
    <row r="24">
      <c r="A24" s="9" t="inlineStr">
        <is>
          <t>Recurring swap-ins are a real finding, not a quirk</t>
        </is>
      </c>
    </row>
    <row r="25" ht="62" customHeight="1">
      <c r="A25" s="10" t="inlineStr">
        <is>
          <t>Cheap instant-speed interaction (Valorous Stance, Cloud's Limit Break, Origin of Metalbending, Collective Resistance) appears across several decks because the optimizer flagged the same gap in each: an answer was in hand on only about a fifth of the turns that matter. They are 18-cent to 2-dollar cards doing a job the decks were genuinely short of.</t>
        </is>
      </c>
    </row>
    <row r="27">
      <c r="A27" s="9" t="inlineStr">
        <is>
          <t>Prices</t>
        </is>
      </c>
    </row>
    <row r="28" ht="62" customHeight="1">
      <c r="A28" s="10" t="inlineStr">
        <is>
          <t>Scryfall USD at fetch time. A column's total is the full retail value of all 100 cards in it, not the amount still to spend — you already own most of the Base shell.</t>
        </is>
      </c>
    </row>
  </sheetData>
  <mergeCells count="19">
    <mergeCell ref="A9:H9"/>
    <mergeCell ref="A15:H15"/>
    <mergeCell ref="A24:H24"/>
    <mergeCell ref="A1:H1"/>
    <mergeCell ref="A6:H6"/>
    <mergeCell ref="A7:H7"/>
    <mergeCell ref="A25:H25"/>
    <mergeCell ref="A16:H16"/>
    <mergeCell ref="A27:H27"/>
    <mergeCell ref="A12:H12"/>
    <mergeCell ref="A18:H18"/>
    <mergeCell ref="A3:H3"/>
    <mergeCell ref="A21:H21"/>
    <mergeCell ref="A22:H22"/>
    <mergeCell ref="A4:H4"/>
    <mergeCell ref="A10:H10"/>
    <mergeCell ref="A28:H28"/>
    <mergeCell ref="A13:H13"/>
    <mergeCell ref="A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2026-08-23T19:34:17Z</dcterms:created>
  <dcterms:modified xsi:type="dcterms:W3CDTF">2026-08-23T19:34:17Z</dcterms:modified>
</cp:coreProperties>
</file>