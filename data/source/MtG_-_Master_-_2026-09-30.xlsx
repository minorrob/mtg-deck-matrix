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a397b84f75916446/Desktop/"/>
    </mc:Choice>
  </mc:AlternateContent>
  <xr:revisionPtr revIDLastSave="0" documentId="8_{E06894DC-4711-48FC-8D5E-3238754F1229}" xr6:coauthVersionLast="47" xr6:coauthVersionMax="47" xr10:uidLastSave="{00000000-0000-0000-0000-000000000000}"/>
  <bookViews>
    <workbookView xWindow="-108" yWindow="-108" windowWidth="23256" windowHeight="13896" xr2:uid="{21CA973F-F26D-436F-B8EC-1548C5C9451F}"/>
  </bookViews>
  <sheets>
    <sheet name="Master" sheetId="1" r:id="rId1"/>
  </sheets>
  <definedNames>
    <definedName name="_xlnm._FilterDatabase" localSheetId="0" hidden="1">Master!$A$4:$BF$1136</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M1136" i="1" l="1"/>
  <c r="AU1136" i="1" s="1"/>
  <c r="AY1136" i="1" s="1"/>
  <c r="AL1136" i="1"/>
  <c r="AD1136" i="1"/>
  <c r="AM1135" i="1"/>
  <c r="AU1135" i="1" s="1"/>
  <c r="AY1135" i="1" s="1"/>
  <c r="AL1135" i="1"/>
  <c r="AD1135" i="1"/>
  <c r="AM1134" i="1"/>
  <c r="AU1134" i="1" s="1"/>
  <c r="AY1134" i="1" s="1"/>
  <c r="AL1134" i="1"/>
  <c r="AD1134" i="1"/>
  <c r="AM1133" i="1"/>
  <c r="AU1133" i="1" s="1"/>
  <c r="AY1133" i="1" s="1"/>
  <c r="AL1133" i="1"/>
  <c r="AD1133" i="1"/>
  <c r="AM1132" i="1"/>
  <c r="AU1132" i="1" s="1"/>
  <c r="AY1132" i="1" s="1"/>
  <c r="AL1132" i="1"/>
  <c r="AD1132" i="1"/>
  <c r="AM1131" i="1"/>
  <c r="AU1131" i="1" s="1"/>
  <c r="AY1131" i="1" s="1"/>
  <c r="AL1131" i="1"/>
  <c r="AD1131" i="1"/>
  <c r="AM1130" i="1"/>
  <c r="AU1130" i="1" s="1"/>
  <c r="AY1130" i="1" s="1"/>
  <c r="AL1130" i="1"/>
  <c r="AD1130" i="1"/>
  <c r="AM1129" i="1"/>
  <c r="AU1129" i="1" s="1"/>
  <c r="AY1129" i="1" s="1"/>
  <c r="AL1129" i="1"/>
  <c r="AD1129" i="1"/>
  <c r="AM1128" i="1"/>
  <c r="AU1128" i="1" s="1"/>
  <c r="AY1128" i="1" s="1"/>
  <c r="AL1128" i="1"/>
  <c r="AD1128" i="1"/>
  <c r="AM1127" i="1"/>
  <c r="AU1127" i="1" s="1"/>
  <c r="AY1127" i="1" s="1"/>
  <c r="AL1127" i="1"/>
  <c r="AD1127" i="1"/>
  <c r="AM1126" i="1"/>
  <c r="AU1126" i="1" s="1"/>
  <c r="AY1126" i="1" s="1"/>
  <c r="AL1126" i="1"/>
  <c r="AD1126" i="1"/>
  <c r="AM1125" i="1"/>
  <c r="AU1125" i="1" s="1"/>
  <c r="AY1125" i="1" s="1"/>
  <c r="AL1125" i="1"/>
  <c r="AD1125" i="1"/>
  <c r="AM1124" i="1"/>
  <c r="AU1124" i="1" s="1"/>
  <c r="AY1124" i="1" s="1"/>
  <c r="AL1124" i="1"/>
  <c r="AD1124" i="1"/>
  <c r="AM1123" i="1"/>
  <c r="AU1123" i="1" s="1"/>
  <c r="AY1123" i="1" s="1"/>
  <c r="AL1123" i="1"/>
  <c r="AD1123" i="1"/>
  <c r="AM1122" i="1"/>
  <c r="AU1122" i="1" s="1"/>
  <c r="AY1122" i="1" s="1"/>
  <c r="AL1122" i="1"/>
  <c r="AD1122" i="1"/>
  <c r="AM1121" i="1"/>
  <c r="AU1121" i="1" s="1"/>
  <c r="AY1121" i="1" s="1"/>
  <c r="AL1121" i="1"/>
  <c r="AD1121" i="1"/>
  <c r="AM1120" i="1"/>
  <c r="AU1120" i="1" s="1"/>
  <c r="AY1120" i="1" s="1"/>
  <c r="AL1120" i="1"/>
  <c r="AD1120" i="1"/>
  <c r="AM1119" i="1"/>
  <c r="AU1119" i="1" s="1"/>
  <c r="AY1119" i="1" s="1"/>
  <c r="AL1119" i="1"/>
  <c r="AD1119" i="1"/>
  <c r="AM1118" i="1"/>
  <c r="AU1118" i="1" s="1"/>
  <c r="AY1118" i="1" s="1"/>
  <c r="AL1118" i="1"/>
  <c r="AD1118" i="1"/>
  <c r="AM1117" i="1"/>
  <c r="AU1117" i="1" s="1"/>
  <c r="AY1117" i="1" s="1"/>
  <c r="AL1117" i="1"/>
  <c r="AD1117" i="1"/>
  <c r="AM1116" i="1"/>
  <c r="AU1116" i="1" s="1"/>
  <c r="AY1116" i="1" s="1"/>
  <c r="AL1116" i="1"/>
  <c r="AD1116" i="1"/>
  <c r="AM1115" i="1"/>
  <c r="AU1115" i="1" s="1"/>
  <c r="AY1115" i="1" s="1"/>
  <c r="AL1115" i="1"/>
  <c r="AD1115" i="1"/>
  <c r="AM1114" i="1"/>
  <c r="AU1114" i="1" s="1"/>
  <c r="AY1114" i="1" s="1"/>
  <c r="AL1114" i="1"/>
  <c r="AD1114" i="1"/>
  <c r="AM1113" i="1"/>
  <c r="AU1113" i="1" s="1"/>
  <c r="AY1113" i="1" s="1"/>
  <c r="AL1113" i="1"/>
  <c r="AD1113" i="1"/>
  <c r="AM1112" i="1"/>
  <c r="AU1112" i="1" s="1"/>
  <c r="AY1112" i="1" s="1"/>
  <c r="AL1112" i="1"/>
  <c r="AD1112" i="1"/>
  <c r="AM1111" i="1"/>
  <c r="AU1111" i="1" s="1"/>
  <c r="AY1111" i="1" s="1"/>
  <c r="AL1111" i="1"/>
  <c r="AD1111" i="1"/>
  <c r="AM1110" i="1"/>
  <c r="AU1110" i="1" s="1"/>
  <c r="AY1110" i="1" s="1"/>
  <c r="AL1110" i="1"/>
  <c r="AD1110" i="1"/>
  <c r="AM1109" i="1"/>
  <c r="AU1109" i="1" s="1"/>
  <c r="AY1109" i="1" s="1"/>
  <c r="AL1109" i="1"/>
  <c r="AD1109" i="1"/>
  <c r="AM1108" i="1"/>
  <c r="AU1108" i="1" s="1"/>
  <c r="AY1108" i="1" s="1"/>
  <c r="AL1108" i="1"/>
  <c r="AD1108" i="1"/>
  <c r="AM1107" i="1"/>
  <c r="AU1107" i="1" s="1"/>
  <c r="AY1107" i="1" s="1"/>
  <c r="AL1107" i="1"/>
  <c r="AD1107" i="1"/>
  <c r="AM1106" i="1"/>
  <c r="AU1106" i="1" s="1"/>
  <c r="AY1106" i="1" s="1"/>
  <c r="AL1106" i="1"/>
  <c r="AD1106" i="1"/>
  <c r="AM1105" i="1"/>
  <c r="AU1105" i="1" s="1"/>
  <c r="AY1105" i="1" s="1"/>
  <c r="AL1105" i="1"/>
  <c r="AD1105" i="1"/>
  <c r="AM1104" i="1"/>
  <c r="AU1104" i="1" s="1"/>
  <c r="AY1104" i="1" s="1"/>
  <c r="AL1104" i="1"/>
  <c r="AD1104" i="1"/>
  <c r="AM1103" i="1"/>
  <c r="AU1103" i="1" s="1"/>
  <c r="AY1103" i="1" s="1"/>
  <c r="AL1103" i="1"/>
  <c r="AD1103" i="1"/>
  <c r="AM1102" i="1"/>
  <c r="AU1102" i="1" s="1"/>
  <c r="AY1102" i="1" s="1"/>
  <c r="AL1102" i="1"/>
  <c r="AD1102" i="1"/>
  <c r="AM1101" i="1"/>
  <c r="AU1101" i="1" s="1"/>
  <c r="AY1101" i="1" s="1"/>
  <c r="AL1101" i="1"/>
  <c r="AD1101" i="1"/>
  <c r="AM1100" i="1"/>
  <c r="AU1100" i="1" s="1"/>
  <c r="AY1100" i="1" s="1"/>
  <c r="AL1100" i="1"/>
  <c r="AD1100" i="1"/>
  <c r="AM1099" i="1"/>
  <c r="AU1099" i="1" s="1"/>
  <c r="AY1099" i="1" s="1"/>
  <c r="AL1099" i="1"/>
  <c r="AD1099" i="1"/>
  <c r="AM1098" i="1"/>
  <c r="AU1098" i="1" s="1"/>
  <c r="AY1098" i="1" s="1"/>
  <c r="AL1098" i="1"/>
  <c r="AD1098" i="1"/>
  <c r="AM1097" i="1"/>
  <c r="AU1097" i="1" s="1"/>
  <c r="AY1097" i="1" s="1"/>
  <c r="AL1097" i="1"/>
  <c r="AD1097" i="1"/>
  <c r="AM1096" i="1"/>
  <c r="AU1096" i="1" s="1"/>
  <c r="AY1096" i="1" s="1"/>
  <c r="AL1096" i="1"/>
  <c r="AD1096" i="1"/>
  <c r="AM1095" i="1"/>
  <c r="AU1095" i="1" s="1"/>
  <c r="AY1095" i="1" s="1"/>
  <c r="AL1095" i="1"/>
  <c r="AD1095" i="1"/>
  <c r="AM1094" i="1"/>
  <c r="AU1094" i="1" s="1"/>
  <c r="AY1094" i="1" s="1"/>
  <c r="AL1094" i="1"/>
  <c r="AD1094" i="1"/>
  <c r="AM1093" i="1"/>
  <c r="AU1093" i="1" s="1"/>
  <c r="AY1093" i="1" s="1"/>
  <c r="AL1093" i="1"/>
  <c r="AD1093" i="1"/>
  <c r="AM1092" i="1"/>
  <c r="AU1092" i="1" s="1"/>
  <c r="AY1092" i="1" s="1"/>
  <c r="AL1092" i="1"/>
  <c r="AD1092" i="1"/>
  <c r="AU1091" i="1"/>
  <c r="AY1091" i="1" s="1"/>
  <c r="AM1091" i="1"/>
  <c r="AL1091" i="1"/>
  <c r="AD1091" i="1"/>
  <c r="AM1090" i="1"/>
  <c r="AU1090" i="1" s="1"/>
  <c r="AY1090" i="1" s="1"/>
  <c r="AL1090" i="1"/>
  <c r="AD1090" i="1"/>
  <c r="AM1089" i="1"/>
  <c r="AU1089" i="1" s="1"/>
  <c r="AY1089" i="1" s="1"/>
  <c r="AL1089" i="1"/>
  <c r="AD1089" i="1"/>
  <c r="AM1088" i="1"/>
  <c r="AU1088" i="1" s="1"/>
  <c r="AY1088" i="1" s="1"/>
  <c r="AL1088" i="1"/>
  <c r="AD1088" i="1"/>
  <c r="AM1087" i="1"/>
  <c r="AU1087" i="1" s="1"/>
  <c r="AY1087" i="1" s="1"/>
  <c r="AL1087" i="1"/>
  <c r="AD1087" i="1"/>
  <c r="AM1086" i="1"/>
  <c r="AU1086" i="1" s="1"/>
  <c r="AY1086" i="1" s="1"/>
  <c r="AL1086" i="1"/>
  <c r="AD1086" i="1"/>
  <c r="AM1085" i="1"/>
  <c r="AU1085" i="1" s="1"/>
  <c r="AY1085" i="1" s="1"/>
  <c r="AL1085" i="1"/>
  <c r="AD1085" i="1"/>
  <c r="AM1084" i="1"/>
  <c r="AU1084" i="1" s="1"/>
  <c r="AY1084" i="1" s="1"/>
  <c r="AL1084" i="1"/>
  <c r="AD1084" i="1"/>
  <c r="AM1083" i="1"/>
  <c r="AU1083" i="1" s="1"/>
  <c r="AY1083" i="1" s="1"/>
  <c r="AL1083" i="1"/>
  <c r="AD1083" i="1"/>
  <c r="AM1082" i="1"/>
  <c r="AU1082" i="1" s="1"/>
  <c r="AY1082" i="1" s="1"/>
  <c r="AL1082" i="1"/>
  <c r="AD1082" i="1"/>
  <c r="AM1081" i="1"/>
  <c r="AU1081" i="1" s="1"/>
  <c r="AY1081" i="1" s="1"/>
  <c r="AL1081" i="1"/>
  <c r="AD1081" i="1"/>
  <c r="AM1080" i="1"/>
  <c r="AU1080" i="1" s="1"/>
  <c r="AY1080" i="1" s="1"/>
  <c r="AL1080" i="1"/>
  <c r="AD1080" i="1"/>
  <c r="AM1079" i="1"/>
  <c r="AU1079" i="1" s="1"/>
  <c r="AY1079" i="1" s="1"/>
  <c r="AL1079" i="1"/>
  <c r="AD1079" i="1"/>
  <c r="AM1078" i="1"/>
  <c r="AU1078" i="1" s="1"/>
  <c r="AY1078" i="1" s="1"/>
  <c r="AL1078" i="1"/>
  <c r="AD1078" i="1"/>
  <c r="AM1077" i="1"/>
  <c r="AU1077" i="1" s="1"/>
  <c r="AY1077" i="1" s="1"/>
  <c r="AL1077" i="1"/>
  <c r="AD1077" i="1"/>
  <c r="AM1076" i="1"/>
  <c r="AU1076" i="1" s="1"/>
  <c r="AY1076" i="1" s="1"/>
  <c r="AL1076" i="1"/>
  <c r="AD1076" i="1"/>
  <c r="AM1075" i="1"/>
  <c r="AU1075" i="1" s="1"/>
  <c r="AY1075" i="1" s="1"/>
  <c r="AL1075" i="1"/>
  <c r="AD1075" i="1"/>
  <c r="AM1074" i="1"/>
  <c r="AU1074" i="1" s="1"/>
  <c r="AY1074" i="1" s="1"/>
  <c r="AL1074" i="1"/>
  <c r="AD1074" i="1"/>
  <c r="AM1073" i="1"/>
  <c r="AU1073" i="1" s="1"/>
  <c r="AY1073" i="1" s="1"/>
  <c r="AL1073" i="1"/>
  <c r="AD1073" i="1"/>
  <c r="AM1072" i="1"/>
  <c r="AU1072" i="1" s="1"/>
  <c r="AY1072" i="1" s="1"/>
  <c r="AL1072" i="1"/>
  <c r="AD1072" i="1"/>
  <c r="AM1071" i="1"/>
  <c r="AU1071" i="1" s="1"/>
  <c r="AY1071" i="1" s="1"/>
  <c r="AL1071" i="1"/>
  <c r="AD1071" i="1"/>
  <c r="AM1070" i="1"/>
  <c r="AU1070" i="1" s="1"/>
  <c r="AY1070" i="1" s="1"/>
  <c r="AL1070" i="1"/>
  <c r="AD1070" i="1"/>
  <c r="AM1069" i="1"/>
  <c r="AU1069" i="1" s="1"/>
  <c r="AY1069" i="1" s="1"/>
  <c r="AL1069" i="1"/>
  <c r="AD1069" i="1"/>
  <c r="AM1068" i="1"/>
  <c r="AU1068" i="1" s="1"/>
  <c r="AY1068" i="1" s="1"/>
  <c r="AL1068" i="1"/>
  <c r="AD1068" i="1"/>
  <c r="AM1067" i="1"/>
  <c r="AU1067" i="1" s="1"/>
  <c r="AY1067" i="1" s="1"/>
  <c r="AL1067" i="1"/>
  <c r="AD1067" i="1"/>
  <c r="AM1066" i="1"/>
  <c r="AU1066" i="1" s="1"/>
  <c r="AY1066" i="1" s="1"/>
  <c r="AL1066" i="1"/>
  <c r="AD1066" i="1"/>
  <c r="AM1065" i="1"/>
  <c r="AU1065" i="1" s="1"/>
  <c r="AY1065" i="1" s="1"/>
  <c r="AL1065" i="1"/>
  <c r="AD1065" i="1"/>
  <c r="AM1064" i="1"/>
  <c r="AU1064" i="1" s="1"/>
  <c r="AY1064" i="1" s="1"/>
  <c r="AL1064" i="1"/>
  <c r="AD1064" i="1"/>
  <c r="AM1063" i="1"/>
  <c r="AU1063" i="1" s="1"/>
  <c r="AY1063" i="1" s="1"/>
  <c r="AL1063" i="1"/>
  <c r="AD1063" i="1"/>
  <c r="AM1062" i="1"/>
  <c r="AU1062" i="1" s="1"/>
  <c r="AY1062" i="1" s="1"/>
  <c r="AL1062" i="1"/>
  <c r="AD1062" i="1"/>
  <c r="AM1061" i="1"/>
  <c r="AU1061" i="1" s="1"/>
  <c r="AY1061" i="1" s="1"/>
  <c r="AL1061" i="1"/>
  <c r="AD1061" i="1"/>
  <c r="AM1060" i="1"/>
  <c r="AU1060" i="1" s="1"/>
  <c r="AY1060" i="1" s="1"/>
  <c r="AL1060" i="1"/>
  <c r="AD1060" i="1"/>
  <c r="AM1059" i="1"/>
  <c r="AU1059" i="1" s="1"/>
  <c r="AY1059" i="1" s="1"/>
  <c r="AL1059" i="1"/>
  <c r="AD1059" i="1"/>
  <c r="AM1058" i="1"/>
  <c r="AU1058" i="1" s="1"/>
  <c r="AY1058" i="1" s="1"/>
  <c r="AL1058" i="1"/>
  <c r="AD1058" i="1"/>
  <c r="AM1057" i="1"/>
  <c r="AU1057" i="1" s="1"/>
  <c r="AY1057" i="1" s="1"/>
  <c r="AL1057" i="1"/>
  <c r="AD1057" i="1"/>
  <c r="AM1056" i="1"/>
  <c r="AU1056" i="1" s="1"/>
  <c r="AY1056" i="1" s="1"/>
  <c r="AL1056" i="1"/>
  <c r="AD1056" i="1"/>
  <c r="AM1055" i="1"/>
  <c r="AU1055" i="1" s="1"/>
  <c r="AY1055" i="1" s="1"/>
  <c r="AL1055" i="1"/>
  <c r="AD1055" i="1"/>
  <c r="AM1054" i="1"/>
  <c r="AU1054" i="1" s="1"/>
  <c r="AY1054" i="1" s="1"/>
  <c r="AL1054" i="1"/>
  <c r="AD1054" i="1"/>
  <c r="AM1053" i="1"/>
  <c r="AU1053" i="1" s="1"/>
  <c r="AY1053" i="1" s="1"/>
  <c r="AL1053" i="1"/>
  <c r="AD1053" i="1"/>
  <c r="AM1052" i="1"/>
  <c r="AU1052" i="1" s="1"/>
  <c r="AY1052" i="1" s="1"/>
  <c r="AL1052" i="1"/>
  <c r="AD1052" i="1"/>
  <c r="AM1051" i="1"/>
  <c r="AU1051" i="1" s="1"/>
  <c r="AY1051" i="1" s="1"/>
  <c r="AL1051" i="1"/>
  <c r="AD1051" i="1"/>
  <c r="AM1050" i="1"/>
  <c r="AU1050" i="1" s="1"/>
  <c r="AY1050" i="1" s="1"/>
  <c r="AL1050" i="1"/>
  <c r="AD1050" i="1"/>
  <c r="AM1049" i="1"/>
  <c r="AU1049" i="1" s="1"/>
  <c r="AY1049" i="1" s="1"/>
  <c r="AL1049" i="1"/>
  <c r="AD1049" i="1"/>
  <c r="AM1048" i="1"/>
  <c r="AU1048" i="1" s="1"/>
  <c r="AY1048" i="1" s="1"/>
  <c r="AL1048" i="1"/>
  <c r="AD1048" i="1"/>
  <c r="AM1047" i="1"/>
  <c r="AU1047" i="1" s="1"/>
  <c r="AY1047" i="1" s="1"/>
  <c r="AL1047" i="1"/>
  <c r="AD1047" i="1"/>
  <c r="AM1046" i="1"/>
  <c r="AU1046" i="1" s="1"/>
  <c r="AY1046" i="1" s="1"/>
  <c r="AL1046" i="1"/>
  <c r="AD1046" i="1"/>
  <c r="AM1045" i="1"/>
  <c r="AU1045" i="1" s="1"/>
  <c r="AY1045" i="1" s="1"/>
  <c r="AL1045" i="1"/>
  <c r="AD1045" i="1"/>
  <c r="AM1044" i="1"/>
  <c r="AU1044" i="1" s="1"/>
  <c r="AY1044" i="1" s="1"/>
  <c r="AL1044" i="1"/>
  <c r="AD1044" i="1"/>
  <c r="AM1043" i="1"/>
  <c r="AU1043" i="1" s="1"/>
  <c r="AY1043" i="1" s="1"/>
  <c r="AL1043" i="1"/>
  <c r="AD1043" i="1"/>
  <c r="AM1042" i="1"/>
  <c r="AU1042" i="1" s="1"/>
  <c r="AY1042" i="1" s="1"/>
  <c r="AL1042" i="1"/>
  <c r="AD1042" i="1"/>
  <c r="AM1041" i="1"/>
  <c r="AU1041" i="1" s="1"/>
  <c r="AY1041" i="1" s="1"/>
  <c r="AL1041" i="1"/>
  <c r="AD1041" i="1"/>
  <c r="AM1040" i="1"/>
  <c r="AU1040" i="1" s="1"/>
  <c r="AY1040" i="1" s="1"/>
  <c r="AL1040" i="1"/>
  <c r="AD1040" i="1"/>
  <c r="AM1039" i="1"/>
  <c r="AU1039" i="1" s="1"/>
  <c r="AY1039" i="1" s="1"/>
  <c r="AL1039" i="1"/>
  <c r="AD1039" i="1"/>
  <c r="AM1038" i="1"/>
  <c r="AU1038" i="1" s="1"/>
  <c r="AY1038" i="1" s="1"/>
  <c r="AL1038" i="1"/>
  <c r="AD1038" i="1"/>
  <c r="AM1037" i="1"/>
  <c r="AU1037" i="1" s="1"/>
  <c r="AY1037" i="1" s="1"/>
  <c r="AL1037" i="1"/>
  <c r="AD1037" i="1"/>
  <c r="AM1036" i="1"/>
  <c r="AU1036" i="1" s="1"/>
  <c r="AY1036" i="1" s="1"/>
  <c r="AL1036" i="1"/>
  <c r="AD1036" i="1"/>
  <c r="AM1035" i="1"/>
  <c r="AU1035" i="1" s="1"/>
  <c r="AY1035" i="1" s="1"/>
  <c r="AL1035" i="1"/>
  <c r="AD1035" i="1"/>
  <c r="AM1034" i="1"/>
  <c r="AU1034" i="1" s="1"/>
  <c r="AY1034" i="1" s="1"/>
  <c r="AL1034" i="1"/>
  <c r="AD1034" i="1"/>
  <c r="AM1033" i="1"/>
  <c r="AU1033" i="1" s="1"/>
  <c r="AY1033" i="1" s="1"/>
  <c r="AL1033" i="1"/>
  <c r="AD1033" i="1"/>
  <c r="AM1032" i="1"/>
  <c r="AU1032" i="1" s="1"/>
  <c r="AY1032" i="1" s="1"/>
  <c r="AL1032" i="1"/>
  <c r="AD1032" i="1"/>
  <c r="AM1031" i="1"/>
  <c r="AU1031" i="1" s="1"/>
  <c r="AY1031" i="1" s="1"/>
  <c r="AL1031" i="1"/>
  <c r="AD1031" i="1"/>
  <c r="AM1030" i="1"/>
  <c r="AU1030" i="1" s="1"/>
  <c r="AY1030" i="1" s="1"/>
  <c r="AL1030" i="1"/>
  <c r="AD1030" i="1"/>
  <c r="AM1029" i="1"/>
  <c r="AU1029" i="1" s="1"/>
  <c r="AY1029" i="1" s="1"/>
  <c r="AL1029" i="1"/>
  <c r="AD1029" i="1"/>
  <c r="AM1028" i="1"/>
  <c r="AU1028" i="1" s="1"/>
  <c r="AY1028" i="1" s="1"/>
  <c r="AL1028" i="1"/>
  <c r="AD1028" i="1"/>
  <c r="AM1027" i="1"/>
  <c r="AU1027" i="1" s="1"/>
  <c r="AY1027" i="1" s="1"/>
  <c r="AL1027" i="1"/>
  <c r="AD1027" i="1"/>
  <c r="AM1026" i="1"/>
  <c r="AU1026" i="1" s="1"/>
  <c r="AY1026" i="1" s="1"/>
  <c r="AL1026" i="1"/>
  <c r="AD1026" i="1"/>
  <c r="AM1025" i="1"/>
  <c r="AU1025" i="1" s="1"/>
  <c r="AY1025" i="1" s="1"/>
  <c r="AL1025" i="1"/>
  <c r="AD1025" i="1"/>
  <c r="AM1024" i="1"/>
  <c r="AU1024" i="1" s="1"/>
  <c r="AY1024" i="1" s="1"/>
  <c r="AL1024" i="1"/>
  <c r="AD1024" i="1"/>
  <c r="AM1023" i="1"/>
  <c r="AU1023" i="1" s="1"/>
  <c r="AY1023" i="1" s="1"/>
  <c r="AL1023" i="1"/>
  <c r="AD1023" i="1"/>
  <c r="AM1022" i="1"/>
  <c r="AU1022" i="1" s="1"/>
  <c r="AY1022" i="1" s="1"/>
  <c r="AL1022" i="1"/>
  <c r="AD1022" i="1"/>
  <c r="AM1021" i="1"/>
  <c r="AU1021" i="1" s="1"/>
  <c r="AY1021" i="1" s="1"/>
  <c r="AL1021" i="1"/>
  <c r="AD1021" i="1"/>
  <c r="AM1020" i="1"/>
  <c r="AU1020" i="1" s="1"/>
  <c r="AY1020" i="1" s="1"/>
  <c r="AL1020" i="1"/>
  <c r="AD1020" i="1"/>
  <c r="AM1019" i="1"/>
  <c r="AU1019" i="1" s="1"/>
  <c r="AY1019" i="1" s="1"/>
  <c r="AL1019" i="1"/>
  <c r="AD1019" i="1"/>
  <c r="AM1018" i="1"/>
  <c r="AU1018" i="1" s="1"/>
  <c r="AY1018" i="1" s="1"/>
  <c r="AL1018" i="1"/>
  <c r="AD1018" i="1"/>
  <c r="AM1017" i="1"/>
  <c r="AU1017" i="1" s="1"/>
  <c r="AY1017" i="1" s="1"/>
  <c r="AL1017" i="1"/>
  <c r="AD1017" i="1"/>
  <c r="AM1016" i="1"/>
  <c r="AU1016" i="1" s="1"/>
  <c r="AY1016" i="1" s="1"/>
  <c r="AL1016" i="1"/>
  <c r="AD1016" i="1"/>
  <c r="AM1015" i="1"/>
  <c r="AU1015" i="1" s="1"/>
  <c r="AY1015" i="1" s="1"/>
  <c r="AL1015" i="1"/>
  <c r="AD1015" i="1"/>
  <c r="AM1014" i="1"/>
  <c r="AU1014" i="1" s="1"/>
  <c r="AY1014" i="1" s="1"/>
  <c r="AL1014" i="1"/>
  <c r="AD1014" i="1"/>
  <c r="AM1013" i="1"/>
  <c r="AU1013" i="1" s="1"/>
  <c r="AY1013" i="1" s="1"/>
  <c r="AL1013" i="1"/>
  <c r="AD1013" i="1"/>
  <c r="AM1012" i="1"/>
  <c r="AU1012" i="1" s="1"/>
  <c r="AY1012" i="1" s="1"/>
  <c r="AL1012" i="1"/>
  <c r="AD1012" i="1"/>
  <c r="AM1011" i="1"/>
  <c r="AU1011" i="1" s="1"/>
  <c r="AY1011" i="1" s="1"/>
  <c r="AL1011" i="1"/>
  <c r="AD1011" i="1"/>
  <c r="AM1010" i="1"/>
  <c r="AU1010" i="1" s="1"/>
  <c r="AY1010" i="1" s="1"/>
  <c r="AL1010" i="1"/>
  <c r="AD1010" i="1"/>
  <c r="AM1009" i="1"/>
  <c r="AU1009" i="1" s="1"/>
  <c r="AY1009" i="1" s="1"/>
  <c r="AL1009" i="1"/>
  <c r="AD1009" i="1"/>
  <c r="AM1008" i="1"/>
  <c r="AU1008" i="1" s="1"/>
  <c r="AY1008" i="1" s="1"/>
  <c r="AL1008" i="1"/>
  <c r="AD1008" i="1"/>
  <c r="AM1007" i="1"/>
  <c r="AU1007" i="1" s="1"/>
  <c r="AY1007" i="1" s="1"/>
  <c r="AL1007" i="1"/>
  <c r="AD1007" i="1"/>
  <c r="AM1006" i="1"/>
  <c r="AU1006" i="1" s="1"/>
  <c r="AY1006" i="1" s="1"/>
  <c r="AL1006" i="1"/>
  <c r="AD1006" i="1"/>
  <c r="AM1005" i="1"/>
  <c r="AU1005" i="1" s="1"/>
  <c r="AY1005" i="1" s="1"/>
  <c r="AL1005" i="1"/>
  <c r="AD1005" i="1"/>
  <c r="AM1004" i="1"/>
  <c r="AU1004" i="1" s="1"/>
  <c r="AY1004" i="1" s="1"/>
  <c r="AL1004" i="1"/>
  <c r="AD1004" i="1"/>
  <c r="AM1003" i="1"/>
  <c r="AU1003" i="1" s="1"/>
  <c r="AY1003" i="1" s="1"/>
  <c r="AL1003" i="1"/>
  <c r="AD1003" i="1"/>
  <c r="AM1002" i="1"/>
  <c r="AU1002" i="1" s="1"/>
  <c r="AY1002" i="1" s="1"/>
  <c r="AL1002" i="1"/>
  <c r="AD1002" i="1"/>
  <c r="AM1001" i="1"/>
  <c r="AU1001" i="1" s="1"/>
  <c r="AY1001" i="1" s="1"/>
  <c r="AL1001" i="1"/>
  <c r="AD1001" i="1"/>
  <c r="AM1000" i="1"/>
  <c r="AU1000" i="1" s="1"/>
  <c r="AY1000" i="1" s="1"/>
  <c r="AL1000" i="1"/>
  <c r="AD1000" i="1"/>
  <c r="AM999" i="1"/>
  <c r="AU999" i="1" s="1"/>
  <c r="AY999" i="1" s="1"/>
  <c r="AL999" i="1"/>
  <c r="AD999" i="1"/>
  <c r="AM998" i="1"/>
  <c r="AU998" i="1" s="1"/>
  <c r="AY998" i="1" s="1"/>
  <c r="AL998" i="1"/>
  <c r="AD998" i="1"/>
  <c r="AM997" i="1"/>
  <c r="AU997" i="1" s="1"/>
  <c r="AY997" i="1" s="1"/>
  <c r="AL997" i="1"/>
  <c r="AD997" i="1"/>
  <c r="AM996" i="1"/>
  <c r="AU996" i="1" s="1"/>
  <c r="AY996" i="1" s="1"/>
  <c r="AL996" i="1"/>
  <c r="AD996" i="1"/>
  <c r="AM995" i="1"/>
  <c r="AU995" i="1" s="1"/>
  <c r="AY995" i="1" s="1"/>
  <c r="AL995" i="1"/>
  <c r="AD995" i="1"/>
  <c r="AM994" i="1"/>
  <c r="AU994" i="1" s="1"/>
  <c r="AY994" i="1" s="1"/>
  <c r="AL994" i="1"/>
  <c r="AD994" i="1"/>
  <c r="AM993" i="1"/>
  <c r="AU993" i="1" s="1"/>
  <c r="AY993" i="1" s="1"/>
  <c r="AL993" i="1"/>
  <c r="AD993" i="1"/>
  <c r="AM992" i="1"/>
  <c r="AU992" i="1" s="1"/>
  <c r="AY992" i="1" s="1"/>
  <c r="AL992" i="1"/>
  <c r="AD992" i="1"/>
  <c r="AM991" i="1"/>
  <c r="AU991" i="1" s="1"/>
  <c r="AY991" i="1" s="1"/>
  <c r="AL991" i="1"/>
  <c r="AD991" i="1"/>
  <c r="AM990" i="1"/>
  <c r="AU990" i="1" s="1"/>
  <c r="AY990" i="1" s="1"/>
  <c r="AL990" i="1"/>
  <c r="AD990" i="1"/>
  <c r="AM989" i="1"/>
  <c r="AU989" i="1" s="1"/>
  <c r="AY989" i="1" s="1"/>
  <c r="AL989" i="1"/>
  <c r="AD989" i="1"/>
  <c r="AM988" i="1"/>
  <c r="AU988" i="1" s="1"/>
  <c r="AY988" i="1" s="1"/>
  <c r="AL988" i="1"/>
  <c r="AD988" i="1"/>
  <c r="AM987" i="1"/>
  <c r="AU987" i="1" s="1"/>
  <c r="AY987" i="1" s="1"/>
  <c r="AL987" i="1"/>
  <c r="AD987" i="1"/>
  <c r="AM986" i="1"/>
  <c r="AU986" i="1" s="1"/>
  <c r="AY986" i="1" s="1"/>
  <c r="AL986" i="1"/>
  <c r="AD986" i="1"/>
  <c r="AM985" i="1"/>
  <c r="AU985" i="1" s="1"/>
  <c r="AY985" i="1" s="1"/>
  <c r="AL985" i="1"/>
  <c r="AD985" i="1"/>
  <c r="AM984" i="1"/>
  <c r="AU984" i="1" s="1"/>
  <c r="AY984" i="1" s="1"/>
  <c r="AL984" i="1"/>
  <c r="AD984" i="1"/>
  <c r="AM983" i="1"/>
  <c r="AU983" i="1" s="1"/>
  <c r="AY983" i="1" s="1"/>
  <c r="AL983" i="1"/>
  <c r="AD983" i="1"/>
  <c r="AM982" i="1"/>
  <c r="AU982" i="1" s="1"/>
  <c r="AY982" i="1" s="1"/>
  <c r="AL982" i="1"/>
  <c r="AD982" i="1"/>
  <c r="AM981" i="1"/>
  <c r="AU981" i="1" s="1"/>
  <c r="AY981" i="1" s="1"/>
  <c r="AL981" i="1"/>
  <c r="AD981" i="1"/>
  <c r="AM980" i="1"/>
  <c r="AU980" i="1" s="1"/>
  <c r="AY980" i="1" s="1"/>
  <c r="AL980" i="1"/>
  <c r="AD980" i="1"/>
  <c r="AM979" i="1"/>
  <c r="AU979" i="1" s="1"/>
  <c r="AY979" i="1" s="1"/>
  <c r="AL979" i="1"/>
  <c r="AD979" i="1"/>
  <c r="AM978" i="1"/>
  <c r="AU978" i="1" s="1"/>
  <c r="AY978" i="1" s="1"/>
  <c r="AL978" i="1"/>
  <c r="AD978" i="1"/>
  <c r="AM977" i="1"/>
  <c r="AU977" i="1" s="1"/>
  <c r="AY977" i="1" s="1"/>
  <c r="AL977" i="1"/>
  <c r="AD977" i="1"/>
  <c r="AM976" i="1"/>
  <c r="AU976" i="1" s="1"/>
  <c r="AY976" i="1" s="1"/>
  <c r="AL976" i="1"/>
  <c r="AD976" i="1"/>
  <c r="AM975" i="1"/>
  <c r="AU975" i="1" s="1"/>
  <c r="AY975" i="1" s="1"/>
  <c r="AL975" i="1"/>
  <c r="AD975" i="1"/>
  <c r="AM974" i="1"/>
  <c r="AU974" i="1" s="1"/>
  <c r="AY974" i="1" s="1"/>
  <c r="AL974" i="1"/>
  <c r="AD974" i="1"/>
  <c r="AM973" i="1"/>
  <c r="AU973" i="1" s="1"/>
  <c r="AY973" i="1" s="1"/>
  <c r="AL973" i="1"/>
  <c r="AD973" i="1"/>
  <c r="AM972" i="1"/>
  <c r="AU972" i="1" s="1"/>
  <c r="AY972" i="1" s="1"/>
  <c r="AL972" i="1"/>
  <c r="AD972" i="1"/>
  <c r="AM971" i="1"/>
  <c r="AU971" i="1" s="1"/>
  <c r="AY971" i="1" s="1"/>
  <c r="AL971" i="1"/>
  <c r="AD971" i="1"/>
  <c r="AM970" i="1"/>
  <c r="AU970" i="1" s="1"/>
  <c r="AY970" i="1" s="1"/>
  <c r="AL970" i="1"/>
  <c r="AD970" i="1"/>
  <c r="AM969" i="1"/>
  <c r="AU969" i="1" s="1"/>
  <c r="AY969" i="1" s="1"/>
  <c r="AL969" i="1"/>
  <c r="AD969" i="1"/>
  <c r="AM968" i="1"/>
  <c r="AU968" i="1" s="1"/>
  <c r="AY968" i="1" s="1"/>
  <c r="AL968" i="1"/>
  <c r="AD968" i="1"/>
  <c r="AM967" i="1"/>
  <c r="AU967" i="1" s="1"/>
  <c r="AY967" i="1" s="1"/>
  <c r="AL967" i="1"/>
  <c r="AD967" i="1"/>
  <c r="AM966" i="1"/>
  <c r="AU966" i="1" s="1"/>
  <c r="AY966" i="1" s="1"/>
  <c r="AL966" i="1"/>
  <c r="AD966" i="1"/>
  <c r="AM965" i="1"/>
  <c r="AU965" i="1" s="1"/>
  <c r="AY965" i="1" s="1"/>
  <c r="AL965" i="1"/>
  <c r="AD965" i="1"/>
  <c r="AM964" i="1"/>
  <c r="AU964" i="1" s="1"/>
  <c r="AY964" i="1" s="1"/>
  <c r="AL964" i="1"/>
  <c r="AD964" i="1"/>
  <c r="AM963" i="1"/>
  <c r="AU963" i="1" s="1"/>
  <c r="AY963" i="1" s="1"/>
  <c r="AL963" i="1"/>
  <c r="AD963" i="1"/>
  <c r="AM962" i="1"/>
  <c r="AU962" i="1" s="1"/>
  <c r="AY962" i="1" s="1"/>
  <c r="AL962" i="1"/>
  <c r="AD962" i="1"/>
  <c r="AM961" i="1"/>
  <c r="AU961" i="1" s="1"/>
  <c r="AY961" i="1" s="1"/>
  <c r="AL961" i="1"/>
  <c r="AD961" i="1"/>
  <c r="AM960" i="1"/>
  <c r="AU960" i="1" s="1"/>
  <c r="AY960" i="1" s="1"/>
  <c r="AL960" i="1"/>
  <c r="AD960" i="1"/>
  <c r="AM959" i="1"/>
  <c r="AU959" i="1" s="1"/>
  <c r="AY959" i="1" s="1"/>
  <c r="AL959" i="1"/>
  <c r="AD959" i="1"/>
  <c r="AM958" i="1"/>
  <c r="AU958" i="1" s="1"/>
  <c r="AY958" i="1" s="1"/>
  <c r="AL958" i="1"/>
  <c r="AD958" i="1"/>
  <c r="AM957" i="1"/>
  <c r="AU957" i="1" s="1"/>
  <c r="AY957" i="1" s="1"/>
  <c r="AL957" i="1"/>
  <c r="AD957" i="1"/>
  <c r="AM956" i="1"/>
  <c r="AU956" i="1" s="1"/>
  <c r="AY956" i="1" s="1"/>
  <c r="AL956" i="1"/>
  <c r="AD956" i="1"/>
  <c r="AM955" i="1"/>
  <c r="AU955" i="1" s="1"/>
  <c r="AY955" i="1" s="1"/>
  <c r="AL955" i="1"/>
  <c r="AD955" i="1"/>
  <c r="AM954" i="1"/>
  <c r="AU954" i="1" s="1"/>
  <c r="AY954" i="1" s="1"/>
  <c r="AL954" i="1"/>
  <c r="AD954" i="1"/>
  <c r="AM953" i="1"/>
  <c r="AU953" i="1" s="1"/>
  <c r="AY953" i="1" s="1"/>
  <c r="AL953" i="1"/>
  <c r="AD953" i="1"/>
  <c r="AM952" i="1"/>
  <c r="AU952" i="1" s="1"/>
  <c r="AY952" i="1" s="1"/>
  <c r="AL952" i="1"/>
  <c r="AD952" i="1"/>
  <c r="AM951" i="1"/>
  <c r="AU951" i="1" s="1"/>
  <c r="AY951" i="1" s="1"/>
  <c r="AL951" i="1"/>
  <c r="AD951" i="1"/>
  <c r="AM950" i="1"/>
  <c r="AU950" i="1" s="1"/>
  <c r="AY950" i="1" s="1"/>
  <c r="AL950" i="1"/>
  <c r="AD950" i="1"/>
  <c r="AM949" i="1"/>
  <c r="AU949" i="1" s="1"/>
  <c r="AY949" i="1" s="1"/>
  <c r="AL949" i="1"/>
  <c r="AD949" i="1"/>
  <c r="AM948" i="1"/>
  <c r="AU948" i="1" s="1"/>
  <c r="AY948" i="1" s="1"/>
  <c r="AL948" i="1"/>
  <c r="AD948" i="1"/>
  <c r="AM947" i="1"/>
  <c r="AU947" i="1" s="1"/>
  <c r="AY947" i="1" s="1"/>
  <c r="AL947" i="1"/>
  <c r="AD947" i="1"/>
  <c r="AM946" i="1"/>
  <c r="AU946" i="1" s="1"/>
  <c r="AY946" i="1" s="1"/>
  <c r="AL946" i="1"/>
  <c r="AD946" i="1"/>
  <c r="AM945" i="1"/>
  <c r="AU945" i="1" s="1"/>
  <c r="AY945" i="1" s="1"/>
  <c r="AL945" i="1"/>
  <c r="AD945" i="1"/>
  <c r="AM944" i="1"/>
  <c r="AU944" i="1" s="1"/>
  <c r="AY944" i="1" s="1"/>
  <c r="AL944" i="1"/>
  <c r="AD944" i="1"/>
  <c r="AM943" i="1"/>
  <c r="AU943" i="1" s="1"/>
  <c r="AY943" i="1" s="1"/>
  <c r="AL943" i="1"/>
  <c r="AD943" i="1"/>
  <c r="AM942" i="1"/>
  <c r="AU942" i="1" s="1"/>
  <c r="AY942" i="1" s="1"/>
  <c r="AL942" i="1"/>
  <c r="AD942" i="1"/>
  <c r="AM941" i="1"/>
  <c r="AU941" i="1" s="1"/>
  <c r="AY941" i="1" s="1"/>
  <c r="AL941" i="1"/>
  <c r="AD941" i="1"/>
  <c r="AM940" i="1"/>
  <c r="AU940" i="1" s="1"/>
  <c r="AY940" i="1" s="1"/>
  <c r="AL940" i="1"/>
  <c r="AD940" i="1"/>
  <c r="AM939" i="1"/>
  <c r="AU939" i="1" s="1"/>
  <c r="AY939" i="1" s="1"/>
  <c r="AL939" i="1"/>
  <c r="AD939" i="1"/>
  <c r="AM938" i="1"/>
  <c r="AU938" i="1" s="1"/>
  <c r="AY938" i="1" s="1"/>
  <c r="AL938" i="1"/>
  <c r="AD938" i="1"/>
  <c r="AM937" i="1"/>
  <c r="AU937" i="1" s="1"/>
  <c r="AY937" i="1" s="1"/>
  <c r="AL937" i="1"/>
  <c r="AD937" i="1"/>
  <c r="AM936" i="1"/>
  <c r="AU936" i="1" s="1"/>
  <c r="AY936" i="1" s="1"/>
  <c r="AL936" i="1"/>
  <c r="AD936" i="1"/>
  <c r="AM935" i="1"/>
  <c r="AU935" i="1" s="1"/>
  <c r="AY935" i="1" s="1"/>
  <c r="AL935" i="1"/>
  <c r="AD935" i="1"/>
  <c r="AM934" i="1"/>
  <c r="AU934" i="1" s="1"/>
  <c r="AY934" i="1" s="1"/>
  <c r="AL934" i="1"/>
  <c r="AD934" i="1"/>
  <c r="AM933" i="1"/>
  <c r="AU933" i="1" s="1"/>
  <c r="AY933" i="1" s="1"/>
  <c r="AL933" i="1"/>
  <c r="AD933" i="1"/>
  <c r="AM932" i="1"/>
  <c r="AU932" i="1" s="1"/>
  <c r="AY932" i="1" s="1"/>
  <c r="AL932" i="1"/>
  <c r="AD932" i="1"/>
  <c r="AM931" i="1"/>
  <c r="AU931" i="1" s="1"/>
  <c r="AY931" i="1" s="1"/>
  <c r="AL931" i="1"/>
  <c r="AD931" i="1"/>
  <c r="AM930" i="1"/>
  <c r="AU930" i="1" s="1"/>
  <c r="AY930" i="1" s="1"/>
  <c r="AL930" i="1"/>
  <c r="AD930" i="1"/>
  <c r="AM929" i="1"/>
  <c r="AU929" i="1" s="1"/>
  <c r="AY929" i="1" s="1"/>
  <c r="AL929" i="1"/>
  <c r="AD929" i="1"/>
  <c r="AM928" i="1"/>
  <c r="AU928" i="1" s="1"/>
  <c r="AY928" i="1" s="1"/>
  <c r="AL928" i="1"/>
  <c r="AD928" i="1"/>
  <c r="AM927" i="1"/>
  <c r="AU927" i="1" s="1"/>
  <c r="AY927" i="1" s="1"/>
  <c r="AL927" i="1"/>
  <c r="AD927" i="1"/>
  <c r="AM926" i="1"/>
  <c r="AU926" i="1" s="1"/>
  <c r="AY926" i="1" s="1"/>
  <c r="AL926" i="1"/>
  <c r="AD926" i="1"/>
  <c r="AM925" i="1"/>
  <c r="AU925" i="1" s="1"/>
  <c r="AY925" i="1" s="1"/>
  <c r="AL925" i="1"/>
  <c r="AD925" i="1"/>
  <c r="AM924" i="1"/>
  <c r="AU924" i="1" s="1"/>
  <c r="AY924" i="1" s="1"/>
  <c r="AL924" i="1"/>
  <c r="AD924" i="1"/>
  <c r="AM923" i="1"/>
  <c r="AU923" i="1" s="1"/>
  <c r="AY923" i="1" s="1"/>
  <c r="AL923" i="1"/>
  <c r="AD923" i="1"/>
  <c r="AM922" i="1"/>
  <c r="AU922" i="1" s="1"/>
  <c r="AY922" i="1" s="1"/>
  <c r="AL922" i="1"/>
  <c r="AD922" i="1"/>
  <c r="AM921" i="1"/>
  <c r="AU921" i="1" s="1"/>
  <c r="AY921" i="1" s="1"/>
  <c r="AL921" i="1"/>
  <c r="AD921" i="1"/>
  <c r="AM920" i="1"/>
  <c r="AU920" i="1" s="1"/>
  <c r="AY920" i="1" s="1"/>
  <c r="AL920" i="1"/>
  <c r="AD920" i="1"/>
  <c r="AM919" i="1"/>
  <c r="AU919" i="1" s="1"/>
  <c r="AY919" i="1" s="1"/>
  <c r="AL919" i="1"/>
  <c r="AD919" i="1"/>
  <c r="AM918" i="1"/>
  <c r="AU918" i="1" s="1"/>
  <c r="AY918" i="1" s="1"/>
  <c r="AL918" i="1"/>
  <c r="AD918" i="1"/>
  <c r="AM917" i="1"/>
  <c r="AU917" i="1" s="1"/>
  <c r="AY917" i="1" s="1"/>
  <c r="AL917" i="1"/>
  <c r="AD917" i="1"/>
  <c r="AM916" i="1"/>
  <c r="AU916" i="1" s="1"/>
  <c r="AY916" i="1" s="1"/>
  <c r="AL916" i="1"/>
  <c r="AD916" i="1"/>
  <c r="AM915" i="1"/>
  <c r="AU915" i="1" s="1"/>
  <c r="AY915" i="1" s="1"/>
  <c r="AL915" i="1"/>
  <c r="AD915" i="1"/>
  <c r="AM914" i="1"/>
  <c r="AU914" i="1" s="1"/>
  <c r="AY914" i="1" s="1"/>
  <c r="AL914" i="1"/>
  <c r="AD914" i="1"/>
  <c r="AM913" i="1"/>
  <c r="AU913" i="1" s="1"/>
  <c r="AY913" i="1" s="1"/>
  <c r="AL913" i="1"/>
  <c r="AD913" i="1"/>
  <c r="AM912" i="1"/>
  <c r="AU912" i="1" s="1"/>
  <c r="AY912" i="1" s="1"/>
  <c r="AL912" i="1"/>
  <c r="AD912" i="1"/>
  <c r="AM911" i="1"/>
  <c r="AU911" i="1" s="1"/>
  <c r="AY911" i="1" s="1"/>
  <c r="AL911" i="1"/>
  <c r="AD911" i="1"/>
  <c r="AM910" i="1"/>
  <c r="AU910" i="1" s="1"/>
  <c r="AY910" i="1" s="1"/>
  <c r="AL910" i="1"/>
  <c r="AD910" i="1"/>
  <c r="AM909" i="1"/>
  <c r="AU909" i="1" s="1"/>
  <c r="AY909" i="1" s="1"/>
  <c r="AL909" i="1"/>
  <c r="AD909" i="1"/>
  <c r="AM908" i="1"/>
  <c r="AU908" i="1" s="1"/>
  <c r="AY908" i="1" s="1"/>
  <c r="AL908" i="1"/>
  <c r="AD908" i="1"/>
  <c r="AM907" i="1"/>
  <c r="AU907" i="1" s="1"/>
  <c r="AY907" i="1" s="1"/>
  <c r="AL907" i="1"/>
  <c r="AD907" i="1"/>
  <c r="AM906" i="1"/>
  <c r="AU906" i="1" s="1"/>
  <c r="AY906" i="1" s="1"/>
  <c r="AL906" i="1"/>
  <c r="AD906" i="1"/>
  <c r="AM905" i="1"/>
  <c r="AU905" i="1" s="1"/>
  <c r="AY905" i="1" s="1"/>
  <c r="AL905" i="1"/>
  <c r="AD905" i="1"/>
  <c r="AM904" i="1"/>
  <c r="AU904" i="1" s="1"/>
  <c r="AY904" i="1" s="1"/>
  <c r="AL904" i="1"/>
  <c r="AD904" i="1"/>
  <c r="AM903" i="1"/>
  <c r="AU903" i="1" s="1"/>
  <c r="AY903" i="1" s="1"/>
  <c r="AL903" i="1"/>
  <c r="AD903" i="1"/>
  <c r="AM902" i="1"/>
  <c r="AU902" i="1" s="1"/>
  <c r="AY902" i="1" s="1"/>
  <c r="AL902" i="1"/>
  <c r="AD902" i="1"/>
  <c r="AM901" i="1"/>
  <c r="AU901" i="1" s="1"/>
  <c r="AY901" i="1" s="1"/>
  <c r="AL901" i="1"/>
  <c r="AD901" i="1"/>
  <c r="AM900" i="1"/>
  <c r="AU900" i="1" s="1"/>
  <c r="AY900" i="1" s="1"/>
  <c r="AL900" i="1"/>
  <c r="AD900" i="1"/>
  <c r="AM899" i="1"/>
  <c r="AU899" i="1" s="1"/>
  <c r="AY899" i="1" s="1"/>
  <c r="AL899" i="1"/>
  <c r="AD899" i="1"/>
  <c r="AM898" i="1"/>
  <c r="AU898" i="1" s="1"/>
  <c r="AY898" i="1" s="1"/>
  <c r="AL898" i="1"/>
  <c r="AD898" i="1"/>
  <c r="AM897" i="1"/>
  <c r="AU897" i="1" s="1"/>
  <c r="AY897" i="1" s="1"/>
  <c r="AL897" i="1"/>
  <c r="AD897" i="1"/>
  <c r="AM896" i="1"/>
  <c r="AU896" i="1" s="1"/>
  <c r="AY896" i="1" s="1"/>
  <c r="AL896" i="1"/>
  <c r="AD896" i="1"/>
  <c r="AM895" i="1"/>
  <c r="AU895" i="1" s="1"/>
  <c r="AY895" i="1" s="1"/>
  <c r="AL895" i="1"/>
  <c r="AD895" i="1"/>
  <c r="AM894" i="1"/>
  <c r="AU894" i="1" s="1"/>
  <c r="AY894" i="1" s="1"/>
  <c r="AL894" i="1"/>
  <c r="AD894" i="1"/>
  <c r="AM893" i="1"/>
  <c r="AU893" i="1" s="1"/>
  <c r="AY893" i="1" s="1"/>
  <c r="AL893" i="1"/>
  <c r="AD893" i="1"/>
  <c r="AM892" i="1"/>
  <c r="AU892" i="1" s="1"/>
  <c r="AY892" i="1" s="1"/>
  <c r="AL892" i="1"/>
  <c r="AD892" i="1"/>
  <c r="AM891" i="1"/>
  <c r="AU891" i="1" s="1"/>
  <c r="AY891" i="1" s="1"/>
  <c r="AL891" i="1"/>
  <c r="AD891" i="1"/>
  <c r="AM890" i="1"/>
  <c r="AU890" i="1" s="1"/>
  <c r="AY890" i="1" s="1"/>
  <c r="AL890" i="1"/>
  <c r="AD890" i="1"/>
  <c r="AM889" i="1"/>
  <c r="AU889" i="1" s="1"/>
  <c r="AY889" i="1" s="1"/>
  <c r="AL889" i="1"/>
  <c r="AD889" i="1"/>
  <c r="AM888" i="1"/>
  <c r="AU888" i="1" s="1"/>
  <c r="AY888" i="1" s="1"/>
  <c r="AL888" i="1"/>
  <c r="AD888" i="1"/>
  <c r="AM887" i="1"/>
  <c r="AU887" i="1" s="1"/>
  <c r="AY887" i="1" s="1"/>
  <c r="AL887" i="1"/>
  <c r="AD887" i="1"/>
  <c r="AM886" i="1"/>
  <c r="AU886" i="1" s="1"/>
  <c r="AY886" i="1" s="1"/>
  <c r="AL886" i="1"/>
  <c r="AD886" i="1"/>
  <c r="AM885" i="1"/>
  <c r="AU885" i="1" s="1"/>
  <c r="AY885" i="1" s="1"/>
  <c r="AL885" i="1"/>
  <c r="AD885" i="1"/>
  <c r="AM884" i="1"/>
  <c r="AU884" i="1" s="1"/>
  <c r="AY884" i="1" s="1"/>
  <c r="AL884" i="1"/>
  <c r="AD884" i="1"/>
  <c r="AM883" i="1"/>
  <c r="AU883" i="1" s="1"/>
  <c r="AY883" i="1" s="1"/>
  <c r="AL883" i="1"/>
  <c r="AD883" i="1"/>
  <c r="AM882" i="1"/>
  <c r="AU882" i="1" s="1"/>
  <c r="AY882" i="1" s="1"/>
  <c r="AL882" i="1"/>
  <c r="AD882" i="1"/>
  <c r="AM881" i="1"/>
  <c r="AU881" i="1" s="1"/>
  <c r="AY881" i="1" s="1"/>
  <c r="AL881" i="1"/>
  <c r="AD881" i="1"/>
  <c r="AM880" i="1"/>
  <c r="AU880" i="1" s="1"/>
  <c r="AY880" i="1" s="1"/>
  <c r="AL880" i="1"/>
  <c r="AD880" i="1"/>
  <c r="AM879" i="1"/>
  <c r="AU879" i="1" s="1"/>
  <c r="AY879" i="1" s="1"/>
  <c r="AL879" i="1"/>
  <c r="AD879" i="1"/>
  <c r="AM878" i="1"/>
  <c r="AU878" i="1" s="1"/>
  <c r="AY878" i="1" s="1"/>
  <c r="AL878" i="1"/>
  <c r="AD878" i="1"/>
  <c r="AM877" i="1"/>
  <c r="AU877" i="1" s="1"/>
  <c r="AY877" i="1" s="1"/>
  <c r="AL877" i="1"/>
  <c r="AD877" i="1"/>
  <c r="AM876" i="1"/>
  <c r="AU876" i="1" s="1"/>
  <c r="AY876" i="1" s="1"/>
  <c r="AL876" i="1"/>
  <c r="AD876" i="1"/>
  <c r="AM875" i="1"/>
  <c r="AU875" i="1" s="1"/>
  <c r="AY875" i="1" s="1"/>
  <c r="AL875" i="1"/>
  <c r="AD875" i="1"/>
  <c r="AM874" i="1"/>
  <c r="AU874" i="1" s="1"/>
  <c r="AY874" i="1" s="1"/>
  <c r="AL874" i="1"/>
  <c r="AD874" i="1"/>
  <c r="AM873" i="1"/>
  <c r="AU873" i="1" s="1"/>
  <c r="AY873" i="1" s="1"/>
  <c r="AL873" i="1"/>
  <c r="AD873" i="1"/>
  <c r="AM872" i="1"/>
  <c r="AU872" i="1" s="1"/>
  <c r="AY872" i="1" s="1"/>
  <c r="AL872" i="1"/>
  <c r="AD872" i="1"/>
  <c r="AM871" i="1"/>
  <c r="AU871" i="1" s="1"/>
  <c r="AY871" i="1" s="1"/>
  <c r="AL871" i="1"/>
  <c r="AD871" i="1"/>
  <c r="AM870" i="1"/>
  <c r="AU870" i="1" s="1"/>
  <c r="AY870" i="1" s="1"/>
  <c r="AL870" i="1"/>
  <c r="AD870" i="1"/>
  <c r="AM869" i="1"/>
  <c r="AU869" i="1" s="1"/>
  <c r="AY869" i="1" s="1"/>
  <c r="AL869" i="1"/>
  <c r="AD869" i="1"/>
  <c r="AM868" i="1"/>
  <c r="AU868" i="1" s="1"/>
  <c r="AY868" i="1" s="1"/>
  <c r="AL868" i="1"/>
  <c r="AD868" i="1"/>
  <c r="AM867" i="1"/>
  <c r="AU867" i="1" s="1"/>
  <c r="AY867" i="1" s="1"/>
  <c r="AL867" i="1"/>
  <c r="AD867" i="1"/>
  <c r="AM866" i="1"/>
  <c r="AU866" i="1" s="1"/>
  <c r="AY866" i="1" s="1"/>
  <c r="AL866" i="1"/>
  <c r="AD866" i="1"/>
  <c r="AM865" i="1"/>
  <c r="AU865" i="1" s="1"/>
  <c r="AY865" i="1" s="1"/>
  <c r="AL865" i="1"/>
  <c r="AD865" i="1"/>
  <c r="AM864" i="1"/>
  <c r="AU864" i="1" s="1"/>
  <c r="AY864" i="1" s="1"/>
  <c r="AL864" i="1"/>
  <c r="AD864" i="1"/>
  <c r="AM863" i="1"/>
  <c r="AU863" i="1" s="1"/>
  <c r="AY863" i="1" s="1"/>
  <c r="AL863" i="1"/>
  <c r="AD863" i="1"/>
  <c r="AM862" i="1"/>
  <c r="AU862" i="1" s="1"/>
  <c r="AY862" i="1" s="1"/>
  <c r="AL862" i="1"/>
  <c r="AD862" i="1"/>
  <c r="AM861" i="1"/>
  <c r="AU861" i="1" s="1"/>
  <c r="AY861" i="1" s="1"/>
  <c r="AL861" i="1"/>
  <c r="AD861" i="1"/>
  <c r="AM860" i="1"/>
  <c r="AU860" i="1" s="1"/>
  <c r="AY860" i="1" s="1"/>
  <c r="AL860" i="1"/>
  <c r="AD860" i="1"/>
  <c r="AM859" i="1"/>
  <c r="AU859" i="1" s="1"/>
  <c r="AY859" i="1" s="1"/>
  <c r="AL859" i="1"/>
  <c r="AD859" i="1"/>
  <c r="AM858" i="1"/>
  <c r="AU858" i="1" s="1"/>
  <c r="AY858" i="1" s="1"/>
  <c r="AL858" i="1"/>
  <c r="AD858" i="1"/>
  <c r="AM857" i="1"/>
  <c r="AU857" i="1" s="1"/>
  <c r="AY857" i="1" s="1"/>
  <c r="AL857" i="1"/>
  <c r="AD857" i="1"/>
  <c r="AM856" i="1"/>
  <c r="AU856" i="1" s="1"/>
  <c r="AY856" i="1" s="1"/>
  <c r="AL856" i="1"/>
  <c r="AD856" i="1"/>
  <c r="AM855" i="1"/>
  <c r="AU855" i="1" s="1"/>
  <c r="AY855" i="1" s="1"/>
  <c r="AL855" i="1"/>
  <c r="AD855" i="1"/>
  <c r="AM854" i="1"/>
  <c r="AU854" i="1" s="1"/>
  <c r="AY854" i="1" s="1"/>
  <c r="AL854" i="1"/>
  <c r="AD854" i="1"/>
  <c r="AM853" i="1"/>
  <c r="AU853" i="1" s="1"/>
  <c r="AY853" i="1" s="1"/>
  <c r="AL853" i="1"/>
  <c r="AD853" i="1"/>
  <c r="AM852" i="1"/>
  <c r="AU852" i="1" s="1"/>
  <c r="AY852" i="1" s="1"/>
  <c r="AL852" i="1"/>
  <c r="AD852" i="1"/>
  <c r="AM851" i="1"/>
  <c r="AU851" i="1" s="1"/>
  <c r="AY851" i="1" s="1"/>
  <c r="AL851" i="1"/>
  <c r="AD851" i="1"/>
  <c r="AM850" i="1"/>
  <c r="AU850" i="1" s="1"/>
  <c r="AY850" i="1" s="1"/>
  <c r="AL850" i="1"/>
  <c r="AD850" i="1"/>
  <c r="AM849" i="1"/>
  <c r="AU849" i="1" s="1"/>
  <c r="AY849" i="1" s="1"/>
  <c r="AL849" i="1"/>
  <c r="AD849" i="1"/>
  <c r="AM848" i="1"/>
  <c r="AU848" i="1" s="1"/>
  <c r="AY848" i="1" s="1"/>
  <c r="AL848" i="1"/>
  <c r="AD848" i="1"/>
  <c r="AM847" i="1"/>
  <c r="AU847" i="1" s="1"/>
  <c r="AY847" i="1" s="1"/>
  <c r="AL847" i="1"/>
  <c r="AD847" i="1"/>
  <c r="AM846" i="1"/>
  <c r="AU846" i="1" s="1"/>
  <c r="AY846" i="1" s="1"/>
  <c r="AL846" i="1"/>
  <c r="AD846" i="1"/>
  <c r="AM845" i="1"/>
  <c r="AU845" i="1" s="1"/>
  <c r="AY845" i="1" s="1"/>
  <c r="AL845" i="1"/>
  <c r="AD845" i="1"/>
  <c r="AM844" i="1"/>
  <c r="AU844" i="1" s="1"/>
  <c r="AY844" i="1" s="1"/>
  <c r="AL844" i="1"/>
  <c r="AD844" i="1"/>
  <c r="AM843" i="1"/>
  <c r="AU843" i="1" s="1"/>
  <c r="AY843" i="1" s="1"/>
  <c r="AL843" i="1"/>
  <c r="AD843" i="1"/>
  <c r="AM842" i="1"/>
  <c r="AU842" i="1" s="1"/>
  <c r="AY842" i="1" s="1"/>
  <c r="AL842" i="1"/>
  <c r="AD842" i="1"/>
  <c r="AM841" i="1"/>
  <c r="AU841" i="1" s="1"/>
  <c r="AY841" i="1" s="1"/>
  <c r="AL841" i="1"/>
  <c r="AD841" i="1"/>
  <c r="AM840" i="1"/>
  <c r="AU840" i="1" s="1"/>
  <c r="AY840" i="1" s="1"/>
  <c r="AL840" i="1"/>
  <c r="AD840" i="1"/>
  <c r="AM839" i="1"/>
  <c r="AU839" i="1" s="1"/>
  <c r="AY839" i="1" s="1"/>
  <c r="AL839" i="1"/>
  <c r="AD839" i="1"/>
  <c r="AM838" i="1"/>
  <c r="AU838" i="1" s="1"/>
  <c r="AY838" i="1" s="1"/>
  <c r="AL838" i="1"/>
  <c r="AD838" i="1"/>
  <c r="AM837" i="1"/>
  <c r="AU837" i="1" s="1"/>
  <c r="AY837" i="1" s="1"/>
  <c r="AL837" i="1"/>
  <c r="AD837" i="1"/>
  <c r="AM836" i="1"/>
  <c r="AU836" i="1" s="1"/>
  <c r="AY836" i="1" s="1"/>
  <c r="AL836" i="1"/>
  <c r="AD836" i="1"/>
  <c r="AM835" i="1"/>
  <c r="AU835" i="1" s="1"/>
  <c r="AY835" i="1" s="1"/>
  <c r="AL835" i="1"/>
  <c r="AD835" i="1"/>
  <c r="AM834" i="1"/>
  <c r="AU834" i="1" s="1"/>
  <c r="AY834" i="1" s="1"/>
  <c r="AL834" i="1"/>
  <c r="AD834" i="1"/>
  <c r="AM833" i="1"/>
  <c r="AU833" i="1" s="1"/>
  <c r="AY833" i="1" s="1"/>
  <c r="AL833" i="1"/>
  <c r="AD833" i="1"/>
  <c r="AM832" i="1"/>
  <c r="AU832" i="1" s="1"/>
  <c r="AY832" i="1" s="1"/>
  <c r="AL832" i="1"/>
  <c r="AD832" i="1"/>
  <c r="AM831" i="1"/>
  <c r="AU831" i="1" s="1"/>
  <c r="AY831" i="1" s="1"/>
  <c r="AL831" i="1"/>
  <c r="AD831" i="1"/>
  <c r="AM830" i="1"/>
  <c r="AU830" i="1" s="1"/>
  <c r="AY830" i="1" s="1"/>
  <c r="AL830" i="1"/>
  <c r="AD830" i="1"/>
  <c r="AM829" i="1"/>
  <c r="AU829" i="1" s="1"/>
  <c r="AY829" i="1" s="1"/>
  <c r="AL829" i="1"/>
  <c r="AD829" i="1"/>
  <c r="AM828" i="1"/>
  <c r="AU828" i="1" s="1"/>
  <c r="AY828" i="1" s="1"/>
  <c r="AL828" i="1"/>
  <c r="AD828" i="1"/>
  <c r="AM827" i="1"/>
  <c r="AU827" i="1" s="1"/>
  <c r="AY827" i="1" s="1"/>
  <c r="AL827" i="1"/>
  <c r="AD827" i="1"/>
  <c r="AM826" i="1"/>
  <c r="AU826" i="1" s="1"/>
  <c r="AY826" i="1" s="1"/>
  <c r="AL826" i="1"/>
  <c r="AD826" i="1"/>
  <c r="AM825" i="1"/>
  <c r="AU825" i="1" s="1"/>
  <c r="AY825" i="1" s="1"/>
  <c r="AL825" i="1"/>
  <c r="AD825" i="1"/>
  <c r="AM824" i="1"/>
  <c r="AU824" i="1" s="1"/>
  <c r="AY824" i="1" s="1"/>
  <c r="AL824" i="1"/>
  <c r="AD824" i="1"/>
  <c r="AM823" i="1"/>
  <c r="AU823" i="1" s="1"/>
  <c r="AY823" i="1" s="1"/>
  <c r="AL823" i="1"/>
  <c r="AD823" i="1"/>
  <c r="AM822" i="1"/>
  <c r="AU822" i="1" s="1"/>
  <c r="AY822" i="1" s="1"/>
  <c r="AL822" i="1"/>
  <c r="AD822" i="1"/>
  <c r="AM821" i="1"/>
  <c r="AU821" i="1" s="1"/>
  <c r="AY821" i="1" s="1"/>
  <c r="AL821" i="1"/>
  <c r="AD821" i="1"/>
  <c r="AM820" i="1"/>
  <c r="AU820" i="1" s="1"/>
  <c r="AY820" i="1" s="1"/>
  <c r="AL820" i="1"/>
  <c r="AD820" i="1"/>
  <c r="AM819" i="1"/>
  <c r="AU819" i="1" s="1"/>
  <c r="AY819" i="1" s="1"/>
  <c r="AL819" i="1"/>
  <c r="AD819" i="1"/>
  <c r="AM818" i="1"/>
  <c r="AU818" i="1" s="1"/>
  <c r="AY818" i="1" s="1"/>
  <c r="AL818" i="1"/>
  <c r="AD818" i="1"/>
  <c r="AM817" i="1"/>
  <c r="AU817" i="1" s="1"/>
  <c r="AY817" i="1" s="1"/>
  <c r="AL817" i="1"/>
  <c r="AD817" i="1"/>
  <c r="AM816" i="1"/>
  <c r="AU816" i="1" s="1"/>
  <c r="AY816" i="1" s="1"/>
  <c r="AL816" i="1"/>
  <c r="AD816" i="1"/>
  <c r="AM815" i="1"/>
  <c r="AU815" i="1" s="1"/>
  <c r="AY815" i="1" s="1"/>
  <c r="AL815" i="1"/>
  <c r="AD815" i="1"/>
  <c r="AM814" i="1"/>
  <c r="AU814" i="1" s="1"/>
  <c r="AY814" i="1" s="1"/>
  <c r="AL814" i="1"/>
  <c r="AD814" i="1"/>
  <c r="AM813" i="1"/>
  <c r="AU813" i="1" s="1"/>
  <c r="AY813" i="1" s="1"/>
  <c r="AL813" i="1"/>
  <c r="AD813" i="1"/>
  <c r="AM812" i="1"/>
  <c r="AU812" i="1" s="1"/>
  <c r="AY812" i="1" s="1"/>
  <c r="AL812" i="1"/>
  <c r="AD812" i="1"/>
  <c r="AM811" i="1"/>
  <c r="AU811" i="1" s="1"/>
  <c r="AY811" i="1" s="1"/>
  <c r="AL811" i="1"/>
  <c r="AD811" i="1"/>
  <c r="AM810" i="1"/>
  <c r="AU810" i="1" s="1"/>
  <c r="AY810" i="1" s="1"/>
  <c r="AL810" i="1"/>
  <c r="AD810" i="1"/>
  <c r="AM809" i="1"/>
  <c r="AU809" i="1" s="1"/>
  <c r="AY809" i="1" s="1"/>
  <c r="AL809" i="1"/>
  <c r="AD809" i="1"/>
  <c r="AM808" i="1"/>
  <c r="AU808" i="1" s="1"/>
  <c r="AY808" i="1" s="1"/>
  <c r="AL808" i="1"/>
  <c r="AD808" i="1"/>
  <c r="AM807" i="1"/>
  <c r="AU807" i="1" s="1"/>
  <c r="AY807" i="1" s="1"/>
  <c r="AL807" i="1"/>
  <c r="AD807" i="1"/>
  <c r="AM806" i="1"/>
  <c r="AU806" i="1" s="1"/>
  <c r="AY806" i="1" s="1"/>
  <c r="AL806" i="1"/>
  <c r="AD806" i="1"/>
  <c r="AM805" i="1"/>
  <c r="AU805" i="1" s="1"/>
  <c r="AY805" i="1" s="1"/>
  <c r="AL805" i="1"/>
  <c r="AD805" i="1"/>
  <c r="AM804" i="1"/>
  <c r="AU804" i="1" s="1"/>
  <c r="AY804" i="1" s="1"/>
  <c r="AL804" i="1"/>
  <c r="AD804" i="1"/>
  <c r="AM803" i="1"/>
  <c r="AU803" i="1" s="1"/>
  <c r="AY803" i="1" s="1"/>
  <c r="AL803" i="1"/>
  <c r="AD803" i="1"/>
  <c r="AM802" i="1"/>
  <c r="AU802" i="1" s="1"/>
  <c r="AY802" i="1" s="1"/>
  <c r="AL802" i="1"/>
  <c r="AD802" i="1"/>
  <c r="AM801" i="1"/>
  <c r="AU801" i="1" s="1"/>
  <c r="AY801" i="1" s="1"/>
  <c r="AL801" i="1"/>
  <c r="AD801" i="1"/>
  <c r="AM800" i="1"/>
  <c r="AU800" i="1" s="1"/>
  <c r="AY800" i="1" s="1"/>
  <c r="AL800" i="1"/>
  <c r="AD800" i="1"/>
  <c r="AM799" i="1"/>
  <c r="AU799" i="1" s="1"/>
  <c r="AY799" i="1" s="1"/>
  <c r="AL799" i="1"/>
  <c r="AD799" i="1"/>
  <c r="AM798" i="1"/>
  <c r="AU798" i="1" s="1"/>
  <c r="AY798" i="1" s="1"/>
  <c r="AL798" i="1"/>
  <c r="AD798" i="1"/>
  <c r="AM797" i="1"/>
  <c r="AU797" i="1" s="1"/>
  <c r="AY797" i="1" s="1"/>
  <c r="AL797" i="1"/>
  <c r="AD797" i="1"/>
  <c r="AM796" i="1"/>
  <c r="AU796" i="1" s="1"/>
  <c r="AY796" i="1" s="1"/>
  <c r="AL796" i="1"/>
  <c r="AD796" i="1"/>
  <c r="AM795" i="1"/>
  <c r="AU795" i="1" s="1"/>
  <c r="AY795" i="1" s="1"/>
  <c r="AL795" i="1"/>
  <c r="AD795" i="1"/>
  <c r="AM794" i="1"/>
  <c r="AU794" i="1" s="1"/>
  <c r="AY794" i="1" s="1"/>
  <c r="AL794" i="1"/>
  <c r="AD794" i="1"/>
  <c r="AM793" i="1"/>
  <c r="AU793" i="1" s="1"/>
  <c r="AY793" i="1" s="1"/>
  <c r="AL793" i="1"/>
  <c r="AD793" i="1"/>
  <c r="AM792" i="1"/>
  <c r="AU792" i="1" s="1"/>
  <c r="AY792" i="1" s="1"/>
  <c r="AL792" i="1"/>
  <c r="AD792" i="1"/>
  <c r="AM791" i="1"/>
  <c r="AU791" i="1" s="1"/>
  <c r="AY791" i="1" s="1"/>
  <c r="AL791" i="1"/>
  <c r="AD791" i="1"/>
  <c r="AM790" i="1"/>
  <c r="AU790" i="1" s="1"/>
  <c r="AY790" i="1" s="1"/>
  <c r="AL790" i="1"/>
  <c r="AD790" i="1"/>
  <c r="AM789" i="1"/>
  <c r="AU789" i="1" s="1"/>
  <c r="AY789" i="1" s="1"/>
  <c r="AL789" i="1"/>
  <c r="AD789" i="1"/>
  <c r="AM788" i="1"/>
  <c r="AU788" i="1" s="1"/>
  <c r="AY788" i="1" s="1"/>
  <c r="AL788" i="1"/>
  <c r="AD788" i="1"/>
  <c r="AM787" i="1"/>
  <c r="AU787" i="1" s="1"/>
  <c r="AY787" i="1" s="1"/>
  <c r="AL787" i="1"/>
  <c r="AD787" i="1"/>
  <c r="AM786" i="1"/>
  <c r="AU786" i="1" s="1"/>
  <c r="AY786" i="1" s="1"/>
  <c r="AL786" i="1"/>
  <c r="AD786" i="1"/>
  <c r="AM785" i="1"/>
  <c r="AU785" i="1" s="1"/>
  <c r="AY785" i="1" s="1"/>
  <c r="AL785" i="1"/>
  <c r="AD785" i="1"/>
  <c r="AM784" i="1"/>
  <c r="AU784" i="1" s="1"/>
  <c r="AY784" i="1" s="1"/>
  <c r="AL784" i="1"/>
  <c r="AD784" i="1"/>
  <c r="AM783" i="1"/>
  <c r="AU783" i="1" s="1"/>
  <c r="AY783" i="1" s="1"/>
  <c r="AL783" i="1"/>
  <c r="AD783" i="1"/>
  <c r="AM782" i="1"/>
  <c r="AU782" i="1" s="1"/>
  <c r="AY782" i="1" s="1"/>
  <c r="AL782" i="1"/>
  <c r="AD782" i="1"/>
  <c r="AM781" i="1"/>
  <c r="AU781" i="1" s="1"/>
  <c r="AY781" i="1" s="1"/>
  <c r="AL781" i="1"/>
  <c r="AD781" i="1"/>
  <c r="AM780" i="1"/>
  <c r="AU780" i="1" s="1"/>
  <c r="AY780" i="1" s="1"/>
  <c r="AL780" i="1"/>
  <c r="AD780" i="1"/>
  <c r="AM779" i="1"/>
  <c r="AU779" i="1" s="1"/>
  <c r="AY779" i="1" s="1"/>
  <c r="AL779" i="1"/>
  <c r="AD779" i="1"/>
  <c r="AM778" i="1"/>
  <c r="AU778" i="1" s="1"/>
  <c r="AY778" i="1" s="1"/>
  <c r="AL778" i="1"/>
  <c r="AD778" i="1"/>
  <c r="AM777" i="1"/>
  <c r="AU777" i="1" s="1"/>
  <c r="AY777" i="1" s="1"/>
  <c r="AL777" i="1"/>
  <c r="AD777" i="1"/>
  <c r="AM776" i="1"/>
  <c r="AU776" i="1" s="1"/>
  <c r="AY776" i="1" s="1"/>
  <c r="AL776" i="1"/>
  <c r="AD776" i="1"/>
  <c r="AM775" i="1"/>
  <c r="AU775" i="1" s="1"/>
  <c r="AY775" i="1" s="1"/>
  <c r="AL775" i="1"/>
  <c r="AD775" i="1"/>
  <c r="AM774" i="1"/>
  <c r="AU774" i="1" s="1"/>
  <c r="AY774" i="1" s="1"/>
  <c r="AL774" i="1"/>
  <c r="AD774" i="1"/>
  <c r="AM773" i="1"/>
  <c r="AU773" i="1" s="1"/>
  <c r="AY773" i="1" s="1"/>
  <c r="AL773" i="1"/>
  <c r="AD773" i="1"/>
  <c r="AM772" i="1"/>
  <c r="AU772" i="1" s="1"/>
  <c r="AY772" i="1" s="1"/>
  <c r="AL772" i="1"/>
  <c r="AD772" i="1"/>
  <c r="AM771" i="1"/>
  <c r="AU771" i="1" s="1"/>
  <c r="AY771" i="1" s="1"/>
  <c r="AL771" i="1"/>
  <c r="AD771" i="1"/>
  <c r="AM770" i="1"/>
  <c r="AU770" i="1" s="1"/>
  <c r="AY770" i="1" s="1"/>
  <c r="AL770" i="1"/>
  <c r="AD770" i="1"/>
  <c r="AM769" i="1"/>
  <c r="AU769" i="1" s="1"/>
  <c r="AY769" i="1" s="1"/>
  <c r="AL769" i="1"/>
  <c r="AD769" i="1"/>
  <c r="AM768" i="1"/>
  <c r="AU768" i="1" s="1"/>
  <c r="AY768" i="1" s="1"/>
  <c r="AL768" i="1"/>
  <c r="AD768" i="1"/>
  <c r="AM767" i="1"/>
  <c r="AU767" i="1" s="1"/>
  <c r="AY767" i="1" s="1"/>
  <c r="AL767" i="1"/>
  <c r="AD767" i="1"/>
  <c r="AM766" i="1"/>
  <c r="AU766" i="1" s="1"/>
  <c r="AY766" i="1" s="1"/>
  <c r="AL766" i="1"/>
  <c r="AD766" i="1"/>
  <c r="AM765" i="1"/>
  <c r="AU765" i="1" s="1"/>
  <c r="AY765" i="1" s="1"/>
  <c r="AL765" i="1"/>
  <c r="AD765" i="1"/>
  <c r="AM764" i="1"/>
  <c r="AU764" i="1" s="1"/>
  <c r="AY764" i="1" s="1"/>
  <c r="AL764" i="1"/>
  <c r="AD764" i="1"/>
  <c r="AM763" i="1"/>
  <c r="AU763" i="1" s="1"/>
  <c r="AY763" i="1" s="1"/>
  <c r="AL763" i="1"/>
  <c r="AD763" i="1"/>
  <c r="AM762" i="1"/>
  <c r="AU762" i="1" s="1"/>
  <c r="AY762" i="1" s="1"/>
  <c r="AL762" i="1"/>
  <c r="AD762" i="1"/>
  <c r="AM761" i="1"/>
  <c r="AU761" i="1" s="1"/>
  <c r="AY761" i="1" s="1"/>
  <c r="AL761" i="1"/>
  <c r="AD761" i="1"/>
  <c r="AM760" i="1"/>
  <c r="AU760" i="1" s="1"/>
  <c r="AY760" i="1" s="1"/>
  <c r="AL760" i="1"/>
  <c r="AD760" i="1"/>
  <c r="AM759" i="1"/>
  <c r="AU759" i="1" s="1"/>
  <c r="AY759" i="1" s="1"/>
  <c r="AL759" i="1"/>
  <c r="AD759" i="1"/>
  <c r="AM758" i="1"/>
  <c r="AU758" i="1" s="1"/>
  <c r="AY758" i="1" s="1"/>
  <c r="AL758" i="1"/>
  <c r="AD758" i="1"/>
  <c r="AM757" i="1"/>
  <c r="AU757" i="1" s="1"/>
  <c r="AY757" i="1" s="1"/>
  <c r="AL757" i="1"/>
  <c r="AD757" i="1"/>
  <c r="AM756" i="1"/>
  <c r="AU756" i="1" s="1"/>
  <c r="AY756" i="1" s="1"/>
  <c r="AL756" i="1"/>
  <c r="AD756" i="1"/>
  <c r="AM755" i="1"/>
  <c r="AU755" i="1" s="1"/>
  <c r="AY755" i="1" s="1"/>
  <c r="AL755" i="1"/>
  <c r="AD755" i="1"/>
  <c r="AM754" i="1"/>
  <c r="AU754" i="1" s="1"/>
  <c r="AY754" i="1" s="1"/>
  <c r="AL754" i="1"/>
  <c r="AD754" i="1"/>
  <c r="AM753" i="1"/>
  <c r="AU753" i="1" s="1"/>
  <c r="AY753" i="1" s="1"/>
  <c r="AL753" i="1"/>
  <c r="AD753" i="1"/>
  <c r="AM752" i="1"/>
  <c r="AU752" i="1" s="1"/>
  <c r="AY752" i="1" s="1"/>
  <c r="AL752" i="1"/>
  <c r="AD752" i="1"/>
  <c r="AM751" i="1"/>
  <c r="AU751" i="1" s="1"/>
  <c r="AY751" i="1" s="1"/>
  <c r="AL751" i="1"/>
  <c r="AD751" i="1"/>
  <c r="AM750" i="1"/>
  <c r="AU750" i="1" s="1"/>
  <c r="AY750" i="1" s="1"/>
  <c r="AL750" i="1"/>
  <c r="AD750" i="1"/>
  <c r="AM749" i="1"/>
  <c r="AU749" i="1" s="1"/>
  <c r="AY749" i="1" s="1"/>
  <c r="AL749" i="1"/>
  <c r="AD749" i="1"/>
  <c r="AM748" i="1"/>
  <c r="AU748" i="1" s="1"/>
  <c r="AY748" i="1" s="1"/>
  <c r="AL748" i="1"/>
  <c r="AD748" i="1"/>
  <c r="AM747" i="1"/>
  <c r="AU747" i="1" s="1"/>
  <c r="AY747" i="1" s="1"/>
  <c r="AL747" i="1"/>
  <c r="AD747" i="1"/>
  <c r="AM746" i="1"/>
  <c r="AU746" i="1" s="1"/>
  <c r="AY746" i="1" s="1"/>
  <c r="AL746" i="1"/>
  <c r="AD746" i="1"/>
  <c r="AM745" i="1"/>
  <c r="AU745" i="1" s="1"/>
  <c r="AY745" i="1" s="1"/>
  <c r="AL745" i="1"/>
  <c r="AD745" i="1"/>
  <c r="AM744" i="1"/>
  <c r="AU744" i="1" s="1"/>
  <c r="AY744" i="1" s="1"/>
  <c r="AL744" i="1"/>
  <c r="AD744" i="1"/>
  <c r="AM743" i="1"/>
  <c r="AU743" i="1" s="1"/>
  <c r="AY743" i="1" s="1"/>
  <c r="AL743" i="1"/>
  <c r="AD743" i="1"/>
  <c r="AM742" i="1"/>
  <c r="AU742" i="1" s="1"/>
  <c r="AY742" i="1" s="1"/>
  <c r="AL742" i="1"/>
  <c r="AD742" i="1"/>
  <c r="AM741" i="1"/>
  <c r="AU741" i="1" s="1"/>
  <c r="AY741" i="1" s="1"/>
  <c r="AL741" i="1"/>
  <c r="AD741" i="1"/>
  <c r="AM740" i="1"/>
  <c r="AU740" i="1" s="1"/>
  <c r="AY740" i="1" s="1"/>
  <c r="AL740" i="1"/>
  <c r="AD740" i="1"/>
  <c r="AM739" i="1"/>
  <c r="AU739" i="1" s="1"/>
  <c r="AY739" i="1" s="1"/>
  <c r="AL739" i="1"/>
  <c r="AD739" i="1"/>
  <c r="AM738" i="1"/>
  <c r="AU738" i="1" s="1"/>
  <c r="AY738" i="1" s="1"/>
  <c r="AL738" i="1"/>
  <c r="AD738" i="1"/>
  <c r="AM737" i="1"/>
  <c r="AU737" i="1" s="1"/>
  <c r="AY737" i="1" s="1"/>
  <c r="AL737" i="1"/>
  <c r="AD737" i="1"/>
  <c r="AM736" i="1"/>
  <c r="AU736" i="1" s="1"/>
  <c r="AY736" i="1" s="1"/>
  <c r="AL736" i="1"/>
  <c r="AD736" i="1"/>
  <c r="AM735" i="1"/>
  <c r="AU735" i="1" s="1"/>
  <c r="AY735" i="1" s="1"/>
  <c r="AL735" i="1"/>
  <c r="AD735" i="1"/>
  <c r="AM734" i="1"/>
  <c r="AU734" i="1" s="1"/>
  <c r="AY734" i="1" s="1"/>
  <c r="AL734" i="1"/>
  <c r="AD734" i="1"/>
  <c r="AM733" i="1"/>
  <c r="AU733" i="1" s="1"/>
  <c r="AY733" i="1" s="1"/>
  <c r="AL733" i="1"/>
  <c r="AD733" i="1"/>
  <c r="AM732" i="1"/>
  <c r="AU732" i="1" s="1"/>
  <c r="AY732" i="1" s="1"/>
  <c r="AL732" i="1"/>
  <c r="AD732" i="1"/>
  <c r="AM731" i="1"/>
  <c r="AU731" i="1" s="1"/>
  <c r="AY731" i="1" s="1"/>
  <c r="AL731" i="1"/>
  <c r="AD731" i="1"/>
  <c r="AM730" i="1"/>
  <c r="AU730" i="1" s="1"/>
  <c r="AY730" i="1" s="1"/>
  <c r="AL730" i="1"/>
  <c r="AD730" i="1"/>
  <c r="AM729" i="1"/>
  <c r="AU729" i="1" s="1"/>
  <c r="AY729" i="1" s="1"/>
  <c r="AL729" i="1"/>
  <c r="AD729" i="1"/>
  <c r="AM728" i="1"/>
  <c r="AU728" i="1" s="1"/>
  <c r="AY728" i="1" s="1"/>
  <c r="AL728" i="1"/>
  <c r="AD728" i="1"/>
  <c r="AM727" i="1"/>
  <c r="AU727" i="1" s="1"/>
  <c r="AY727" i="1" s="1"/>
  <c r="AL727" i="1"/>
  <c r="AD727" i="1"/>
  <c r="AM726" i="1"/>
  <c r="AU726" i="1" s="1"/>
  <c r="AY726" i="1" s="1"/>
  <c r="AL726" i="1"/>
  <c r="AD726" i="1"/>
  <c r="AM725" i="1"/>
  <c r="AU725" i="1" s="1"/>
  <c r="AY725" i="1" s="1"/>
  <c r="AL725" i="1"/>
  <c r="AD725" i="1"/>
  <c r="AM724" i="1"/>
  <c r="AU724" i="1" s="1"/>
  <c r="AY724" i="1" s="1"/>
  <c r="AL724" i="1"/>
  <c r="AD724" i="1"/>
  <c r="AM723" i="1"/>
  <c r="AU723" i="1" s="1"/>
  <c r="AY723" i="1" s="1"/>
  <c r="AL723" i="1"/>
  <c r="AD723" i="1"/>
  <c r="AM722" i="1"/>
  <c r="AU722" i="1" s="1"/>
  <c r="AY722" i="1" s="1"/>
  <c r="AL722" i="1"/>
  <c r="AD722" i="1"/>
  <c r="AM721" i="1"/>
  <c r="AU721" i="1" s="1"/>
  <c r="AY721" i="1" s="1"/>
  <c r="AL721" i="1"/>
  <c r="AD721" i="1"/>
  <c r="AM720" i="1"/>
  <c r="AU720" i="1" s="1"/>
  <c r="AY720" i="1" s="1"/>
  <c r="AL720" i="1"/>
  <c r="AD720" i="1"/>
  <c r="AM719" i="1"/>
  <c r="AU719" i="1" s="1"/>
  <c r="AY719" i="1" s="1"/>
  <c r="AL719" i="1"/>
  <c r="AD719" i="1"/>
  <c r="AM718" i="1"/>
  <c r="AU718" i="1" s="1"/>
  <c r="AY718" i="1" s="1"/>
  <c r="AL718" i="1"/>
  <c r="AD718" i="1"/>
  <c r="AM717" i="1"/>
  <c r="AU717" i="1" s="1"/>
  <c r="AY717" i="1" s="1"/>
  <c r="AL717" i="1"/>
  <c r="AD717" i="1"/>
  <c r="AM716" i="1"/>
  <c r="AU716" i="1" s="1"/>
  <c r="AY716" i="1" s="1"/>
  <c r="AL716" i="1"/>
  <c r="AD716" i="1"/>
  <c r="AM715" i="1"/>
  <c r="AU715" i="1" s="1"/>
  <c r="AY715" i="1" s="1"/>
  <c r="AL715" i="1"/>
  <c r="AD715" i="1"/>
  <c r="AM714" i="1"/>
  <c r="AU714" i="1" s="1"/>
  <c r="AY714" i="1" s="1"/>
  <c r="AL714" i="1"/>
  <c r="AD714" i="1"/>
  <c r="AM713" i="1"/>
  <c r="AU713" i="1" s="1"/>
  <c r="AY713" i="1" s="1"/>
  <c r="AL713" i="1"/>
  <c r="AD713" i="1"/>
  <c r="AM712" i="1"/>
  <c r="AU712" i="1" s="1"/>
  <c r="AY712" i="1" s="1"/>
  <c r="AL712" i="1"/>
  <c r="AD712" i="1"/>
  <c r="AM711" i="1"/>
  <c r="AU711" i="1" s="1"/>
  <c r="AY711" i="1" s="1"/>
  <c r="AL711" i="1"/>
  <c r="AD711" i="1"/>
  <c r="AM710" i="1"/>
  <c r="AU710" i="1" s="1"/>
  <c r="AY710" i="1" s="1"/>
  <c r="AL710" i="1"/>
  <c r="AD710" i="1"/>
  <c r="AM709" i="1"/>
  <c r="AU709" i="1" s="1"/>
  <c r="AY709" i="1" s="1"/>
  <c r="AL709" i="1"/>
  <c r="AD709" i="1"/>
  <c r="AM708" i="1"/>
  <c r="AU708" i="1" s="1"/>
  <c r="AY708" i="1" s="1"/>
  <c r="AL708" i="1"/>
  <c r="AD708" i="1"/>
  <c r="AM707" i="1"/>
  <c r="AU707" i="1" s="1"/>
  <c r="AY707" i="1" s="1"/>
  <c r="AL707" i="1"/>
  <c r="AD707" i="1"/>
  <c r="AM706" i="1"/>
  <c r="AU706" i="1" s="1"/>
  <c r="AY706" i="1" s="1"/>
  <c r="AL706" i="1"/>
  <c r="AD706" i="1"/>
  <c r="AM705" i="1"/>
  <c r="AU705" i="1" s="1"/>
  <c r="AY705" i="1" s="1"/>
  <c r="AL705" i="1"/>
  <c r="AD705" i="1"/>
  <c r="AM704" i="1"/>
  <c r="AU704" i="1" s="1"/>
  <c r="AY704" i="1" s="1"/>
  <c r="AL704" i="1"/>
  <c r="AD704" i="1"/>
  <c r="AM703" i="1"/>
  <c r="AU703" i="1" s="1"/>
  <c r="AY703" i="1" s="1"/>
  <c r="AL703" i="1"/>
  <c r="AD703" i="1"/>
  <c r="AM702" i="1"/>
  <c r="AU702" i="1" s="1"/>
  <c r="AY702" i="1" s="1"/>
  <c r="AL702" i="1"/>
  <c r="AD702" i="1"/>
  <c r="AM701" i="1"/>
  <c r="AU701" i="1" s="1"/>
  <c r="AY701" i="1" s="1"/>
  <c r="AL701" i="1"/>
  <c r="AD701" i="1"/>
  <c r="AM700" i="1"/>
  <c r="AU700" i="1" s="1"/>
  <c r="AY700" i="1" s="1"/>
  <c r="AL700" i="1"/>
  <c r="AD700" i="1"/>
  <c r="AM699" i="1"/>
  <c r="AU699" i="1" s="1"/>
  <c r="AY699" i="1" s="1"/>
  <c r="AL699" i="1"/>
  <c r="AD699" i="1"/>
  <c r="AM698" i="1"/>
  <c r="AU698" i="1" s="1"/>
  <c r="AY698" i="1" s="1"/>
  <c r="AL698" i="1"/>
  <c r="AD698" i="1"/>
  <c r="AM697" i="1"/>
  <c r="AU697" i="1" s="1"/>
  <c r="AY697" i="1" s="1"/>
  <c r="AL697" i="1"/>
  <c r="AD697" i="1"/>
  <c r="AM696" i="1"/>
  <c r="AU696" i="1" s="1"/>
  <c r="AY696" i="1" s="1"/>
  <c r="AL696" i="1"/>
  <c r="AD696" i="1"/>
  <c r="AM695" i="1"/>
  <c r="AU695" i="1" s="1"/>
  <c r="AY695" i="1" s="1"/>
  <c r="AL695" i="1"/>
  <c r="AD695" i="1"/>
  <c r="AM694" i="1"/>
  <c r="AU694" i="1" s="1"/>
  <c r="AY694" i="1" s="1"/>
  <c r="AL694" i="1"/>
  <c r="AD694" i="1"/>
  <c r="AM693" i="1"/>
  <c r="AU693" i="1" s="1"/>
  <c r="AY693" i="1" s="1"/>
  <c r="AL693" i="1"/>
  <c r="AD693" i="1"/>
  <c r="AM692" i="1"/>
  <c r="AU692" i="1" s="1"/>
  <c r="AY692" i="1" s="1"/>
  <c r="AL692" i="1"/>
  <c r="AD692" i="1"/>
  <c r="AM691" i="1"/>
  <c r="AU691" i="1" s="1"/>
  <c r="AY691" i="1" s="1"/>
  <c r="AL691" i="1"/>
  <c r="AD691" i="1"/>
  <c r="AM690" i="1"/>
  <c r="AU690" i="1" s="1"/>
  <c r="AY690" i="1" s="1"/>
  <c r="AL690" i="1"/>
  <c r="AD690" i="1"/>
  <c r="AM689" i="1"/>
  <c r="AU689" i="1" s="1"/>
  <c r="AY689" i="1" s="1"/>
  <c r="AL689" i="1"/>
  <c r="AD689" i="1"/>
  <c r="AM688" i="1"/>
  <c r="AU688" i="1" s="1"/>
  <c r="AY688" i="1" s="1"/>
  <c r="AL688" i="1"/>
  <c r="AD688" i="1"/>
  <c r="AM687" i="1"/>
  <c r="AU687" i="1" s="1"/>
  <c r="AY687" i="1" s="1"/>
  <c r="AL687" i="1"/>
  <c r="AD687" i="1"/>
  <c r="AM686" i="1"/>
  <c r="AU686" i="1" s="1"/>
  <c r="AY686" i="1" s="1"/>
  <c r="AL686" i="1"/>
  <c r="AD686" i="1"/>
  <c r="AM685" i="1"/>
  <c r="AU685" i="1" s="1"/>
  <c r="AY685" i="1" s="1"/>
  <c r="AL685" i="1"/>
  <c r="AD685" i="1"/>
  <c r="AM684" i="1"/>
  <c r="AU684" i="1" s="1"/>
  <c r="AY684" i="1" s="1"/>
  <c r="AL684" i="1"/>
  <c r="AD684" i="1"/>
  <c r="AM683" i="1"/>
  <c r="AU683" i="1" s="1"/>
  <c r="AY683" i="1" s="1"/>
  <c r="AL683" i="1"/>
  <c r="AD683" i="1"/>
  <c r="AM682" i="1"/>
  <c r="AU682" i="1" s="1"/>
  <c r="AY682" i="1" s="1"/>
  <c r="AL682" i="1"/>
  <c r="AD682" i="1"/>
  <c r="AM681" i="1"/>
  <c r="AU681" i="1" s="1"/>
  <c r="AY681" i="1" s="1"/>
  <c r="AL681" i="1"/>
  <c r="AD681" i="1"/>
  <c r="AM680" i="1"/>
  <c r="AU680" i="1" s="1"/>
  <c r="AY680" i="1" s="1"/>
  <c r="AL680" i="1"/>
  <c r="AD680" i="1"/>
  <c r="AM679" i="1"/>
  <c r="AU679" i="1" s="1"/>
  <c r="AY679" i="1" s="1"/>
  <c r="AL679" i="1"/>
  <c r="AD679" i="1"/>
  <c r="AM678" i="1"/>
  <c r="AU678" i="1" s="1"/>
  <c r="AY678" i="1" s="1"/>
  <c r="AL678" i="1"/>
  <c r="AD678" i="1"/>
  <c r="AM677" i="1"/>
  <c r="AU677" i="1" s="1"/>
  <c r="AY677" i="1" s="1"/>
  <c r="AL677" i="1"/>
  <c r="AD677" i="1"/>
  <c r="AM676" i="1"/>
  <c r="AU676" i="1" s="1"/>
  <c r="AY676" i="1" s="1"/>
  <c r="AL676" i="1"/>
  <c r="AD676" i="1"/>
  <c r="AM675" i="1"/>
  <c r="AU675" i="1" s="1"/>
  <c r="AY675" i="1" s="1"/>
  <c r="AL675" i="1"/>
  <c r="AD675" i="1"/>
  <c r="AM674" i="1"/>
  <c r="AU674" i="1" s="1"/>
  <c r="AY674" i="1" s="1"/>
  <c r="AL674" i="1"/>
  <c r="AD674" i="1"/>
  <c r="AM673" i="1"/>
  <c r="AU673" i="1" s="1"/>
  <c r="AY673" i="1" s="1"/>
  <c r="AL673" i="1"/>
  <c r="AD673" i="1"/>
  <c r="AM672" i="1"/>
  <c r="AU672" i="1" s="1"/>
  <c r="AY672" i="1" s="1"/>
  <c r="AL672" i="1"/>
  <c r="AD672" i="1"/>
  <c r="AM671" i="1"/>
  <c r="AU671" i="1" s="1"/>
  <c r="AY671" i="1" s="1"/>
  <c r="AL671" i="1"/>
  <c r="AD671" i="1"/>
  <c r="AM670" i="1"/>
  <c r="AU670" i="1" s="1"/>
  <c r="AY670" i="1" s="1"/>
  <c r="AL670" i="1"/>
  <c r="AD670" i="1"/>
  <c r="AM669" i="1"/>
  <c r="AU669" i="1" s="1"/>
  <c r="AY669" i="1" s="1"/>
  <c r="AL669" i="1"/>
  <c r="AD669" i="1"/>
  <c r="AM668" i="1"/>
  <c r="AU668" i="1" s="1"/>
  <c r="AY668" i="1" s="1"/>
  <c r="AL668" i="1"/>
  <c r="AD668" i="1"/>
  <c r="AM667" i="1"/>
  <c r="AU667" i="1" s="1"/>
  <c r="AY667" i="1" s="1"/>
  <c r="AL667" i="1"/>
  <c r="AD667" i="1"/>
  <c r="AM666" i="1"/>
  <c r="AU666" i="1" s="1"/>
  <c r="AY666" i="1" s="1"/>
  <c r="AL666" i="1"/>
  <c r="AD666" i="1"/>
  <c r="AM665" i="1"/>
  <c r="AU665" i="1" s="1"/>
  <c r="AY665" i="1" s="1"/>
  <c r="AL665" i="1"/>
  <c r="AD665" i="1"/>
  <c r="AM664" i="1"/>
  <c r="AU664" i="1" s="1"/>
  <c r="AY664" i="1" s="1"/>
  <c r="AL664" i="1"/>
  <c r="AD664" i="1"/>
  <c r="AM663" i="1"/>
  <c r="AU663" i="1" s="1"/>
  <c r="AY663" i="1" s="1"/>
  <c r="AL663" i="1"/>
  <c r="AD663" i="1"/>
  <c r="AM662" i="1"/>
  <c r="AU662" i="1" s="1"/>
  <c r="AY662" i="1" s="1"/>
  <c r="AL662" i="1"/>
  <c r="AD662" i="1"/>
  <c r="AM661" i="1"/>
  <c r="AU661" i="1" s="1"/>
  <c r="AY661" i="1" s="1"/>
  <c r="AL661" i="1"/>
  <c r="AD661" i="1"/>
  <c r="AM660" i="1"/>
  <c r="AU660" i="1" s="1"/>
  <c r="AY660" i="1" s="1"/>
  <c r="AL660" i="1"/>
  <c r="AD660" i="1"/>
  <c r="AM659" i="1"/>
  <c r="AU659" i="1" s="1"/>
  <c r="AY659" i="1" s="1"/>
  <c r="AL659" i="1"/>
  <c r="AD659" i="1"/>
  <c r="AM658" i="1"/>
  <c r="AU658" i="1" s="1"/>
  <c r="AY658" i="1" s="1"/>
  <c r="AL658" i="1"/>
  <c r="AD658" i="1"/>
  <c r="AM657" i="1"/>
  <c r="AU657" i="1" s="1"/>
  <c r="AY657" i="1" s="1"/>
  <c r="AL657" i="1"/>
  <c r="AD657" i="1"/>
  <c r="AM656" i="1"/>
  <c r="AU656" i="1" s="1"/>
  <c r="AY656" i="1" s="1"/>
  <c r="AL656" i="1"/>
  <c r="AD656" i="1"/>
  <c r="AM655" i="1"/>
  <c r="AU655" i="1" s="1"/>
  <c r="AY655" i="1" s="1"/>
  <c r="AL655" i="1"/>
  <c r="AD655" i="1"/>
  <c r="AM654" i="1"/>
  <c r="AU654" i="1" s="1"/>
  <c r="AY654" i="1" s="1"/>
  <c r="AL654" i="1"/>
  <c r="AD654" i="1"/>
  <c r="AM653" i="1"/>
  <c r="AU653" i="1" s="1"/>
  <c r="AY653" i="1" s="1"/>
  <c r="AL653" i="1"/>
  <c r="AD653" i="1"/>
  <c r="AM652" i="1"/>
  <c r="AU652" i="1" s="1"/>
  <c r="AY652" i="1" s="1"/>
  <c r="AL652" i="1"/>
  <c r="AD652" i="1"/>
  <c r="AM651" i="1"/>
  <c r="AU651" i="1" s="1"/>
  <c r="AY651" i="1" s="1"/>
  <c r="AL651" i="1"/>
  <c r="AD651" i="1"/>
  <c r="AM650" i="1"/>
  <c r="AU650" i="1" s="1"/>
  <c r="AY650" i="1" s="1"/>
  <c r="AL650" i="1"/>
  <c r="AD650" i="1"/>
  <c r="AM649" i="1"/>
  <c r="AU649" i="1" s="1"/>
  <c r="AY649" i="1" s="1"/>
  <c r="AL649" i="1"/>
  <c r="AD649" i="1"/>
  <c r="AM648" i="1"/>
  <c r="AU648" i="1" s="1"/>
  <c r="AY648" i="1" s="1"/>
  <c r="AL648" i="1"/>
  <c r="AD648" i="1"/>
  <c r="AM647" i="1"/>
  <c r="AU647" i="1" s="1"/>
  <c r="AY647" i="1" s="1"/>
  <c r="AL647" i="1"/>
  <c r="AD647" i="1"/>
  <c r="AM646" i="1"/>
  <c r="AU646" i="1" s="1"/>
  <c r="AY646" i="1" s="1"/>
  <c r="AL646" i="1"/>
  <c r="AD646" i="1"/>
  <c r="AM645" i="1"/>
  <c r="AU645" i="1" s="1"/>
  <c r="AY645" i="1" s="1"/>
  <c r="AL645" i="1"/>
  <c r="AD645" i="1"/>
  <c r="AM644" i="1"/>
  <c r="AU644" i="1" s="1"/>
  <c r="AY644" i="1" s="1"/>
  <c r="AL644" i="1"/>
  <c r="AD644" i="1"/>
  <c r="AM643" i="1"/>
  <c r="AU643" i="1" s="1"/>
  <c r="AY643" i="1" s="1"/>
  <c r="AL643" i="1"/>
  <c r="AD643" i="1"/>
  <c r="AM642" i="1"/>
  <c r="AU642" i="1" s="1"/>
  <c r="AY642" i="1" s="1"/>
  <c r="AL642" i="1"/>
  <c r="AD642" i="1"/>
  <c r="AM641" i="1"/>
  <c r="AU641" i="1" s="1"/>
  <c r="AY641" i="1" s="1"/>
  <c r="AL641" i="1"/>
  <c r="AD641" i="1"/>
  <c r="AM640" i="1"/>
  <c r="AU640" i="1" s="1"/>
  <c r="AY640" i="1" s="1"/>
  <c r="AL640" i="1"/>
  <c r="AD640" i="1"/>
  <c r="AM639" i="1"/>
  <c r="AU639" i="1" s="1"/>
  <c r="AY639" i="1" s="1"/>
  <c r="AL639" i="1"/>
  <c r="AD639" i="1"/>
  <c r="AM638" i="1"/>
  <c r="AU638" i="1" s="1"/>
  <c r="AY638" i="1" s="1"/>
  <c r="AL638" i="1"/>
  <c r="AD638" i="1"/>
  <c r="AM637" i="1"/>
  <c r="AU637" i="1" s="1"/>
  <c r="AY637" i="1" s="1"/>
  <c r="AL637" i="1"/>
  <c r="AD637" i="1"/>
  <c r="AM636" i="1"/>
  <c r="AU636" i="1" s="1"/>
  <c r="AY636" i="1" s="1"/>
  <c r="AL636" i="1"/>
  <c r="AD636" i="1"/>
  <c r="AM635" i="1"/>
  <c r="AU635" i="1" s="1"/>
  <c r="AY635" i="1" s="1"/>
  <c r="AL635" i="1"/>
  <c r="AD635" i="1"/>
  <c r="AM634" i="1"/>
  <c r="AU634" i="1" s="1"/>
  <c r="AY634" i="1" s="1"/>
  <c r="AL634" i="1"/>
  <c r="AD634" i="1"/>
  <c r="AM633" i="1"/>
  <c r="AU633" i="1" s="1"/>
  <c r="AY633" i="1" s="1"/>
  <c r="AL633" i="1"/>
  <c r="AD633" i="1"/>
  <c r="AM632" i="1"/>
  <c r="AU632" i="1" s="1"/>
  <c r="AY632" i="1" s="1"/>
  <c r="AL632" i="1"/>
  <c r="AD632" i="1"/>
  <c r="AM631" i="1"/>
  <c r="AU631" i="1" s="1"/>
  <c r="AY631" i="1" s="1"/>
  <c r="AL631" i="1"/>
  <c r="AD631" i="1"/>
  <c r="AM630" i="1"/>
  <c r="AU630" i="1" s="1"/>
  <c r="AY630" i="1" s="1"/>
  <c r="AL630" i="1"/>
  <c r="AD630" i="1"/>
  <c r="AM629" i="1"/>
  <c r="AU629" i="1" s="1"/>
  <c r="AY629" i="1" s="1"/>
  <c r="AL629" i="1"/>
  <c r="AD629" i="1"/>
  <c r="AM628" i="1"/>
  <c r="AU628" i="1" s="1"/>
  <c r="AY628" i="1" s="1"/>
  <c r="AL628" i="1"/>
  <c r="AD628" i="1"/>
  <c r="AM627" i="1"/>
  <c r="AU627" i="1" s="1"/>
  <c r="AY627" i="1" s="1"/>
  <c r="AL627" i="1"/>
  <c r="AD627" i="1"/>
  <c r="AM626" i="1"/>
  <c r="AU626" i="1" s="1"/>
  <c r="AY626" i="1" s="1"/>
  <c r="AL626" i="1"/>
  <c r="AD626" i="1"/>
  <c r="AM625" i="1"/>
  <c r="AU625" i="1" s="1"/>
  <c r="AY625" i="1" s="1"/>
  <c r="AL625" i="1"/>
  <c r="AD625" i="1"/>
  <c r="AM624" i="1"/>
  <c r="AU624" i="1" s="1"/>
  <c r="AY624" i="1" s="1"/>
  <c r="AL624" i="1"/>
  <c r="AD624" i="1"/>
  <c r="AM623" i="1"/>
  <c r="AU623" i="1" s="1"/>
  <c r="AY623" i="1" s="1"/>
  <c r="AL623" i="1"/>
  <c r="AD623" i="1"/>
  <c r="AM622" i="1"/>
  <c r="AU622" i="1" s="1"/>
  <c r="AY622" i="1" s="1"/>
  <c r="AL622" i="1"/>
  <c r="AD622" i="1"/>
  <c r="AM621" i="1"/>
  <c r="AU621" i="1" s="1"/>
  <c r="AY621" i="1" s="1"/>
  <c r="AL621" i="1"/>
  <c r="AD621" i="1"/>
  <c r="AM620" i="1"/>
  <c r="AU620" i="1" s="1"/>
  <c r="AY620" i="1" s="1"/>
  <c r="AL620" i="1"/>
  <c r="AD620" i="1"/>
  <c r="AM619" i="1"/>
  <c r="AU619" i="1" s="1"/>
  <c r="AY619" i="1" s="1"/>
  <c r="AL619" i="1"/>
  <c r="AD619" i="1"/>
  <c r="AM618" i="1"/>
  <c r="AU618" i="1" s="1"/>
  <c r="AY618" i="1" s="1"/>
  <c r="AL618" i="1"/>
  <c r="AD618" i="1"/>
  <c r="AM617" i="1"/>
  <c r="AU617" i="1" s="1"/>
  <c r="AY617" i="1" s="1"/>
  <c r="AL617" i="1"/>
  <c r="AD617" i="1"/>
  <c r="AM616" i="1"/>
  <c r="AU616" i="1" s="1"/>
  <c r="AY616" i="1" s="1"/>
  <c r="AL616" i="1"/>
  <c r="AD616" i="1"/>
  <c r="AM615" i="1"/>
  <c r="AU615" i="1" s="1"/>
  <c r="AY615" i="1" s="1"/>
  <c r="AL615" i="1"/>
  <c r="AD615" i="1"/>
  <c r="AM614" i="1"/>
  <c r="AU614" i="1" s="1"/>
  <c r="AY614" i="1" s="1"/>
  <c r="AL614" i="1"/>
  <c r="AD614" i="1"/>
  <c r="AM613" i="1"/>
  <c r="AU613" i="1" s="1"/>
  <c r="AY613" i="1" s="1"/>
  <c r="AL613" i="1"/>
  <c r="AD613" i="1"/>
  <c r="AM612" i="1"/>
  <c r="AU612" i="1" s="1"/>
  <c r="AY612" i="1" s="1"/>
  <c r="AL612" i="1"/>
  <c r="AD612" i="1"/>
  <c r="AM611" i="1"/>
  <c r="AU611" i="1" s="1"/>
  <c r="AY611" i="1" s="1"/>
  <c r="AL611" i="1"/>
  <c r="AD611" i="1"/>
  <c r="AM610" i="1"/>
  <c r="AU610" i="1" s="1"/>
  <c r="AY610" i="1" s="1"/>
  <c r="AL610" i="1"/>
  <c r="AD610" i="1"/>
  <c r="AM609" i="1"/>
  <c r="AU609" i="1" s="1"/>
  <c r="AY609" i="1" s="1"/>
  <c r="AL609" i="1"/>
  <c r="AD609" i="1"/>
  <c r="AM608" i="1"/>
  <c r="AU608" i="1" s="1"/>
  <c r="AY608" i="1" s="1"/>
  <c r="AL608" i="1"/>
  <c r="AD608" i="1"/>
  <c r="AM607" i="1"/>
  <c r="AU607" i="1" s="1"/>
  <c r="AY607" i="1" s="1"/>
  <c r="AL607" i="1"/>
  <c r="AD607" i="1"/>
  <c r="AM606" i="1"/>
  <c r="AU606" i="1" s="1"/>
  <c r="AY606" i="1" s="1"/>
  <c r="AL606" i="1"/>
  <c r="AD606" i="1"/>
  <c r="AM605" i="1"/>
  <c r="AU605" i="1" s="1"/>
  <c r="AY605" i="1" s="1"/>
  <c r="AL605" i="1"/>
  <c r="AD605" i="1"/>
  <c r="AM604" i="1"/>
  <c r="AU604" i="1" s="1"/>
  <c r="AY604" i="1" s="1"/>
  <c r="AL604" i="1"/>
  <c r="AD604" i="1"/>
  <c r="AM603" i="1"/>
  <c r="AU603" i="1" s="1"/>
  <c r="AY603" i="1" s="1"/>
  <c r="AL603" i="1"/>
  <c r="AD603" i="1"/>
  <c r="AM602" i="1"/>
  <c r="AU602" i="1" s="1"/>
  <c r="AY602" i="1" s="1"/>
  <c r="AL602" i="1"/>
  <c r="AD602" i="1"/>
  <c r="AM601" i="1"/>
  <c r="AU601" i="1" s="1"/>
  <c r="AY601" i="1" s="1"/>
  <c r="AL601" i="1"/>
  <c r="AD601" i="1"/>
  <c r="AM600" i="1"/>
  <c r="AU600" i="1" s="1"/>
  <c r="AY600" i="1" s="1"/>
  <c r="AL600" i="1"/>
  <c r="AD600" i="1"/>
  <c r="AM599" i="1"/>
  <c r="AU599" i="1" s="1"/>
  <c r="AY599" i="1" s="1"/>
  <c r="AL599" i="1"/>
  <c r="AD599" i="1"/>
  <c r="AM598" i="1"/>
  <c r="AU598" i="1" s="1"/>
  <c r="AY598" i="1" s="1"/>
  <c r="AL598" i="1"/>
  <c r="AD598" i="1"/>
  <c r="AM597" i="1"/>
  <c r="AU597" i="1" s="1"/>
  <c r="AY597" i="1" s="1"/>
  <c r="AL597" i="1"/>
  <c r="AD597" i="1"/>
  <c r="AM596" i="1"/>
  <c r="AU596" i="1" s="1"/>
  <c r="AY596" i="1" s="1"/>
  <c r="AL596" i="1"/>
  <c r="AD596" i="1"/>
  <c r="AM595" i="1"/>
  <c r="AU595" i="1" s="1"/>
  <c r="AY595" i="1" s="1"/>
  <c r="AL595" i="1"/>
  <c r="AD595" i="1"/>
  <c r="AM594" i="1"/>
  <c r="AU594" i="1" s="1"/>
  <c r="AY594" i="1" s="1"/>
  <c r="AL594" i="1"/>
  <c r="AD594" i="1"/>
  <c r="AM593" i="1"/>
  <c r="AU593" i="1" s="1"/>
  <c r="AY593" i="1" s="1"/>
  <c r="AL593" i="1"/>
  <c r="AD593" i="1"/>
  <c r="AM592" i="1"/>
  <c r="AU592" i="1" s="1"/>
  <c r="AY592" i="1" s="1"/>
  <c r="AL592" i="1"/>
  <c r="AD592" i="1"/>
  <c r="AM591" i="1"/>
  <c r="AU591" i="1" s="1"/>
  <c r="AY591" i="1" s="1"/>
  <c r="AL591" i="1"/>
  <c r="AD591" i="1"/>
  <c r="AM590" i="1"/>
  <c r="AU590" i="1" s="1"/>
  <c r="AY590" i="1" s="1"/>
  <c r="AL590" i="1"/>
  <c r="AD590" i="1"/>
  <c r="AM589" i="1"/>
  <c r="AU589" i="1" s="1"/>
  <c r="AY589" i="1" s="1"/>
  <c r="AL589" i="1"/>
  <c r="AD589" i="1"/>
  <c r="AM588" i="1"/>
  <c r="AU588" i="1" s="1"/>
  <c r="AY588" i="1" s="1"/>
  <c r="AL588" i="1"/>
  <c r="AD588" i="1"/>
  <c r="AM587" i="1"/>
  <c r="AU587" i="1" s="1"/>
  <c r="AY587" i="1" s="1"/>
  <c r="AL587" i="1"/>
  <c r="AD587" i="1"/>
  <c r="AM586" i="1"/>
  <c r="AU586" i="1" s="1"/>
  <c r="AY586" i="1" s="1"/>
  <c r="AL586" i="1"/>
  <c r="AD586" i="1"/>
  <c r="AM585" i="1"/>
  <c r="AU585" i="1" s="1"/>
  <c r="AY585" i="1" s="1"/>
  <c r="AL585" i="1"/>
  <c r="AD585" i="1"/>
  <c r="AM584" i="1"/>
  <c r="AU584" i="1" s="1"/>
  <c r="AY584" i="1" s="1"/>
  <c r="AL584" i="1"/>
  <c r="AD584" i="1"/>
  <c r="AM583" i="1"/>
  <c r="AU583" i="1" s="1"/>
  <c r="AY583" i="1" s="1"/>
  <c r="AL583" i="1"/>
  <c r="AD583" i="1"/>
  <c r="AM582" i="1"/>
  <c r="AU582" i="1" s="1"/>
  <c r="AY582" i="1" s="1"/>
  <c r="AL582" i="1"/>
  <c r="AD582" i="1"/>
  <c r="AM581" i="1"/>
  <c r="AU581" i="1" s="1"/>
  <c r="AY581" i="1" s="1"/>
  <c r="AL581" i="1"/>
  <c r="AD581" i="1"/>
  <c r="AM580" i="1"/>
  <c r="AU580" i="1" s="1"/>
  <c r="AY580" i="1" s="1"/>
  <c r="AL580" i="1"/>
  <c r="AD580" i="1"/>
  <c r="AM579" i="1"/>
  <c r="AU579" i="1" s="1"/>
  <c r="AY579" i="1" s="1"/>
  <c r="AL579" i="1"/>
  <c r="AD579" i="1"/>
  <c r="AM578" i="1"/>
  <c r="AU578" i="1" s="1"/>
  <c r="AY578" i="1" s="1"/>
  <c r="AL578" i="1"/>
  <c r="AD578" i="1"/>
  <c r="AM577" i="1"/>
  <c r="AU577" i="1" s="1"/>
  <c r="AY577" i="1" s="1"/>
  <c r="AL577" i="1"/>
  <c r="AD577" i="1"/>
  <c r="AM576" i="1"/>
  <c r="AU576" i="1" s="1"/>
  <c r="AY576" i="1" s="1"/>
  <c r="AL576" i="1"/>
  <c r="AD576" i="1"/>
  <c r="AM575" i="1"/>
  <c r="AU575" i="1" s="1"/>
  <c r="AY575" i="1" s="1"/>
  <c r="AL575" i="1"/>
  <c r="AD575" i="1"/>
  <c r="AM574" i="1"/>
  <c r="AU574" i="1" s="1"/>
  <c r="AY574" i="1" s="1"/>
  <c r="AL574" i="1"/>
  <c r="AD574" i="1"/>
  <c r="AM573" i="1"/>
  <c r="AU573" i="1" s="1"/>
  <c r="AY573" i="1" s="1"/>
  <c r="AL573" i="1"/>
  <c r="AD573" i="1"/>
  <c r="AM572" i="1"/>
  <c r="AU572" i="1" s="1"/>
  <c r="AY572" i="1" s="1"/>
  <c r="AL572" i="1"/>
  <c r="AD572" i="1"/>
  <c r="AM571" i="1"/>
  <c r="AU571" i="1" s="1"/>
  <c r="AY571" i="1" s="1"/>
  <c r="AL571" i="1"/>
  <c r="AD571" i="1"/>
  <c r="AM570" i="1"/>
  <c r="AU570" i="1" s="1"/>
  <c r="AY570" i="1" s="1"/>
  <c r="AL570" i="1"/>
  <c r="AD570" i="1"/>
  <c r="AM569" i="1"/>
  <c r="AU569" i="1" s="1"/>
  <c r="AY569" i="1" s="1"/>
  <c r="AL569" i="1"/>
  <c r="AD569" i="1"/>
  <c r="AM568" i="1"/>
  <c r="AU568" i="1" s="1"/>
  <c r="AY568" i="1" s="1"/>
  <c r="AL568" i="1"/>
  <c r="AD568" i="1"/>
  <c r="AM567" i="1"/>
  <c r="AU567" i="1" s="1"/>
  <c r="AY567" i="1" s="1"/>
  <c r="AL567" i="1"/>
  <c r="AD567" i="1"/>
  <c r="AM566" i="1"/>
  <c r="AU566" i="1" s="1"/>
  <c r="AY566" i="1" s="1"/>
  <c r="AL566" i="1"/>
  <c r="AD566" i="1"/>
  <c r="AM565" i="1"/>
  <c r="AU565" i="1" s="1"/>
  <c r="AY565" i="1" s="1"/>
  <c r="AL565" i="1"/>
  <c r="AD565" i="1"/>
  <c r="AM564" i="1"/>
  <c r="AU564" i="1" s="1"/>
  <c r="AY564" i="1" s="1"/>
  <c r="AL564" i="1"/>
  <c r="AD564" i="1"/>
  <c r="AM563" i="1"/>
  <c r="AU563" i="1" s="1"/>
  <c r="AY563" i="1" s="1"/>
  <c r="AL563" i="1"/>
  <c r="AD563" i="1"/>
  <c r="AM562" i="1"/>
  <c r="AU562" i="1" s="1"/>
  <c r="AY562" i="1" s="1"/>
  <c r="AL562" i="1"/>
  <c r="AD562" i="1"/>
  <c r="AM561" i="1"/>
  <c r="AU561" i="1" s="1"/>
  <c r="AY561" i="1" s="1"/>
  <c r="AL561" i="1"/>
  <c r="AD561" i="1"/>
  <c r="AM560" i="1"/>
  <c r="AU560" i="1" s="1"/>
  <c r="AY560" i="1" s="1"/>
  <c r="AL560" i="1"/>
  <c r="AD560" i="1"/>
  <c r="AM559" i="1"/>
  <c r="AU559" i="1" s="1"/>
  <c r="AY559" i="1" s="1"/>
  <c r="AL559" i="1"/>
  <c r="AD559" i="1"/>
  <c r="AM558" i="1"/>
  <c r="AU558" i="1" s="1"/>
  <c r="AY558" i="1" s="1"/>
  <c r="AL558" i="1"/>
  <c r="AD558" i="1"/>
  <c r="AM557" i="1"/>
  <c r="AU557" i="1" s="1"/>
  <c r="AY557" i="1" s="1"/>
  <c r="AL557" i="1"/>
  <c r="AD557" i="1"/>
  <c r="AM556" i="1"/>
  <c r="AU556" i="1" s="1"/>
  <c r="AY556" i="1" s="1"/>
  <c r="AL556" i="1"/>
  <c r="AD556" i="1"/>
  <c r="AM555" i="1"/>
  <c r="AU555" i="1" s="1"/>
  <c r="AY555" i="1" s="1"/>
  <c r="AL555" i="1"/>
  <c r="AD555" i="1"/>
  <c r="AM554" i="1"/>
  <c r="AU554" i="1" s="1"/>
  <c r="AY554" i="1" s="1"/>
  <c r="AL554" i="1"/>
  <c r="AD554" i="1"/>
  <c r="AU553" i="1"/>
  <c r="AY553" i="1" s="1"/>
  <c r="AM553" i="1"/>
  <c r="AL553" i="1"/>
  <c r="AD553" i="1"/>
  <c r="AM552" i="1"/>
  <c r="AU552" i="1" s="1"/>
  <c r="AY552" i="1" s="1"/>
  <c r="AL552" i="1"/>
  <c r="AD552" i="1"/>
  <c r="AM551" i="1"/>
  <c r="AU551" i="1" s="1"/>
  <c r="AY551" i="1" s="1"/>
  <c r="AL551" i="1"/>
  <c r="AD551" i="1"/>
  <c r="AM550" i="1"/>
  <c r="AU550" i="1" s="1"/>
  <c r="AY550" i="1" s="1"/>
  <c r="AL550" i="1"/>
  <c r="AD550" i="1"/>
  <c r="AM549" i="1"/>
  <c r="AU549" i="1" s="1"/>
  <c r="AY549" i="1" s="1"/>
  <c r="AL549" i="1"/>
  <c r="AD549" i="1"/>
  <c r="AM548" i="1"/>
  <c r="AU548" i="1" s="1"/>
  <c r="AY548" i="1" s="1"/>
  <c r="AL548" i="1"/>
  <c r="AD548" i="1"/>
  <c r="AM547" i="1"/>
  <c r="AU547" i="1" s="1"/>
  <c r="AY547" i="1" s="1"/>
  <c r="AL547" i="1"/>
  <c r="AD547" i="1"/>
  <c r="AM546" i="1"/>
  <c r="AU546" i="1" s="1"/>
  <c r="AY546" i="1" s="1"/>
  <c r="AL546" i="1"/>
  <c r="AD546" i="1"/>
  <c r="AM545" i="1"/>
  <c r="AU545" i="1" s="1"/>
  <c r="AY545" i="1" s="1"/>
  <c r="AL545" i="1"/>
  <c r="AD545" i="1"/>
  <c r="AM544" i="1"/>
  <c r="AU544" i="1" s="1"/>
  <c r="AY544" i="1" s="1"/>
  <c r="AL544" i="1"/>
  <c r="AD544" i="1"/>
  <c r="AM543" i="1"/>
  <c r="AU543" i="1" s="1"/>
  <c r="AY543" i="1" s="1"/>
  <c r="AL543" i="1"/>
  <c r="AD543" i="1"/>
  <c r="AM542" i="1"/>
  <c r="AU542" i="1" s="1"/>
  <c r="AY542" i="1" s="1"/>
  <c r="AL542" i="1"/>
  <c r="AD542" i="1"/>
  <c r="AM541" i="1"/>
  <c r="AU541" i="1" s="1"/>
  <c r="AY541" i="1" s="1"/>
  <c r="AL541" i="1"/>
  <c r="AD541" i="1"/>
  <c r="AM540" i="1"/>
  <c r="AU540" i="1" s="1"/>
  <c r="AY540" i="1" s="1"/>
  <c r="AL540" i="1"/>
  <c r="AD540" i="1"/>
  <c r="AM539" i="1"/>
  <c r="AU539" i="1" s="1"/>
  <c r="AY539" i="1" s="1"/>
  <c r="AL539" i="1"/>
  <c r="AD539" i="1"/>
  <c r="AM538" i="1"/>
  <c r="AU538" i="1" s="1"/>
  <c r="AY538" i="1" s="1"/>
  <c r="AL538" i="1"/>
  <c r="AD538" i="1"/>
  <c r="AM537" i="1"/>
  <c r="AU537" i="1" s="1"/>
  <c r="AY537" i="1" s="1"/>
  <c r="AL537" i="1"/>
  <c r="AD537" i="1"/>
  <c r="AM536" i="1"/>
  <c r="AU536" i="1" s="1"/>
  <c r="AY536" i="1" s="1"/>
  <c r="AL536" i="1"/>
  <c r="AD536" i="1"/>
  <c r="AM535" i="1"/>
  <c r="AU535" i="1" s="1"/>
  <c r="AY535" i="1" s="1"/>
  <c r="AL535" i="1"/>
  <c r="AD535" i="1"/>
  <c r="AM534" i="1"/>
  <c r="AU534" i="1" s="1"/>
  <c r="AY534" i="1" s="1"/>
  <c r="AL534" i="1"/>
  <c r="AD534" i="1"/>
  <c r="AM533" i="1"/>
  <c r="AU533" i="1" s="1"/>
  <c r="AY533" i="1" s="1"/>
  <c r="AL533" i="1"/>
  <c r="AD533" i="1"/>
  <c r="AM532" i="1"/>
  <c r="AU532" i="1" s="1"/>
  <c r="AY532" i="1" s="1"/>
  <c r="AL532" i="1"/>
  <c r="AD532" i="1"/>
  <c r="AM531" i="1"/>
  <c r="AU531" i="1" s="1"/>
  <c r="AY531" i="1" s="1"/>
  <c r="AL531" i="1"/>
  <c r="AD531" i="1"/>
  <c r="AM530" i="1"/>
  <c r="AU530" i="1" s="1"/>
  <c r="AY530" i="1" s="1"/>
  <c r="AL530" i="1"/>
  <c r="AD530" i="1"/>
  <c r="AM529" i="1"/>
  <c r="AU529" i="1" s="1"/>
  <c r="AY529" i="1" s="1"/>
  <c r="AL529" i="1"/>
  <c r="AD529" i="1"/>
  <c r="AM528" i="1"/>
  <c r="AU528" i="1" s="1"/>
  <c r="AY528" i="1" s="1"/>
  <c r="AL528" i="1"/>
  <c r="AD528" i="1"/>
  <c r="AM527" i="1"/>
  <c r="AU527" i="1" s="1"/>
  <c r="AY527" i="1" s="1"/>
  <c r="AL527" i="1"/>
  <c r="AD527" i="1"/>
  <c r="AM526" i="1"/>
  <c r="AU526" i="1" s="1"/>
  <c r="AY526" i="1" s="1"/>
  <c r="AL526" i="1"/>
  <c r="AD526" i="1"/>
  <c r="AM525" i="1"/>
  <c r="AU525" i="1" s="1"/>
  <c r="AY525" i="1" s="1"/>
  <c r="AL525" i="1"/>
  <c r="AD525" i="1"/>
  <c r="AM524" i="1"/>
  <c r="AU524" i="1" s="1"/>
  <c r="AY524" i="1" s="1"/>
  <c r="AL524" i="1"/>
  <c r="AD524" i="1"/>
  <c r="AM523" i="1"/>
  <c r="AU523" i="1" s="1"/>
  <c r="AY523" i="1" s="1"/>
  <c r="AL523" i="1"/>
  <c r="AD523" i="1"/>
  <c r="AM522" i="1"/>
  <c r="AU522" i="1" s="1"/>
  <c r="AY522" i="1" s="1"/>
  <c r="AL522" i="1"/>
  <c r="AD522" i="1"/>
  <c r="AM521" i="1"/>
  <c r="AU521" i="1" s="1"/>
  <c r="AY521" i="1" s="1"/>
  <c r="AL521" i="1"/>
  <c r="AD521" i="1"/>
  <c r="AM520" i="1"/>
  <c r="AU520" i="1" s="1"/>
  <c r="AY520" i="1" s="1"/>
  <c r="AL520" i="1"/>
  <c r="AD520" i="1"/>
  <c r="AM519" i="1"/>
  <c r="AU519" i="1" s="1"/>
  <c r="AY519" i="1" s="1"/>
  <c r="AL519" i="1"/>
  <c r="AD519" i="1"/>
  <c r="AM518" i="1"/>
  <c r="AU518" i="1" s="1"/>
  <c r="AY518" i="1" s="1"/>
  <c r="AL518" i="1"/>
  <c r="AD518" i="1"/>
  <c r="AM517" i="1"/>
  <c r="AU517" i="1" s="1"/>
  <c r="AY517" i="1" s="1"/>
  <c r="AL517" i="1"/>
  <c r="AD517" i="1"/>
  <c r="AM516" i="1"/>
  <c r="AU516" i="1" s="1"/>
  <c r="AY516" i="1" s="1"/>
  <c r="AL516" i="1"/>
  <c r="AD516" i="1"/>
  <c r="AM515" i="1"/>
  <c r="AU515" i="1" s="1"/>
  <c r="AY515" i="1" s="1"/>
  <c r="AL515" i="1"/>
  <c r="AD515" i="1"/>
  <c r="AM514" i="1"/>
  <c r="AU514" i="1" s="1"/>
  <c r="AY514" i="1" s="1"/>
  <c r="AL514" i="1"/>
  <c r="AD514" i="1"/>
  <c r="AM513" i="1"/>
  <c r="AU513" i="1" s="1"/>
  <c r="AY513" i="1" s="1"/>
  <c r="AL513" i="1"/>
  <c r="AD513" i="1"/>
  <c r="AM512" i="1"/>
  <c r="AU512" i="1" s="1"/>
  <c r="AY512" i="1" s="1"/>
  <c r="AL512" i="1"/>
  <c r="AD512" i="1"/>
  <c r="AM511" i="1"/>
  <c r="AU511" i="1" s="1"/>
  <c r="AY511" i="1" s="1"/>
  <c r="AL511" i="1"/>
  <c r="AD511" i="1"/>
  <c r="AM510" i="1"/>
  <c r="AU510" i="1" s="1"/>
  <c r="AY510" i="1" s="1"/>
  <c r="AL510" i="1"/>
  <c r="AD510" i="1"/>
  <c r="AM509" i="1"/>
  <c r="AU509" i="1" s="1"/>
  <c r="AY509" i="1" s="1"/>
  <c r="AL509" i="1"/>
  <c r="AD509" i="1"/>
  <c r="AM508" i="1"/>
  <c r="AU508" i="1" s="1"/>
  <c r="AY508" i="1" s="1"/>
  <c r="AL508" i="1"/>
  <c r="AD508" i="1"/>
  <c r="AM507" i="1"/>
  <c r="AU507" i="1" s="1"/>
  <c r="AY507" i="1" s="1"/>
  <c r="AL507" i="1"/>
  <c r="AD507" i="1"/>
  <c r="AM506" i="1"/>
  <c r="AU506" i="1" s="1"/>
  <c r="AY506" i="1" s="1"/>
  <c r="AL506" i="1"/>
  <c r="AD506" i="1"/>
  <c r="AM505" i="1"/>
  <c r="AU505" i="1" s="1"/>
  <c r="AY505" i="1" s="1"/>
  <c r="AL505" i="1"/>
  <c r="AD505" i="1"/>
  <c r="AM504" i="1"/>
  <c r="AU504" i="1" s="1"/>
  <c r="AY504" i="1" s="1"/>
  <c r="AL504" i="1"/>
  <c r="AD504" i="1"/>
  <c r="AM503" i="1"/>
  <c r="AU503" i="1" s="1"/>
  <c r="AY503" i="1" s="1"/>
  <c r="AL503" i="1"/>
  <c r="AD503" i="1"/>
  <c r="AM502" i="1"/>
  <c r="AU502" i="1" s="1"/>
  <c r="AY502" i="1" s="1"/>
  <c r="AL502" i="1"/>
  <c r="AD502" i="1"/>
  <c r="AM501" i="1"/>
  <c r="AU501" i="1" s="1"/>
  <c r="AY501" i="1" s="1"/>
  <c r="AL501" i="1"/>
  <c r="AD501" i="1"/>
  <c r="AM500" i="1"/>
  <c r="AU500" i="1" s="1"/>
  <c r="AY500" i="1" s="1"/>
  <c r="AL500" i="1"/>
  <c r="AD500" i="1"/>
  <c r="AM499" i="1"/>
  <c r="AU499" i="1" s="1"/>
  <c r="AY499" i="1" s="1"/>
  <c r="AL499" i="1"/>
  <c r="AD499" i="1"/>
  <c r="AM498" i="1"/>
  <c r="AU498" i="1" s="1"/>
  <c r="AY498" i="1" s="1"/>
  <c r="AL498" i="1"/>
  <c r="AD498" i="1"/>
  <c r="AM497" i="1"/>
  <c r="AU497" i="1" s="1"/>
  <c r="AY497" i="1" s="1"/>
  <c r="AL497" i="1"/>
  <c r="AD497" i="1"/>
  <c r="AM496" i="1"/>
  <c r="AU496" i="1" s="1"/>
  <c r="AY496" i="1" s="1"/>
  <c r="AL496" i="1"/>
  <c r="AD496" i="1"/>
  <c r="AM495" i="1"/>
  <c r="AU495" i="1" s="1"/>
  <c r="AY495" i="1" s="1"/>
  <c r="AL495" i="1"/>
  <c r="AD495" i="1"/>
  <c r="AM494" i="1"/>
  <c r="AU494" i="1" s="1"/>
  <c r="AY494" i="1" s="1"/>
  <c r="AL494" i="1"/>
  <c r="AD494" i="1"/>
  <c r="AM493" i="1"/>
  <c r="AU493" i="1" s="1"/>
  <c r="AY493" i="1" s="1"/>
  <c r="AL493" i="1"/>
  <c r="AD493" i="1"/>
  <c r="AM492" i="1"/>
  <c r="AU492" i="1" s="1"/>
  <c r="AY492" i="1" s="1"/>
  <c r="AL492" i="1"/>
  <c r="AD492" i="1"/>
  <c r="AM491" i="1"/>
  <c r="AU491" i="1" s="1"/>
  <c r="AY491" i="1" s="1"/>
  <c r="AL491" i="1"/>
  <c r="AD491" i="1"/>
  <c r="AM490" i="1"/>
  <c r="AU490" i="1" s="1"/>
  <c r="AY490" i="1" s="1"/>
  <c r="AL490" i="1"/>
  <c r="AD490" i="1"/>
  <c r="AM489" i="1"/>
  <c r="AU489" i="1" s="1"/>
  <c r="AY489" i="1" s="1"/>
  <c r="AL489" i="1"/>
  <c r="AD489" i="1"/>
  <c r="AM488" i="1"/>
  <c r="AU488" i="1" s="1"/>
  <c r="AY488" i="1" s="1"/>
  <c r="AL488" i="1"/>
  <c r="AD488" i="1"/>
  <c r="AM487" i="1"/>
  <c r="AU487" i="1" s="1"/>
  <c r="AY487" i="1" s="1"/>
  <c r="AL487" i="1"/>
  <c r="AD487" i="1"/>
  <c r="AM486" i="1"/>
  <c r="AU486" i="1" s="1"/>
  <c r="AY486" i="1" s="1"/>
  <c r="AL486" i="1"/>
  <c r="AD486" i="1"/>
  <c r="AM485" i="1"/>
  <c r="AU485" i="1" s="1"/>
  <c r="AY485" i="1" s="1"/>
  <c r="AL485" i="1"/>
  <c r="AD485" i="1"/>
  <c r="AM484" i="1"/>
  <c r="AU484" i="1" s="1"/>
  <c r="AY484" i="1" s="1"/>
  <c r="AL484" i="1"/>
  <c r="AD484" i="1"/>
  <c r="AM483" i="1"/>
  <c r="AU483" i="1" s="1"/>
  <c r="AY483" i="1" s="1"/>
  <c r="AL483" i="1"/>
  <c r="AD483" i="1"/>
  <c r="AM482" i="1"/>
  <c r="AU482" i="1" s="1"/>
  <c r="AY482" i="1" s="1"/>
  <c r="AL482" i="1"/>
  <c r="AD482" i="1"/>
  <c r="AM481" i="1"/>
  <c r="AU481" i="1" s="1"/>
  <c r="AY481" i="1" s="1"/>
  <c r="AL481" i="1"/>
  <c r="AD481" i="1"/>
  <c r="AM480" i="1"/>
  <c r="AU480" i="1" s="1"/>
  <c r="AY480" i="1" s="1"/>
  <c r="AL480" i="1"/>
  <c r="AD480" i="1"/>
  <c r="AM479" i="1"/>
  <c r="AU479" i="1" s="1"/>
  <c r="AY479" i="1" s="1"/>
  <c r="AL479" i="1"/>
  <c r="AD479" i="1"/>
  <c r="AM478" i="1"/>
  <c r="AU478" i="1" s="1"/>
  <c r="AY478" i="1" s="1"/>
  <c r="AL478" i="1"/>
  <c r="AD478" i="1"/>
  <c r="AM477" i="1"/>
  <c r="AU477" i="1" s="1"/>
  <c r="AY477" i="1" s="1"/>
  <c r="AL477" i="1"/>
  <c r="AD477" i="1"/>
  <c r="AM476" i="1"/>
  <c r="AU476" i="1" s="1"/>
  <c r="AY476" i="1" s="1"/>
  <c r="AL476" i="1"/>
  <c r="AD476" i="1"/>
  <c r="AM475" i="1"/>
  <c r="AU475" i="1" s="1"/>
  <c r="AY475" i="1" s="1"/>
  <c r="AL475" i="1"/>
  <c r="AD475" i="1"/>
  <c r="AM474" i="1"/>
  <c r="AU474" i="1" s="1"/>
  <c r="AY474" i="1" s="1"/>
  <c r="AL474" i="1"/>
  <c r="AD474" i="1"/>
  <c r="AM473" i="1"/>
  <c r="AU473" i="1" s="1"/>
  <c r="AY473" i="1" s="1"/>
  <c r="AL473" i="1"/>
  <c r="AD473" i="1"/>
  <c r="AM472" i="1"/>
  <c r="AU472" i="1" s="1"/>
  <c r="AY472" i="1" s="1"/>
  <c r="AL472" i="1"/>
  <c r="AD472" i="1"/>
  <c r="AM471" i="1"/>
  <c r="AU471" i="1" s="1"/>
  <c r="AY471" i="1" s="1"/>
  <c r="AL471" i="1"/>
  <c r="AD471" i="1"/>
  <c r="AM470" i="1"/>
  <c r="AU470" i="1" s="1"/>
  <c r="AY470" i="1" s="1"/>
  <c r="AL470" i="1"/>
  <c r="AD470" i="1"/>
  <c r="AM469" i="1"/>
  <c r="AU469" i="1" s="1"/>
  <c r="AY469" i="1" s="1"/>
  <c r="AL469" i="1"/>
  <c r="AD469" i="1"/>
  <c r="AM468" i="1"/>
  <c r="AU468" i="1" s="1"/>
  <c r="AY468" i="1" s="1"/>
  <c r="AL468" i="1"/>
  <c r="AD468" i="1"/>
  <c r="AM467" i="1"/>
  <c r="AU467" i="1" s="1"/>
  <c r="AY467" i="1" s="1"/>
  <c r="AL467" i="1"/>
  <c r="AD467" i="1"/>
  <c r="AM466" i="1"/>
  <c r="AU466" i="1" s="1"/>
  <c r="AY466" i="1" s="1"/>
  <c r="AL466" i="1"/>
  <c r="AD466" i="1"/>
  <c r="AM465" i="1"/>
  <c r="AU465" i="1" s="1"/>
  <c r="AY465" i="1" s="1"/>
  <c r="AL465" i="1"/>
  <c r="AD465" i="1"/>
  <c r="AM464" i="1"/>
  <c r="AU464" i="1" s="1"/>
  <c r="AY464" i="1" s="1"/>
  <c r="AL464" i="1"/>
  <c r="AD464" i="1"/>
  <c r="AM463" i="1"/>
  <c r="AU463" i="1" s="1"/>
  <c r="AY463" i="1" s="1"/>
  <c r="AL463" i="1"/>
  <c r="AD463" i="1"/>
  <c r="AM462" i="1"/>
  <c r="AU462" i="1" s="1"/>
  <c r="AY462" i="1" s="1"/>
  <c r="AL462" i="1"/>
  <c r="AD462" i="1"/>
  <c r="AM461" i="1"/>
  <c r="AU461" i="1" s="1"/>
  <c r="AY461" i="1" s="1"/>
  <c r="AL461" i="1"/>
  <c r="AD461" i="1"/>
  <c r="AM460" i="1"/>
  <c r="AU460" i="1" s="1"/>
  <c r="AY460" i="1" s="1"/>
  <c r="AL460" i="1"/>
  <c r="AD460" i="1"/>
  <c r="AM459" i="1"/>
  <c r="AU459" i="1" s="1"/>
  <c r="AY459" i="1" s="1"/>
  <c r="AL459" i="1"/>
  <c r="AD459" i="1"/>
  <c r="AM458" i="1"/>
  <c r="AU458" i="1" s="1"/>
  <c r="AY458" i="1" s="1"/>
  <c r="AL458" i="1"/>
  <c r="AD458" i="1"/>
  <c r="AM457" i="1"/>
  <c r="AU457" i="1" s="1"/>
  <c r="AY457" i="1" s="1"/>
  <c r="AL457" i="1"/>
  <c r="AD457" i="1"/>
  <c r="AM456" i="1"/>
  <c r="AU456" i="1" s="1"/>
  <c r="AY456" i="1" s="1"/>
  <c r="AL456" i="1"/>
  <c r="AD456" i="1"/>
  <c r="AM455" i="1"/>
  <c r="AU455" i="1" s="1"/>
  <c r="AY455" i="1" s="1"/>
  <c r="AL455" i="1"/>
  <c r="AD455" i="1"/>
  <c r="AM454" i="1"/>
  <c r="AU454" i="1" s="1"/>
  <c r="AY454" i="1" s="1"/>
  <c r="AL454" i="1"/>
  <c r="AD454" i="1"/>
  <c r="AM453" i="1"/>
  <c r="AU453" i="1" s="1"/>
  <c r="AY453" i="1" s="1"/>
  <c r="AL453" i="1"/>
  <c r="AD453" i="1"/>
  <c r="AM452" i="1"/>
  <c r="AU452" i="1" s="1"/>
  <c r="AY452" i="1" s="1"/>
  <c r="AL452" i="1"/>
  <c r="AD452" i="1"/>
  <c r="AM451" i="1"/>
  <c r="AU451" i="1" s="1"/>
  <c r="AY451" i="1" s="1"/>
  <c r="AL451" i="1"/>
  <c r="AD451" i="1"/>
  <c r="AM450" i="1"/>
  <c r="AU450" i="1" s="1"/>
  <c r="AY450" i="1" s="1"/>
  <c r="AL450" i="1"/>
  <c r="AD450" i="1"/>
  <c r="AM449" i="1"/>
  <c r="AU449" i="1" s="1"/>
  <c r="AY449" i="1" s="1"/>
  <c r="AL449" i="1"/>
  <c r="AD449" i="1"/>
  <c r="AM448" i="1"/>
  <c r="AU448" i="1" s="1"/>
  <c r="AY448" i="1" s="1"/>
  <c r="AL448" i="1"/>
  <c r="AD448" i="1"/>
  <c r="AM447" i="1"/>
  <c r="AU447" i="1" s="1"/>
  <c r="AY447" i="1" s="1"/>
  <c r="AL447" i="1"/>
  <c r="AD447" i="1"/>
  <c r="AM446" i="1"/>
  <c r="AU446" i="1" s="1"/>
  <c r="AY446" i="1" s="1"/>
  <c r="AL446" i="1"/>
  <c r="AD446" i="1"/>
  <c r="AM445" i="1"/>
  <c r="AU445" i="1" s="1"/>
  <c r="AY445" i="1" s="1"/>
  <c r="AL445" i="1"/>
  <c r="AD445" i="1"/>
  <c r="AM444" i="1"/>
  <c r="AU444" i="1" s="1"/>
  <c r="AY444" i="1" s="1"/>
  <c r="AL444" i="1"/>
  <c r="AD444" i="1"/>
  <c r="AM443" i="1"/>
  <c r="AU443" i="1" s="1"/>
  <c r="AY443" i="1" s="1"/>
  <c r="AL443" i="1"/>
  <c r="AD443" i="1"/>
  <c r="AM442" i="1"/>
  <c r="AU442" i="1" s="1"/>
  <c r="AY442" i="1" s="1"/>
  <c r="AL442" i="1"/>
  <c r="AD442" i="1"/>
  <c r="AM441" i="1"/>
  <c r="AU441" i="1" s="1"/>
  <c r="AY441" i="1" s="1"/>
  <c r="AL441" i="1"/>
  <c r="AD441" i="1"/>
  <c r="AM440" i="1"/>
  <c r="AU440" i="1" s="1"/>
  <c r="AY440" i="1" s="1"/>
  <c r="AL440" i="1"/>
  <c r="AD440" i="1"/>
  <c r="AM439" i="1"/>
  <c r="AU439" i="1" s="1"/>
  <c r="AY439" i="1" s="1"/>
  <c r="AL439" i="1"/>
  <c r="AD439" i="1"/>
  <c r="AM438" i="1"/>
  <c r="AU438" i="1" s="1"/>
  <c r="AY438" i="1" s="1"/>
  <c r="AL438" i="1"/>
  <c r="AD438" i="1"/>
  <c r="AM437" i="1"/>
  <c r="AU437" i="1" s="1"/>
  <c r="AY437" i="1" s="1"/>
  <c r="AL437" i="1"/>
  <c r="AD437" i="1"/>
  <c r="AM436" i="1"/>
  <c r="AU436" i="1" s="1"/>
  <c r="AY436" i="1" s="1"/>
  <c r="AL436" i="1"/>
  <c r="AD436" i="1"/>
  <c r="AM435" i="1"/>
  <c r="AU435" i="1" s="1"/>
  <c r="AY435" i="1" s="1"/>
  <c r="AL435" i="1"/>
  <c r="AD435" i="1"/>
  <c r="AM434" i="1"/>
  <c r="AU434" i="1" s="1"/>
  <c r="AY434" i="1" s="1"/>
  <c r="AL434" i="1"/>
  <c r="AD434" i="1"/>
  <c r="AM433" i="1"/>
  <c r="AU433" i="1" s="1"/>
  <c r="AY433" i="1" s="1"/>
  <c r="AL433" i="1"/>
  <c r="AD433" i="1"/>
  <c r="AM432" i="1"/>
  <c r="AU432" i="1" s="1"/>
  <c r="AY432" i="1" s="1"/>
  <c r="AL432" i="1"/>
  <c r="AD432" i="1"/>
  <c r="AM431" i="1"/>
  <c r="AU431" i="1" s="1"/>
  <c r="AY431" i="1" s="1"/>
  <c r="AL431" i="1"/>
  <c r="AD431" i="1"/>
  <c r="AM430" i="1"/>
  <c r="AU430" i="1" s="1"/>
  <c r="AY430" i="1" s="1"/>
  <c r="AL430" i="1"/>
  <c r="AD430" i="1"/>
  <c r="AM429" i="1"/>
  <c r="AU429" i="1" s="1"/>
  <c r="AY429" i="1" s="1"/>
  <c r="AL429" i="1"/>
  <c r="AD429" i="1"/>
  <c r="AM428" i="1"/>
  <c r="AU428" i="1" s="1"/>
  <c r="AY428" i="1" s="1"/>
  <c r="AL428" i="1"/>
  <c r="AD428" i="1"/>
  <c r="AM427" i="1"/>
  <c r="AU427" i="1" s="1"/>
  <c r="AY427" i="1" s="1"/>
  <c r="AL427" i="1"/>
  <c r="AD427" i="1"/>
  <c r="AM426" i="1"/>
  <c r="AU426" i="1" s="1"/>
  <c r="AY426" i="1" s="1"/>
  <c r="AL426" i="1"/>
  <c r="AD426" i="1"/>
  <c r="AM425" i="1"/>
  <c r="AU425" i="1" s="1"/>
  <c r="AY425" i="1" s="1"/>
  <c r="AL425" i="1"/>
  <c r="AD425" i="1"/>
  <c r="AM424" i="1"/>
  <c r="AU424" i="1" s="1"/>
  <c r="AY424" i="1" s="1"/>
  <c r="AL424" i="1"/>
  <c r="AD424" i="1"/>
  <c r="AM423" i="1"/>
  <c r="AU423" i="1" s="1"/>
  <c r="AY423" i="1" s="1"/>
  <c r="AL423" i="1"/>
  <c r="AD423" i="1"/>
  <c r="AM422" i="1"/>
  <c r="AU422" i="1" s="1"/>
  <c r="AY422" i="1" s="1"/>
  <c r="AL422" i="1"/>
  <c r="AD422" i="1"/>
  <c r="AM421" i="1"/>
  <c r="AU421" i="1" s="1"/>
  <c r="AY421" i="1" s="1"/>
  <c r="AL421" i="1"/>
  <c r="AD421" i="1"/>
  <c r="AM420" i="1"/>
  <c r="AU420" i="1" s="1"/>
  <c r="AY420" i="1" s="1"/>
  <c r="AL420" i="1"/>
  <c r="AD420" i="1"/>
  <c r="AM419" i="1"/>
  <c r="AU419" i="1" s="1"/>
  <c r="AY419" i="1" s="1"/>
  <c r="AL419" i="1"/>
  <c r="AD419" i="1"/>
  <c r="AM418" i="1"/>
  <c r="AU418" i="1" s="1"/>
  <c r="AY418" i="1" s="1"/>
  <c r="AL418" i="1"/>
  <c r="AD418" i="1"/>
  <c r="AM417" i="1"/>
  <c r="AU417" i="1" s="1"/>
  <c r="AY417" i="1" s="1"/>
  <c r="AL417" i="1"/>
  <c r="AD417" i="1"/>
  <c r="AM416" i="1"/>
  <c r="AU416" i="1" s="1"/>
  <c r="AY416" i="1" s="1"/>
  <c r="AL416" i="1"/>
  <c r="AD416" i="1"/>
  <c r="AM415" i="1"/>
  <c r="AU415" i="1" s="1"/>
  <c r="AY415" i="1" s="1"/>
  <c r="AL415" i="1"/>
  <c r="AD415" i="1"/>
  <c r="AM414" i="1"/>
  <c r="AU414" i="1" s="1"/>
  <c r="AY414" i="1" s="1"/>
  <c r="AL414" i="1"/>
  <c r="AD414" i="1"/>
  <c r="AM413" i="1"/>
  <c r="AU413" i="1" s="1"/>
  <c r="AY413" i="1" s="1"/>
  <c r="AL413" i="1"/>
  <c r="AD413" i="1"/>
  <c r="AM412" i="1"/>
  <c r="AU412" i="1" s="1"/>
  <c r="AY412" i="1" s="1"/>
  <c r="AL412" i="1"/>
  <c r="AD412" i="1"/>
  <c r="AM411" i="1"/>
  <c r="AU411" i="1" s="1"/>
  <c r="AY411" i="1" s="1"/>
  <c r="AL411" i="1"/>
  <c r="AD411" i="1"/>
  <c r="AM410" i="1"/>
  <c r="AU410" i="1" s="1"/>
  <c r="AY410" i="1" s="1"/>
  <c r="AL410" i="1"/>
  <c r="AD410" i="1"/>
  <c r="AM409" i="1"/>
  <c r="AU409" i="1" s="1"/>
  <c r="AY409" i="1" s="1"/>
  <c r="AL409" i="1"/>
  <c r="AD409" i="1"/>
  <c r="AM408" i="1"/>
  <c r="AU408" i="1" s="1"/>
  <c r="AY408" i="1" s="1"/>
  <c r="AL408" i="1"/>
  <c r="AD408" i="1"/>
  <c r="AM407" i="1"/>
  <c r="AU407" i="1" s="1"/>
  <c r="AY407" i="1" s="1"/>
  <c r="AL407" i="1"/>
  <c r="AD407" i="1"/>
  <c r="AM406" i="1"/>
  <c r="AU406" i="1" s="1"/>
  <c r="AY406" i="1" s="1"/>
  <c r="AL406" i="1"/>
  <c r="AD406" i="1"/>
  <c r="AM405" i="1"/>
  <c r="AU405" i="1" s="1"/>
  <c r="AY405" i="1" s="1"/>
  <c r="AL405" i="1"/>
  <c r="AD405" i="1"/>
  <c r="AM404" i="1"/>
  <c r="AU404" i="1" s="1"/>
  <c r="AY404" i="1" s="1"/>
  <c r="AL404" i="1"/>
  <c r="AD404" i="1"/>
  <c r="AM403" i="1"/>
  <c r="AU403" i="1" s="1"/>
  <c r="AY403" i="1" s="1"/>
  <c r="AL403" i="1"/>
  <c r="AD403" i="1"/>
  <c r="AM402" i="1"/>
  <c r="AU402" i="1" s="1"/>
  <c r="AY402" i="1" s="1"/>
  <c r="AL402" i="1"/>
  <c r="AD402" i="1"/>
  <c r="AM401" i="1"/>
  <c r="AU401" i="1" s="1"/>
  <c r="AY401" i="1" s="1"/>
  <c r="AL401" i="1"/>
  <c r="AD401" i="1"/>
  <c r="AM400" i="1"/>
  <c r="AU400" i="1" s="1"/>
  <c r="AY400" i="1" s="1"/>
  <c r="AL400" i="1"/>
  <c r="AD400" i="1"/>
  <c r="AM399" i="1"/>
  <c r="AU399" i="1" s="1"/>
  <c r="AY399" i="1" s="1"/>
  <c r="AL399" i="1"/>
  <c r="AD399" i="1"/>
  <c r="AM398" i="1"/>
  <c r="AU398" i="1" s="1"/>
  <c r="AY398" i="1" s="1"/>
  <c r="AL398" i="1"/>
  <c r="AD398" i="1"/>
  <c r="AM397" i="1"/>
  <c r="AU397" i="1" s="1"/>
  <c r="AY397" i="1" s="1"/>
  <c r="AL397" i="1"/>
  <c r="AD397" i="1"/>
  <c r="AM396" i="1"/>
  <c r="AU396" i="1" s="1"/>
  <c r="AY396" i="1" s="1"/>
  <c r="AL396" i="1"/>
  <c r="AD396" i="1"/>
  <c r="AM395" i="1"/>
  <c r="AU395" i="1" s="1"/>
  <c r="AY395" i="1" s="1"/>
  <c r="AL395" i="1"/>
  <c r="AD395" i="1"/>
  <c r="AM394" i="1"/>
  <c r="AU394" i="1" s="1"/>
  <c r="AY394" i="1" s="1"/>
  <c r="AL394" i="1"/>
  <c r="AD394" i="1"/>
  <c r="AM393" i="1"/>
  <c r="AU393" i="1" s="1"/>
  <c r="AY393" i="1" s="1"/>
  <c r="AL393" i="1"/>
  <c r="AD393" i="1"/>
  <c r="AM392" i="1"/>
  <c r="AU392" i="1" s="1"/>
  <c r="AY392" i="1" s="1"/>
  <c r="AL392" i="1"/>
  <c r="AD392" i="1"/>
  <c r="AM391" i="1"/>
  <c r="AU391" i="1" s="1"/>
  <c r="AY391" i="1" s="1"/>
  <c r="AL391" i="1"/>
  <c r="AD391" i="1"/>
  <c r="AM390" i="1"/>
  <c r="AU390" i="1" s="1"/>
  <c r="AY390" i="1" s="1"/>
  <c r="AL390" i="1"/>
  <c r="AD390" i="1"/>
  <c r="AM389" i="1"/>
  <c r="AU389" i="1" s="1"/>
  <c r="AY389" i="1" s="1"/>
  <c r="AL389" i="1"/>
  <c r="AD389" i="1"/>
  <c r="AM388" i="1"/>
  <c r="AU388" i="1" s="1"/>
  <c r="AY388" i="1" s="1"/>
  <c r="AL388" i="1"/>
  <c r="AD388" i="1"/>
  <c r="AM387" i="1"/>
  <c r="AU387" i="1" s="1"/>
  <c r="AY387" i="1" s="1"/>
  <c r="AL387" i="1"/>
  <c r="AD387" i="1"/>
  <c r="AM386" i="1"/>
  <c r="AU386" i="1" s="1"/>
  <c r="AY386" i="1" s="1"/>
  <c r="AL386" i="1"/>
  <c r="AD386" i="1"/>
  <c r="AM385" i="1"/>
  <c r="AU385" i="1" s="1"/>
  <c r="AY385" i="1" s="1"/>
  <c r="AL385" i="1"/>
  <c r="AD385" i="1"/>
  <c r="AM384" i="1"/>
  <c r="AU384" i="1" s="1"/>
  <c r="AY384" i="1" s="1"/>
  <c r="AL384" i="1"/>
  <c r="AD384" i="1"/>
  <c r="AM383" i="1"/>
  <c r="AU383" i="1" s="1"/>
  <c r="AY383" i="1" s="1"/>
  <c r="AL383" i="1"/>
  <c r="AD383" i="1"/>
  <c r="AM382" i="1"/>
  <c r="AU382" i="1" s="1"/>
  <c r="AY382" i="1" s="1"/>
  <c r="AL382" i="1"/>
  <c r="AD382" i="1"/>
  <c r="AM381" i="1"/>
  <c r="AU381" i="1" s="1"/>
  <c r="AY381" i="1" s="1"/>
  <c r="AL381" i="1"/>
  <c r="AD381" i="1"/>
  <c r="AM380" i="1"/>
  <c r="AU380" i="1" s="1"/>
  <c r="AY380" i="1" s="1"/>
  <c r="AL380" i="1"/>
  <c r="AD380" i="1"/>
  <c r="AM379" i="1"/>
  <c r="AU379" i="1" s="1"/>
  <c r="AY379" i="1" s="1"/>
  <c r="AL379" i="1"/>
  <c r="AD379" i="1"/>
  <c r="AM378" i="1"/>
  <c r="AU378" i="1" s="1"/>
  <c r="AY378" i="1" s="1"/>
  <c r="AL378" i="1"/>
  <c r="AD378" i="1"/>
  <c r="AM377" i="1"/>
  <c r="AU377" i="1" s="1"/>
  <c r="AY377" i="1" s="1"/>
  <c r="AL377" i="1"/>
  <c r="AD377" i="1"/>
  <c r="AM376" i="1"/>
  <c r="AU376" i="1" s="1"/>
  <c r="AY376" i="1" s="1"/>
  <c r="AL376" i="1"/>
  <c r="AD376" i="1"/>
  <c r="AM375" i="1"/>
  <c r="AU375" i="1" s="1"/>
  <c r="AY375" i="1" s="1"/>
  <c r="AL375" i="1"/>
  <c r="AD375" i="1"/>
  <c r="AM374" i="1"/>
  <c r="AU374" i="1" s="1"/>
  <c r="AY374" i="1" s="1"/>
  <c r="AL374" i="1"/>
  <c r="AD374" i="1"/>
  <c r="AM373" i="1"/>
  <c r="AU373" i="1" s="1"/>
  <c r="AY373" i="1" s="1"/>
  <c r="AL373" i="1"/>
  <c r="AD373" i="1"/>
  <c r="AM372" i="1"/>
  <c r="AU372" i="1" s="1"/>
  <c r="AY372" i="1" s="1"/>
  <c r="AL372" i="1"/>
  <c r="AD372" i="1"/>
  <c r="AM371" i="1"/>
  <c r="AU371" i="1" s="1"/>
  <c r="AY371" i="1" s="1"/>
  <c r="AL371" i="1"/>
  <c r="AD371" i="1"/>
  <c r="AM370" i="1"/>
  <c r="AU370" i="1" s="1"/>
  <c r="AY370" i="1" s="1"/>
  <c r="AL370" i="1"/>
  <c r="AD370" i="1"/>
  <c r="AM369" i="1"/>
  <c r="AU369" i="1" s="1"/>
  <c r="AY369" i="1" s="1"/>
  <c r="AL369" i="1"/>
  <c r="AD369" i="1"/>
  <c r="AM368" i="1"/>
  <c r="AU368" i="1" s="1"/>
  <c r="AY368" i="1" s="1"/>
  <c r="AL368" i="1"/>
  <c r="AD368" i="1"/>
  <c r="AM367" i="1"/>
  <c r="AU367" i="1" s="1"/>
  <c r="AY367" i="1" s="1"/>
  <c r="AL367" i="1"/>
  <c r="AD367" i="1"/>
  <c r="AM366" i="1"/>
  <c r="AU366" i="1" s="1"/>
  <c r="AY366" i="1" s="1"/>
  <c r="AL366" i="1"/>
  <c r="AD366" i="1"/>
  <c r="AM365" i="1"/>
  <c r="AU365" i="1" s="1"/>
  <c r="AY365" i="1" s="1"/>
  <c r="AL365" i="1"/>
  <c r="AD365" i="1"/>
  <c r="AM364" i="1"/>
  <c r="AU364" i="1" s="1"/>
  <c r="AY364" i="1" s="1"/>
  <c r="AL364" i="1"/>
  <c r="AD364" i="1"/>
  <c r="AM363" i="1"/>
  <c r="AU363" i="1" s="1"/>
  <c r="AY363" i="1" s="1"/>
  <c r="AL363" i="1"/>
  <c r="AD363" i="1"/>
  <c r="AM362" i="1"/>
  <c r="AU362" i="1" s="1"/>
  <c r="AY362" i="1" s="1"/>
  <c r="AL362" i="1"/>
  <c r="AD362" i="1"/>
  <c r="AM361" i="1"/>
  <c r="AU361" i="1" s="1"/>
  <c r="AY361" i="1" s="1"/>
  <c r="AL361" i="1"/>
  <c r="AD361" i="1"/>
  <c r="AM360" i="1"/>
  <c r="AU360" i="1" s="1"/>
  <c r="AY360" i="1" s="1"/>
  <c r="AL360" i="1"/>
  <c r="AD360" i="1"/>
  <c r="AM359" i="1"/>
  <c r="AU359" i="1" s="1"/>
  <c r="AY359" i="1" s="1"/>
  <c r="AL359" i="1"/>
  <c r="AD359" i="1"/>
  <c r="AM358" i="1"/>
  <c r="AU358" i="1" s="1"/>
  <c r="AY358" i="1" s="1"/>
  <c r="AL358" i="1"/>
  <c r="AD358" i="1"/>
  <c r="AM357" i="1"/>
  <c r="AU357" i="1" s="1"/>
  <c r="AY357" i="1" s="1"/>
  <c r="AL357" i="1"/>
  <c r="AD357" i="1"/>
  <c r="AM356" i="1"/>
  <c r="AU356" i="1" s="1"/>
  <c r="AY356" i="1" s="1"/>
  <c r="AL356" i="1"/>
  <c r="AD356" i="1"/>
  <c r="AM355" i="1"/>
  <c r="AU355" i="1" s="1"/>
  <c r="AY355" i="1" s="1"/>
  <c r="AL355" i="1"/>
  <c r="AD355" i="1"/>
  <c r="AM354" i="1"/>
  <c r="AU354" i="1" s="1"/>
  <c r="AY354" i="1" s="1"/>
  <c r="AL354" i="1"/>
  <c r="AD354" i="1"/>
  <c r="AM353" i="1"/>
  <c r="AU353" i="1" s="1"/>
  <c r="AY353" i="1" s="1"/>
  <c r="AL353" i="1"/>
  <c r="AD353" i="1"/>
  <c r="AM352" i="1"/>
  <c r="AU352" i="1" s="1"/>
  <c r="AY352" i="1" s="1"/>
  <c r="AL352" i="1"/>
  <c r="AD352" i="1"/>
  <c r="AM351" i="1"/>
  <c r="AU351" i="1" s="1"/>
  <c r="AY351" i="1" s="1"/>
  <c r="AL351" i="1"/>
  <c r="AD351" i="1"/>
  <c r="AM350" i="1"/>
  <c r="AU350" i="1" s="1"/>
  <c r="AY350" i="1" s="1"/>
  <c r="AL350" i="1"/>
  <c r="AD350" i="1"/>
  <c r="AM349" i="1"/>
  <c r="AU349" i="1" s="1"/>
  <c r="AY349" i="1" s="1"/>
  <c r="AL349" i="1"/>
  <c r="AD349" i="1"/>
  <c r="AM348" i="1"/>
  <c r="AU348" i="1" s="1"/>
  <c r="AY348" i="1" s="1"/>
  <c r="AL348" i="1"/>
  <c r="AD348" i="1"/>
  <c r="AM347" i="1"/>
  <c r="AU347" i="1" s="1"/>
  <c r="AY347" i="1" s="1"/>
  <c r="AL347" i="1"/>
  <c r="AD347" i="1"/>
  <c r="AM346" i="1"/>
  <c r="AU346" i="1" s="1"/>
  <c r="AY346" i="1" s="1"/>
  <c r="AL346" i="1"/>
  <c r="AD346" i="1"/>
  <c r="AM345" i="1"/>
  <c r="AU345" i="1" s="1"/>
  <c r="AY345" i="1" s="1"/>
  <c r="AL345" i="1"/>
  <c r="AD345" i="1"/>
  <c r="AM344" i="1"/>
  <c r="AU344" i="1" s="1"/>
  <c r="AY344" i="1" s="1"/>
  <c r="AL344" i="1"/>
  <c r="AD344" i="1"/>
  <c r="AM343" i="1"/>
  <c r="AU343" i="1" s="1"/>
  <c r="AY343" i="1" s="1"/>
  <c r="AL343" i="1"/>
  <c r="AD343" i="1"/>
  <c r="AM342" i="1"/>
  <c r="AU342" i="1" s="1"/>
  <c r="AY342" i="1" s="1"/>
  <c r="AL342" i="1"/>
  <c r="AD342" i="1"/>
  <c r="AM341" i="1"/>
  <c r="AU341" i="1" s="1"/>
  <c r="AY341" i="1" s="1"/>
  <c r="AL341" i="1"/>
  <c r="AD341" i="1"/>
  <c r="AM340" i="1"/>
  <c r="AU340" i="1" s="1"/>
  <c r="AY340" i="1" s="1"/>
  <c r="AL340" i="1"/>
  <c r="AD340" i="1"/>
  <c r="AM339" i="1"/>
  <c r="AU339" i="1" s="1"/>
  <c r="AY339" i="1" s="1"/>
  <c r="AL339" i="1"/>
  <c r="AD339" i="1"/>
  <c r="AM338" i="1"/>
  <c r="AU338" i="1" s="1"/>
  <c r="AY338" i="1" s="1"/>
  <c r="AL338" i="1"/>
  <c r="AD338" i="1"/>
  <c r="AM337" i="1"/>
  <c r="AU337" i="1" s="1"/>
  <c r="AY337" i="1" s="1"/>
  <c r="AL337" i="1"/>
  <c r="AD337" i="1"/>
  <c r="AM336" i="1"/>
  <c r="AU336" i="1" s="1"/>
  <c r="AY336" i="1" s="1"/>
  <c r="AL336" i="1"/>
  <c r="AD336" i="1"/>
  <c r="AM335" i="1"/>
  <c r="AU335" i="1" s="1"/>
  <c r="AY335" i="1" s="1"/>
  <c r="AL335" i="1"/>
  <c r="AD335" i="1"/>
  <c r="AM334" i="1"/>
  <c r="AU334" i="1" s="1"/>
  <c r="AY334" i="1" s="1"/>
  <c r="AL334" i="1"/>
  <c r="AD334" i="1"/>
  <c r="AM333" i="1"/>
  <c r="AU333" i="1" s="1"/>
  <c r="AY333" i="1" s="1"/>
  <c r="AL333" i="1"/>
  <c r="AD333" i="1"/>
  <c r="AM332" i="1"/>
  <c r="AU332" i="1" s="1"/>
  <c r="AY332" i="1" s="1"/>
  <c r="AL332" i="1"/>
  <c r="AD332" i="1"/>
  <c r="AM331" i="1"/>
  <c r="AU331" i="1" s="1"/>
  <c r="AY331" i="1" s="1"/>
  <c r="AL331" i="1"/>
  <c r="AD331" i="1"/>
  <c r="AM330" i="1"/>
  <c r="AU330" i="1" s="1"/>
  <c r="AY330" i="1" s="1"/>
  <c r="AL330" i="1"/>
  <c r="AD330" i="1"/>
  <c r="AM329" i="1"/>
  <c r="AU329" i="1" s="1"/>
  <c r="AY329" i="1" s="1"/>
  <c r="AL329" i="1"/>
  <c r="AD329" i="1"/>
  <c r="AM328" i="1"/>
  <c r="AU328" i="1" s="1"/>
  <c r="AY328" i="1" s="1"/>
  <c r="AL328" i="1"/>
  <c r="AD328" i="1"/>
  <c r="AM327" i="1"/>
  <c r="AU327" i="1" s="1"/>
  <c r="AY327" i="1" s="1"/>
  <c r="AL327" i="1"/>
  <c r="AD327" i="1"/>
  <c r="AM326" i="1"/>
  <c r="AU326" i="1" s="1"/>
  <c r="AY326" i="1" s="1"/>
  <c r="AL326" i="1"/>
  <c r="AD326" i="1"/>
  <c r="AM325" i="1"/>
  <c r="AU325" i="1" s="1"/>
  <c r="AY325" i="1" s="1"/>
  <c r="AL325" i="1"/>
  <c r="AD325" i="1"/>
  <c r="AM324" i="1"/>
  <c r="AU324" i="1" s="1"/>
  <c r="AY324" i="1" s="1"/>
  <c r="AL324" i="1"/>
  <c r="AD324" i="1"/>
  <c r="AM323" i="1"/>
  <c r="AU323" i="1" s="1"/>
  <c r="AY323" i="1" s="1"/>
  <c r="AL323" i="1"/>
  <c r="AD323" i="1"/>
  <c r="AM322" i="1"/>
  <c r="AU322" i="1" s="1"/>
  <c r="AY322" i="1" s="1"/>
  <c r="AL322" i="1"/>
  <c r="AD322" i="1"/>
  <c r="AM321" i="1"/>
  <c r="AU321" i="1" s="1"/>
  <c r="AY321" i="1" s="1"/>
  <c r="AL321" i="1"/>
  <c r="AD321" i="1"/>
  <c r="AM320" i="1"/>
  <c r="AU320" i="1" s="1"/>
  <c r="AY320" i="1" s="1"/>
  <c r="AL320" i="1"/>
  <c r="AD320" i="1"/>
  <c r="AM319" i="1"/>
  <c r="AU319" i="1" s="1"/>
  <c r="AY319" i="1" s="1"/>
  <c r="AL319" i="1"/>
  <c r="AD319" i="1"/>
  <c r="AM318" i="1"/>
  <c r="AU318" i="1" s="1"/>
  <c r="AY318" i="1" s="1"/>
  <c r="AL318" i="1"/>
  <c r="AD318" i="1"/>
  <c r="AM317" i="1"/>
  <c r="AU317" i="1" s="1"/>
  <c r="AY317" i="1" s="1"/>
  <c r="AL317" i="1"/>
  <c r="AD317" i="1"/>
  <c r="AM316" i="1"/>
  <c r="AU316" i="1" s="1"/>
  <c r="AY316" i="1" s="1"/>
  <c r="AL316" i="1"/>
  <c r="AD316" i="1"/>
  <c r="AM315" i="1"/>
  <c r="AU315" i="1" s="1"/>
  <c r="AY315" i="1" s="1"/>
  <c r="AL315" i="1"/>
  <c r="AD315" i="1"/>
  <c r="AM314" i="1"/>
  <c r="AU314" i="1" s="1"/>
  <c r="AY314" i="1" s="1"/>
  <c r="AL314" i="1"/>
  <c r="AD314" i="1"/>
  <c r="AM313" i="1"/>
  <c r="AU313" i="1" s="1"/>
  <c r="AY313" i="1" s="1"/>
  <c r="AL313" i="1"/>
  <c r="AD313" i="1"/>
  <c r="AM312" i="1"/>
  <c r="AU312" i="1" s="1"/>
  <c r="AY312" i="1" s="1"/>
  <c r="AL312" i="1"/>
  <c r="AD312" i="1"/>
  <c r="AM311" i="1"/>
  <c r="AU311" i="1" s="1"/>
  <c r="AY311" i="1" s="1"/>
  <c r="AL311" i="1"/>
  <c r="AD311" i="1"/>
  <c r="AM310" i="1"/>
  <c r="AU310" i="1" s="1"/>
  <c r="AY310" i="1" s="1"/>
  <c r="AL310" i="1"/>
  <c r="AD310" i="1"/>
  <c r="AM309" i="1"/>
  <c r="AU309" i="1" s="1"/>
  <c r="AY309" i="1" s="1"/>
  <c r="AL309" i="1"/>
  <c r="AD309" i="1"/>
  <c r="AM308" i="1"/>
  <c r="AU308" i="1" s="1"/>
  <c r="AY308" i="1" s="1"/>
  <c r="AL308" i="1"/>
  <c r="AD308" i="1"/>
  <c r="AM307" i="1"/>
  <c r="AU307" i="1" s="1"/>
  <c r="AY307" i="1" s="1"/>
  <c r="AL307" i="1"/>
  <c r="AD307" i="1"/>
  <c r="AM306" i="1"/>
  <c r="AU306" i="1" s="1"/>
  <c r="AY306" i="1" s="1"/>
  <c r="AL306" i="1"/>
  <c r="AD306" i="1"/>
  <c r="AM305" i="1"/>
  <c r="AU305" i="1" s="1"/>
  <c r="AY305" i="1" s="1"/>
  <c r="AL305" i="1"/>
  <c r="AD305" i="1"/>
  <c r="AM304" i="1"/>
  <c r="AU304" i="1" s="1"/>
  <c r="AY304" i="1" s="1"/>
  <c r="AL304" i="1"/>
  <c r="AD304" i="1"/>
  <c r="AM303" i="1"/>
  <c r="AU303" i="1" s="1"/>
  <c r="AY303" i="1" s="1"/>
  <c r="AL303" i="1"/>
  <c r="AD303" i="1"/>
  <c r="AM302" i="1"/>
  <c r="AU302" i="1" s="1"/>
  <c r="AY302" i="1" s="1"/>
  <c r="AL302" i="1"/>
  <c r="AD302" i="1"/>
  <c r="AM13" i="1"/>
  <c r="AU13" i="1" s="1"/>
  <c r="AY13" i="1" s="1"/>
  <c r="AL13" i="1"/>
  <c r="AD13" i="1"/>
  <c r="AM11" i="1"/>
  <c r="AU11" i="1" s="1"/>
  <c r="AY11" i="1" s="1"/>
  <c r="AL11" i="1"/>
  <c r="AD11" i="1"/>
  <c r="AM301" i="1"/>
  <c r="AU301" i="1" s="1"/>
  <c r="AY301" i="1" s="1"/>
  <c r="AL301" i="1"/>
  <c r="AD301" i="1"/>
  <c r="AM300" i="1"/>
  <c r="AU300" i="1" s="1"/>
  <c r="AY300" i="1" s="1"/>
  <c r="AL300" i="1"/>
  <c r="AD300" i="1"/>
  <c r="AM299" i="1"/>
  <c r="AU299" i="1" s="1"/>
  <c r="AY299" i="1" s="1"/>
  <c r="AL299" i="1"/>
  <c r="AD299" i="1"/>
  <c r="AM298" i="1"/>
  <c r="AU298" i="1" s="1"/>
  <c r="AY298" i="1" s="1"/>
  <c r="AL298" i="1"/>
  <c r="AD298" i="1"/>
  <c r="AM297" i="1"/>
  <c r="AU297" i="1" s="1"/>
  <c r="AY297" i="1" s="1"/>
  <c r="AL297" i="1"/>
  <c r="AD297" i="1"/>
  <c r="AM296" i="1"/>
  <c r="AU296" i="1" s="1"/>
  <c r="AY296" i="1" s="1"/>
  <c r="AL296" i="1"/>
  <c r="AD296" i="1"/>
  <c r="AM295" i="1"/>
  <c r="AU295" i="1" s="1"/>
  <c r="AY295" i="1" s="1"/>
  <c r="AL295" i="1"/>
  <c r="AD295" i="1"/>
  <c r="AM294" i="1"/>
  <c r="AU294" i="1" s="1"/>
  <c r="AY294" i="1" s="1"/>
  <c r="AL294" i="1"/>
  <c r="AD294" i="1"/>
  <c r="AM293" i="1"/>
  <c r="AU293" i="1" s="1"/>
  <c r="AY293" i="1" s="1"/>
  <c r="AL293" i="1"/>
  <c r="AD293" i="1"/>
  <c r="AM292" i="1"/>
  <c r="AU292" i="1" s="1"/>
  <c r="AY292" i="1" s="1"/>
  <c r="AL292" i="1"/>
  <c r="AD292" i="1"/>
  <c r="AM291" i="1"/>
  <c r="AU291" i="1" s="1"/>
  <c r="AY291" i="1" s="1"/>
  <c r="AL291" i="1"/>
  <c r="AD291" i="1"/>
  <c r="AM290" i="1"/>
  <c r="AU290" i="1" s="1"/>
  <c r="AY290" i="1" s="1"/>
  <c r="AL290" i="1"/>
  <c r="AD290" i="1"/>
  <c r="AM7" i="1"/>
  <c r="AU7" i="1" s="1"/>
  <c r="AY7" i="1" s="1"/>
  <c r="AL7" i="1"/>
  <c r="AD7" i="1"/>
  <c r="AM289" i="1"/>
  <c r="AU289" i="1" s="1"/>
  <c r="AY289" i="1" s="1"/>
  <c r="AL289" i="1"/>
  <c r="AD289" i="1"/>
  <c r="AM288" i="1"/>
  <c r="AU288" i="1" s="1"/>
  <c r="AY288" i="1" s="1"/>
  <c r="AL288" i="1"/>
  <c r="AD288" i="1"/>
  <c r="AM287" i="1"/>
  <c r="AU287" i="1" s="1"/>
  <c r="AY287" i="1" s="1"/>
  <c r="AL287" i="1"/>
  <c r="AD287" i="1"/>
  <c r="AM286" i="1"/>
  <c r="AU286" i="1" s="1"/>
  <c r="AY286" i="1" s="1"/>
  <c r="AL286" i="1"/>
  <c r="AD286" i="1"/>
  <c r="AM285" i="1"/>
  <c r="AU285" i="1" s="1"/>
  <c r="AY285" i="1" s="1"/>
  <c r="AL285" i="1"/>
  <c r="AD285" i="1"/>
  <c r="AM284" i="1"/>
  <c r="AU284" i="1" s="1"/>
  <c r="AY284" i="1" s="1"/>
  <c r="AL284" i="1"/>
  <c r="AD284" i="1"/>
  <c r="AM283" i="1"/>
  <c r="AU283" i="1" s="1"/>
  <c r="AY283" i="1" s="1"/>
  <c r="AL283" i="1"/>
  <c r="AD283" i="1"/>
  <c r="AM282" i="1"/>
  <c r="AU282" i="1" s="1"/>
  <c r="AY282" i="1" s="1"/>
  <c r="AL282" i="1"/>
  <c r="AD282" i="1"/>
  <c r="AM281" i="1"/>
  <c r="AU281" i="1" s="1"/>
  <c r="AY281" i="1" s="1"/>
  <c r="AL281" i="1"/>
  <c r="AD281" i="1"/>
  <c r="AM280" i="1"/>
  <c r="AU280" i="1" s="1"/>
  <c r="AY280" i="1" s="1"/>
  <c r="AL280" i="1"/>
  <c r="AD280" i="1"/>
  <c r="AM279" i="1"/>
  <c r="AU279" i="1" s="1"/>
  <c r="AY279" i="1" s="1"/>
  <c r="AL279" i="1"/>
  <c r="AD279" i="1"/>
  <c r="AM278" i="1"/>
  <c r="AU278" i="1" s="1"/>
  <c r="AY278" i="1" s="1"/>
  <c r="AL278" i="1"/>
  <c r="AD278" i="1"/>
  <c r="AM277" i="1"/>
  <c r="AU277" i="1" s="1"/>
  <c r="AY277" i="1" s="1"/>
  <c r="AL277" i="1"/>
  <c r="AD277" i="1"/>
  <c r="AM276" i="1"/>
  <c r="AU276" i="1" s="1"/>
  <c r="AY276" i="1" s="1"/>
  <c r="AL276" i="1"/>
  <c r="AD276" i="1"/>
  <c r="AM275" i="1"/>
  <c r="AU275" i="1" s="1"/>
  <c r="AY275" i="1" s="1"/>
  <c r="AL275" i="1"/>
  <c r="AD275" i="1"/>
  <c r="AM274" i="1"/>
  <c r="AU274" i="1" s="1"/>
  <c r="AY274" i="1" s="1"/>
  <c r="AL274" i="1"/>
  <c r="AD274" i="1"/>
  <c r="AM273" i="1"/>
  <c r="AU273" i="1" s="1"/>
  <c r="AY273" i="1" s="1"/>
  <c r="AL273" i="1"/>
  <c r="AD273" i="1"/>
  <c r="AM272" i="1"/>
  <c r="AU272" i="1" s="1"/>
  <c r="AY272" i="1" s="1"/>
  <c r="AL272" i="1"/>
  <c r="AD272" i="1"/>
  <c r="AM271" i="1"/>
  <c r="AU271" i="1" s="1"/>
  <c r="AY271" i="1" s="1"/>
  <c r="AL271" i="1"/>
  <c r="AD271" i="1"/>
  <c r="AM270" i="1"/>
  <c r="AU270" i="1" s="1"/>
  <c r="AY270" i="1" s="1"/>
  <c r="AL270" i="1"/>
  <c r="AD270" i="1"/>
  <c r="AM269" i="1"/>
  <c r="AU269" i="1" s="1"/>
  <c r="AY269" i="1" s="1"/>
  <c r="AL269" i="1"/>
  <c r="AD269" i="1"/>
  <c r="AM268" i="1"/>
  <c r="AU268" i="1" s="1"/>
  <c r="AY268" i="1" s="1"/>
  <c r="AL268" i="1"/>
  <c r="AD268" i="1"/>
  <c r="AM267" i="1"/>
  <c r="AU267" i="1" s="1"/>
  <c r="AY267" i="1" s="1"/>
  <c r="AL267" i="1"/>
  <c r="AD267" i="1"/>
  <c r="AM266" i="1"/>
  <c r="AU266" i="1" s="1"/>
  <c r="AY266" i="1" s="1"/>
  <c r="AL266" i="1"/>
  <c r="AD266" i="1"/>
  <c r="AM265" i="1"/>
  <c r="AU265" i="1" s="1"/>
  <c r="AY265" i="1" s="1"/>
  <c r="AL265" i="1"/>
  <c r="AD265" i="1"/>
  <c r="AM264" i="1"/>
  <c r="AU264" i="1" s="1"/>
  <c r="AY264" i="1" s="1"/>
  <c r="AL264" i="1"/>
  <c r="AD264" i="1"/>
  <c r="AM263" i="1"/>
  <c r="AU263" i="1" s="1"/>
  <c r="AY263" i="1" s="1"/>
  <c r="AL263" i="1"/>
  <c r="AD263" i="1"/>
  <c r="AM262" i="1"/>
  <c r="AU262" i="1" s="1"/>
  <c r="AY262" i="1" s="1"/>
  <c r="AL262" i="1"/>
  <c r="AD262" i="1"/>
  <c r="AM261" i="1"/>
  <c r="AU261" i="1" s="1"/>
  <c r="AY261" i="1" s="1"/>
  <c r="AL261" i="1"/>
  <c r="AD261" i="1"/>
  <c r="AM260" i="1"/>
  <c r="AU260" i="1" s="1"/>
  <c r="AY260" i="1" s="1"/>
  <c r="AL260" i="1"/>
  <c r="AD260" i="1"/>
  <c r="AM259" i="1"/>
  <c r="AU259" i="1" s="1"/>
  <c r="AY259" i="1" s="1"/>
  <c r="AL259" i="1"/>
  <c r="AD259" i="1"/>
  <c r="AM258" i="1"/>
  <c r="AU258" i="1" s="1"/>
  <c r="AY258" i="1" s="1"/>
  <c r="AL258" i="1"/>
  <c r="AD258" i="1"/>
  <c r="AM257" i="1"/>
  <c r="AU257" i="1" s="1"/>
  <c r="AY257" i="1" s="1"/>
  <c r="AL257" i="1"/>
  <c r="AD257" i="1"/>
  <c r="AM256" i="1"/>
  <c r="AU256" i="1" s="1"/>
  <c r="AY256" i="1" s="1"/>
  <c r="AL256" i="1"/>
  <c r="AD256" i="1"/>
  <c r="AM255" i="1"/>
  <c r="AU255" i="1" s="1"/>
  <c r="AY255" i="1" s="1"/>
  <c r="AL255" i="1"/>
  <c r="AD255" i="1"/>
  <c r="AM254" i="1"/>
  <c r="AU254" i="1" s="1"/>
  <c r="AY254" i="1" s="1"/>
  <c r="AL254" i="1"/>
  <c r="AD254" i="1"/>
  <c r="AM253" i="1"/>
  <c r="AU253" i="1" s="1"/>
  <c r="AY253" i="1" s="1"/>
  <c r="AL253" i="1"/>
  <c r="AD253" i="1"/>
  <c r="AM252" i="1"/>
  <c r="AU252" i="1" s="1"/>
  <c r="AY252" i="1" s="1"/>
  <c r="AL252" i="1"/>
  <c r="AD252" i="1"/>
  <c r="AM251" i="1"/>
  <c r="AU251" i="1" s="1"/>
  <c r="AY251" i="1" s="1"/>
  <c r="AL251" i="1"/>
  <c r="AD251" i="1"/>
  <c r="AU250" i="1"/>
  <c r="AY250" i="1" s="1"/>
  <c r="AM250" i="1"/>
  <c r="AL250" i="1"/>
  <c r="AD250" i="1"/>
  <c r="AM249" i="1"/>
  <c r="AU249" i="1" s="1"/>
  <c r="AY249" i="1" s="1"/>
  <c r="AL249" i="1"/>
  <c r="AD249" i="1"/>
  <c r="AM248" i="1"/>
  <c r="AU248" i="1" s="1"/>
  <c r="AY248" i="1" s="1"/>
  <c r="AL248" i="1"/>
  <c r="AD248" i="1"/>
  <c r="AM247" i="1"/>
  <c r="AU247" i="1" s="1"/>
  <c r="AY247" i="1" s="1"/>
  <c r="AL247" i="1"/>
  <c r="AD247" i="1"/>
  <c r="AM246" i="1"/>
  <c r="AU246" i="1" s="1"/>
  <c r="AY246" i="1" s="1"/>
  <c r="AL246" i="1"/>
  <c r="AD246" i="1"/>
  <c r="AM245" i="1"/>
  <c r="AU245" i="1" s="1"/>
  <c r="AY245" i="1" s="1"/>
  <c r="AL245" i="1"/>
  <c r="AD245" i="1"/>
  <c r="AM244" i="1"/>
  <c r="AU244" i="1" s="1"/>
  <c r="AY244" i="1" s="1"/>
  <c r="AL244" i="1"/>
  <c r="AD244" i="1"/>
  <c r="AM243" i="1"/>
  <c r="AU243" i="1" s="1"/>
  <c r="AY243" i="1" s="1"/>
  <c r="AL243" i="1"/>
  <c r="AD243" i="1"/>
  <c r="AM242" i="1"/>
  <c r="AU242" i="1" s="1"/>
  <c r="AY242" i="1" s="1"/>
  <c r="AL242" i="1"/>
  <c r="AD242" i="1"/>
  <c r="AM241" i="1"/>
  <c r="AU241" i="1" s="1"/>
  <c r="AY241" i="1" s="1"/>
  <c r="AL241" i="1"/>
  <c r="AD241" i="1"/>
  <c r="AM240" i="1"/>
  <c r="AU240" i="1" s="1"/>
  <c r="AY240" i="1" s="1"/>
  <c r="AL240" i="1"/>
  <c r="AD240" i="1"/>
  <c r="AM239" i="1"/>
  <c r="AU239" i="1" s="1"/>
  <c r="AY239" i="1" s="1"/>
  <c r="AL239" i="1"/>
  <c r="AD239" i="1"/>
  <c r="AM238" i="1"/>
  <c r="AU238" i="1" s="1"/>
  <c r="AY238" i="1" s="1"/>
  <c r="AL238" i="1"/>
  <c r="AD238" i="1"/>
  <c r="AM237" i="1"/>
  <c r="AU237" i="1" s="1"/>
  <c r="AY237" i="1" s="1"/>
  <c r="AL237" i="1"/>
  <c r="AD237" i="1"/>
  <c r="AM236" i="1"/>
  <c r="AU236" i="1" s="1"/>
  <c r="AY236" i="1" s="1"/>
  <c r="AL236" i="1"/>
  <c r="AD236" i="1"/>
  <c r="AM235" i="1"/>
  <c r="AU235" i="1" s="1"/>
  <c r="AY235" i="1" s="1"/>
  <c r="AL235" i="1"/>
  <c r="AD235" i="1"/>
  <c r="AM234" i="1"/>
  <c r="AU234" i="1" s="1"/>
  <c r="AY234" i="1" s="1"/>
  <c r="AL234" i="1"/>
  <c r="AD234" i="1"/>
  <c r="AM233" i="1"/>
  <c r="AU233" i="1" s="1"/>
  <c r="AY233" i="1" s="1"/>
  <c r="AL233" i="1"/>
  <c r="AD233" i="1"/>
  <c r="AM232" i="1"/>
  <c r="AU232" i="1" s="1"/>
  <c r="AY232" i="1" s="1"/>
  <c r="AL232" i="1"/>
  <c r="AD232" i="1"/>
  <c r="AM231" i="1"/>
  <c r="AU231" i="1" s="1"/>
  <c r="AY231" i="1" s="1"/>
  <c r="AL231" i="1"/>
  <c r="AD231" i="1"/>
  <c r="AM230" i="1"/>
  <c r="AU230" i="1" s="1"/>
  <c r="AY230" i="1" s="1"/>
  <c r="AL230" i="1"/>
  <c r="AD230" i="1"/>
  <c r="AM229" i="1"/>
  <c r="AU229" i="1" s="1"/>
  <c r="AY229" i="1" s="1"/>
  <c r="AL229" i="1"/>
  <c r="AD229" i="1"/>
  <c r="AM228" i="1"/>
  <c r="AU228" i="1" s="1"/>
  <c r="AY228" i="1" s="1"/>
  <c r="AL228" i="1"/>
  <c r="AD228" i="1"/>
  <c r="AM227" i="1"/>
  <c r="AU227" i="1" s="1"/>
  <c r="AY227" i="1" s="1"/>
  <c r="AL227" i="1"/>
  <c r="AD227" i="1"/>
  <c r="AM226" i="1"/>
  <c r="AU226" i="1" s="1"/>
  <c r="AY226" i="1" s="1"/>
  <c r="AL226" i="1"/>
  <c r="AD226" i="1"/>
  <c r="AM225" i="1"/>
  <c r="AU225" i="1" s="1"/>
  <c r="AY225" i="1" s="1"/>
  <c r="AL225" i="1"/>
  <c r="AD225" i="1"/>
  <c r="AM224" i="1"/>
  <c r="AU224" i="1" s="1"/>
  <c r="AY224" i="1" s="1"/>
  <c r="AL224" i="1"/>
  <c r="AD224" i="1"/>
  <c r="AM223" i="1"/>
  <c r="AU223" i="1" s="1"/>
  <c r="AY223" i="1" s="1"/>
  <c r="AL223" i="1"/>
  <c r="AD223" i="1"/>
  <c r="AM222" i="1"/>
  <c r="AU222" i="1" s="1"/>
  <c r="AY222" i="1" s="1"/>
  <c r="AL222" i="1"/>
  <c r="AD222" i="1"/>
  <c r="AM221" i="1"/>
  <c r="AU221" i="1" s="1"/>
  <c r="AY221" i="1" s="1"/>
  <c r="AL221" i="1"/>
  <c r="AD221" i="1"/>
  <c r="AM220" i="1"/>
  <c r="AU220" i="1" s="1"/>
  <c r="AY220" i="1" s="1"/>
  <c r="AL220" i="1"/>
  <c r="AD220" i="1"/>
  <c r="AM219" i="1"/>
  <c r="AU219" i="1" s="1"/>
  <c r="AY219" i="1" s="1"/>
  <c r="AL219" i="1"/>
  <c r="AD219" i="1"/>
  <c r="AM218" i="1"/>
  <c r="AU218" i="1" s="1"/>
  <c r="AY218" i="1" s="1"/>
  <c r="AL218" i="1"/>
  <c r="AD218" i="1"/>
  <c r="AM217" i="1"/>
  <c r="AU217" i="1" s="1"/>
  <c r="AY217" i="1" s="1"/>
  <c r="AL217" i="1"/>
  <c r="AD217" i="1"/>
  <c r="AM216" i="1"/>
  <c r="AU216" i="1" s="1"/>
  <c r="AY216" i="1" s="1"/>
  <c r="AL216" i="1"/>
  <c r="AD216" i="1"/>
  <c r="AM215" i="1"/>
  <c r="AU215" i="1" s="1"/>
  <c r="AY215" i="1" s="1"/>
  <c r="AL215" i="1"/>
  <c r="AD215" i="1"/>
  <c r="AM214" i="1"/>
  <c r="AU214" i="1" s="1"/>
  <c r="AY214" i="1" s="1"/>
  <c r="AL214" i="1"/>
  <c r="AD214" i="1"/>
  <c r="AM213" i="1"/>
  <c r="AU213" i="1" s="1"/>
  <c r="AY213" i="1" s="1"/>
  <c r="AL213" i="1"/>
  <c r="AD213" i="1"/>
  <c r="AM212" i="1"/>
  <c r="AU212" i="1" s="1"/>
  <c r="AY212" i="1" s="1"/>
  <c r="AL212" i="1"/>
  <c r="AD212" i="1"/>
  <c r="AM211" i="1"/>
  <c r="AU211" i="1" s="1"/>
  <c r="AY211" i="1" s="1"/>
  <c r="AL211" i="1"/>
  <c r="AD211" i="1"/>
  <c r="AM210" i="1"/>
  <c r="AU210" i="1" s="1"/>
  <c r="AY210" i="1" s="1"/>
  <c r="AL210" i="1"/>
  <c r="AD210" i="1"/>
  <c r="AM209" i="1"/>
  <c r="AU209" i="1" s="1"/>
  <c r="AY209" i="1" s="1"/>
  <c r="AL209" i="1"/>
  <c r="AD209" i="1"/>
  <c r="AM208" i="1"/>
  <c r="AU208" i="1" s="1"/>
  <c r="AY208" i="1" s="1"/>
  <c r="AL208" i="1"/>
  <c r="AD208" i="1"/>
  <c r="AM207" i="1"/>
  <c r="AU207" i="1" s="1"/>
  <c r="AY207" i="1" s="1"/>
  <c r="AL207" i="1"/>
  <c r="AD207" i="1"/>
  <c r="AM206" i="1"/>
  <c r="AU206" i="1" s="1"/>
  <c r="AY206" i="1" s="1"/>
  <c r="AL206" i="1"/>
  <c r="AD206" i="1"/>
  <c r="AM205" i="1"/>
  <c r="AU205" i="1" s="1"/>
  <c r="AY205" i="1" s="1"/>
  <c r="AL205" i="1"/>
  <c r="AD205" i="1"/>
  <c r="AM204" i="1"/>
  <c r="AU204" i="1" s="1"/>
  <c r="AY204" i="1" s="1"/>
  <c r="AL204" i="1"/>
  <c r="AD204" i="1"/>
  <c r="AM203" i="1"/>
  <c r="AU203" i="1" s="1"/>
  <c r="AY203" i="1" s="1"/>
  <c r="AL203" i="1"/>
  <c r="AD203" i="1"/>
  <c r="AM202" i="1"/>
  <c r="AU202" i="1" s="1"/>
  <c r="AY202" i="1" s="1"/>
  <c r="AL202" i="1"/>
  <c r="AD202" i="1"/>
  <c r="AM201" i="1"/>
  <c r="AU201" i="1" s="1"/>
  <c r="AY201" i="1" s="1"/>
  <c r="AL201" i="1"/>
  <c r="AD201" i="1"/>
  <c r="AM200" i="1"/>
  <c r="AU200" i="1" s="1"/>
  <c r="AY200" i="1" s="1"/>
  <c r="AL200" i="1"/>
  <c r="AD200" i="1"/>
  <c r="AM199" i="1"/>
  <c r="AU199" i="1" s="1"/>
  <c r="AY199" i="1" s="1"/>
  <c r="AL199" i="1"/>
  <c r="AD199" i="1"/>
  <c r="AM198" i="1"/>
  <c r="AU198" i="1" s="1"/>
  <c r="AY198" i="1" s="1"/>
  <c r="AL198" i="1"/>
  <c r="AD198" i="1"/>
  <c r="AM197" i="1"/>
  <c r="AU197" i="1" s="1"/>
  <c r="AY197" i="1" s="1"/>
  <c r="AL197" i="1"/>
  <c r="AD197" i="1"/>
  <c r="AM196" i="1"/>
  <c r="AU196" i="1" s="1"/>
  <c r="AY196" i="1" s="1"/>
  <c r="AL196" i="1"/>
  <c r="AD196" i="1"/>
  <c r="AM195" i="1"/>
  <c r="AU195" i="1" s="1"/>
  <c r="AY195" i="1" s="1"/>
  <c r="AL195" i="1"/>
  <c r="AD195" i="1"/>
  <c r="AM194" i="1"/>
  <c r="AU194" i="1" s="1"/>
  <c r="AY194" i="1" s="1"/>
  <c r="AL194" i="1"/>
  <c r="AD194" i="1"/>
  <c r="AM193" i="1"/>
  <c r="AU193" i="1" s="1"/>
  <c r="AY193" i="1" s="1"/>
  <c r="AL193" i="1"/>
  <c r="AD193" i="1"/>
  <c r="AM192" i="1"/>
  <c r="AU192" i="1" s="1"/>
  <c r="AY192" i="1" s="1"/>
  <c r="AL192" i="1"/>
  <c r="AD192" i="1"/>
  <c r="AM191" i="1"/>
  <c r="AU191" i="1" s="1"/>
  <c r="AY191" i="1" s="1"/>
  <c r="AL191" i="1"/>
  <c r="AD191" i="1"/>
  <c r="AM190" i="1"/>
  <c r="AU190" i="1" s="1"/>
  <c r="AY190" i="1" s="1"/>
  <c r="AL190" i="1"/>
  <c r="AD190" i="1"/>
  <c r="AM189" i="1"/>
  <c r="AU189" i="1" s="1"/>
  <c r="AY189" i="1" s="1"/>
  <c r="AL189" i="1"/>
  <c r="AD189" i="1"/>
  <c r="AM188" i="1"/>
  <c r="AU188" i="1" s="1"/>
  <c r="AY188" i="1" s="1"/>
  <c r="AL188" i="1"/>
  <c r="AD188" i="1"/>
  <c r="AM187" i="1"/>
  <c r="AU187" i="1" s="1"/>
  <c r="AY187" i="1" s="1"/>
  <c r="AL187" i="1"/>
  <c r="AD187" i="1"/>
  <c r="AM186" i="1"/>
  <c r="AU186" i="1" s="1"/>
  <c r="AY186" i="1" s="1"/>
  <c r="AL186" i="1"/>
  <c r="AD186" i="1"/>
  <c r="AM185" i="1"/>
  <c r="AU185" i="1" s="1"/>
  <c r="AY185" i="1" s="1"/>
  <c r="AL185" i="1"/>
  <c r="AD185" i="1"/>
  <c r="AM184" i="1"/>
  <c r="AU184" i="1" s="1"/>
  <c r="AY184" i="1" s="1"/>
  <c r="AL184" i="1"/>
  <c r="AD184" i="1"/>
  <c r="AM183" i="1"/>
  <c r="AU183" i="1" s="1"/>
  <c r="AY183" i="1" s="1"/>
  <c r="AL183" i="1"/>
  <c r="AD183" i="1"/>
  <c r="AM9" i="1"/>
  <c r="AU9" i="1" s="1"/>
  <c r="AY9" i="1" s="1"/>
  <c r="AL9" i="1"/>
  <c r="AD9" i="1"/>
  <c r="AM182" i="1"/>
  <c r="AU182" i="1" s="1"/>
  <c r="AY182" i="1" s="1"/>
  <c r="AL182" i="1"/>
  <c r="AD182" i="1"/>
  <c r="AM181" i="1"/>
  <c r="AU181" i="1" s="1"/>
  <c r="AY181" i="1" s="1"/>
  <c r="AL181" i="1"/>
  <c r="AD181" i="1"/>
  <c r="AM180" i="1"/>
  <c r="AU180" i="1" s="1"/>
  <c r="AY180" i="1" s="1"/>
  <c r="AL180" i="1"/>
  <c r="AD180" i="1"/>
  <c r="AM12" i="1"/>
  <c r="AU12" i="1" s="1"/>
  <c r="AY12" i="1" s="1"/>
  <c r="AL12" i="1"/>
  <c r="AD12" i="1"/>
  <c r="AM179" i="1"/>
  <c r="AU179" i="1" s="1"/>
  <c r="AY179" i="1" s="1"/>
  <c r="AL179" i="1"/>
  <c r="AD179" i="1"/>
  <c r="AM178" i="1"/>
  <c r="AU178" i="1" s="1"/>
  <c r="AY178" i="1" s="1"/>
  <c r="AL178" i="1"/>
  <c r="AD178" i="1"/>
  <c r="AM177" i="1"/>
  <c r="AU177" i="1" s="1"/>
  <c r="AY177" i="1" s="1"/>
  <c r="AL177" i="1"/>
  <c r="AD177" i="1"/>
  <c r="AM176" i="1"/>
  <c r="AU176" i="1" s="1"/>
  <c r="AY176" i="1" s="1"/>
  <c r="AL176" i="1"/>
  <c r="AD176" i="1"/>
  <c r="AM175" i="1"/>
  <c r="AU175" i="1" s="1"/>
  <c r="AY175" i="1" s="1"/>
  <c r="AL175" i="1"/>
  <c r="AD175" i="1"/>
  <c r="AM174" i="1"/>
  <c r="AU174" i="1" s="1"/>
  <c r="AY174" i="1" s="1"/>
  <c r="AL174" i="1"/>
  <c r="AD174" i="1"/>
  <c r="AM173" i="1"/>
  <c r="AU173" i="1" s="1"/>
  <c r="AY173" i="1" s="1"/>
  <c r="AL173" i="1"/>
  <c r="AD173" i="1"/>
  <c r="AM172" i="1"/>
  <c r="AU172" i="1" s="1"/>
  <c r="AY172" i="1" s="1"/>
  <c r="AL172" i="1"/>
  <c r="AD172" i="1"/>
  <c r="AM171" i="1"/>
  <c r="AU171" i="1" s="1"/>
  <c r="AY171" i="1" s="1"/>
  <c r="AL171" i="1"/>
  <c r="AD171" i="1"/>
  <c r="AM170" i="1"/>
  <c r="AU170" i="1" s="1"/>
  <c r="AY170" i="1" s="1"/>
  <c r="AL170" i="1"/>
  <c r="AD170" i="1"/>
  <c r="AM169" i="1"/>
  <c r="AU169" i="1" s="1"/>
  <c r="AY169" i="1" s="1"/>
  <c r="AL169" i="1"/>
  <c r="AD169" i="1"/>
  <c r="AM168" i="1"/>
  <c r="AU168" i="1" s="1"/>
  <c r="AY168" i="1" s="1"/>
  <c r="AL168" i="1"/>
  <c r="AD168" i="1"/>
  <c r="AM167" i="1"/>
  <c r="AU167" i="1" s="1"/>
  <c r="AY167" i="1" s="1"/>
  <c r="AL167" i="1"/>
  <c r="AD167" i="1"/>
  <c r="AM166" i="1"/>
  <c r="AU166" i="1" s="1"/>
  <c r="AY166" i="1" s="1"/>
  <c r="AL166" i="1"/>
  <c r="AD166" i="1"/>
  <c r="AM165" i="1"/>
  <c r="AU165" i="1" s="1"/>
  <c r="AY165" i="1" s="1"/>
  <c r="AL165" i="1"/>
  <c r="AD165" i="1"/>
  <c r="AM164" i="1"/>
  <c r="AU164" i="1" s="1"/>
  <c r="AY164" i="1" s="1"/>
  <c r="AL164" i="1"/>
  <c r="AD164" i="1"/>
  <c r="AM163" i="1"/>
  <c r="AU163" i="1" s="1"/>
  <c r="AY163" i="1" s="1"/>
  <c r="AL163" i="1"/>
  <c r="AD163" i="1"/>
  <c r="AM162" i="1"/>
  <c r="AU162" i="1" s="1"/>
  <c r="AY162" i="1" s="1"/>
  <c r="AL162" i="1"/>
  <c r="AD162" i="1"/>
  <c r="AM161" i="1"/>
  <c r="AU161" i="1" s="1"/>
  <c r="AY161" i="1" s="1"/>
  <c r="AL161" i="1"/>
  <c r="AD161" i="1"/>
  <c r="AM160" i="1"/>
  <c r="AU160" i="1" s="1"/>
  <c r="AY160" i="1" s="1"/>
  <c r="AL160" i="1"/>
  <c r="AD160" i="1"/>
  <c r="AM159" i="1"/>
  <c r="AU159" i="1" s="1"/>
  <c r="AY159" i="1" s="1"/>
  <c r="AL159" i="1"/>
  <c r="AD159" i="1"/>
  <c r="AM158" i="1"/>
  <c r="AU158" i="1" s="1"/>
  <c r="AY158" i="1" s="1"/>
  <c r="AL158" i="1"/>
  <c r="AD158" i="1"/>
  <c r="AM157" i="1"/>
  <c r="AU157" i="1" s="1"/>
  <c r="AY157" i="1" s="1"/>
  <c r="AL157" i="1"/>
  <c r="AD157" i="1"/>
  <c r="AM156" i="1"/>
  <c r="AU156" i="1" s="1"/>
  <c r="AY156" i="1" s="1"/>
  <c r="AL156" i="1"/>
  <c r="AD156" i="1"/>
  <c r="AM155" i="1"/>
  <c r="AU155" i="1" s="1"/>
  <c r="AY155" i="1" s="1"/>
  <c r="AL155" i="1"/>
  <c r="AD155" i="1"/>
  <c r="AM154" i="1"/>
  <c r="AU154" i="1" s="1"/>
  <c r="AY154" i="1" s="1"/>
  <c r="AL154" i="1"/>
  <c r="AD154" i="1"/>
  <c r="AM153" i="1"/>
  <c r="AU153" i="1" s="1"/>
  <c r="AY153" i="1" s="1"/>
  <c r="AL153" i="1"/>
  <c r="AD153" i="1"/>
  <c r="AM152" i="1"/>
  <c r="AU152" i="1" s="1"/>
  <c r="AY152" i="1" s="1"/>
  <c r="AL152" i="1"/>
  <c r="AD152" i="1"/>
  <c r="AM151" i="1"/>
  <c r="AU151" i="1" s="1"/>
  <c r="AY151" i="1" s="1"/>
  <c r="AL151" i="1"/>
  <c r="AD151" i="1"/>
  <c r="AM150" i="1"/>
  <c r="AU150" i="1" s="1"/>
  <c r="AY150" i="1" s="1"/>
  <c r="AL150" i="1"/>
  <c r="AD150" i="1"/>
  <c r="AM149" i="1"/>
  <c r="AU149" i="1" s="1"/>
  <c r="AY149" i="1" s="1"/>
  <c r="AL149" i="1"/>
  <c r="AD149" i="1"/>
  <c r="AM148" i="1"/>
  <c r="AU148" i="1" s="1"/>
  <c r="AY148" i="1" s="1"/>
  <c r="AL148" i="1"/>
  <c r="AD148" i="1"/>
  <c r="AM147" i="1"/>
  <c r="AU147" i="1" s="1"/>
  <c r="AY147" i="1" s="1"/>
  <c r="AL147" i="1"/>
  <c r="AD147" i="1"/>
  <c r="AM146" i="1"/>
  <c r="AU146" i="1" s="1"/>
  <c r="AY146" i="1" s="1"/>
  <c r="AL146" i="1"/>
  <c r="AD146" i="1"/>
  <c r="AM6" i="1"/>
  <c r="AU6" i="1" s="1"/>
  <c r="AY6" i="1" s="1"/>
  <c r="AL6" i="1"/>
  <c r="AD6" i="1"/>
  <c r="AM145" i="1"/>
  <c r="AU145" i="1" s="1"/>
  <c r="AY145" i="1" s="1"/>
  <c r="AL145" i="1"/>
  <c r="AD145" i="1"/>
  <c r="AM144" i="1"/>
  <c r="AU144" i="1" s="1"/>
  <c r="AY144" i="1" s="1"/>
  <c r="AL144" i="1"/>
  <c r="AD144" i="1"/>
  <c r="AM143" i="1"/>
  <c r="AU143" i="1" s="1"/>
  <c r="AY143" i="1" s="1"/>
  <c r="AL143" i="1"/>
  <c r="AD143" i="1"/>
  <c r="AM142" i="1"/>
  <c r="AU142" i="1" s="1"/>
  <c r="AY142" i="1" s="1"/>
  <c r="AL142" i="1"/>
  <c r="AD142" i="1"/>
  <c r="AM10" i="1"/>
  <c r="AU10" i="1" s="1"/>
  <c r="AY10" i="1" s="1"/>
  <c r="AL10" i="1"/>
  <c r="AD10" i="1"/>
  <c r="AM141" i="1"/>
  <c r="AU141" i="1" s="1"/>
  <c r="AY141" i="1" s="1"/>
  <c r="AL141" i="1"/>
  <c r="AD141" i="1"/>
  <c r="AM140" i="1"/>
  <c r="AU140" i="1" s="1"/>
  <c r="AY140" i="1" s="1"/>
  <c r="AL140" i="1"/>
  <c r="AD140" i="1"/>
  <c r="AM139" i="1"/>
  <c r="AU139" i="1" s="1"/>
  <c r="AY139" i="1" s="1"/>
  <c r="AL139" i="1"/>
  <c r="AD139" i="1"/>
  <c r="AM138" i="1"/>
  <c r="AU138" i="1" s="1"/>
  <c r="AY138" i="1" s="1"/>
  <c r="AL138" i="1"/>
  <c r="AD138" i="1"/>
  <c r="AM137" i="1"/>
  <c r="AU137" i="1" s="1"/>
  <c r="AY137" i="1" s="1"/>
  <c r="AL137" i="1"/>
  <c r="AD137" i="1"/>
  <c r="AM136" i="1"/>
  <c r="AU136" i="1" s="1"/>
  <c r="AY136" i="1" s="1"/>
  <c r="AL136" i="1"/>
  <c r="AD136" i="1"/>
  <c r="AM135" i="1"/>
  <c r="AU135" i="1" s="1"/>
  <c r="AY135" i="1" s="1"/>
  <c r="AL135" i="1"/>
  <c r="AD135" i="1"/>
  <c r="AM134" i="1"/>
  <c r="AU134" i="1" s="1"/>
  <c r="AY134" i="1" s="1"/>
  <c r="AL134" i="1"/>
  <c r="AD134" i="1"/>
  <c r="AM133" i="1"/>
  <c r="AU133" i="1" s="1"/>
  <c r="AY133" i="1" s="1"/>
  <c r="AL133" i="1"/>
  <c r="AD133" i="1"/>
  <c r="AM132" i="1"/>
  <c r="AU132" i="1" s="1"/>
  <c r="AY132" i="1" s="1"/>
  <c r="AL132" i="1"/>
  <c r="AD132" i="1"/>
  <c r="AM131" i="1"/>
  <c r="AU131" i="1" s="1"/>
  <c r="AY131" i="1" s="1"/>
  <c r="AL131" i="1"/>
  <c r="AD131" i="1"/>
  <c r="AM130" i="1"/>
  <c r="AU130" i="1" s="1"/>
  <c r="AY130" i="1" s="1"/>
  <c r="AL130" i="1"/>
  <c r="AD130" i="1"/>
  <c r="AM129" i="1"/>
  <c r="AU129" i="1" s="1"/>
  <c r="AY129" i="1" s="1"/>
  <c r="AL129" i="1"/>
  <c r="AD129" i="1"/>
  <c r="AM128" i="1"/>
  <c r="AU128" i="1" s="1"/>
  <c r="AY128" i="1" s="1"/>
  <c r="AL128" i="1"/>
  <c r="AD128" i="1"/>
  <c r="AM127" i="1"/>
  <c r="AU127" i="1" s="1"/>
  <c r="AY127" i="1" s="1"/>
  <c r="AL127" i="1"/>
  <c r="AD127" i="1"/>
  <c r="AM126" i="1"/>
  <c r="AU126" i="1" s="1"/>
  <c r="AY126" i="1" s="1"/>
  <c r="AL126" i="1"/>
  <c r="AD126" i="1"/>
  <c r="AM125" i="1"/>
  <c r="AU125" i="1" s="1"/>
  <c r="AY125" i="1" s="1"/>
  <c r="AL125" i="1"/>
  <c r="AD125" i="1"/>
  <c r="AM124" i="1"/>
  <c r="AU124" i="1" s="1"/>
  <c r="AY124" i="1" s="1"/>
  <c r="AL124" i="1"/>
  <c r="AD124" i="1"/>
  <c r="AM123" i="1"/>
  <c r="AU123" i="1" s="1"/>
  <c r="AY123" i="1" s="1"/>
  <c r="AL123" i="1"/>
  <c r="AD123" i="1"/>
  <c r="AM122" i="1"/>
  <c r="AU122" i="1" s="1"/>
  <c r="AY122" i="1" s="1"/>
  <c r="AL122" i="1"/>
  <c r="AD122" i="1"/>
  <c r="AM121" i="1"/>
  <c r="AU121" i="1" s="1"/>
  <c r="AY121" i="1" s="1"/>
  <c r="AL121" i="1"/>
  <c r="AD121" i="1"/>
  <c r="AM120" i="1"/>
  <c r="AU120" i="1" s="1"/>
  <c r="AY120" i="1" s="1"/>
  <c r="AL120" i="1"/>
  <c r="AD120" i="1"/>
  <c r="AM119" i="1"/>
  <c r="AU119" i="1" s="1"/>
  <c r="AY119" i="1" s="1"/>
  <c r="AL119" i="1"/>
  <c r="AD119" i="1"/>
  <c r="AM118" i="1"/>
  <c r="AU118" i="1" s="1"/>
  <c r="AY118" i="1" s="1"/>
  <c r="AL118" i="1"/>
  <c r="AD118" i="1"/>
  <c r="AM117" i="1"/>
  <c r="AU117" i="1" s="1"/>
  <c r="AY117" i="1" s="1"/>
  <c r="AL117" i="1"/>
  <c r="AD117" i="1"/>
  <c r="AM116" i="1"/>
  <c r="AU116" i="1" s="1"/>
  <c r="AY116" i="1" s="1"/>
  <c r="AL116" i="1"/>
  <c r="AD116" i="1"/>
  <c r="AM115" i="1"/>
  <c r="AU115" i="1" s="1"/>
  <c r="AY115" i="1" s="1"/>
  <c r="AL115" i="1"/>
  <c r="AD115" i="1"/>
  <c r="AM114" i="1"/>
  <c r="AU114" i="1" s="1"/>
  <c r="AY114" i="1" s="1"/>
  <c r="AL114" i="1"/>
  <c r="AD114" i="1"/>
  <c r="AM113" i="1"/>
  <c r="AU113" i="1" s="1"/>
  <c r="AY113" i="1" s="1"/>
  <c r="AL113" i="1"/>
  <c r="AD113" i="1"/>
  <c r="AM112" i="1"/>
  <c r="AU112" i="1" s="1"/>
  <c r="AY112" i="1" s="1"/>
  <c r="AL112" i="1"/>
  <c r="AD112" i="1"/>
  <c r="AM111" i="1"/>
  <c r="AU111" i="1" s="1"/>
  <c r="AY111" i="1" s="1"/>
  <c r="AL111" i="1"/>
  <c r="AD111" i="1"/>
  <c r="AM110" i="1"/>
  <c r="AU110" i="1" s="1"/>
  <c r="AY110" i="1" s="1"/>
  <c r="AL110" i="1"/>
  <c r="AD110" i="1"/>
  <c r="AM109" i="1"/>
  <c r="AU109" i="1" s="1"/>
  <c r="AY109" i="1" s="1"/>
  <c r="AL109" i="1"/>
  <c r="AD109" i="1"/>
  <c r="AM108" i="1"/>
  <c r="AU108" i="1" s="1"/>
  <c r="AY108" i="1" s="1"/>
  <c r="AL108" i="1"/>
  <c r="AD108" i="1"/>
  <c r="AM107" i="1"/>
  <c r="AU107" i="1" s="1"/>
  <c r="AY107" i="1" s="1"/>
  <c r="AL107" i="1"/>
  <c r="AD107" i="1"/>
  <c r="AM106" i="1"/>
  <c r="AU106" i="1" s="1"/>
  <c r="AY106" i="1" s="1"/>
  <c r="AL106" i="1"/>
  <c r="AD106" i="1"/>
  <c r="AM105" i="1"/>
  <c r="AU105" i="1" s="1"/>
  <c r="AY105" i="1" s="1"/>
  <c r="AL105" i="1"/>
  <c r="AD105" i="1"/>
  <c r="AM104" i="1"/>
  <c r="AU104" i="1" s="1"/>
  <c r="AY104" i="1" s="1"/>
  <c r="AL104" i="1"/>
  <c r="AD104" i="1"/>
  <c r="AM103" i="1"/>
  <c r="AU103" i="1" s="1"/>
  <c r="AY103" i="1" s="1"/>
  <c r="AL103" i="1"/>
  <c r="AD103" i="1"/>
  <c r="AM102" i="1"/>
  <c r="AU102" i="1" s="1"/>
  <c r="AY102" i="1" s="1"/>
  <c r="AL102" i="1"/>
  <c r="AD102" i="1"/>
  <c r="AM101" i="1"/>
  <c r="AU101" i="1" s="1"/>
  <c r="AY101" i="1" s="1"/>
  <c r="AL101" i="1"/>
  <c r="AD101" i="1"/>
  <c r="AM100" i="1"/>
  <c r="AU100" i="1" s="1"/>
  <c r="AY100" i="1" s="1"/>
  <c r="AL100" i="1"/>
  <c r="AD100" i="1"/>
  <c r="AM99" i="1"/>
  <c r="AU99" i="1" s="1"/>
  <c r="AY99" i="1" s="1"/>
  <c r="AL99" i="1"/>
  <c r="AD99" i="1"/>
  <c r="AM98" i="1"/>
  <c r="AU98" i="1" s="1"/>
  <c r="AY98" i="1" s="1"/>
  <c r="AL98" i="1"/>
  <c r="AD98" i="1"/>
  <c r="AM97" i="1"/>
  <c r="AU97" i="1" s="1"/>
  <c r="AY97" i="1" s="1"/>
  <c r="AL97" i="1"/>
  <c r="AD97" i="1"/>
  <c r="AM96" i="1"/>
  <c r="AU96" i="1" s="1"/>
  <c r="AY96" i="1" s="1"/>
  <c r="AL96" i="1"/>
  <c r="AD96" i="1"/>
  <c r="AM95" i="1"/>
  <c r="AU95" i="1" s="1"/>
  <c r="AY95" i="1" s="1"/>
  <c r="AL95" i="1"/>
  <c r="AD95" i="1"/>
  <c r="AM94" i="1"/>
  <c r="AU94" i="1" s="1"/>
  <c r="AY94" i="1" s="1"/>
  <c r="AL94" i="1"/>
  <c r="AD94" i="1"/>
  <c r="AM93" i="1"/>
  <c r="AU93" i="1" s="1"/>
  <c r="AY93" i="1" s="1"/>
  <c r="AL93" i="1"/>
  <c r="AD93" i="1"/>
  <c r="AM92" i="1"/>
  <c r="AU92" i="1" s="1"/>
  <c r="AY92" i="1" s="1"/>
  <c r="AL92" i="1"/>
  <c r="AD92" i="1"/>
  <c r="AM91" i="1"/>
  <c r="AU91" i="1" s="1"/>
  <c r="AY91" i="1" s="1"/>
  <c r="AL91" i="1"/>
  <c r="AD91" i="1"/>
  <c r="AM90" i="1"/>
  <c r="AU90" i="1" s="1"/>
  <c r="AY90" i="1" s="1"/>
  <c r="AL90" i="1"/>
  <c r="AD90" i="1"/>
  <c r="AM89" i="1"/>
  <c r="AU89" i="1" s="1"/>
  <c r="AY89" i="1" s="1"/>
  <c r="AL89" i="1"/>
  <c r="AD89" i="1"/>
  <c r="AM88" i="1"/>
  <c r="AU88" i="1" s="1"/>
  <c r="AY88" i="1" s="1"/>
  <c r="AL88" i="1"/>
  <c r="AD88" i="1"/>
  <c r="AM87" i="1"/>
  <c r="AU87" i="1" s="1"/>
  <c r="AY87" i="1" s="1"/>
  <c r="AL87" i="1"/>
  <c r="AD87" i="1"/>
  <c r="AM86" i="1"/>
  <c r="AU86" i="1" s="1"/>
  <c r="AY86" i="1" s="1"/>
  <c r="AL86" i="1"/>
  <c r="AD86" i="1"/>
  <c r="AM85" i="1"/>
  <c r="AU85" i="1" s="1"/>
  <c r="AY85" i="1" s="1"/>
  <c r="AL85" i="1"/>
  <c r="AD85" i="1"/>
  <c r="AM84" i="1"/>
  <c r="AU84" i="1" s="1"/>
  <c r="AY84" i="1" s="1"/>
  <c r="AL84" i="1"/>
  <c r="AD84" i="1"/>
  <c r="AM83" i="1"/>
  <c r="AU83" i="1" s="1"/>
  <c r="AY83" i="1" s="1"/>
  <c r="AL83" i="1"/>
  <c r="AD83" i="1"/>
  <c r="AM82" i="1"/>
  <c r="AU82" i="1" s="1"/>
  <c r="AY82" i="1" s="1"/>
  <c r="AL82" i="1"/>
  <c r="AD82" i="1"/>
  <c r="AM81" i="1"/>
  <c r="AU81" i="1" s="1"/>
  <c r="AY81" i="1" s="1"/>
  <c r="AL81" i="1"/>
  <c r="AD81" i="1"/>
  <c r="AM80" i="1"/>
  <c r="AU80" i="1" s="1"/>
  <c r="AY80" i="1" s="1"/>
  <c r="AL80" i="1"/>
  <c r="AD80" i="1"/>
  <c r="AM79" i="1"/>
  <c r="AU79" i="1" s="1"/>
  <c r="AY79" i="1" s="1"/>
  <c r="AL79" i="1"/>
  <c r="AD79" i="1"/>
  <c r="AM78" i="1"/>
  <c r="AU78" i="1" s="1"/>
  <c r="AY78" i="1" s="1"/>
  <c r="AL78" i="1"/>
  <c r="AD78" i="1"/>
  <c r="AM5" i="1"/>
  <c r="AU5" i="1" s="1"/>
  <c r="AY5" i="1" s="1"/>
  <c r="AL5" i="1"/>
  <c r="AD5" i="1"/>
  <c r="AM77" i="1"/>
  <c r="AU77" i="1" s="1"/>
  <c r="AY77" i="1" s="1"/>
  <c r="AL77" i="1"/>
  <c r="AD77" i="1"/>
  <c r="AM76" i="1"/>
  <c r="AU76" i="1" s="1"/>
  <c r="AY76" i="1" s="1"/>
  <c r="AL76" i="1"/>
  <c r="AD76" i="1"/>
  <c r="AM75" i="1"/>
  <c r="AU75" i="1" s="1"/>
  <c r="AY75" i="1" s="1"/>
  <c r="AL75" i="1"/>
  <c r="AD75" i="1"/>
  <c r="AM74" i="1"/>
  <c r="AU74" i="1" s="1"/>
  <c r="AY74" i="1" s="1"/>
  <c r="AL74" i="1"/>
  <c r="AD74" i="1"/>
  <c r="AM73" i="1"/>
  <c r="AU73" i="1" s="1"/>
  <c r="AY73" i="1" s="1"/>
  <c r="AL73" i="1"/>
  <c r="AD73" i="1"/>
  <c r="AM72" i="1"/>
  <c r="AU72" i="1" s="1"/>
  <c r="AY72" i="1" s="1"/>
  <c r="AL72" i="1"/>
  <c r="AD72" i="1"/>
  <c r="AM71" i="1"/>
  <c r="AU71" i="1" s="1"/>
  <c r="AY71" i="1" s="1"/>
  <c r="AL71" i="1"/>
  <c r="AD71" i="1"/>
  <c r="AM70" i="1"/>
  <c r="AU70" i="1" s="1"/>
  <c r="AY70" i="1" s="1"/>
  <c r="AL70" i="1"/>
  <c r="AD70" i="1"/>
  <c r="AM69" i="1"/>
  <c r="AU69" i="1" s="1"/>
  <c r="AY69" i="1" s="1"/>
  <c r="AL69" i="1"/>
  <c r="AD69" i="1"/>
  <c r="AM8" i="1"/>
  <c r="AU8" i="1" s="1"/>
  <c r="AY8" i="1" s="1"/>
  <c r="AL8" i="1"/>
  <c r="AD8" i="1"/>
  <c r="AM68" i="1"/>
  <c r="AU68" i="1" s="1"/>
  <c r="AY68" i="1" s="1"/>
  <c r="AL68" i="1"/>
  <c r="AD68" i="1"/>
  <c r="AM67" i="1"/>
  <c r="AU67" i="1" s="1"/>
  <c r="AY67" i="1" s="1"/>
  <c r="AL67" i="1"/>
  <c r="AD67" i="1"/>
  <c r="AM66" i="1"/>
  <c r="AU66" i="1" s="1"/>
  <c r="AY66" i="1" s="1"/>
  <c r="AL66" i="1"/>
  <c r="AD66" i="1"/>
  <c r="AM65" i="1"/>
  <c r="AU65" i="1" s="1"/>
  <c r="AY65" i="1" s="1"/>
  <c r="AL65" i="1"/>
  <c r="AD65" i="1"/>
  <c r="AM64" i="1"/>
  <c r="AU64" i="1" s="1"/>
  <c r="AY64" i="1" s="1"/>
  <c r="AL64" i="1"/>
  <c r="AD64" i="1"/>
  <c r="AM63" i="1"/>
  <c r="AU63" i="1" s="1"/>
  <c r="AY63" i="1" s="1"/>
  <c r="AL63" i="1"/>
  <c r="AD63" i="1"/>
  <c r="AM62" i="1"/>
  <c r="AU62" i="1" s="1"/>
  <c r="AY62" i="1" s="1"/>
  <c r="AL62" i="1"/>
  <c r="AD62" i="1"/>
  <c r="AM61" i="1"/>
  <c r="AU61" i="1" s="1"/>
  <c r="AY61" i="1" s="1"/>
  <c r="AL61" i="1"/>
  <c r="AD61" i="1"/>
  <c r="AM60" i="1"/>
  <c r="AU60" i="1" s="1"/>
  <c r="AY60" i="1" s="1"/>
  <c r="AL60" i="1"/>
  <c r="AD60" i="1"/>
  <c r="AM59" i="1"/>
  <c r="AU59" i="1" s="1"/>
  <c r="AY59" i="1" s="1"/>
  <c r="AL59" i="1"/>
  <c r="AD59" i="1"/>
  <c r="AM58" i="1"/>
  <c r="AU58" i="1" s="1"/>
  <c r="AY58" i="1" s="1"/>
  <c r="AL58" i="1"/>
  <c r="AD58" i="1"/>
  <c r="AM57" i="1"/>
  <c r="AU57" i="1" s="1"/>
  <c r="AY57" i="1" s="1"/>
  <c r="AL57" i="1"/>
  <c r="AD57" i="1"/>
  <c r="AM56" i="1"/>
  <c r="AU56" i="1" s="1"/>
  <c r="AY56" i="1" s="1"/>
  <c r="AL56" i="1"/>
  <c r="AD56" i="1"/>
  <c r="AM55" i="1"/>
  <c r="AU55" i="1" s="1"/>
  <c r="AY55" i="1" s="1"/>
  <c r="AL55" i="1"/>
  <c r="AD55" i="1"/>
  <c r="AM54" i="1"/>
  <c r="AU54" i="1" s="1"/>
  <c r="AY54" i="1" s="1"/>
  <c r="AL54" i="1"/>
  <c r="AD54" i="1"/>
  <c r="AM53" i="1"/>
  <c r="AU53" i="1" s="1"/>
  <c r="AY53" i="1" s="1"/>
  <c r="AL53" i="1"/>
  <c r="AD53" i="1"/>
  <c r="AM52" i="1"/>
  <c r="AU52" i="1" s="1"/>
  <c r="AY52" i="1" s="1"/>
  <c r="AL52" i="1"/>
  <c r="AD52" i="1"/>
  <c r="AM51" i="1"/>
  <c r="AU51" i="1" s="1"/>
  <c r="AY51" i="1" s="1"/>
  <c r="AL51" i="1"/>
  <c r="AD51" i="1"/>
  <c r="AM50" i="1"/>
  <c r="AU50" i="1" s="1"/>
  <c r="AY50" i="1" s="1"/>
  <c r="AL50" i="1"/>
  <c r="AD50" i="1"/>
  <c r="AM49" i="1"/>
  <c r="AU49" i="1" s="1"/>
  <c r="AY49" i="1" s="1"/>
  <c r="AL49" i="1"/>
  <c r="AD49" i="1"/>
  <c r="AM48" i="1"/>
  <c r="AU48" i="1" s="1"/>
  <c r="AY48" i="1" s="1"/>
  <c r="AL48" i="1"/>
  <c r="AD48" i="1"/>
  <c r="AM47" i="1"/>
  <c r="AU47" i="1" s="1"/>
  <c r="AY47" i="1" s="1"/>
  <c r="AL47" i="1"/>
  <c r="AD47" i="1"/>
  <c r="AM46" i="1"/>
  <c r="AU46" i="1" s="1"/>
  <c r="AY46" i="1" s="1"/>
  <c r="AL46" i="1"/>
  <c r="AD46" i="1"/>
  <c r="AM45" i="1"/>
  <c r="AU45" i="1" s="1"/>
  <c r="AY45" i="1" s="1"/>
  <c r="AL45" i="1"/>
  <c r="AD45" i="1"/>
  <c r="AM44" i="1"/>
  <c r="AU44" i="1" s="1"/>
  <c r="AY44" i="1" s="1"/>
  <c r="AL44" i="1"/>
  <c r="AD44" i="1"/>
  <c r="AM43" i="1"/>
  <c r="AU43" i="1" s="1"/>
  <c r="AY43" i="1" s="1"/>
  <c r="AL43" i="1"/>
  <c r="AD43" i="1"/>
  <c r="AM42" i="1"/>
  <c r="AU42" i="1" s="1"/>
  <c r="AY42" i="1" s="1"/>
  <c r="AL42" i="1"/>
  <c r="AD42" i="1"/>
  <c r="AM41" i="1"/>
  <c r="AU41" i="1" s="1"/>
  <c r="AY41" i="1" s="1"/>
  <c r="AL41" i="1"/>
  <c r="AD41" i="1"/>
  <c r="AM40" i="1"/>
  <c r="AU40" i="1" s="1"/>
  <c r="AY40" i="1" s="1"/>
  <c r="AL40" i="1"/>
  <c r="AD40" i="1"/>
  <c r="AM39" i="1"/>
  <c r="AU39" i="1" s="1"/>
  <c r="AY39" i="1" s="1"/>
  <c r="AL39" i="1"/>
  <c r="AD39" i="1"/>
  <c r="AM38" i="1"/>
  <c r="AU38" i="1" s="1"/>
  <c r="AY38" i="1" s="1"/>
  <c r="AL38" i="1"/>
  <c r="AD38" i="1"/>
  <c r="AM37" i="1"/>
  <c r="AU37" i="1" s="1"/>
  <c r="AY37" i="1" s="1"/>
  <c r="AL37" i="1"/>
  <c r="AD37" i="1"/>
  <c r="AM36" i="1"/>
  <c r="AU36" i="1" s="1"/>
  <c r="AY36" i="1" s="1"/>
  <c r="AL36" i="1"/>
  <c r="AD36" i="1"/>
  <c r="AM35" i="1"/>
  <c r="AU35" i="1" s="1"/>
  <c r="AY35" i="1" s="1"/>
  <c r="AL35" i="1"/>
  <c r="AD35" i="1"/>
  <c r="AM34" i="1"/>
  <c r="AU34" i="1" s="1"/>
  <c r="AY34" i="1" s="1"/>
  <c r="AL34" i="1"/>
  <c r="AD34" i="1"/>
  <c r="AM33" i="1"/>
  <c r="AU33" i="1" s="1"/>
  <c r="AY33" i="1" s="1"/>
  <c r="AL33" i="1"/>
  <c r="AD33" i="1"/>
  <c r="AM32" i="1"/>
  <c r="AU32" i="1" s="1"/>
  <c r="AY32" i="1" s="1"/>
  <c r="AL32" i="1"/>
  <c r="AD32" i="1"/>
  <c r="AM31" i="1"/>
  <c r="AU31" i="1" s="1"/>
  <c r="AY31" i="1" s="1"/>
  <c r="AL31" i="1"/>
  <c r="AD31" i="1"/>
  <c r="AM30" i="1"/>
  <c r="AU30" i="1" s="1"/>
  <c r="AY30" i="1" s="1"/>
  <c r="AL30" i="1"/>
  <c r="AD30" i="1"/>
  <c r="AM29" i="1"/>
  <c r="AU29" i="1" s="1"/>
  <c r="AY29" i="1" s="1"/>
  <c r="AL29" i="1"/>
  <c r="AD29" i="1"/>
  <c r="AM28" i="1"/>
  <c r="AU28" i="1" s="1"/>
  <c r="AY28" i="1" s="1"/>
  <c r="AL28" i="1"/>
  <c r="AD28" i="1"/>
  <c r="AM27" i="1"/>
  <c r="AU27" i="1" s="1"/>
  <c r="AY27" i="1" s="1"/>
  <c r="AL27" i="1"/>
  <c r="AD27" i="1"/>
  <c r="AM26" i="1"/>
  <c r="AU26" i="1" s="1"/>
  <c r="AY26" i="1" s="1"/>
  <c r="AL26" i="1"/>
  <c r="AD26" i="1"/>
  <c r="AM25" i="1"/>
  <c r="AU25" i="1" s="1"/>
  <c r="AY25" i="1" s="1"/>
  <c r="AL25" i="1"/>
  <c r="AD25" i="1"/>
  <c r="AM24" i="1"/>
  <c r="AU24" i="1" s="1"/>
  <c r="AY24" i="1" s="1"/>
  <c r="AL24" i="1"/>
  <c r="AD24" i="1"/>
  <c r="AM23" i="1"/>
  <c r="AU23" i="1" s="1"/>
  <c r="AY23" i="1" s="1"/>
  <c r="AL23" i="1"/>
  <c r="AD23" i="1"/>
  <c r="AM22" i="1"/>
  <c r="AU22" i="1" s="1"/>
  <c r="AY22" i="1" s="1"/>
  <c r="AL22" i="1"/>
  <c r="AD22" i="1"/>
  <c r="AM21" i="1"/>
  <c r="AU21" i="1" s="1"/>
  <c r="AY21" i="1" s="1"/>
  <c r="AL21" i="1"/>
  <c r="AD21" i="1"/>
  <c r="AM20" i="1"/>
  <c r="AU20" i="1" s="1"/>
  <c r="AY20" i="1" s="1"/>
  <c r="AL20" i="1"/>
  <c r="AD20" i="1"/>
  <c r="AM19" i="1"/>
  <c r="AU19" i="1" s="1"/>
  <c r="AY19" i="1" s="1"/>
  <c r="AL19" i="1"/>
  <c r="AD19" i="1"/>
  <c r="AM18" i="1"/>
  <c r="AU18" i="1" s="1"/>
  <c r="AY18" i="1" s="1"/>
  <c r="AL18" i="1"/>
  <c r="AD18" i="1"/>
  <c r="AM17" i="1"/>
  <c r="AU17" i="1" s="1"/>
  <c r="AY17" i="1" s="1"/>
  <c r="AL17" i="1"/>
  <c r="AD17" i="1"/>
  <c r="AM16" i="1"/>
  <c r="AL16" i="1"/>
  <c r="AD16" i="1"/>
  <c r="AM15" i="1"/>
  <c r="AU15" i="1" s="1"/>
  <c r="AY15" i="1" s="1"/>
  <c r="AL15" i="1"/>
  <c r="AD15" i="1"/>
  <c r="AM14" i="1"/>
  <c r="AU14" i="1" s="1"/>
  <c r="AL14" i="1"/>
  <c r="AD14" i="1"/>
  <c r="AX3" i="1"/>
  <c r="AW3" i="1"/>
  <c r="AC3" i="1"/>
  <c r="AT2" i="1"/>
  <c r="AT1" i="1" s="1"/>
  <c r="AS2" i="1"/>
  <c r="AS1" i="1" s="1"/>
  <c r="AR2" i="1"/>
  <c r="AR1" i="1" s="1"/>
  <c r="AQ2" i="1"/>
  <c r="AQ1" i="1" s="1"/>
  <c r="AP2" i="1"/>
  <c r="AP1" i="1" s="1"/>
  <c r="AO2" i="1"/>
  <c r="AO1" i="1" s="1"/>
  <c r="AN2" i="1"/>
  <c r="AN1" i="1" s="1"/>
  <c r="AK2" i="1"/>
  <c r="AK1" i="1" s="1"/>
  <c r="AJ2" i="1"/>
  <c r="AJ1" i="1" s="1"/>
  <c r="AI2" i="1"/>
  <c r="AI1" i="1" s="1"/>
  <c r="AH2" i="1"/>
  <c r="AH1" i="1" s="1"/>
  <c r="AG2" i="1"/>
  <c r="AG1" i="1" s="1"/>
  <c r="AF2" i="1"/>
  <c r="AF1" i="1" s="1"/>
  <c r="AE2" i="1"/>
  <c r="AE1" i="1" s="1"/>
  <c r="AY14" i="1" l="1"/>
  <c r="AL3" i="1"/>
  <c r="AU16" i="1"/>
  <c r="AY16" i="1" s="1"/>
  <c r="AM3" i="1"/>
  <c r="AD3" i="1"/>
  <c r="AU3" i="1" l="1"/>
</calcChain>
</file>

<file path=xl/sharedStrings.xml><?xml version="1.0" encoding="utf-8"?>
<sst xmlns="http://schemas.openxmlformats.org/spreadsheetml/2006/main" count="13669" uniqueCount="6115">
  <si>
    <t>Total</t>
  </si>
  <si>
    <t>Deck</t>
  </si>
  <si>
    <t>Bench</t>
  </si>
  <si>
    <t>Target</t>
  </si>
  <si>
    <t>Buy</t>
  </si>
  <si>
    <t>Play</t>
  </si>
  <si>
    <t>Use</t>
  </si>
  <si>
    <t>CMDR</t>
  </si>
  <si>
    <t>Collect</t>
  </si>
  <si>
    <t>Actual</t>
  </si>
  <si>
    <t>Card ID</t>
  </si>
  <si>
    <t>Card</t>
  </si>
  <si>
    <t>Color</t>
  </si>
  <si>
    <t>MV</t>
  </si>
  <si>
    <t>Type</t>
  </si>
  <si>
    <t>Power</t>
  </si>
  <si>
    <t>Toughness</t>
  </si>
  <si>
    <t>Sub-Type</t>
  </si>
  <si>
    <t>Description</t>
  </si>
  <si>
    <t>Bracket</t>
  </si>
  <si>
    <t>Primary Purpose</t>
  </si>
  <si>
    <t>Primary Mechanic</t>
  </si>
  <si>
    <t>Secondary Mechanic</t>
  </si>
  <si>
    <t>Tertiary Mechanic</t>
  </si>
  <si>
    <t>EDHREC CMDR Rank</t>
  </si>
  <si>
    <t>Rarity</t>
  </si>
  <si>
    <t>Series</t>
  </si>
  <si>
    <t>Collector #</t>
  </si>
  <si>
    <t>Quantity</t>
  </si>
  <si>
    <t>Foil</t>
  </si>
  <si>
    <t>Artist</t>
  </si>
  <si>
    <t>Value</t>
  </si>
  <si>
    <t>Series - Card Type 2</t>
  </si>
  <si>
    <t>Collector # - Card Type 2</t>
  </si>
  <si>
    <t>Quantity - Card Type 2</t>
  </si>
  <si>
    <t>Foil - Card Type 2</t>
  </si>
  <si>
    <t>Artist - Card Type 2</t>
  </si>
  <si>
    <t>Value - Card Type 2</t>
  </si>
  <si>
    <t>Own</t>
  </si>
  <si>
    <t>In Deck</t>
  </si>
  <si>
    <t>D1-A</t>
  </si>
  <si>
    <t>D2-A</t>
  </si>
  <si>
    <t>D3-A</t>
  </si>
  <si>
    <t>D4-A</t>
  </si>
  <si>
    <t>D5-A</t>
  </si>
  <si>
    <t>D6-A</t>
  </si>
  <si>
    <t>D7-A</t>
  </si>
  <si>
    <t>In Bench</t>
  </si>
  <si>
    <t>Target Qty</t>
  </si>
  <si>
    <t>D1-T</t>
  </si>
  <si>
    <t>D2-T</t>
  </si>
  <si>
    <t>D3-T</t>
  </si>
  <si>
    <t>D4-T</t>
  </si>
  <si>
    <t>D5-T</t>
  </si>
  <si>
    <t>D6-T</t>
  </si>
  <si>
    <t>D7-T</t>
  </si>
  <si>
    <t>Buy Count</t>
  </si>
  <si>
    <t>In Cart</t>
  </si>
  <si>
    <t>Ordered</t>
  </si>
  <si>
    <t>$ Each</t>
  </si>
  <si>
    <t>$ To Buy</t>
  </si>
  <si>
    <t>D1-Buy</t>
  </si>
  <si>
    <t>D2-Buy</t>
  </si>
  <si>
    <t>D3-Buy</t>
  </si>
  <si>
    <t>D4-Buy</t>
  </si>
  <si>
    <t>D5-Buy</t>
  </si>
  <si>
    <t>D6-Buy</t>
  </si>
  <si>
    <t>D7-Buy</t>
  </si>
  <si>
    <t>c0937</t>
  </si>
  <si>
    <t>Reckless Impulse</t>
  </si>
  <si>
    <t>R</t>
  </si>
  <si>
    <t>Sorcery</t>
  </si>
  <si>
    <t>Reckless Impulse {1}{R} — Sorcery
Exile the top two cards of your library. Until the end of your next turn, you may play those cards.</t>
  </si>
  <si>
    <t>B2</t>
  </si>
  <si>
    <t>Card Selection</t>
  </si>
  <si>
    <t>Exile the top two cards of your library. Until the end of your next turn, you may play those cards.</t>
  </si>
  <si>
    <t>Common</t>
  </si>
  <si>
    <t>Star Trek</t>
  </si>
  <si>
    <t>c0956</t>
  </si>
  <si>
    <t>Scion of Oona</t>
  </si>
  <si>
    <t>U</t>
  </si>
  <si>
    <t>Creature</t>
  </si>
  <si>
    <t>Faerie Soldier</t>
  </si>
  <si>
    <t>Scion of Oona {2}{U} — Creature — Faerie Soldier (1/1)
Flash
Flying
Other Faerie creatures you control get +1/+1.
Other Faeries you control have shroud. (They can't be the targets of spells or abilities.)</t>
  </si>
  <si>
    <t>Lord/Anthem</t>
  </si>
  <si>
    <t>Flash</t>
  </si>
  <si>
    <t>Rare</t>
  </si>
  <si>
    <t>Modern Masters</t>
  </si>
  <si>
    <t>c0953</t>
  </si>
  <si>
    <t>Faerie Mastermind</t>
  </si>
  <si>
    <t>Faerie Rogue</t>
  </si>
  <si>
    <t>Faerie Mastermind {1}{U} — Creature — Faerie Rogue (2/1)
Flash
Flying
Whenever an opponent draws their second card each turn, you draw a card.
{3}{U}: Each player draws a card.</t>
  </si>
  <si>
    <t>Card Draw</t>
  </si>
  <si>
    <t>Secrets of Strixhaven Commander</t>
  </si>
  <si>
    <t>c0954</t>
  </si>
  <si>
    <t>Spellstutter Sprite</t>
  </si>
  <si>
    <t>Faerie Wizard</t>
  </si>
  <si>
    <t>Spellstutter Sprite {1}{U} — Creature — Faerie Wizard (1/1)
Flash
Flying
When this creature enters, counter target spell with mana value X or less, where X is the number of Faeries you control.</t>
  </si>
  <si>
    <t>Interaction</t>
  </si>
  <si>
    <t>c0958</t>
  </si>
  <si>
    <t>Elvish Mystic</t>
  </si>
  <si>
    <t>G</t>
  </si>
  <si>
    <t>Elf Druid</t>
  </si>
  <si>
    <t>Elvish Mystic {G} — Creature — Elf Druid (1/1)
{T}: Add {G}.</t>
  </si>
  <si>
    <t>Ramp</t>
  </si>
  <si>
    <t>{T}: Add {G}.</t>
  </si>
  <si>
    <t>The Hobbit Eternal</t>
  </si>
  <si>
    <t>c0950</t>
  </si>
  <si>
    <t>Tegwyll, Duke of Splendor</t>
  </si>
  <si>
    <t>Multi</t>
  </si>
  <si>
    <t>Legendary Creature</t>
  </si>
  <si>
    <t>Faerie Noble</t>
  </si>
  <si>
    <t>Tegwyll, Duke of Splendor {1}{U}{B} — Legendary Creature — Faerie Noble (2/3)
Flying, deathtouch
Other Faeries you control get +1/+1.
Whenever another Faerie you control dies, you draw a card and you lose 1 life.</t>
  </si>
  <si>
    <t>Flying, deathtouch</t>
  </si>
  <si>
    <t>Mythic</t>
  </si>
  <si>
    <t>Wilds of Eldraine Commander</t>
  </si>
  <si>
    <t>c0946</t>
  </si>
  <si>
    <t>Soul Warden</t>
  </si>
  <si>
    <t>W</t>
  </si>
  <si>
    <t>Human Cleric</t>
  </si>
  <si>
    <t>Soul Warden {W} — Creature — Human Cleric (1/1)
Whenever another creature enters, you gain 1 life.</t>
  </si>
  <si>
    <t>Lifegain</t>
  </si>
  <si>
    <t>Whenever another creature enters, you gain 1 life.</t>
  </si>
  <si>
    <t>Modern Masters 2017</t>
  </si>
  <si>
    <t>c0959</t>
  </si>
  <si>
    <t>Adeline, Resplendent Cathar</t>
  </si>
  <si>
    <t>*</t>
  </si>
  <si>
    <t>Human Knight</t>
  </si>
  <si>
    <t>Adeline, Resplendent Cathar {1}{W}{W} — Legendary Creature — Human Knight (*/4)
Vigilance
Adeline's power is equal to the number of creatures you control.
Whenever you attack, for each opponent, create a 1/1 white Human creature token that's tapped and attacking that player or a planeswalker they control.</t>
  </si>
  <si>
    <t>Token Producer</t>
  </si>
  <si>
    <t>Vigilance</t>
  </si>
  <si>
    <t>Tarkir: Dragonstorm Commander</t>
  </si>
  <si>
    <t>c0924</t>
  </si>
  <si>
    <t>Sower of Temptation</t>
  </si>
  <si>
    <t>Sower of Temptation {2}{U}{U} — Creature — Faerie Wizard (2/2)
Flying
When this creature enters, gain control of target creature for as long as this creature remains on the battlefield.</t>
  </si>
  <si>
    <t>Removal</t>
  </si>
  <si>
    <t>Flying</t>
  </si>
  <si>
    <t>Battlebond</t>
  </si>
  <si>
    <t>c0961</t>
  </si>
  <si>
    <t>Fyndhorn Elves</t>
  </si>
  <si>
    <t>Fyndhorn Elves {G} — Creature — Elf Druid (1/1)
{T}: Add {G}.</t>
  </si>
  <si>
    <t>Commander Legends</t>
  </si>
  <si>
    <t>c0919</t>
  </si>
  <si>
    <t>Lys Alana Huntmaster</t>
  </si>
  <si>
    <t>Elf Warrior</t>
  </si>
  <si>
    <t>Lys Alana Huntmaster {2}{G}{G} — Creature — Elf Warrior (3/3)
Whenever you cast an Elf spell, you may create a 1/1 green Elf Warrior creature token.</t>
  </si>
  <si>
    <t>Whenever you cast an Elf spell, you may create a 1/1 green Elf Warrior creature token.</t>
  </si>
  <si>
    <t>Kaldheim Commander</t>
  </si>
  <si>
    <t>c0927</t>
  </si>
  <si>
    <t>Realmwalker</t>
  </si>
  <si>
    <t>Shapeshifter</t>
  </si>
  <si>
    <t>Realmwalker {2}{G} — Creature — Shapeshifter (2/3)
Changeling (This card is every creature type.)
As this creature enters, choose a creature type.
You may look at the top card of your library any time.
You may cast creature spells of the chosen type from the top of your library.</t>
  </si>
  <si>
    <t>Card Advantage</t>
  </si>
  <si>
    <t>Changeling (This card is every creature type.)</t>
  </si>
  <si>
    <t>Lorwyn Eclipsed Commander</t>
  </si>
  <si>
    <t>c0967</t>
  </si>
  <si>
    <t>Mystic Snake</t>
  </si>
  <si>
    <t>Snake</t>
  </si>
  <si>
    <t>Mystic Snake {1}{G}{U}{U} — Creature — Snake (2/2)
Flash
When this creature enters, counter target spell.</t>
  </si>
  <si>
    <t>Masters 25</t>
  </si>
  <si>
    <t>c0951</t>
  </si>
  <si>
    <t>Vine Trellis</t>
  </si>
  <si>
    <t>Plant Wall</t>
  </si>
  <si>
    <t>Vine Trellis {1}{G} — Creature — Plant Wall (0/4)
Defender (This creature can't attack.)
{T}: Add {G}.</t>
  </si>
  <si>
    <t>Defender Ramp</t>
  </si>
  <si>
    <t>Defender (This creature can't attack.)</t>
  </si>
  <si>
    <t>Duel Decks Anthology: Garruk vs. Liliana</t>
  </si>
  <si>
    <t>c0939</t>
  </si>
  <si>
    <t>Burn at the Stake</t>
  </si>
  <si>
    <t>Burn at the Stake {2}{R}{R}{R} — Sorcery
As an additional cost to cast this spell, tap any number of untapped creatures you control.
Burn at the Stake deals damage to any target equal to three times the number of creatures tapped this way.</t>
  </si>
  <si>
    <t>Finisher</t>
  </si>
  <si>
    <t>As an additional cost to cast this spell, tap any number of untapped creatures you control.</t>
  </si>
  <si>
    <t>Avacyn Restored</t>
  </si>
  <si>
    <t>c0929</t>
  </si>
  <si>
    <t>Topiary Stomper</t>
  </si>
  <si>
    <t>Plant Dinosaur</t>
  </si>
  <si>
    <t>Topiary Stomper {1}{G}{G} — Creature — Plant Dinosaur (4/4)
Vigilance (Attacking doesn't cause this creature to tap.)
When this creature enters, search your library for a basic land card, put it onto the battlefield tapped, then shuffle.
This creature can't attack or block unless you control seven or more lands.</t>
  </si>
  <si>
    <t>Vigilance (Attacking doesn't cause this creature to tap.)</t>
  </si>
  <si>
    <t>The Lost Caverns of Ixalan Commander</t>
  </si>
  <si>
    <t>c0957</t>
  </si>
  <si>
    <t>Ravenous Chupacabra</t>
  </si>
  <si>
    <t>B</t>
  </si>
  <si>
    <t>Beast Horror</t>
  </si>
  <si>
    <t>Ravenous Chupacabra {2}{B}{B} — Creature — Beast Horror (2/2)
When this creature enters, destroy target creature an opponent controls.</t>
  </si>
  <si>
    <t>When this creature enters, destroy target creature an opponent controls.</t>
  </si>
  <si>
    <t>Uncommon</t>
  </si>
  <si>
    <t>Murders at Karlov Manor Commander</t>
  </si>
  <si>
    <t>c0964</t>
  </si>
  <si>
    <t>Lightning Bolt</t>
  </si>
  <si>
    <t>Instant</t>
  </si>
  <si>
    <t>Lightning Bolt {R} — Instant
Lightning Bolt deals 3 damage to any target.</t>
  </si>
  <si>
    <t>Lightning Bolt deals 3 damage to any target.</t>
  </si>
  <si>
    <t>Marvel Super Heroes Commander</t>
  </si>
  <si>
    <t>c0920</t>
  </si>
  <si>
    <t>Preordain</t>
  </si>
  <si>
    <t>Preordain {U} — Sorcery
Scry 2, then draw a card. (To scry 2, look at the top two cards of your library, then put any number of them on the bottom and the rest on top in any order.)</t>
  </si>
  <si>
    <t>B3</t>
  </si>
  <si>
    <t>Scry 2, then draw a card. (To scry 2, look at the top two cards of your library, then put any number of them on the bottom and the rest on top in any order.)</t>
  </si>
  <si>
    <t>c0934</t>
  </si>
  <si>
    <t>Kor Skyfisher</t>
  </si>
  <si>
    <t>Kor Soldier</t>
  </si>
  <si>
    <t>Kor Skyfisher {1}{W} — Creature — Kor Soldier (2/3)
Flying
When this creature enters, return a permanent you control to its owner's hand.</t>
  </si>
  <si>
    <t>Blink</t>
  </si>
  <si>
    <t>c0933</t>
  </si>
  <si>
    <t>Fathom Mage</t>
  </si>
  <si>
    <t>Human Wizard</t>
  </si>
  <si>
    <t>Fathom Mage {2}{G}{U} — Creature — Human Wizard (1/1)
Evolve (Whenever a creature you control enters, if that creature has greater power or toughness than this creature, put a +1/+1 counter on this creature.)
Whenever a +1/+1 counter is put on this creature, you may draw a card.</t>
  </si>
  <si>
    <t>Evolve (Whenever a creature you control enters, if that creature has greater power or toughness than this creature, put a +1/+1 counter on this creature.)</t>
  </si>
  <si>
    <t>New Capenna Commander</t>
  </si>
  <si>
    <t>c0923</t>
  </si>
  <si>
    <t>Springbloom Druid</t>
  </si>
  <si>
    <t>Springbloom Druid {2}{G} — Creature — Elf Druid (1/1)
When this creature enters, you may sacrifice a land. If you do, search your library for up to two basic land cards, put them onto the battlefield tapped, then shuffle.</t>
  </si>
  <si>
    <t>When this creature enters, you may sacrifice a land. If you do, search your library for up to two basic land cards, put them onto the battlefield tapped, then shuffle.</t>
  </si>
  <si>
    <t>Foundations</t>
  </si>
  <si>
    <t>c0936</t>
  </si>
  <si>
    <t>Mizzium Mortars</t>
  </si>
  <si>
    <t>Mizzium Mortars {1}{R} — Sorcery
Mizzium Mortars deals 4 damage to target creature you don't control.
Overload {3}{R}{R}{R} (You may cast this spell for its overload cost. If you do, change "target" in its text to "each.")</t>
  </si>
  <si>
    <t>Mizzium Mortars deals 4 damage to target creature you don't control.</t>
  </si>
  <si>
    <t>Commander Legends: Battle for Baldur's Gate</t>
  </si>
  <si>
    <t>c0925</t>
  </si>
  <si>
    <t>Ilysian Caryatid</t>
  </si>
  <si>
    <t>Plant</t>
  </si>
  <si>
    <t>Ilysian Caryatid {1}{G} — Creature — Plant (1/1)
{T}: Add one mana of any color. If you control a creature with power 4 or greater, add two mana of any one color instead.</t>
  </si>
  <si>
    <t>{T}: Add one mana of any color. If you control a creature with power 4 or greater, add two mana of any one color instead.</t>
  </si>
  <si>
    <t>Commander Masters</t>
  </si>
  <si>
    <t>c0955</t>
  </si>
  <si>
    <t>Faerie Formation</t>
  </si>
  <si>
    <t>Faerie</t>
  </si>
  <si>
    <t>Faerie Formation {4}{U} — Creature — Faerie (5/4)
Flying
{3}{U}: Create a 1/1 blue Faerie creature token with flying. Draw a card.</t>
  </si>
  <si>
    <t>Throne of Eldraine</t>
  </si>
  <si>
    <t>c0922</t>
  </si>
  <si>
    <t>Coalition Relic</t>
  </si>
  <si>
    <t>C</t>
  </si>
  <si>
    <t>Artifact</t>
  </si>
  <si>
    <t>Coalition Relic {3} — Artifact
{T}: Add one mana of any color.
{T}: Put a charge counter on this artifact.
At the beginning of your first main phase, remove all charge counters from this artifact. Add one mana of any color for each charge counter removed this way.</t>
  </si>
  <si>
    <t>Mana Rock</t>
  </si>
  <si>
    <t>{T}: Add one mana of any color.</t>
  </si>
  <si>
    <t>Dominaria United Commander</t>
  </si>
  <si>
    <t>c0952</t>
  </si>
  <si>
    <t>Grave Titan</t>
  </si>
  <si>
    <t>Giant</t>
  </si>
  <si>
    <t>Grave Titan {4}{B}{B} — Creature — Giant (6/6)
Deathtouch
Whenever this creature enters or attacks, create two 2/2 black Zombie creature tokens.</t>
  </si>
  <si>
    <t>Deathtouch</t>
  </si>
  <si>
    <t>c0935</t>
  </si>
  <si>
    <t>Mogg Raider</t>
  </si>
  <si>
    <t>Goblin</t>
  </si>
  <si>
    <t>Mogg Raider {R} — Creature — Goblin (1/1)
Sacrifice a Goblin: Target creature gets +1/+1 until end of turn.</t>
  </si>
  <si>
    <t>Sacrifice Outlet</t>
  </si>
  <si>
    <t>Sacrifice a Goblin: Target creature gets +1/+1 until end of turn.</t>
  </si>
  <si>
    <t>Tempest</t>
  </si>
  <si>
    <t>c0944</t>
  </si>
  <si>
    <t>Selfless Savior</t>
  </si>
  <si>
    <t>Dog</t>
  </si>
  <si>
    <t>Selfless Savior {W} — Creature — Dog (1/1)
Sacrifice this creature: Another target creature you control gains indestructible until end of turn. (Damage and effects that say "destroy" don't destroy it.)</t>
  </si>
  <si>
    <t>Protection</t>
  </si>
  <si>
    <t>Sacrifice this creature: Another target creature you control gains indestructible until end of turn. (Damage and effects that say "destroy" don't destroy it.)</t>
  </si>
  <si>
    <t>Core Set 2021</t>
  </si>
  <si>
    <t>c0940</t>
  </si>
  <si>
    <t>Hammer of Purphoros</t>
  </si>
  <si>
    <t>Legendary Enchantment Artifact</t>
  </si>
  <si>
    <t>Hammer of Purphoros {1}{R}{R} — Legendary Enchantment Artifact
Creatures you control have haste.
{2}{R}, {T}, Sacrifice a land: Create a 3/3 colorless Golem enchantment artifact creature token.</t>
  </si>
  <si>
    <t>Haste Enabler</t>
  </si>
  <si>
    <t>Creatures you control have haste.</t>
  </si>
  <si>
    <t>Edge of Eternities Commander</t>
  </si>
  <si>
    <t>c0949</t>
  </si>
  <si>
    <t>Spirited Companion</t>
  </si>
  <si>
    <t>Enchantment Creature</t>
  </si>
  <si>
    <t>Spirited Companion {1}{W} — Enchantment Creature — Dog (1/1)
When this creature enters, draw a card.</t>
  </si>
  <si>
    <t>When this creature enters, draw a card.</t>
  </si>
  <si>
    <t>c0945</t>
  </si>
  <si>
    <t>Obyra, Dreaming Duelist</t>
  </si>
  <si>
    <t>Faerie Warrior</t>
  </si>
  <si>
    <t>Obyra, Dreaming Duelist {U}{B} — Legendary Creature — Faerie Warrior (2/2)
Flash
Flying
Whenever another Faerie you control enters, each opponent loses 1 life.</t>
  </si>
  <si>
    <t>Drain Payoff</t>
  </si>
  <si>
    <t>Wilds of Eldraine</t>
  </si>
  <si>
    <t>c0943</t>
  </si>
  <si>
    <t>Sakura-Tribe Elder</t>
  </si>
  <si>
    <t>Snake Shaman</t>
  </si>
  <si>
    <t>Sakura-Tribe Elder {1}{G} — Creature — Snake Shaman (1/1)
Sacrifice this creature: Search your library for a basic land card, put that card onto the battlefield tapped, then shuffle.</t>
  </si>
  <si>
    <t>Sacrifice this creature: Search your library for a basic land card, put that card onto the battlefield tapped, then shuffle.</t>
  </si>
  <si>
    <t>c0962</t>
  </si>
  <si>
    <t>Faerie Impostor</t>
  </si>
  <si>
    <t>Faerie Impostor {U} — Creature — Faerie Rogue (2/1)
Flying
When this creature enters, sacrifice it unless you return another creature you control to its owner's hand.</t>
  </si>
  <si>
    <t>Duel Decks: Speed vs. Cunning</t>
  </si>
  <si>
    <t>c0932</t>
  </si>
  <si>
    <t>Tireless Tracker</t>
  </si>
  <si>
    <t>Human Scout</t>
  </si>
  <si>
    <t>Tireless Tracker {2}{G} — Creature — Human Scout (3/2)
Landfall — Whenever a land you control enters, investigate. (Create a Clue token. It's an artifact with "{2}, Sacrifice this token: Draw a card.")
Whenever you sacrifice a Clue, put a +1/+1 counter on this creature.</t>
  </si>
  <si>
    <t>Landfall — Whenever a land you control enters, investigate. (Create a Clue token. It's an artifact with "{2}, Sacrifice this token: Draw a card.")</t>
  </si>
  <si>
    <t>c0926</t>
  </si>
  <si>
    <t>Watcher for Tomorrow</t>
  </si>
  <si>
    <t>Watcher for Tomorrow {1}{U} — Creature — Human Wizard (2/1)
Hideaway 4 (When this creature enters, look at the top four cards of your library, exile one face down, then put the rest on the bottom in a random order.)
This creature enters tapped.
When this creature leaves the battlefield, put the exiled card into its owner's hand.</t>
  </si>
  <si>
    <t>Hideaway 4 (When this creature enters, look at the top four cards of your library, exile one face down, then put the rest on the bottom in a random order.)</t>
  </si>
  <si>
    <t>Modern Horizons</t>
  </si>
  <si>
    <t>c0942</t>
  </si>
  <si>
    <t>Blade Splicer</t>
  </si>
  <si>
    <t>Phyrexian Human Artificer</t>
  </si>
  <si>
    <t>Blade Splicer {2}{W} — Creature — Phyrexian Human Artificer (1/1)
When this creature enters, create a 3/3 colorless Phyrexian Golem artifact creature token.
Golems you control have first strike.</t>
  </si>
  <si>
    <t>When this creature enters, create a 3/3 colorless Phyrexian Golem artifact creature token.</t>
  </si>
  <si>
    <t>March of the Machine Commander</t>
  </si>
  <si>
    <t>c0960</t>
  </si>
  <si>
    <t>Jaspera Sentinel</t>
  </si>
  <si>
    <t>Elf Rogue</t>
  </si>
  <si>
    <t>Jaspera Sentinel {G} — Creature — Elf Rogue (1/2)
Reach
{T}, Tap an untapped creature you control: Add one mana of any color.</t>
  </si>
  <si>
    <t>Reach</t>
  </si>
  <si>
    <t>Kaldheim</t>
  </si>
  <si>
    <t>c0918</t>
  </si>
  <si>
    <t>Llanowar Visionary</t>
  </si>
  <si>
    <t>Llanowar Visionary {2}{G} — Creature — Elf Druid (2/2)
When this creature enters, draw a card.
{T}: Add {G}.</t>
  </si>
  <si>
    <t>c0930</t>
  </si>
  <si>
    <t>Canopy Vista</t>
  </si>
  <si>
    <t>L</t>
  </si>
  <si>
    <t>Land</t>
  </si>
  <si>
    <t>Forest Plains</t>
  </si>
  <si>
    <t>Canopy Vista  — Land — Forest Plains
({T}: Add {G} or {W}.)
This land enters tapped unless you control two or more basic lands.</t>
  </si>
  <si>
    <t>({T}: Add {G} or {W}.)</t>
  </si>
  <si>
    <t>c0965</t>
  </si>
  <si>
    <t>Goblin Cratermaker</t>
  </si>
  <si>
    <t>Goblin Warrior</t>
  </si>
  <si>
    <t>Goblin Cratermaker {1}{R} — Creature — Goblin Warrior (2/2)
{1}, Sacrifice this creature: Choose one —
• This creature deals 2 damage to target creature.
• Destroy target colorless nonland permanent.</t>
  </si>
  <si>
    <t>{1}, Sacrifice this creature: Choose one —</t>
  </si>
  <si>
    <t>c0917</t>
  </si>
  <si>
    <t>Halo Forager</t>
  </si>
  <si>
    <t>Halo Forager {1}{U}{B} — Creature — Faerie Rogue (3/1)
Flying
When this creature enters, you may pay {X}. When you do, you may cast target instant or sorcery card with mana value X from a graveyard without paying its mana cost. If that spell would be put into a graveyard, exile it instead.</t>
  </si>
  <si>
    <t>March of the Machine</t>
  </si>
  <si>
    <t>c0928</t>
  </si>
  <si>
    <t>Elvish Rejuvenator</t>
  </si>
  <si>
    <t>Elvish Rejuvenator {2}{G} — Creature — Elf Druid (1/1)
When this creature enters, look at the top five cards of your library. You may put a land card from among them onto the battlefield tapped. Put the rest on the bottom of your library in a random order.</t>
  </si>
  <si>
    <t>When this creature enters, look at the top five cards of your library. You may put a land card from among them onto the battlefield tapped. Put the rest on the bottom of your library in a random order.</t>
  </si>
  <si>
    <t>Outlaws of Thunder Junction Commander</t>
  </si>
  <si>
    <t>c0915</t>
  </si>
  <si>
    <t>Peppersmoke</t>
  </si>
  <si>
    <t>Kindred Instant</t>
  </si>
  <si>
    <t>Peppersmoke {B} — Kindred Instant — Faerie
Target creature gets -1/-1 until end of turn. If you control a Faerie, draw a card.</t>
  </si>
  <si>
    <t>Target creature gets -1/-1 until end of turn. If you control a Faerie, draw a card.</t>
  </si>
  <si>
    <t>c0947</t>
  </si>
  <si>
    <t>Yavimaya Dryad</t>
  </si>
  <si>
    <t>Dryad</t>
  </si>
  <si>
    <t>Yavimaya Dryad {1}{G}{G} — Creature — Dryad (2/1)
Forestwalk (This creature can't be blocked as long as defending player controls a Forest.)
When this creature enters, you may search your library for a Forest card, put it onto the battlefield tapped under target player's control, then shuffle.</t>
  </si>
  <si>
    <t>Forestwalk (This creature can't be blocked as long as defending player controls a Forest.)</t>
  </si>
  <si>
    <t>Time Spiral Remastered</t>
  </si>
  <si>
    <t>c0966</t>
  </si>
  <si>
    <t>Pollenbright Druid</t>
  </si>
  <si>
    <t>Pollenbright Druid {1}{G} — Creature — Elf Druid (1/1)
When this creature enters, choose one —
• Put a +1/+1 counter on target creature.
• Proliferate. (Choose any number of permanents and/or players, then give each another counter of each kind already there.)</t>
  </si>
  <si>
    <t>Proliferate</t>
  </si>
  <si>
    <t>When this creature enters, choose one —</t>
  </si>
  <si>
    <t>c0916</t>
  </si>
  <si>
    <t>Eyeblight's Ending</t>
  </si>
  <si>
    <t>Elf</t>
  </si>
  <si>
    <t>Eyeblight's Ending {2}{B} — Kindred Instant — Elf
Destroy target non-Elf creature.</t>
  </si>
  <si>
    <t>Destroy target non-Elf creature.</t>
  </si>
  <si>
    <t>Double Masters 2022</t>
  </si>
  <si>
    <t>c0921</t>
  </si>
  <si>
    <t>Gilt-Leaf Winnower</t>
  </si>
  <si>
    <t>Gilt-Leaf Winnower {3}{B}{B} — Creature — Elf Warrior (4/3)
Menace (This creature can't be blocked except by two or more creatures.)
When this creature enters, you may destroy target non-Elf creature whose power and toughness aren't equal.</t>
  </si>
  <si>
    <t>Menace (This creature can't be blocked except by two or more creatures.)</t>
  </si>
  <si>
    <t>c0914</t>
  </si>
  <si>
    <t>Paradise Druid</t>
  </si>
  <si>
    <t>Paradise Druid {1}{G} — Creature — Elf Druid (2/1)
This creature has hexproof as long as it's untapped. (It can't be the target of spells or abilities your opponents control.)
{T}: Add one mana of any color.</t>
  </si>
  <si>
    <t>This creature has hexproof as long as it's untapped. (It can't be the target of spells or abilities your opponents control.)</t>
  </si>
  <si>
    <t>Forgotten Realms Commander</t>
  </si>
  <si>
    <t>c0941</t>
  </si>
  <si>
    <t>Hypnotic Sprite // Mesmeric Glare</t>
  </si>
  <si>
    <t>Hypnotic Sprite // Mesmeric Glare {U}{U} // {2}{U} — Creature — Faerie // Instant — Adventure (2/1)
Flying</t>
  </si>
  <si>
    <t>c0968</t>
  </si>
  <si>
    <t>Fact or Fiction</t>
  </si>
  <si>
    <t>Fact or Fiction {3}{U} — Instant
Reveal the top five cards of your library. An opponent separates those cards into two piles. Put one pile into your hand and the other into your graveyard.</t>
  </si>
  <si>
    <t>Reveal the top five cards of your library. An opponent separates those cards into two piles. Put one pile into your hand and the other into your graveyard.</t>
  </si>
  <si>
    <t>Reality Fracture Commander</t>
  </si>
  <si>
    <t>c0931</t>
  </si>
  <si>
    <t>Prairie Stream</t>
  </si>
  <si>
    <t>Plains Island</t>
  </si>
  <si>
    <t>Prairie Stream  — Land — Plains Island
({T}: Add {W} or {U}.)
This land enters tapped unless you control two or more basic lands.</t>
  </si>
  <si>
    <t>({T}: Add {W} or {U}.)</t>
  </si>
  <si>
    <t>c0963</t>
  </si>
  <si>
    <t>Imperious Perfect</t>
  </si>
  <si>
    <t>Imperious Perfect {2}{G} — Creature — Elf Warrior (2/2)
Other Elves you control get +1/+1.
{G}, {T}: Create a 1/1 green Elf Warrior creature token.</t>
  </si>
  <si>
    <t>Other Elves you control get +1/+1.</t>
  </si>
  <si>
    <t>c0969</t>
  </si>
  <si>
    <t>Make a Stand</t>
  </si>
  <si>
    <t>Make a Stand {2}{W} — Instant
Creatures you control get +1/+0 and gain indestructible until end of turn. (Damage and effects that say "destroy" don't destroy them.)</t>
  </si>
  <si>
    <t>Creatures you control get +1/+0 and gain indestructible until end of turn. (Damage and effects that say "destroy" don't destroy them.)</t>
  </si>
  <si>
    <t>c0938</t>
  </si>
  <si>
    <t>Warstorm Surge</t>
  </si>
  <si>
    <t>Enchantment</t>
  </si>
  <si>
    <t>Warstorm Surge {5}{R} — Enchantment
Whenever a creature you control enters, it deals damage equal to its power to any target.</t>
  </si>
  <si>
    <t>Burn</t>
  </si>
  <si>
    <t>Whenever a creature you control enters, it deals damage equal to its power to any target.</t>
  </si>
  <si>
    <t>c0948</t>
  </si>
  <si>
    <t>Battle Screech</t>
  </si>
  <si>
    <t>Battle Screech {2}{W}{W} — Sorcery
Create two 1/1 white Bird creature tokens with flying.
Flashback—Tap three untapped white creatures you control. (You may cast this card from your graveyard for its flashback cost. Then exile it.)</t>
  </si>
  <si>
    <t>Create two 1/1 white Bird creature tokens with flying.</t>
  </si>
  <si>
    <t>Judgment</t>
  </si>
  <si>
    <t>U 0003</t>
  </si>
  <si>
    <t>Randy Gallegos</t>
  </si>
  <si>
    <t>c0255</t>
  </si>
  <si>
    <t>Rampant Growth</t>
  </si>
  <si>
    <t>Search your library for a basic land card, put that card onto the battlefield tapped, then shuffle.</t>
  </si>
  <si>
    <t>Search your library for a basic land card, put that card onto the battlefield tapped, then shuffle</t>
  </si>
  <si>
    <t>Mirage</t>
  </si>
  <si>
    <t>c0561</t>
  </si>
  <si>
    <t>Demand Answers</t>
  </si>
  <si>
    <t>As an additional cost to cast this spell, sacrifice an artifact or discard a card.
Draw two cards.</t>
  </si>
  <si>
    <t>Draw two cards</t>
  </si>
  <si>
    <t>As an additional cost to cast this spell, sacrifice an artifact or discard a card</t>
  </si>
  <si>
    <t>Murders at Karlov Manor</t>
  </si>
  <si>
    <t>c0223</t>
  </si>
  <si>
    <t>Guardian Project</t>
  </si>
  <si>
    <t>Whenever a nontoken creature you control enters, if it doesn't have the same name as another creature you control or a creature card in your graveyard, draw a card.</t>
  </si>
  <si>
    <t>Whenever a nontoken creature you control enters, if it doesn't have the same name as another creature you control or a c</t>
  </si>
  <si>
    <t>Ravnica Allegiance</t>
  </si>
  <si>
    <t>c0132</t>
  </si>
  <si>
    <t>Idol of Oblivion</t>
  </si>
  <si>
    <t>{T}: Draw a card. Activate only if you created a token this turn.
{8}, {T}, Sacrifice this artifact: Create a 10/10 colorless Eldrazi creature token.</t>
  </si>
  <si>
    <t>{T}: Draw a card. Activate only if you created a token this turn.
{8}, {T}, Sacrifice this artifact: Create a 10/10 colo</t>
  </si>
  <si>
    <t>Commander 2019</t>
  </si>
  <si>
    <t>c0340</t>
  </si>
  <si>
    <t>Llanowar Wastes</t>
  </si>
  <si>
    <t>{T}: Add {C}.
{T}: Add {B} or {G}. This land deals 1 damage to you.</t>
  </si>
  <si>
    <t>Taps for {C}, or {B}/{G} at the cost of 1 damage to you</t>
  </si>
  <si>
    <t>Apocalypse</t>
  </si>
  <si>
    <t>c0752</t>
  </si>
  <si>
    <t>Austere Command</t>
  </si>
  <si>
    <t>Choose two —
• Destroy all artifacts.
• Destroy all enchantments.
• Destroy all creatures with mana value 3 or less.
• Destroy all creatures with mana value 4 or greater.</t>
  </si>
  <si>
    <t>Board Wipe</t>
  </si>
  <si>
    <t>Choose two — Destroy all artifacts; or Destroy all enchantments; or Destroy all creatures with mana value 3 or less; or Destroy all creatures with mana value 4 or greater</t>
  </si>
  <si>
    <t>Lorwyn</t>
  </si>
  <si>
    <t>c0282</t>
  </si>
  <si>
    <t>Wall of Blossoms</t>
  </si>
  <si>
    <t>Defender
When this creature enters, draw a card.
(0/4)</t>
  </si>
  <si>
    <t>Draws a card when it enters</t>
  </si>
  <si>
    <t>Defender body</t>
  </si>
  <si>
    <t>Stronghold</t>
  </si>
  <si>
    <t>c0678</t>
  </si>
  <si>
    <t>Brainstorm</t>
  </si>
  <si>
    <t>Draw three cards, then put two cards from your hand on top of your library in any order.</t>
  </si>
  <si>
    <t>Draw three cards, then put two cards from your hand on top of your library in any order</t>
  </si>
  <si>
    <t>Ice Age</t>
  </si>
  <si>
    <t>c0097</t>
  </si>
  <si>
    <t>Arcane Signet</t>
  </si>
  <si>
    <t>{T}: Add one mana of any color in your commander's color identity.</t>
  </si>
  <si>
    <t>Taps for any color in your commander's color identity</t>
  </si>
  <si>
    <t>c0312</t>
  </si>
  <si>
    <t>Command Tower</t>
  </si>
  <si>
    <t>Commander 2011</t>
  </si>
  <si>
    <t>Bloomburrow Commander</t>
  </si>
  <si>
    <t>C 0130</t>
  </si>
  <si>
    <t>Zoltan Boros</t>
  </si>
  <si>
    <t>c0156</t>
  </si>
  <si>
    <t>Sol Ring</t>
  </si>
  <si>
    <t>{T}: Add {C}{C}.</t>
  </si>
  <si>
    <t>Taps for {C}{C}</t>
  </si>
  <si>
    <t>Limited Edition Alpha</t>
  </si>
  <si>
    <t>c0320</t>
  </si>
  <si>
    <t>Fabled Passage</t>
  </si>
  <si>
    <t>{T}, Sacrifice this land: Search your library for a basic land card, put it onto the battlefield tapped, then shuffle. Then if you control four or more lands, untap that land.</t>
  </si>
  <si>
    <t>Sacrifice, search a basic land, put it into play tapped</t>
  </si>
  <si>
    <t>Untaps that land if you control 4+ lands</t>
  </si>
  <si>
    <t>c0205</t>
  </si>
  <si>
    <t>Evolution Sage</t>
  </si>
  <si>
    <t>Landfall — Whenever a land you control enters, proliferate. (Choose any number of permanents and/or players, then give each another counter of each kind already there.)
(3/2)</t>
  </si>
  <si>
    <t>Proliferate whenever a land you control enters</t>
  </si>
  <si>
    <t>War of the Spark</t>
  </si>
  <si>
    <t>c0897</t>
  </si>
  <si>
    <t>Wall of Omens</t>
  </si>
  <si>
    <t>Wall</t>
  </si>
  <si>
    <t>Rise of the Eldrazi</t>
  </si>
  <si>
    <t>c0284</t>
  </si>
  <si>
    <t>Wall of Roots</t>
  </si>
  <si>
    <t>Defender
Put a -0/-1 counter on this creature: Add {G}. Activate only once each turn.
(0/5)</t>
  </si>
  <si>
    <t>Put a -0/-1 counter on itself to add {G}, once per turn</t>
  </si>
  <si>
    <t>c0626</t>
  </si>
  <si>
    <t>Mizzix's Mastery</t>
  </si>
  <si>
    <t>Exile target card that's an instant or sorcery from your graveyard. For each card exiled this way, copy it, and you may cast the copy without paying its mana cost. Exile Mizzix's Mastery.
Overload {5}{R}{R}{R} (You may cast this spell for its overload cost. If you do, change "target" in its text to "each.")</t>
  </si>
  <si>
    <t>Recursion</t>
  </si>
  <si>
    <t xml:space="preserve">Exile target card that's an instant or sorcery from your graveyard. For each card exiled this way, copy it, and you may </t>
  </si>
  <si>
    <t>Overload {5}{R}{R}{R}</t>
  </si>
  <si>
    <t>Commander 2015</t>
  </si>
  <si>
    <t>c0409</t>
  </si>
  <si>
    <t>Boros Charm</t>
  </si>
  <si>
    <t>Choose one —
• Boros Charm deals 4 damage to target player or planeswalker.
• Permanents you control gain indestructible until end of turn.
• Target creature gains double strike until end of turn.</t>
  </si>
  <si>
    <t>Choose one —
• Boros Charm deals 4 damage to target player or planeswalker.
• Permanents you control gain indestructible</t>
  </si>
  <si>
    <t>Gatecrash</t>
  </si>
  <si>
    <t>c0410</t>
  </si>
  <si>
    <t>Boros Signet</t>
  </si>
  <si>
    <t>{1}, {T}: Add {R}{W}.</t>
  </si>
  <si>
    <t>{1}, {T}: Add {R}{W}</t>
  </si>
  <si>
    <t>Ravnica: City of Guilds</t>
  </si>
  <si>
    <t>c0189</t>
  </si>
  <si>
    <t>Beast Whisperer</t>
  </si>
  <si>
    <t>Whenever you cast a creature spell, draw a card.
(2/3)</t>
  </si>
  <si>
    <t>Whenever you cast a creature spell, draw a card.</t>
  </si>
  <si>
    <t>Guilds of Ravnica</t>
  </si>
  <si>
    <t>c0428</t>
  </si>
  <si>
    <t>Doran, the Siege Tower</t>
  </si>
  <si>
    <t>Treefolk Shaman</t>
  </si>
  <si>
    <t>Each creature assigns combat damage equal to its toughness rather than its power.
(0/5)</t>
  </si>
  <si>
    <t>Toughness Payoff</t>
  </si>
  <si>
    <t>Each creature assigns combat damage equal to its toughness rather than its power.</t>
  </si>
  <si>
    <t>c0054</t>
  </si>
  <si>
    <t>Night's Whisper</t>
  </si>
  <si>
    <t>You draw two cards and lose 2 life.</t>
  </si>
  <si>
    <t>Fifth Dawn</t>
  </si>
  <si>
    <t>c0175</t>
  </si>
  <si>
    <t>Vanquisher's Banner</t>
  </si>
  <si>
    <t>As this artifact enters, choose a creature type.
Creatures you control of the chosen type get +1/+1.
Whenever you cast a creature spell of the chosen type, draw a card.</t>
  </si>
  <si>
    <t>Whenever you cast a creature spell of the chosen type, draw a card</t>
  </si>
  <si>
    <t>As this artifact enters, choose a creature type</t>
  </si>
  <si>
    <t>Creatures you control of the chosen type get +1/+1</t>
  </si>
  <si>
    <t>Ixalan</t>
  </si>
  <si>
    <t>c0878</t>
  </si>
  <si>
    <t>Suture Priest</t>
  </si>
  <si>
    <t>Phyrexian Cleric</t>
  </si>
  <si>
    <t>Whenever another creature you control enters, you may gain 1 life.
Whenever a creature an opponent controls enters, you may have that player lose 1 life.
(1/1)</t>
  </si>
  <si>
    <t>Gains you 1 life whenever another creature you control enters</t>
  </si>
  <si>
    <t>May cause an opponent to lose 1 life whenever a creature they control enters</t>
  </si>
  <si>
    <t>New Phyrexia</t>
  </si>
  <si>
    <t>c0133</t>
  </si>
  <si>
    <t>Lightning Greaves</t>
  </si>
  <si>
    <t>Equipment</t>
  </si>
  <si>
    <t>Equipped creature has haste and shroud. (It can't be the target of spells or abilities.)
Equip {0}</t>
  </si>
  <si>
    <t>Equipped creature has haste and shroud</t>
  </si>
  <si>
    <t>Equip {0}</t>
  </si>
  <si>
    <t>Mirrodin</t>
  </si>
  <si>
    <t>c0647</t>
  </si>
  <si>
    <t>Rundvelt Hordemaster</t>
  </si>
  <si>
    <t>Other Goblins you control get +1/+1.
Whenever this creature or another Goblin you control dies, exile the top card of your library. If it's a Goblin creature card, you may cast that card until the end of your next turn.
(1/1)</t>
  </si>
  <si>
    <t>Other Goblins you control get +1/+1.
Whenever this creature or another Goblin you control dies, exile the top card of yo</t>
  </si>
  <si>
    <t>Dominaria United</t>
  </si>
  <si>
    <t>c0149</t>
  </si>
  <si>
    <t>Psychosis Crawler</t>
  </si>
  <si>
    <t>Artifact Creature</t>
  </si>
  <si>
    <t>Phyrexian Horror</t>
  </si>
  <si>
    <t>Psychosis Crawler's power and toughness are each equal to the number of cards in your hand.
Whenever you draw a card, each opponent loses 1 life.
(*/*)</t>
  </si>
  <si>
    <t>Whenever you draw a card, each opponent loses 1 life</t>
  </si>
  <si>
    <t>Psychosis Crawler's power and toughness are each equal to the number of cards in your hand</t>
  </si>
  <si>
    <t>Mirrodin Besieged</t>
  </si>
  <si>
    <t>c0692</t>
  </si>
  <si>
    <t>Frantic Search</t>
  </si>
  <si>
    <t>Draw two cards, then discard two cards. Untap up to three lands.</t>
  </si>
  <si>
    <t>Draw two cards, then discard two cards. Untap up to three lands</t>
  </si>
  <si>
    <t>Urza's Legacy</t>
  </si>
  <si>
    <t>c0562</t>
  </si>
  <si>
    <t>Den of the Bugbear</t>
  </si>
  <si>
    <t>If you control two or more other lands, this land enters tapped.
{T}: Add {R}.
{3}{R}: Until end of turn, this land becomes a 3/2 red Goblin creature with "Whenever this creature attacks, create a 1/1 red Goblin creature token that's tapped and attacking." It's still a land.</t>
  </si>
  <si>
    <t>If you control two or more other lands, this land enters tapped.
{T}: Add {R}.
{3}{R}: Until end of turn, this land beco</t>
  </si>
  <si>
    <t>Adventures in the Forgotten Realms</t>
  </si>
  <si>
    <t>c0890</t>
  </si>
  <si>
    <t>Unbreakable Formation</t>
  </si>
  <si>
    <t>Creatures you control gain indestructible until end of turn.
Addendum — If you cast this spell during your main phase, put a +1/+1 counter on each of those creatures and they gain vigilance until end of turn.</t>
  </si>
  <si>
    <t>Value Engine</t>
  </si>
  <si>
    <t>Creatures you control gain indestructible until end of turn</t>
  </si>
  <si>
    <t>Addendum — If you cast this spell during your main phase, put a +1/+1 counter on each of those creatures and they gain v</t>
  </si>
  <si>
    <t>c0397</t>
  </si>
  <si>
    <t>Assassin's Trophy</t>
  </si>
  <si>
    <t>Destroy target permanent an opponent controls. Its controller may search their library for a basic land card, put it onto the battlefield, then shuffle.</t>
  </si>
  <si>
    <t>Destroy target permanent an opponent controls. Its controller may search their library for a basic land card, put it onto the battlefield, then shuffle</t>
  </si>
  <si>
    <t>c0190</t>
  </si>
  <si>
    <t>Beast Within</t>
  </si>
  <si>
    <t>Destroy target permanent. Its controller creates a 3/3 green Beast creature token.</t>
  </si>
  <si>
    <t>Destroy target permanent. Its controller creates a 3/3 green Beast creature token</t>
  </si>
  <si>
    <t>c0215</t>
  </si>
  <si>
    <t>Garruk's Uprising</t>
  </si>
  <si>
    <t>When this enchantment enters, if you control a creature with power 4 or greater, draw a card.
Creatures you control have trample. (Each of those creatures can deal excess combat damage to the player or planeswalker it's attacking.)
Whenever a creature you control with power 4 or greater enters, draw a card.</t>
  </si>
  <si>
    <t>When this enchantment enters, if you control a creature with power 4 or greater, draw a card</t>
  </si>
  <si>
    <t>Whenever a creature you control with power 4 or greater enters, draw a card</t>
  </si>
  <si>
    <t>Creatures you control have trample</t>
  </si>
  <si>
    <t>c0063</t>
  </si>
  <si>
    <t>Priest of Forgotten Gods</t>
  </si>
  <si>
    <t>{T}, Sacrifice two other creatures: Any number of target players each lose 2 life and sacrifice a creature of their choice. You add {B}{B} and draw a card. (Activate only as an instant.)
(1/2)</t>
  </si>
  <si>
    <t>{T}, Sacrifice two other creatures: Any number of target players each lose 2 life and sacrifice a creature of their choi</t>
  </si>
  <si>
    <t>c0041</t>
  </si>
  <si>
    <t>Infernal Grasp</t>
  </si>
  <si>
    <t>Destroy target creature. You lose 2 life.</t>
  </si>
  <si>
    <t>Destroy target creature. You lose 2 life</t>
  </si>
  <si>
    <t>Innistrad: Midnight Hunt</t>
  </si>
  <si>
    <t>c0092</t>
  </si>
  <si>
    <t>Woe Strider</t>
  </si>
  <si>
    <t>Horror</t>
  </si>
  <si>
    <t>When this creature enters, create a 0/1 white Goat creature token.
Sacrifice another creature: Scry 1.
Escape—{3}{B}{B}, Exile four other cards from your graveyard. (You may cast this card from your graveyard for its escape cost.)
This creature escapes with two +1/+1 counters on it.
(3/2)</t>
  </si>
  <si>
    <t>When this creature enters, create a 0/1 white Goat creature token.
Sacrifice another creature: Scry 1.
Escape—{3}{B}{B}, Exile four other cards from your graveyard. (You may cast this card from your graveyard for its escape cost.)
This creature escap</t>
  </si>
  <si>
    <t>Theros Beyond Death</t>
  </si>
  <si>
    <t>c0050</t>
  </si>
  <si>
    <t>Morbid Opportunist</t>
  </si>
  <si>
    <t>Human Rogue</t>
  </si>
  <si>
    <t>Whenever one or more other creatures die, draw a card. This ability triggers only once each turn.
(1/3)</t>
  </si>
  <si>
    <t>Whenever one or more other creatures die, draw a card. This ability triggers only once each turn</t>
  </si>
  <si>
    <t>c0679</t>
  </si>
  <si>
    <t>Contentious Plan</t>
  </si>
  <si>
    <t>Proliferate. (Choose any number of permanents and/or players, then give each another counter of each kind already there.)
Draw a card.</t>
  </si>
  <si>
    <t>Draw a card</t>
  </si>
  <si>
    <t>c0260</t>
  </si>
  <si>
    <t>Saruli Caretaker</t>
  </si>
  <si>
    <t>Defender
{T}, Tap an untapped creature you control: Add one mana of any color.
(0/3)</t>
  </si>
  <si>
    <t>Defender</t>
  </si>
  <si>
    <t>{T}, Tap an untapped creature you control: Add one mana of any color</t>
  </si>
  <si>
    <t>c0593</t>
  </si>
  <si>
    <t>Goblin Motivator</t>
  </si>
  <si>
    <t>{T}: Target creature gains haste until end of turn. (It can attack and {T} this turn.)
(1/1)</t>
  </si>
  <si>
    <t>Tap: target creature gains haste until end of turn</t>
  </si>
  <si>
    <t>Core Set 2019</t>
  </si>
  <si>
    <t>c0905</t>
  </si>
  <si>
    <t>Whitemane Lion</t>
  </si>
  <si>
    <t>Cat</t>
  </si>
  <si>
    <t>Flash
When this creature enters, return a creature you control to its owner's hand.
(2/2)</t>
  </si>
  <si>
    <t>When this creature enters, return a creature you control to its owner's hand</t>
  </si>
  <si>
    <t>Salvat 2005</t>
  </si>
  <si>
    <t>c0712</t>
  </si>
  <si>
    <t>Mystic Remora</t>
  </si>
  <si>
    <t>Cumulative upkeep {1} (At the beginning of your upkeep, put an age counter on this permanent, then sacrifice it unless you pay its upkeep cost for each age counter on it.)
Whenever an opponent casts a noncreature spell, you may draw a card unless that player pays {4}.</t>
  </si>
  <si>
    <t>Whenever an opponent casts a noncreature spell, you may draw a card unless that player pays {4}</t>
  </si>
  <si>
    <t>Cumulative upkeep {1}</t>
  </si>
  <si>
    <t>c0028</t>
  </si>
  <si>
    <t>Exsanguinate</t>
  </si>
  <si>
    <t>Each opponent loses X life. You gain life equal to the life lost this way.</t>
  </si>
  <si>
    <t>Each opponent loses X life. You gain life equal to the life lost this way</t>
  </si>
  <si>
    <t>Scars of Mirrodin</t>
  </si>
  <si>
    <t>c0515</t>
  </si>
  <si>
    <t>Underground River</t>
  </si>
  <si>
    <t>{T}: Add {C}.
{T}: Add {U} or {B}. This land deals 1 damage to you.</t>
  </si>
  <si>
    <t>{T}: Add {C}. / {T}: Add {U} or {B}. This land deals 1 damage to you.</t>
  </si>
  <si>
    <t>c0030</t>
  </si>
  <si>
    <t>Fell the Profane // Fell Mire</t>
  </si>
  <si>
    <t>Fell the Profane {2}{B}{B} — Instant
Destroy target creature or planeswalker.
//
Fell Mire — Land
As this land enters, you may pay 3 life. If you don't, it enters tapped.
{T}: Add {B}.</t>
  </si>
  <si>
    <t>Destroy target creature or planeswalker</t>
  </si>
  <si>
    <t>As this land enters, you may pay 3 life. If you don't, it enters tapped</t>
  </si>
  <si>
    <t>{T}: Add {B}</t>
  </si>
  <si>
    <t>Modern Horizons 3</t>
  </si>
  <si>
    <t>c0354</t>
  </si>
  <si>
    <t>Plains</t>
  </si>
  <si>
    <t>Basic Land</t>
  </si>
  <si>
    <t>({T}: Add {W}.)</t>
  </si>
  <si>
    <t>Taps for {W}</t>
  </si>
  <si>
    <t>The Hobbit</t>
  </si>
  <si>
    <t>189</t>
  </si>
  <si>
    <t>Chris Cold</t>
  </si>
  <si>
    <t>Justin Gerard</t>
  </si>
  <si>
    <t>c0346</t>
  </si>
  <si>
    <t>Mountain</t>
  </si>
  <si>
    <t>({T}: Add {R}.)</t>
  </si>
  <si>
    <t>Taps for {R}</t>
  </si>
  <si>
    <t>c0374</t>
  </si>
  <si>
    <t>Swamp</t>
  </si>
  <si>
    <t>({T}: Add {B}.)</t>
  </si>
  <si>
    <t>Taps for {B}</t>
  </si>
  <si>
    <t>Secrets of Strixhaven</t>
  </si>
  <si>
    <t>269</t>
  </si>
  <si>
    <t>Joshua Raphael</t>
  </si>
  <si>
    <t>Erikas Perl</t>
  </si>
  <si>
    <t>c0334</t>
  </si>
  <si>
    <t>Island</t>
  </si>
  <si>
    <t>({T}: Add {U}.)</t>
  </si>
  <si>
    <t>Taps for {U}</t>
  </si>
  <si>
    <t>c0322</t>
  </si>
  <si>
    <t>Forest</t>
  </si>
  <si>
    <t>({T}: Add {G}.)</t>
  </si>
  <si>
    <t>Taps for {G}</t>
  </si>
  <si>
    <t>c0222</t>
  </si>
  <si>
    <t>Guardian of the Halls</t>
  </si>
  <si>
    <t>Elf Soldier</t>
  </si>
  <si>
    <t>Trample
{5}{G}{G}: Put three +1/+1 counters on this creature.
(2/2)</t>
  </si>
  <si>
    <t>Counters Payoff</t>
  </si>
  <si>
    <t>Pay {5}{G}{G} to put three +1/+1 counters on it</t>
  </si>
  <si>
    <t>Excess combat damage carries through to the defending player</t>
  </si>
  <si>
    <t>127</t>
  </si>
  <si>
    <t>Andreia Ugrai</t>
  </si>
  <si>
    <t>c0318</t>
  </si>
  <si>
    <t>Evolving Wilds</t>
  </si>
  <si>
    <t>{T}, Sacrifice this land: Search your library for a basic land card, put it onto the battlefield tapped, then shuffle.</t>
  </si>
  <si>
    <t>Lorwyn Eclipsed</t>
  </si>
  <si>
    <t>264</t>
  </si>
  <si>
    <t>Alayna Danner</t>
  </si>
  <si>
    <t>c0031</t>
  </si>
  <si>
    <t>Front Porch Sentries</t>
  </si>
  <si>
    <t>Goblin Soldier</t>
  </si>
  <si>
    <t>When this creature dies, target creature an opponent controls gets -1/-1 until end of turn.
(2/2)</t>
  </si>
  <si>
    <t>Utility Creature</t>
  </si>
  <si>
    <t>When this creature dies, target creature an opponent controls gets -1/-1 until end of turn</t>
  </si>
  <si>
    <t>67</t>
  </si>
  <si>
    <t>Stanislav Sherbakov</t>
  </si>
  <si>
    <t>c0344</t>
  </si>
  <si>
    <t>Mirkwood</t>
  </si>
  <si>
    <t>This land enters tapped.
{T}: Add {B} or {G}.
{2}{B}{G}, {T}, Sacrifice this land: Put two +1/+1 counters on target Bear, Spider, or Wolf you control. Activate only as a sorcery.</t>
  </si>
  <si>
    <t>Taps for {B} or {G}</t>
  </si>
  <si>
    <t>Sacrifice to put two +1/+1 counters on target Bear, Spider, or Wolf you control</t>
  </si>
  <si>
    <t>c0976</t>
  </si>
  <si>
    <t>Theoretical Necromancer</t>
  </si>
  <si>
    <t>Vampire Warlock</t>
  </si>
  <si>
    <t>{3}{B}, Exile this card from your graveyard: Return another target creature card from your graveyard to your hand.
(4/1)</t>
  </si>
  <si>
    <t>{3}{B}, exile it from your graveyard: return another creature card from your graveyard to your hand</t>
  </si>
  <si>
    <t>4/1 body</t>
  </si>
  <si>
    <t>Reality Fracture</t>
  </si>
  <si>
    <t>C 0069</t>
  </si>
  <si>
    <t>Chris Rallis</t>
  </si>
  <si>
    <t>c0987</t>
  </si>
  <si>
    <t>Semester Foreseer // Peer Review</t>
  </si>
  <si>
    <t>Semester Foreseer {3}{U} — Creature — Human Wizard (3/4)
This creature enters prepared. (While it's prepared, you may cast a copy of its spell. Doing so unprepares it.)
When this creature enters, surveil 1.
//
Peer Review {2}{W/U} — Sorcery
Create a 2/2 colorless Wizard Soldier creature token named Cadet. Surveil 1.</t>
  </si>
  <si>
    <t>Enters prepared: you may cast a copy of Peer Review (2/2 Cadet token and surveil 1)</t>
  </si>
  <si>
    <t>Enters: surveil 1 (look at the top card and you may put it into your graveyard)</t>
  </si>
  <si>
    <t>C 0039</t>
  </si>
  <si>
    <t>Alix Branwyn</t>
  </si>
  <si>
    <t>c0290</t>
  </si>
  <si>
    <t>Wildvine Pummeler</t>
  </si>
  <si>
    <t>Giant Berserker</t>
  </si>
  <si>
    <t>Vivid — This spell costs {1} less to cast for each color among permanents you control.
Reach, trample
(6/5)</t>
  </si>
  <si>
    <t>Cost Reducer</t>
  </si>
  <si>
    <t>Costs {1} less to cast for each color among your permanents</t>
  </si>
  <si>
    <t>Can block creatures with flying</t>
  </si>
  <si>
    <t>203</t>
  </si>
  <si>
    <t>c1031</t>
  </si>
  <si>
    <t>Bestial Incursion</t>
  </si>
  <si>
    <t>Create a 4/4 green Beast creature token with trample.
Flashback {5}{G} (You may cast this card from your graveyard for its flashback cost. Then exile it.)</t>
  </si>
  <si>
    <t>Create a 4/4 green Beast token with trample</t>
  </si>
  <si>
    <t>Flashback {5}{G}</t>
  </si>
  <si>
    <t>C 0098</t>
  </si>
  <si>
    <t>c0757</t>
  </si>
  <si>
    <t>Cast Out</t>
  </si>
  <si>
    <t>Flash
When this enchantment enters, exile target nonland permanent an opponent controls until this enchantment leaves the battlefield.
Cycling {W} ({W}, Discard this card: Draw a card.)</t>
  </si>
  <si>
    <t>Can be cast at instant speed</t>
  </si>
  <si>
    <t>Enters: exiles target nonland permanent an opponent controls until this leaves</t>
  </si>
  <si>
    <t>Discard for {W} to draw a card instead of casting</t>
  </si>
  <si>
    <t>Amonkhet</t>
  </si>
  <si>
    <t>c0249</t>
  </si>
  <si>
    <t>Origin of Metalbending</t>
  </si>
  <si>
    <t>Lesson</t>
  </si>
  <si>
    <t>Choose one —
• Destroy target artifact or enchantment.
• Put a +1/+1 counter on target creature you control. It gains indestructible until end of turn. (Damage and effects that say "destroy" don't destroy it.)</t>
  </si>
  <si>
    <t>Artifact/Enchantment Removal</t>
  </si>
  <si>
    <t>Choose one: destroys target artifact or enchantment</t>
  </si>
  <si>
    <t>Or puts a +1/+1 counter on your creature; it can't be destroyed this turn</t>
  </si>
  <si>
    <t>Avatar: The Last Airbender</t>
  </si>
  <si>
    <t>c0066</t>
  </si>
  <si>
    <t>Rage into the Valley</t>
  </si>
  <si>
    <t>You draw a card and lose 1 life.
Amass Goblins 2. (Put two +1/+1 counters on an Army you control. It's also a Goblin. If you don't control an Army, create a 0/0 black Goblin Army creature token first.)</t>
  </si>
  <si>
    <t>You draw a card and lose 1 life</t>
  </si>
  <si>
    <t>Amass Goblins 2: two +1/+1 counters on your Army token, making one if needed</t>
  </si>
  <si>
    <t>79</t>
  </si>
  <si>
    <t>Antonio José Manzaneda</t>
  </si>
  <si>
    <t>c0139</t>
  </si>
  <si>
    <t>Mind Stone</t>
  </si>
  <si>
    <t>{T}: Add {C}.
{1}, {T}, Sacrifice this artifact: Draw a card.</t>
  </si>
  <si>
    <t>Taps for {C}</t>
  </si>
  <si>
    <t>Pay {1}, tap, sacrifice: draw a card</t>
  </si>
  <si>
    <t>Weatherlight</t>
  </si>
  <si>
    <t>c0321</t>
  </si>
  <si>
    <t>Fields of Strife</t>
  </si>
  <si>
    <t>This land enters tapped.
{T}: Add {R} or {W}.
{2}{R}{W}, {T}: Surveil 1. (Look at the top card of your library. You may put it into your graveyard.)</t>
  </si>
  <si>
    <t>Taps for {R} or {W}</t>
  </si>
  <si>
    <t>Enters tapped</t>
  </si>
  <si>
    <t>Pay mana, tap: look at top card, may put it in graveyard</t>
  </si>
  <si>
    <t>255</t>
  </si>
  <si>
    <t>Josu Solano</t>
  </si>
  <si>
    <t>c0411</t>
  </si>
  <si>
    <t>Borrowed Knowledge</t>
  </si>
  <si>
    <t>Choose one —
• Discard your hand, then draw cards equal to the number of cards in target opponent's hand.
• Discard your hand, then draw cards equal to the number of cards discarded this way.</t>
  </si>
  <si>
    <t>Wheel</t>
  </si>
  <si>
    <t>Discard your hand, then draw cards equal to the number of cards in target opponent's hand</t>
  </si>
  <si>
    <t>Or discard your hand and draw that many cards instead</t>
  </si>
  <si>
    <t>178</t>
  </si>
  <si>
    <t>Inkognit</t>
  </si>
  <si>
    <t>c0640</t>
  </si>
  <si>
    <t>Ragged Short Spear</t>
  </si>
  <si>
    <t>When this Equipment enters, you may discard a card. If you do, draw two cards.
Equipped creature gets +2/+0.
Equip {3} ({3}: Attach to target creature you control. Equip only as a sorcery.)</t>
  </si>
  <si>
    <t>Enters: discard a card to draw two</t>
  </si>
  <si>
    <t>Equipped creature gets +2/+0</t>
  </si>
  <si>
    <t>108</t>
  </si>
  <si>
    <t>Miklós Ligeti</t>
  </si>
  <si>
    <t>c1026</t>
  </si>
  <si>
    <t>Surgical Precision</t>
  </si>
  <si>
    <t>Choose one —
• Destroy target creature with toughness 4 or greater. You gain 1 life.
• You draw a card and gain 2 life.</t>
  </si>
  <si>
    <t>Choose one: destroy target creature with toughness 4 or greater and gain 1 life</t>
  </si>
  <si>
    <t>Or draw a card and gain 2 life</t>
  </si>
  <si>
    <t>C 0022</t>
  </si>
  <si>
    <t>Nathaniel Himawan</t>
  </si>
  <si>
    <t>c0999</t>
  </si>
  <si>
    <t>Primal Witchstalker</t>
  </si>
  <si>
    <t>Wolf</t>
  </si>
  <si>
    <t>Menace (This creature can't be blocked except by two or more creatures.)
When this creature enters, mill four cards. When you do, return target land card from your graveyard to the battlefield tapped. (To mill four cards, put the top four cards of your library into your graveyard.)
(2/1)</t>
  </si>
  <si>
    <t>Enters: mill four, then return a land card from your graveyard to the battlefield tapped</t>
  </si>
  <si>
    <t>Menace</t>
  </si>
  <si>
    <t>U 0144</t>
  </si>
  <si>
    <t>Kaitlyn McCulley</t>
  </si>
  <si>
    <t>c1018</t>
  </si>
  <si>
    <t>Marwyn, the Clearcutter</t>
  </si>
  <si>
    <t>{2}, {T}, Sacrifice an artifact or land: Draw a card.
(2/1)</t>
  </si>
  <si>
    <t>{2}, {T}, sacrifice an artifact or land: draw a card</t>
  </si>
  <si>
    <t>U 0249</t>
  </si>
  <si>
    <t>Quintin Gleim</t>
  </si>
  <si>
    <t>c1037</t>
  </si>
  <si>
    <t>Marwyn, the Preserver</t>
  </si>
  <si>
    <t>Lands you control have hexproof. (They can't be the targets of spells or abilities your opponents control.)
{2}: Return target land card from your graveyard to your hand.
(3/2)</t>
  </si>
  <si>
    <t>Lands you control have hexproof</t>
  </si>
  <si>
    <t>{2}: return target land card from your graveyard to your hand</t>
  </si>
  <si>
    <t>U 0263</t>
  </si>
  <si>
    <t>c1035</t>
  </si>
  <si>
    <t>Something Worth Saving</t>
  </si>
  <si>
    <t>Mill four cards. You may put a permanent card from among them into your hand. You gain 1 life. (To mill four cards, put the top four cards of your library into your graveyard.)</t>
  </si>
  <si>
    <t>Mill four; you may put a permanent card from among them into your hand</t>
  </si>
  <si>
    <t>Gain 1 life</t>
  </si>
  <si>
    <t>C 0114</t>
  </si>
  <si>
    <t>PINDURSKI</t>
  </si>
  <si>
    <t>c0974</t>
  </si>
  <si>
    <t>Rampart Hunter</t>
  </si>
  <si>
    <t>Deathtouch
When this creature enters, target creature gets +2/+2 and gains deathtouch until end of turn.
(3/3)</t>
  </si>
  <si>
    <t>Enters: target creature gets +2/+2 and deathtouch until end of turn</t>
  </si>
  <si>
    <t>C 0060</t>
  </si>
  <si>
    <t>Néstor Ossandón Leal</t>
  </si>
  <si>
    <t>c0986</t>
  </si>
  <si>
    <t>Protege's Awakening</t>
  </si>
  <si>
    <t>Empower Jace 6. (Put six loyalty counters on a Jace token you control. If you don't control one, first create a blue Jace planeswalker token with "[−1]: Surveil 1" and "[−3]: Draw a card.")
Draw a card.</t>
  </si>
  <si>
    <t>Empower Jace 6: put 6 loyalty counters on a Jace token, creating one if needed</t>
  </si>
  <si>
    <t>C 0037</t>
  </si>
  <si>
    <t>Cynthia Sheppard</t>
  </si>
  <si>
    <t>c1010</t>
  </si>
  <si>
    <t>Chandra's Emberling</t>
  </si>
  <si>
    <t>Gremlin Elemental</t>
  </si>
  <si>
    <t>Haste
Whenever you cast a noncreature spell, put a +1/+1 counter on this creature.
(2/2)</t>
  </si>
  <si>
    <t>Whenever you cast a noncreature spell, put a +1/+1 counter on it</t>
  </si>
  <si>
    <t>Haste</t>
  </si>
  <si>
    <t>C 0076</t>
  </si>
  <si>
    <t>Borja Pindado</t>
  </si>
  <si>
    <t>c1022</t>
  </si>
  <si>
    <t>Hexhaven Battalion</t>
  </si>
  <si>
    <t>Create three 2/2 colorless Wizard Soldier creature tokens named Cadet. Empower Jace 2. (Put two loyalty counters on a Jace token you control. If you don't control one, first create a blue Jace planeswalker token with "[−1]: Surveil 1" and "[−3]: Draw a card.")
Basic landcycling {2} ({2}, Discard this card: Search your library for a basic land card, reveal it, put it into your hand, then shuffle.)</t>
  </si>
  <si>
    <t>Create three 2/2 Cadet Wizard Soldier tokens</t>
  </si>
  <si>
    <t>Empower Jace 2</t>
  </si>
  <si>
    <t>Basic landcycling {2}: discard to search for a basic land</t>
  </si>
  <si>
    <t>C 0012</t>
  </si>
  <si>
    <t>Julia Griffin</t>
  </si>
  <si>
    <t>c0188</t>
  </si>
  <si>
    <t>Axebane Guardian</t>
  </si>
  <si>
    <t>Human Druid</t>
  </si>
  <si>
    <t>Defender
{T}: Add X mana in any combination of colors, where X is the number of creatures you control with defender.
(0/3)</t>
  </si>
  <si>
    <t>Taps for X mana of any colors, X = creatures you control with defender</t>
  </si>
  <si>
    <t>Return to Ravnica</t>
  </si>
  <si>
    <t>c1088</t>
  </si>
  <si>
    <t>Ghalta the Immovable</t>
  </si>
  <si>
    <t>Elder Dinosaur</t>
  </si>
  <si>
    <t>This spell costs {X} less to cast, where X is the greatest toughness among creatures you control.
Creatures you control can attack as though they didn't have defender.
Each creature you control with toughness greater than its power assigns combat damage equal to its toughness rather than its power.
(0/7)</t>
  </si>
  <si>
    <t>Creatures you control with toughness greater than power deal combat damage equal to toughness</t>
  </si>
  <si>
    <t>Your creatures can attack as though they didn't have defender</t>
  </si>
  <si>
    <t>Costs {X} less, where X is the greatest toughness among your creatures</t>
  </si>
  <si>
    <t>U 0197</t>
  </si>
  <si>
    <t>Antonio José Manzanedo</t>
  </si>
  <si>
    <t>c0996</t>
  </si>
  <si>
    <t>Fatehold Chronologist // Peer Review</t>
  </si>
  <si>
    <t>Bird Wizard</t>
  </si>
  <si>
    <t>Fatehold Chronologist {1}{W/U} — Creature — Bird Wizard (1/2)
Flying
This creature enters prepared. (While it's prepared, you may cast a copy of its spell. Doing so unprepares it.)
//
Peer Review {2}{W/U} — Sorcery
Create a 2/2 colorless Wizard Soldier creature token named Cadet. Surveil 1.</t>
  </si>
  <si>
    <t>C 0133</t>
  </si>
  <si>
    <t>Alexander Mokhov</t>
  </si>
  <si>
    <t>c0250</t>
  </si>
  <si>
    <t>Overgrown Battlement</t>
  </si>
  <si>
    <t>Defender
{T}: Add {G} for each creature you control with defender.
(0/4)</t>
  </si>
  <si>
    <t>Taps for {G} for each creature you control with defender</t>
  </si>
  <si>
    <t>c0233</t>
  </si>
  <si>
    <t>c0605</t>
  </si>
  <si>
    <t>Gundabad Opportunist</t>
  </si>
  <si>
    <t>Goblin Rogue</t>
  </si>
  <si>
    <t>When this creature enters, exile the top card of your library. Until the end of your next turn, you may play that card.
(4/2)</t>
  </si>
  <si>
    <t>Exiles the top card of your library when it enters; you may play it until your next turn ends</t>
  </si>
  <si>
    <t>C 0101</t>
  </si>
  <si>
    <t>Michele Giorgi</t>
  </si>
  <si>
    <t>c0867</t>
  </si>
  <si>
    <t>Spectacular Tactics</t>
  </si>
  <si>
    <t>Choose one —
• Put a +1/+1 counter on target creature you control. It gains hexproof until end of turn.
• Destroy target creature with power 4 or greater.</t>
  </si>
  <si>
    <t>Combat Trick</t>
  </si>
  <si>
    <t>Choose one: put a +1/+1 counter on your creature, it becomes untargetable this turn</t>
  </si>
  <si>
    <t>Or destroys target creature with power 4 or greater</t>
  </si>
  <si>
    <t>Marvel's Spider-Man</t>
  </si>
  <si>
    <t>C 0775</t>
  </si>
  <si>
    <t>c0713</t>
  </si>
  <si>
    <t>Negate</t>
  </si>
  <si>
    <t>Counter target noncreature spell.</t>
  </si>
  <si>
    <t>Counters target noncreature spell</t>
  </si>
  <si>
    <t>Morningtide</t>
  </si>
  <si>
    <t>Dragons of Tarkir</t>
  </si>
  <si>
    <t>C 0065</t>
  </si>
  <si>
    <t>Willian Murai</t>
  </si>
  <si>
    <t>c0291</t>
  </si>
  <si>
    <t>Wood Elves</t>
  </si>
  <si>
    <t>Elf Scout</t>
  </si>
  <si>
    <t>When this creature enters, search your library for a Forest card, put that card onto the battlefield, then shuffle.
(1/1)</t>
  </si>
  <si>
    <t>Searches for a Forest and puts it onto the battlefield when it enters</t>
  </si>
  <si>
    <t>142</t>
  </si>
  <si>
    <t>c0202</t>
  </si>
  <si>
    <t>Dundoolin Weaver</t>
  </si>
  <si>
    <t>Kithkin Druid</t>
  </si>
  <si>
    <t>When this creature enters, if you control three or more creatures, return target permanent card from your graveyard to your hand.
(2/1)</t>
  </si>
  <si>
    <t>Enters: if you control three or more creatures, return a permanent card from graveyard to hand</t>
  </si>
  <si>
    <t>c0128</t>
  </si>
  <si>
    <t>Giant's Boulder</t>
  </si>
  <si>
    <t>When this artifact enters, scry 2. (Look at the top two cards of your library, then put any number of them on the bottom and the rest on top in any order.)
{1}, {T}: Add one mana of any color.
{7}, {T}, Sacrifice this artifact: Destroy target permanent.</t>
  </si>
  <si>
    <t>Taps for one mana of any color for {1}</t>
  </si>
  <si>
    <t>Scry 2 when it enters</t>
  </si>
  <si>
    <t>Sacrifice and pay {7} to destroy target permanent</t>
  </si>
  <si>
    <t>173</t>
  </si>
  <si>
    <t>c0891</t>
  </si>
  <si>
    <t>Valorous Stance</t>
  </si>
  <si>
    <t>Choose one —
• Target creature gains indestructible until end of turn. (Damage and effects that say "destroy" don't destroy it.)
• Destroy target creature with toughness 4 or greater.</t>
  </si>
  <si>
    <t>Choose one: target creature can't be destroyed this turn</t>
  </si>
  <si>
    <t>Or destroys target creature with toughness 4 or greater</t>
  </si>
  <si>
    <t>Fate Reforged</t>
  </si>
  <si>
    <t>c0146</t>
  </si>
  <si>
    <t>Pilgrim's Eye</t>
  </si>
  <si>
    <t>Thopter</t>
  </si>
  <si>
    <t>Flying
When this creature enters, you may search your library for a basic land card, reveal it, put it into your hand, then shuffle.
(1/1)</t>
  </si>
  <si>
    <t>2/2 body that can block fliers</t>
  </si>
  <si>
    <t>Enters: search library for a basic land, put it into hand</t>
  </si>
  <si>
    <t>Worldwake</t>
  </si>
  <si>
    <t>c0157</t>
  </si>
  <si>
    <t>c0167</t>
  </si>
  <si>
    <t>c0781</t>
  </si>
  <si>
    <t>Dwarven Shortsword</t>
  </si>
  <si>
    <t>When this Equipment enters, create a 2/2 red Dwarf creature token, then attach this Equipment to it.
Equipped creature gets +1/+2.
Equip {2} ({2}: Attach to target creature you control. Equip only as a sorcery.)</t>
  </si>
  <si>
    <t>Creates a 2/2 Dwarf token and attaches itself when it enters</t>
  </si>
  <si>
    <t>Equipped creature gets +1/+2</t>
  </si>
  <si>
    <t>Equip {2}</t>
  </si>
  <si>
    <t>10</t>
  </si>
  <si>
    <t>c0187</t>
  </si>
  <si>
    <t>Attercop</t>
  </si>
  <si>
    <t>Spider</t>
  </si>
  <si>
    <t>Reach, deathtouch
Landfall — Whenever a land you control enters, this creature gets +1/+1 until end of turn.
(2/1)</t>
  </si>
  <si>
    <t>Reach, deathtouch</t>
  </si>
  <si>
    <t>Landfall - whenever a land you control enters, it gets +1/+1 until end of turn</t>
  </si>
  <si>
    <t>116</t>
  </si>
  <si>
    <t>c0122</t>
  </si>
  <si>
    <t>Explorer's Scope</t>
  </si>
  <si>
    <t>Whenever equipped creature attacks, look at the top card of your library. If it's a land card, you may put it onto the battlefield tapped.
Equip {1} ({1}: Attach to target creature you control. Equip only as a sorcery.)</t>
  </si>
  <si>
    <t>Attacking lets you look at the top library card and play a land there onto the battlefield tapped</t>
  </si>
  <si>
    <t>Zendikar</t>
  </si>
  <si>
    <t>c0468</t>
  </si>
  <si>
    <t>Mirkwood Nurturer</t>
  </si>
  <si>
    <t>Elf Ranger</t>
  </si>
  <si>
    <t>When this creature enters, return up to one other target permanent you control to its owner's hand. If you do, put a +1/+1 counter on this creature.
(3/2)</t>
  </si>
  <si>
    <t>When this creature enters, return up to one other target permanent you control to its owner's hand. If you do, put a +1/</t>
  </si>
  <si>
    <t>c0654</t>
  </si>
  <si>
    <t>Smaug, the Great Calamity</t>
  </si>
  <si>
    <t>Dragon</t>
  </si>
  <si>
    <t>Smaug, the Great Calamity {5}{R}{R} — Legendary Creature — Dragon (5/5)
Flying
//
Spew Flame {4}{R} — Sorcery — Adventure
Spew Flame deals 5 damage to target creature. (Then exile this card. You may cast the creature later from exile.)</t>
  </si>
  <si>
    <t>Back face Spew Flame {4}{R}: deals 5 damage to target creature</t>
  </si>
  <si>
    <t>109</t>
  </si>
  <si>
    <t>c0676</t>
  </si>
  <si>
    <t>Bilbo Baggins, Burglar // Take a Glance</t>
  </si>
  <si>
    <t>Halfling Rogue</t>
  </si>
  <si>
    <t>Bilbo Baggins, Burglar {2}{U} — Legendary Creature — Halfling Rogue (2/1)
When Bilbo Baggins enters, draw a card.
//
Take a Glance {U} — Sorcery — Adventure
Scry 2. (Then exile this card. You may cast the creature later from exile.)</t>
  </si>
  <si>
    <t>Enters: draw a card</t>
  </si>
  <si>
    <t>Take a Glance {U} — Adventure: scry 2, then cast Bilbo later from exile</t>
  </si>
  <si>
    <t>34</t>
  </si>
  <si>
    <t>Kieran Yanner</t>
  </si>
  <si>
    <t>c0181</t>
  </si>
  <si>
    <t>Well-Worn Spatula</t>
  </si>
  <si>
    <t>When this Equipment enters, you gain 2 life.
Equipped creature gets +1/+1.
Equip {1} ({1}: Attach to target creature you control. Equip only as a sorcery.)</t>
  </si>
  <si>
    <t>Equipped creature gets +1/+1; equip {1}</t>
  </si>
  <si>
    <t>Enters: you gain 2 life</t>
  </si>
  <si>
    <t>180</t>
  </si>
  <si>
    <t>Gaboleps</t>
  </si>
  <si>
    <t>c0705</t>
  </si>
  <si>
    <t>Long Lake Nuisance</t>
  </si>
  <si>
    <t>Bird</t>
  </si>
  <si>
    <t>Flying
When this creature enters, recruit. (Draw a card, then discard a card. If you discarded a nonland card, create a 1/1 white Human Soldier creature token.)
(3/1)</t>
  </si>
  <si>
    <t>Enters: recruit — draw a card, then discard a card, creating a 1/1 Human Soldier token if you discarded a nonland card</t>
  </si>
  <si>
    <t>3/1 flying body</t>
  </si>
  <si>
    <t>45</t>
  </si>
  <si>
    <t>c0105</t>
  </si>
  <si>
    <t>Biblioplex Tomekeeper</t>
  </si>
  <si>
    <t>Construct</t>
  </si>
  <si>
    <t>When this creature enters, choose up to one —
• Target creature becomes prepared. (Only creatures with prepare spells can become prepared.)
• Target creature becomes unprepared.
(3/4)</t>
  </si>
  <si>
    <t>Enters: choose up to one — target creature becomes prepared, or target creature becomes unprepared</t>
  </si>
  <si>
    <t>3/4 artifact body castable off any colors</t>
  </si>
  <si>
    <t>247</t>
  </si>
  <si>
    <t>Raph Lomotan</t>
  </si>
  <si>
    <t>c0048</t>
  </si>
  <si>
    <t>Moonglove Extractor</t>
  </si>
  <si>
    <t>Elf Warlock</t>
  </si>
  <si>
    <t>Whenever this creature attacks, you draw a card and lose 1 life.
(2/1)</t>
  </si>
  <si>
    <t>Attacking draws you a card and costs you 1 life</t>
  </si>
  <si>
    <t>c1016</t>
  </si>
  <si>
    <t>Wrath of the Bloodmane</t>
  </si>
  <si>
    <t>This spell costs {1} less to cast if you control a legendary creature.
Wrath of the Bloodmane deals 4 damage to target creature or planeswalker.</t>
  </si>
  <si>
    <t>Deals 4 damage to target creature or planeswalker</t>
  </si>
  <si>
    <t>Costs {1} less if you control a legendary creature</t>
  </si>
  <si>
    <t>C 0096</t>
  </si>
  <si>
    <t>Manuel Castañón</t>
  </si>
  <si>
    <t>c0164</t>
  </si>
  <si>
    <t>Sword of the Animist</t>
  </si>
  <si>
    <t>Legendary Artifact</t>
  </si>
  <si>
    <t>Equipped creature gets +1/+1.
Whenever equipped creature attacks, you may search your library for a basic land card, put it onto the battlefield tapped, then shuffle.
Equip {2}</t>
  </si>
  <si>
    <t>Equipped creature gets +1/+1</t>
  </si>
  <si>
    <t>Attacking fetches a basic land onto the battlefield tapped</t>
  </si>
  <si>
    <t>Magic Origins</t>
  </si>
  <si>
    <t>c0740</t>
  </si>
  <si>
    <t>Viral Drake</t>
  </si>
  <si>
    <t>Phyrexian Drake</t>
  </si>
  <si>
    <t>Flying
Infect (This creature deals damage to creatures in the form of -1/-1 counters and to players in the form of poison counters.)
{3}{U}: Proliferate. (Choose any number of permanents and/or players, then give each another counter of each kind already there.)
(1/4)</t>
  </si>
  <si>
    <t>Deals damage as -1/-1 counters to creatures, poison counters to players</t>
  </si>
  <si>
    <t>{3}{U}: Proliferate</t>
  </si>
  <si>
    <t>Flying body</t>
  </si>
  <si>
    <t>c0111</t>
  </si>
  <si>
    <t>Contagion Clasp</t>
  </si>
  <si>
    <t>When this artifact enters, put a -1/-1 counter on target creature.
{4}, {T}: Proliferate. (Choose any number of permanents and/or players, then give each another counter of each kind already there.)</t>
  </si>
  <si>
    <t>Puts a -1/-1 counter on target creature when it enters</t>
  </si>
  <si>
    <t>{4}, tap: Proliferate</t>
  </si>
  <si>
    <t>Duel Decks: Elspeth vs. Tezzeret</t>
  </si>
  <si>
    <t>c0153</t>
  </si>
  <si>
    <t>Simic Signet</t>
  </si>
  <si>
    <t>{1}, {T}: Add {G}{U}.</t>
  </si>
  <si>
    <t>{1}, tap: add {G}{U}</t>
  </si>
  <si>
    <t>Dissension</t>
  </si>
  <si>
    <t>c0427</t>
  </si>
  <si>
    <t>Despark</t>
  </si>
  <si>
    <t>Exile target permanent with mana value 4 or greater.</t>
  </si>
  <si>
    <t>Exiles target permanent with mana value 4 or greater</t>
  </si>
  <si>
    <t>c0372</t>
  </si>
  <si>
    <t>Sunpetal Grove</t>
  </si>
  <si>
    <t>This land enters tapped unless you control a Forest or a Plains.
{T}: Add {G} or {W}.</t>
  </si>
  <si>
    <t>Taps for {G} or {W}</t>
  </si>
  <si>
    <t>Enters untapped if you control a Forest or Plains</t>
  </si>
  <si>
    <t>Magic 2010</t>
  </si>
  <si>
    <t>c0209</t>
  </si>
  <si>
    <t>Fertilid</t>
  </si>
  <si>
    <t>Elemental</t>
  </si>
  <si>
    <t>This creature enters with two +1/+1 counters on it.
{1}{G}, Remove a +1/+1 counter from this creature: Target player searches their library for a basic land card, puts it onto the battlefield tapped, then shuffles.
(0/0)</t>
  </si>
  <si>
    <t>Enters with two +1/+1 counters</t>
  </si>
  <si>
    <t>Remove a counter: target player searches for a basic land onto the battlefield tapped</t>
  </si>
  <si>
    <t>c0729</t>
  </si>
  <si>
    <t>Steady Progress</t>
  </si>
  <si>
    <t>Proliferate, then draw a card</t>
  </si>
  <si>
    <t>c0380</t>
  </si>
  <si>
    <t>Thornwood Falls</t>
  </si>
  <si>
    <t>This land enters tapped.
When this land enters, you gain 1 life.
{T}: Add {G} or {U}.</t>
  </si>
  <si>
    <t>This land enters tapped. / When this land enters, you gain 1 life. / {</t>
  </si>
  <si>
    <t>Khans of Tarkir</t>
  </si>
  <si>
    <t>c0319</t>
  </si>
  <si>
    <t>Exotic Orchard</t>
  </si>
  <si>
    <t>{T}: Add one mana of any color that a land an opponent controls could produce.</t>
  </si>
  <si>
    <t>Taps for one mana of any color an opponent's land could produce</t>
  </si>
  <si>
    <t>Conflux</t>
  </si>
  <si>
    <t>c0717</t>
  </si>
  <si>
    <t>Plunder the Trollshaws</t>
  </si>
  <si>
    <t>Draw a card. If this spell was cast from a graveyard, draw two cards instead.
Flashback {3}{U} (You may cast this card from your graveyard for its flashback cost. Then exile it.)</t>
  </si>
  <si>
    <t>Draw a card, or two cards if it was cast from a graveyard</t>
  </si>
  <si>
    <t>Flashback {3}{U}: cast it from your graveyard, then exile it</t>
  </si>
  <si>
    <t>51</t>
  </si>
  <si>
    <t>c0329</t>
  </si>
  <si>
    <t>Golgari Guildgate</t>
  </si>
  <si>
    <t>Gate</t>
  </si>
  <si>
    <t>This land enters tapped.
{T}: Add {B} or {G}.</t>
  </si>
  <si>
    <t>This land enters tapped. / {T}: Add {B} or {G}.</t>
  </si>
  <si>
    <t>c0368</t>
  </si>
  <si>
    <t>Simic Guildgate</t>
  </si>
  <si>
    <t>This land enters tapped.
{T}: Add {G} or {U}.</t>
  </si>
  <si>
    <t>Taps for {G} or {U}</t>
  </si>
  <si>
    <t>c0278</t>
  </si>
  <si>
    <t>Troll Negotiations</t>
  </si>
  <si>
    <t>Put two +1/+1 counters on target creature you control. Then it fights target creature an opponent controls. (Each deals damage equal to its power to the other.)</t>
  </si>
  <si>
    <t>Puts two +1/+1 counters on target creature you control, then it fights an opponent's creature</t>
  </si>
  <si>
    <t>138</t>
  </si>
  <si>
    <t>c0894</t>
  </si>
  <si>
    <t>Venat, Heart of Hydaelyn</t>
  </si>
  <si>
    <t>Elder Wizard</t>
  </si>
  <si>
    <t>Venat, Heart of Hydaelyn {1}{W}{W} — Legendary Creature — Elder Wizard (3/3)
Whenever you cast a legendary spell, draw a card. This ability triggers only once each turn.
Hero's Sundering — {7}, {T}: Exile target nonland permanent. Transform Venat. Activate only as a sorcery.
//
Hydaelyn, the Mothercrystal — Legendary Creature — God (4/4)
Indestructible
Blessing of Light — At the beginning of combat on your turn, put a +1/+1 counter on another target creature you control. Until your next turn, it gains indestructible. If that creature is legendary, draw a card.</t>
  </si>
  <si>
    <t>Casting a legendary spell draws a card, once per turn</t>
  </si>
  <si>
    <t>Pay {7}, tap: exile target nonland permanent, then transform</t>
  </si>
  <si>
    <t>Back side is unkillable; combat: give a creature a +1/+1 counter and protection, drawing a card if it's legendary</t>
  </si>
  <si>
    <t>Final Fantasy</t>
  </si>
  <si>
    <t>c0301</t>
  </si>
  <si>
    <t>Azorius Guildgate</t>
  </si>
  <si>
    <t>This land enters tapped.
{T}: Add {W} or {U}.</t>
  </si>
  <si>
    <t>This land enters tapped. / {T}: Add {W} or {U}.</t>
  </si>
  <si>
    <t>c0343</t>
  </si>
  <si>
    <t>Meandering River</t>
  </si>
  <si>
    <t>Oath of the Gatewatch</t>
  </si>
  <si>
    <t>c0879</t>
  </si>
  <si>
    <t>Swords to Plowshares</t>
  </si>
  <si>
    <t>Exile target creature. Its controller gains life equal to its power.</t>
  </si>
  <si>
    <t>Exiles target creature</t>
  </si>
  <si>
    <t>Its controller gains life equal to its power</t>
  </si>
  <si>
    <t>c0796</t>
  </si>
  <si>
    <t>Generous Gift</t>
  </si>
  <si>
    <t>Destroy target permanent. Its controller creates a 3/3 green Elephant creature token.</t>
  </si>
  <si>
    <t>Destroys target permanent</t>
  </si>
  <si>
    <t>Its controller creates a 3/3 Elephant token</t>
  </si>
  <si>
    <t>Secret Lair Drop</t>
  </si>
  <si>
    <t>R 2534</t>
  </si>
  <si>
    <t>Rudy Siswanto</t>
  </si>
  <si>
    <t>c0857</t>
  </si>
  <si>
    <t>Selfless Spirit</t>
  </si>
  <si>
    <t>Spirit Cleric</t>
  </si>
  <si>
    <t>Flying
Sacrifice this creature: Creatures you control gain indestructible until end of turn.
(2/1)</t>
  </si>
  <si>
    <t>Sacrifice: your creatures can't be destroyed until end of turn</t>
  </si>
  <si>
    <t>Eldritch Moon</t>
  </si>
  <si>
    <t>c0860</t>
  </si>
  <si>
    <t>Sevinne's Reclamation</t>
  </si>
  <si>
    <t>Return target permanent card with mana value 3 or less from your graveyard to the battlefield. If this spell was cast from a graveyard, you may copy this spell and may choose a new target for the copy.
Flashback {4}{W} (You may cast this card from your graveyard for its flashback cost. Then exile it.)</t>
  </si>
  <si>
    <t>Returns a MV 3 or less permanent from graveyard to battlefield</t>
  </si>
  <si>
    <t>If cast from graveyard, copy the spell with a new target</t>
  </si>
  <si>
    <t>Flashback lets you cast it from graveyard</t>
  </si>
  <si>
    <t>c0571</t>
  </si>
  <si>
    <t>Faithless Looting</t>
  </si>
  <si>
    <t>Draw two cards, then discard two cards.
Flashback {2}{R} (You may cast this card from your graveyard for its flashback cost. Then exile it.)</t>
  </si>
  <si>
    <t>Discard/Looting</t>
  </si>
  <si>
    <t>Draw two cards, then discard two cards</t>
  </si>
  <si>
    <t>Flashback lets you cast it again from graveyard</t>
  </si>
  <si>
    <t>Dark Ascension</t>
  </si>
  <si>
    <t>c0303</t>
  </si>
  <si>
    <t>Battlefield Forge</t>
  </si>
  <si>
    <t>{T}: Add {C}.
{T}: Add {R} or {W}. This land deals 1 damage to you.</t>
  </si>
  <si>
    <t>Taps for {R} or {W}, dealing 1 damage to you</t>
  </si>
  <si>
    <t>Magic 2015</t>
  </si>
  <si>
    <t>R 0240</t>
  </si>
  <si>
    <t>Darrell Riche</t>
  </si>
  <si>
    <t>c0876</t>
  </si>
  <si>
    <t>Sun Titan</t>
  </si>
  <si>
    <t>Vigilance
Whenever this creature enters or attacks, you may return target permanent card with mana value 3 or less from your graveyard to the battlefield.
(6/6)</t>
  </si>
  <si>
    <t>6/6 body that can block after attacking</t>
  </si>
  <si>
    <t>Enters or attacks: return a MV 3 or less permanent from graveyard to battlefield</t>
  </si>
  <si>
    <t>Magic 2011</t>
  </si>
  <si>
    <t>c0333</t>
  </si>
  <si>
    <t>Iron Hills</t>
  </si>
  <si>
    <t>This land enters tapped.
{T}: Add {R} or {W}.
{2}{R}{W}, {T}, Sacrifice this land: Put two +1/+1 counters on target Dwarf you control. Activate only as a sorcery.</t>
  </si>
  <si>
    <t>{2}{R}{W}, {T}, sacrifice: put two +1/+1 counters on target Dwarf you control</t>
  </si>
  <si>
    <t>185</t>
  </si>
  <si>
    <t>c0902</t>
  </si>
  <si>
    <t>Weathered Wayfarer</t>
  </si>
  <si>
    <t>Human Nomad Cleric</t>
  </si>
  <si>
    <t>{W}, {T}: Search your library for a land card, reveal it, put it into your hand, then shuffle. Activate only if an opponent controls more lands than you.
(1/1)</t>
  </si>
  <si>
    <t>1/1 body</t>
  </si>
  <si>
    <t>Tap: search library for a land card to hand if an opponent has more lands</t>
  </si>
  <si>
    <t>Onslaught</t>
  </si>
  <si>
    <t>59/350</t>
  </si>
  <si>
    <t>Greg &amp; Tim Hildebrandt</t>
  </si>
  <si>
    <t>Javier Charro</t>
  </si>
  <si>
    <t>c1011</t>
  </si>
  <si>
    <t>Draconic Visitor</t>
  </si>
  <si>
    <t>Flying
If one or more artifact tokens would be created under your control, that many 5/5 red Dragon creature tokens with flying are created instead.
(5/5)</t>
  </si>
  <si>
    <t>Artifact tokens you would create become 5/5 red flying Dragons instead</t>
  </si>
  <si>
    <t>R 0080</t>
  </si>
  <si>
    <t>c1048</t>
  </si>
  <si>
    <t>Hall of Echoes</t>
  </si>
  <si>
    <t>{T}: Add {C}.
{5}: This land becomes a copy of target creature you control until end of turn. The "legend rule" doesn't apply to permanents you control this turn.</t>
  </si>
  <si>
    <t>{5}: becomes a copy of target creature you control until end of turn; legend rule off for you this turn</t>
  </si>
  <si>
    <t>R 0179</t>
  </si>
  <si>
    <t>Leon Tukker</t>
  </si>
  <si>
    <t>Serena Malyon</t>
  </si>
  <si>
    <t>c0154</t>
  </si>
  <si>
    <t>Skullclamp</t>
  </si>
  <si>
    <t>Equipped creature gets +1/-1.
Whenever equipped creature dies, draw two cards.
Equip {1}</t>
  </si>
  <si>
    <t>Equipped creature gets +1/-1</t>
  </si>
  <si>
    <t>Draw two cards whenever equipped creature dies</t>
  </si>
  <si>
    <t>Darksteel</t>
  </si>
  <si>
    <t>c0358</t>
  </si>
  <si>
    <t>Reliquary Tower</t>
  </si>
  <si>
    <t>You have no maximum hand size.
{T}: Add {C}.</t>
  </si>
  <si>
    <t>You have no maximum hand size</t>
  </si>
  <si>
    <t>{T}: Add {C}</t>
  </si>
  <si>
    <t>c0903</t>
  </si>
  <si>
    <t>Welcoming Vampire</t>
  </si>
  <si>
    <t>Vampire</t>
  </si>
  <si>
    <t>Flying
Whenever one or more other creatures you control with power 2 or less enter, draw a card. This ability triggers only once each turn.
(2/3)</t>
  </si>
  <si>
    <t>Draws a card (once per turn) when creatures with power 2 or less you control enter</t>
  </si>
  <si>
    <t>Innistrad: Crimson Vow</t>
  </si>
  <si>
    <t>c0615</t>
  </si>
  <si>
    <t>Krenko, Mob Boss</t>
  </si>
  <si>
    <t>{T}: Create X 1/1 red Goblin creature tokens, where X is the number of Goblins you control.
(3/3)</t>
  </si>
  <si>
    <t>Commander</t>
  </si>
  <si>
    <t>Tap: creates X 1/1 Goblin tokens, X = Goblins you control</t>
  </si>
  <si>
    <t>Magic 2013</t>
  </si>
  <si>
    <t>c1008</t>
  </si>
  <si>
    <t>Artifist Acumen</t>
  </si>
  <si>
    <t>Creatures you control gain first strike until end of turn.
Draw a card.</t>
  </si>
  <si>
    <t>Creatures you control gain first strike until end of turn</t>
  </si>
  <si>
    <t>C 0073</t>
  </si>
  <si>
    <t>Anna Podedworna</t>
  </si>
  <si>
    <t>c1083</t>
  </si>
  <si>
    <t>Hallway Heckler // Vicious Verse</t>
  </si>
  <si>
    <t>Elemental Sorcerer</t>
  </si>
  <si>
    <t>Hallway Heckler {2}{R} — Creature — Elemental Sorcerer (2/3)
This creature enters prepared. (While it's prepared, you may cast a copy of its spell. Doing so unprepares it.)
{T}, Discard a card: Draw a card.
//
Vicious Verse {B/R} — Sorcery
Vicious Verse deals 1 damage to target opponent.</t>
  </si>
  <si>
    <t>{T}, discard a card: draw a card</t>
  </si>
  <si>
    <t>Enters prepared: you may cast a copy of Vicious Verse (1 damage to target opponent)</t>
  </si>
  <si>
    <t>C 0085</t>
  </si>
  <si>
    <t>Gustavo Pelissari</t>
  </si>
  <si>
    <t>c0992</t>
  </si>
  <si>
    <t>Blessed Ghoul</t>
  </si>
  <si>
    <t>Zombie Cleric</t>
  </si>
  <si>
    <t>Lifelink
{2}{W/B}: Return this card from your graveyard to your hand.
(1/1)</t>
  </si>
  <si>
    <t>Lifelink</t>
  </si>
  <si>
    <t>{2}{W/B}: return it from your graveyard to your hand</t>
  </si>
  <si>
    <t>C 0123</t>
  </si>
  <si>
    <t>Igor Grechanyi</t>
  </si>
  <si>
    <t>c0971</t>
  </si>
  <si>
    <t>Cast Away Doubt</t>
  </si>
  <si>
    <t>Draw two cards. Cast Away Doubt deals 2 damage to each player.</t>
  </si>
  <si>
    <t>Deals 2 damage to each player</t>
  </si>
  <si>
    <t>C 0051</t>
  </si>
  <si>
    <t>Zara Alfonso</t>
  </si>
  <si>
    <t>c1030</t>
  </si>
  <si>
    <t>Yuriko, Blade of the Mighty</t>
  </si>
  <si>
    <t>Human Samurai</t>
  </si>
  <si>
    <t>During combat, players can't cast spells or activate abilities that aren't mana abilities.
Whenever a creature you control attacks a player alone, it gains double strike until end of turn.
(2/3)</t>
  </si>
  <si>
    <t>Whenever a creature you control attacks a player alone, it gains double strike until end of turn</t>
  </si>
  <si>
    <t>During combat, no one can cast spells or activate non-mana abilities</t>
  </si>
  <si>
    <t>U 0210</t>
  </si>
  <si>
    <t>Lie Setiawan</t>
  </si>
  <si>
    <t>c0991</t>
  </si>
  <si>
    <t>Yuriko, Hope from the Shadows</t>
  </si>
  <si>
    <t>Human Ninja</t>
  </si>
  <si>
    <t>Flash
When Yuriko enters, choose one —
• Target creature gets -X/-0 until end of turn, where X is the number of cards in your graveyard.
• Surveil 2. (Look at the top two cards of your library, then put any number of them into your graveyard and the rest on top of your library in any order.)
(1/1)</t>
  </si>
  <si>
    <t>Enters: target creature gets -X/-0 (X = cards in your graveyard) or surveil 2</t>
  </si>
  <si>
    <t>U 0226</t>
  </si>
  <si>
    <t>c0980</t>
  </si>
  <si>
    <t>Tinybones, Pocket Nuisance</t>
  </si>
  <si>
    <t>Skeleton Rogue</t>
  </si>
  <si>
    <t>When Tinybones enters, each opponent discards a card.
Whenever a player discards one or more cards, Tinybones deals 1 damage to each opponent.
(2/1)</t>
  </si>
  <si>
    <t>Whenever any player discards, deals 1 damage to each opponent</t>
  </si>
  <si>
    <t>Enters: each opponent discards a card</t>
  </si>
  <si>
    <t>U 0237</t>
  </si>
  <si>
    <t>Jesper Ejsing</t>
  </si>
  <si>
    <t>c1057</t>
  </si>
  <si>
    <t>Loot, the Anomaly</t>
  </si>
  <si>
    <t>If Loot's power is negative, he assigns combat damage as though his power were positive.
Threshold — Sacrifice another creature or planeswalker: Loot gets -2/-0 until end of turn. Activate only if there are seven or more cards in your graveyard.
(-2/4)</t>
  </si>
  <si>
    <t>Assigns combat damage as if its negative power were positive</t>
  </si>
  <si>
    <t>Threshold: sacrifice another creature or planeswalker to give it -2/-0 (more damage)</t>
  </si>
  <si>
    <t>U 0232</t>
  </si>
  <si>
    <t>Filip Burburan</t>
  </si>
  <si>
    <t>c1036</t>
  </si>
  <si>
    <t>Jiang Yanggu, Never Alone</t>
  </si>
  <si>
    <t>When Jiang Yanggu enters, create Mowu, a legendary 3/3 green Dog creature token.
At the beginning of your end step, untap all tokens you control.
(2/2)</t>
  </si>
  <si>
    <t>Enters: create Mowu, a legendary 3/3 green Dog token</t>
  </si>
  <si>
    <t>At your end step, untap all tokens you control</t>
  </si>
  <si>
    <t>U 0261</t>
  </si>
  <si>
    <t>Dmitry Burmak</t>
  </si>
  <si>
    <t>c0606</t>
  </si>
  <si>
    <t>Hanweir Garrison</t>
  </si>
  <si>
    <t>Human Soldier</t>
  </si>
  <si>
    <t>Whenever this creature attacks, create two 1/1 red Human creature tokens that are tapped and attacking.
(Melds with Hanweir Battlements.)
(2/3)</t>
  </si>
  <si>
    <t>Creates two 1/1 Human tokens, tapped and attacking, whenever it attacks</t>
  </si>
  <si>
    <t>c1097</t>
  </si>
  <si>
    <t>Emergency Phytomedic // Seed Suture</t>
  </si>
  <si>
    <t>Dryad Cleric</t>
  </si>
  <si>
    <t>Emergency Phytomedic {G/W} — Creature — Dryad Cleric (1/1)
This creature enters prepared. (While it's prepared, you may cast a copy of its spell. Doing so unprepares it.)
//
Seed Suture {G/W} — Sorcery
Put a +1/+1 counter on target creature. You gain 1 life.</t>
  </si>
  <si>
    <t>Enters prepared: you may cast a copy of Seed Suture (+1/+1 counter and gain 1 life)</t>
  </si>
  <si>
    <t>1/1 body for one hybrid mana</t>
  </si>
  <si>
    <t>c1004</t>
  </si>
  <si>
    <t>Whiplash Wordsmith // Vicious Verse</t>
  </si>
  <si>
    <t>Vampire Sorcerer</t>
  </si>
  <si>
    <t>Whiplash Wordsmith {3}{B/R} — Creature — Vampire Sorcerer (3/3)
This creature enters prepared. (While it's prepared, you may cast a copy of its spell. Doing so unprepares it.)
As long as an opponent was dealt noncombat damage this turn, this creature has flying and haste.
//
Vicious Verse {B/R} — Sorcery
Vicious Verse deals 1 damage to target opponent.</t>
  </si>
  <si>
    <t>Has flying and haste while an opponent was dealt noncombat damage this turn</t>
  </si>
  <si>
    <t>C 0164</t>
  </si>
  <si>
    <t>Anastasia Ovchinnikova</t>
  </si>
  <si>
    <t>c1028</t>
  </si>
  <si>
    <t>Teyo, Lightshield Expert</t>
  </si>
  <si>
    <t>Flash
When Teyo enters, target permanent you control gains hexproof until end of turn. Put a +1/+1 counter on it if it's a creature. Put a loyalty counter on it if it's a planeswalker. (It can't be the target of spells or abilities your opponents control.)
(1/1)</t>
  </si>
  <si>
    <t>Enters: target permanent you control gains hexproof until end of turn and gets a +1/+1 counter (loyalty counter on a planeswalker)</t>
  </si>
  <si>
    <t>U 0204</t>
  </si>
  <si>
    <t>Anna Steinbauer</t>
  </si>
  <si>
    <t>c0997</t>
  </si>
  <si>
    <t>Ferocity of the Hunt</t>
  </si>
  <si>
    <t>Aura</t>
  </si>
  <si>
    <t>Flash
Enchant creature
Enchanted creature gets +1/+0 and has deathtouch.
When enchanted creature dies, return that card to the battlefield tapped under its owner's control.</t>
  </si>
  <si>
    <t>Enchanted creature gets +1/+0 and deathtouch</t>
  </si>
  <si>
    <t>When enchanted creature dies, return it to the battlefield tapped</t>
  </si>
  <si>
    <t>C 0134</t>
  </si>
  <si>
    <t>Elliot Lang</t>
  </si>
  <si>
    <t>c1043</t>
  </si>
  <si>
    <t>Keeper of the Quiet Hour</t>
  </si>
  <si>
    <t>Chimera</t>
  </si>
  <si>
    <t>When this creature enters, empower Jace 2. (Put two loyalty counters on a Jace token you control. If you don't control one, first create a blue Jace planeswalker token with "[−1]: Surveil 1" and "[−3]: Draw a card.")
(3/2)</t>
  </si>
  <si>
    <t>Enters: empower Jace 2</t>
  </si>
  <si>
    <t>3/2 body</t>
  </si>
  <si>
    <t>C 0171</t>
  </si>
  <si>
    <t>John Tedrick</t>
  </si>
  <si>
    <t>c1049</t>
  </si>
  <si>
    <t>Hexhaven Dueling Arena</t>
  </si>
  <si>
    <t>{T}: Add {C}.
{2}, {T}: Target creature that attacked this turn becomes prepared. Activate only as a sorcery. (Only creatures with prepare spells can become prepared.)
{4}, {T}: Target creature becomes prepared.</t>
  </si>
  <si>
    <t>{2}, {T}: a creature that attacked this turn becomes prepared (sorcery speed)</t>
  </si>
  <si>
    <t>{4}, {T}: target creature becomes prepared</t>
  </si>
  <si>
    <t>U 0181</t>
  </si>
  <si>
    <t>Constantin Marin</t>
  </si>
  <si>
    <t>c0990</t>
  </si>
  <si>
    <t>Proft, Consulting Detective</t>
  </si>
  <si>
    <t>Human Detective</t>
  </si>
  <si>
    <t>Whenever you scry or surveil, you may pay {2}. If you do, put a +1/+1 counter on Proft and draw a card. (Draw after you scry or surveil.)
(2/2)</t>
  </si>
  <si>
    <t>Whenever you scry or surveil, you may pay {2} to put a +1/+1 counter on it and draw a card</t>
  </si>
  <si>
    <t>U 0218</t>
  </si>
  <si>
    <t>Lindsey Look</t>
  </si>
  <si>
    <t>c1042</t>
  </si>
  <si>
    <t>Eye of Jace</t>
  </si>
  <si>
    <t>At the beginning of your upkeep, surveil 1. Then if there are seven or more cards in your graveyard, sacrifice this artifact, it deals 2 damage to each opponent, and you gain 2 life. (To surveil 1, look at the top card of your library. You may put it into your graveyard.)</t>
  </si>
  <si>
    <t>Upkeep: surveil 1</t>
  </si>
  <si>
    <t>With seven or more cards in your graveyard, sacrifice it: 2 damage to each opponent and gain 2 life</t>
  </si>
  <si>
    <t>U 0170</t>
  </si>
  <si>
    <t>Ioannis Fiore</t>
  </si>
  <si>
    <t>c0180</t>
  </si>
  <si>
    <t>Weathered Sentinels</t>
  </si>
  <si>
    <t>Defender, reach, vigilance, trample
This creature can attack players who attacked you during their last turn as though it didn't have defender.
Whenever this creature attacks, it gets +3/+3 and gains indestructible until end of turn.
(2/5)</t>
  </si>
  <si>
    <t>Can attack players who attacked you last turn despite normally being unable to attack</t>
  </si>
  <si>
    <t>Gets +3/+3 and becomes indestructible when it attacks</t>
  </si>
  <si>
    <t>c1003</t>
  </si>
  <si>
    <t>Vigorbloom Charm</t>
  </si>
  <si>
    <t>Choose one —
• Target permanent you control gains hexproof and indestructible until end of turn.
• You draw a card and gain 3 life.
• Put a +1/+1 counter on target creature you control. Then it fights target creature an opponent controls. (Each deals damage equal to its power to the other.)</t>
  </si>
  <si>
    <t>Choose one: target permanent you control gains hexproof and indestructible until end of turn</t>
  </si>
  <si>
    <t>Or draw a card and gain 3 life</t>
  </si>
  <si>
    <t>Or put a +1/+1 counter on your creature, then it fights an opponent's creature</t>
  </si>
  <si>
    <t>U 0160</t>
  </si>
  <si>
    <t>c0985</t>
  </si>
  <si>
    <t>Plan for All Outcomes</t>
  </si>
  <si>
    <t>When this enchantment enters, the owner of up to one other target nonland permanent puts it on their choice of the top or bottom of their library.
Whenever you cast your first noncreature spell each turn, empower Jace 1. (Put a loyalty counter on a Jace token you control. If you don't control one, first create a blue Jace planeswalker token with "[−1]: Surveil 1" and "[−3]: Draw a card.")</t>
  </si>
  <si>
    <t>Enters: owner puts up to one other nonland permanent on the top or bottom of their library</t>
  </si>
  <si>
    <t>First noncreature spell each turn: empower Jace 1</t>
  </si>
  <si>
    <t>U 0035</t>
  </si>
  <si>
    <t>c1001</t>
  </si>
  <si>
    <t>Theorix Charm</t>
  </si>
  <si>
    <t>Choose one —
• Counter target noncreature spell unless its controller pays {2}.
• Target creature gets -2/-2 until end of turn.
• Mill three cards, then draw a card. (To mill three cards, put the top three cards of your library into your graveyard.)</t>
  </si>
  <si>
    <t>Choose one: counter target noncreature spell unless its controller pays {2}</t>
  </si>
  <si>
    <t>Or target creature gets -2/-2 until end of turn</t>
  </si>
  <si>
    <t>Or mill three, then draw a card</t>
  </si>
  <si>
    <t>U 0155</t>
  </si>
  <si>
    <t>c1046</t>
  </si>
  <si>
    <t>Fatehold Annex</t>
  </si>
  <si>
    <t>This land enters tapped unless you control a planeswalker.
{T}: Add {W} or {U}.</t>
  </si>
  <si>
    <t>Taps for {W} or {U}</t>
  </si>
  <si>
    <t>Enters tapped unless you control a planeswalker</t>
  </si>
  <si>
    <t>L 0177</t>
  </si>
  <si>
    <t>Sergey Glushakov</t>
  </si>
  <si>
    <t>c1045</t>
  </si>
  <si>
    <t>Dedicated Commons</t>
  </si>
  <si>
    <t>This land enters tapped unless you control a planeswalker.
{T}: Add {R} or {W}.</t>
  </si>
  <si>
    <t>L 0175</t>
  </si>
  <si>
    <t>c0970</t>
  </si>
  <si>
    <t>Apex Witchstalker</t>
  </si>
  <si>
    <t>Menace (This creature can't be blocked except by two or more creatures.)
When this creature enters or dies, you gain 2 life.
Basic landcycling {2} ({2}, Discard this card: Search your library for a basic land card, reveal it, put it into your hand, then shuffle.)
(6/4)</t>
  </si>
  <si>
    <t>Gain 2 life when it enters or dies</t>
  </si>
  <si>
    <t>C 0048</t>
  </si>
  <si>
    <t>Jason Mowry</t>
  </si>
  <si>
    <t>c1077</t>
  </si>
  <si>
    <t>Ghalta the Unstoppable</t>
  </si>
  <si>
    <t>This spell costs {X} less to cast, where X is the greatest power among creatures you control.
Trample
Other creatures you control have trample.
(8/8)</t>
  </si>
  <si>
    <t>Costs {X} less, where X is the greatest power among your creatures</t>
  </si>
  <si>
    <t>Trample; other creatures you control have trample</t>
  </si>
  <si>
    <t>U 0260</t>
  </si>
  <si>
    <t>c0901</t>
  </si>
  <si>
    <t>Wave of Reckoning</t>
  </si>
  <si>
    <t>Each creature deals damage to itself equal to its power.</t>
  </si>
  <si>
    <t>Each creature deals damage to itself equal to its power</t>
  </si>
  <si>
    <t>Mercadian Masques</t>
  </si>
  <si>
    <t>c0058</t>
  </si>
  <si>
    <t>Pawn of Ulamog</t>
  </si>
  <si>
    <t>Vampire Shaman</t>
  </si>
  <si>
    <t>Whenever this creature or another nontoken creature you control dies, you may create a 0/1 colorless Eldrazi Spawn creature token. It has "Sacrifice this token: Add {C}."
(2/2)</t>
  </si>
  <si>
    <t>Whenever it or another nontoken creature you control dies, may create a mana-producing Eldrazi Spawn token</t>
  </si>
  <si>
    <t>c0993</t>
  </si>
  <si>
    <t>Charge the Sanctum</t>
  </si>
  <si>
    <t>Choose one —
• Creatures you control get +2/+0 until end of turn.
• Target creature gets +2/+0 and gains first strike until end of turn. Put a +1/+1 counter on it.</t>
  </si>
  <si>
    <t>Choose one: creatures you control get +2/+0 until end of turn</t>
  </si>
  <si>
    <t>Or target creature gets +2/+0, first strike and a +1/+1 counter</t>
  </si>
  <si>
    <t>C 0125</t>
  </si>
  <si>
    <t>c0335</t>
  </si>
  <si>
    <t>Isolated Chapel</t>
  </si>
  <si>
    <t>This land enters tapped unless you control a Plains or a Swamp.
{T}: Add {W} or {B}.</t>
  </si>
  <si>
    <t>Taps for {W} or {B}</t>
  </si>
  <si>
    <t>Enters tapped unless you control a Plains or Swamp</t>
  </si>
  <si>
    <t>Innistrad</t>
  </si>
  <si>
    <t>c0142</t>
  </si>
  <si>
    <t>Orzhov Signet</t>
  </si>
  <si>
    <t>{1}, {T}: Add {W}{B}.</t>
  </si>
  <si>
    <t>{1}, {T}: Add {W}{B}</t>
  </si>
  <si>
    <t>Guildpact</t>
  </si>
  <si>
    <t>c1044</t>
  </si>
  <si>
    <t>Living Library</t>
  </si>
  <si>
    <t>Book Illusion</t>
  </si>
  <si>
    <t>{6}, Sacrifice this creature: Choose target creature or planeswalker an opponent controls. Its owner shuffles it into their library.
(0/4)</t>
  </si>
  <si>
    <t>{6}, sacrifice it: shuffle target creature or planeswalker an opponent controls into its owner's library</t>
  </si>
  <si>
    <t>C 0172</t>
  </si>
  <si>
    <t>Jarel Threat</t>
  </si>
  <si>
    <t>c0494</t>
  </si>
  <si>
    <t>Roon of the Hidden Realm</t>
  </si>
  <si>
    <t>Rhino Soldier</t>
  </si>
  <si>
    <t>Vigilance, trample
{2}, {T}: Exile another target creature. Return that card to the battlefield under its owner's control at the beginning of the next end step.
(4/4)</t>
  </si>
  <si>
    <t>Exiles another creature, returns it at next end step</t>
  </si>
  <si>
    <t>Repeatable via {2}, tap activated ability</t>
  </si>
  <si>
    <t>Commander 2013</t>
  </si>
  <si>
    <t>c0117</t>
  </si>
  <si>
    <t>Dawn-Blessed Pennant</t>
  </si>
  <si>
    <t>As this artifact enters, choose Elemental, Elf, Faerie, Giant, Goblin, Kithkin, Merfolk, or Treefolk.
Whenever a permanent you control of the chosen type enters, you gain 1 life.
{2}, {T}, Sacrifice this artifact: Return target card of the chosen type from your graveyard to your hand.</t>
  </si>
  <si>
    <t>Gain 1 life whenever a permanent of the chosen type enters</t>
  </si>
  <si>
    <t>Sacrifice and pay {2} to return a card of the chosen type from graveyard to hand</t>
  </si>
  <si>
    <t>254</t>
  </si>
  <si>
    <t>c0119</t>
  </si>
  <si>
    <t>Eldrazi Ravager</t>
  </si>
  <si>
    <t>Eldrazi</t>
  </si>
  <si>
    <t>Annihilator 1 (Whenever this creature attacks, defending player sacrifices a permanent of their choice.)
Sacrifice two Eldrazi: Return this card from your graveyard to your hand.
Cycling {2} ({2}, Discard this card: Draw a card.)
(6/6)</t>
  </si>
  <si>
    <t>Attacking forces the defending player to sacrifice a permanent</t>
  </si>
  <si>
    <t>Sacrifice two Eldrazi: return this from graveyard to hand</t>
  </si>
  <si>
    <t>Discard for {2} to draw a card instead of casting</t>
  </si>
  <si>
    <t>c0982</t>
  </si>
  <si>
    <t>Divining Duelist</t>
  </si>
  <si>
    <t>Merfolk Wizard</t>
  </si>
  <si>
    <t>Flash
When this creature enters, choose one —
• Tap target creature.
• Untap target creature.
• Draw a card, then discard a card.
(3/2)</t>
  </si>
  <si>
    <t>Enters: tap or untap target creature, or draw a card then discard a card</t>
  </si>
  <si>
    <t>C 0029</t>
  </si>
  <si>
    <t>David Auden Nash</t>
  </si>
  <si>
    <t>c0913</t>
  </si>
  <si>
    <t>Zetalpa, Primal Dawn</t>
  </si>
  <si>
    <t>Flying, double strike, vigilance, trample, indestructible
(4/8)</t>
  </si>
  <si>
    <t>Evasive double-strike attacker that dodges most removal</t>
  </si>
  <si>
    <t>Very hard to kill in combat or by damage</t>
  </si>
  <si>
    <t>Rivals of Ixalan</t>
  </si>
  <si>
    <t>c0793</t>
  </si>
  <si>
    <t>Fell the Mighty</t>
  </si>
  <si>
    <t>Destroy all creatures with power greater than target creature's power.</t>
  </si>
  <si>
    <t>Destroys all creatures with power greater than target creature's power</t>
  </si>
  <si>
    <t>Commander 2014</t>
  </si>
  <si>
    <t>c0084</t>
  </si>
  <si>
    <t>Vampire Hexmage</t>
  </si>
  <si>
    <t>First strike
Sacrifice this creature: Remove all counters from target permanent.
(2/1)</t>
  </si>
  <si>
    <t>Sacrifice: remove all counters from target permanent (can kill planeswalkers)</t>
  </si>
  <si>
    <t>First strike body</t>
  </si>
  <si>
    <t>c0379</t>
  </si>
  <si>
    <t>Terramorphic Expanse</t>
  </si>
  <si>
    <t>c0738</t>
  </si>
  <si>
    <t>Unexpected Assistance</t>
  </si>
  <si>
    <t>Convoke (Your creatures can help cast this spell. Each creature you tap while casting this spell pays for {1} or one mana of that creature's color.)
Draw three cards, then discard a card.</t>
  </si>
  <si>
    <t>Tapping your creatures can help pay its cost</t>
  </si>
  <si>
    <t>Draw three cards, then discard a card</t>
  </si>
  <si>
    <t>c0617</t>
  </si>
  <si>
    <t>Krenko's Command</t>
  </si>
  <si>
    <t>Create two 1/1 red Goblin creature tokens.</t>
  </si>
  <si>
    <t>Creates two 1/1 Goblin tokens</t>
  </si>
  <si>
    <t>c0984</t>
  </si>
  <si>
    <t>Perfected Theory</t>
  </si>
  <si>
    <t>Choose one —
• Target creature has base power and toughness 1/1 until end of turn.
• Target creature has base power and toughness 4/5 until end of turn.</t>
  </si>
  <si>
    <t>Choose one: target creature has base power and toughness 1/1 until end of turn</t>
  </si>
  <si>
    <t>Or target creature has base power and toughness 4/5 until end of turn</t>
  </si>
  <si>
    <t>U 0034</t>
  </si>
  <si>
    <t>Marta Nael</t>
  </si>
  <si>
    <t>c0037</t>
  </si>
  <si>
    <t>Great Fierce Bee</t>
  </si>
  <si>
    <t>Insect</t>
  </si>
  <si>
    <t>Flying
Whenever one or more other creatures die, scry 1. (Look at the top card of your library. You may put that card on the bottom.)
(2/2)</t>
  </si>
  <si>
    <t>Other creatures dying lets you look at and rearrange the top library card</t>
  </si>
  <si>
    <t>c0203</t>
  </si>
  <si>
    <t>c0077</t>
  </si>
  <si>
    <t>Terror</t>
  </si>
  <si>
    <t>Destroy target nonartifact, nonblack creature. It can't be regenerated.</t>
  </si>
  <si>
    <t>Destroys target nonartifact, nonblack creature</t>
  </si>
  <si>
    <t>That creature can't be regenerated</t>
  </si>
  <si>
    <t>c0148</t>
  </si>
  <si>
    <t>Prophetic Prism</t>
  </si>
  <si>
    <t>When this artifact enters, draw a card.
{1}, {T}: Add one mana of any color.</t>
  </si>
  <si>
    <t>Taps for one mana of any color</t>
  </si>
  <si>
    <t>c0304</t>
  </si>
  <si>
    <t>Blossoming Sands</t>
  </si>
  <si>
    <t>This land enters tapped.
When this land enters, you gain 1 life.
{T}: Add {G} or {W}.</t>
  </si>
  <si>
    <t>Gain 1 life when it enters</t>
  </si>
  <si>
    <t>c0816</t>
  </si>
  <si>
    <t>Kithkeeper</t>
  </si>
  <si>
    <t>Vivid — When this creature enters, create X 1/1 green and white Kithkin creature tokens, where X is the number of colors among permanents you control.
Tap three untapped creatures you control: This creature gets +3/+0 and gains flying until end of turn.
(3/3)</t>
  </si>
  <si>
    <t>Enters: create X 1/1 Kithkin tokens, X = colors among your permanents</t>
  </si>
  <si>
    <t>Tap three untapped creatures you control: gets +3/+0 and can fly this turn</t>
  </si>
  <si>
    <t>U 0023</t>
  </si>
  <si>
    <t>c0834</t>
  </si>
  <si>
    <t>Ori, Keeper of Songs</t>
  </si>
  <si>
    <t>Dwarf Bard</t>
  </si>
  <si>
    <t>Storied (If you control three or more artifacts, legendaries, and/or Sagas, you have an enduring story for the rest of the game.)
As long as you have an enduring story, Ori gets +1/+0 and has vigilance.
(3/3)</t>
  </si>
  <si>
    <t>Gets +1/+0 and has vigilance as long as you have an enduring story</t>
  </si>
  <si>
    <t>Storied - you have an enduring story for the rest of the game once you control three or more artifacts, legendaries, and/or Sagas</t>
  </si>
  <si>
    <t>C 0023</t>
  </si>
  <si>
    <t>Yigit Koroglu</t>
  </si>
  <si>
    <t>c0026</t>
  </si>
  <si>
    <t>Dreaded Bat-Cloud</t>
  </si>
  <si>
    <t>Bat</t>
  </si>
  <si>
    <t>This spell costs {3} less to cast if a creature died this turn.
Flying, deathtouch
(4/2)</t>
  </si>
  <si>
    <t>Costs {3} less to cast if a creature died this turn</t>
  </si>
  <si>
    <t>66</t>
  </si>
  <si>
    <t>c0444</t>
  </si>
  <si>
    <t>Gangly Stompling</t>
  </si>
  <si>
    <t>Changeling (This card is every creature type.)
Trample
(4/2)</t>
  </si>
  <si>
    <t>Counts as every creature type</t>
  </si>
  <si>
    <t>Deals excess combat damage to the defending player</t>
  </si>
  <si>
    <t>c0697</t>
  </si>
  <si>
    <t>Glamer Gifter</t>
  </si>
  <si>
    <t>Flash
Flying
When this creature enters, choose up to one other target creature. Until end of turn, that creature has base power and toughness 4/4 and gains all creature types.
(1/2)</t>
  </si>
  <si>
    <t>Target creature becomes a 4/4 with every creature type until end of turn</t>
  </si>
  <si>
    <t>49</t>
  </si>
  <si>
    <t>Ben Hill</t>
  </si>
  <si>
    <t>c0852</t>
  </si>
  <si>
    <t>Riverguard's Reflexes</t>
  </si>
  <si>
    <t>Target creature gets +2/+2 and gains first strike until end of turn. Untap it.</t>
  </si>
  <si>
    <t>Target creature gets +2/+2 until end of turn and untaps</t>
  </si>
  <si>
    <t>Deals its combat damage before creatures without this ability</t>
  </si>
  <si>
    <t>c0624</t>
  </si>
  <si>
    <t>Mica, Reader of Ruins</t>
  </si>
  <si>
    <t>Human Artificer</t>
  </si>
  <si>
    <t>Ward—Pay 3 life. (Whenever this creature becomes the target of a spell or ability an opponent controls, counter it unless that player pays 3 life.)
Whenever you cast an instant or sorcery spell, you may sacrifice an artifact. If you do, copy that spell and you may choose new targets for the copy.
(4/4)</t>
  </si>
  <si>
    <t>Copy/Clone</t>
  </si>
  <si>
    <t>Whenever you cast an instant or sorcery, you may sacrifice an artifact to copy it and choose new targets</t>
  </si>
  <si>
    <t>Ward — pay 3 life</t>
  </si>
  <si>
    <t>124</t>
  </si>
  <si>
    <t>Josu Hernaiz</t>
  </si>
  <si>
    <t>c0053</t>
  </si>
  <si>
    <t>Nightmare Sower</t>
  </si>
  <si>
    <t>Faerie Assassin</t>
  </si>
  <si>
    <t>Flying, lifelink
Whenever you cast a spell during an opponent's turn, put a -1/-1 counter on up to one target creature.
(2/3)</t>
  </si>
  <si>
    <t>Puts a -1/-1 counter on up to one target creature whenever you cast a spell during an opponent's turn</t>
  </si>
  <si>
    <t>Gains you life equal to damage it deals</t>
  </si>
  <si>
    <t>c0438</t>
  </si>
  <si>
    <t>Fearsome Goblin Pair</t>
  </si>
  <si>
    <t>When this creature dies, amass Goblins 4. (Put four +1/+1 counters on an Army you control. It's also a Goblin. If you don't control an Army, create a 0/0 black Goblin Army creature token first.)
(1/1)</t>
  </si>
  <si>
    <t>When this creature dies, amass Goblins 4</t>
  </si>
  <si>
    <t>c0253</t>
  </si>
  <si>
    <t>Portcullis Vine</t>
  </si>
  <si>
    <t>Defender (This creature can't attack.)
{2}, {T}, Sacrifice a creature with defender: Draw a card.
(0/3)</t>
  </si>
  <si>
    <t>Can't attack</t>
  </si>
  <si>
    <t>Pay {2}, tap, sacrifice a creature that can't attack: draw a card</t>
  </si>
  <si>
    <t>c0008</t>
  </si>
  <si>
    <t>Blight Rot</t>
  </si>
  <si>
    <t>Put four -1/-1 counters on target creature.</t>
  </si>
  <si>
    <t>Puts four -1/-1 counters on target creature</t>
  </si>
  <si>
    <t>c0029</t>
  </si>
  <si>
    <t>c0798</t>
  </si>
  <si>
    <t>Goldmeadow Nomad</t>
  </si>
  <si>
    <t>Kithkin Scout</t>
  </si>
  <si>
    <t>{W}, Exile this card from your graveyard: Create a 1/1 green and white Kithkin creature token. Activate only as a sorcery.
(1/2)</t>
  </si>
  <si>
    <t>{W}, exile this card from your graveyard: create a 1/1 Kithkin token, as a sorcery</t>
  </si>
  <si>
    <t>18</t>
  </si>
  <si>
    <t>Paolo Parente</t>
  </si>
  <si>
    <t>c0546</t>
  </si>
  <si>
    <t>Bombur, Gentle Dreamer</t>
  </si>
  <si>
    <t>Storied (If you control three or more artifacts, legendaries, and/or Sagas, you have an enduring story for the rest of the game.)
Bombur doesn't untap during your untap step unless you have an enduring story.
(5/3)</t>
  </si>
  <si>
    <t>A 5/3 that does not untap during your untap step unless you have an enduring story</t>
  </si>
  <si>
    <t>88</t>
  </si>
  <si>
    <t>Eric Deschamps</t>
  </si>
  <si>
    <t>c0118</t>
  </si>
  <si>
    <t>Dwarven Mattock</t>
  </si>
  <si>
    <t>When this Equipment enters, attach it to target Dwarf you control.
Equipped creature gets +2/+2 and has ward {1}. (Whenever equipped creature becomes the target of a spell or ability an opponent controls, counter it unless that player pays {1}.)
Equip {3} ({3}: Attach to target creature you control. Equip only as a sorcery.)</t>
  </si>
  <si>
    <t>Enters: attaches to target Dwarf you control</t>
  </si>
  <si>
    <t>Equipped creature gets +2/+2 and resists opponents' targeted spells and abilities unless they pay {1}</t>
  </si>
  <si>
    <t>172</t>
  </si>
  <si>
    <t>c0854</t>
  </si>
  <si>
    <t>Rootborn Defenses</t>
  </si>
  <si>
    <t>Populate. Creatures you control gain indestructible until end of turn. (To populate, create a token that's a copy of a creature token you control.)</t>
  </si>
  <si>
    <t>Populate: creates a copy of a creature token you control</t>
  </si>
  <si>
    <t>c0038</t>
  </si>
  <si>
    <t>Heirloom Auntie</t>
  </si>
  <si>
    <t>Goblin Warlock</t>
  </si>
  <si>
    <t>This creature enters with two -1/-1 counters on it.
Whenever another creature you control dies, surveil 1, then remove a -1/-1 counter from this creature. (To surveil 1, look at the top card of your library. You may put it into your graveyard.)
(4/4)</t>
  </si>
  <si>
    <t>Enters with two -1/-1 counters on it</t>
  </si>
  <si>
    <t>Surveils 1 and removes a -1/-1 counter from itself whenever another creature you control dies</t>
  </si>
  <si>
    <t>107</t>
  </si>
  <si>
    <t>c0264</t>
  </si>
  <si>
    <t>Shopkeeper's Bane</t>
  </si>
  <si>
    <t>Badger Pest</t>
  </si>
  <si>
    <t>Trample
Whenever this creature attacks, you gain 2 life.
(4/2)</t>
  </si>
  <si>
    <t>Whenever this creature attacks, you gain 2 life</t>
  </si>
  <si>
    <t>4/2 trample body</t>
  </si>
  <si>
    <t>159</t>
  </si>
  <si>
    <t>Filipe Pagliuso</t>
  </si>
  <si>
    <t>c0458</t>
  </si>
  <si>
    <t>Kirol, History Buff // Pack a Punch</t>
  </si>
  <si>
    <t>Vampire Cleric</t>
  </si>
  <si>
    <t>Kirol, History Buff {R}{W} — Legendary Creature — Vampire Cleric (2/3)
Whenever one or more cards leave your graveyard, Kirol becomes prepared. (While it's prepared, you may cast a copy of its spell. Doing so unprepares it.)
//
Pack a Punch {1}{R}{W} — Sorcery
Mill a card. Put two +1/+1 counters on target creature. It gains trample until end of turn.</t>
  </si>
  <si>
    <t>Cards leaving your graveyard lets you cast a copy of its other half</t>
  </si>
  <si>
    <t>Other half: mill a card, put two +1/+1 counters on target creature</t>
  </si>
  <si>
    <t>Other half also lets that creature push through blockers this turn</t>
  </si>
  <si>
    <t>198</t>
  </si>
  <si>
    <t>Bryan Sola</t>
  </si>
  <si>
    <t>c0236</t>
  </si>
  <si>
    <t>Lys Alana Informant</t>
  </si>
  <si>
    <t>When this creature enters or dies, surveil 1. (Look at the top card of your library. You may put it into your graveyard.)
(3/1)</t>
  </si>
  <si>
    <t>Surveils 1 when it enters or dies</t>
  </si>
  <si>
    <t>181</t>
  </si>
  <si>
    <t>c0618</t>
  </si>
  <si>
    <t>Kulrath Zealot</t>
  </si>
  <si>
    <t>Elemental Warrior</t>
  </si>
  <si>
    <t>When this creature enters, exile the top card of your library. Until the end of your next turn, you may play that card.
Basic landcycling {1}{R} ({1}{R}, Discard this card: Search your library for a basic land card, reveal it, put it into your hand, then shuffle.)
(6/5)</t>
  </si>
  <si>
    <t>Exiles top card of library to play until end of next turn</t>
  </si>
  <si>
    <t>Can discard for {1}{R} to tutor a basic land to hand</t>
  </si>
  <si>
    <t>c0756</t>
  </si>
  <si>
    <t>Burdened Stoneback</t>
  </si>
  <si>
    <t>Giant Warrior</t>
  </si>
  <si>
    <t>This creature enters with two -1/-1 counters on it.
{1}{W}, Remove a counter from this creature: Target creature gains indestructible until end of turn. Activate only as a sorcery. (Damage and effects that say "destroy" don't destroy it. If its toughness is 0 or less, it still dies.)
(4/4)</t>
  </si>
  <si>
    <t>Enters with two -1/-1 counters on itself</t>
  </si>
  <si>
    <t>Remove a counter: give target creature indestructible until end of turn</t>
  </si>
  <si>
    <t>8</t>
  </si>
  <si>
    <t>Carl Critchlow</t>
  </si>
  <si>
    <t>c0733</t>
  </si>
  <si>
    <t>Temporal Cleansing</t>
  </si>
  <si>
    <t>Convoke (Your creatures can help cast this spell. Each creature you tap while casting this spell pays for {1} or one mana of that creature's color.)
The owner of target nonland permanent puts it into their library second from the top or on the bottom.</t>
  </si>
  <si>
    <t>Puts target nonland permanent into its owner's library second from top or on bottom</t>
  </si>
  <si>
    <t>Your creatures can tap to help pay its cost</t>
  </si>
  <si>
    <t>78</t>
  </si>
  <si>
    <t>c0476</t>
  </si>
  <si>
    <t>Pretending Poxbearers</t>
  </si>
  <si>
    <t>Human Citizen Ally</t>
  </si>
  <si>
    <t>When this creature dies, create a 1/1 white Ally creature token.
(2/1)</t>
  </si>
  <si>
    <t>Dies: create a 1/1 white Ally token</t>
  </si>
  <si>
    <t>C 0237</t>
  </si>
  <si>
    <t>Salvatorre Zee Yazzie</t>
  </si>
  <si>
    <t>c0036</t>
  </si>
  <si>
    <t>Gollum, Silent Slinker</t>
  </si>
  <si>
    <t>Halfling Horror</t>
  </si>
  <si>
    <t>Gollum, Silent Slinker {3}{B} — Legendary Creature — Halfling Horror (4/3)
Menace (This creature can't be blocked except by two or more creatures.)
//
Meager Meal {B} — Sorcery — Adventure
Put a +1/+1 counter on up to one target creature. Target player gains 2 life. (Then exile this card. You may cast the creature later from exile.)</t>
  </si>
  <si>
    <t>Back face Meager Meal {B}: put a +1/+1 counter on up to one target creature and target player gains 2 life</t>
  </si>
  <si>
    <t>71</t>
  </si>
  <si>
    <t>c0667</t>
  </si>
  <si>
    <t>Tweeze</t>
  </si>
  <si>
    <t>Tweeze deals 3 damage to any target. You may discard a card. If you do, draw a card.</t>
  </si>
  <si>
    <t>Deals 3 damage to any target</t>
  </si>
  <si>
    <t>May discard a card to draw a card</t>
  </si>
  <si>
    <t>162</t>
  </si>
  <si>
    <t>Scott Gustafson</t>
  </si>
  <si>
    <t>c0567</t>
  </si>
  <si>
    <t>Enraged Flamecaster</t>
  </si>
  <si>
    <t>Reach
Whenever you cast a spell with mana value 4 or greater, this creature deals 2 damage to each opponent.
(3/2)</t>
  </si>
  <si>
    <t>Deals 2 damage to each opponent when you cast a spell MV 4 or greater</t>
  </si>
  <si>
    <t>c0141</t>
  </si>
  <si>
    <t>Old Thrush</t>
  </si>
  <si>
    <t>Flying
When this creature enters, you gain 2 life. You may search your library for a basic land card, reveal it, then shuffle and put that card on top.
(1/2)</t>
  </si>
  <si>
    <t>Enters: you gain 2 life and may search your library for a basic land card to put on top</t>
  </si>
  <si>
    <t>2</t>
  </si>
  <si>
    <t>c0828</t>
  </si>
  <si>
    <t>Moment of Glory</t>
  </si>
  <si>
    <t>Put a +1/+1 counter on target creature you control. If this spell was cast from a graveyard, also put a +1/+1 counter on each other creature you control.
Flashback {4}{W} (You may cast this card from your graveyard for its flashback cost. Then exile it.)</t>
  </si>
  <si>
    <t>Put a +1/+1 counter on target creature you control. If this spell was cast from a graveyard, also put a +1/+1 counter on</t>
  </si>
  <si>
    <t>Flashback {4}{W}</t>
  </si>
  <si>
    <t>c0075</t>
  </si>
  <si>
    <t>Stony-Voiced Goblins</t>
  </si>
  <si>
    <t>Goblin Bard</t>
  </si>
  <si>
    <t>When this creature enters, each opponent discards a card.
(1/1)</t>
  </si>
  <si>
    <t>Each opponent discards a card when it enters</t>
  </si>
  <si>
    <t>85</t>
  </si>
  <si>
    <t>Marius Bota</t>
  </si>
  <si>
    <t>c0825</t>
  </si>
  <si>
    <t>Meanders Guide</t>
  </si>
  <si>
    <t>Merfolk Scout</t>
  </si>
  <si>
    <t>Whenever this creature attacks, you may tap another untapped Merfolk you control. When you do, return target creature card with mana value 3 or less from your graveyard to the battlefield.
(3/2)</t>
  </si>
  <si>
    <t>Returns target creature card with mana value 3 or less from graveyard to the battlefield when it attacks</t>
  </si>
  <si>
    <t>Requires tapping another untapped Merfolk you control</t>
  </si>
  <si>
    <t>c0737</t>
  </si>
  <si>
    <t>Uneasy Partings</t>
  </si>
  <si>
    <t>This spell costs {1} less to cast if it targets an attacking nontoken creature.
Target creature's owner puts it on their choice of the top or bottom of their library.</t>
  </si>
  <si>
    <t>Target creature's owner puts it on the top or bottom of their library</t>
  </si>
  <si>
    <t>Costs {1} less to cast if it targets an attacking nontoken creature</t>
  </si>
  <si>
    <t>C 0058</t>
  </si>
  <si>
    <t>c0685</t>
  </si>
  <si>
    <t>Enchanted River's Grasp</t>
  </si>
  <si>
    <t>Enchant creature
When this Aura enters, tap enchanted creature and remove all counters from it.
Enchanted creature loses all abilities and doesn't untap during its controller's untap step.</t>
  </si>
  <si>
    <t>Enchant creature</t>
  </si>
  <si>
    <t>When this Aura enters, tap enchanted creature and remove all counters from it</t>
  </si>
  <si>
    <t>Enchanted creature loses all abilities and doesn't untap during its controller's untap step</t>
  </si>
  <si>
    <t>c0877</t>
  </si>
  <si>
    <t>Sun-Dappled Celebrant</t>
  </si>
  <si>
    <t>Treefolk Cleric</t>
  </si>
  <si>
    <t>Convoke (Your creatures can help cast this spell. Each creature you tap while casting this spell pays for {1} or one mana of that creature's color.)
Vigilance
(5/6)</t>
  </si>
  <si>
    <t>Can be cast for less by tapping creatures (convoke)</t>
  </si>
  <si>
    <t>Vigilance body</t>
  </si>
  <si>
    <t>c0703</t>
  </si>
  <si>
    <t>Lake-town Mariners // Gone Fishing</t>
  </si>
  <si>
    <t>Human Citizen</t>
  </si>
  <si>
    <t>Lake-town Mariners {4}{U}{U} — Creature — Human Citizen (6/5)
Vigilance
Ward {2} (Whenever this creature becomes the target of a spell or ability an opponent controls, counter it unless that player pays {2}.)
//
Gone Fishing {3}{U} — Instant — Adventure
Exile two target creatures and/or lands you control, then return them to the battlefield under their owner's control.</t>
  </si>
  <si>
    <t>Gone Fishing {3}{U} — Adventure: exile two target creatures and/or lands you control, then return them to the battlefield</t>
  </si>
  <si>
    <t>6/5 vigilance body with ward {2}</t>
  </si>
  <si>
    <t>44</t>
  </si>
  <si>
    <t>Wei Guan</t>
  </si>
  <si>
    <t>c0702</t>
  </si>
  <si>
    <t>c0442</t>
  </si>
  <si>
    <t>Flaring Cinder</t>
  </si>
  <si>
    <t>When this creature enters and whenever you cast a spell with mana value 4 or greater, you may discard a card. If you do, draw a card.
(3/2)</t>
  </si>
  <si>
    <t>When it enters and whenever you cast a spell with mana value 4 or greater, you may discard a card to draw a card</t>
  </si>
  <si>
    <t>225</t>
  </si>
  <si>
    <t>c0467</t>
  </si>
  <si>
    <t>Merrow Skyswimmer</t>
  </si>
  <si>
    <t>Merfolk Soldier</t>
  </si>
  <si>
    <t>Convoke (Your creatures can help cast this spell. Each creature you tap while casting this spell pays for {1} or one mana of that creature's color.)
Flying, vigilance
When this creature enters, create a 1/1 white and blue Merfolk creature token.
(2/2)</t>
  </si>
  <si>
    <t>Enters: create a 1/1 white and blue Merfolk token</t>
  </si>
  <si>
    <t>Flying, vigilance</t>
  </si>
  <si>
    <t>Convoke: tap your creatures to help cast it</t>
  </si>
  <si>
    <t>234</t>
  </si>
  <si>
    <t>c0473</t>
  </si>
  <si>
    <t>Patient Instructor</t>
  </si>
  <si>
    <t>Vigilance
When this creature enters, recruit. (Draw a card, then discard a card. If you discarded a nonland card, create a 1/1 white Human Soldier creature token.)
(2/2)</t>
  </si>
  <si>
    <t>Enters: recruit (draw a card, then discard a card; if you discarded a nonland card, create a 1/1 Human Soldier token)</t>
  </si>
  <si>
    <t>c0611</t>
  </si>
  <si>
    <t>Iron Hills Stalwart</t>
  </si>
  <si>
    <t>Dwarf Warrior</t>
  </si>
  <si>
    <t>Reach, trample
When this creature enters, attach target Equipment you control to up to one target creature you control.
(4/5)</t>
  </si>
  <si>
    <t>Reach, trample</t>
  </si>
  <si>
    <t>Enters: attach target Equipment you control to up to one target creature you control</t>
  </si>
  <si>
    <t>102</t>
  </si>
  <si>
    <t>c0414</t>
  </si>
  <si>
    <t>Chaos Spewer</t>
  </si>
  <si>
    <t>When this creature enters, you may pay {2}. If you don't, blight 2. (To blight 2, put two -1/-1 counters on a creature you control.)
(5/4)</t>
  </si>
  <si>
    <t>Enters: pay {2} or put two -1/-1 counters on a creature you control</t>
  </si>
  <si>
    <t>c0664</t>
  </si>
  <si>
    <t>Tidings of War</t>
  </si>
  <si>
    <t>Amass Goblins 1. If this spell was cast from a graveyard, amass Goblins 3 instead. (To amass Goblins X, put X +1/+1 counters on an Army you control. It's also a Goblin. If you don't control an Army, create a 0/0 black Goblin Army creature token first.)
Flashback {3}{R} (You may cast this card from your graveyard for its flashback cost. Then exile it.)</t>
  </si>
  <si>
    <t>Amass Goblins 1. If this spell was cast from a graveyard, amass Goblins 3 instead</t>
  </si>
  <si>
    <t>Flashback {3}{R}</t>
  </si>
  <si>
    <t>115</t>
  </si>
  <si>
    <t>Pavel Kolomeyets</t>
  </si>
  <si>
    <t>c0001</t>
  </si>
  <si>
    <t>Adventurous Eater // Have a Bite</t>
  </si>
  <si>
    <t>Human Warlock</t>
  </si>
  <si>
    <t>Adventurous Eater {2}{B} — Creature — Human Warlock (3/2)
This creature enters prepared. (While it's prepared, you may cast a copy of its spell. Doing so unprepares it.)
//
Have a Bite {B} — Sorcery
Put a +1/+1 counter on target creature. You gain 1 life.</t>
  </si>
  <si>
    <t>Enters prepared — you may cast a copy of its spell, which then unprepares it</t>
  </si>
  <si>
    <t>Have a Bite: put a +1/+1 counter on target creature and gain 1 life</t>
  </si>
  <si>
    <t>72</t>
  </si>
  <si>
    <t>c0893</t>
  </si>
  <si>
    <t>Velvetwing Butterflies // Gaze in Wonder</t>
  </si>
  <si>
    <t>Velvetwing Butterflies {2}{W} — Creature — Insect (2/2)
Flying
//
Gaze in Wonder {1}{W} — Instant — Adventure
Tap one or two target creatures. (Then exile this card. You may cast the creature later from exile.)</t>
  </si>
  <si>
    <t>Gaze in Wonder {1}{W} — Adventure: tap one or two target creatures, then cast the creature later from exile</t>
  </si>
  <si>
    <t>2/2 flying body</t>
  </si>
  <si>
    <t>30</t>
  </si>
  <si>
    <t>Xabi Gaztelua</t>
  </si>
  <si>
    <t>c0665</t>
  </si>
  <si>
    <t>Tome Blast</t>
  </si>
  <si>
    <t>Tome Blast deals 2 damage to any target.
Flashback {4}{R} (You may cast this card from your graveyard for its flashback cost. Then exile it.)</t>
  </si>
  <si>
    <t>Deals 2 damage to any target</t>
  </si>
  <si>
    <t>Flashback {4}{R}</t>
  </si>
  <si>
    <t>135</t>
  </si>
  <si>
    <t>c0633</t>
  </si>
  <si>
    <t>Óin the Brave</t>
  </si>
  <si>
    <t>Storied (If you control three or more artifacts, legendaries, and/or Sagas, you have an enduring story for the rest of the game.)
As long as you have an enduring story, Óin gets +1/+0 and has haste.
{1}, {T}, Discard a card: Draw a card.
(1/3)</t>
  </si>
  <si>
    <t>{1}, {T}, Discard a card: Draw a card</t>
  </si>
  <si>
    <t>Gets +1/+0 and has haste as long as you have an enduring story</t>
  </si>
  <si>
    <t>106</t>
  </si>
  <si>
    <t>c0872</t>
  </si>
  <si>
    <t>Stand Up for Yourself</t>
  </si>
  <si>
    <t>Destroy target creature with power 3 or greater.</t>
  </si>
  <si>
    <t>Destroys target creature with power 3 or greater</t>
  </si>
  <si>
    <t>c0823</t>
  </si>
  <si>
    <t>Magnificent End</t>
  </si>
  <si>
    <t>This spell costs {3} less to cast if it targets a tapped creature.
Magnificent End deals 5 damage to target creature.</t>
  </si>
  <si>
    <t>Deals 5 damage to target creature</t>
  </si>
  <si>
    <t>Costs {3} less to cast if it targets a tapped creature</t>
  </si>
  <si>
    <t>20</t>
  </si>
  <si>
    <t>c0782</t>
  </si>
  <si>
    <t>Eager Glyphmage</t>
  </si>
  <si>
    <t>Cat Cleric</t>
  </si>
  <si>
    <t>When this creature enters, create a 1/1 white and black Inkling creature token with flying.
(3/3)</t>
  </si>
  <si>
    <t>Enters: create a 1/1 Inkling token with flying</t>
  </si>
  <si>
    <t>3/3 body</t>
  </si>
  <si>
    <t>11</t>
  </si>
  <si>
    <t>Cristi Balanescu</t>
  </si>
  <si>
    <t>c0475</t>
  </si>
  <si>
    <t>Platypus-Bear</t>
  </si>
  <si>
    <t>Platypus Bear</t>
  </si>
  <si>
    <t>Defender
When this creature enters, mill two cards. (Put the top two cards of your library into your graveyard.)
As long as there is a Lesson card in your graveyard, this creature can attack as though it didn't have defender.
(2/3)</t>
  </si>
  <si>
    <t>Mills two cards when it enters</t>
  </si>
  <si>
    <t>Can attack if a Lesson is in your graveyard</t>
  </si>
  <si>
    <t>c0730</t>
  </si>
  <si>
    <t>Stratosoarer</t>
  </si>
  <si>
    <t>Flying
When this creature enters, target creature gains flying until end of turn.
Basic landcycling {1}{U} ({1}{U}, Discard this card: Search your library for a basic land card, reveal it, put it into your hand, then shuffle.)
(3/5)</t>
  </si>
  <si>
    <t>Flexible Fixing</t>
  </si>
  <si>
    <t>Gives target creature flying until end of turn when it enters</t>
  </si>
  <si>
    <t>Basic landcycling: discard for {1}{U} to fetch a basic land</t>
  </si>
  <si>
    <t>c0108</t>
  </si>
  <si>
    <t>c0450</t>
  </si>
  <si>
    <t>Imperious Inkmage</t>
  </si>
  <si>
    <t>Orc Warlock</t>
  </si>
  <si>
    <t>Vigilance
When this creature enters, surveil 2. (Look at the top two cards of your library, then put any number of them into your graveyard and the rest on top of your library in any order.)
(3/3)</t>
  </si>
  <si>
    <t>Enters: surveil 2 — look at the top two cards and put any number into your graveyard</t>
  </si>
  <si>
    <t>3/3 vigilance body</t>
  </si>
  <si>
    <t>195</t>
  </si>
  <si>
    <t>c0983</t>
  </si>
  <si>
    <t>Mindseeker Oculus</t>
  </si>
  <si>
    <t>Homunculus</t>
  </si>
  <si>
    <t>When this creature enters, empower Jace 4. (Put four loyalty counters on a Jace token you control. If you don't control one, first create a blue Jace planeswalker token with "[−1]: Surveil 1" and "[−3]: Draw a card.")
(2/1)</t>
  </si>
  <si>
    <t>Enters: empower Jace 4: put 4 loyalty counters on a Jace token, creating one if needed</t>
  </si>
  <si>
    <t>C 0033</t>
  </si>
  <si>
    <t>c0214</t>
  </si>
  <si>
    <t>Fynn, the Fangbearer</t>
  </si>
  <si>
    <t>Human Warrior</t>
  </si>
  <si>
    <t>Deathtouch (Any amount of damage this deals to a creature is enough to destroy it.)
Whenever a creature you control with deathtouch deals combat damage to a player, that player gets two poison counters. (A player with ten or more poison counters loses the game.)
(1/3)</t>
  </si>
  <si>
    <t>Whenever a creature you control with deathtouch deals combat damage to a player, that player gets two poison counters</t>
  </si>
  <si>
    <t>Final Fantasy: Through the Ages</t>
  </si>
  <si>
    <t>U 0046</t>
  </si>
  <si>
    <t>Square Enix</t>
  </si>
  <si>
    <t>c1040</t>
  </si>
  <si>
    <t>Afterthought Sentry</t>
  </si>
  <si>
    <t>Gargoyle</t>
  </si>
  <si>
    <t>{2}: This creature gains flying until end of turn.
Whenever this creature attacks, exile up to one target card from a graveyard.
(2/2)</t>
  </si>
  <si>
    <t>Graveyard Hate</t>
  </si>
  <si>
    <t>Whenever it attacks, exile up to one target card from a graveyard</t>
  </si>
  <si>
    <t>{2}: gains flying until end of turn</t>
  </si>
  <si>
    <t>C 0166</t>
  </si>
  <si>
    <t>Andrew Mar</t>
  </si>
  <si>
    <t>c0514</t>
  </si>
  <si>
    <t>Tranquil Expanse</t>
  </si>
  <si>
    <t>This land enters tapped.
{T}: Add {G} or {W}.</t>
  </si>
  <si>
    <t>This land enters tapped. / {T}: Add {G} or {W}.</t>
  </si>
  <si>
    <t>c0365</t>
  </si>
  <si>
    <t>Selesnya Guildgate</t>
  </si>
  <si>
    <t>c1093</t>
  </si>
  <si>
    <t>Shatterwing Pegasus</t>
  </si>
  <si>
    <t>Pegasus</t>
  </si>
  <si>
    <t>Flying
{4}{W}: Creatures you control get +1/+1 until end of turn.
(2/3)</t>
  </si>
  <si>
    <t>{4}{W}: creatures you control get +1/+1 until end of turn</t>
  </si>
  <si>
    <t>C 0021</t>
  </si>
  <si>
    <t>c0780</t>
  </si>
  <si>
    <t>Dwarven Provisioner</t>
  </si>
  <si>
    <t>Dwarf Citizen</t>
  </si>
  <si>
    <t>{3}{W}: Creatures you control get +1/+1 until end of turn.
(2/2)</t>
  </si>
  <si>
    <t>{3}{W}: Creatures you control get +1/+1 until end of turn</t>
  </si>
  <si>
    <t>c1072</t>
  </si>
  <si>
    <t>Compel Brutality</t>
  </si>
  <si>
    <t>Choose one —
• Target creature you control deals damage equal to its power to target creature or planeswalker an opponent controls.
• Target planeswalker you control deals damage equal to its loyalty to target creature or planeswalker an opponent controls.</t>
  </si>
  <si>
    <t>Choose one: your creature deals damage equal to its power to an opponent's creature or planeswalker</t>
  </si>
  <si>
    <t>Or your planeswalker deals damage equal to its loyalty to an opponent's creature or planeswalker</t>
  </si>
  <si>
    <t>Danny Schwartz</t>
  </si>
  <si>
    <t>c0074</t>
  </si>
  <si>
    <t>Stir Up Trouble</t>
  </si>
  <si>
    <t>As an additional cost to cast this spell, sacrifice an artifact or creature or pay {4}.
Destroy target creature.</t>
  </si>
  <si>
    <t>Destroy target creature</t>
  </si>
  <si>
    <t>Additional cost: sacrifice an artifact or creature, or pay {4}</t>
  </si>
  <si>
    <t>c0254</t>
  </si>
  <si>
    <t>Quarrel</t>
  </si>
  <si>
    <t>Target creature you control deals damage equal to its power to target creature an opponent controls.</t>
  </si>
  <si>
    <t>Target creature you control deals damage equal to its power to target creature an opponent controls</t>
  </si>
  <si>
    <t>c1012</t>
  </si>
  <si>
    <t>Heartstring Puller</t>
  </si>
  <si>
    <t>Elf Sorcerer</t>
  </si>
  <si>
    <t>Trample
When this creature enters, create a 2/2 colorless Wizard Soldier creature token named Cadet.
(3/1)</t>
  </si>
  <si>
    <t>Enters: create a 2/2 Cadet Wizard Soldier token</t>
  </si>
  <si>
    <t>Trample</t>
  </si>
  <si>
    <t>C 0086</t>
  </si>
  <si>
    <t>Jessica Liu</t>
  </si>
  <si>
    <t>c1061</t>
  </si>
  <si>
    <t>Cryotheory Adept</t>
  </si>
  <si>
    <t>Prowess (Whenever you cast a noncreature spell, this creature gets +1/+1 until end of turn.)
{3}{U}, Exile this card from your graveyard: Tap target creature and put a stun counter on it. Activate only as a sorcery. (If a permanent with a stun counter would become untapped, remove one from it instead.)
(2/1)</t>
  </si>
  <si>
    <t>Prowess</t>
  </si>
  <si>
    <t>{3}{U}, exile it from your graveyard: tap target creature and put a stun counter on it (sorcery speed)</t>
  </si>
  <si>
    <t>C 0027</t>
  </si>
  <si>
    <t>Kai Carpenter</t>
  </si>
  <si>
    <t>c1021</t>
  </si>
  <si>
    <t>Campus Crier</t>
  </si>
  <si>
    <t>Human Advisor</t>
  </si>
  <si>
    <t>{1}, Exile this card from your graveyard: Empower Jace 2. (Put two loyalty counters on a Jace token you control. If you don't control one, first create a blue Jace planeswalker token with "[−1]: Surveil 1" and "[−3]: Draw a card.")
(3/1)</t>
  </si>
  <si>
    <t>{1}, exile it from your graveyard: empower Jace 2</t>
  </si>
  <si>
    <t>3/1 body</t>
  </si>
  <si>
    <t>C 0004</t>
  </si>
  <si>
    <t>Johan Grenier</t>
  </si>
  <si>
    <t>c0787</t>
  </si>
  <si>
    <t>Esgaroth Garrison</t>
  </si>
  <si>
    <t>Esgaroth Garrison's power is equal to the number of creatures you control.
When this creature enters, recruit. (Draw a card, then discard a card. If you discarded a nonland card, create a 1/1 white Human Soldier creature token.)
(*/5)</t>
  </si>
  <si>
    <t>Its power equals the number of creatures you control</t>
  </si>
  <si>
    <t>c1108</t>
  </si>
  <si>
    <t>Unflinching Hortimancer</t>
  </si>
  <si>
    <t>Ward {1} (Whenever this creature becomes the target of a spell or ability an opponent controls, counter it unless that player pays {1}.)
Whenever you gain life, put a +1/+1 counter on this creature.
(2/1)</t>
  </si>
  <si>
    <t>Grows a +1/+1 counter whenever you gain life</t>
  </si>
  <si>
    <t>Ward {1}</t>
  </si>
  <si>
    <t>c1122</t>
  </si>
  <si>
    <t>Condemn</t>
  </si>
  <si>
    <t>Put target attacking creature on the bottom of its owner's library. Its controller gains life equal to its toughness.</t>
  </si>
  <si>
    <t>Put an attacking creature on the bottom of its owner's library</t>
  </si>
  <si>
    <t>Its controller gains life equal to its toughness</t>
  </si>
  <si>
    <t>U 0011</t>
  </si>
  <si>
    <t>Daren Bader</t>
  </si>
  <si>
    <t>Zendikar Rising Commander</t>
  </si>
  <si>
    <t>U 0012</t>
  </si>
  <si>
    <t>c0398</t>
  </si>
  <si>
    <t>Atraxa, Praetors' Voice</t>
  </si>
  <si>
    <t>Phyrexian Angel Horror</t>
  </si>
  <si>
    <t>Flying, vigilance, deathtouch, lifelink
At the beginning of your end step, proliferate. (Choose any number of permanents and/or players, then give each another counter of each kind already there.)
(4/4)</t>
  </si>
  <si>
    <t>Proliferates at the beginning of your end step</t>
  </si>
  <si>
    <t>Destroys anything it deals damage to</t>
  </si>
  <si>
    <t>Commander 2016</t>
  </si>
  <si>
    <t>c0700</t>
  </si>
  <si>
    <t>Ichormoon Gauntlet</t>
  </si>
  <si>
    <t>Planeswalkers you control have "[0]: Proliferate" and "[−12]: Take an extra turn after this one."
Whenever you cast a noncreature spell, choose a counter on target permanent. Put an additional counter of that kind on that permanent.</t>
  </si>
  <si>
    <t>Planeswalkers you control have "[0]: Proliferate" and "[−12]: Take an extra turn after this one."
Whenever you cast a no</t>
  </si>
  <si>
    <t>Phyrexia: All Will Be One</t>
  </si>
  <si>
    <t>c0227</t>
  </si>
  <si>
    <t>Innkeeper's Talent</t>
  </si>
  <si>
    <t>Class</t>
  </si>
  <si>
    <t>(Gain the next level as a sorcery to add its ability.)
At the beginning of combat on your turn, put a +1/+1 counter on target creature you control.
{G}: Level 2
Permanents you control with counters on them have ward {1}.
{3}{G}: Level 3
If you would put one or more counters on a permanent or player, put twice that many of each of those kinds of counters on that permanent or player instead.</t>
  </si>
  <si>
    <t>At the beginning of combat on your turn, put a +1/+1 counter on target creature you control</t>
  </si>
  <si>
    <t>{G}: Level 2</t>
  </si>
  <si>
    <t>Permanents you control with counters on them have ward {1}</t>
  </si>
  <si>
    <t>Bloomburrow</t>
  </si>
  <si>
    <t>c0216</t>
  </si>
  <si>
    <t>Germination Practicum</t>
  </si>
  <si>
    <t>Put two +1/+1 counters on each creature you control.
Paradigm (Then exile this spell. After you first resolve a spell with this name, you may cast a copy of it from exile without paying its mana cost at the beginning of each of your first main phases.)</t>
  </si>
  <si>
    <t>Put two +1/+1 counters on each creature you control</t>
  </si>
  <si>
    <t>Paradigm — it exiles itself, then you may cast a free copy at the beginning of each of your first main phases</t>
  </si>
  <si>
    <t>149</t>
  </si>
  <si>
    <t>c0193</t>
  </si>
  <si>
    <t>Branching Evolution</t>
  </si>
  <si>
    <t>If one or more +1/+1 counters would be put on a creature you control, twice that many +1/+1 counters are put on that creature instead.</t>
  </si>
  <si>
    <t>If one or more +1/+1 counters would be put on a creature you control, twice that many +1/+1 counters are put on that cre</t>
  </si>
  <si>
    <t>Jumpstart</t>
  </si>
  <si>
    <t>c0106</t>
  </si>
  <si>
    <t>Bitterthorn, Nissa's Animus</t>
  </si>
  <si>
    <t>Living weapon (When this Equipment enters, create a 0/0 black Phyrexian Germ creature token, then attach this to it.)
Equipped creature gets +1/+1.
Whenever equipped creature attacks, you may search your library for a basic land card, put it onto the battlefield tapped, then shuffle.
Equip {3}</t>
  </si>
  <si>
    <t>Creates a 0/0 Germ token and attaches to it when it enters</t>
  </si>
  <si>
    <t>Searches for a basic land onto the battlefield tapped whenever equipped creature attacks</t>
  </si>
  <si>
    <t>c0701</t>
  </si>
  <si>
    <t>Inexorable Tide</t>
  </si>
  <si>
    <t>Whenever you cast a spell, proliferate. (Choose any number of permanents and/or players, then give each another counter of each kind already there.)</t>
  </si>
  <si>
    <t>Whenever you cast a spell, proliferate</t>
  </si>
  <si>
    <t>c0690</t>
  </si>
  <si>
    <t>Flux Channeler</t>
  </si>
  <si>
    <t>Whenever you cast a noncreature spell, proliferate. (Choose any number of permanents and/or players, then give each another counter of each kind already there.)
(2/2)</t>
  </si>
  <si>
    <t>Proliferate whenever you cast a noncreature spell</t>
  </si>
  <si>
    <t>c0511</t>
  </si>
  <si>
    <t>Tidus, Yuna's Guardian</t>
  </si>
  <si>
    <t>At the beginning of combat on your turn, you may move a counter from target creature you control onto a second target creature you control.
Cheer — Whenever one or more creatures you control with counters on them deal combat damage to a player, you may draw a card and proliferate. Do this only once each turn.
(3/3)</t>
  </si>
  <si>
    <t>Moves a counter from one creature you control to another</t>
  </si>
  <si>
    <t>Draw a card and proliferate when countered creatures deal damage</t>
  </si>
  <si>
    <t>Final Fantasy Commander</t>
  </si>
  <si>
    <t>c0336</t>
  </si>
  <si>
    <t>Karn's Bastion</t>
  </si>
  <si>
    <t>{T}: Add {C}.
{4}, {T}: Proliferate. (Choose any number of permanents and/or players, then give each another counter of each kind already there.)</t>
  </si>
  <si>
    <t>Pay {4} and tap to proliferate</t>
  </si>
  <si>
    <t>c0689</t>
  </si>
  <si>
    <t>Flow State</t>
  </si>
  <si>
    <t>Look at the top three cards of your library. Put one of them into your hand and the rest on the bottom of your library in any order. If there is an instant card and a sorcery card in your graveyard, instead put two of them into your hand and the rest on the bottom of your library in any order.</t>
  </si>
  <si>
    <t>Look at the top three cards and put one into your hand</t>
  </si>
  <si>
    <t>Take two of them instead if there is both an instant and a sorcery in your graveyard</t>
  </si>
  <si>
    <t>Genel Jumalon</t>
  </si>
  <si>
    <t>c0392</t>
  </si>
  <si>
    <t>Anguished Unmaking</t>
  </si>
  <si>
    <t>Exile target nonland permanent. You lose 3 life.</t>
  </si>
  <si>
    <t>Exiles target nonland permanent</t>
  </si>
  <si>
    <t>You lose 3 life</t>
  </si>
  <si>
    <t>Shadows over Innistrad</t>
  </si>
  <si>
    <t>c0732</t>
  </si>
  <si>
    <t>Tekuthal, Inquiry Dominus</t>
  </si>
  <si>
    <t>Flying
If you would proliferate, proliferate twice instead.
{1}{U/P}{U/P}, Remove three counters from among other artifacts, creatures, and planeswalkers you control: Put an indestructible counter on Tekuthal. ({U/P} can be paid with either {U} or 2 life.)
(3/5)</t>
  </si>
  <si>
    <t>Doubles your proliferate triggers into two proliferates</t>
  </si>
  <si>
    <t>Remove three counters from your permanents to add an indestructible counter to itself</t>
  </si>
  <si>
    <t>c0315</t>
  </si>
  <si>
    <t>Drowned Catacomb</t>
  </si>
  <si>
    <t>This land enters tapped unless you control an Island or a Swamp.
{T}: Add {U} or {B}.</t>
  </si>
  <si>
    <t>Taps for {U} or {B}</t>
  </si>
  <si>
    <t>Enters tapped unless you control an Island or Swamp</t>
  </si>
  <si>
    <t>c0169</t>
  </si>
  <si>
    <t>Throne of Geth</t>
  </si>
  <si>
    <t>{T}, Sacrifice an artifact: Proliferate. (Choose any number of permanents and/or players, then give each another counter of each kind already there.)</t>
  </si>
  <si>
    <t>Sacrifice an artifact to proliferate</t>
  </si>
  <si>
    <t>c0109</t>
  </si>
  <si>
    <t>Chromatic Lantern</t>
  </si>
  <si>
    <t>Lands you control have "{T}: Add one mana of any color."
{T}: Add one mana of any color.</t>
  </si>
  <si>
    <t>Lands you control have "{T}: Add one mana of any color."</t>
  </si>
  <si>
    <t>{T}: Add one mana of any color</t>
  </si>
  <si>
    <t>c0096</t>
  </si>
  <si>
    <t>Aetheric Amplifier</t>
  </si>
  <si>
    <t>{T}: Add one mana of any color.
{4}, {T}: Choose one. Activate only as a sorcery.
• Double the number of each kind of counter on target permanent.
• Double the number of each kind of counter you have.</t>
  </si>
  <si>
    <t>Pay {4} and tap to double the counters of a kind on target permanent</t>
  </si>
  <si>
    <t>Or double each kind of counter you have</t>
  </si>
  <si>
    <t>Aetherdrift Commander</t>
  </si>
  <si>
    <t>c0034</t>
  </si>
  <si>
    <t>Go for the Throat</t>
  </si>
  <si>
    <t>Destroy target nonartifact creature.</t>
  </si>
  <si>
    <t>Destroys target nonartifact creature</t>
  </si>
  <si>
    <t>c0459</t>
  </si>
  <si>
    <t>Knight of Autumn</t>
  </si>
  <si>
    <t>Dryad Knight</t>
  </si>
  <si>
    <t>When this creature enters, choose one —
• Put two +1/+1 counters on this creature.
• Destroy target artifact or enchantment.
• You gain 4 life.
(2/1)</t>
  </si>
  <si>
    <t>Choose one when it enters: add two +1/+1 counters to itself, destroy target artifact/enchantment, or gain 4 life</t>
  </si>
  <si>
    <t>c0298</t>
  </si>
  <si>
    <t>Arcane Sanctum</t>
  </si>
  <si>
    <t>This land enters tapped.
{T}: Add {W}, {U}, or {B}.</t>
  </si>
  <si>
    <t>Taps for {W}, {U}, or {B}</t>
  </si>
  <si>
    <t>Shards of Alara</t>
  </si>
  <si>
    <t>c0161</t>
  </si>
  <si>
    <t>Strixhaven Stadium</t>
  </si>
  <si>
    <t>{T}: Add {C}. Put a point counter on this artifact.
Whenever a creature deals combat damage to you, remove a point counter from this artifact.
Whenever a creature you control deals combat damage to an opponent, put a point counter on this artifact. Then if it has ten or more point counters on it, remove them all and that player loses the game.</t>
  </si>
  <si>
    <t>Taps for {C}, gaining a point counter</t>
  </si>
  <si>
    <t>10+ point counters from combat damage causes an opponent to lose the game</t>
  </si>
  <si>
    <t>Loses counters when you take combat damage</t>
  </si>
  <si>
    <t>Strixhaven: School of Mages</t>
  </si>
  <si>
    <t>c0102</t>
  </si>
  <si>
    <t>Azorius Signet</t>
  </si>
  <si>
    <t>{1}, {T}: Add {W}{U}.</t>
  </si>
  <si>
    <t>{1}, tap: add {W}{U}</t>
  </si>
  <si>
    <t>c0799</t>
  </si>
  <si>
    <t>Grateful Apparition</t>
  </si>
  <si>
    <t>Spirit</t>
  </si>
  <si>
    <t>Flying
Whenever this creature deals combat damage to a player or planeswalker, proliferate. (Choose any number of permanents and/or players, then give each another counter of each kind already there.)
(1/1)</t>
  </si>
  <si>
    <t>Proliferates whenever it deals combat damage to a player or planeswalker</t>
  </si>
  <si>
    <t>c0330</t>
  </si>
  <si>
    <t>Grand Coliseum</t>
  </si>
  <si>
    <t>This land enters tapped.
{T}: Add {C}.
{T}: Add one mana of any color. This land deals 1 damage to you.</t>
  </si>
  <si>
    <t>This land enters tapped</t>
  </si>
  <si>
    <t>{T}: Add one mana of any color. This land deals 1 damage to you</t>
  </si>
  <si>
    <t>c0228</t>
  </si>
  <si>
    <t>Inspiring Call</t>
  </si>
  <si>
    <t>Draw a card for each creature you control with a +1/+1 counter on it. Those creatures gain indestructible until end of turn. (Damage and effects that say "destroy" don't destroy them.)</t>
  </si>
  <si>
    <t>Draws a card for each creature you control with a +1/+1 counter</t>
  </si>
  <si>
    <t>Those creatures gain indestructible until end of turn</t>
  </si>
  <si>
    <t>c0694</t>
  </si>
  <si>
    <t>Fuel for the Cause</t>
  </si>
  <si>
    <t>Counter target spell, then proliferate. (Choose any number of permanents and/or players, then give each another counter of each kind already there.)</t>
  </si>
  <si>
    <t>Counter target spell, then proliferate</t>
  </si>
  <si>
    <t>c0710</t>
  </si>
  <si>
    <t>Mulldrifter</t>
  </si>
  <si>
    <t>Flying
When this creature enters, draw two cards.
Evoke {2}{U} (You may cast this spell for its evoke cost. If you do, it's sacrificed when it enters.)
(2/2)</t>
  </si>
  <si>
    <t>Draws two cards when it enters</t>
  </si>
  <si>
    <t>Can be cast for {2}{U}, sacrificing itself immediately (Evoke)</t>
  </si>
  <si>
    <t>c0779</t>
  </si>
  <si>
    <t>Duty Beyond Death</t>
  </si>
  <si>
    <t>As an additional cost to cast this spell, sacrifice a creature.
Creatures you control gain indestructible until end of turn. Put a +1/+1 counter on each creature you control. (Damage and effects that say "destroy" don't destroy those creatures.)</t>
  </si>
  <si>
    <t>Creatures you control gain indestructible until end of turn and each get a +1/+1 counter</t>
  </si>
  <si>
    <t>Additional cost: sacrifice a creature</t>
  </si>
  <si>
    <t>Secrets of Strixhaven Mystical Archive</t>
  </si>
  <si>
    <t>4</t>
  </si>
  <si>
    <t>Zuzanna Wuzyk</t>
  </si>
  <si>
    <t>c0043</t>
  </si>
  <si>
    <t>Long Goodbye</t>
  </si>
  <si>
    <t>This spell can't be countered. (This includes by the ward ability.)
Destroy target creature or planeswalker with mana value 3 or less.</t>
  </si>
  <si>
    <t>Destroys target creature or planeswalker with mana value 3 or less</t>
  </si>
  <si>
    <t>Can't be countered</t>
  </si>
  <si>
    <t>c0403</t>
  </si>
  <si>
    <t>Berta, Wise Extrapolator</t>
  </si>
  <si>
    <t>Frog Druid</t>
  </si>
  <si>
    <t>Increment (Whenever you cast a spell, if the amount of mana you spent is greater than this creature's power or toughness, put a +1/+1 counter on this creature.)
Whenever one or more +1/+1 counters are put on Berta, add one mana of any color.
{X}, {T}: Create a 0/0 green and blue Fractal creature token and put X +1/+1 counters on it.
(1/4)</t>
  </si>
  <si>
    <t>Increment — whenever you cast a spell for more mana than Berta's power or toughness, put a +1/+1 counter on her</t>
  </si>
  <si>
    <t>Whenever one or more +1/+1 counters are put on Berta, add one mana of any color</t>
  </si>
  <si>
    <t>{X}, {T}: Create a 0/0 Fractal token with X +1/+1 counters on it</t>
  </si>
  <si>
    <t>175</t>
  </si>
  <si>
    <t>Tuan Duong Chu</t>
  </si>
  <si>
    <t>c0171</t>
  </si>
  <si>
    <t>Tome of Legends</t>
  </si>
  <si>
    <t>Book</t>
  </si>
  <si>
    <t>This artifact enters with a page counter on it.
Whenever your commander enters or attacks, put a page counter on this artifact.
{1}, {T}, Remove a page counter from this artifact: Draw a card.</t>
  </si>
  <si>
    <t>Gets a page counter when your commander enters or attacks</t>
  </si>
  <si>
    <t>Remove a page counter, pay {1}, tap: draw a card</t>
  </si>
  <si>
    <t>c0801</t>
  </si>
  <si>
    <t>Guardian Scalelord</t>
  </si>
  <si>
    <t>Backup 1 (When this creature enters, put a +1/+1 counter on target creature. If that's another creature, it gains the following abilities until end of turn.)
Flying
Whenever this creature attacks, return target nonland permanent card with mana value X or less from your graveyard to the battlefield, where X is this creature's power.
(3/4)</t>
  </si>
  <si>
    <t>Backup 1: puts a +1/+1 counter on target creature, may share flying</t>
  </si>
  <si>
    <t>Attacking returns a permanent MV ≤ its power from graveyard</t>
  </si>
  <si>
    <t>c0681</t>
  </si>
  <si>
    <t>Deepglow Skate</t>
  </si>
  <si>
    <t>Fish</t>
  </si>
  <si>
    <t>When this creature enters, double the number of each kind of counter on any number of target permanents.
(3/3)</t>
  </si>
  <si>
    <t>Doubles each kind of counter on any number of target permanents when it enters</t>
  </si>
  <si>
    <t>c0042</t>
  </si>
  <si>
    <t>Lethal Scheme</t>
  </si>
  <si>
    <t>Convoke (Your creatures can help cast this spell. Each creature you tap while casting this spell pays for {1} or one mana of that creature's color.)
Destroy target creature or planeswalker. Each creature that convoked this spell connives. (Draw a card, then discard a card. If you discarded a nonland card, put a +1/+1 counter on that creature.)</t>
  </si>
  <si>
    <t>Destroys target creature or planeswalker</t>
  </si>
  <si>
    <t>Convoking creatures connive (draw then discard, maybe +1/+1 counter)</t>
  </si>
  <si>
    <t>c0840</t>
  </si>
  <si>
    <t>Protector of the Wastes</t>
  </si>
  <si>
    <t>Flying
When this creature enters or becomes monstrous, exile up to two target artifacts and/or enchantments controlled by different players.
{4}{W}: Monstrosity 3. (If this creature isn't monstrous, put three +1/+1 counters on it and it becomes monstrous.)
(5/5)</t>
  </si>
  <si>
    <t>Exiles up to two target artifacts/enchantments when it enters or becomes monstrous</t>
  </si>
  <si>
    <t>{4}{W}: Monstrosity 3, adds three +1/+1 counters</t>
  </si>
  <si>
    <t>c0057</t>
  </si>
  <si>
    <t>Painful Truths</t>
  </si>
  <si>
    <t>Converge — You draw X cards and lose X life, where X is the number of colors of mana spent to cast this spell.</t>
  </si>
  <si>
    <t>Draws cards equal to colors of mana spent to cast it, loses that much life</t>
  </si>
  <si>
    <t>Battle for Zendikar</t>
  </si>
  <si>
    <t>c0466</t>
  </si>
  <si>
    <t>Merfolk Skydiver</t>
  </si>
  <si>
    <t>Merfolk Mutant</t>
  </si>
  <si>
    <t>Flying
When this creature enters, put a +1/+1 counter on target creature you control.
{3}{G}{U}: Proliferate. (Choose any number of permanents and/or players, then give each another counter of each kind already there.)
(1/1)</t>
  </si>
  <si>
    <t>Puts a +1/+1 counter on target creature you control when it enters</t>
  </si>
  <si>
    <t>Pay {3}{G}{U} to proliferate</t>
  </si>
  <si>
    <t>c0734</t>
  </si>
  <si>
    <t>Tezzeret's Gambit</t>
  </si>
  <si>
    <t>({U/P} can be paid with either {U} or 2 life.)
Draw two cards, then proliferate. (Choose any number of permanents and/or players, then give each another counter of each kind already there.)</t>
  </si>
  <si>
    <t>Draw two cards, then proliferate</t>
  </si>
  <si>
    <t>Can pay 2 life instead of {U}</t>
  </si>
  <si>
    <t>c0520</t>
  </si>
  <si>
    <t>Voracious Tome-Skimmer</t>
  </si>
  <si>
    <t>Flying
Whenever you cast a spell during an opponent's turn, you may pay 1 life. If you do, draw a card.
(2/3)</t>
  </si>
  <si>
    <t>Pay 1 life to draw a card when you cast on opponent's turn</t>
  </si>
  <si>
    <t>c0121</t>
  </si>
  <si>
    <t>Everflowing Chalice</t>
  </si>
  <si>
    <t>Multikicker {2} (You may pay an additional {2} any number of times as you cast this spell.)
This artifact enters with a charge counter on it for each time it was kicked.
{T}: Add {C} for each charge counter on this artifact.</t>
  </si>
  <si>
    <t>Taps for {C} equal to charge counters on it</t>
  </si>
  <si>
    <t>Enters with more counters if kicked for extra {2} payments</t>
  </si>
  <si>
    <t>c0736</t>
  </si>
  <si>
    <t>Thrummingbird</t>
  </si>
  <si>
    <t>Phyrexian Bird Horror</t>
  </si>
  <si>
    <t>Flying
Whenever this creature deals combat damage to a player, proliferate. (Choose any number of permanents and/or players, then give each another counter of each kind already there.)
(1/1)</t>
  </si>
  <si>
    <t>Proliferate when it deals combat damage to a player</t>
  </si>
  <si>
    <t>c0375</t>
  </si>
  <si>
    <t>Temple of Enlightenment</t>
  </si>
  <si>
    <t>This land enters tapped.
When this land enters, scry 1. (Look at the top card of your library. You may put that card on the bottom.)
{T}: Add {W} or {U}.</t>
  </si>
  <si>
    <t>Scry 1 when it enters</t>
  </si>
  <si>
    <t>Born of the Gods</t>
  </si>
  <si>
    <t>c0101</t>
  </si>
  <si>
    <t>Astral Cornucopia</t>
  </si>
  <si>
    <t>This artifact enters with X charge counters on it.
{T}: Choose a color. Add one mana of that color for each charge counter on this artifact.</t>
  </si>
  <si>
    <t>This artifact enters with X charge counters on it</t>
  </si>
  <si>
    <t>{T}: Choose a color. Add one mana of that color for each charge counter on this artifact</t>
  </si>
  <si>
    <t>c0739</t>
  </si>
  <si>
    <t>Unwelcome Sprite</t>
  </si>
  <si>
    <t>Flying
Whenever you cast a spell during an opponent's turn, surveil 2. (Look at the top two cards of your library. You may put any number of them into your graveyard and the rest on top of your library in any order.)
(2/1)</t>
  </si>
  <si>
    <t>Surveils 2 whenever you cast a spell during an opponent's turn</t>
  </si>
  <si>
    <t>81</t>
  </si>
  <si>
    <t>c0314</t>
  </si>
  <si>
    <t>Dismal Backwater</t>
  </si>
  <si>
    <t>This land enters tapped.
When this land enters, you gain 1 life.
{T}: Add {U} or {B}.</t>
  </si>
  <si>
    <t>c0252</t>
  </si>
  <si>
    <t>Plaguemaw Beast</t>
  </si>
  <si>
    <t>Phyrexian Beast</t>
  </si>
  <si>
    <t>{T}, Sacrifice a creature: Proliferate. (Choose any number of permanents and/or players, then give each another counter of each kind already there.)
(4/3)</t>
  </si>
  <si>
    <t>Sacrifice a creature and tap to proliferate</t>
  </si>
  <si>
    <t>c0285</t>
  </si>
  <si>
    <t>Warg Tactics</t>
  </si>
  <si>
    <t>Choose one —
• Destroy target creature with flying.
• Put a +1/+1 counter on target creature you control. It gains trample and hexproof until end of turn. (It can't be the target of spells or abilities your opponents control.)</t>
  </si>
  <si>
    <t>Choose one — destroy target creature with flying</t>
  </si>
  <si>
    <t>Or put a +1/+1 counter on a creature you control and give it trample and hexproof until end of turn</t>
  </si>
  <si>
    <t>139</t>
  </si>
  <si>
    <t>c0471</t>
  </si>
  <si>
    <t>Mortify</t>
  </si>
  <si>
    <t>Destroy target creature or enchantment.</t>
  </si>
  <si>
    <t>Destroys target creature or enchantment</t>
  </si>
  <si>
    <t>c0847</t>
  </si>
  <si>
    <t>Repel Calamity</t>
  </si>
  <si>
    <t>Destroy target creature with power or toughness 4 or greater.</t>
  </si>
  <si>
    <t>Destroys target creature with power or toughness 4 or greater</t>
  </si>
  <si>
    <t>c0889</t>
  </si>
  <si>
    <t>Tragic Arrogance</t>
  </si>
  <si>
    <t>For each player, you choose from among the permanents that player controls an artifact, a creature, an enchantment, and a planeswalker. Then each player sacrifices all other nonland permanents they control.</t>
  </si>
  <si>
    <t>Each player keeps one artifact, creature, enchantment, and planeswalker</t>
  </si>
  <si>
    <t>Sacrifices all other nonland permanents</t>
  </si>
  <si>
    <t>c0766</t>
  </si>
  <si>
    <t>Collective Effort</t>
  </si>
  <si>
    <t>Escalate—Tap an untapped creature you control. (Pay this cost for each mode chosen beyond the first.)
Choose one or more —
• Destroy target creature with power 4 or greater.
• Destroy target enchantment.
• Put a +1/+1 counter on each creature target player controls.</t>
  </si>
  <si>
    <t>Escalate: tap creatures to add modes beyond the first</t>
  </si>
  <si>
    <t>Modes: destroy power 4+ creature, destroy enchantment, or counter creatures</t>
  </si>
  <si>
    <t>c0247</t>
  </si>
  <si>
    <t>Ordeal of Nylea</t>
  </si>
  <si>
    <t>Enchant creature
Whenever enchanted creature attacks, put a +1/+1 counter on it. Then if it has three or more +1/+1 counters on it, sacrifice this Aura.
When you sacrifice this Aura, search your library for up to two basic land cards, put them onto the battlefield tapped, then shuffle.</t>
  </si>
  <si>
    <t>Enchanted creature gets a +1/+1 counter when it attacks; sacrifices itself at three counters</t>
  </si>
  <si>
    <t>Searches for up to two basic lands onto the battlefield tapped when sacrificed</t>
  </si>
  <si>
    <t>Theros</t>
  </si>
  <si>
    <t>c0898</t>
  </si>
  <si>
    <t>Wall of Resurgence</t>
  </si>
  <si>
    <t>Defender
When this creature enters, you may put three +1/+1 counters on target land you control. If you do, that land becomes a 0/0 Elemental creature with haste that's still a land.
(0/6)</t>
  </si>
  <si>
    <t>Puts three +1/+1 counters on target land you control when it enters</t>
  </si>
  <si>
    <t>That land becomes a 3/3 creature with haste (still a land)</t>
  </si>
  <si>
    <t>c0339</t>
  </si>
  <si>
    <t>Lake-town</t>
  </si>
  <si>
    <t>This land enters tapped.
{T}: Add {W} or {U}.
{2}{W}{U}, {T}, Sacrifice this land: Put two +1/+1 counters on target Human you control. Activate only as a sorcery.</t>
  </si>
  <si>
    <t>{2}{W}{U}, {T}, Sacrifice: put two +1/+1 counters on target Human you control</t>
  </si>
  <si>
    <t>c0191</t>
  </si>
  <si>
    <t>Bloom Hulk</t>
  </si>
  <si>
    <t>Plant Elemental</t>
  </si>
  <si>
    <t>When this creature enters, proliferate. (Choose any number of permanents and/or players, then give each another counter of each kind already there.)
(4/4)</t>
  </si>
  <si>
    <t>Enters: proliferate</t>
  </si>
  <si>
    <t>4/4 body</t>
  </si>
  <si>
    <t>c0900</t>
  </si>
  <si>
    <t>Wanderer's Strike</t>
  </si>
  <si>
    <t>Exile target creature, then proliferate. (Choose any number of permanents and/or players, then give each another counter of each kind already there.)</t>
  </si>
  <si>
    <t>Exile target creature, then proliferate</t>
  </si>
  <si>
    <t>c0317</t>
  </si>
  <si>
    <t>Emeria, the Sky Ruin</t>
  </si>
  <si>
    <t>This land enters tapped.
At the beginning of your upkeep, if you control seven or more Plains, you may return target creature card from your graveyard to the battlefield.
{T}: Add {W}.</t>
  </si>
  <si>
    <t>Upkeep: if you control 7+ Plains, return a creature card from graveyard to battlefield</t>
  </si>
  <si>
    <t>c0383</t>
  </si>
  <si>
    <t>Turbulent Steppe</t>
  </si>
  <si>
    <t>Mountain Plains</t>
  </si>
  <si>
    <t>({T}: Add {R} or {W}.)
This land enters tapped unless your opponents control eight or more lands.</t>
  </si>
  <si>
    <t>Enters tapped unless opponents control 8+ lands</t>
  </si>
  <si>
    <t>c0908</t>
  </si>
  <si>
    <t>Winds of Abandon</t>
  </si>
  <si>
    <t>Exile target creature you don't control. For each creature exiled this way, its controller searches their library for a basic land card. Those players put those cards onto the battlefield tapped, then shuffle.
Overload {4}{W}{W} (You may cast this spell for its overload cost. If you do, change "target" in its text to "each.")</t>
  </si>
  <si>
    <t>Exiles target creature you don't control</t>
  </si>
  <si>
    <t>Its controller searches for a basic land put onto the battlefield tapped</t>
  </si>
  <si>
    <t>Overload cost hits every creature you don't control</t>
  </si>
  <si>
    <t>c0371</t>
  </si>
  <si>
    <t>Sunbaked Canyon</t>
  </si>
  <si>
    <t>{T}, Pay 1 life: Add {R} or {W}.
{1}, {T}, Sacrifice this land: Draw a card.</t>
  </si>
  <si>
    <t>c0818</t>
  </si>
  <si>
    <t>Knight of the White Orchid</t>
  </si>
  <si>
    <t>First strike
When this creature enters, if an opponent controls more lands than you, you may search your library for a Plains card, put it onto the battlefield, then shuffle.
(2/2)</t>
  </si>
  <si>
    <t>Deals combat damage before normal-speed blockers</t>
  </si>
  <si>
    <t>Enters: if an opponent has more lands, search for a Plains onto the battlefield</t>
  </si>
  <si>
    <t>c0127</t>
  </si>
  <si>
    <t>Ghost Vacuum</t>
  </si>
  <si>
    <t>{T}: Exile target card from a graveyard.
{6}, {T}, Sacrifice this artifact: Put each creature card exiled with this artifact onto the battlefield under your control with a flying counter on it. Each of them is a 1/1 Spirit in addition to its other types. Activate only as a sorcery.</t>
  </si>
  <si>
    <t>Tap: exile target card from a graveyard</t>
  </si>
  <si>
    <t>Pay {6}, tap, sacrifice: put all creatures exiled with it onto the battlefield as 1/1 flying Spirits</t>
  </si>
  <si>
    <t>Duskmourn: House of Horror</t>
  </si>
  <si>
    <t>c0670</t>
  </si>
  <si>
    <t>Valakut Exploration</t>
  </si>
  <si>
    <t>Landfall — Whenever a land you control enters, exile the top card of your library. You may play that card for as long as it remains exiled.
At the beginning of your end step, if there are cards exiled with this enchantment, put them into their owner's graveyard, then this enchantment deals that much damage to each opponent.</t>
  </si>
  <si>
    <t>A land you control entering exiles the top library card, playable while exiled</t>
  </si>
  <si>
    <t>End step: cards exiled this way go to graveyard and deal that much damage to each opponent</t>
  </si>
  <si>
    <t>Zendikar Rising</t>
  </si>
  <si>
    <t>c0579</t>
  </si>
  <si>
    <t>Flashback</t>
  </si>
  <si>
    <t>Target instant or sorcery card in your graveyard gains flashback until end of turn. The flashback cost is equal to its mana cost. (You may cast that card from your graveyard for its flashback cost. Then exile it.)</t>
  </si>
  <si>
    <t>Target instant or sorcery card in your graveyard gains flashback until end of turn for its mana cost</t>
  </si>
  <si>
    <t>Flavio Greco Paglia</t>
  </si>
  <si>
    <t>c0332</t>
  </si>
  <si>
    <t>Inspiring Vantage</t>
  </si>
  <si>
    <t>This land enters tapped unless you control two or fewer other lands.
{T}: Add {R} or {W}.</t>
  </si>
  <si>
    <t>Kaladesh</t>
  </si>
  <si>
    <t>c0481</t>
  </si>
  <si>
    <t>Quintorius Kand</t>
  </si>
  <si>
    <t>Legendary Planeswalker</t>
  </si>
  <si>
    <t>Quintorius</t>
  </si>
  <si>
    <t>Whenever you cast a spell from exile, Quintorius Kand deals 2 damage to each opponent and you gain 2 life.
+1: Create a 3/2 red and white Spirit creature token.
−3: Discover 4.
−6: Exile any number of target cards from your graveyard. Add {R} for each card exiled this way. You may play those cards this turn.
(Loyalty 4)</t>
  </si>
  <si>
    <t>Casting spells from exile deals 2 damage to each opponent and gains you 2 life</t>
  </si>
  <si>
    <t>+1: create a 3/2 Spirit token</t>
  </si>
  <si>
    <t>-3: Discover 4 (exile cards until a nonland MV 4 or less appears, cast or hand it free)</t>
  </si>
  <si>
    <t>The Lost Caverns of Ixalan</t>
  </si>
  <si>
    <t>c0836</t>
  </si>
  <si>
    <t>Path to Exile</t>
  </si>
  <si>
    <t>Exile target creature. Its controller may search their library for a basic land card, put that card onto the battlefield tapped, then shuffle.</t>
  </si>
  <si>
    <t>Its controller may search for a basic land onto the battlefield tapped</t>
  </si>
  <si>
    <t>c0659</t>
  </si>
  <si>
    <t>Squee, the Immortal</t>
  </si>
  <si>
    <t>You may cast this card from your graveyard or from exile.
(2/1)</t>
  </si>
  <si>
    <t>You may cast this card from your graveyard or from exile</t>
  </si>
  <si>
    <t>Dominaria</t>
  </si>
  <si>
    <t>c0749</t>
  </si>
  <si>
    <t>Archaeomancer's Map</t>
  </si>
  <si>
    <t>When this artifact enters, search your library for up to two basic Plains cards, reveal them, put them into your hand, then shuffle.
Whenever a land an opponent controls enters, if that player controls more lands than you, you may put a land card from your hand onto the battlefield.</t>
  </si>
  <si>
    <t>Enters: search for up to two basic Plains, put them into hand</t>
  </si>
  <si>
    <t>An opponent with more lands playing a land lets you put a land from hand onto the battlefield</t>
  </si>
  <si>
    <t>Commander 2021</t>
  </si>
  <si>
    <t>c0123</t>
  </si>
  <si>
    <t>Fellwar Stone</t>
  </si>
  <si>
    <t>The Dark</t>
  </si>
  <si>
    <t>c0888</t>
  </si>
  <si>
    <t>Tocasia's Welcome</t>
  </si>
  <si>
    <t>Whenever one or more creatures you control with mana value 3 or less enter, draw a card. This ability triggers only once each turn.</t>
  </si>
  <si>
    <t>Creatures with MV 3 or less entering draws a card, once per turn</t>
  </si>
  <si>
    <t>The Brothers' War</t>
  </si>
  <si>
    <t>c0855</t>
  </si>
  <si>
    <t>Salvation Colossus</t>
  </si>
  <si>
    <t>Flying, vigilance, trample
Whenever you attack, other creatures you control get +2/+2 and gain indestructible until end of turn.
Unearth—Pay eight {E}. (Pay eight energy counters: Return this card from your graveyard to the battlefield. It gains haste. Exile it at the beginning of the next end step or if it would leave the battlefield. Unearth only as a sorcery.)
(9/9)</t>
  </si>
  <si>
    <t>Other creatures you control get +2/+2 and become indestructible when you attack</t>
  </si>
  <si>
    <t>Can return from graveyard to the battlefield with haste by paying eight energy, then gets exiled</t>
  </si>
  <si>
    <t>Modern Horizons 3 Commander</t>
  </si>
  <si>
    <t>c0483</t>
  </si>
  <si>
    <t>Quintorius, History Chaser</t>
  </si>
  <si>
    <t>Whenever one or more cards leave your graveyard, create a 3/2 red and white Spirit creature token.
+1: You may discard a card. If you do, draw two cards, then mill a card.
−4: Spirits you control gain double strike and vigilance until end of turn.
Quintorius, History Chaser can be your commander.
(Loyalty 5)</t>
  </si>
  <si>
    <t>Whenever cards leave your graveyard, create a 3/2 Spirit token</t>
  </si>
  <si>
    <t>+1: discard a card to draw two cards, then mill one</t>
  </si>
  <si>
    <t>-4: Spirits you control get extra combat abilities this turn</t>
  </si>
  <si>
    <t>c0435</t>
  </si>
  <si>
    <t>Excava, the Risen Past</t>
  </si>
  <si>
    <t>Spirit Horse</t>
  </si>
  <si>
    <t>Flying, haste
Whenever Excava attacks, return up to one target artifact, creature, or non-Aura enchantment card with mana value 3 or less from your graveyard to the battlefield with a finality counter on it. It's a 1/1 Spirit creature with flying in addition to its other types. (If a creature with a finality counter on it would die, exile it instead.)
(3/3)</t>
  </si>
  <si>
    <t>Can attack the turn it enters</t>
  </si>
  <si>
    <t>Attacking returns a MV 3 or less artifact/creature/enchantment from graveyard as a 1/1 Spirit that gets exiled if it dies</t>
  </si>
  <si>
    <t>c0858</t>
  </si>
  <si>
    <t>Serra Paragon</t>
  </si>
  <si>
    <t>Angel</t>
  </si>
  <si>
    <t>Flying
Once during each of your turns, you may play a land from your graveyard or cast a permanent spell with mana value 3 or less from your graveyard. If you do, it gains "When this permanent is put into a graveyard from the battlefield, exile it and you gain 2 life."
(3/4)</t>
  </si>
  <si>
    <t>Once per turn, play a land or cast a MV 3 or less permanent spell from your graveyard</t>
  </si>
  <si>
    <t>That permanent exiles itself and gains you 2 life when it leaves the battlefield</t>
  </si>
  <si>
    <t>c0115</t>
  </si>
  <si>
    <t>Currency Converter</t>
  </si>
  <si>
    <t>Whenever you discard a card, you may exile that card from your graveyard.
{2}, {T}: Draw a card, then discard a card.
{T}: Put a card exiled with this artifact into its owner's graveyard. If it's a land card, create a Treasure token. If it's a nonland card, create a 2/2 black Rogue creature token.</t>
  </si>
  <si>
    <t>Discarding a card lets you exile it from your graveyard</t>
  </si>
  <si>
    <t>Pay {2}, tap: draw a card, then discard a card</t>
  </si>
  <si>
    <t>Tap: put an exiled card into graveyard, making a Treasure or a 2/2 Rogue token</t>
  </si>
  <si>
    <t>c0859</t>
  </si>
  <si>
    <t>Settle the Wreckage</t>
  </si>
  <si>
    <t>Exile all attacking creatures target player controls. That player may search their library for that many basic land cards, put those cards onto the battlefield tapped, then shuffle.</t>
  </si>
  <si>
    <t>Exile all attacking creatures target player controls</t>
  </si>
  <si>
    <t>That player may search their library for that many basic lands and put them onto the battlefield tapped</t>
  </si>
  <si>
    <t>c0529</t>
  </si>
  <si>
    <t>Advanced Reconstruction</t>
  </si>
  <si>
    <t>(Gain the next level as a sorcery to add its ability.)
At the beginning of your first main phase, mill a card, then exile a card from your graveyard at random. You may play the exiled card this turn.
{1}{R}: Level 2
Whenever one or more cards leave your graveyard, this Class deals 2 damage to each opponent.
{1}{R}: Level 3
Spells you cast from anywhere other than your hand cost {2} less to cast.</t>
  </si>
  <si>
    <t>Main phase: mill a card, then exile a random graveyard card you may play this turn</t>
  </si>
  <si>
    <t>Level 2: deals 2 damage to each opponent when cards leave your graveyard</t>
  </si>
  <si>
    <t>Level 3: spells cast from anywhere but hand cost {2} less</t>
  </si>
  <si>
    <t>c0357</t>
  </si>
  <si>
    <t>Radiant Summit</t>
  </si>
  <si>
    <t>({T}: Add {R} or {W}.)
This land enters tapped unless you control two or more basic lands.</t>
  </si>
  <si>
    <t>Enters tapped unless you control two or more basic lands</t>
  </si>
  <si>
    <t>c0307</t>
  </si>
  <si>
    <t>Buried Ruin</t>
  </si>
  <si>
    <t>{T}: Add {C}.
{2}, {T}, Sacrifice this land: Return target artifact card from your graveyard to your hand.</t>
  </si>
  <si>
    <t>Sacrifice plus {2}: return target artifact card from graveyard to hand</t>
  </si>
  <si>
    <t>Magic 2012</t>
  </si>
  <si>
    <t>c0619</t>
  </si>
  <si>
    <t>Laelia, the Blade Reforged</t>
  </si>
  <si>
    <t>Spirit Warrior</t>
  </si>
  <si>
    <t>Haste
Whenever Laelia attacks, exile the top card of your library. You may play that card this turn.
Whenever one or more cards are put into exile from your library and/or your graveyard, put a +1/+1 counter on Laelia.
(2/2)</t>
  </si>
  <si>
    <t>Attacking exiles the top library card to play this turn</t>
  </si>
  <si>
    <t>Gets a +1/+1 counter whenever cards are exiled from library or graveyard</t>
  </si>
  <si>
    <t>c0360</t>
  </si>
  <si>
    <t>Rugged Prairie</t>
  </si>
  <si>
    <t>{T}: Add {C}.
{R/W}, {T}: Add {R}{R}, {R}{W}, or {W}{W}.</t>
  </si>
  <si>
    <t>Pay a hybrid mana, tap: add two red and/or white mana</t>
  </si>
  <si>
    <t>Eventide</t>
  </si>
  <si>
    <t>c0373</t>
  </si>
  <si>
    <t>Sunscorched Divide</t>
  </si>
  <si>
    <t>Pay {1}, tap: add {R}{W}</t>
  </si>
  <si>
    <t>Fallout</t>
  </si>
  <si>
    <t>c0113</t>
  </si>
  <si>
    <t>Containment Construct</t>
  </si>
  <si>
    <t>Whenever you discard a card, you may exile that card from your graveyard. If you do, you may play that card this turn.
(2/1)</t>
  </si>
  <si>
    <t>Discarding a card lets you exile it from graveyard and play it this turn</t>
  </si>
  <si>
    <t>Kamigawa: Neon Dynasty</t>
  </si>
  <si>
    <t>c0813</t>
  </si>
  <si>
    <t>Karmic Guide</t>
  </si>
  <si>
    <t>Angel Spirit</t>
  </si>
  <si>
    <t>Flying, protection from black
Echo {3}{W}{W} (At the beginning of your upkeep, if this came under your control since the beginning of your last upkeep, sacrifice it unless you pay its echo cost.)
When this creature enters, return target creature card from your graveyard to the battlefield.
(2/2)</t>
  </si>
  <si>
    <t>Flying body that can't be blocked or targeted by black</t>
  </si>
  <si>
    <t>Enters: return target creature card from graveyard to battlefield</t>
  </si>
  <si>
    <t>Must pay {3}{W}{W} next upkeep or be sacrificed</t>
  </si>
  <si>
    <t>c0850</t>
  </si>
  <si>
    <t>Return to Dust</t>
  </si>
  <si>
    <t>Exile target artifact or enchantment. If you cast this spell during your main phase, you may exile up to one other target artifact or enchantment.</t>
  </si>
  <si>
    <t>Exiles target artifact or enchantment</t>
  </si>
  <si>
    <t>During your main phase, may exile a second artifact or enchantment</t>
  </si>
  <si>
    <t>Time Spiral</t>
  </si>
  <si>
    <t>c0447</t>
  </si>
  <si>
    <t>Hofri Ghostforge</t>
  </si>
  <si>
    <t>Dwarf Cleric</t>
  </si>
  <si>
    <t>Spirits you control get +1/+1 and have trample and haste.
Whenever another nontoken creature you control dies, exile it. If you do, create a token that's a copy of that creature, except it's a Spirit in addition to its other types and it has "When this token leaves the battlefield, return the exiled card to its owner's graveyard."
(4/5)</t>
  </si>
  <si>
    <t>Spirits you control get +1/+1 and can attack the turn they enter</t>
  </si>
  <si>
    <t>Another nontoken creature dying lets you exile it and make a Spirit copy token</t>
  </si>
  <si>
    <t>c0145</t>
  </si>
  <si>
    <t>Perpetual Timepiece</t>
  </si>
  <si>
    <t>{T}: Mill two cards. (Put the top two cards of your library into your graveyard.)
{2}, Exile this artifact: Shuffle any number of target cards from your graveyard into your library.</t>
  </si>
  <si>
    <t>Tap: mill two cards</t>
  </si>
  <si>
    <t>Exile this: shuffle any number of target graveyard cards into your library</t>
  </si>
  <si>
    <t>c0138</t>
  </si>
  <si>
    <t>Millikin</t>
  </si>
  <si>
    <t>{T}, Mill a card: Add {C}. (Activate only as an instant. To mill a card, put the top card of your library into your graveyard.)
(0/1)</t>
  </si>
  <si>
    <t>Mill a card, tap: add {C}</t>
  </si>
  <si>
    <t>Odyssey</t>
  </si>
  <si>
    <t>c0864</t>
  </si>
  <si>
    <t>Skyclave Apparition</t>
  </si>
  <si>
    <t>Kor Spirit</t>
  </si>
  <si>
    <t>When this creature enters, exile up to one target nonland, nontoken permanent you don't control with mana value 4 or less.
When this creature leaves the battlefield, the exiled card's owner creates an X/X blue Illusion creature token, where X is the mana value of the exiled card.
(2/2)</t>
  </si>
  <si>
    <t>Enters: exile a nonland, nontoken permanent an opponent controls with MV 4 or less</t>
  </si>
  <si>
    <t>Leaves the battlefield: that permanent's owner gets an X/X token, X = its mana value</t>
  </si>
  <si>
    <t>c0172</t>
  </si>
  <si>
    <t>Troop of Ponies</t>
  </si>
  <si>
    <t>Horse</t>
  </si>
  <si>
    <t>{2}, {T}, Sacrifice this creature: Search your library for up to two basic land cards, reveal them, put one onto the battlefield tapped and the other into your hand, then shuffle.
(2/1)</t>
  </si>
  <si>
    <t>{2}, {T}, sacrifice: search for two basic lands, one onto the battlefield tapped and the other into your hand</t>
  </si>
  <si>
    <t>199</t>
  </si>
  <si>
    <t>c0311</t>
  </si>
  <si>
    <t>Clifftop Retreat</t>
  </si>
  <si>
    <t>This land enters tapped unless you control a Mountain or a Plains.
{T}: Add {R} or {W}.</t>
  </si>
  <si>
    <t>Enters tapped unless you control a Mountain or Plains</t>
  </si>
  <si>
    <t>c0324</t>
  </si>
  <si>
    <t>Furycalm Snarl</t>
  </si>
  <si>
    <t>As this land enters, you may reveal a Mountain or Plains card from your hand. If you don't, this land enters tapped.
{T}: Add {R} or {W}.</t>
  </si>
  <si>
    <t>Enters tapped unless you reveal a Mountain or Plains from hand</t>
  </si>
  <si>
    <t>c0361</t>
  </si>
  <si>
    <t>Sacred Peaks</t>
  </si>
  <si>
    <t>({T}: Add {R} or {W}.)
This land enters tapped.</t>
  </si>
  <si>
    <t>c0461</t>
  </si>
  <si>
    <t>Lorehold Archivist // Restore Relic</t>
  </si>
  <si>
    <t>Dwarf Artificer</t>
  </si>
  <si>
    <t>Lorehold Archivist {1}{R}{W} — Creature — Dwarf Artificer (3/2)
First strike
At the beginning of your upkeep, if there are three or more artifact and/or creature cards in your graveyard, this creature becomes prepared. (While it's prepared, you may cast a copy of its spell. Doing so unprepares it.)
//
Restore Relic {2}{R}{W} — Sorcery
Exile target artifact or creature card from your graveyard. Create a token that's a copy of it.</t>
  </si>
  <si>
    <t>Upkeep: if 3+ artifacts/creatures are in your graveyard, you may cast a copy of its other half</t>
  </si>
  <si>
    <t>Other half: exile an artifact or creature card from graveyard, create a copy token</t>
  </si>
  <si>
    <t>c0103</t>
  </si>
  <si>
    <t>Bag of Holding</t>
  </si>
  <si>
    <t>Whenever you discard a card, exile that card from your graveyard.
{2}, {T}: Draw a card, then discard a card.
{4}, {T}, Sacrifice this artifact: Return all cards exiled with this artifact to their owner's hand.</t>
  </si>
  <si>
    <t>Discarding a card exiles it from your graveyard</t>
  </si>
  <si>
    <t>Pay {4}, tap, sacrifice: return all cards exiled with it to your hand</t>
  </si>
  <si>
    <t>Core Set 2020</t>
  </si>
  <si>
    <t>c0560</t>
  </si>
  <si>
    <t>Conspiracy Theorist</t>
  </si>
  <si>
    <t>Human Shaman</t>
  </si>
  <si>
    <t>Whenever this creature attacks, you may pay {1} and discard a card. If you do, draw a card.
Whenever you discard one or more nonland cards, you may exile one of them from your graveyard. If you do, you may cast it this turn.
(2/2)</t>
  </si>
  <si>
    <t>Attacking lets you pay {1} and discard a card to draw a card</t>
  </si>
  <si>
    <t>Discarding a nonland card lets you exile it and cast it this turn</t>
  </si>
  <si>
    <t>c0846</t>
  </si>
  <si>
    <t>Remorseful Cleric</t>
  </si>
  <si>
    <t>Flying
Sacrifice this creature: Exile target player's graveyard.
(2/1)</t>
  </si>
  <si>
    <t>Sacrifice: exile target player's entire graveyard</t>
  </si>
  <si>
    <t>c0378</t>
  </si>
  <si>
    <t>Temple of Triumph</t>
  </si>
  <si>
    <t>This land enters tapped.
When this land enters, scry 1. (Look at the top card of your library. You may put that card on the bottom.)
{T}: Add {R} or {W}.</t>
  </si>
  <si>
    <t>Scries 1 when it enters</t>
  </si>
  <si>
    <t>c0881</t>
  </si>
  <si>
    <t>Teshar, Ancestor's Apostle</t>
  </si>
  <si>
    <t>Bird Cleric</t>
  </si>
  <si>
    <t>Flying
Whenever you cast a historic spell, return target creature card with mana value 3 or less from your graveyard to the battlefield. (Artifacts, legendaries, and Sagas are historic.)
(2/2)</t>
  </si>
  <si>
    <t>Casting a historic spell returns a MV 3 or less creature card from graveyard to battlefield</t>
  </si>
  <si>
    <t>c0341</t>
  </si>
  <si>
    <t>Lorehold Campus</t>
  </si>
  <si>
    <t>This land enters tapped.
{T}: Add {R} or {W}.
{4}, {T}: Scry 1. (Look at the top card of your library. You may put that card on the bottom.)</t>
  </si>
  <si>
    <t>Pay {4}, tap: look at top card, may put it on bottom</t>
  </si>
  <si>
    <t>c0345</t>
  </si>
  <si>
    <t>Mistveil Plains</t>
  </si>
  <si>
    <t>({T}: Add {W}.)
This land enters tapped.
{W}, {T}: Put target card from your graveyard on the bottom of your library. Activate only if you control two or more white permanents.</t>
  </si>
  <si>
    <t>Pay {W}, tap: put a card from graveyard on bottom of library</t>
  </si>
  <si>
    <t>Shadowmoor</t>
  </si>
  <si>
    <t>c0517</t>
  </si>
  <si>
    <t>Venerable Warsinger</t>
  </si>
  <si>
    <t>Vigilance, trample
Whenever this creature deals combat damage to a player, you may return target creature card with mana value X or less from your graveyard to the battlefield, where X is the amount of damage this creature dealt to that player.
(3/3)</t>
  </si>
  <si>
    <t>Can attack past blockers while staying untapped</t>
  </si>
  <si>
    <t>Combat damage to a player returns a creature card from graveyard with MV up to that damage</t>
  </si>
  <si>
    <t>c0462</t>
  </si>
  <si>
    <t>Lorehold Charm</t>
  </si>
  <si>
    <t>Choose one —
• Each opponent sacrifices a nontoken artifact of their choice.
• Return target artifact or creature card with mana value 2 or less from your graveyard to the battlefield.
• Creatures you control get +1/+1 and gain trample until end of turn.</t>
  </si>
  <si>
    <t>Choose one: each opponent sacrifices a nontoken artifact</t>
  </si>
  <si>
    <t>Or returns a MV 2 or less artifact/creature from graveyard to battlefield</t>
  </si>
  <si>
    <t>Or your creatures get +1/+1 and push through blockers this turn</t>
  </si>
  <si>
    <t>c0759</t>
  </si>
  <si>
    <t>Ceaseless Conflict</t>
  </si>
  <si>
    <t>Destroy all creatures. Then create a 3/2 red and white Spirit creature token for each nontoken creature you controlled that was destroyed this way.</t>
  </si>
  <si>
    <t>Destroys all creatures</t>
  </si>
  <si>
    <t>Creates a 3/2 Spirit token for each of your nontoken creatures destroyed this way</t>
  </si>
  <si>
    <t>c0491</t>
  </si>
  <si>
    <t>Rip Apart</t>
  </si>
  <si>
    <t>Choose one —
• Rip Apart deals 3 damage to target creature or planeswalker.
• Destroy target artifact or enchantment.</t>
  </si>
  <si>
    <t>Choose one: deals 3 damage to target creature or planeswalker</t>
  </si>
  <si>
    <t>Or destroys target artifact or enchantment</t>
  </si>
  <si>
    <t>c0482</t>
  </si>
  <si>
    <t>Quintorius, Field Historian</t>
  </si>
  <si>
    <t>Elephant Cleric</t>
  </si>
  <si>
    <t>Spirits you control get +1/+0.
Whenever one or more cards leave your graveyard, create a 3/2 red and white Spirit creature token.
(2/4)</t>
  </si>
  <si>
    <t>Spirits you control get +1/+0</t>
  </si>
  <si>
    <t>c0464</t>
  </si>
  <si>
    <t>Lorehold Excavation</t>
  </si>
  <si>
    <t>At the beginning of your end step, mill a card. If a land card was milled this way, you gain 1 life. Otherwise, this enchantment deals 1 damage to each opponent. (To mill a card, put the top card of your library into your graveyard.)
{5}, Exile a creature card from your graveyard: Create a tapped 3/2 red and white Spirit creature token.</t>
  </si>
  <si>
    <t>At the beginning of your end step, mill a card. If a land card was milled this way, you gain 1 life. Otherwise, this enc</t>
  </si>
  <si>
    <t>{5}, Exile a creature card from your graveyard: Create a tapped 3/2 red and white Spirit creature token</t>
  </si>
  <si>
    <t>c0326</t>
  </si>
  <si>
    <t>Glittering Massif</t>
  </si>
  <si>
    <t>({T}: Add {R} or {W}.)
This land enters tapped.
Cycling {2} ({2}, Discard this card: Draw a card.)</t>
  </si>
  <si>
    <t>Discard for {2} to draw a card instead of playing it</t>
  </si>
  <si>
    <t>c0582</t>
  </si>
  <si>
    <t>Garrison Excavator</t>
  </si>
  <si>
    <t>Orc Sorcerer</t>
  </si>
  <si>
    <t>Menace (This creature can't be blocked except by two or more creatures.)
Whenever one or more cards leave your graveyard, create a 2/2 red and white Spirit creature token.
(3/4)</t>
  </si>
  <si>
    <t>Whenever one or more cards leave your graveyard, create a 2/2 Spirit token</t>
  </si>
  <si>
    <t>Menace on a 3/4 body</t>
  </si>
  <si>
    <t>c0583</t>
  </si>
  <si>
    <t>Getaway Barrel</t>
  </si>
  <si>
    <t>When this artifact is put into a graveyard from the battlefield, reveal the top thirteen cards of your library. Put a random creature card from among them onto the battlefield. Put the rest on the bottom of your library in a random order.</t>
  </si>
  <si>
    <t>When this artifact is put into a graveyard from the battlefield, reveal the top thirteen cards of your library. Put a ra</t>
  </si>
  <si>
    <t>c0553</t>
  </si>
  <si>
    <t>Cathartic Reunion</t>
  </si>
  <si>
    <t>As an additional cost to cast this spell, discard two cards.
Draw three cards.</t>
  </si>
  <si>
    <t>Discard two cards to draw three cards</t>
  </si>
  <si>
    <t>c0644</t>
  </si>
  <si>
    <t>Relic Retriever</t>
  </si>
  <si>
    <t>Spirit Monkey</t>
  </si>
  <si>
    <t>First strike
At the beginning of each end step, if a card left your graveyard this turn, create a Treasure token. (It's an artifact with "{T}, Sacrifice this token: Add one mana of any color.")
(2/1)</t>
  </si>
  <si>
    <t>End step: create a Treasure token if a card left your graveyard this turn</t>
  </si>
  <si>
    <t>c0487</t>
  </si>
  <si>
    <t>Reconstruct History</t>
  </si>
  <si>
    <t>Return up to one target artifact card, up to one target enchantment card, up to one target instant card, up to one target sorcery card, and up to one target planeswalker card from your graveyard to your hand.
Exile Reconstruct History.</t>
  </si>
  <si>
    <t>Return up to one target artifact card, up to one target enchantment card, up to one target instant card, up to one targe</t>
  </si>
  <si>
    <t>Exile Reconstruct History</t>
  </si>
  <si>
    <t>c0838</t>
  </si>
  <si>
    <t>Primary Research</t>
  </si>
  <si>
    <t>When this enchantment enters, return target nonland permanent card with mana value 3 or less from your graveyard to the battlefield.
At the beginning of your end step, if a card left your graveyard this turn, draw a card.</t>
  </si>
  <si>
    <t>Enters: return a MV 3 or less nonland permanent card from graveyard to battlefield</t>
  </si>
  <si>
    <t>End step: draw a card if a card left your graveyard this turn</t>
  </si>
  <si>
    <t>c0484</t>
  </si>
  <si>
    <t>Quintorius, Loremaster</t>
  </si>
  <si>
    <t>Vigilance
At the beginning of your end step, exile target noncreature, nonland card from your graveyard. Create a 3/2 red and white Spirit creature token.
{1}{R}{W}, {T}, Sacrifice a Spirit: Choose target card exiled with Quintorius. You may cast that card this turn without paying its mana cost. If that spell would be put into a graveyard, put it on the bottom of its owner's library instead.
(3/5)</t>
  </si>
  <si>
    <t>Vigilant 3/2ish body</t>
  </si>
  <si>
    <t>End step: exile a noncreature nonland card from graveyard, create a 3/2 Spirit token</t>
  </si>
  <si>
    <t>Sacrifice a Spirit: cast an exiled card for free this turn</t>
  </si>
  <si>
    <t>c0369</t>
  </si>
  <si>
    <t>Stone Quarry</t>
  </si>
  <si>
    <t>This land enters tapped.
{T}: Add {R} or {W}.</t>
  </si>
  <si>
    <t>c0385</t>
  </si>
  <si>
    <t>Wind-Scarred Crag</t>
  </si>
  <si>
    <t>This land enters tapped.
When this land enters, you gain 1 life.
{T}: Add {R} or {W}.</t>
  </si>
  <si>
    <t>c0645</t>
  </si>
  <si>
    <t>Rubble Rouser</t>
  </si>
  <si>
    <t>Dwarf Sorcerer</t>
  </si>
  <si>
    <t>When this creature enters, you may discard a card. If you do, draw a card.
{T}, Exile a card from your graveyard: Add {R}. When you do, this creature deals 1 damage to each opponent.
(1/4)</t>
  </si>
  <si>
    <t>{T}, exile a card from your graveyard: Add {R}, and this creature deals 1 damage to each opponent</t>
  </si>
  <si>
    <t>Enters: you may discard a card, and if you do, draw a card</t>
  </si>
  <si>
    <t>128</t>
  </si>
  <si>
    <t>Craig J Spearing</t>
  </si>
  <si>
    <t>c0155</t>
  </si>
  <si>
    <t>Smuggler's Copter</t>
  </si>
  <si>
    <t>Vehicle</t>
  </si>
  <si>
    <t>Flying
Whenever this Vehicle attacks or blocks, you may draw a card. If you do, discard a card.
Crew 1 (Tap any number of creatures you control with total power 1 or more: This Vehicle becomes an artifact creature until end of turn.)
(3/3)</t>
  </si>
  <si>
    <t>Draws then discards a card when it attacks or blocks</t>
  </si>
  <si>
    <t>Crews for 1 power to become a creature until end of turn</t>
  </si>
  <si>
    <t>c0663</t>
  </si>
  <si>
    <t>Thrill of Possibility</t>
  </si>
  <si>
    <t>As an additional cost to cast this spell, discard a card.
Draw two cards.</t>
  </si>
  <si>
    <t>Discard a card as an additional cost</t>
  </si>
  <si>
    <t>c0425</t>
  </si>
  <si>
    <t>Deflecting Palm</t>
  </si>
  <si>
    <t>The next time a source of your choice would deal damage to you this turn, prevent that damage. If damage is prevented this way, Deflecting Palm deals that much damage to that source's controller.</t>
  </si>
  <si>
    <t>Prevent the next damage a source of your choice would deal to you this turn</t>
  </si>
  <si>
    <t>Deals that much damage back to that source's controller</t>
  </si>
  <si>
    <t>63</t>
  </si>
  <si>
    <t>Alex Stone</t>
  </si>
  <si>
    <t>c0539</t>
  </si>
  <si>
    <t>Big Score</t>
  </si>
  <si>
    <t>As an additional cost to cast this spell, discard a card.
Draw two cards and create two Treasure tokens. (They're artifacts with "{T}, Sacrifice this token: Add one mana of any color.")</t>
  </si>
  <si>
    <t>Discard a card to draw two cards and create two Treasure tokens</t>
  </si>
  <si>
    <t>Streets of New Capenna</t>
  </si>
  <si>
    <t>c0510</t>
  </si>
  <si>
    <t>Thrilling Discovery</t>
  </si>
  <si>
    <t>You gain 2 life. Then you may discard two cards. If you do, draw three cards.</t>
  </si>
  <si>
    <t>Gain 2 life</t>
  </si>
  <si>
    <t>May discard two cards to draw three</t>
  </si>
  <si>
    <t>c0648</t>
  </si>
  <si>
    <t>Seize the Spoils</t>
  </si>
  <si>
    <t>As an additional cost to cast this spell, discard a card.
Draw two cards and create a Treasure token. (It's an artifact with "{T}, Sacrifice this token: Add one mana of any color.")</t>
  </si>
  <si>
    <t>Draw two cards and create a Treasure token</t>
  </si>
  <si>
    <t>c0629</t>
  </si>
  <si>
    <t>Monastery Raid</t>
  </si>
  <si>
    <t>Freerunning {X}{R} (You may cast this spell for its freerunning cost if you dealt combat damage to a player this turn with an Assassin or commander.)
Exile the top two cards of your library. If this spell's freerunning cost was paid, exile the top X cards of your library instead. You may play the exiled cards until the end of your next turn.</t>
  </si>
  <si>
    <t>Exiles top two cards to play until end of next turn</t>
  </si>
  <si>
    <t>Freerunning lets you pay {X}{R} to exile X cards instead</t>
  </si>
  <si>
    <t>Assassin's Creed</t>
  </si>
  <si>
    <t>Alexandre Honore</t>
  </si>
  <si>
    <t>c0551</t>
  </si>
  <si>
    <t>Burning Curiosity</t>
  </si>
  <si>
    <t>As an additional cost to cast this spell, you may blight 1. (You may put a -1/-1 counter on a creature you control.)
Exile the top two cards of your library. If this spell's additional cost was paid, exile the top three cards instead. Until the end of your next turn, you may play those cards.</t>
  </si>
  <si>
    <t>Exiles top two cards of library to play until end of next turn</t>
  </si>
  <si>
    <t>Optionally put a -1/-1 counter on a creature to exile three instead</t>
  </si>
  <si>
    <t>C 0129</t>
  </si>
  <si>
    <t>Jim Pavelec</t>
  </si>
  <si>
    <t>c0637</t>
  </si>
  <si>
    <t>Purphoros, God of the Forge</t>
  </si>
  <si>
    <t>Legendary Enchantment Creature</t>
  </si>
  <si>
    <t>God</t>
  </si>
  <si>
    <t>Indestructible
As long as your devotion to red is less than five, Purphoros isn't a creature.
Whenever another creature you control enters, Purphoros deals 2 damage to each opponent.
{2}{R}: Creatures you control get +1/+0 until end of turn.
(6/5)</t>
  </si>
  <si>
    <t>Deals 2 damage to each opponent when another creature you control enters</t>
  </si>
  <si>
    <t>{2}{R}: your creatures get +1/+0 until end of turn</t>
  </si>
  <si>
    <t>Indestructible; only a creature at devotion to red 5+</t>
  </si>
  <si>
    <t>c1086</t>
  </si>
  <si>
    <t>Ajani Resolute</t>
  </si>
  <si>
    <t>Ajani</t>
  </si>
  <si>
    <t>Whenever you gain life, put a loyalty counter on Ajani.
0: You gain 1 life.
−4: Create a 2/2 white Cat Soldier creature token named Ajani's Pridemate with "Whenever you gain life, put a +1/+1 counter on this token."
−10: You get an emblem with "Creatures you control get +2/+2."
(Loyalty 2)</t>
  </si>
  <si>
    <t>Whenever you gain life, put a loyalty counter on it; 0: gain 1 life</t>
  </si>
  <si>
    <t>-4: create a 2/2 Ajani's Pridemate Cat Soldier token</t>
  </si>
  <si>
    <t>-10: emblem, creatures you control get +2/+2</t>
  </si>
  <si>
    <t>M 0195</t>
  </si>
  <si>
    <t>Tyler Jacobson</t>
  </si>
  <si>
    <t>c1033</t>
  </si>
  <si>
    <t>Omnipresence</t>
  </si>
  <si>
    <t>You may cast spells with mana value less than or equal to the number of creatures you control from your hand without paying their mana costs.</t>
  </si>
  <si>
    <t>Cast spells from your hand for free if their mana value is at most the number of creatures you control</t>
  </si>
  <si>
    <t>M 0110</t>
  </si>
  <si>
    <t>c0166</t>
  </si>
  <si>
    <t>Thornbite Staff</t>
  </si>
  <si>
    <t>Kindred Artifact</t>
  </si>
  <si>
    <t>Shaman Equipment</t>
  </si>
  <si>
    <t>Equipped creature has "{2}, {T}: This creature deals 1 damage to any target" and "Whenever a creature dies, untap this creature."
Whenever a Shaman creature enters, you may attach this Equipment to it.
Equip {4}</t>
  </si>
  <si>
    <t>Equipped creature has "{2}, {T}: This creature deals 1 damage to any target" and "Whenever a creature dies, untap this c</t>
  </si>
  <si>
    <t>Whenever a Shaman creature enters, you may attach this Equipment to it</t>
  </si>
  <si>
    <t>Equip {4}</t>
  </si>
  <si>
    <t>c1096</t>
  </si>
  <si>
    <t>Avatar of Burgeoning Echoes</t>
  </si>
  <si>
    <t>Avatar</t>
  </si>
  <si>
    <t>Landfall — Whenever a land you control enters, empower Jace 2. (Put two loyalty counters on a Jace token you control. If you don't control one, first create a blue Jace planeswalker token with "[−1]: Surveil 1" and "[−3]: Draw a card.")
Planeswalkers you control have "[−10]: Put a +1/+1 counter on target creature for each land you control."
(2/3)</t>
  </si>
  <si>
    <t>Landfall: empower Jace 2</t>
  </si>
  <si>
    <t>Your planeswalkers gain -10: put a +1/+1 counter on target creature for each land you control</t>
  </si>
  <si>
    <t>M 0122</t>
  </si>
  <si>
    <t>Eli Minaya</t>
  </si>
  <si>
    <t>c0168</t>
  </si>
  <si>
    <t>Thousand-Year Elixir</t>
  </si>
  <si>
    <t>You may activate abilities of creatures you control as though those creatures had haste.
{1}, {T}: Untap target creature.</t>
  </si>
  <si>
    <t>Your creatures can use tap abilities the turn they enter</t>
  </si>
  <si>
    <t>Pay {1} and tap to untap target creature</t>
  </si>
  <si>
    <t>c1080</t>
  </si>
  <si>
    <t>Ajani Unrelenting</t>
  </si>
  <si>
    <t>Whenever you activate a loyalty ability, create a 2/2 colorless Wizard Soldier creature token named Cadet.
+1: Creatures you control get +1/+0 and gain haste until end of turn.
−2: Discard your hand, then draw a card for each creature you control.
−3: Ajani deals 4 damage to each creature except for tokens you control.
(Loyalty 5)</t>
  </si>
  <si>
    <t>Whenever you activate a loyalty ability, create a 2/2 Cadet Wizard Soldier token</t>
  </si>
  <si>
    <t>+1: creatures you control get +1/+0 and haste; -2: discard your hand, draw a card per creature</t>
  </si>
  <si>
    <t>-3: 4 damage to each creature except your tokens</t>
  </si>
  <si>
    <t>M 0242</t>
  </si>
  <si>
    <t>c1019</t>
  </si>
  <si>
    <t>Splinter Twin</t>
  </si>
  <si>
    <t>Enchant creature
Enchanted creature has "{T}: Create a token that's a copy of this creature, except it has haste. Exile that token at the beginning of the next end step."</t>
  </si>
  <si>
    <t>Enchanted creature gains {T}: create a hasty token copy of it, exiled at the next end step</t>
  </si>
  <si>
    <t>Special Guests</t>
  </si>
  <si>
    <t>M 0167</t>
  </si>
  <si>
    <t>Marina Banker</t>
  </si>
  <si>
    <t>c0049</t>
  </si>
  <si>
    <t>Moonshadow</t>
  </si>
  <si>
    <t>Menace
This creature enters with six -1/-1 counters on it.
Whenever one or more permanent cards are put into your graveyard from anywhere while this creature has a -1/-1 counter on it, remove a -1/-1 counter from this creature.
(7/7)</t>
  </si>
  <si>
    <t>7/7 menace for one mana that enters with six -1/-1 counters on it</t>
  </si>
  <si>
    <t>Remove a -1/-1 counter whenever one or more permanent cards are put into your graveyard from anywhere</t>
  </si>
  <si>
    <t>110</t>
  </si>
  <si>
    <t>c0183</t>
  </si>
  <si>
    <t>Ancient Greenwarden</t>
  </si>
  <si>
    <t>Reach (This creature can block creatures with flying.)
You may play lands from your graveyard.
If a land entering causes a triggered ability of a permanent you control to trigger, that ability triggers an additional time.
(5/7)</t>
  </si>
  <si>
    <t>You may play lands from your graveyard</t>
  </si>
  <si>
    <t>Triggered abilities from a land entering trigger an additional time</t>
  </si>
  <si>
    <t>c0668</t>
  </si>
  <si>
    <t>Underworld Breach</t>
  </si>
  <si>
    <t>Each nonland card in your graveyard has escape. The escape cost is equal to the card's mana cost plus exile three other cards from your graveyard. (You may cast cards from your graveyard for their escape cost.)
At the beginning of the end step, sacrifice this enchantment.</t>
  </si>
  <si>
    <t xml:space="preserve">Each nonland card in your graveyard has escape. The escape cost is equal to the card's mana cost plus exile three other </t>
  </si>
  <si>
    <t>c0831</t>
  </si>
  <si>
    <t>Moonshaker Cavalry</t>
  </si>
  <si>
    <t>Spirit Knight</t>
  </si>
  <si>
    <t>Flying
When this creature enters, creatures you control gain flying and get +X/+X until end of turn, where X is the number of creatures you control.
(6/6)</t>
  </si>
  <si>
    <t>Enters: creatures you control get +X/+X and can fly until end of turn, X = creatures you control</t>
  </si>
  <si>
    <t>c0994</t>
  </si>
  <si>
    <t>Denzilore Fatehold</t>
  </si>
  <si>
    <t>Elder Sphinx</t>
  </si>
  <si>
    <t>Flash
Flying
Whenever you scry or surveil, put a +1/+1 counter on each creature you control.
(3/4)</t>
  </si>
  <si>
    <t>Whenever you scry or surveil, put a +1/+1 counter on each creature you control</t>
  </si>
  <si>
    <t>Flash, flying</t>
  </si>
  <si>
    <t>M 0128</t>
  </si>
  <si>
    <t>c0600</t>
  </si>
  <si>
    <t>Goblin Trashmaster</t>
  </si>
  <si>
    <t>Other Goblins you control get +1/+1.
Sacrifice a Goblin: Destroy target artifact.
(3/3)</t>
  </si>
  <si>
    <t>Other Goblins you control get +1/+1.
Sacrifice a Goblin: Destroy target artifact.</t>
  </si>
  <si>
    <t>c1023</t>
  </si>
  <si>
    <t>Kindred Judgment</t>
  </si>
  <si>
    <t>Choose a creature type. Destroy all creatures that aren't of the chosen type.</t>
  </si>
  <si>
    <t>Choose a creature type; destroy all creatures that aren't that type</t>
  </si>
  <si>
    <t>R 0013</t>
  </si>
  <si>
    <t>Ekaterina Burmak</t>
  </si>
  <si>
    <t>c1066</t>
  </si>
  <si>
    <t>Jace, Reality Sculptor</t>
  </si>
  <si>
    <t>Jace</t>
  </si>
  <si>
    <t>+1: Empower Jace X, where X is the number of Islands you control.
−3: Until your next turn, whenever a creature attacks you or a planeswalker you control, it gets -5/-0 until end of turn.
0: Exile all but the bottom card of each opponent's library. Activate only if there are twenty-five or more loyalty counters among Jaces you control.
(Loyalty 5)</t>
  </si>
  <si>
    <t>+1: empower Jace X, where X is the number of Islands you control</t>
  </si>
  <si>
    <t>-3: attackers aimed at you or your planeswalkers get -5/-0 until your next turn</t>
  </si>
  <si>
    <t>0: with 25+ loyalty among your Jaces, exile all but the bottom card of each opponent's library</t>
  </si>
  <si>
    <t>R 0216</t>
  </si>
  <si>
    <t>Martina Fačková</t>
  </si>
  <si>
    <t>c0587</t>
  </si>
  <si>
    <t>Goblin Chieftain</t>
  </si>
  <si>
    <t>Haste (This creature can attack and {T} as soon as it comes under your control.)
Other Goblin creatures you control get +1/+1 and have haste.
(2/2)</t>
  </si>
  <si>
    <t xml:space="preserve">Haste (This creature can attack and {T} as soon as it comes under your control.)
Other Goblin creatures you control get </t>
  </si>
  <si>
    <t>c0455</t>
  </si>
  <si>
    <t>Kambal, Profiteering Mayor</t>
  </si>
  <si>
    <t>Whenever one or more tokens your opponents control enter, for each of them, create a tapped token that's a copy of it. This ability triggers only once each turn.
Whenever one or more tokens you control enter, each opponent loses 1 life and you gain 1 life.
(2/4)</t>
  </si>
  <si>
    <t>Whenever one or more tokens your opponents control enter, for each of them, create a tapped token that's a copy of it. T</t>
  </si>
  <si>
    <t>Whenever one or more tokens you control enter, each opponent loses 1 life and you gain 1 life</t>
  </si>
  <si>
    <t>Outlaws of Thunder Junction</t>
  </si>
  <si>
    <t>c0416</t>
  </si>
  <si>
    <t>Chulane, Teller of Tales</t>
  </si>
  <si>
    <t>Vigilance
Whenever you cast a creature spell, draw a card, then you may put a land card from your hand onto the battlefield.
{3}, {T}: Return target creature you control to its owner's hand.
(2/4)</t>
  </si>
  <si>
    <t>Draw a card and may put a land from hand onto the battlefield whenever you cast a creature spell</t>
  </si>
  <si>
    <t>{3}, tap: return target creature you control to hand</t>
  </si>
  <si>
    <t>c0495</t>
  </si>
  <si>
    <t>Sapling of Colfenor</t>
  </si>
  <si>
    <t>Indestructible
Whenever Sapling of Colfenor attacks, reveal the top card of your library. If it's a creature card, you gain life equal to that card's toughness, lose life equal to its power, then put it into your hand.
(2/5)</t>
  </si>
  <si>
    <t>Attacking reveals top card; if creature, gain life equal to its toughness</t>
  </si>
  <si>
    <t>Lose life equal to that creature's power, then put it into hand</t>
  </si>
  <si>
    <t>Indestructible body</t>
  </si>
  <si>
    <t>c0266</t>
  </si>
  <si>
    <t>Song of the Dryads</t>
  </si>
  <si>
    <t>Enchant permanent
Enchanted permanent is a colorless Forest land.</t>
  </si>
  <si>
    <t>Turns enchanted permanent into a colorless Forest land, removing its abilities</t>
  </si>
  <si>
    <t>c1082</t>
  </si>
  <si>
    <t>Essence Burn</t>
  </si>
  <si>
    <t>Essence Burn deals 5 damage to target black or green creature or planeswalker. If that permanent would die this turn, exile it instead.</t>
  </si>
  <si>
    <t>Deals 5 damage to target black or green creature or planeswalker</t>
  </si>
  <si>
    <t>Exile it instead if it would die</t>
  </si>
  <si>
    <t>U 0369</t>
  </si>
  <si>
    <t>Jeff Soto</t>
  </si>
  <si>
    <t>Intruder Alarm</t>
  </si>
  <si>
    <t>Creatures don't untap during their controllers' untap steps.
Whenever a creature enters, untap all creatures.</t>
  </si>
  <si>
    <t>Creatures don't untap during their controllers' untap steps</t>
  </si>
  <si>
    <t>Whenever a creature enters, untap all creatures</t>
  </si>
  <si>
    <t>c1071</t>
  </si>
  <si>
    <t>Carnivorous Cultivator // Enroot</t>
  </si>
  <si>
    <t>Carnivorous Cultivator {1}{G} — Creature — Elf Warlock (2/3)
Deathtouch
This creature enters prepared.
Whenever this creature deals combat damage to a player, return target land card from your graveyard to your hand.
//
Enroot {G} — Sorcery
Search your library for a land card, put it into your graveyard, then shuffle.</t>
  </si>
  <si>
    <t>Whenever it deals combat damage to a player, return a land card from your graveyard to your hand</t>
  </si>
  <si>
    <t>Enters prepared: you may cast a copy of Enroot (put a land from your library into your graveyard)</t>
  </si>
  <si>
    <t>R 0100</t>
  </si>
  <si>
    <t>c1054</t>
  </si>
  <si>
    <t>Extrapolate the Impossible</t>
  </si>
  <si>
    <t>You may reveal exactly two cards you own with different names from outside the game. An opponent chooses one of them. You put that card into your hand.</t>
  </si>
  <si>
    <t>Tutor</t>
  </si>
  <si>
    <t>Reveal two differently named cards you own from outside the game; an opponent picks one and you put it into your hand</t>
  </si>
  <si>
    <t>R 0055</t>
  </si>
  <si>
    <t>Volkan Baǵa</t>
  </si>
  <si>
    <t>c1102</t>
  </si>
  <si>
    <t>Tam, the Possibility</t>
  </si>
  <si>
    <t>Gorgon Wizard</t>
  </si>
  <si>
    <t>Planeswalker spells you cast cost {1} less to cast.
{W}{U}{B}{R}{G}, {T}: Proliferate X times, where X is the number of planeswalker types among planeswalkers you control. (To proliferate, choose any number of permanents and/or players, then give each another counter of each kind already there.)
(2/4)</t>
  </si>
  <si>
    <t>{W}{U}{B}{R}{G}, {T}: proliferate X times (X = planeswalker types you control)</t>
  </si>
  <si>
    <t>Planeswalker spells you cast cost {1} less</t>
  </si>
  <si>
    <t>R 0276</t>
  </si>
  <si>
    <t>c0786</t>
  </si>
  <si>
    <t>Ephemerate</t>
  </si>
  <si>
    <t>Exile target creature you control, then return it to the battlefield under its owner's control.
Rebound (If you cast this spell from your hand, exile it as it resolves. At the beginning of your next upkeep, you may cast this card from exile without paying its mana cost.)</t>
  </si>
  <si>
    <t>Exiles then returns target creature you control</t>
  </si>
  <si>
    <t>Rebound: cast again free next upkeep from exile</t>
  </si>
  <si>
    <t>c0649</t>
  </si>
  <si>
    <t>Shared Animosity</t>
  </si>
  <si>
    <t>Whenever a creature you control attacks, it gets +1/+0 until end of turn for each other attacking creature that shares a creature type with it.</t>
  </si>
  <si>
    <t>Whenever a creature you control attacks, it gets +1/+0 until end of turn for each other attacking creature that shares a</t>
  </si>
  <si>
    <t>c0826</t>
  </si>
  <si>
    <t>Mentor of the Meek</t>
  </si>
  <si>
    <t>Whenever another creature you control with power 2 or less enters, you may pay {1}. If you do, draw a card.
(2/2)</t>
  </si>
  <si>
    <t>Whenever another creature you control with power 2 or less enters, you may pay {1}. If you do, draw a card.</t>
  </si>
  <si>
    <t>c0061</t>
  </si>
  <si>
    <t>Pitiless Plunderer</t>
  </si>
  <si>
    <t>Human Pirate</t>
  </si>
  <si>
    <t>Whenever another creature you control dies, create a Treasure token. (It's an artifact with "{T}, Sacrifice this token: Add one mana of any color.")
(1/4)</t>
  </si>
  <si>
    <t xml:space="preserve">Whenever another creature you control dies, create a Treasure token. (It's an artifact with "{T}, Sacrifice this token: </t>
  </si>
  <si>
    <t>c0395</t>
  </si>
  <si>
    <t>Arcades, the Strategist</t>
  </si>
  <si>
    <t>Elder Dragon</t>
  </si>
  <si>
    <t>Flying, vigilance
Whenever a creature you control with defender enters, draw a card.
Each creature you control with defender assigns combat damage equal to its toughness rather than its power and can attack as though it didn't have defender.
(3/5)</t>
  </si>
  <si>
    <t>Draws a card whenever a creature you control with defender enters</t>
  </si>
  <si>
    <t>Creatures you control with defender deal damage equal to toughness and can attack</t>
  </si>
  <si>
    <t>c0581</t>
  </si>
  <si>
    <t>Gandalf, Goblins' Bane</t>
  </si>
  <si>
    <t>Avatar Wizard</t>
  </si>
  <si>
    <t>Gandalf, Goblins' Bane {2}{R} — Legendary Creature — Avatar Wizard (2/3)
Whenever you cast a noncreature spell, Gandalf gets +1/+1 until end of turn and deals 1 damage to each opponent.
//
Flameshape {1}{R} — Sorcery — Adventure
Look at the top two cards of your library and exile them face down. For as long as they remain exiled, you may play them if you control a Wizard.</t>
  </si>
  <si>
    <t>Whenever you cast a noncreature spell, Gandalf gets +1/+1 until end of turn and deals 1 damage to each opponent</t>
  </si>
  <si>
    <t>Flameshape {1}{R}: exile the top two cards face down and play them for as long as you control a Wizard</t>
  </si>
  <si>
    <t>96</t>
  </si>
  <si>
    <t>c0196</t>
  </si>
  <si>
    <t>Canopy Gargantuan</t>
  </si>
  <si>
    <t>Flying, ward {2}
At the beginning of your upkeep, put a number of +1/+1 counters on each other creature you control equal to that creature's toughness.
(7/7)</t>
  </si>
  <si>
    <t>Flying body that resists opposing spells</t>
  </si>
  <si>
    <t>Upkeep: put +1/+1 counters equal to toughness on each other creature you control</t>
  </si>
  <si>
    <t>c0559</t>
  </si>
  <si>
    <t>Conspicuous Snoop</t>
  </si>
  <si>
    <t>Play with the top card of your library revealed.
You may cast Goblin spells from the top of your library.
As long as the top card of your library is a Goblin card, this creature has all activated abilities of that card.
(2/2)</t>
  </si>
  <si>
    <t>Play with the top card of your library revealed.
You may cast Goblin spells from the top of your library.
As long as the</t>
  </si>
  <si>
    <t>c0286</t>
  </si>
  <si>
    <t>Wayward Swordtooth</t>
  </si>
  <si>
    <t>Dinosaur</t>
  </si>
  <si>
    <t>Ascend (If you control ten or more permanents, you get the city's blessing for the rest of the game.)
You may play an additional land on each of your turns.
This creature can't attack or block unless you have the city's blessing.
(5/5)</t>
  </si>
  <si>
    <t>You may play an additional land each turn</t>
  </si>
  <si>
    <t>Can't attack or block unless you control ten or more permanents</t>
  </si>
  <si>
    <t>c0525</t>
  </si>
  <si>
    <t>Wistfulness</t>
  </si>
  <si>
    <t>Elemental Incarnation</t>
  </si>
  <si>
    <t>Wistfulness {3}{G/U}{G/U} — Creature — Elemental Incarnation (6/5)
When this creature enters, if {G}{G} was spent to cast it, exile target artifact or enchantment an opponent controls.
When this creature enters, if {U}{U} was spent to cast it, draw two cards, then discard a card.
Evoke {G/U}{G/U} (You may cast this spell for its evoke cost. If you do, it's sacrificed when it enters.)</t>
  </si>
  <si>
    <t>Enters with {G}{G} spent: exile target artifact or enchantment an opponent controls</t>
  </si>
  <si>
    <t>Enters with {U}{U} spent: draw two cards</t>
  </si>
  <si>
    <t>252</t>
  </si>
  <si>
    <t>c0213</t>
  </si>
  <si>
    <t>Freyalise, Llanowar's Fury</t>
  </si>
  <si>
    <t>Freyalise</t>
  </si>
  <si>
    <t>+2: Create a 1/1 green Elf Druid creature token with "{T}: Add {G}."
−2: Destroy target artifact or enchantment.
−6: Draw a card for each green creature you control.
Freyalise, Llanowar's Fury can be your commander.
(Loyalty 3)</t>
  </si>
  <si>
    <t>+2: creates a 1/1 Elf token that taps for {G}</t>
  </si>
  <si>
    <t>-2: destroys target artifact or enchantment</t>
  </si>
  <si>
    <t>-6: draws a card per green creature you control</t>
  </si>
  <si>
    <t>c0060</t>
  </si>
  <si>
    <t>Phyrexian Arena</t>
  </si>
  <si>
    <t>At the beginning of your upkeep, you draw a card and you lose 1 life.</t>
  </si>
  <si>
    <t>c0289</t>
  </si>
  <si>
    <t>Wilderness Reclamation</t>
  </si>
  <si>
    <t>At the beginning of your end step, untap all lands you control.</t>
  </si>
  <si>
    <t>Mana Sink</t>
  </si>
  <si>
    <t>Untaps all your lands at the beginning of your end step</t>
  </si>
  <si>
    <t>c1050</t>
  </si>
  <si>
    <t>Overgrown Farmland</t>
  </si>
  <si>
    <t>This land enters tapped unless you control two or more other lands.
{T}: Add {G} or {W}.</t>
  </si>
  <si>
    <t>Enters tapped unless you control two or more other lands</t>
  </si>
  <si>
    <t>R 0185</t>
  </si>
  <si>
    <t>Titus Lunter</t>
  </si>
  <si>
    <t>c0126</t>
  </si>
  <si>
    <t>Genesis Chamber</t>
  </si>
  <si>
    <t>Whenever a nontoken creature enters, if this artifact is untapped, that creature's controller creates a 1/1 colorless Myr artifact creature token.</t>
  </si>
  <si>
    <t>Whenever a nontoken creature enters, its controller creates a 1/1 Myr token (while this is untapped)</t>
  </si>
  <si>
    <t>c0274</t>
  </si>
  <si>
    <t>Tireless Provisioner</t>
  </si>
  <si>
    <t>Landfall — Whenever a land you control enters, create a Food token or a Treasure token. (Food is an artifact with "{2}, {T}, Sacrifice this token: You gain 3 life." Treasure is an artifact with "{T}, Sacrifice this token: Add one mana of any color.")
(3/2)</t>
  </si>
  <si>
    <t>Creates a Food or Treasure token whenever a land you control enters</t>
  </si>
  <si>
    <t>Modern Horizons 2</t>
  </si>
  <si>
    <t>c0586</t>
  </si>
  <si>
    <t>Goblin Bombardment</t>
  </si>
  <si>
    <t>Sacrifice a creature: This enchantment deals 1 damage to any target.</t>
  </si>
  <si>
    <t>Sacrifice a creature: deals 1 damage to any target</t>
  </si>
  <si>
    <t>c0404</t>
  </si>
  <si>
    <t>Betor, Ancestor's Voice</t>
  </si>
  <si>
    <t>Spirit Dragon</t>
  </si>
  <si>
    <t>Flying, lifelink
At the beginning of your end step, put a number of +1/+1 counters on up to one other target creature you control equal to the amount of life you gained this turn. Return up to one target creature card with mana value less than or equal to the amount of life you lost this turn from your graveyard to the battlefield.
(3/5)</t>
  </si>
  <si>
    <t>End step: put +1/+1 counters on a creature equal to life gained this turn</t>
  </si>
  <si>
    <t>End step: reanimate a creature MV ≤ life lost this turn</t>
  </si>
  <si>
    <t>Flying lifelink body</t>
  </si>
  <si>
    <t>c0680</t>
  </si>
  <si>
    <t>Counterspell</t>
  </si>
  <si>
    <t>Counter target spell.</t>
  </si>
  <si>
    <t>Counters target spell</t>
  </si>
  <si>
    <t>c0616</t>
  </si>
  <si>
    <t>Krenko, Tin Street Kingpin</t>
  </si>
  <si>
    <t>Whenever Krenko attacks, put a +1/+1 counter on it, then create a number of 1/1 red Goblin creature tokens equal to Krenko's power.
(1/2)</t>
  </si>
  <si>
    <t>Whenever Krenko attacks, put a +1/+1 counter on it, then create a number of 1/1 red Goblin creature tokens equal to Kren</t>
  </si>
  <si>
    <t>c0422</t>
  </si>
  <si>
    <t>Cruel Celebrant</t>
  </si>
  <si>
    <t>Whenever this creature or another creature or planeswalker you control dies, each opponent loses 1 life and you gain 1 life.
(1/2)</t>
  </si>
  <si>
    <t>Whenever it or another creature/planeswalker you control dies, each opponent loses 1 life and you gain 1 life</t>
  </si>
  <si>
    <t>c0441</t>
  </si>
  <si>
    <t>Felothar the Steadfast</t>
  </si>
  <si>
    <t>Each creature you control assigns combat damage equal to its toughness rather than its power.
Creatures you control can attack as though they didn't have defender.
{3}, {T}, Sacrifice another creature: Draw cards equal to the sacrificed creature's toughness, then discard cards equal to its power.
(0/5)</t>
  </si>
  <si>
    <t>Your creatures assign combat damage equal to toughness</t>
  </si>
  <si>
    <t>Your defender creatures can attack</t>
  </si>
  <si>
    <t>Sacrifice a creature: draw cards equal to its toughness, discard equal to power</t>
  </si>
  <si>
    <t>c0080</t>
  </si>
  <si>
    <t>Tree of Perdition</t>
  </si>
  <si>
    <t>Defender
{T}: Exchange target opponent's life total with this creature's toughness.
(0/13)</t>
  </si>
  <si>
    <t>Tap: swap target opponent's life total with this creature's toughness</t>
  </si>
  <si>
    <t>c0975</t>
  </si>
  <si>
    <t>Rewrite Regrets</t>
  </si>
  <si>
    <t>Return target creature or planeswalker card with mana value 6 or less from your graveyard to the battlefield.
Empower Jace 2. (Put two loyalty counters on a Jace token you control. If you don't control one, first create a blue Jace planeswalker token with "[−1]: Surveil 1" and "[−3]: Draw a card.")</t>
  </si>
  <si>
    <t>Reanimation</t>
  </si>
  <si>
    <t>Return a creature or planeswalker card with mana value 6 or less from your graveyard to the battlefield</t>
  </si>
  <si>
    <t>Empower Jace 2: put 2 loyalty counters on a Jace token, creating one if needed</t>
  </si>
  <si>
    <t>U 0062</t>
  </si>
  <si>
    <t>Matt Stewart</t>
  </si>
  <si>
    <t>c0778</t>
  </si>
  <si>
    <t>Drumbellower</t>
  </si>
  <si>
    <t>Flying
Untap all creatures you control during each other player's untap step.
(2/1)</t>
  </si>
  <si>
    <t>Untaps all your creatures during each opponent's untap step</t>
  </si>
  <si>
    <t>Neon Dynasty Commander</t>
  </si>
  <si>
    <t>c0144</t>
  </si>
  <si>
    <t>Patchwork Banner</t>
  </si>
  <si>
    <t>As this artifact enters, choose a creature type.
Creatures you control of the chosen type get +1/+1.
{T}: Add one mana of any color.</t>
  </si>
  <si>
    <t>Choose a creature type; those creatures get +1/+1</t>
  </si>
  <si>
    <t>c0507</t>
  </si>
  <si>
    <t>Teysa Karlov</t>
  </si>
  <si>
    <t>If a creature dying causes a triggered ability of a permanent you control to trigger, that ability triggers an additional time.
Creature tokens you control have vigilance and lifelink.
(2/4)</t>
  </si>
  <si>
    <t>Aristocrats Payoff</t>
  </si>
  <si>
    <t>If a creature dying causes a triggered ability of a permanent you control to trigger, that ability triggers an additiona</t>
  </si>
  <si>
    <t>c1053</t>
  </si>
  <si>
    <t>Dark Matter Manipulator</t>
  </si>
  <si>
    <t>When this creature enters, mill three cards.
This creature gets +2/+0 for every seven cards in your graveyard.
(1/2)</t>
  </si>
  <si>
    <t>Enters: mill three cards</t>
  </si>
  <si>
    <t>Gets +2/+0 for every seven cards in your graveyard</t>
  </si>
  <si>
    <t>R 0052</t>
  </si>
  <si>
    <t>Steven Belledin</t>
  </si>
  <si>
    <t>c1013</t>
  </si>
  <si>
    <t>Identity Echo</t>
  </si>
  <si>
    <t>{3}{R}: Exile target creature or planeswalker you control. Reveal cards from the top of your library until you reveal a creature or planeswalker card. Put that card onto the battlefield and the rest on the bottom of your library in a random order. Activate only as a sorcery.</t>
  </si>
  <si>
    <t>{3}{R}, sorcery speed: exile a creature or planeswalker you control, then put the next creature or planeswalker from the top of your library onto the battlefield</t>
  </si>
  <si>
    <t>R 0087</t>
  </si>
  <si>
    <t>Aldo Domínguez</t>
  </si>
  <si>
    <t>c0342</t>
  </si>
  <si>
    <t>Lotus Field</t>
  </si>
  <si>
    <t>Hexproof
This land enters tapped.
When this land enters, sacrifice two lands.
{T}: Add three mana of any one color.</t>
  </si>
  <si>
    <t>Taps for three mana of one color</t>
  </si>
  <si>
    <t>Sacrifice two lands when it enters</t>
  </si>
  <si>
    <t>c1064</t>
  </si>
  <si>
    <t>Theorist's Proxy</t>
  </si>
  <si>
    <t>Illusion</t>
  </si>
  <si>
    <t>Flash
When this creature enters, empower Jace 3. (Put three loyalty counters on a Jace token you control. If you don't control one, first create a blue Jace planeswalker token with "[−1]: Surveil 1" and "[−3]: Draw a card.")
{U}, Sacrifice this creature: The next spell you cast this turn can't be countered.
(0/3)</t>
  </si>
  <si>
    <t>Enters: empower Jace 3: put 3 loyalty counters on a Jace token, creating one if needed</t>
  </si>
  <si>
    <t>{U}, sacrifice it: the next spell you cast this turn can't be countered</t>
  </si>
  <si>
    <t>R 0044</t>
  </si>
  <si>
    <t>c0609</t>
  </si>
  <si>
    <t>Impact Tremors</t>
  </si>
  <si>
    <t>Whenever a creature you control enters, this enchantment deals 1 damage to each opponent.</t>
  </si>
  <si>
    <t>Whenever a creature you control enters, deals 1 damage to each opponent</t>
  </si>
  <si>
    <t>c1038</t>
  </si>
  <si>
    <t>Titanbones, Towering Heart</t>
  </si>
  <si>
    <t>Skeleton Druid</t>
  </si>
  <si>
    <t>Reach
Whenever you gain life, put two +1/+1 counters on Titanbones.
When you discard this card, you gain 3 life.
(4/3)</t>
  </si>
  <si>
    <t>Whenever you gain life, put two +1/+1 counters on it</t>
  </si>
  <si>
    <t>When you discard it, gain 3 life</t>
  </si>
  <si>
    <t>U 0266</t>
  </si>
  <si>
    <t>c0204</t>
  </si>
  <si>
    <t>Eternal Witness</t>
  </si>
  <si>
    <t>When this creature enters, you may return target card from your graveyard to your hand.
(2/1)</t>
  </si>
  <si>
    <t>Returns target card from your graveyard to hand when it enters</t>
  </si>
  <si>
    <t>c0851</t>
  </si>
  <si>
    <t>Rhox Faithmender</t>
  </si>
  <si>
    <t>Rhino Monk</t>
  </si>
  <si>
    <t>Lifelink (Damage dealt by this creature also causes you to gain that much life.)
If you would gain life, you gain twice that much life instead.
(1/5)</t>
  </si>
  <si>
    <t>Doubles all life you gain</t>
  </si>
  <si>
    <t>Lifelink body</t>
  </si>
  <si>
    <t>c0988</t>
  </si>
  <si>
    <t>Sphinx's Approach</t>
  </si>
  <si>
    <t>Draw two cards. Then you may exile this spell and four cards named Sphinx's Approach from your graveyard. If you do, search your library for a Sphinx creature card, put it onto the battlefield, then shuffle.
A deck can have any number of cards named Sphinx's Approach.</t>
  </si>
  <si>
    <t>Exile it and four more copies from your graveyard to put a Sphinx from your library onto the battlefield</t>
  </si>
  <si>
    <t>A deck can run any number of copies</t>
  </si>
  <si>
    <t>C 0041</t>
  </si>
  <si>
    <t>c1099</t>
  </si>
  <si>
    <t>Stinging Vitriol</t>
  </si>
  <si>
    <t>Stinging Vitriol deals 2 damage to target opponent. That player reveals their hand. You choose a nonland card from it. They discard that card.</t>
  </si>
  <si>
    <t>Deals 2 damage to target opponent</t>
  </si>
  <si>
    <t>That player reveals their hand; you choose a nonland card for them to discard</t>
  </si>
  <si>
    <t>R 0152</t>
  </si>
  <si>
    <t>c1092</t>
  </si>
  <si>
    <t>Rescue Girl, First Responder</t>
  </si>
  <si>
    <t>Flying
{T}: Return another target permanent you control to its owner's hand. Activate only during your turn.
(1/3)</t>
  </si>
  <si>
    <t>{T}: return another permanent you control to its owner's hand (your turn only)</t>
  </si>
  <si>
    <t>U 0202</t>
  </si>
  <si>
    <t>c1052</t>
  </si>
  <si>
    <t>Vigorbloom Annex</t>
  </si>
  <si>
    <t>This land enters tapped unless you control a planeswalker.
{T}: Add {G} or {W}.</t>
  </si>
  <si>
    <t>L 0194</t>
  </si>
  <si>
    <t>c0163</t>
  </si>
  <si>
    <t>Swiftfoot Boots</t>
  </si>
  <si>
    <t>Equipped creature has hexproof and haste. (It can't be the target of spells or abilities your opponents control. It can attack and {T} no matter when it came under your control.)
Equip {1} ({1}: Attach to target creature you control. Equip only as a sorcery.)</t>
  </si>
  <si>
    <t>Equipped creature has hexproof and haste</t>
  </si>
  <si>
    <t>Equip {1}</t>
  </si>
  <si>
    <t>c1103</t>
  </si>
  <si>
    <t>Medic's Kitesail</t>
  </si>
  <si>
    <t>Equipped creature gets +1/+0 and has flying and "Whenever this creature attacks, you gain 1 life."
Equip {2} ({2}: Attach to target creature you control. Equip only as a sorcery.)</t>
  </si>
  <si>
    <t>Evasion</t>
  </si>
  <si>
    <t>Equipped creature gets +1/+0, flying and gains 1 life when it attacks</t>
  </si>
  <si>
    <t>C 0173</t>
  </si>
  <si>
    <t>c1094</t>
  </si>
  <si>
    <t>Twisted Fates</t>
  </si>
  <si>
    <t>Destroy target nonland permanent. Put a +1/+1 counter on each creature target player controls.</t>
  </si>
  <si>
    <t>Destroy target nonland permanent</t>
  </si>
  <si>
    <t>Put a +1/+1 counter on each creature target player controls</t>
  </si>
  <si>
    <t>U 0158</t>
  </si>
  <si>
    <t>Lorenzo Mastroianni</t>
  </si>
  <si>
    <t>c0977</t>
  </si>
  <si>
    <t>Void Extrapolator // Omit Variables</t>
  </si>
  <si>
    <t>Aetherborn Warlock</t>
  </si>
  <si>
    <t>Void Extrapolator {1}{B} — Creature — Aetherborn Warlock (2/2)
This creature enters prepared. (While it's prepared, you may cast a copy of its spell. Doing so unprepares it.)
Threshold — This creature gets +1/+1 as long as there are seven or more cards in your graveyard.
//
Omit Variables {U/B} — Sorcery
Mill three cards. (Put the top three cards of your library into your graveyard.)</t>
  </si>
  <si>
    <t>Enters prepared: you may cast a copy of Omit Variables (mill three)</t>
  </si>
  <si>
    <t>Gets +1/+1 with seven or more cards in your graveyard</t>
  </si>
  <si>
    <t>C 0070</t>
  </si>
  <si>
    <t>Valera Lutfullina</t>
  </si>
  <si>
    <t>c0709</t>
  </si>
  <si>
    <t>Mirrorform</t>
  </si>
  <si>
    <t>Each nonland permanent you control becomes a copy of target non-Aura permanent.</t>
  </si>
  <si>
    <t>Each nonland permanent you control becomes a copy of target non-Aura permanent</t>
  </si>
  <si>
    <t>c1087</t>
  </si>
  <si>
    <t>Blossom-Blessed Angel // Seed Suture</t>
  </si>
  <si>
    <t>Angel Cleric</t>
  </si>
  <si>
    <t>Blossom-Blessed Angel {3}{W} — Creature — Angel Cleric (2/4)
Flying, vigilance
This creature enters prepared. (While it's prepared, you may cast a copy of its spell. Doing so unprepares it.)
//
Seed Suture {G/W} — Sorcery
Put a +1/+1 counter on target creature. You gain 1 life.</t>
  </si>
  <si>
    <t>C 0003</t>
  </si>
  <si>
    <t>c0244</t>
  </si>
  <si>
    <t>Nature's Lore</t>
  </si>
  <si>
    <t>Search your library for a Forest card, put that card onto the battlefield, then shuffle.</t>
  </si>
  <si>
    <t>c0272</t>
  </si>
  <si>
    <t>Temur Sabertooth</t>
  </si>
  <si>
    <t>{1}{G}: You may return another creature you control to its owner's hand. If you do, this creature gains indestructible until end of turn.
(4/3)</t>
  </si>
  <si>
    <t>{1}{G}: You may return another creature you control to its owner's hand. If you do, this creature gains indestructible u</t>
  </si>
  <si>
    <t>c0429</t>
  </si>
  <si>
    <t>Dragonlord Dromoka</t>
  </si>
  <si>
    <t>This spell can't be countered.
Flying, lifelink
Your opponents can't cast spells during your turn.
(5/7)</t>
  </si>
  <si>
    <t>Opponents can't cast spells during your turn</t>
  </si>
  <si>
    <t>This spell can't be countered</t>
  </si>
  <si>
    <t>c0173</t>
  </si>
  <si>
    <t>Ultima, Origin of Oblivion</t>
  </si>
  <si>
    <t>Flying
Whenever Ultima attacks, put a blight counter on target land. For as long as that land has a blight counter on it, it loses all land types and abilities and has "{T}: Add {C}."
Whenever you tap a land for {C}, add an additional {C}.
(4/4)</t>
  </si>
  <si>
    <t>Attacking corrupts target land into a colorless-only land</t>
  </si>
  <si>
    <t>Tapping a land for {C} produces an additional {C}</t>
  </si>
  <si>
    <t>R 0002</t>
  </si>
  <si>
    <t>Russell Lu</t>
  </si>
  <si>
    <t>c0503</t>
  </si>
  <si>
    <t>Soulherder</t>
  </si>
  <si>
    <t>Whenever a creature is exiled from the battlefield, put a +1/+1 counter on this creature.
At the beginning of your end step, you may exile another target creature you control, then return that card to the battlefield under its owner's control.
(1/1)</t>
  </si>
  <si>
    <t>End step: may exile then return another target creature you control</t>
  </si>
  <si>
    <t>Gets a +1/+1 counter whenever a creature is exiled from the battlefield</t>
  </si>
  <si>
    <t>c0639</t>
  </si>
  <si>
    <t>Quest for the Goblin Lord</t>
  </si>
  <si>
    <t>Whenever a Goblin you control enters, you may put a quest counter on this enchantment.
As long as this enchantment has five or more quest counters on it, creatures you control get +2/+0.</t>
  </si>
  <si>
    <t>Gains a quest counter whenever a Goblin you control enters</t>
  </si>
  <si>
    <t>At five or more counters, your creatures get +2/+0</t>
  </si>
  <si>
    <t>c0035</t>
  </si>
  <si>
    <t>Gollum, Riddle Master</t>
  </si>
  <si>
    <t>As Gollum enters, choose odd or even. (Zero is even.)
Whenever an opponent casts a spell with mana value of the chosen quality, choose one that hasn't been chosen —
• Put a +1/+1 counter on Gollum.
• Each opponent loses 2 life and you gain 2 life.
• Draw a card.
(3/1)</t>
  </si>
  <si>
    <t>Whenever an opponent casts a spell of the chosen parity, choose an unused mode</t>
  </si>
  <si>
    <t>Modes: add a counter to it, drain 2 life, or draw a card</t>
  </si>
  <si>
    <t>c1104</t>
  </si>
  <si>
    <t>Traxos, Scourge Eternal</t>
  </si>
  <si>
    <t>Legendary Artifact Creature</t>
  </si>
  <si>
    <t>Dragon Construct</t>
  </si>
  <si>
    <t>Trample
Traxos doesn't untap during your untap step.
Whenever you cast an artifact or creature spell, untap Traxos.
(5/4)</t>
  </si>
  <si>
    <t>5/4 trample that doesn't untap normally</t>
  </si>
  <si>
    <t>Untaps whenever you cast an artifact or creature spell</t>
  </si>
  <si>
    <t>U 0280</t>
  </si>
  <si>
    <t>Aaron Miller</t>
  </si>
  <si>
    <t>c0131</t>
  </si>
  <si>
    <t>Ichor Wellspring</t>
  </si>
  <si>
    <t>When this artifact enters or is put into a graveyard from the battlefield, draw a card.</t>
  </si>
  <si>
    <t>Draws a card when it enters or is put into a graveyard from the battlefield</t>
  </si>
  <si>
    <t>c1002</t>
  </si>
  <si>
    <t>Twinned Vision</t>
  </si>
  <si>
    <t>Draw a card. If this spell wasn't cast from your hand, draw two cards instead.
Flashback—{1}{U/R}{U/R}, Discard a card. (You may cast this card from your graveyard for its flashback cost. Then exile it.)</t>
  </si>
  <si>
    <t>Draw a card, or two if it was not cast from your hand</t>
  </si>
  <si>
    <t>Flashback {1}{U/R}{U/R} and discard a card</t>
  </si>
  <si>
    <t>C 0157</t>
  </si>
  <si>
    <t>Andreas Zafiratos</t>
  </si>
  <si>
    <t>c0981</t>
  </si>
  <si>
    <t>Way of the Deathbringer</t>
  </si>
  <si>
    <t>Legendary Enchantment</t>
  </si>
  <si>
    <t>When Way of the Deathbringer enters, empower Jace 5. (Put five loyalty counters on a Jace token you control. If you don't control one, first create a blue Jace planeswalker token with "[−1]: Surveil 1" and "[−3]: Draw a card.")
Planeswalkers you control have "[−2]: You may sacrifice a creature. If you do, create a 4/4 green Beast creature token with trample."</t>
  </si>
  <si>
    <t>Your planeswalkers gain -2: sacrifice a creature to create a 4/4 green Beast with trample</t>
  </si>
  <si>
    <t>Enters: empower Jace 5: put 5 loyalty counters on a Jace token, creating one if needed</t>
  </si>
  <si>
    <t>U 0238</t>
  </si>
  <si>
    <t>c0502</t>
  </si>
  <si>
    <t>Smaug, Wicked Worm</t>
  </si>
  <si>
    <t>Flying
When Smaug enters, create X tapped Treasure tokens, where X is the number of artifacts your opponents control.
Whenever you cast a spell, if mana from a Treasure was spent to cast it, you draw a card and lose 1 life.
(5/5)</t>
  </si>
  <si>
    <t>Enters: create a tapped Treasure for each artifact your opponents control</t>
  </si>
  <si>
    <t>Whenever you cast a spell with Treasure mana, draw a card and lose 1 life</t>
  </si>
  <si>
    <t>5/5 flying body</t>
  </si>
  <si>
    <t>245</t>
  </si>
  <si>
    <t>c0485</t>
  </si>
  <si>
    <t>Ratonhnhaké꞉ton</t>
  </si>
  <si>
    <t>Human Assassin</t>
  </si>
  <si>
    <t>As long as Ratonhnhaké꞉ton hasn't dealt damage yet, it has hexproof and can't be blocked.
Whenever Ratonhnhaké꞉ton deals combat damage to a player, create a 1/1 black Assassin creature token with menace. When you do, return target Equipment card from your graveyard to the battlefield, then attach it to that token.
(3/3)</t>
  </si>
  <si>
    <t>Unblockable and hexproof until it first deals damage</t>
  </si>
  <si>
    <t>Combat damage makes a 1/1 Assassin token</t>
  </si>
  <si>
    <t>Also reanimates target Equipment onto that token</t>
  </si>
  <si>
    <t>R 0150</t>
  </si>
  <si>
    <t>c0754</t>
  </si>
  <si>
    <t>Bronze Guardian</t>
  </si>
  <si>
    <t>Golem</t>
  </si>
  <si>
    <t>Double strike
Ward {2} (Whenever this creature becomes the target of a spell or ability an opponent controls, counter it unless that player pays {2}.)
Other artifacts you control have ward {2}.
Bronze Guardian's power is equal to the number of artifacts you control.
(*/5)</t>
  </si>
  <si>
    <t>Its power equals the number of artifacts you control</t>
  </si>
  <si>
    <t>Other artifacts you control can't be targeted by opponents without them paying {2}</t>
  </si>
  <si>
    <t>Deals combat damage twice each combat</t>
  </si>
  <si>
    <t>c0978</t>
  </si>
  <si>
    <t>Mabel, Bitter Recluse</t>
  </si>
  <si>
    <t>Mouse Warlock</t>
  </si>
  <si>
    <t>Deathtouch
When Mabel enters, remove up to three counters from another target creature or planeswalker.
(1/1)</t>
  </si>
  <si>
    <t>Enters: remove up to three counters from another target creature or planeswalker</t>
  </si>
  <si>
    <t>U 0233</t>
  </si>
  <si>
    <t>c0972</t>
  </si>
  <si>
    <t>Extended Absence</t>
  </si>
  <si>
    <t>Exile target creature or planeswalker. Extended Absence deals 1 damage to each opponent and you gain 1 life.</t>
  </si>
  <si>
    <t>Exile target creature or planeswalker</t>
  </si>
  <si>
    <t>Deals 1 damage to each opponent and you gain 1 life</t>
  </si>
  <si>
    <t>C 0054</t>
  </si>
  <si>
    <t>c0431</t>
  </si>
  <si>
    <t>Elas il-Kor, Sadistic Pilgrim</t>
  </si>
  <si>
    <t>Phyrexian Kor Cleric</t>
  </si>
  <si>
    <t>Deathtouch
Whenever another creature you control enters, you gain 1 life.
Whenever another creature you control dies, each opponent loses 1 life.
(2/2)</t>
  </si>
  <si>
    <t>Each opponent loses 1 life whenever another creature you control dies</t>
  </si>
  <si>
    <t>Deathtouch body</t>
  </si>
  <si>
    <t>c1100</t>
  </si>
  <si>
    <t>Theorix Metamage // Omit Variables</t>
  </si>
  <si>
    <t>Shade Wizard</t>
  </si>
  <si>
    <t>Theorix Metamage {2}{U/B} — Creature — Shade Wizard (2/3)
This creature enters prepared. (While it's prepared, you may cast a copy of its spell. Doing so unprepares it.)
Threshold — This creature gets +1/+0 and has flying as long as there are seven or more cards in your graveyard.
//
Omit Variables {U/B} — Sorcery
Mill three cards. (Put the top three cards of your library into your graveyard.)</t>
  </si>
  <si>
    <t>Threshold: gets +1/+0 and flying with seven or more cards in your graveyard</t>
  </si>
  <si>
    <t>C 0156</t>
  </si>
  <si>
    <t>Slawomir Maniak</t>
  </si>
  <si>
    <t>c0601</t>
  </si>
  <si>
    <t>Goblin Warchief</t>
  </si>
  <si>
    <t>Goblin spells you cast cost {1} less to cast.
Goblins you control have haste.
(2/2)</t>
  </si>
  <si>
    <t>Goblin spells you cast cost {1} less</t>
  </si>
  <si>
    <t>Goblins you control have haste</t>
  </si>
  <si>
    <t>Scourge</t>
  </si>
  <si>
    <t>c0021</t>
  </si>
  <si>
    <t>Day of Black Sun</t>
  </si>
  <si>
    <t>Each creature with mana value X or less loses all abilities until end of turn. Destroy those creatures.</t>
  </si>
  <si>
    <t>Creatures with mana value X or less lose all abilities and are destroyed</t>
  </si>
  <si>
    <t>c0199</t>
  </si>
  <si>
    <t>Chomping Changeling</t>
  </si>
  <si>
    <t>Changeling (This card is every creature type.)
When this creature enters, destroy up to one target artifact or enchantment.
(1/2)</t>
  </si>
  <si>
    <t>Enters: destroy up to one target artifact or enchantment</t>
  </si>
  <si>
    <t>Changeling — it is every creature type</t>
  </si>
  <si>
    <t>c0674</t>
  </si>
  <si>
    <t>Witty Roastmaster</t>
  </si>
  <si>
    <t>Devil Citizen</t>
  </si>
  <si>
    <t>Alliance — Whenever another creature you control enters, this creature deals 1 damage to each opponent.
(3/2)</t>
  </si>
  <si>
    <t>Whenever another creature you control enters, deals 1 damage to each opponent</t>
  </si>
  <si>
    <t>c1005</t>
  </si>
  <si>
    <t>Edgar, Ancient Bloodlord</t>
  </si>
  <si>
    <t>Vampire Noble</t>
  </si>
  <si>
    <t>Whenever another creature or planeswalker you control dies, you gain 1 life.
{2}, Sacrifice another creature or planeswalker: Put a +1/+1 counter on Edgar. He gains menace until end of turn. (He can't be blocked except by two or more creatures.)
(2/3)</t>
  </si>
  <si>
    <t>{2}, sacrifice another creature or planeswalker: put a +1/+1 counter on it and it gains menace until end of turn</t>
  </si>
  <si>
    <t>Whenever another creature or planeswalker you control dies, gain 1 life</t>
  </si>
  <si>
    <t>U 0270</t>
  </si>
  <si>
    <t>c0294</t>
  </si>
  <si>
    <t>Zendikar's Roil</t>
  </si>
  <si>
    <t>Landfall — Whenever a land you control enters, create a 2/2 green Elemental creature token.</t>
  </si>
  <si>
    <t>Creates a 2/2 Elemental token whenever a land you control enters</t>
  </si>
  <si>
    <t>c1067</t>
  </si>
  <si>
    <t>Traxos, Academy Guardian</t>
  </si>
  <si>
    <t>This spell costs {2} less to cast if you've cast a noncreature spell this turn.
Flying, vigilance
Prowess (Whenever you cast a noncreature spell, this creature gets +1/+1 until end of turn.)
(1/5)</t>
  </si>
  <si>
    <t>Costs {2} less if you've cast a noncreature spell this turn</t>
  </si>
  <si>
    <t>Flying, vigilance, prowess</t>
  </si>
  <si>
    <t>U 0222</t>
  </si>
  <si>
    <t>c0671</t>
  </si>
  <si>
    <t>Vandalblast</t>
  </si>
  <si>
    <t>Destroy target artifact you don't control.
Overload {4}{R} (You may cast this spell for its overload cost. If you do, change "target" in its text to "each.")</t>
  </si>
  <si>
    <t>Destroys target artifact you don't control</t>
  </si>
  <si>
    <t>Overload {4}{R}: destroys every artifact you don't control</t>
  </si>
  <si>
    <t>c1029</t>
  </si>
  <si>
    <t>Yoshimaru, Beloved Companion</t>
  </si>
  <si>
    <t>If one or more +1/+1 counters would be put on a creature you control, that many plus one +1/+1 counters are put on it instead.
{6}: Put a +1/+1 counter on target legendary creature.
(2/2)</t>
  </si>
  <si>
    <t>Your creatures get one extra +1/+1 counter whenever they would get +1/+1 counters</t>
  </si>
  <si>
    <t>{6}: put a +1/+1 counter on target legendary creature</t>
  </si>
  <si>
    <t>U 0209</t>
  </si>
  <si>
    <t>Brian Valeza</t>
  </si>
  <si>
    <t>c0631</t>
  </si>
  <si>
    <t>Naktamun Lorespinner // Wheel of Fortune</t>
  </si>
  <si>
    <t>Jackal Wizard</t>
  </si>
  <si>
    <t>Naktamun Lorespinner {2}{R} — Creature — Jackal Wizard (3/3)
At the beginning of your upkeep, if a player has one or fewer cards in hand, this creature becomes prepared. (While it's prepared, you may cast a copy of its spell. Doing so unprepares it.)
//
Wheel of Fortune {2}{R} — Sorcery
Each player discards their hand, then draws seven cards.</t>
  </si>
  <si>
    <t>Front: becomes prepared to recast its spell when a player is low on cards</t>
  </si>
  <si>
    <t>Back (Wheel of Fortune): each player discards hand, draws seven</t>
  </si>
  <si>
    <t>c1079</t>
  </si>
  <si>
    <t>Way of the Paradox</t>
  </si>
  <si>
    <t>When Way of the Paradox enters, empower Jace 5. (Put five loyalty counters on a Jace token you control. If you don't control one, first create a blue Jace planeswalker token with "[−1]: Surveil 1" and "[−3]: Draw a card.")
Whenever you activate a loyalty ability, you gain 1 life. You may play an additional land this turn.</t>
  </si>
  <si>
    <t>Whenever you activate a loyalty ability, gain 1 life and you may play an additional land this turn</t>
  </si>
  <si>
    <t>U 0267</t>
  </si>
  <si>
    <t>Josh Hass</t>
  </si>
  <si>
    <t>c1060</t>
  </si>
  <si>
    <t>Yargle, Glutton of Urborg</t>
  </si>
  <si>
    <t>Frog Spirit</t>
  </si>
  <si>
    <t>(9/3)</t>
  </si>
  <si>
    <t>Vanilla creature with no abilities (body only)</t>
  </si>
  <si>
    <t>U 0241</t>
  </si>
  <si>
    <t>Jehan Choo</t>
  </si>
  <si>
    <t>c1084</t>
  </si>
  <si>
    <t>No Admittance</t>
  </si>
  <si>
    <t>No Admittance deals 3 damage to any target.
Empower Jace 1. (Put a loyalty counter on a Jace token you control. If you don't control one, first create a blue Jace planeswalker token with "[−1]: Surveil 1" and "[−3]: Draw a card.")</t>
  </si>
  <si>
    <t>Empower Jace 1</t>
  </si>
  <si>
    <t>C 0089</t>
  </si>
  <si>
    <t>c1095</t>
  </si>
  <si>
    <t>Way of the Healer</t>
  </si>
  <si>
    <t>When Way of the Healer enters, empower Jace 5. (Put five loyalty counters on a Jace token you control. If you don't control one, first create a blue Jace planeswalker token with "[−1]: Surveil 1" and "[−3]: Draw a card.")
Planeswalkers you control have "[−2]: Create a 2/2 colorless Wizard Soldier creature token named Cadet. Surveil 1."</t>
  </si>
  <si>
    <t>Your planeswalkers gain -2: create a 2/2 Cadet Wizard Soldier token and surveil 1</t>
  </si>
  <si>
    <t>U 0207</t>
  </si>
  <si>
    <t>Pauline Voss</t>
  </si>
  <si>
    <t>c1059</t>
  </si>
  <si>
    <t>Way of the Necromancer</t>
  </si>
  <si>
    <t>When Way of the Necromancer enters, empower Jace 2. (Put two loyalty counters on a Jace token you control. If you don't control one, first create a blue Jace planeswalker token with "[−1]: Surveil 1" and "[−3]: Draw a card.")
Whenever a creature you control dies, put a loyalty counter on each planeswalker you control.</t>
  </si>
  <si>
    <t>Whenever a creature you control dies, put a loyalty counter on each planeswalker you control</t>
  </si>
  <si>
    <t>Enters: empower Jace 2: put 2 loyalty counters on a Jace token, creating one if needed</t>
  </si>
  <si>
    <t>U 0239</t>
  </si>
  <si>
    <t>c1058</t>
  </si>
  <si>
    <t>Proft, Sinister Mastermind</t>
  </si>
  <si>
    <t>Threshold — You can't cast this spell unless there are seven or more cards in your graveyard.
Menace
{B}, Discard this card: Target creature gets -3/-1 until end of turn.
(5/5)</t>
  </si>
  <si>
    <t>{B}, discard it: target creature gets -3/-1 until end of turn</t>
  </si>
  <si>
    <t>Threshold: can only be cast with seven or more cards in your graveyard; 5/5 menace</t>
  </si>
  <si>
    <t>U 0235</t>
  </si>
  <si>
    <t>c0833</t>
  </si>
  <si>
    <t>Odric, Lunarch Marshal</t>
  </si>
  <si>
    <t>At the beginning of each combat, creatures you control gain first strike until end of turn if a creature you control has first strike. The same is true for flying, deathtouch, double strike, haste, hexproof, indestructible, lifelink, menace, reach, skulk, trample, and vigilance.
(3/3)</t>
  </si>
  <si>
    <t>Shares first strike, flying, deathtouch and other keywords among your creatures</t>
  </si>
  <si>
    <t>c1055</t>
  </si>
  <si>
    <t>Screeching Soulbreaker</t>
  </si>
  <si>
    <t>Siren Bard</t>
  </si>
  <si>
    <t>Flying
Whenever this creature attacks, it deals 1 damage to each opponent and you gain 1 life.
(1/4)</t>
  </si>
  <si>
    <t>Whenever it attacks, deals 1 damage to each opponent and you gain 1 life</t>
  </si>
  <si>
    <t>c0313</t>
  </si>
  <si>
    <t>Concealed Courtyard</t>
  </si>
  <si>
    <t>This land enters tapped unless you control two or fewer other lands.
{T}: Add {W} or {B}.</t>
  </si>
  <si>
    <t>Enters tapped unless you control two or fewer other lands</t>
  </si>
  <si>
    <t>c0490</t>
  </si>
  <si>
    <t>Resonating Lute</t>
  </si>
  <si>
    <t>Lands you control have "{T}: Add two mana of any one color. Spend this mana only to cast instant and sorcery spells."
{T}: Draw a card. Activate only if you have seven or more cards in your hand.</t>
  </si>
  <si>
    <t>Lands you control gain "{T}: Add two mana of any one color," spendable only on instants and sorceries</t>
  </si>
  <si>
    <t>{T}: Draw a card, only with seven or more cards in hand</t>
  </si>
  <si>
    <t>221</t>
  </si>
  <si>
    <t>c1027</t>
  </si>
  <si>
    <t>Danitha, Sword of Hope</t>
  </si>
  <si>
    <t>First strike
Whenever you cast an Equipment spell or a spell that targets a creature you control, draw a card. This ability triggers only once each turn.
(2/2)</t>
  </si>
  <si>
    <t>Once each turn, draw a card when you cast an Equipment or a spell that targets your creature</t>
  </si>
  <si>
    <t>First strike</t>
  </si>
  <si>
    <t>U 0196</t>
  </si>
  <si>
    <t>c1073</t>
  </si>
  <si>
    <t>Heartwood Crafter // Soul Tether</t>
  </si>
  <si>
    <t>Elf Artificer</t>
  </si>
  <si>
    <t>Heartwood Crafter {G} — Creature — Elf Artificer (1/1)
This creature enters prepared. (While it's prepared, you may cast a copy of its spell. Doing so unprepares it.)
{T}: Add {C}. This mana can't be spent to cast spells from your hand.
//
Soul Tether {2}{R/G} — Sorcery
Create a Heartwood token. (It's a red and green artifact with "{T}: Add {R} or {G}.")</t>
  </si>
  <si>
    <t>{T}: add {C} (not for spells cast from your hand)</t>
  </si>
  <si>
    <t>Enters prepared: you may cast a copy of Soul Tether (Heartwood token that taps for {R} or {G})</t>
  </si>
  <si>
    <t>U 0105</t>
  </si>
  <si>
    <t>c1006</t>
  </si>
  <si>
    <t>Kiora of Salt and Sand</t>
  </si>
  <si>
    <t>Merfolk Noble</t>
  </si>
  <si>
    <t>Whenever you attack, if you've activated a loyalty ability this turn, untap target attacking creature. It can't be blocked this turn.
Planeswalkers you control have "[−8]: Create an 8/8 blue Leviathan creature token with hexproof."
(2/4)</t>
  </si>
  <si>
    <t>Whenever you attack after activating a loyalty ability, untap target attacking creature and it can't be blocked</t>
  </si>
  <si>
    <t>Your planeswalkers gain -8: create an 8/8 blue Leviathan with hexproof</t>
  </si>
  <si>
    <t>U 0273</t>
  </si>
  <si>
    <t>Chris Rahn</t>
  </si>
  <si>
    <t>c1024</t>
  </si>
  <si>
    <t>Prophesied End</t>
  </si>
  <si>
    <t>Destroy target creature. If it wasn't attacking, its controller draws a card.</t>
  </si>
  <si>
    <t>If it wasn't attacking, its controller draws a card</t>
  </si>
  <si>
    <t>U 0017</t>
  </si>
  <si>
    <t>A. M. Sartor</t>
  </si>
  <si>
    <t>c1068</t>
  </si>
  <si>
    <t>Way of the Mind Sculptor</t>
  </si>
  <si>
    <t>When Way of the Mind Sculptor enters, empower Jace 5. (Put five loyalty counters on a Jace token you control. If you don't control one, first create a blue Jace planeswalker token with "[−1]: Surveil 1" and "[−3]: Draw a card.")
Whenever you activate a loyalty ability, if you removed two or more loyalty counters to activate it, draw a card.</t>
  </si>
  <si>
    <t>Whenever you remove two or more loyalty counters to activate a loyalty ability, draw a card</t>
  </si>
  <si>
    <t>U 0224</t>
  </si>
  <si>
    <t>c0829</t>
  </si>
  <si>
    <t>Monologue Tax</t>
  </si>
  <si>
    <t>Whenever an opponent casts their second spell each turn, you create a Treasure token.</t>
  </si>
  <si>
    <t>Stax/Tax</t>
  </si>
  <si>
    <t>Creates a Treasure token when an opponent casts their second spell each turn</t>
  </si>
  <si>
    <t>c0882</t>
  </si>
  <si>
    <t>The Eternal Wanderer</t>
  </si>
  <si>
    <t>No more than one creature can attack The Eternal Wanderer each combat.
+1: Exile up to one target artifact or creature. Return that card to the battlefield under its owner's control at the beginning of that player's next end step.
0: Create a 2/2 white Samurai creature token with double strike.
−4: For each player, choose a creature that player controls. Each player sacrifices all creatures they control not chosen this way.
(Loyalty 5)</t>
  </si>
  <si>
    <t>+1: exiles an artifact or creature, returns it at that player's next end step</t>
  </si>
  <si>
    <t>0: creates a 2/2 white Samurai token with double strike</t>
  </si>
  <si>
    <t>-4: each player keeps one chosen creature, sacrifices the rest</t>
  </si>
  <si>
    <t>c0094</t>
  </si>
  <si>
    <t>Zulaport Cutthroat</t>
  </si>
  <si>
    <t>Human Rogue Ally</t>
  </si>
  <si>
    <t>Whenever this creature or another creature you control dies, each opponent loses 1 life and you gain 1 life.
(1/1)</t>
  </si>
  <si>
    <t>Whenever it or another creature you control dies, each opponent loses 1 life and you gain 1 life</t>
  </si>
  <si>
    <t>c0499</t>
  </si>
  <si>
    <t>Shalai, Voice of Plenty</t>
  </si>
  <si>
    <t>Flying
You, planeswalkers you control, and other creatures you control have hexproof.
{4}{G}{G}: Put a +1/+1 counter on each creature you control.
(3/4)</t>
  </si>
  <si>
    <t>You, your planeswalkers, and your other creatures can't be targeted by opponents</t>
  </si>
  <si>
    <t>Pay {4}{G}{G} to put a +1/+1 counter on each creature you control</t>
  </si>
  <si>
    <t>c1034</t>
  </si>
  <si>
    <t>Restore with Empathy</t>
  </si>
  <si>
    <t>Return target permanent card from your graveyard to your hand. You gain 4 life.</t>
  </si>
  <si>
    <t>Return target permanent card from your graveyard to your hand</t>
  </si>
  <si>
    <t>Gain 4 life</t>
  </si>
  <si>
    <t>U 0112</t>
  </si>
  <si>
    <t>Eelis Kyttanen</t>
  </si>
  <si>
    <t>c0772</t>
  </si>
  <si>
    <t>Day of Judgment</t>
  </si>
  <si>
    <t>Destroy all creatures.</t>
  </si>
  <si>
    <t>c0995</t>
  </si>
  <si>
    <t>Fatehold Charm</t>
  </si>
  <si>
    <t>Choose one —
• Draw a card. Empower Jace 2.
• Return target spell or creature to its owner's hand.
• Creatures you control get +1/+2 until end of turn.</t>
  </si>
  <si>
    <t>Choose one: draw a card and empower Jace 2</t>
  </si>
  <si>
    <t>Or return target spell or creature to its owner's hand</t>
  </si>
  <si>
    <t>Or creatures you control get +1/+2 until end of turn</t>
  </si>
  <si>
    <t>U 0132</t>
  </si>
  <si>
    <t>Rovina Cai</t>
  </si>
  <si>
    <t>c1085</t>
  </si>
  <si>
    <t>Way of the Warlord</t>
  </si>
  <si>
    <t>When Way of the Warlord enters, empower Jace 5. (Put five loyalty counters on a Jace token you control. If you don't control one, first create a blue Jace planeswalker token with "[−1]: Surveil 1" and "[−3]: Draw a card.")
Planeswalkers you control have "[−4]: This planeswalker deals 2 damage to up to one target creature or planeswalker and 2 damage to target player."</t>
  </si>
  <si>
    <t>Your planeswalkers gain -4: 2 damage to up to one creature or planeswalker and 2 damage to target player</t>
  </si>
  <si>
    <t>U 0255</t>
  </si>
  <si>
    <t>c1074</t>
  </si>
  <si>
    <t>Hunter's Axe</t>
  </si>
  <si>
    <t>Equipped creature gets +2/+0 and has "Whenever this creature attacks, it gains your choice of trample or deathtouch until end of turn."
Equip {2} ({2}: Attach to target creature you control. Equip only as a sorcery.)</t>
  </si>
  <si>
    <t>Equipped creature gets +2/+0 and gains trample or deathtouch when it attacks</t>
  </si>
  <si>
    <t>U 0108</t>
  </si>
  <si>
    <t>Richard Kane Ferguson</t>
  </si>
  <si>
    <t>c0114</t>
  </si>
  <si>
    <t>Crashing Drawbridge</t>
  </si>
  <si>
    <t>Defender
{T}: Creatures you control gain haste until end of turn.
(0/4)</t>
  </si>
  <si>
    <t>Tap to give your creatures haste until end of turn</t>
  </si>
  <si>
    <t>c0998</t>
  </si>
  <si>
    <t>Mind Meanderer</t>
  </si>
  <si>
    <t>Bird Fish Illusion</t>
  </si>
  <si>
    <t>Flying
This creature has vigilance as long as you control a Jace planeswalker.
When this creature enters, it fights up to one target creature an opponent controls. (Each deals damage equal to its power to the other.)
(4/4)</t>
  </si>
  <si>
    <t>Enters: fights up to one target creature an opponent controls</t>
  </si>
  <si>
    <t>Flying; vigilance while you control a Jace planeswalker</t>
  </si>
  <si>
    <t>U 0141</t>
  </si>
  <si>
    <t>c0270</t>
  </si>
  <si>
    <t>Sylvan Caryatid</t>
  </si>
  <si>
    <t>Defender, hexproof
{T}: Add one mana of any color.
(0/3)</t>
  </si>
  <si>
    <t>Can't attack; can't be targeted by opponents' spells or abilities</t>
  </si>
  <si>
    <t>c1039</t>
  </si>
  <si>
    <t>Yoshimaru, Scrappy Stray</t>
  </si>
  <si>
    <t>When Yoshimaru enters, another target creature you control fights up to one target creature an opponent controls. (Each deals damage equal to its power to the other.)
{6}: Put a +1/+1 counter on target nonlegendary creature.
(1/1)</t>
  </si>
  <si>
    <t>Enters: another creature you control fights up to one target creature an opponent controls</t>
  </si>
  <si>
    <t>{6}: put a +1/+1 counter on target nonlegendary creature</t>
  </si>
  <si>
    <t>U 0269</t>
  </si>
  <si>
    <t>c0027</t>
  </si>
  <si>
    <t>Dreadhorde Invasion</t>
  </si>
  <si>
    <t>At the beginning of your upkeep, you lose 1 life and amass Zombies 1. (Put a +1/+1 counter on an Army you control. It's also a Zombie. If you don't control an Army, create a 0/0 black Zombie Army creature token first.)
Whenever a Zombie token you control with power 6 or greater attacks, it gains lifelink until end of turn.</t>
  </si>
  <si>
    <t>Each upkeep, lose 1 life and put a counter on (or create) a Zombie Army token</t>
  </si>
  <si>
    <t>Big Zombie tokens gain lifelink when attacking</t>
  </si>
  <si>
    <t>c1106</t>
  </si>
  <si>
    <t>Meticulous Commons</t>
  </si>
  <si>
    <t>This land enters tapped unless you control a planeswalker.
{T}: Add {W} or {B}.</t>
  </si>
  <si>
    <t>L 0184</t>
  </si>
  <si>
    <t>Grady Frederick</t>
  </si>
  <si>
    <t>c1041</t>
  </si>
  <si>
    <t>Archive Arbiter</t>
  </si>
  <si>
    <t>Sphinx</t>
  </si>
  <si>
    <t>Flying
When this creature enters, choose one —
• Destroy target noncreature, nonland permanent.
• You gain 4 life.
(4/4)</t>
  </si>
  <si>
    <t>Enters: destroy target noncreature, nonland permanent, or gain 4 life</t>
  </si>
  <si>
    <t>U 0167</t>
  </si>
  <si>
    <t>c1098</t>
  </si>
  <si>
    <t>Frostbite Pyromental</t>
  </si>
  <si>
    <t>Trample, haste
Whenever this creature deals combat damage to a player, draw two cards.
At the beginning of the end step, sacrifice this creature.
(4/4)</t>
  </si>
  <si>
    <t>Whenever it deals combat damage to a player, draw two cards</t>
  </si>
  <si>
    <t>Trample, haste; sacrificed at the end step</t>
  </si>
  <si>
    <t>R 0135</t>
  </si>
  <si>
    <t>Wayne Reynolds</t>
  </si>
  <si>
    <t>c1078</t>
  </si>
  <si>
    <t>Ruric Thar, Magecrusher</t>
  </si>
  <si>
    <t>Ogre Warrior</t>
  </si>
  <si>
    <t>This spell can't be countered.
Reach, vigilance, trample
Ruric Thar has hexproof as long as they haven't dealt combat damage yet. (They can't be the target of spells or abilities your opponents control.)
(7/7)</t>
  </si>
  <si>
    <t>7/7 reach, vigilance, trample</t>
  </si>
  <si>
    <t>Hexproof until it has dealt combat damage</t>
  </si>
  <si>
    <t>U 0265</t>
  </si>
  <si>
    <t>Olivier Bernard</t>
  </si>
  <si>
    <t>c0809</t>
  </si>
  <si>
    <t>Ironsoul Enforcer</t>
  </si>
  <si>
    <t>Whenever this creature or a commander you control attacks alone, return target artifact card from your graveyard to the battlefield.
(4/4)</t>
  </si>
  <si>
    <t>Returns target artifact card from your graveyard to the battlefield when it or your commander attacks alone</t>
  </si>
  <si>
    <t>c1032</t>
  </si>
  <si>
    <t>Greenhouse Propagator</t>
  </si>
  <si>
    <t>Cat Druid</t>
  </si>
  <si>
    <t>Whenever another creature you control enters, you gain 1 life.
{T}: Add {G}.
(2/3)</t>
  </si>
  <si>
    <t>{T}: add {G}</t>
  </si>
  <si>
    <t>Whenever another creature you control enters, gain 1 life</t>
  </si>
  <si>
    <t>C 0104</t>
  </si>
  <si>
    <t>c1062</t>
  </si>
  <si>
    <t>Infinite Coursework</t>
  </si>
  <si>
    <t>Enchant creature
When this Aura enters, tap enchanted creature. It becomes unprepared.
Enchanted creature loses all abilities and doesn't untap during its controller's untap step.</t>
  </si>
  <si>
    <t>Enchanted creature loses all abilities and doesn't untap</t>
  </si>
  <si>
    <t>Enters: taps enchanted creature and unprepares it</t>
  </si>
  <si>
    <t>C 0031</t>
  </si>
  <si>
    <t>Randy Vargas</t>
  </si>
  <si>
    <t>c1007</t>
  </si>
  <si>
    <t>Mabel, Valley Hero</t>
  </si>
  <si>
    <t>Mouse Soldier</t>
  </si>
  <si>
    <t>Whenever Mabel or another creature you control enters, put a +1/+1 counter on target creature that entered this turn.
(1/2)</t>
  </si>
  <si>
    <t>Whenever it or another creature you control enters, put a +1/+1 counter on a creature that entered this turn</t>
  </si>
  <si>
    <t>U 0274</t>
  </si>
  <si>
    <t>c0771</t>
  </si>
  <si>
    <t>Danitha Capashen, Paragon</t>
  </si>
  <si>
    <t>First strike, vigilance, lifelink
Aura and Equipment spells you cast cost {1} less to cast.
(2/2)</t>
  </si>
  <si>
    <t>Reduces your Aura and Equipment spells by {1}</t>
  </si>
  <si>
    <t>First strike, vigilance, lifelink body</t>
  </si>
  <si>
    <t>c0599</t>
  </si>
  <si>
    <t>Goblin Ringleader</t>
  </si>
  <si>
    <t>Haste (This creature can attack and {T} as soon as it comes under your control.)
When this creature enters, reveal the top four cards of your library. Put all Goblin cards revealed this way into your hand and the rest on the bottom of your library in any order.
(2/2)</t>
  </si>
  <si>
    <t>Reveals top four cards, puts all Goblin cards found into hand</t>
  </si>
  <si>
    <t>Can attack immediately when it enters (haste)</t>
  </si>
  <si>
    <t>c0973</t>
  </si>
  <si>
    <t>Multiply by Zero</t>
  </si>
  <si>
    <t>Target creature has base power and toughness 0/0 until end of turn.</t>
  </si>
  <si>
    <t>Target creature has base power and toughness 0/0 until end of turn</t>
  </si>
  <si>
    <t>Kills it unless counters or pumps are keeping its toughness above 0</t>
  </si>
  <si>
    <t>U 0058</t>
  </si>
  <si>
    <t>Florian Herold</t>
  </si>
  <si>
    <t>c1025</t>
  </si>
  <si>
    <t>Repurposed Enforcer</t>
  </si>
  <si>
    <t>Whenever this creature attacks, empower Jace X, where X is the number of creatures you control. (Put that many loyalty counters on a Jace token you control. If you don't control one, first create a blue Jace planeswalker token with "[−1]: Surveil 1" and "[−3]: Draw a card.")
(3/2)</t>
  </si>
  <si>
    <t>Whenever it attacks, empower Jace X (X = creatures you control)</t>
  </si>
  <si>
    <t>R 0019</t>
  </si>
  <si>
    <t>c0540</t>
  </si>
  <si>
    <t>Blasphemous Act</t>
  </si>
  <si>
    <t>This spell costs {1} less to cast for each creature on the battlefield.
Blasphemous Act deals 13 damage to each creature.</t>
  </si>
  <si>
    <t>Deals 13 damage to each creature</t>
  </si>
  <si>
    <t>Costs {1} less for each creature on the battlefield</t>
  </si>
  <si>
    <t>c0158</t>
  </si>
  <si>
    <t>Soul of New Phyrexia</t>
  </si>
  <si>
    <t>Phyrexian Avatar</t>
  </si>
  <si>
    <t>Trample
{5}: Permanents you control gain indestructible until end of turn.
{5}, Exile this card from your graveyard: Permanents you control gain indestructible until end of turn.
(6/6)</t>
  </si>
  <si>
    <t>Pay {5} to give your permanents indestructible until end of turn</t>
  </si>
  <si>
    <t>Exile this from graveyard and pay {5} for the same effect</t>
  </si>
  <si>
    <t>c1069</t>
  </si>
  <si>
    <t>Arcane Amphisbaena</t>
  </si>
  <si>
    <t>Deathtouch
When this creature enters, empower Jace 2. (Put two loyalty counters on a Jace token you control. If you don't control one, first create a blue Jace planeswalker token with "[−1]: Surveil 1" and "[−3]: Draw a card.")
(1/1)</t>
  </si>
  <si>
    <t>C 0097</t>
  </si>
  <si>
    <t>c0085</t>
  </si>
  <si>
    <t>Village Rites</t>
  </si>
  <si>
    <t>As an additional cost to cast this spell, sacrifice a creature.
Draw two cards.</t>
  </si>
  <si>
    <t>Sacrifice a creature to draw two cards</t>
  </si>
  <si>
    <t>c1017</t>
  </si>
  <si>
    <t>Jiang Yanggu, Alone</t>
  </si>
  <si>
    <t>Human Berserker</t>
  </si>
  <si>
    <t>Menace (This creature can't be blocked except by two or more creatures.)
Whenever a creature you control attacks a player alone, discard a card, then draw a card. Then put a +1/+1 counter on that creature for each card you've discarded this turn.
(4/4)</t>
  </si>
  <si>
    <t>Whenever a creature you control attacks a player alone, discard a card then draw a card</t>
  </si>
  <si>
    <t>That creature gets a +1/+1 counter for each card you discarded this turn</t>
  </si>
  <si>
    <t>U 0246</t>
  </si>
  <si>
    <t>c0384</t>
  </si>
  <si>
    <t>Vault of the Archangel</t>
  </si>
  <si>
    <t>{T}: Add {C}.
{2}{W}{B}, {T}: Creatures you control gain deathtouch and lifelink until end of turn.</t>
  </si>
  <si>
    <t>{2}{W}{B}, tap: creatures you control gain deathtouch and lifelink</t>
  </si>
  <si>
    <t>c0848</t>
  </si>
  <si>
    <t>Requiem Angel</t>
  </si>
  <si>
    <t>Flying
Whenever another non-Spirit creature you control dies, create a 1/1 white Spirit creature token with flying.
(5/5)</t>
  </si>
  <si>
    <t>Whenever another non-Spirit creature you control dies, create a 1/1 flying Spirit</t>
  </si>
  <si>
    <t>5/4 flying body</t>
  </si>
  <si>
    <t>c0310</t>
  </si>
  <si>
    <t>Caves of Koilos</t>
  </si>
  <si>
    <t>{T}: Add {C}.
{T}: Add {W} or {B}. This land deals 1 damage to you.</t>
  </si>
  <si>
    <t>Taps for {C}, or {W}/{B} at the cost of 1 damage to you</t>
  </si>
  <si>
    <t>c0518</t>
  </si>
  <si>
    <t>Vindicate</t>
  </si>
  <si>
    <t>Destroy target permanent.</t>
  </si>
  <si>
    <t>Destroys target permanent of any type</t>
  </si>
  <si>
    <t>c0785</t>
  </si>
  <si>
    <t>Elspeth, Sun's Nemesis</t>
  </si>
  <si>
    <t>Elspeth</t>
  </si>
  <si>
    <t>−1: Up to two target creatures you control each get +2/+1 until end of turn.
−2: Create two 1/1 white Human Soldier creature tokens.
−3: You gain 5 life.
Escape—{4}{W}{W}, Exile four other cards from your graveyard. (You may cast this card from your graveyard for its escape cost.)
(Loyalty 5)</t>
  </si>
  <si>
    <t>-1: Up to two creatures get +2/+1 until end of turn</t>
  </si>
  <si>
    <t>-2: Create two 1/1 Human Soldier tokens</t>
  </si>
  <si>
    <t>Escape from the graveyard by exiling four cards</t>
  </si>
  <si>
    <t>c1009</t>
  </si>
  <si>
    <t>Awaken the Inferno</t>
  </si>
  <si>
    <t>Awaken the Inferno deals 6 damage to target creature or planeswalker an opponent controls. Put a +1/+1 counter on up to one target creature you control.
Basic landcycling {2} ({2}, Discard this card: Search your library for a basic land card, reveal it, put it into your hand, then shuffle.)</t>
  </si>
  <si>
    <t>Deals 6 damage to target creature or planeswalker an opponent controls</t>
  </si>
  <si>
    <t>Put a +1/+1 counter on up to one creature you control</t>
  </si>
  <si>
    <t>C 0074</t>
  </si>
  <si>
    <t>c1065</t>
  </si>
  <si>
    <t>Undulating Witness</t>
  </si>
  <si>
    <t>Serpent</t>
  </si>
  <si>
    <t>Flying
{2}: This creature gets +1/-1 until end of turn.
Basic landcycling {2} ({2}, Discard this card: Search your library for a basic land card, reveal it, put it into your hand, then shuffle.)
(3/5)</t>
  </si>
  <si>
    <t>{2}: gets +1/-1 until end of turn</t>
  </si>
  <si>
    <t>C 0045</t>
  </si>
  <si>
    <t>Alexander Ostrowski</t>
  </si>
  <si>
    <t>c0989</t>
  </si>
  <si>
    <t>Geist of Saint Thalia</t>
  </si>
  <si>
    <t>Flying
Noncreature spells you cast cost {1} less to cast.
(1/2)</t>
  </si>
  <si>
    <t>Noncreature spells you cast cost {1} less</t>
  </si>
  <si>
    <t>U 0214</t>
  </si>
  <si>
    <t>Ryan Pancoast</t>
  </si>
  <si>
    <t>c0657</t>
  </si>
  <si>
    <t>Squee, Dubious Monarch</t>
  </si>
  <si>
    <t>Goblin Noble</t>
  </si>
  <si>
    <t>Haste
Whenever Squee attacks, create a 1/1 red Goblin creature token that's tapped and attacking.
You may cast this card from your graveyard by paying {3}{R} and exiling four other cards from your graveyard rather than paying its mana cost.
(2/2)</t>
  </si>
  <si>
    <t>Attacking creates a tapped and attacking 1/1 Goblin token</t>
  </si>
  <si>
    <t>Can be cast from graveyard by exiling four other graveyard cards instead of paying its cost</t>
  </si>
  <si>
    <t>c1105</t>
  </si>
  <si>
    <t>Konstrari Annex</t>
  </si>
  <si>
    <t>This land enters tapped unless you control a planeswalker.
{T}: Add {R} or {G}.</t>
  </si>
  <si>
    <t>Taps for {R} or {G}</t>
  </si>
  <si>
    <t>L 0183</t>
  </si>
  <si>
    <t>c1107</t>
  </si>
  <si>
    <t>Theorix Annex</t>
  </si>
  <si>
    <t>This land enters tapped unless you control a planeswalker.
{T}: Add {U} or {B}.</t>
  </si>
  <si>
    <t>L 0192</t>
  </si>
  <si>
    <t>c1047</t>
  </si>
  <si>
    <t>Formidable Commons</t>
  </si>
  <si>
    <t>This land enters tapped unless you control a planeswalker.
{T}: Add {B} or {G}.</t>
  </si>
  <si>
    <t>L 0178</t>
  </si>
  <si>
    <t>Marco Gorlei</t>
  </si>
  <si>
    <t>c0265</t>
  </si>
  <si>
    <t>Skyshroud Claim</t>
  </si>
  <si>
    <t>Search your library for up to two Forest cards, put them onto the battlefield, then shuffle.</t>
  </si>
  <si>
    <t>Searches for up to two Forest cards and puts them onto the battlefield</t>
  </si>
  <si>
    <t>Nemesis</t>
  </si>
  <si>
    <t>c0200</t>
  </si>
  <si>
    <t>Cultivate</t>
  </si>
  <si>
    <t>Search your library for up to two basic land cards, reveal those cards, put one onto the battlefield tapped and the other into your hand, then shuffle.</t>
  </si>
  <si>
    <t>Searches for two basic lands; puts one onto the battlefield tapped, one to hand</t>
  </si>
  <si>
    <t>c0316</t>
  </si>
  <si>
    <t>Eclipsed Realms</t>
  </si>
  <si>
    <t>As this land enters, choose Elemental, Elf, Faerie, Giant, Goblin, Kithkin, Merfolk, or Treefolk.
{T}: Add {C}.
{T}: Add one mana of any color. Spend this mana only to cast a spell of the chosen type or activate an ability of a source of the chosen type.</t>
  </si>
  <si>
    <t>{T}: Add one mana of any color, spendable only on the creature type chosen as it entered</t>
  </si>
  <si>
    <t>263</t>
  </si>
  <si>
    <t>c0421</t>
  </si>
  <si>
    <t>Corpse Knight</t>
  </si>
  <si>
    <t>Zombie Knight</t>
  </si>
  <si>
    <t>Whenever another creature you control enters, each opponent loses 1 life.
(2/2)</t>
  </si>
  <si>
    <t>Whenever another creature you control enters, each opponent loses 1 life</t>
  </si>
  <si>
    <t>c0814</t>
  </si>
  <si>
    <t>Keeper of the Accord</t>
  </si>
  <si>
    <t>At the beginning of each opponent's end step, if that player controls more creatures than you, create a 1/1 white Soldier creature token.
At the beginning of each opponent's end step, if that player controls more lands than you, you may search your library for a basic Plains card, put it onto the battlefield tapped, then shuffle.
(3/4)</t>
  </si>
  <si>
    <t>Each opponent's end step: if they have more creatures, create a 1/1 Soldier token</t>
  </si>
  <si>
    <t>Each opponent's end step: if they have more lands, may search for a Plains onto the battlefield tapped</t>
  </si>
  <si>
    <t>c0596</t>
  </si>
  <si>
    <t>Goblin Rabblemaster</t>
  </si>
  <si>
    <t>Other Goblin creatures you control attack each combat if able.
At the beginning of combat on your turn, create a 1/1 red Goblin creature token with haste.
Whenever this creature attacks, it gets +1/+0 until end of turn for each other attacking Goblin.
(2/2)</t>
  </si>
  <si>
    <t>Creates a 1/1 Goblin that must attack at each of your combats</t>
  </si>
  <si>
    <t>Gets +1/+0 per other attacking Goblin; other Goblins must attack</t>
  </si>
  <si>
    <t>c0443</t>
  </si>
  <si>
    <t>Fracture</t>
  </si>
  <si>
    <t>Destroy target artifact, enchantment, or planeswalker.</t>
  </si>
  <si>
    <t>Destroy target artifact, enchantment, or planeswalker</t>
  </si>
  <si>
    <t>c0675</t>
  </si>
  <si>
    <t>Aetherize</t>
  </si>
  <si>
    <t>Return all attacking creatures to their owner's hand.</t>
  </si>
  <si>
    <t>Returns all attacking creatures to their owners' hands</t>
  </si>
  <si>
    <t>c0533</t>
  </si>
  <si>
    <t>Anger</t>
  </si>
  <si>
    <t>Incarnation</t>
  </si>
  <si>
    <t>Haste
As long as this card is in your graveyard and you control a Mountain, creatures you control have haste.
(2/2)</t>
  </si>
  <si>
    <t>While in your graveyard with a Mountain, your creatures can attack the turn they enter</t>
  </si>
  <si>
    <t>c0276</t>
  </si>
  <si>
    <t>Tree of Redemption</t>
  </si>
  <si>
    <t>Defender
{T}: Exchange your life total with this creature's toughness.
(0/13)</t>
  </si>
  <si>
    <t>Tap to swap your life total with this creature's toughness</t>
  </si>
  <si>
    <t>c0800</t>
  </si>
  <si>
    <t>Guardian of Faith</t>
  </si>
  <si>
    <t>Flash
Vigilance
When this creature enters, any number of other target creatures you control phase out. (Treat them and anything attached to them as though they don't exist until their controller's next turn.)
(3/2)</t>
  </si>
  <si>
    <t>Enters: any number of your other creatures become temporarily untargetable and safe from harm</t>
  </si>
  <si>
    <t>c0509</t>
  </si>
  <si>
    <t>Thranduil, the Elvenking</t>
  </si>
  <si>
    <t>Elf Noble</t>
  </si>
  <si>
    <t>Thranduil, the Elvenking {2}{B}{G}{U} — Legendary Creature — Elf Noble (5/6)
Thranduil has all activated abilities of all Elf cards in your graveyard.
Whenever another legendary Elf you control enters, draw two cards, then discard a card.</t>
  </si>
  <si>
    <t>Whenever another legendary Elf you control enters, draw two cards, then discard a card</t>
  </si>
  <si>
    <t>Thranduil has all activated abilities of all Elf cards in your graveyard</t>
  </si>
  <si>
    <t>167</t>
  </si>
  <si>
    <t>Magali Villeneuve</t>
  </si>
  <si>
    <t>c0608</t>
  </si>
  <si>
    <t>Hordeling Outburst</t>
  </si>
  <si>
    <t>Create three 1/1 red Goblin creature tokens.</t>
  </si>
  <si>
    <t>Creates three 1/1 Goblin tokens</t>
  </si>
  <si>
    <t>c0531</t>
  </si>
  <si>
    <t>Alexios, Deimos of Kosmos</t>
  </si>
  <si>
    <t>Trample
Alexios attacks each combat if able, can't be sacrificed, and can't attack its owner.
At the beginning of each player's upkeep, that player gains control of Alexios, untaps it, and puts a +1/+1 counter on it. It gains haste until end of turn.
(4/4)</t>
  </si>
  <si>
    <t>Must attack each combat, can't be sacrificed or attack you</t>
  </si>
  <si>
    <t>Passes to whoever's upkeep it is, untapped with a +1/+1 counter and haste</t>
  </si>
  <si>
    <t>Trample body that grows every turn cycle</t>
  </si>
  <si>
    <t>c1063</t>
  </si>
  <si>
    <t>Precise Redaction</t>
  </si>
  <si>
    <t>Counter target white or black spell.</t>
  </si>
  <si>
    <t>Counter target white or black spell</t>
  </si>
  <si>
    <t>U 0036</t>
  </si>
  <si>
    <t>Mathias Kollros</t>
  </si>
  <si>
    <t>c0099</t>
  </si>
  <si>
    <t>Artisan of Kozilek</t>
  </si>
  <si>
    <t>When you cast this spell, you may return target creature card from your graveyard to the battlefield.
Annihilator 2 (Whenever this creature attacks, defending player sacrifices two permanents of their choice.)
(10/9)</t>
  </si>
  <si>
    <t>Returns a creature card from graveyard to battlefield when cast</t>
  </si>
  <si>
    <t>Annihilator 2 (opponent sacrifices two permanents when it attacks)</t>
  </si>
  <si>
    <t>9-mana Eldrazi body</t>
  </si>
  <si>
    <t>c1091</t>
  </si>
  <si>
    <t>Refute Destiny</t>
  </si>
  <si>
    <t>Exile target creature or planeswalker that's green or blue. Surveil 1. (Look at the top card of your library. You may put it into your graveyard.)</t>
  </si>
  <si>
    <t>Exile target green or blue creature or planeswalker</t>
  </si>
  <si>
    <t>Surveil 1</t>
  </si>
  <si>
    <t>U 0018</t>
  </si>
  <si>
    <t>Billy Christian</t>
  </si>
  <si>
    <t>Solemn Simulacrum</t>
  </si>
  <si>
    <t>When this creature enters, you may search your library for a basic land card, put that card onto the battlefield tapped, then shuffle.
When this creature dies, you may draw a card.
(2/2)</t>
  </si>
  <si>
    <t>Searches for a basic land and puts it onto the battlefield tapped when it enters</t>
  </si>
  <si>
    <t>Draws a card when it dies</t>
  </si>
  <si>
    <t>c0488</t>
  </si>
  <si>
    <t>Reflector Mage</t>
  </si>
  <si>
    <t>When this creature enters, return target creature an opponent controls to its owner's hand. That creature's owner can't cast spells with the same name as that creature until your next turn.
(2/3)</t>
  </si>
  <si>
    <t>Bounces target opponent creature to hand when it enters</t>
  </si>
  <si>
    <t>That creature's owner can't recast it until your next turn</t>
  </si>
  <si>
    <t>c0465</t>
  </si>
  <si>
    <t>Maralen, Fae Ascendant</t>
  </si>
  <si>
    <t>Elf Faerie Noble</t>
  </si>
  <si>
    <t>Flying
Whenever Maralen or another Elf or Faerie you control enters, exile the top two cards of target opponent's library.
Once each turn, you may cast a spell with mana value less than or equal to the number of Elves and Faeries you control from among cards exiled with Maralen this turn without paying its mana cost.
(4/5)</t>
  </si>
  <si>
    <t>Exiles two cards from opponent's library on Elf/Faerie ETB</t>
  </si>
  <si>
    <t>Free-casts exiled spells with MV ≤ Elves/Faeries you control</t>
  </si>
  <si>
    <t>c0296</t>
  </si>
  <si>
    <t>Access Tunnel</t>
  </si>
  <si>
    <t>{T}: Add {C}.
{3}, {T}: Target creature with power 3 or less can't be blocked this turn.</t>
  </si>
  <si>
    <t>Pay {3}, tap: target creature with power 3 or less can't be blocked</t>
  </si>
  <si>
    <t>c0449</t>
  </si>
  <si>
    <t>Ikra Shidiqi, the Usurper</t>
  </si>
  <si>
    <t>Snake Wizard</t>
  </si>
  <si>
    <t>Menace
Whenever a creature you control deals combat damage to a player, you gain life equal to that creature's toughness.
Partner (You can have two commanders if both have partner.)
(3/7)</t>
  </si>
  <si>
    <t>Gain life equal to a creature's toughness whenever it deals combat damage to a player</t>
  </si>
  <si>
    <t>Can have two commanders if paired with another partner commander</t>
  </si>
  <si>
    <t>c0437</t>
  </si>
  <si>
    <t>Faeburrow Elder</t>
  </si>
  <si>
    <t>Treefolk Druid</t>
  </si>
  <si>
    <t>Vigilance
This creature gets +1/+1 for each color among permanents you control.
{T}: For each color among permanents you control, add one mana of that color.
(0/0)</t>
  </si>
  <si>
    <t>Taps for one mana of each color among your permanents</t>
  </si>
  <si>
    <t>Gets +1/+1 for each color among your permanents</t>
  </si>
  <si>
    <t>c0208</t>
  </si>
  <si>
    <t>Farseek</t>
  </si>
  <si>
    <t>Search your library for a Plains, Island, Swamp, or Mountain card, put it onto the battlefield tapped, then shuffle.</t>
  </si>
  <si>
    <t>Searches your library for a Plains, Island, Swamp, or Mountain card, puts it onto the battlefield tapped</t>
  </si>
  <si>
    <t>c0870</t>
  </si>
  <si>
    <t>Staff of the Storyteller</t>
  </si>
  <si>
    <t>When this artifact enters, create a 1/1 white Spirit creature token with flying.
Whenever you create one or more creature tokens, put a story counter on this artifact.
{W}, {T}, Remove a story counter from this artifact: Draw a card.</t>
  </si>
  <si>
    <t>Enters: create a 1/1 flying Spirit token</t>
  </si>
  <si>
    <t>Creating creature tokens adds a story counter to this</t>
  </si>
  <si>
    <t>Pay {W}, tap, remove a story counter: draw a card</t>
  </si>
  <si>
    <t>Phyrexia: All Will Be One Commander</t>
  </si>
  <si>
    <t>c0448</t>
  </si>
  <si>
    <t>Huatli, the Sun's Heart</t>
  </si>
  <si>
    <t>Huatli</t>
  </si>
  <si>
    <t>Each creature you control assigns combat damage equal to its toughness rather than its power.
−3: You gain life equal to the greatest toughness among creatures you control.
(Loyalty 7)</t>
  </si>
  <si>
    <t>-3: gain life equal to the greatest toughness among your creatures</t>
  </si>
  <si>
    <t>c0764</t>
  </si>
  <si>
    <t>Claim Jumper</t>
  </si>
  <si>
    <t>Rabbit Mercenary</t>
  </si>
  <si>
    <t>Vigilance
When this creature enters, if an opponent controls more lands than you, you may search your library for a Plains card and put it onto the battlefield tapped. Then if an opponent controls more lands than you, repeat this process once. If you search your library this way, shuffle.
(3/3)</t>
  </si>
  <si>
    <t>Fetches a Plains onto the battlefield tapped if you're land-light</t>
  </si>
  <si>
    <t>Repeats the fetch once more if still behind on lands</t>
  </si>
  <si>
    <t>c0151</t>
  </si>
  <si>
    <t>Selesnya Signet</t>
  </si>
  <si>
    <t>{1}, {T}: Add {G}{W}.</t>
  </si>
  <si>
    <t>{1}, {T}: Add {G}{W}</t>
  </si>
  <si>
    <t>c0086</t>
  </si>
  <si>
    <t>Viscera Seer</t>
  </si>
  <si>
    <t>Vampire Wizard</t>
  </si>
  <si>
    <t>Sacrifice a creature: Scry 1. (Look at the top card of your library. You may put that card on the bottom.)
(1/1)</t>
  </si>
  <si>
    <t>Sacrifice a creature: Scry 1</t>
  </si>
  <si>
    <t>c0129</t>
  </si>
  <si>
    <t>Goldvein Pick</t>
  </si>
  <si>
    <t>Equipped creature gets +1/+1.
Whenever equipped creature deals combat damage to a player, create a Treasure token. (It's an artifact with "{T}, Sacrifice this token: Add one mana of any color.")
Equip {1} ({1}: Attach to target creature you control. Equip only as a sorcery.)</t>
  </si>
  <si>
    <t>Creates a Treasure token when equipped creature deals combat damage to a player</t>
  </si>
  <si>
    <t>239/285 C</t>
  </si>
  <si>
    <t>Dan Scott</t>
  </si>
  <si>
    <t>c0152</t>
  </si>
  <si>
    <t>Shield-Wall Sentinel</t>
  </si>
  <si>
    <t>Defender
When this creature enters, you may search your library for a creature card with defender, reveal it, put it into your hand, then shuffle.
(1/3)</t>
  </si>
  <si>
    <t>When this creature enters, you may search your library for a creature card with defender, reveal it, put it into your ha</t>
  </si>
  <si>
    <t>c0979</t>
  </si>
  <si>
    <t>Teyo, Diamondblade Mage</t>
  </si>
  <si>
    <t>Flash
When Teyo enters, target permanent you control gains deathtouch until end of turn. Put a +1/+1 counter on it if it's a creature. Put a loyalty counter on it if it's a planeswalker.
(3/1)</t>
  </si>
  <si>
    <t>Enters: target permanent you control gains deathtouch until end of turn and gets a +1/+1 counter (loyalty counter on a planeswalker)</t>
  </si>
  <si>
    <t>U 0236</t>
  </si>
  <si>
    <t>c0743</t>
  </si>
  <si>
    <t>Angel of Indemnity</t>
  </si>
  <si>
    <t>Angel Warrior</t>
  </si>
  <si>
    <t>Flying, lifelink
When this creature enters, return target permanent card with mana value 4 or less from your graveyard to the battlefield.
Encore {6}{W}{W} ({6}{W}{W}, Exile this card from your graveyard: For each opponent, create a token copy that attacks that opponent this turn if able. They gain haste. Sacrifice them at the beginning of the next end step. Activate only as a sorcery.)
(5/5)</t>
  </si>
  <si>
    <t>Returns a permanent card MV 4 or less from graveyard when it enters</t>
  </si>
  <si>
    <t>Encore: exile from graveyard to make attacking token copies for each opponent</t>
  </si>
  <si>
    <t>c0792</t>
  </si>
  <si>
    <t>Fateful Absence</t>
  </si>
  <si>
    <t>Destroy target creature or planeswalker. Its controller investigates. (Create a Clue token. It's an artifact with "{2}, Sacrifice this token: Draw a card.")</t>
  </si>
  <si>
    <t>Its controller creates a Clue token</t>
  </si>
  <si>
    <t>c0003</t>
  </si>
  <si>
    <t>Awaken the Erstwhile</t>
  </si>
  <si>
    <t>Each player discards all the cards in their hand, then creates that many 2/2 black Zombie creature tokens.</t>
  </si>
  <si>
    <t>Each player discards their hand, then creates that many 2/2 Zombie tokens</t>
  </si>
  <si>
    <t>c0590</t>
  </si>
  <si>
    <t>Goblin Instigator</t>
  </si>
  <si>
    <t>When this creature enters, create a 1/1 red Goblin creature token.
(1/1)</t>
  </si>
  <si>
    <t>Creates a 1/1 Goblin token when it enters</t>
  </si>
  <si>
    <t>c0325</t>
  </si>
  <si>
    <t>Glacial Fortress</t>
  </si>
  <si>
    <t>This land enters tapped unless you control a Plains or an Island.
{T}: Add {W} or {U}.</t>
  </si>
  <si>
    <t>Enters untapped if you control a Plains or Island</t>
  </si>
  <si>
    <t>c0463</t>
  </si>
  <si>
    <t>Lorehold Command</t>
  </si>
  <si>
    <t>Choose two —
• Create a 3/2 red and white Spirit creature token.
• Creatures you control get +1/+0 and gain indestructible and haste until end of turn.
• Lorehold Command deals 3 damage to any target. Target player gains 3 life.
• Sacrifice a permanent, then draw two cards.</t>
  </si>
  <si>
    <t>Choose two —</t>
  </si>
  <si>
    <t>• Create a 3/2 red and white Spirit creature token</t>
  </si>
  <si>
    <t>• Creatures you control get +1/+0 and gain indestructible and haste until end of turn</t>
  </si>
  <si>
    <t>c0140</t>
  </si>
  <si>
    <t>Myr Battlesphere</t>
  </si>
  <si>
    <t>Myr Construct</t>
  </si>
  <si>
    <t>When this creature enters, create four 1/1 colorless Myr artifact creature tokens.
Whenever this creature attacks, you may tap X untapped Myr you control. If you do, this creature gets +X/+0 until end of turn and deals X damage to the player or planeswalker it's attacking.
(4/7)</t>
  </si>
  <si>
    <t>Creates four 1/1 Myr tokens when it enters</t>
  </si>
  <si>
    <t>Attacking: tap Myr for +X/+0 and X damage to defender</t>
  </si>
  <si>
    <t>c0535</t>
  </si>
  <si>
    <t>Atsushi, the Blazing Sky</t>
  </si>
  <si>
    <t>Dragon Spirit</t>
  </si>
  <si>
    <t>Flying, trample
When Atsushi dies, choose one —
• Exile the top two cards of your library. Until the end of your next turn, you may play those cards.
• Create three Treasure tokens.
(4/4)</t>
  </si>
  <si>
    <t>Flying body that deals extra combat damage through blockers</t>
  </si>
  <si>
    <t>Dies: exile top two library cards to play until next turn's end</t>
  </si>
  <si>
    <t>Or dies: create three Treasure tokens</t>
  </si>
  <si>
    <t>c0051</t>
  </si>
  <si>
    <t>Nadier's Nightblade</t>
  </si>
  <si>
    <t>Whenever a token you control leaves the battlefield, each opponent loses 1 life and you gain 1 life.
(1/3)</t>
  </si>
  <si>
    <t>Whenever a token you control leaves the battlefield, each opponent loses 1 life and you gain 1 life</t>
  </si>
  <si>
    <t>c0348</t>
  </si>
  <si>
    <t>Naya Panorama</t>
  </si>
  <si>
    <t>{T}: Add {C}.
{1}, {T}, Sacrifice this land: Search your library for a basic Mountain, Forest, or Plains card, put it onto the battlefield tapped, then shuffle.</t>
  </si>
  <si>
    <t>Sacrifice to search for a Mountain, Forest, or Plains card, put tapped</t>
  </si>
  <si>
    <t>c0401</t>
  </si>
  <si>
    <t>Bayek of Siwa</t>
  </si>
  <si>
    <t>Double strike
During your turn, other historic creatures you control have double strike.
Disguise {1}{R}{W} (You may cast this card face down for {3} as a 2/2 creature with ward {2}. Turn it face up any time for its disguise cost.)
(3/4)</t>
  </si>
  <si>
    <t>Other historic creatures you control strike twice in combat during your turn</t>
  </si>
  <si>
    <t>Can be cast face-down for {3}, later flipped for its cost</t>
  </si>
  <si>
    <t>c0621</t>
  </si>
  <si>
    <t>Legion Warboss</t>
  </si>
  <si>
    <t>Mentor (Whenever this creature attacks, put a +1/+1 counter on target attacking creature with lesser power.)
At the beginning of combat on your turn, create a 1/1 red Goblin creature token. That token gains haste until end of turn and attacks this combat if able.
(2/2)</t>
  </si>
  <si>
    <t>Combat: creates a hasty 1/1 Goblin token that attacks</t>
  </si>
  <si>
    <t>Puts a +1/+1 counter on an attacker with lesser power</t>
  </si>
  <si>
    <t>c0023</t>
  </si>
  <si>
    <t>Desmond Miles</t>
  </si>
  <si>
    <t>Menace
Desmond Miles gets +1/+0 for each other Assassin you control and each Assassin card in your graveyard.
Whenever Desmond Miles deals combat damage to a player, surveil X, where X is the amount of damage it dealt to that player.
(1/3)</t>
  </si>
  <si>
    <t>Gets +1/+0 for each other Assassin you control or in your graveyard</t>
  </si>
  <si>
    <t>Combat damage to a player lets you look at and rearrange cards off the top of your library</t>
  </si>
  <si>
    <t>c0120</t>
  </si>
  <si>
    <t>Endbringer</t>
  </si>
  <si>
    <t>Untap this creature during each other player's untap step.
{T}: This creature deals 1 damage to any target.
{C}, {T}: Target creature can't attack or block this turn.
{C}{C}, {T}: Draw a card.
(5/5)</t>
  </si>
  <si>
    <t>Untaps during each other player's untap step</t>
  </si>
  <si>
    <t>Tap: deals 1 damage to any target</t>
  </si>
  <si>
    <t>Pay {C}{C}, tap: draw a card</t>
  </si>
  <si>
    <t>c0810</t>
  </si>
  <si>
    <t>Joined Researchers</t>
  </si>
  <si>
    <t>Human Cleric Wizard</t>
  </si>
  <si>
    <t>Joined Researchers {1}{W} — Creature — Human Cleric Wizard (2/2)
First strike
At the beginning of each end step, if an opponent has more cards in hand than you, this creature becomes prepared. (While it's prepared, you may cast a copy of its spell. Doing so unprepares it.)
//
Secret Rendezvous {1}{W}{W} — Sorcery
You and target opponent each draw three cards.</t>
  </si>
  <si>
    <t>Becomes prepared at each end step where an opponent has more cards in hand than you</t>
  </si>
  <si>
    <t>Secret Rendezvous: you and target opponent each draw three cards</t>
  </si>
  <si>
    <t>23</t>
  </si>
  <si>
    <t>c0377</t>
  </si>
  <si>
    <t>Temple of the False God</t>
  </si>
  <si>
    <t>{T}: Add {C}{C}. Activate only if you control five or more lands.</t>
  </si>
  <si>
    <t>Taps for {C}{C} if you control five or more lands</t>
  </si>
  <si>
    <t>c0806</t>
  </si>
  <si>
    <t>Indomitable Ancients</t>
  </si>
  <si>
    <t>Treefolk Warrior</t>
  </si>
  <si>
    <t>(2/10)</t>
  </si>
  <si>
    <t>c0406</t>
  </si>
  <si>
    <t>Boggart Cursecrafter</t>
  </si>
  <si>
    <t>Deathtouch
Whenever another Goblin you control dies, this creature deals 1 damage to each opponent.
(2/3)</t>
  </si>
  <si>
    <t>Deals 1 damage to each opponent whenever another Goblin you control dies</t>
  </si>
  <si>
    <t>c0773</t>
  </si>
  <si>
    <t>Daydream</t>
  </si>
  <si>
    <t>Exile target creature you control, then return that card to the battlefield under its owner's control with a +1/+1 counter on it.
Flashback {2}{W} (You may cast this card from your graveyard for its flashback cost. Then exile it.)</t>
  </si>
  <si>
    <t>Exile target creature you control, then return it to the battlefield with a +1/+1 counter on it</t>
  </si>
  <si>
    <t>Flashback {2}{W}</t>
  </si>
  <si>
    <t>9</t>
  </si>
  <si>
    <t>c0789</t>
  </si>
  <si>
    <t>Fall of the First Civilization</t>
  </si>
  <si>
    <t>Saga</t>
  </si>
  <si>
    <t>(As this Saga enters and after your draw step, add a lore counter. Sacrifice after III.)
I — You and target opponent each draw two cards.
II — Exile target artifact an opponent controls.
III — Each player chooses three nonland permanents they control. Destroy all other nonland permanents.</t>
  </si>
  <si>
    <t>Chapter I: you and an opponent each draw two cards</t>
  </si>
  <si>
    <t>Chapter II: exile target opponent artifact</t>
  </si>
  <si>
    <t>Chapter III: each player keeps 3 nonland permanents, rest destroyed</t>
  </si>
  <si>
    <t>c0672</t>
  </si>
  <si>
    <t>Voldaren Epicure</t>
  </si>
  <si>
    <t>When this creature enters, it deals 1 damage to each opponent. Create a Blood token. (It's an artifact with "{1}, {T}, Discard a card, Sacrifice this token: Draw a card.")
(1/1)</t>
  </si>
  <si>
    <t>Deals 1 damage to each opponent when it enters</t>
  </si>
  <si>
    <t>Creates a Blood token (sacrifice + discard: draw a card)</t>
  </si>
  <si>
    <t>c0622</t>
  </si>
  <si>
    <t>Light Up the Stage</t>
  </si>
  <si>
    <t>Spectacle {R} (You may cast this spell for its spectacle cost rather than its mana cost if an opponent lost life this turn.)
Exile the top two cards of your library. Until the end of your next turn, you may play those cards.</t>
  </si>
  <si>
    <t>Exiles top two cards of library; may play them until end of next turn</t>
  </si>
  <si>
    <t>Castable for {R} if an opponent lost life this turn</t>
  </si>
  <si>
    <t>c0498</t>
  </si>
  <si>
    <t>Shadrix Silverquill</t>
  </si>
  <si>
    <t>Flying, double strike
At the beginning of combat on your turn, you may choose two. Each mode must target a different player.
• Target player creates a 2/1 white and black Inkling creature token with flying.
• Target player draws a card and loses 1 life.
• Target player puts a +1/+1 counter on each creature they control.
(2/5)</t>
  </si>
  <si>
    <t>Combat: choose two modes, each targeting a different player</t>
  </si>
  <si>
    <t>Modes make a 2/1 flying token, draw+lose life, or add +1/+1 counters</t>
  </si>
  <si>
    <t>Flying double strike body</t>
  </si>
  <si>
    <t>c0302</t>
  </si>
  <si>
    <t>Bant Panorama</t>
  </si>
  <si>
    <t>{T}: Add {C}.
{1}, {T}, Sacrifice this land: Search your library for a basic Forest, Plains, or Island card, put it onto the battlefield tapped, then shuffle.</t>
  </si>
  <si>
    <t>Sacrifice to search for a basic Forest, Plains, or Island card, put tapped</t>
  </si>
  <si>
    <t>c0815</t>
  </si>
  <si>
    <t>Kinbinding</t>
  </si>
  <si>
    <t>Creatures you control get +X/+X, where X is the number of creatures that entered the battlefield under your control this turn.
At the beginning of combat on your turn, create a 1/1 green and white Kithkin creature token.</t>
  </si>
  <si>
    <t>Creatures you control get +X/+X, where X is the number of creatures that entered under your control this turn</t>
  </si>
  <si>
    <t>At the beginning of combat on your turn, create a 1/1 Kithkin token</t>
  </si>
  <si>
    <t>c0262</t>
  </si>
  <si>
    <t>Shared Roots</t>
  </si>
  <si>
    <t>Search your library for a basic land card, put it onto the battlefield tapped, then shuffle.</t>
  </si>
  <si>
    <t>Search your library for a basic land card and put it onto the battlefield tapped</t>
  </si>
  <si>
    <t>58</t>
  </si>
  <si>
    <t>Lenka Šimečková</t>
  </si>
  <si>
    <t>c0239</t>
  </si>
  <si>
    <t>Migration Path</t>
  </si>
  <si>
    <t>Search your library for up to two basic land cards, put them onto the battlefield tapped, then shuffle.
Cycling {2} ({2}, Discard this card: Draw a card.)</t>
  </si>
  <si>
    <t>Searches for up to two basic lands, puts them onto battlefield tapped</t>
  </si>
  <si>
    <t>Cycling {2}: discard to draw a card instead</t>
  </si>
  <si>
    <t>Ikoria: Lair of Behemoths</t>
  </si>
  <si>
    <t>c0597</t>
  </si>
  <si>
    <t>Goblin Rally</t>
  </si>
  <si>
    <t>Create four 1/1 red Goblin creature tokens.</t>
  </si>
  <si>
    <t>Creates four 1/1 Goblin tokens</t>
  </si>
  <si>
    <t>c0186</t>
  </si>
  <si>
    <t>Assault Formation</t>
  </si>
  <si>
    <t>Each creature you control assigns combat damage equal to its toughness rather than its power.
{G}: Target creature with defender can attack this turn as though it didn't have defender.
{2}{G}: Creatures you control get +0/+1 until end of turn.</t>
  </si>
  <si>
    <t>Your creatures assign combat damage equal to toughness rather than power</t>
  </si>
  <si>
    <t>{G}: Target defender can attack this turn</t>
  </si>
  <si>
    <t>{2}{G}: Creatures you control get +0/+1</t>
  </si>
  <si>
    <t>c0688</t>
  </si>
  <si>
    <t>Fblthp, the Lost</t>
  </si>
  <si>
    <t>When Fblthp enters, draw a card. If it entered from your library or was cast from your library, draw two cards instead.
When Fblthp becomes the target of a spell, shuffle Fblthp into its owner's library.
(1/1)</t>
  </si>
  <si>
    <t>When Fblthp enters, draw a card. If it entered from your library or was cast from your library, draw two cards instead</t>
  </si>
  <si>
    <t>When Fblthp becomes the target of a spell, shuffle Fblthp into its owner's library</t>
  </si>
  <si>
    <t>c0451</t>
  </si>
  <si>
    <t>Indulging Patrician</t>
  </si>
  <si>
    <t>Flying
Lifelink (Damage dealt by this creature also causes you to gain that much life.)
At the beginning of your end step, if you gained 3 or more life this turn, each opponent loses 3 life.
(1/4)</t>
  </si>
  <si>
    <t>Each opponent loses 3 life at your end step if you gained 3 or more life that turn</t>
  </si>
  <si>
    <t>c0620</t>
  </si>
  <si>
    <t>Lavaleaper</t>
  </si>
  <si>
    <t>Lavaleaper {3}{R} — Creature — Elemental (4/4)
All creatures have haste.
Whenever a player taps a basic land for mana, that player adds one mana of any type that land produced.</t>
  </si>
  <si>
    <t>All creatures have haste</t>
  </si>
  <si>
    <t>150</t>
  </si>
  <si>
    <t>Ron Spears</t>
  </si>
  <si>
    <t>c0300</t>
  </si>
  <si>
    <t>Azorius Chancery</t>
  </si>
  <si>
    <t>This land enters tapped.
When this land enters, return a land you control to its owner's hand.
{T}: Add {W}{U}.</t>
  </si>
  <si>
    <t>Taps for {W}{U}</t>
  </si>
  <si>
    <t>Enters tapped; bounces a land you control when it enters</t>
  </si>
  <si>
    <t>c0362</t>
  </si>
  <si>
    <t>Sandsteppe Citadel</t>
  </si>
  <si>
    <t>This land enters tapped.
{T}: Add {W}, {B}, or {G}.</t>
  </si>
  <si>
    <t>Taps for {W}, {B}, or {G}</t>
  </si>
  <si>
    <t>c0399</t>
  </si>
  <si>
    <t>Balefire Liege</t>
  </si>
  <si>
    <t>Spirit Horror</t>
  </si>
  <si>
    <t>Other red creatures you control get +1/+1.
Other white creatures you control get +1/+1.
Whenever you cast a red spell, this creature deals 3 damage to target player or planeswalker.
Whenever you cast a white spell, you gain 3 life.
(2/4)</t>
  </si>
  <si>
    <t>Other red creatures get +1/+1; other white creatures get +1/+1</t>
  </si>
  <si>
    <t>Casting a red spell deals 3 damage to a player or planeswalker</t>
  </si>
  <si>
    <t>Casting a white spell gains you 3 life</t>
  </si>
  <si>
    <t>c0802</t>
  </si>
  <si>
    <t>Haystack</t>
  </si>
  <si>
    <t>{2}, {T}: Target creature you control phases out. (Treat it and anything attached to it as though they don't exist until your next turn.)</t>
  </si>
  <si>
    <t>Phases out target creature you control</t>
  </si>
  <si>
    <t>c0541</t>
  </si>
  <si>
    <t>Blazing Firesinger</t>
  </si>
  <si>
    <t>Blazing Firesinger {2}{R} — Creature — Dwarf Bard (2/3)
This creature enters prepared. (While it's prepared, you may cast a copy of its spell. Doing so unprepares it.)
//
Seething Song {2}{R} — Instant
Add {R}{R}{R}{R}{R}.</t>
  </si>
  <si>
    <t>Enters prepared — you may cast a copy of Seething Song to add {R}{R}{R}{R}{R}</t>
  </si>
  <si>
    <t>2/3 body</t>
  </si>
  <si>
    <t>c0426</t>
  </si>
  <si>
    <t>Deputy of Detention</t>
  </si>
  <si>
    <t>Vedalken Wizard</t>
  </si>
  <si>
    <t>When this creature enters, exile target nonland permanent an opponent controls and all other nonland permanents that player controls with the same name as that permanent until this creature leaves the battlefield.
(1/3)</t>
  </si>
  <si>
    <t>Exiles target nonland permanent and same-named copies its controller has until this leaves</t>
  </si>
  <si>
    <t>c0887</t>
  </si>
  <si>
    <t>Tithe Taker</t>
  </si>
  <si>
    <t>During your turn, spells your opponents cast cost {1} more to cast and abilities your opponents activate cost {1} more to activate unless they're mana abilities.
Afterlife 1 (When this creature dies, create a 1/1 white and black Spirit creature token with flying.)
(2/1)</t>
  </si>
  <si>
    <t>Your opponents' spells and abilities cost {1} more on your turn</t>
  </si>
  <si>
    <t>Creates a 1/1 flying Spirit token when it dies</t>
  </si>
  <si>
    <t>c0746</t>
  </si>
  <si>
    <t>Ao, the Dawn Sky</t>
  </si>
  <si>
    <t>Flying, vigilance
When Ao dies, choose one —
• Look at the top seven cards of your library. Put any number of nonland permanent cards with total mana value 4 or less from among them onto the battlefield. Put the rest on the bottom of your library in a random order.
• Put two +1/+1 counters on each permanent you control that's a creature or Vehicle.
(5/4)</t>
  </si>
  <si>
    <t>When it dies, puts nonland permanents totaling mana value 4 or less from top 7 onto the battlefield</t>
  </si>
  <si>
    <t>Or puts two +1/+1 counters on each creature and Vehicle you control</t>
  </si>
  <si>
    <t>c0062</t>
  </si>
  <si>
    <t>Pox Plague</t>
  </si>
  <si>
    <t>Each player loses half their life, then discards half the cards in their hand, then sacrifices half the permanents they control of their choice. Round down each time.</t>
  </si>
  <si>
    <t>Each player loses half their life, discards half their hand, then sacrifices half their permanents, rounded down each time</t>
  </si>
  <si>
    <t>94</t>
  </si>
  <si>
    <t>Camille Alquier</t>
  </si>
  <si>
    <t>c1000</t>
  </si>
  <si>
    <t>Tam's Resistance</t>
  </si>
  <si>
    <t>Put a +1/+1 counter on up to one target creature. It gains vigilance until end of turn.
Empower Jace 4. (Put four loyalty counters on a Jace token you control. If you don't control one, first create a blue Jace planeswalker token with "[−1]: Surveil 1" and "[−3]: Draw a card.")</t>
  </si>
  <si>
    <t>Empower Jace 4: put 4 loyalty counters on a Jace token, creating one if needed</t>
  </si>
  <si>
    <t>Put a +1/+1 counter on up to one target creature; it gains vigilance until end of turn</t>
  </si>
  <si>
    <t>C 0153</t>
  </si>
  <si>
    <t>Samuel Perin</t>
  </si>
  <si>
    <t>c0004</t>
  </si>
  <si>
    <t>Bastion of Remembrance</t>
  </si>
  <si>
    <t>When this enchantment enters, create a 1/1 white Human Soldier creature token.
Whenever a creature you control dies, each opponent loses 1 life and you gain 1 life.</t>
  </si>
  <si>
    <t>Whenever a creature you control dies, each opponent loses 1 life and you gain 1 life</t>
  </si>
  <si>
    <t>Creates a 1/1 Human Soldier token when it enters</t>
  </si>
  <si>
    <t>c0632</t>
  </si>
  <si>
    <t>Ogre Battledriver</t>
  </si>
  <si>
    <t>Whenever another creature you control enters, that creature gets +2/+0 and gains haste until end of turn. (It can attack and {T} this turn.)
(3/3)</t>
  </si>
  <si>
    <t>Other creatures get +2/+0 and haste when they enter</t>
  </si>
  <si>
    <t>Magic 2014</t>
  </si>
  <si>
    <t>c0271</t>
  </si>
  <si>
    <t>Sylvan Ranger</t>
  </si>
  <si>
    <t>Elf Scout Ranger</t>
  </si>
  <si>
    <t>When this creature enters, you may search your library for a basic land card, reveal it, put it into your hand, then shuffle.
(1/1)</t>
  </si>
  <si>
    <t>Searches your library for a basic land card and puts it into your hand when it enters</t>
  </si>
  <si>
    <t>c0555</t>
  </si>
  <si>
    <t>Chaos Warp</t>
  </si>
  <si>
    <t>The owner of target permanent shuffles it into their library, then reveals the top card of their library. If it's a permanent card, they put it onto the battlefield.</t>
  </si>
  <si>
    <t>Shuffles target permanent into its owner's library, who may hit a new permanent off the top</t>
  </si>
  <si>
    <t>c0868</t>
  </si>
  <si>
    <t>Spectral Procession</t>
  </si>
  <si>
    <t>Create three 1/1 white Spirit creature tokens with flying.</t>
  </si>
  <si>
    <t>Creates three 1/1 flying Spirit tokens</t>
  </si>
  <si>
    <t>c0176</t>
  </si>
  <si>
    <t>Voyager Staff</t>
  </si>
  <si>
    <t>{2}, Sacrifice this artifact: Exile target creature. Return the exiled card to the battlefield under its owner's control at the beginning of the next end step.</t>
  </si>
  <si>
    <t>Sacrifice: exile target creature, return it at next end step</t>
  </si>
  <si>
    <t>c0856</t>
  </si>
  <si>
    <t>Secret Rendezvous</t>
  </si>
  <si>
    <t>You and target opponent each draw three cards.</t>
  </si>
  <si>
    <t>You and target opponent each draw three cards</t>
  </si>
  <si>
    <t>c0610</t>
  </si>
  <si>
    <t>Impolite Entrance</t>
  </si>
  <si>
    <t>Target creature gains trample and haste until end of turn.
Draw a card.</t>
  </si>
  <si>
    <t>Target creature gains trample and haste until end of turn</t>
  </si>
  <si>
    <t>146</t>
  </si>
  <si>
    <t>Changeling Wayfinder</t>
  </si>
  <si>
    <t>Changeling (This card is every creature type.)
When this creature enters, you may search your library for a basic land card, reveal it, put it into your hand, then shuffle.
(1/2)</t>
  </si>
  <si>
    <t>Enters: search your library for a basic land card and put it into your hand</t>
  </si>
  <si>
    <t>Changeling (it is every creature type)</t>
  </si>
  <si>
    <t>C 0001</t>
  </si>
  <si>
    <t>c0309</t>
  </si>
  <si>
    <t>Castle Embereth</t>
  </si>
  <si>
    <t>This land enters tapped unless you control a Mountain.
{T}: Add {R}.
{1}{R}{R}, {T}: Creatures you control get +1/+0 until end of turn.</t>
  </si>
  <si>
    <t>{1}{R}{R}, tap: creatures you control get +1/+0</t>
  </si>
  <si>
    <t>c0331</t>
  </si>
  <si>
    <t>Hinterland Harbor</t>
  </si>
  <si>
    <t>This land enters tapped unless you control a Forest or an Island.
{T}: Add {G} or {U}.</t>
  </si>
  <si>
    <t>Enters untapped if you control a Forest or Island</t>
  </si>
  <si>
    <t>Llanowar Elves</t>
  </si>
  <si>
    <t>{T}: Add {G}.
(1/1)</t>
  </si>
  <si>
    <t>{T}: Add {G}</t>
  </si>
  <si>
    <t>c1089</t>
  </si>
  <si>
    <t>Memory Trap</t>
  </si>
  <si>
    <t>When this enchantment enters, exile target nonland permanent an opponent controls until this enchantment leaves the battlefield.</t>
  </si>
  <si>
    <t>Enters: exile target nonland permanent an opponent controls until this leaves the battlefield</t>
  </si>
  <si>
    <t>C 0015</t>
  </si>
  <si>
    <t>c0661</t>
  </si>
  <si>
    <t>Tempt with Vengeance</t>
  </si>
  <si>
    <t>Tempting offer — Create X 1/1 red Elemental creature tokens with haste. Each opponent may create X 1/1 red Elemental creature tokens with haste. For each opponent who does, create X 1/1 red Elemental creature tokens with haste.</t>
  </si>
  <si>
    <t>Creates X 1/1 hasty Elemental tokens</t>
  </si>
  <si>
    <t>Opponents may match it, then you get that many more tokens</t>
  </si>
  <si>
    <t>c0706</t>
  </si>
  <si>
    <t>Loyal Inventor</t>
  </si>
  <si>
    <t>Vigilance
When this creature enters, you may search your library for an artifact card, reveal it, then shuffle. Put that card into your hand if you control an Assassin. Otherwise, put that card on top of your library.
(2/3)</t>
  </si>
  <si>
    <t>Searches library for an artifact card when it enters</t>
  </si>
  <si>
    <t>Puts it in hand if you control an Assassin, else on top of library</t>
  </si>
  <si>
    <t>c0258</t>
  </si>
  <si>
    <t>Reclamation Sage</t>
  </si>
  <si>
    <t>Elf Shaman</t>
  </si>
  <si>
    <t>When this creature enters, you may destroy target artifact or enchantment.
(2/1)</t>
  </si>
  <si>
    <t>Destroys target artifact or enchantment when it enters</t>
  </si>
  <si>
    <t>c0865</t>
  </si>
  <si>
    <t>Slaughter the Strong</t>
  </si>
  <si>
    <t>Each player chooses any number of creatures they control with total power 4 or less, then sacrifices all other creatures they control.</t>
  </si>
  <si>
    <t>Each player chooses any number of creatures they control with total power 4 or less, then sacrifices all other creatures</t>
  </si>
  <si>
    <t>c0910</t>
  </si>
  <si>
    <t>Winnowing</t>
  </si>
  <si>
    <t>Convoke (Your creatures can help cast this spell. Each creature you tap while casting this spell pays for {1} or one mana of that creature's color.)
For each player, you choose a creature that player controls. Then each player sacrifices all other creatures they control that don't share a creature type with the chosen creature they control.</t>
  </si>
  <si>
    <t>Each player sacrifices creatures not sharing a type with a chosen one</t>
  </si>
  <si>
    <t>c0641</t>
  </si>
  <si>
    <t>Raid Bombardment</t>
  </si>
  <si>
    <t>Whenever a creature you control with power 2 or less attacks, this enchantment deals 1 damage to the player or planeswalker that creature is attacking.</t>
  </si>
  <si>
    <t>Whenever a creature you control with power 2 or less attacks, deals 1 damage to what it's attacking</t>
  </si>
  <si>
    <t>c0197</t>
  </si>
  <si>
    <t>Carven Caryatid</t>
  </si>
  <si>
    <t>Defender (This creature can't attack.)
When this creature enters, draw a card.
(2/5)</t>
  </si>
  <si>
    <t>c0299</t>
  </si>
  <si>
    <t>Ash Barrens</t>
  </si>
  <si>
    <t>{T}: Add {C}.
Basic landcycling {1} ({1}, Discard this card: Search your library for a basic land card, reveal it, put it into your hand, then shuffle.)</t>
  </si>
  <si>
    <t>Basic landcycling {1}: discard to fetch a basic land</t>
  </si>
  <si>
    <t>c0337</t>
  </si>
  <si>
    <t>Kher Keep</t>
  </si>
  <si>
    <t>Legendary Land</t>
  </si>
  <si>
    <t>{T}: Add {C}.
{1}{R}, {T}: Create a 0/1 red Kobold creature token named Kobolds of Kher Keep.</t>
  </si>
  <si>
    <t>{1}{R}, tap: creates a 0/1 Kobold token</t>
  </si>
  <si>
    <t>c0364</t>
  </si>
  <si>
    <t>Seaside Citadel</t>
  </si>
  <si>
    <t>This land enters tapped.
{T}: Add {G}, {W}, or {U}.</t>
  </si>
  <si>
    <t>Taps for {G}, {W}, or {U}</t>
  </si>
  <si>
    <t>c0376</t>
  </si>
  <si>
    <t>Temple of Silence</t>
  </si>
  <si>
    <t>This land enters tapped.
When this land enters, scry 1. (Look at the top card of your library. You may put that card on the bottom.)
{T}: Add {W} or {B}.</t>
  </si>
  <si>
    <t>Enters tapped; scry 1 when it enters</t>
  </si>
  <si>
    <t>c0805</t>
  </si>
  <si>
    <t>Impassioned Orator</t>
  </si>
  <si>
    <t>Whenever another creature you control enters, you gain 1 life.
(2/2)</t>
  </si>
  <si>
    <t>Gain 1 life whenever another creature you control enters</t>
  </si>
  <si>
    <t>c0808</t>
  </si>
  <si>
    <t>Intangible Virtue</t>
  </si>
  <si>
    <t>Creature tokens you control get +1/+1 and have vigilance.</t>
  </si>
  <si>
    <t>Your creature tokens get +1/+1</t>
  </si>
  <si>
    <t>Your creature tokens have vigilance</t>
  </si>
  <si>
    <t>c0130</t>
  </si>
  <si>
    <t>Golgari Signet</t>
  </si>
  <si>
    <t>{1}, {T}: Add {B}{G}.</t>
  </si>
  <si>
    <t>{1}, {T}: Add {B}{G}</t>
  </si>
  <si>
    <t>c0231</t>
  </si>
  <si>
    <t>Kyoshi Island Plaza</t>
  </si>
  <si>
    <t>Shrine</t>
  </si>
  <si>
    <t>When Kyoshi Island Plaza enters, search your library for up to X basic land cards, where X is the number of Shrines you control. Put those cards onto the battlefield tapped, then shuffle.
Whenever another Shrine you control enters, search your library for a basic land card, put it onto the battlefield tapped, then shuffle.</t>
  </si>
  <si>
    <t>Searches for basic lands equal to Shrines you control, puts them onto the battlefield tapped, when it enters</t>
  </si>
  <si>
    <t>Searches for one basic land tapped whenever another Shrine you control enters</t>
  </si>
  <si>
    <t>c0842</t>
  </si>
  <si>
    <t>Rally the Ancestors</t>
  </si>
  <si>
    <t>Return each creature card with mana value X or less from your graveyard to the battlefield. Exile those creatures at the beginning of your next upkeep. Exile Rally the Ancestors.</t>
  </si>
  <si>
    <t>Return each creature card with mana value X or less from your graveyard to the battlefield. Exile those creatures at the</t>
  </si>
  <si>
    <t>c0017</t>
  </si>
  <si>
    <t>Chain Assassination</t>
  </si>
  <si>
    <t>Freerunning {1}{B} (You may cast this spell for its freerunning cost if you dealt combat damage to a player this turn with an Assassin or commander.)
Destroy target creature. If another creature died this turn, draw a card.</t>
  </si>
  <si>
    <t>Destroys target creature</t>
  </si>
  <si>
    <t>Draw a card if another creature died this turn</t>
  </si>
  <si>
    <t>Can be cast for less if you dealt combat damage with an Assassin or commander</t>
  </si>
  <si>
    <t>c0835</t>
  </si>
  <si>
    <t>Ossification</t>
  </si>
  <si>
    <t>Enchant basic land you control
When this Aura enters, exile target creature or planeswalker an opponent controls until this Aura leaves the battlefield.</t>
  </si>
  <si>
    <t>Exiles target creature or planeswalker (enchants a basic land you control)</t>
  </si>
  <si>
    <t>c0022</t>
  </si>
  <si>
    <t>Deadly Dispute</t>
  </si>
  <si>
    <t>As an additional cost to cast this spell, sacrifice an artifact or creature.
Draw two cards and create a Treasure token. (It's an artifact with "{T}, Sacrifice this token: Add one mana of any color.")</t>
  </si>
  <si>
    <t>Sacrifice an artifact or creature to draw two cards and make a Treasure token</t>
  </si>
  <si>
    <t>c0536</t>
  </si>
  <si>
    <t>Barrage of Expendables</t>
  </si>
  <si>
    <t>{R}, Sacrifice a creature: This enchantment deals 1 damage to any target.</t>
  </si>
  <si>
    <t>{R}, sacrifice a creature: deals 1 damage to any target</t>
  </si>
  <si>
    <t>c0653</t>
  </si>
  <si>
    <t>Skirk Prospector</t>
  </si>
  <si>
    <t>Sacrifice a Goblin: Add {R}.
(1/1)</t>
  </si>
  <si>
    <t>Sacrifice a Goblin: add {R}</t>
  </si>
  <si>
    <t>c0822</t>
  </si>
  <si>
    <t>Lingering Souls</t>
  </si>
  <si>
    <t>Create two 1/1 white Spirit creature tokens with flying.
Flashback {1}{B} (You may cast this card from your graveyard for its flashback cost. Then exile it.)</t>
  </si>
  <si>
    <t>Creates two 1/1 flying Spirit tokens</t>
  </si>
  <si>
    <t>Flashback {1}{B} to cast again from graveyard</t>
  </si>
  <si>
    <t>c0827</t>
  </si>
  <si>
    <t>Ministrant of Obligation</t>
  </si>
  <si>
    <t>Afterlife 2 (When this creature dies, create two 1/1 white and black Spirit creature tokens with flying.)
(2/1)</t>
  </si>
  <si>
    <t>Creates two 1/1 flying Spirit tokens when it dies</t>
  </si>
  <si>
    <t>c0683</t>
  </si>
  <si>
    <t>Dream Stalker</t>
  </si>
  <si>
    <t>When this creature enters, return a permanent you control to its owner's hand.
(1/5)</t>
  </si>
  <si>
    <t>When this creature enters, return a permanent you control to its owner's hand</t>
  </si>
  <si>
    <t>c0909</t>
  </si>
  <si>
    <t>Wingmantle Chaplain</t>
  </si>
  <si>
    <t>Defender
When this creature enters, create a 1/1 white Bird creature token with flying for each creature with defender you control.
Whenever another creature you control with defender enters, create a 1/1 white Bird creature token with flying.
(0/3)</t>
  </si>
  <si>
    <t>Creates a 1/1 flying Bird token for each defender you control, on ETB</t>
  </si>
  <si>
    <t>Creates another Bird token whenever a defender creature enters</t>
  </si>
  <si>
    <t>c0542</t>
  </si>
  <si>
    <t>Bloodthirsty Adversary</t>
  </si>
  <si>
    <t>Haste
When this creature enters, you may pay {2}{R} any number of times. When you pay this cost one or more times, put that many +1/+1 counters on this creature, then exile up to that many target instant and/or sorcery cards with mana value 3 or less from your graveyard and copy them. You may cast any number of the copies without paying their mana costs.
(2/2)</t>
  </si>
  <si>
    <t>When this creature enters, you may pay {2}{R} any number of times. When you pay this cost one or more times, put that ma</t>
  </si>
  <si>
    <t>c0760</t>
  </si>
  <si>
    <t>Charming Prince</t>
  </si>
  <si>
    <t>Human Noble</t>
  </si>
  <si>
    <t>When this creature enters, choose one —
• Scry 2.
• You gain 3 life.
• Exile another target creature you own. Return it to the battlefield under your control at the beginning of the next end step.
(2/2)</t>
  </si>
  <si>
    <t>Choose one when it enters: Scry 2, gain 3 life, or blink another target creature you own</t>
  </si>
  <si>
    <t>c0068</t>
  </si>
  <si>
    <t>Read the Bones</t>
  </si>
  <si>
    <t>Scry 2, then draw two cards. You lose 2 life. (To scry 2, look at the top two cards of your library, then put any number of them on the bottom and the rest on top in any order.)</t>
  </si>
  <si>
    <t>Scry 2, then draw two cards</t>
  </si>
  <si>
    <t>You lose 2 life</t>
  </si>
  <si>
    <t>c0524</t>
  </si>
  <si>
    <t>Wavesifter</t>
  </si>
  <si>
    <t>Flying
When this creature enters, investigate twice. (To investigate, create a Clue token. It's an artifact with "{2}, Sacrifice this token: Draw a card.")
Evoke {G}{U} (You may cast this spell for its evoke cost. If you do, it's sacrificed when it enters.)
(3/2)</t>
  </si>
  <si>
    <t>Creates two Clue tokens (sac, {2}: draw a card)</t>
  </si>
  <si>
    <t>Can be cast for its evoke cost, then sacrificed</t>
  </si>
  <si>
    <t>c0724</t>
  </si>
  <si>
    <t>Shinestriker</t>
  </si>
  <si>
    <t>Flying
Vivid — When this creature enters, draw cards equal to the number of colors among permanents you control.
(3/3)</t>
  </si>
  <si>
    <t>Draws a card for each color among permanents you control</t>
  </si>
  <si>
    <t>c0699</t>
  </si>
  <si>
    <t>Gran-Gran</t>
  </si>
  <si>
    <t>Human Peasant Ally</t>
  </si>
  <si>
    <t>Whenever Gran-Gran becomes tapped, draw a card, then discard a card.
Noncreature spells you cast cost {1} less to cast as long as there are three or more Lesson cards in your graveyard.
(1/2)</t>
  </si>
  <si>
    <t>Draws then discards a card whenever it becomes tapped</t>
  </si>
  <si>
    <t>Noncreature spells cost {1} less with three or more Lessons in your graveyard</t>
  </si>
  <si>
    <t>c0220</t>
  </si>
  <si>
    <t>Grazing Gladehart</t>
  </si>
  <si>
    <t>Antelope</t>
  </si>
  <si>
    <t>Landfall — Whenever a land you control enters, you may gain 2 life.
(2/2)</t>
  </si>
  <si>
    <t>Gains 2 life when a land you control enters</t>
  </si>
  <si>
    <t>c0832</t>
  </si>
  <si>
    <t>Nyx-Fleece Ram</t>
  </si>
  <si>
    <t>Sheep</t>
  </si>
  <si>
    <t>At the beginning of your upkeep, you gain 1 life.
(0/5)</t>
  </si>
  <si>
    <t>Gains 1 life each upkeep</t>
  </si>
  <si>
    <t>Journey into Nyx</t>
  </si>
  <si>
    <t>c0742</t>
  </si>
  <si>
    <t>An Unexpected Party // At the Door</t>
  </si>
  <si>
    <t>An Unexpected Party {2}{W}{W} — Enchantment
As this enchantment enters, choose a creature type.
Creatures you control of the chosen type get +2/+2.
//
At the Door {X}{2}{W} — Sorcery — Adventure
Create X 2/2 red Dwarf creature tokens. (Then exile this card. You may cast the enchantment later from exile.)</t>
  </si>
  <si>
    <t>Creatures you control of the creature type chosen as it entered get +2/+2</t>
  </si>
  <si>
    <t>At the Door {X}{2}{W} — Adventure: create X 2/2 Dwarf tokens, then cast the enchantment later from exile</t>
  </si>
  <si>
    <t>29</t>
  </si>
  <si>
    <t>c0098</t>
  </si>
  <si>
    <t>Argentum Masticore</t>
  </si>
  <si>
    <t>Phyrexian Masticore</t>
  </si>
  <si>
    <t>First strike, protection from multicolored
At the beginning of your upkeep, sacrifice this creature unless you discard a card. When you discard a card this way, destroy target nonland permanent an opponent controls with mana value less than or equal to the mana value of the discarded card.
(5/5)</t>
  </si>
  <si>
    <t>Discard a card each upkeep or sacrifice this creature</t>
  </si>
  <si>
    <t>Discarding destroys an opponent's permanent MV ≤ the discarded card</t>
  </si>
  <si>
    <t>First strike, protection from multicolored body</t>
  </si>
  <si>
    <t>c0558</t>
  </si>
  <si>
    <t>Combustion Technique</t>
  </si>
  <si>
    <t>Combustion Technique deals damage equal to 2 plus the number of Lesson cards in your graveyard to target creature. If that creature would die this turn, exile it instead.</t>
  </si>
  <si>
    <t>Deals 2 plus Lesson cards in graveyard damage to target creature</t>
  </si>
  <si>
    <t>Exiles that creature instead of letting it die this turn</t>
  </si>
  <si>
    <t>c0407</t>
  </si>
  <si>
    <t>Bolg's Company</t>
  </si>
  <si>
    <t>Bolg's Company {B}{R} — Creature — Goblin Soldier (2/2)
This creature has haste as long as you control another Goblin.
{T}, Sacrifice another Goblin: Add {B}{R}.</t>
  </si>
  <si>
    <t>{T}, Sacrifice another Goblin: Add {B}{R}</t>
  </si>
  <si>
    <t>211</t>
  </si>
  <si>
    <t>Denman Rooke</t>
  </si>
  <si>
    <t>c0011</t>
  </si>
  <si>
    <t>Boggart Mischief</t>
  </si>
  <si>
    <t>Kindred Enchantment</t>
  </si>
  <si>
    <t>When this enchantment enters, you may blight 1. If you do, create two 1/1 black and red Goblin creature tokens. (To blight 1, put a -1/-1 counter on a creature you control.)
Whenever a Goblin creature you control dies, each opponent loses 1 life and you gain 1 life.</t>
  </si>
  <si>
    <t>Put a -1/-1 counter on a creature you control to create two 1/1 Goblin tokens when it enters</t>
  </si>
  <si>
    <t>Each opponent loses 1 life and you gain 1 life whenever a Goblin you control dies</t>
  </si>
  <si>
    <t>c0538</t>
  </si>
  <si>
    <t>Beetleback Chief</t>
  </si>
  <si>
    <t>When this creature enters, create two 1/1 red Goblin creature tokens.
(2/2)</t>
  </si>
  <si>
    <t>Creates two 1/1 Goblin tokens when it enters</t>
  </si>
  <si>
    <t>Planechase 2012</t>
  </si>
  <si>
    <t>c0651</t>
  </si>
  <si>
    <t>Siege-Gang Commander</t>
  </si>
  <si>
    <t>When this creature enters, create three 1/1 red Goblin creature tokens.
{1}{R}, Sacrifice a Goblin: This creature deals 2 damage to any target.
(2/2)</t>
  </si>
  <si>
    <t>Creates three 1/1 Goblin tokens when it enters</t>
  </si>
  <si>
    <t>{1}{R}, sacrifice a Goblin: deals 2 damage to any target</t>
  </si>
  <si>
    <t>c0512</t>
  </si>
  <si>
    <t>Tom, Bert, and William</t>
  </si>
  <si>
    <t>Troll</t>
  </si>
  <si>
    <t>{1}, Sacrifice another creature: Draw cards equal to the sacrificed creature's power, then discard a card.
When Tom, Bert, and William die, if they were a creature, return them to the battlefield. They're an artifact. (They're no longer a creature.)
(5/5)</t>
  </si>
  <si>
    <t>{1}, sacrifice another creature: draw cards equal to its power, then discard a card</t>
  </si>
  <si>
    <t>When they die as a creature, they return to the battlefield as an artifact</t>
  </si>
  <si>
    <t>169</t>
  </si>
  <si>
    <t>c0194</t>
  </si>
  <si>
    <t>Bristlebane Battler</t>
  </si>
  <si>
    <t>Kithkin Soldier</t>
  </si>
  <si>
    <t>Trample, ward {2}
This creature enters with five -1/-1 counters on it.
Whenever another creature you control enters while this creature has a -1/-1 counter on it, remove a -1/-1 counter from this creature.
(6/6)</t>
  </si>
  <si>
    <t>Enters with five -1/-1 counters on it</t>
  </si>
  <si>
    <t>Removes a -1/-1 counter from itself whenever another creature you control enters</t>
  </si>
  <si>
    <t>c0604</t>
  </si>
  <si>
    <t>Gristle Glutton</t>
  </si>
  <si>
    <t>Goblin Scout</t>
  </si>
  <si>
    <t>{T}, Blight 1: Discard a card. If you do, draw a card. (To blight 1, put a -1/-1 counter on a creature you control.)
(1/3)</t>
  </si>
  <si>
    <t>Put a -1/-1 counter on a creature to loot (discard then draw)</t>
  </si>
  <si>
    <t>C 0144</t>
  </si>
  <si>
    <t>c0500</t>
  </si>
  <si>
    <t>Sidar Kondo of Jamuraa</t>
  </si>
  <si>
    <t>Flanking (Whenever a creature without flanking blocks this creature, the blocking creature gets -1/-1 until end of turn.)
Creatures your opponents control without flying or reach can't block creatures with power 2 or less.
Partner (You can have two commanders if both have partner.)
(2/5)</t>
  </si>
  <si>
    <t>Your creatures with power 2 or less can't be blocked by creatures without flying or reach</t>
  </si>
  <si>
    <t>c0349</t>
  </si>
  <si>
    <t>Night Market</t>
  </si>
  <si>
    <t>This land enters tapped. As it enters, choose a color.
{T}: Add one mana of the chosen color.
Cycling {3} ({3}, Discard this card: Draw a card.)</t>
  </si>
  <si>
    <t>Taps for a chosen color</t>
  </si>
  <si>
    <t>Discard for {3} to draw a card instead of playing it</t>
  </si>
  <si>
    <t>Aetherdrift</t>
  </si>
  <si>
    <t>C 0258</t>
  </si>
  <si>
    <t>David Alvarez</t>
  </si>
  <si>
    <t>c0185</t>
  </si>
  <si>
    <t>Arboreal Grazer</t>
  </si>
  <si>
    <t>Sloth Beast</t>
  </si>
  <si>
    <t>Reach
When this creature enters, you may put a land card from your hand onto the battlefield tapped.
(0/3)</t>
  </si>
  <si>
    <t>Puts a land from your hand onto the battlefield tapped, on ETB</t>
  </si>
  <si>
    <t>Reach body</t>
  </si>
  <si>
    <t>c0387</t>
  </si>
  <si>
    <t>Abigale, Eloquent First-Year</t>
  </si>
  <si>
    <t>Bird Bard</t>
  </si>
  <si>
    <t>Flying, first strike, lifelink
When Abigale enters, up to one other target creature loses all abilities. Put a flying counter, a first strike counter, and a lifelink counter on that creature.
(1/1)</t>
  </si>
  <si>
    <t>Up to one target creature loses all abilities and gains a flying, first strike, and lifelink counter when Abigale enters</t>
  </si>
  <si>
    <t>c0033</t>
  </si>
  <si>
    <t>Gloom Ripper</t>
  </si>
  <si>
    <t>Elf Assassin</t>
  </si>
  <si>
    <t>When this creature enters, target creature you control gets +X/+0 until end of turn and up to one target creature an opponent controls gets -0/-X until end of turn, where X is the number of Elves you control plus the number of Elf cards in your graveyard.
(4/4)</t>
  </si>
  <si>
    <t>Target creature you control gets +X/+0 and an opponent's creature gets -0/-X until end of turn</t>
  </si>
  <si>
    <t>X equals Elves you control plus Elf cards in your graveyard</t>
  </si>
  <si>
    <t>c0528</t>
  </si>
  <si>
    <t>Abrade</t>
  </si>
  <si>
    <t>Choose one —
• Abrade deals 3 damage to target creature.
• Destroy target artifact.</t>
  </si>
  <si>
    <t>Deals 3 damage to target creature, or destroys target artifact</t>
  </si>
  <si>
    <t>Hour of Devastation</t>
  </si>
  <si>
    <t>c0177</t>
  </si>
  <si>
    <t>Walking Bulwark</t>
  </si>
  <si>
    <t>Defender
{2}: Until end of turn, target creature with defender gains haste, can attack as though it didn't have defender, and assigns combat damage equal to its toughness rather than its power. Activate only as a sorcery.
(0/3)</t>
  </si>
  <si>
    <t>Lets target defender attack, dealing damage equal to toughness</t>
  </si>
  <si>
    <t>Defender body itself</t>
  </si>
  <si>
    <t>c0052</t>
  </si>
  <si>
    <t>Nighthowl Pursuer</t>
  </si>
  <si>
    <t>Nighthowl Pursuer {B} — Creature — Wolf (1/1)
Menace (This creature can't be blocked except by two or more creatures.)
Ferocious — Whenever this creature attacks while you control a creature with power 4 or greater, this creature gets +2/+2 until end of turn.</t>
  </si>
  <si>
    <t>Menace; Ferocious - attacks bigger while you control a creature with power 4 or greater</t>
  </si>
  <si>
    <t>Tomas Duchek</t>
  </si>
  <si>
    <t>c0394</t>
  </si>
  <si>
    <t>Arbaaz Mir</t>
  </si>
  <si>
    <t>Whenever Arbaaz Mir or another nontoken historic permanent you control enters, Arbaaz Mir deals 1 damage to each opponent and you gain 1 life. (Artifacts, legendaries, and Sagas are historic.)
(2/2)</t>
  </si>
  <si>
    <t>Whenever a historic permanent you control enters, deals 1 damage to each opponent and gains you 1 life</t>
  </si>
  <si>
    <t>U 0138</t>
  </si>
  <si>
    <t>Bastien L. Deharme</t>
  </si>
  <si>
    <t>c0505</t>
  </si>
  <si>
    <t>Tam, Observant Sequencer // Deep Sight</t>
  </si>
  <si>
    <t>Tam, Observant Sequencer {2}{G}{U} — Legendary Creature — Gorgon Wizard (4/3)
Landfall — Whenever a land you control enters, Tam becomes prepared. (While it's prepared, you may cast a copy of its spell. Doing so unprepares it.)
//
Deep Sight {G}{U} — Sorcery
You draw a card and gain 1 life.</t>
  </si>
  <si>
    <t>Landfall — whenever a land you control enters, Tam becomes prepared and you may cast a copy of its spell</t>
  </si>
  <si>
    <t>Deep Sight: draw a card and gain 1 life</t>
  </si>
  <si>
    <t>237</t>
  </si>
  <si>
    <t>Jodie Muir</t>
  </si>
  <si>
    <t>c0275</t>
  </si>
  <si>
    <t>Tower Defense</t>
  </si>
  <si>
    <t>Creatures you control get +0/+5 and gain reach until end of turn.</t>
  </si>
  <si>
    <t>Your creatures get +0/+5 and gain reach until end of turn</t>
  </si>
  <si>
    <t>c0297</t>
  </si>
  <si>
    <t>Airship Engine Room</t>
  </si>
  <si>
    <t>This land enters tapped.
{T}: Add {U} or {R}.
{4}, {T}, Sacrifice this land: Draw a card.</t>
  </si>
  <si>
    <t>Taps for {U} or {R}</t>
  </si>
  <si>
    <t>Sacrifice and pay {4} to draw a card</t>
  </si>
  <si>
    <t>L 0265</t>
  </si>
  <si>
    <t>Andreas Rocha</t>
  </si>
  <si>
    <t>c0350</t>
  </si>
  <si>
    <t>Orzhov Basilica</t>
  </si>
  <si>
    <t>This land enters tapped.
When this land enters, return a land you control to its owner's hand.
{T}: Add {W}{B}.</t>
  </si>
  <si>
    <t>Taps for {W}{B}</t>
  </si>
  <si>
    <t>c0229</t>
  </si>
  <si>
    <t>Jaddi Offshoot</t>
  </si>
  <si>
    <t>Defender
Landfall — Whenever a land you control enters, you gain 1 life.
(0/3)</t>
  </si>
  <si>
    <t>Gain 1 life whenever a land you control enters</t>
  </si>
  <si>
    <t>c0388</t>
  </si>
  <si>
    <t>Abstract Paintmage</t>
  </si>
  <si>
    <t>Djinn Sorcerer</t>
  </si>
  <si>
    <t>At the beginning of your first main phase, add {U}{R}. Spend this mana only to cast instant and sorcery spells.
(2/2)</t>
  </si>
  <si>
    <t>At the beginning of your first main phase, add {U}{R}, spendable only on instants and sorceries</t>
  </si>
  <si>
    <t>171</t>
  </si>
  <si>
    <t>c0419</t>
  </si>
  <si>
    <t>Coiling Oracle</t>
  </si>
  <si>
    <t>Snake Elf Druid</t>
  </si>
  <si>
    <t>When this creature enters, reveal the top card of your library. If it's a land card, put it onto the battlefield. Otherwise, put that card into your hand.
(1/1)</t>
  </si>
  <si>
    <t>Reveals top card of library; puts it onto the battlefield if a land, otherwise to hand</t>
  </si>
  <si>
    <t>c0592</t>
  </si>
  <si>
    <t>Goblin Matron</t>
  </si>
  <si>
    <t>When this creature enters, you may search your library for a Goblin card, reveal that card, put it into your hand, then shuffle.
(1/1)</t>
  </si>
  <si>
    <t>Searches library for a Goblin card to hand when it enters</t>
  </si>
  <si>
    <t>Portal Second Age</t>
  </si>
  <si>
    <t>c0634</t>
  </si>
  <si>
    <t>Outpost Siege</t>
  </si>
  <si>
    <t>As this enchantment enters, choose Khans or Dragons.
• Khans — At the beginning of your upkeep, exile the top card of your library. Until end of turn, you may play that card.
• Dragons — Whenever a creature you control leaves the battlefield, this enchantment deals 1 damage to any target.</t>
  </si>
  <si>
    <t>Choose a mode as it enters</t>
  </si>
  <si>
    <t>Khans: each upkeep, exile top card and may play it this turn</t>
  </si>
  <si>
    <t>Dragons: whenever a creature you control leaves the battlefield, deals 1 damage to any target</t>
  </si>
  <si>
    <t>c0182</t>
  </si>
  <si>
    <t>Ambitious Augmenter</t>
  </si>
  <si>
    <t>Turtle Wizard</t>
  </si>
  <si>
    <t>Increment (Whenever you cast a spell, if the amount of mana you spent is greater than this creature's power or toughness, put a +1/+1 counter on this creature.)
When this creature dies, if it had one or more counters on it, create a 0/0 green and blue Fractal creature token, then put this creature's counters on that token.
(1/1)</t>
  </si>
  <si>
    <t>Increment — whenever you cast a spell for more mana than this creature's power or toughness, put a +1/+1 counter on it</t>
  </si>
  <si>
    <t>When it dies with counters on it, create a 0/0 Fractal token and move the counters onto it</t>
  </si>
  <si>
    <t>140</t>
  </si>
  <si>
    <t>Mariah Tekulve</t>
  </si>
  <si>
    <t>c0660</t>
  </si>
  <si>
    <t>Steal the Show</t>
  </si>
  <si>
    <t>Choose one or both —
• Target player discards any number of cards, then draws that many cards.
• Steal the Show deals damage equal to the number of instant and sorcery cards in your graveyard to target creature or planeswalker.</t>
  </si>
  <si>
    <t>Choose one or both — target player discards any number of cards, then draws that many</t>
  </si>
  <si>
    <t>And/or deal damage equal to the instants and sorceries in your graveyard to a creature or planeswalker</t>
  </si>
  <si>
    <t>130</t>
  </si>
  <si>
    <t>c0081</t>
  </si>
  <si>
    <t>Triskaidekaphobia</t>
  </si>
  <si>
    <t>At the beginning of your upkeep, choose one —
• Each player with exactly 13 life loses the game, then each player gains 1 life.
• Each player with exactly 13 life loses the game, then each player loses 1 life.</t>
  </si>
  <si>
    <t>At the beginning of your upkeep, choose one —</t>
  </si>
  <si>
    <t>• Each player with exactly 13 life loses the game, then each player gains 1 life</t>
  </si>
  <si>
    <t>• Each player with exactly 13 life loses the game, then each player loses 1 life</t>
  </si>
  <si>
    <t>c0716</t>
  </si>
  <si>
    <t>Peregrine Drake</t>
  </si>
  <si>
    <t>Drake</t>
  </si>
  <si>
    <t>Flying
When this creature enters, untap up to five lands.
(2/3)</t>
  </si>
  <si>
    <t>Untaps up to five lands when it enters</t>
  </si>
  <si>
    <t>Urza's Saga</t>
  </si>
  <si>
    <t>c0803</t>
  </si>
  <si>
    <t>Hop to It</t>
  </si>
  <si>
    <t>Create three 1/1 white Rabbit creature tokens.</t>
  </si>
  <si>
    <t>Create three 1/1 Rabbit tokens</t>
  </si>
  <si>
    <t>6</t>
  </si>
  <si>
    <t>c0446</t>
  </si>
  <si>
    <t>Hidden Stockpile</t>
  </si>
  <si>
    <t>Revolt — At the beginning of your end step, if a permanent left the battlefield under your control this turn, create a 1/1 colorless Servo artifact creature token.
{1}, Sacrifice a creature: Scry 1.</t>
  </si>
  <si>
    <t>End step: creates a 1/1 Servo token if a permanent left the battlefield under your control this turn</t>
  </si>
  <si>
    <t>{1}, sacrifice a creature: Scry 1</t>
  </si>
  <si>
    <t>Aether Revolt</t>
  </si>
  <si>
    <t>c0090</t>
  </si>
  <si>
    <t>Wall of Limbs</t>
  </si>
  <si>
    <t>Zombie Wall</t>
  </si>
  <si>
    <t>Defender (This creature can't attack.)
Whenever you gain life, put a +1/+1 counter on this creature.
{5}{B}{B}, Sacrifice this creature: Target player loses X life, where X is this creature's power.
(0/3)</t>
  </si>
  <si>
    <t>Gets a +1/+1 counter whenever you gain life</t>
  </si>
  <si>
    <t>Sacrifice: target player loses life equal to this creature's power</t>
  </si>
  <si>
    <t>c0124</t>
  </si>
  <si>
    <t>Filigree Familiar</t>
  </si>
  <si>
    <t>Fox</t>
  </si>
  <si>
    <t>When this creature enters, you gain 2 life.
When this creature dies, draw a card.
(2/2)</t>
  </si>
  <si>
    <t>Gain 2 life when it enters</t>
  </si>
  <si>
    <t>c0650</t>
  </si>
  <si>
    <t>Siege Smash</t>
  </si>
  <si>
    <t>Split second (As long as this spell is on the stack, players can't cast spells or activate abilities that aren't mana abilities.)
Choose one —
• Destroy target artifact.
• Target creature gets +3/+2 and gains trample until end of turn.</t>
  </si>
  <si>
    <t>Split second: nobody can respond while it is on the stack</t>
  </si>
  <si>
    <t>Destroys an artifact</t>
  </si>
  <si>
    <t>Or gives a creature +3/+2 and trample</t>
  </si>
  <si>
    <t>c0283</t>
  </si>
  <si>
    <t>Wall of Mulch</t>
  </si>
  <si>
    <t>Defender (This creature can't attack.)
{G}, Sacrifice a Wall: Draw a card.
(0/4)</t>
  </si>
  <si>
    <t>Sacrifice a Wall and pay {G} to draw a card</t>
  </si>
  <si>
    <t>c0242</t>
  </si>
  <si>
    <t>Morcant's Eyes</t>
  </si>
  <si>
    <t>Morcant's Eyes {1}{G} — Kindred Enchantment — Elf
At the beginning of your upkeep, surveil 1. (Look at the top card of your library. You may put it into your graveyard.)
{4}{G}{G}, Sacrifice this enchantment: Create X 2/2 black and green Elf creature tokens, where X is the number of Elf cards in your graveyard. Activate only as a sorcery.</t>
  </si>
  <si>
    <t>At the beginning of your upkeep, surveil 1</t>
  </si>
  <si>
    <t>Sacrifice for {4}{G}{G}: create X 2/2 black and green tokens</t>
  </si>
  <si>
    <t>David Palumbo</t>
  </si>
  <si>
    <t>c0238</t>
  </si>
  <si>
    <t>Midnight Tilling</t>
  </si>
  <si>
    <t>Mill four cards, then you may return a permanent card from among them to your hand. (To mill four cards, put the top four cards of your library into your graveyard.)</t>
  </si>
  <si>
    <t>Mills four cards, then returns a permanent card from among them to hand</t>
  </si>
  <si>
    <t>c0243</t>
  </si>
  <si>
    <t>Mulch</t>
  </si>
  <si>
    <t>Reveal the top four cards of your library. Put all land cards revealed this way into your hand and the rest into your graveyard.</t>
  </si>
  <si>
    <t>Reveals top four cards; puts land cards into your hand and the rest into your graveyard</t>
  </si>
  <si>
    <t>c0643</t>
  </si>
  <si>
    <t>Reckless Ransacking</t>
  </si>
  <si>
    <t>Target creature gets +3/+2 until end of turn. Create a Treasure token. (It's an artifact with "{T}, Sacrifice this token: Add one mana of any color.")</t>
  </si>
  <si>
    <t>Target creature gets +3/+2 until end of turn</t>
  </si>
  <si>
    <t>Creates a Treasure token</t>
  </si>
  <si>
    <t>c0896</t>
  </si>
  <si>
    <t>Wakestone Gargoyle</t>
  </si>
  <si>
    <t>Defender, flying
{1}{W}: Creatures you control with defender can attack this turn as though they didn't have defender.
(3/4)</t>
  </si>
  <si>
    <t>Lets your defender creatures attack this turn for {1}{W}</t>
  </si>
  <si>
    <t>Defender, flying body</t>
  </si>
  <si>
    <t>c0125</t>
  </si>
  <si>
    <t>Foraging Wickermaw</t>
  </si>
  <si>
    <t>Scarecrow</t>
  </si>
  <si>
    <t>When this creature enters, surveil 1. (Look at the top card of your library. You may put it into your graveyard.)
{1}: Add one mana of any color. This creature becomes that color until end of turn. Activate only once each turn.
(1/3)</t>
  </si>
  <si>
    <t>{1}: Add one mana of any color and it becomes that color; once each turn</t>
  </si>
  <si>
    <t>Enters: look at the top card of your library, and you may put it into your graveyard</t>
  </si>
  <si>
    <t>C 0256</t>
  </si>
  <si>
    <t>Ron Spencer</t>
  </si>
  <si>
    <t>c0347</t>
  </si>
  <si>
    <t>Myriad Landscape</t>
  </si>
  <si>
    <t>This land enters tapped.
{T}: Add {C}.
{2}, {T}, Sacrifice this land: Search your library for up to two basic land cards that share a land type, put them onto the battlefield tapped, then shuffle.</t>
  </si>
  <si>
    <t>Sacrifice: search for two basic lands sharing a land type, tapped</t>
  </si>
  <si>
    <t>c0259</t>
  </si>
  <si>
    <t>Royal Treatment</t>
  </si>
  <si>
    <t>Target creature you control gains hexproof until end of turn. Create a Royal Role token attached to that creature. (If you control another Role on it, put that one into the graveyard. Enchanted creature gets +1/+1 and has ward {1}.)</t>
  </si>
  <si>
    <t>Target creature you control gains hexproof until end of turn</t>
  </si>
  <si>
    <t>Creates a Royal Role token attached to it, giving +1/+1 and ward {1}</t>
  </si>
  <si>
    <t>56</t>
  </si>
  <si>
    <t>c0245</t>
  </si>
  <si>
    <t>Noxious Newt</t>
  </si>
  <si>
    <t>Salamander</t>
  </si>
  <si>
    <t>Deathtouch
{T}: Add {G}.
(1/2)</t>
  </si>
  <si>
    <t>155</t>
  </si>
  <si>
    <t>c0107</t>
  </si>
  <si>
    <t>Burnished Hart</t>
  </si>
  <si>
    <t>Elk</t>
  </si>
  <si>
    <t>{3}, Sacrifice this creature: Search your library for up to two basic land cards, put them onto the battlefield tapped, then shuffle.
(2/2)</t>
  </si>
  <si>
    <t>Sacrifice: search for two basic lands, put them into play tapped</t>
  </si>
  <si>
    <t>c0658</t>
  </si>
  <si>
    <t>Squee, Goblin Nabob</t>
  </si>
  <si>
    <t>At the beginning of your upkeep, you may return this card from your graveyard to your hand.
(1/1)</t>
  </si>
  <si>
    <t>Upkeep: you may return this card from graveyard to your hand</t>
  </si>
  <si>
    <t>c0082</t>
  </si>
  <si>
    <t>Unbury</t>
  </si>
  <si>
    <t>Choose one —
• Return target creature card from your graveyard to your hand.
• Return two target creature cards that share a creature type from your graveyard to your hand.</t>
  </si>
  <si>
    <t>Returns target creature card from your graveyard to hand</t>
  </si>
  <si>
    <t>Or returns two target creature cards sharing a type from your graveyard to hand</t>
  </si>
  <si>
    <t>c0765</t>
  </si>
  <si>
    <t>Cloud's Limit Break</t>
  </si>
  <si>
    <t>Tiered (Choose one additional cost.)
• Cross-Slash — {0} — Destroy target tapped creature.
• Blade Beam — {1} — Destroy any number of target tapped creatures with different controllers.
• Omnislash — {3}{W} — Destroy all tapped creatures.</t>
  </si>
  <si>
    <t>Destroy target tapped creature</t>
  </si>
  <si>
    <t>Or destroy any number of target tapped creatures with different controllers</t>
  </si>
  <si>
    <t>Or destroy all tapped creatures for {3}{W} more</t>
  </si>
  <si>
    <t>c0904</t>
  </si>
  <si>
    <t>White Orchid Phantom</t>
  </si>
  <si>
    <t>Flying, first strike
When this creature enters, destroy up to one target nonbasic land. Its controller may search their library for a basic land card, put it onto the battlefield tapped, then shuffle.
(2/2)</t>
  </si>
  <si>
    <t>Destroys target nonbasic land when it enters</t>
  </si>
  <si>
    <t>Its controller may search for a basic land instead</t>
  </si>
  <si>
    <t>Flying first strike body</t>
  </si>
  <si>
    <t>c0627</t>
  </si>
  <si>
    <t>Mogg War Marshal</t>
  </si>
  <si>
    <t>Echo {1}{R} (At the beginning of your upkeep, if this came under your control since the beginning of your last upkeep, sacrifice it unless you pay its echo cost.)
When this creature enters or dies, create a 1/1 red Goblin creature token.
(1/1)</t>
  </si>
  <si>
    <t>Creates a 1/1 Goblin token when it enters or dies</t>
  </si>
  <si>
    <t>Sacrifice it next upkeep unless you pay {1}{R} (Echo)</t>
  </si>
  <si>
    <t>c0655</t>
  </si>
  <si>
    <t>Sourbread Auntie</t>
  </si>
  <si>
    <t>When this creature enters, you may blight 2. If you do, create two 1/1 black and red Goblin creature tokens. (To blight 2, put two -1/-1 counters on a creature you control.)
(4/3)</t>
  </si>
  <si>
    <t>May put two -1/-1 counters on a creature to make two Goblin tokens</t>
  </si>
  <si>
    <t>c0240</t>
  </si>
  <si>
    <t>Mirkwood Pathmaker</t>
  </si>
  <si>
    <t>Mirkwood Pathmaker's power and toughness are each equal to the number of lands you control.
(*/*)</t>
  </si>
  <si>
    <t>Mirkwood Pathmaker's power and toughness are each equal to the number of lands you control</t>
  </si>
  <si>
    <t>U 0129</t>
  </si>
  <si>
    <t>Sean Vo</t>
  </si>
  <si>
    <t>c0769</t>
  </si>
  <si>
    <t>Curious Farm Animals</t>
  </si>
  <si>
    <t>Boar Elk Bird Ox</t>
  </si>
  <si>
    <t>When this creature dies, you gain 3 life.
{2}, Sacrifice this creature: Destroy up to one target artifact or enchantment.
(1/1)</t>
  </si>
  <si>
    <t>Gain 3 life when this creature dies</t>
  </si>
  <si>
    <t>Sacrifice it to destroy target artifact or enchantment</t>
  </si>
  <si>
    <t>c0070</t>
  </si>
  <si>
    <t>Ritual of Soot</t>
  </si>
  <si>
    <t>Destroy all creatures with mana value 3 or less.</t>
  </si>
  <si>
    <t>Destroys all creatures with mana value 3 or less</t>
  </si>
  <si>
    <t>c0623</t>
  </si>
  <si>
    <t>Massive Raid</t>
  </si>
  <si>
    <t>Massive Raid deals damage to any target equal to the number of creatures you control.</t>
  </si>
  <si>
    <t>Massive Raid deals damage to any target equal to the number of creatures you control</t>
  </si>
  <si>
    <t>c0497</t>
  </si>
  <si>
    <t>Shadow Urchin</t>
  </si>
  <si>
    <t>Ouphe</t>
  </si>
  <si>
    <t>Whenever this creature attacks, blight 1. (Put a -1/-1 counter on a creature you control.)
Whenever a creature you control with one or more counters on it dies, exile that many cards from the top of your library. Until your next end step, you may play those cards.
(3/4)</t>
  </si>
  <si>
    <t>Whenever a creature you control with counters on it dies, exile that many cards from the top of your library and play them until your next end step</t>
  </si>
  <si>
    <t>Whenever this creature attacks, blight 1 (put a -1/-1 counter on a creature you control)</t>
  </si>
  <si>
    <t>242</t>
  </si>
  <si>
    <t>Elvish Visionary</t>
  </si>
  <si>
    <t>When this creature enters, draw a card.
(1/1)</t>
  </si>
  <si>
    <t>When this creature enters, draw a card</t>
  </si>
  <si>
    <t>c0544</t>
  </si>
  <si>
    <t>Boldwyr Aggressor</t>
  </si>
  <si>
    <t>Double strike
Other Giants you control have double strike.
(2/5)</t>
  </si>
  <si>
    <t>Other Giants you control have double strike</t>
  </si>
  <si>
    <t>Double strike on a 2/5 body</t>
  </si>
  <si>
    <t>125</t>
  </si>
  <si>
    <t>c0424</t>
  </si>
  <si>
    <t>Deepchannel Duelist</t>
  </si>
  <si>
    <t>At the beginning of your end step, untap target Merfolk you control.
Other Merfolk you control get +1/+1.
(2/2)</t>
  </si>
  <si>
    <t>Other Merfolk you control get +1/+1</t>
  </si>
  <si>
    <t>Untaps target Merfolk you control at your end step</t>
  </si>
  <si>
    <t>c0774</t>
  </si>
  <si>
    <t>Destroy Evil</t>
  </si>
  <si>
    <t>Choose one —
• Destroy target creature with toughness 4 or greater.
• Destroy target enchantment.</t>
  </si>
  <si>
    <t>Destroys target creature with toughness 4 or greater</t>
  </si>
  <si>
    <t>Or destroys target enchantment instead</t>
  </si>
  <si>
    <t>c0824</t>
  </si>
  <si>
    <t>Make Your Move</t>
  </si>
  <si>
    <t>Destroy target artifact, enchantment, or creature with power 4 or greater.</t>
  </si>
  <si>
    <t>Destroys target artifact, enchantment, or creature with power 4+</t>
  </si>
  <si>
    <t>c0565</t>
  </si>
  <si>
    <t>Dwarven Mauler</t>
  </si>
  <si>
    <t>Equip abilities you activate that target this creature cost {2} less to activate.
(2/1)</t>
  </si>
  <si>
    <t>Reduces equip costs targeting itself by {2}</t>
  </si>
  <si>
    <t>Cheap 1-drop body</t>
  </si>
  <si>
    <t>c0474</t>
  </si>
  <si>
    <t>Pest Mascot</t>
  </si>
  <si>
    <t>Pest Ape</t>
  </si>
  <si>
    <t>Trample
Whenever you gain life, put a +1/+1 counter on this creature.
(2/3)</t>
  </si>
  <si>
    <t>Whenever you gain life, put a +1/+1 counter on this creature</t>
  </si>
  <si>
    <t>2/3 trample body</t>
  </si>
  <si>
    <t>209</t>
  </si>
  <si>
    <t>c0308</t>
  </si>
  <si>
    <t>Castle Ardenvale</t>
  </si>
  <si>
    <t>This land enters tapped unless you control a Plains.
{T}: Add {W}.
{2}{W}{W}, {T}: Create a 1/1 white Human creature token.</t>
  </si>
  <si>
    <t>{2}{W}{W}, tap: creates a 1/1 Human token</t>
  </si>
  <si>
    <t>c0221</t>
  </si>
  <si>
    <t>Great Forest Druid</t>
  </si>
  <si>
    <t>{T}: Add one mana of any color.
(0/4)</t>
  </si>
  <si>
    <t>0/4 body that blocks early</t>
  </si>
  <si>
    <t>c0912</t>
  </si>
  <si>
    <t>Zack Fair</t>
  </si>
  <si>
    <t>Zack Fair enters with a +1/+1 counter on it.
{1}, Sacrifice Zack Fair: Target creature you control gains indestructible until end of turn. Put Zack Fair's counters on that creature and attach an Equipment that was attached to Zack Fair to that creature.
(0/1)</t>
  </si>
  <si>
    <t>Enters with a +1/+1 counter on itself</t>
  </si>
  <si>
    <t>Sacrifice: target creature gains indestructible and gets its counters/Equipment</t>
  </si>
  <si>
    <t>c0493</t>
  </si>
  <si>
    <t>Rocketeer Boostbuggy</t>
  </si>
  <si>
    <t>Whenever this Vehicle attacks, create a Treasure token. (It's an artifact with "{T}, Sacrifice this token: Add one mana of any color.")
Exhaust — {3}: This Vehicle becomes an artifact creature. Put a +1/+1 counter on it. (Activate each exhaust ability only once.)
Crew 1
(3/2)</t>
  </si>
  <si>
    <t>Creates a Treasure token whenever it attacks</t>
  </si>
  <si>
    <t>Pay {3} once to become a creature and get a +1/+1 counter</t>
  </si>
  <si>
    <t>U 0327</t>
  </si>
  <si>
    <t>Adam Volker</t>
  </si>
  <si>
    <t>c0402</t>
  </si>
  <si>
    <t>Belligerent Brontodon</t>
  </si>
  <si>
    <t>Each creature you control assigns combat damage equal to its toughness rather than its power.
(4/6)</t>
  </si>
  <si>
    <t>Each creature you control assigns combat damage equal to its toughness rather than its power</t>
  </si>
  <si>
    <t>c0758</t>
  </si>
  <si>
    <t>Cathar Commando</t>
  </si>
  <si>
    <t>Flash
{1}, Sacrifice this creature: Destroy target artifact or enchantment.
(3/1)</t>
  </si>
  <si>
    <t>Sacrifice this creature to destroy target artifact or enchantment</t>
  </si>
  <si>
    <t>c0469</t>
  </si>
  <si>
    <t>Mistmeadow Witch</t>
  </si>
  <si>
    <t>Kithkin Wizard</t>
  </si>
  <si>
    <t>{2}{W}{U}: Exile target creature. Return that card to the battlefield under its owner's control at the beginning of the next end step.
(1/1)</t>
  </si>
  <si>
    <t>Exiles a creature, returning it at the next end step</t>
  </si>
  <si>
    <t>c0727</t>
  </si>
  <si>
    <t>Siren's Ruse</t>
  </si>
  <si>
    <t>Exile target creature you control, then return that card to the battlefield under its owner's control. If a Pirate was exiled this way, draw a card.</t>
  </si>
  <si>
    <t>Draw a card if the exiled creature was a Pirate</t>
  </si>
  <si>
    <t>c0839</t>
  </si>
  <si>
    <t>Promise of Loyalty</t>
  </si>
  <si>
    <t>Each player puts a vow counter on a creature they control and sacrifices the rest. Each of those creatures can't attack you or planeswalkers you control for as long as it has a vow counter on it.</t>
  </si>
  <si>
    <t>Each player sacrifices all but one of their creatures</t>
  </si>
  <si>
    <t>The kept creature can't attack you or your planeswalkers while marked</t>
  </si>
  <si>
    <t>c0323</t>
  </si>
  <si>
    <t>Fortified Village</t>
  </si>
  <si>
    <t>As this land enters, you may reveal a Forest or Plains card from your hand. If you don't, this land enters tapped.
{T}: Add {G} or {W}.</t>
  </si>
  <si>
    <t>Enters untapped if you reveal a Forest or Plains card from hand</t>
  </si>
  <si>
    <t>c0370</t>
  </si>
  <si>
    <t>Study Hall</t>
  </si>
  <si>
    <t>{T}: Add {C}.
{1}, {T}: Add one mana of any color. When you spend this mana to cast your commander, scry X, where X is the number of times it's been cast from the command zone this game.</t>
  </si>
  <si>
    <t>Pay {1}, tap: add one mana of any color</t>
  </si>
  <si>
    <t>Scries when that mana casts your commander</t>
  </si>
  <si>
    <t>c0508</t>
  </si>
  <si>
    <t>Thorin Oakenshield</t>
  </si>
  <si>
    <t>Dwarf Noble</t>
  </si>
  <si>
    <t>Trample
Storied (If you control three or more artifacts, legendaries, and/or Sagas, you have an enduring story for the rest of the game.)
As long as you have an enduring story, artifacts and creatures you control have ward {1}.
(3/2)</t>
  </si>
  <si>
    <t>Storied — once you control three or more artifacts, legendaries and/or Sagas, you have an enduring story for the rest of the game</t>
  </si>
  <si>
    <t>While you have an enduring story, artifacts and creatures you control have ward {1}</t>
  </si>
  <si>
    <t>3/2 trample body</t>
  </si>
  <si>
    <t>165</t>
  </si>
  <si>
    <t>c0480</t>
  </si>
  <si>
    <t>Putrefy</t>
  </si>
  <si>
    <t>Destroy target artifact or creature. It can't be regenerated.</t>
  </si>
  <si>
    <t>Destroys target artifact or creature; it can't be regenerated</t>
  </si>
  <si>
    <t>c0434</t>
  </si>
  <si>
    <t>Essenceknit Scholar</t>
  </si>
  <si>
    <t>Dryad Warlock</t>
  </si>
  <si>
    <t>When this creature enters, create a 1/1 black and green Pest creature token with "Whenever this token attacks, you gain 1 life."
At the beginning of your end step, if a creature died under your control this turn, draw a card.
(3/1)</t>
  </si>
  <si>
    <t>Enters: create a 1/1 Pest token that gains you 1 life whenever it attacks</t>
  </si>
  <si>
    <t>At the beginning of your end step, draw a card if a creature died under your control this turn</t>
  </si>
  <si>
    <t>187</t>
  </si>
  <si>
    <t>c0811</t>
  </si>
  <si>
    <t>Kami of Ancient Law</t>
  </si>
  <si>
    <t>Sacrifice this creature: Destroy target enchantment.
(2/2)</t>
  </si>
  <si>
    <t>Sacrifice this creature to destroy target enchantment</t>
  </si>
  <si>
    <t>Champions of Kamigawa</t>
  </si>
  <si>
    <t>c0725</t>
  </si>
  <si>
    <t>Shrieking Drake</t>
  </si>
  <si>
    <t>Flying
When this creature enters, return a creature you control to its owner's hand.
(1/1)</t>
  </si>
  <si>
    <t>Visions</t>
  </si>
  <si>
    <t>c0572</t>
  </si>
  <si>
    <t>Fanatical Firebrand</t>
  </si>
  <si>
    <t>Goblin Pirate</t>
  </si>
  <si>
    <t>Haste (This creature can attack and {T} as soon as it comes under your control.)
{T}, Sacrifice this creature: It deals 1 damage to any target.
(1/1)</t>
  </si>
  <si>
    <t>Sacrifice: deals 1 damage to any target</t>
  </si>
  <si>
    <t>Can attack immediately (haste)</t>
  </si>
  <si>
    <t>c0527</t>
  </si>
  <si>
    <t>Zaffai and the Tempests</t>
  </si>
  <si>
    <t>Human Bard Sorcerer</t>
  </si>
  <si>
    <t>Once during each of your turns, you may cast an instant or sorcery spell from your hand without paying its mana cost.
(5/7)</t>
  </si>
  <si>
    <t>Once during each of your turns, cast an instant or sorcery from your hand without paying its mana cost</t>
  </si>
  <si>
    <t>5/7 body</t>
  </si>
  <si>
    <t>246</t>
  </si>
  <si>
    <t>c0745</t>
  </si>
  <si>
    <t>Anointer Priest</t>
  </si>
  <si>
    <t>Whenever a creature token you control enters, you gain 1 life.
Embalm {3}{W} ({3}{W}, Exile this card from your graveyard: Create a token that's a copy of it, except it's a white Zombie Human Cleric with no mana cost. Embalm only as a sorcery.)
(1/3)</t>
  </si>
  <si>
    <t>Gains 1 life whenever a creature token you control enters</t>
  </si>
  <si>
    <t>Embalm {3}{W}: exile from graveyard to make a token copy of itself</t>
  </si>
  <si>
    <t>c0396</t>
  </si>
  <si>
    <t>Arno Dorian</t>
  </si>
  <si>
    <t>Deathtouch
Other Assassins you control get +2/+0.
Disguise {B}{R} (You may cast this card face down for {3} as a 2/2 creature with ward {2}. Turn it face up any time for its disguise cost.)
(3/3)</t>
  </si>
  <si>
    <t>Other Assassins you control get +2/+0</t>
  </si>
  <si>
    <t>c0770</t>
  </si>
  <si>
    <t>Dáin, Lord of the Iron Hills</t>
  </si>
  <si>
    <t>Dáin, Lord of the Iron Hills {1}{W} — Legendary Creature — Dwarf Noble (2/2)
Vigilance
Storied (If you control three or more artifacts, legendaries, and/or Sagas, you have an enduring story for the rest of the game.)
As long as you have an enduring story, creatures can't attack you unless their controller pays {1} for each of those creatures.</t>
  </si>
  <si>
    <t>Vigilance; with an enduring story, creatures can't attack you unless their controller pays</t>
  </si>
  <si>
    <t>Storied - three or more artifacts, legendaries and/or Sagas gives an enduring story</t>
  </si>
  <si>
    <t>c0235</t>
  </si>
  <si>
    <t>Lys Alana Dignitary</t>
  </si>
  <si>
    <t>Elf Advisor</t>
  </si>
  <si>
    <t>As an additional cost to cast this spell, behold an Elf or pay {2}. (To behold an Elf, choose an Elf you control or reveal an Elf card from your hand.)
{T}: Add {G}{G}. Activate only if there is an Elf card in your graveyard.
(2/3)</t>
  </si>
  <si>
    <t>Taps for {G}{G} if an Elf is in your graveyard</t>
  </si>
  <si>
    <t>Costs an extra Elf reveal or {2} to cast</t>
  </si>
  <si>
    <t>c0501</t>
  </si>
  <si>
    <t>Silverquill Charm</t>
  </si>
  <si>
    <t>Choose one —
• Put two +1/+1 counters on target creature.
• Exile target creature with power 2 or less.
• Each opponent loses 3 life and you gain 3 life.</t>
  </si>
  <si>
    <t>Choose one — exile target creature with power 2 or less</t>
  </si>
  <si>
    <t>Or put two +1/+1 counters on a creature, or drain each opponent for 3</t>
  </si>
  <si>
    <t>c0557</t>
  </si>
  <si>
    <t>Cinder Strike</t>
  </si>
  <si>
    <t>As an additional cost to cast this spell, you may blight 1. (You may put a -1/-1 counter on a creature you control.)
Cinder Strike deals 2 damage to target creature. It deals 4 damage to that creature instead if this spell's additional cost was paid.</t>
  </si>
  <si>
    <t>Deals 2 damage to target creature</t>
  </si>
  <si>
    <t>Deals 4 instead if you put a -1/-1 counter on a creature you control</t>
  </si>
  <si>
    <t>c0691</t>
  </si>
  <si>
    <t>Fractal Anomaly</t>
  </si>
  <si>
    <t>Create a 0/0 green and blue Fractal creature token and put X +1/+1 counters on it, where X is the number of cards you've drawn this turn.</t>
  </si>
  <si>
    <t>Create a 0/0 Fractal token with a +1/+1 counter for each card you have drawn this turn</t>
  </si>
  <si>
    <t>50</t>
  </si>
  <si>
    <t>c0767</t>
  </si>
  <si>
    <t>Combat Calligrapher</t>
  </si>
  <si>
    <t>Flying
Inklings can't attack you or planeswalkers you control.
Whenever a player attacks one of your opponents, that attacking player creates a tapped 2/1 white and black Inkling creature token with flying that's attacking that opponent.
(3/3)</t>
  </si>
  <si>
    <t>Inklings can't attack you or planeswalkers you control</t>
  </si>
  <si>
    <t>Whenever a player attacks one of your opponents, that attacking player creates a tapped 2/1 white and black Inkling crea</t>
  </si>
  <si>
    <t>c0861</t>
  </si>
  <si>
    <t>Shattered Acolyte</t>
  </si>
  <si>
    <t>Dwarf Warlock</t>
  </si>
  <si>
    <t>Lifelink
{1}, Sacrifice this creature: Destroy target artifact or enchantment.
(2/2)</t>
  </si>
  <si>
    <t>{1}, sacrifice this creature: destroy target artifact or enchantment</t>
  </si>
  <si>
    <t>31</t>
  </si>
  <si>
    <t>Ashley Lovett</t>
  </si>
  <si>
    <t>c0261</t>
  </si>
  <si>
    <t>Satyr Wayfinder</t>
  </si>
  <si>
    <t>Satyr</t>
  </si>
  <si>
    <t>When this creature enters, reveal the top four cards of your library. You may put a land card from among them into your hand. Put the rest into your graveyard.
(1/1)</t>
  </si>
  <si>
    <t>Reveals top four cards; puts a land card into your hand and the rest into your graveyard</t>
  </si>
  <si>
    <t>c0682</t>
  </si>
  <si>
    <t>Divert Disaster</t>
  </si>
  <si>
    <t>Counter target spell unless its controller pays {2}. If they do, you create a Lander token. (It's an artifact with "{2}, {T}, Sacrifice this token: Search your library for a basic land card, put it onto the battlefield tapped, then shuffle.")</t>
  </si>
  <si>
    <t>Counters a spell unless its controller pays 2</t>
  </si>
  <si>
    <t>If they pay, you get a Lander token that fetches a tapped basic</t>
  </si>
  <si>
    <t>Edge of Eternities</t>
  </si>
  <si>
    <t>c0353</t>
  </si>
  <si>
    <t>Path of Ancestry</t>
  </si>
  <si>
    <t>This land enters tapped.
{T}: Add one mana of any color in your commander's color identity. When that mana is spent to cast a creature spell that shares a creature type with your commander, scry 1. (Look at the top card of your library. You may put that card on the bottom.)</t>
  </si>
  <si>
    <t>Taps for one mana in your commander's color identity</t>
  </si>
  <si>
    <t>Scry 1 when that mana casts a creature sharing a type with your commander</t>
  </si>
  <si>
    <t>Commander 2017</t>
  </si>
  <si>
    <t>c0359</t>
  </si>
  <si>
    <t>Rugged Highlands</t>
  </si>
  <si>
    <t>This land enters tapped.
When this land enters, you gain 1 life.
{T}: Add {R} or {G}.</t>
  </si>
  <si>
    <t>c0381</t>
  </si>
  <si>
    <t>Timber Gorge</t>
  </si>
  <si>
    <t>This land enters tapped.
{T}: Add {R} or {G}.</t>
  </si>
  <si>
    <t>c0207</t>
  </si>
  <si>
    <t>Farhaven Elf</t>
  </si>
  <si>
    <t>When this creature enters, you may search your library for a basic land card, put it onto the battlefield tapped, then shuffle.
(1/1)</t>
  </si>
  <si>
    <t>c0198</t>
  </si>
  <si>
    <t>Chelonian Tackle</t>
  </si>
  <si>
    <t>Target creature you control gets +0/+10 until end of turn. Then it fights up to one target creature an opponent controls. (Each deals damage equal to its power to the other.)</t>
  </si>
  <si>
    <t>Target creature you control gets +0/+10 until end of turn, then fights a creature an opponent controls</t>
  </si>
  <si>
    <t>c0295</t>
  </si>
  <si>
    <t>Zimone's Experiment</t>
  </si>
  <si>
    <t>Look at the top five cards of your library. You may reveal up to two creature and/or land cards from among them, then put the rest on the bottom of your library in a random order. Put all land cards revealed this way onto the battlefield tapped and put all creature cards revealed this way into your hand.</t>
  </si>
  <si>
    <t>Look at the top five cards and reveal up to two creature and/or land cards from among them</t>
  </si>
  <si>
    <t>Revealed lands enter tapped and revealed creatures go to your hand</t>
  </si>
  <si>
    <t>Izzy</t>
  </si>
  <si>
    <t>c0506</t>
  </si>
  <si>
    <t>Tatyova, Benthic Druid</t>
  </si>
  <si>
    <t>Merfolk Druid</t>
  </si>
  <si>
    <t>Landfall — Whenever a land you control enters, you gain 1 life and draw a card.
(3/3)</t>
  </si>
  <si>
    <t>Landfall — Whenever a land you control enters, you gain 1 life and draw a card</t>
  </si>
  <si>
    <t>c0530</t>
  </si>
  <si>
    <t>Akoum Hellhound</t>
  </si>
  <si>
    <t>Elemental Dog</t>
  </si>
  <si>
    <t>Landfall — Whenever a land you control enters, this creature gets +2/+2 until end of turn.
(0/1)</t>
  </si>
  <si>
    <t>Gets +2/+2 until end of turn when a land you control enters</t>
  </si>
  <si>
    <t>c0556</t>
  </si>
  <si>
    <t>Charging Strifeknight</t>
  </si>
  <si>
    <t>Haste
{T}, Discard a card: Draw a card.
(3/3)</t>
  </si>
  <si>
    <t>{T}, discard a card: Draw a card</t>
  </si>
  <si>
    <t>3/3 haste body</t>
  </si>
  <si>
    <t>c0007</t>
  </si>
  <si>
    <t>Blight Pile</t>
  </si>
  <si>
    <t>Phyrexian</t>
  </si>
  <si>
    <t>Defender
{2}{B}, {T}: Each opponent loses X life, where X is the number of creatures with defender you control.
(3/3)</t>
  </si>
  <si>
    <t>Pay {2}{B} and tap: each opponent loses life equal to the number of defenders you control</t>
  </si>
  <si>
    <t>c0363</t>
  </si>
  <si>
    <t>Scoured Barrens</t>
  </si>
  <si>
    <t>This land enters tapped.
When this land enters, you gain 1 life.
{T}: Add {W} or {B}.</t>
  </si>
  <si>
    <t>c0892</t>
  </si>
  <si>
    <t>Vanguard of the Restless</t>
  </si>
  <si>
    <t>Flying
Spirits you control get +1/+1 for each time you've cast your commander from the command zone this game.
Whenever a Spirit you control enters, you may pay {2}{W}. If you do, return this card from your graveyard to the battlefield.
(2/2)</t>
  </si>
  <si>
    <t>Spirits you control get +1/+1 for each time you've cast your commander from the command zone</t>
  </si>
  <si>
    <t>A Spirit entering lets you pay {2}{W} to return this from graveyard to battlefield</t>
  </si>
  <si>
    <t>c0714</t>
  </si>
  <si>
    <t>Octopus Form</t>
  </si>
  <si>
    <t>Target creature you control gets +1/+1 and gains hexproof until end of turn. Untap it. (It can't be the target of spells or abilities your opponents control.)</t>
  </si>
  <si>
    <t>Target creature you control gets +1/+1 and can't be targeted by opponents until end of turn</t>
  </si>
  <si>
    <t>Untaps that creature</t>
  </si>
  <si>
    <t>c0819</t>
  </si>
  <si>
    <t>Kor Cartographer</t>
  </si>
  <si>
    <t>Kor Scout</t>
  </si>
  <si>
    <t>When this creature enters, you may search your library for a Plains card, put it onto the battlefield tapped, then shuffle.
(2/2)</t>
  </si>
  <si>
    <t>Searches your library for a Plains card and puts it onto the battlefield tapped when it enters</t>
  </si>
  <si>
    <t>Feed the Swarm</t>
  </si>
  <si>
    <t>Destroy target creature or enchantment an opponent controls. You lose life equal to that permanent's mana value.</t>
  </si>
  <si>
    <t>Destroy target creature or enchantment an opponent controls</t>
  </si>
  <si>
    <t>You lose life equal to that permanent's mana value</t>
  </si>
  <si>
    <t>c0638</t>
  </si>
  <si>
    <t>Purphoros's Intervention</t>
  </si>
  <si>
    <t>Choose one —
• Create an X/1 red Elemental creature token with trample and haste. Sacrifice it at the beginning of the next end step.
• Purphoros's Intervention deals twice X damage to target creature or planeswalker.</t>
  </si>
  <si>
    <t>X damage to target creature/planeswalker, or make an X/1 hasty trampler</t>
  </si>
  <si>
    <t>c0625</t>
  </si>
  <si>
    <t>Misty Mountains Raider</t>
  </si>
  <si>
    <t>Whenever you attack, amass Goblins 2. (Put two +1/+1 counters on an Army you control. It's also a Goblin. If you don't control an Army, create a 0/0 black Goblin Army creature token first.)
(4/4)</t>
  </si>
  <si>
    <t>Whenever you attack, amass Goblins 2 — put two +1/+1 counters on an Army you control, creating a 0/0 Goblin Army token first if you have none</t>
  </si>
  <si>
    <t>105</t>
  </si>
  <si>
    <t>c0841</t>
  </si>
  <si>
    <t>Raise the Alarm</t>
  </si>
  <si>
    <t>Create two 1/1 white Soldier creature tokens.</t>
  </si>
  <si>
    <t>Creates two 1/1 white Soldier tokens</t>
  </si>
  <si>
    <t>c0248</t>
  </si>
  <si>
    <t>Ordinary Bear</t>
  </si>
  <si>
    <t>Bear</t>
  </si>
  <si>
    <t>(4/5)</t>
  </si>
  <si>
    <t>c0768</t>
  </si>
  <si>
    <t>Court Street Denizen</t>
  </si>
  <si>
    <t>Whenever another white creature you control enters, tap target creature an opponent controls.
(2/2)</t>
  </si>
  <si>
    <t>Taps target creature an opponent controls whenever another white creature you control enters</t>
  </si>
  <si>
    <t>c0573</t>
  </si>
  <si>
    <t>Fateful Tempest</t>
  </si>
  <si>
    <t>Council's dilemma — Starting with you, each player votes for past or present. You mill a card for each past vote, then Fateful Tempest deals damage to each opponent equal to the total mana value of cards milled this way. Exile the top card of your library for each present vote. Until the end of your next turn, you may play the exiled cards.</t>
  </si>
  <si>
    <t>Deals damage to each opponent equal to mana value milled by votes</t>
  </si>
  <si>
    <t>Exiles cards you may play until end of next turn for present votes</t>
  </si>
  <si>
    <t>c0065</t>
  </si>
  <si>
    <t>Rabid Attack</t>
  </si>
  <si>
    <t>Until end of turn, any number of target creatures you control each get +1/+0 and gain "When this creature dies, draw a card."</t>
  </si>
  <si>
    <t>Any number of target creatures you control each get +1/+0 until end of turn</t>
  </si>
  <si>
    <t>They also gain "When this creature dies, draw a card"</t>
  </si>
  <si>
    <t>c0477</t>
  </si>
  <si>
    <t>Prideful Feastling</t>
  </si>
  <si>
    <t>Changeling (This card is every creature type.)
Lifelink
(2/3)</t>
  </si>
  <si>
    <t>Is every creature type</t>
  </si>
  <si>
    <t>c0045</t>
  </si>
  <si>
    <t>Masterful Flourish</t>
  </si>
  <si>
    <t>Target creature you control gets +1/+0 and gains indestructible until end of turn. (Damage and effects that say "destroy" don't destroy it.)</t>
  </si>
  <si>
    <t>Target creature you control gets +1/+0 and gains indestructible until end of turn</t>
  </si>
  <si>
    <t>89</t>
  </si>
  <si>
    <t>c0794</t>
  </si>
  <si>
    <t>Frontline Medic</t>
  </si>
  <si>
    <t>Battalion — Whenever this creature and at least two other creatures attack, creatures you control gain indestructible until end of turn.
Sacrifice this creature: Counter target spell with {X} in its mana cost unless its controller pays {3}.
(3/3)</t>
  </si>
  <si>
    <t>Battalion: your creatures gain indestructible when 3+ attack</t>
  </si>
  <si>
    <t>Sacrifice: counter a spell with {X} in its cost unless they pay {3}</t>
  </si>
  <si>
    <t>c0784</t>
  </si>
  <si>
    <t>Earth Kingdom Jailer</t>
  </si>
  <si>
    <t>Human Soldier Ally</t>
  </si>
  <si>
    <t>When this creature enters, exile up to one target artifact, creature, or enchantment an opponent controls with mana value 3 or greater until this creature leaves the battlefield.
(3/3)</t>
  </si>
  <si>
    <t>Exiles an opponent's permanent (MV 3+) when it enters</t>
  </si>
  <si>
    <t>Exiled permanent returns if this creature leaves</t>
  </si>
  <si>
    <t>c0763</t>
  </si>
  <si>
    <t>Clachan Festival</t>
  </si>
  <si>
    <t>Kithkin</t>
  </si>
  <si>
    <t>When this enchantment enters, create two 1/1 green and white Kithkin creature tokens.
{4}{W}: Create a 1/1 green and white Kithkin creature token.</t>
  </si>
  <si>
    <t>Creates two 1/1 Kithkin tokens when it enters</t>
  </si>
  <si>
    <t>Pay {4}{W} to create another 1/1 Kithkin token</t>
  </si>
  <si>
    <t>c0020</t>
  </si>
  <si>
    <t>Dai Li Indoctrination</t>
  </si>
  <si>
    <t>Choose one —
• Target opponent reveals their hand. You choose a nonland permanent card from it. That player discards that card.
• Earthbend 2. (Target land you control becomes a 0/0 creature with haste that's still a land. Put two +1/+1 counters on it. When it dies or is exiled, return it to the battlefield tapped.)</t>
  </si>
  <si>
    <t>Opponent reveals hand; you choose a nonland permanent card for them to discard</t>
  </si>
  <si>
    <t>Or target land becomes a 0/0 hasty creature with two +1/+1 counters</t>
  </si>
  <si>
    <t>c0160</t>
  </si>
  <si>
    <t>Strixhaven Skycoach</t>
  </si>
  <si>
    <t>Flying
When this Vehicle enters, you may search your library for a basic land card, reveal it, put it into your hand, then shuffle.
Crew 2 (Tap any number of creatures you control with total power 2 or more: This Vehicle becomes an artifact creature until end of turn.)
(3/2)</t>
  </si>
  <si>
    <t>3/2 flying Vehicle, crew 2</t>
  </si>
  <si>
    <t>c0382</t>
  </si>
  <si>
    <t>Titan's Grave</t>
  </si>
  <si>
    <t>This land enters tapped.
{T}: Add {B} or {G}.
{2}{B}{G}, {T}: Surveil 1. (Look at the top card of your library. You may put it into your graveyard.)</t>
  </si>
  <si>
    <t>{2}{B}{G}, {T}: Surveil 1</t>
  </si>
  <si>
    <t>266</t>
  </si>
  <si>
    <t>Lorenzo Lanfranconi</t>
  </si>
  <si>
    <t>c0580</t>
  </si>
  <si>
    <t>Foundry Street Denizen</t>
  </si>
  <si>
    <t>Whenever another red creature you control enters, this creature gets +1/+0 until end of turn.
(1/1)</t>
  </si>
  <si>
    <t>Gets +1/+0 until end of turn whenever another red creature you control enters</t>
  </si>
  <si>
    <t>c0263</t>
  </si>
  <si>
    <t>Sheltering Word</t>
  </si>
  <si>
    <t>Target creature you control gains hexproof until end of turn. You gain life equal to that creature's toughness. (A creature with hexproof can't be the target of spells or abilities your opponents control.)</t>
  </si>
  <si>
    <t>Target creature you control can't be targeted by opponents until end of turn</t>
  </si>
  <si>
    <t>You gain life equal to that creature's toughness</t>
  </si>
  <si>
    <t>c0715</t>
  </si>
  <si>
    <t>Old Fat Spider Can't See Me</t>
  </si>
  <si>
    <t>(As this Saga enters and after your draw step, add a lore counter. Sacrifice after IV.)
I — Target creature you control gains hexproof for as long as this Saga remains on the battlefield.
II — Prevent all damage that would be dealt by up to one target creature for as long as this Saga remains on the battlefield.
III, IV — Draw a card.</t>
  </si>
  <si>
    <t>Chapter I: a creature you control gains hexproof while the Saga lasts</t>
  </si>
  <si>
    <t>Chapter II: prevents all damage from one creature while the Saga lasts</t>
  </si>
  <si>
    <t>Chapters III and IV: draw a card each</t>
  </si>
  <si>
    <t>c0486</t>
  </si>
  <si>
    <t>Reaping Willow</t>
  </si>
  <si>
    <t>Lifelink
This creature enters with two -1/-1 counters on it.
{1}{W/B}, Remove two counters from this creature: Return target creature card with mana value 3 or less from your graveyard to the battlefield. Activate only as a sorcery.
(3/6)</t>
  </si>
  <si>
    <t>Remove counters: reanimate a creature card MV 3 or less</t>
  </si>
  <si>
    <t>c0083</t>
  </si>
  <si>
    <t>Undercity's Embrace</t>
  </si>
  <si>
    <t>Target opponent sacrifices a creature of their choice. If you control a creature with power 4 or greater, you gain 4 life.</t>
  </si>
  <si>
    <t>Target opponent sacrifices a creature of their choice</t>
  </si>
  <si>
    <t>Gain 4 life if you control a creature with power 4 or greater</t>
  </si>
  <si>
    <t>c0287</t>
  </si>
  <si>
    <t>Wild Hypothesis</t>
  </si>
  <si>
    <t>Create a 0/0 green and blue Fractal creature token. Put X +1/+1 counters on it.
Surveil 2. (Look at the top two cards of your library, then put any number of them into your graveyard and the rest on top of your library in any order.)</t>
  </si>
  <si>
    <t>Create a 0/0 Fractal token with X +1/+1 counters on it</t>
  </si>
  <si>
    <t>Surveil 2 — look at the top two cards and put any number into your graveyard</t>
  </si>
  <si>
    <t>c0071</t>
  </si>
  <si>
    <t>Scathing Shadelock // Venomous Words</t>
  </si>
  <si>
    <t>Snake Warlock</t>
  </si>
  <si>
    <t>Scathing Shadelock {4}{B} — Creature — Snake Warlock (4/6)
At the beginning of your first main phase, this creature becomes prepared. (While it's prepared, you may cast a copy of its spell. Doing so unprepares it.)
//
Venomous Words {B} — Sorcery
Target creature you control gets +2/+0 and gains deathtouch until end of turn.</t>
  </si>
  <si>
    <t>Becomes prepared at the beginning of your first main phase — you may cast a copy of its spell</t>
  </si>
  <si>
    <t>Venomous Words: target creature you control gets +2/+0 and gains deathtouch until end of turn</t>
  </si>
  <si>
    <t>4/6 body</t>
  </si>
  <si>
    <t>98</t>
  </si>
  <si>
    <t>Loïc Canueles</t>
  </si>
  <si>
    <t>c0698</t>
  </si>
  <si>
    <t>Glamermite</t>
  </si>
  <si>
    <t>Flash
Flying
When this creature enters, choose one —
• Tap target creature.
• Untap target creature.
(2/2)</t>
  </si>
  <si>
    <t>Taps or untaps target creature when it enters</t>
  </si>
  <si>
    <t>Flash flying body</t>
  </si>
  <si>
    <t>c0039</t>
  </si>
  <si>
    <t>Hemlock Vial</t>
  </si>
  <si>
    <t>When this artifact enters, you draw a card and you lose 1 life.
{B}, {T}, Sacrifice this artifact: Each equipped creature and Equipment you control gains deathtouch until end of turn.</t>
  </si>
  <si>
    <t>Enters: draw a card and lose 1 life</t>
  </si>
  <si>
    <t>Sacrifice: your equipped creatures and Equipment become lethal on any damage this turn</t>
  </si>
  <si>
    <t>c0884</t>
  </si>
  <si>
    <t>Thorin's Last Stand</t>
  </si>
  <si>
    <t>Choose one —
• Creatures you control get +2/+1 until end of turn.
• Destroy target artifact or enchantment. You gain 2 life.</t>
  </si>
  <si>
    <t>Creatures you control get +2/+1 until end of turn</t>
  </si>
  <si>
    <t>Or destroy target artifact or enchantment and you gain 2 life</t>
  </si>
  <si>
    <t>C 0026</t>
  </si>
  <si>
    <t>John Di Giovanni</t>
  </si>
  <si>
    <t>c0906</t>
  </si>
  <si>
    <t>Wild Pack Squad</t>
  </si>
  <si>
    <t>Human Mercenary</t>
  </si>
  <si>
    <t>At the beginning of combat on your turn, up to one target creature gains first strike and vigilance until end of turn.
(2/3)</t>
  </si>
  <si>
    <t>Gives target creature first strike and vigilance at combat start</t>
  </si>
  <si>
    <t>c0751</t>
  </si>
  <si>
    <t>Augusta, Order Returned</t>
  </si>
  <si>
    <t>Spirit Advisor</t>
  </si>
  <si>
    <t>Flying, vigilance
Whenever Augusta attacks, each player exiles a card from their graveyard. When one or more nonland cards are exiled this way, put that many +1/+1 counters on target attacking creature.
(1/3)</t>
  </si>
  <si>
    <t>Flying body that also stays untapped when attacking</t>
  </si>
  <si>
    <t>Attacking makes each player exile a card from their graveyard</t>
  </si>
  <si>
    <t>Puts a +1/+1 counter on an attacker for each nonland card exiled this way</t>
  </si>
  <si>
    <t>c0328</t>
  </si>
  <si>
    <t>Goblin-town</t>
  </si>
  <si>
    <t>This land enters tapped.
{T}: Add {B} or {R}.
{2}{B}{R}, {T}, Sacrifice this land: Put two +1/+1 counters on target Goblin or Orc you control. Activate only as a sorcery.</t>
  </si>
  <si>
    <t>Taps for {B} or {R}</t>
  </si>
  <si>
    <t>{2}{B}{R}, {T}, Sacrifice: put two +1/+1 counters on target Goblin or Orc you control</t>
  </si>
  <si>
    <t>c0479</t>
  </si>
  <si>
    <t>Pterafractyl</t>
  </si>
  <si>
    <t>Dinosaur Fractal</t>
  </si>
  <si>
    <t>Flying
This creature enters with X +1/+1 counters on it.
When this creature enters, you gain 2 life.
(1/0)</t>
  </si>
  <si>
    <t>Enters with X +1/+1 counters on it and has flying</t>
  </si>
  <si>
    <t>215</t>
  </si>
  <si>
    <t>c0012</t>
  </si>
  <si>
    <t>Bogslither's Embrace</t>
  </si>
  <si>
    <t>As an additional cost to cast this spell, blight 1 or pay {3}. (To blight 1, put a -1/-1 counter on a creature you control.)
Exile target creature.</t>
  </si>
  <si>
    <t>Additional cost: blight 1 (put a -1/-1 counter on a creature you control) or pay {3}</t>
  </si>
  <si>
    <t>c0656</t>
  </si>
  <si>
    <t>Spirit of Resilience</t>
  </si>
  <si>
    <t>Whenever one or more cards leave your graveyard, put a +1/+1 counter on this creature, then you may have this creature become a copy of an artifact or creature card from among those cards until end of turn.
(2/2)</t>
  </si>
  <si>
    <t>Gets a +1/+1 counter whenever cards leave your graveyard</t>
  </si>
  <si>
    <t>May become a copy of an artifact/creature card that just left your graveyard until end of turn</t>
  </si>
  <si>
    <t>c0293</t>
  </si>
  <si>
    <t>Yavimaya Elder</t>
  </si>
  <si>
    <t>When this creature dies, you may search your library for up to two basic land cards, reveal them, put them into your hand, then shuffle.
{2}, Sacrifice this creature: Draw a card.
(2/1)</t>
  </si>
  <si>
    <t>Searches for up to two basic lands to your hand when it dies</t>
  </si>
  <si>
    <t>Sacrifice to draw a card</t>
  </si>
  <si>
    <t>Urza's Destiny</t>
  </si>
  <si>
    <t>c0830</t>
  </si>
  <si>
    <t>Moonlit Lamenter</t>
  </si>
  <si>
    <t>This creature enters with a -1/-1 counter on it.
{1}{W}, Remove a counter from this creature: Draw a card. Activate only as a sorcery.
(2/5)</t>
  </si>
  <si>
    <t>Enters with a -1/-1 counter on itself</t>
  </si>
  <si>
    <t>Remove the counter (sorcery speed) to draw a card</t>
  </si>
  <si>
    <t>c0288</t>
  </si>
  <si>
    <t>Wilderland Scrounger</t>
  </si>
  <si>
    <t>Ferocious — Whenever this creature attacks while you control a creature with power 4 or greater, put a +1/+1 counter on each creature you control.
(3/6)</t>
  </si>
  <si>
    <t>Ferocious — whenever it attacks while you control a creature with power 4 or greater, put a +1/+1 counter on each creature you control</t>
  </si>
  <si>
    <t>141</t>
  </si>
  <si>
    <t>c0059</t>
  </si>
  <si>
    <t>Perfect Intimidation</t>
  </si>
  <si>
    <t>Perfect Intimidation {3}{B} — Sorcery
Choose one or both —
• Target opponent exiles two cards from their hand.
• Remove all counters from target creature.</t>
  </si>
  <si>
    <t>Target opponent exiles two cards from their hand</t>
  </si>
  <si>
    <t>Heather Hudson</t>
  </si>
  <si>
    <t>c0352</t>
  </si>
  <si>
    <t>Paradox Gardens</t>
  </si>
  <si>
    <t>This land enters tapped.
{T}: Add {G} or {U}.
{2}{G}{U}, {T}: Surveil 1. (Look at the top card of your library. You may put it into your graveyard.)</t>
  </si>
  <si>
    <t>{2}{G}{U}, {T}: Surveil 1</t>
  </si>
  <si>
    <t>258</t>
  </si>
  <si>
    <t>c0162</t>
  </si>
  <si>
    <t>Sundering Archaic</t>
  </si>
  <si>
    <t>Converge — When this creature enters, exile target nonland permanent an opponent controls with mana value less than or equal to the number of colors of mana spent to cast this creature.
{2}: Put target card from a graveyard on the bottom of its owner's library.
(3/3)</t>
  </si>
  <si>
    <t>Converge — enters: exile target nonland permanent an opponent controls with mana value up to the number of colors of mana spent to cast it</t>
  </si>
  <si>
    <t>{2}: Put target card from a graveyard on the bottom of its owner's library</t>
  </si>
  <si>
    <t>3</t>
  </si>
  <si>
    <t>c0873</t>
  </si>
  <si>
    <t>Stone by Sunlight</t>
  </si>
  <si>
    <t>Choose one —
• Destroy target creature with power 4 or greater.
• Until end of turn, target creature becomes an artifact in addition to its other types and gains indestructible. (Damage and effects that say "destroy" don't destroy it.)</t>
  </si>
  <si>
    <t>Destroys a creature with power 4 or greater</t>
  </si>
  <si>
    <t>Or makes a creature an artifact and indestructible until end of turn</t>
  </si>
  <si>
    <t>c0277</t>
  </si>
  <si>
    <t>Treefolk Umbra</t>
  </si>
  <si>
    <t>Enchant creature
Enchanted creature gets +0/+2 and assigns combat damage equal to its toughness rather than its power.
Umbra armor (If enchanted creature would be destroyed, instead remove all damage from it and destroy this Aura.)</t>
  </si>
  <si>
    <t>Enchanted creature gets +0/+2 and deals combat damage equal to its toughness instead of power</t>
  </si>
  <si>
    <t>If enchanted creature would be destroyed, instead remove all damage and destroy this Aura</t>
  </si>
  <si>
    <t>c0677</t>
  </si>
  <si>
    <t>Blizzard Strix</t>
  </si>
  <si>
    <t>Snow Creature</t>
  </si>
  <si>
    <t>Flash
Flying
When this creature enters, if you control another snow permanent, exile target permanent other than this creature. Return that card to the battlefield under its owner's control at the beginning of the next end step.
(3/2)</t>
  </si>
  <si>
    <t>Exiles target permanent when it enters if you control a snow permanent</t>
  </si>
  <si>
    <t>Returns that permanent at the next end step</t>
  </si>
  <si>
    <t>c0453</t>
  </si>
  <si>
    <t>Jungle Barrier</t>
  </si>
  <si>
    <t>Defender (This creature can't attack.)
When this creature enters, draw a card.
(2/6)</t>
  </si>
  <si>
    <t>106/143</t>
  </si>
  <si>
    <t>Edward P. Beard, Jr.</t>
  </si>
  <si>
    <t>c0273</t>
  </si>
  <si>
    <t>Tend the Sprigs</t>
  </si>
  <si>
    <t>Tend the Sprigs {2}{G} — Sorcery
Search your library for a basic land card, put it onto the battlefield tapped, then shuffle. Then if you control seven or more lands and/or Treefolk, create a 3/4 green Treefolk creature token with reach. (It can block creatures with flying.)</t>
  </si>
  <si>
    <t>Search your library for a basic land, put it onto the battlefield tapped</t>
  </si>
  <si>
    <t>Creates a 3/4 Treefolk if you control seven or more lands and/or Treefolk</t>
  </si>
  <si>
    <t>197</t>
  </si>
  <si>
    <t>Iris Compiet</t>
  </si>
  <si>
    <t>c0589</t>
  </si>
  <si>
    <t>Goblin Glasswright // Craft with Pride</t>
  </si>
  <si>
    <t>Goblin Sorcerer</t>
  </si>
  <si>
    <t>Goblin Glasswright {1}{R} — Creature — Goblin Sorcerer (2/2)
This creature enters prepared. (While it's prepared, you may cast a copy of its spell. Doing so unprepares it.)
//
Craft with Pride {R} — Sorcery
Create a Treasure token. (It's an artifact with "{T}, Sacrifice this token: Add one mana of any color.")</t>
  </si>
  <si>
    <t>Enters prepared — you may cast a copy of Craft with Pride to create a Treasure token</t>
  </si>
  <si>
    <t>2/2 body</t>
  </si>
  <si>
    <t>117</t>
  </si>
  <si>
    <t>c0064</t>
  </si>
  <si>
    <t>Pull from the Grave</t>
  </si>
  <si>
    <t>Return up to two target creature cards from your graveyard to your hand. You gain 2 life.</t>
  </si>
  <si>
    <t>Return up to two target creature cards from your graveyard to your hand</t>
  </si>
  <si>
    <t>You gain 2 life</t>
  </si>
  <si>
    <t>95</t>
  </si>
  <si>
    <t>c0279</t>
  </si>
  <si>
    <t>Unforgiving Aim</t>
  </si>
  <si>
    <t>Choose one —
• Destroy target creature with flying.
• Destroy target enchantment.
• Create a 2/2 black and green Elf creature token.</t>
  </si>
  <si>
    <t>Destroy target creature with flying</t>
  </si>
  <si>
    <t>Or destroy target enchantment</t>
  </si>
  <si>
    <t>Or create a 2/2 Elf creature token</t>
  </si>
  <si>
    <t>c0707</t>
  </si>
  <si>
    <t>Man-o'-War</t>
  </si>
  <si>
    <t>Jellyfish</t>
  </si>
  <si>
    <t>When this creature enters, return target creature to its owner's hand.
(2/2)</t>
  </si>
  <si>
    <t>When this creature enters, return target creature to its owner's hand</t>
  </si>
  <si>
    <t>c0820</t>
  </si>
  <si>
    <t>Lake-town Lookout</t>
  </si>
  <si>
    <t>When this creature dies, recruit. (Draw a card, then discard a card. If you discarded a nonland card, create a 1/1 white Human Soldier creature token.)
(1/1)</t>
  </si>
  <si>
    <t>Draws then discards a card when it dies</t>
  </si>
  <si>
    <t>Creates a 1/1 Soldier token if a nonland card was discarded that way</t>
  </si>
  <si>
    <t>c0547</t>
  </si>
  <si>
    <t>Boneclub Berserker</t>
  </si>
  <si>
    <t>Goblin Berserker</t>
  </si>
  <si>
    <t>Boneclub Berserker {3}{R} — Creature — Goblin Berserker (2/4)
This creature gets +2/+0 for each other Goblin you control.</t>
  </si>
  <si>
    <t>This creature gets +2/+0 for each other Goblin you control</t>
  </si>
  <si>
    <t>126</t>
  </si>
  <si>
    <t>c0708</t>
  </si>
  <si>
    <t>Master's Councillors</t>
  </si>
  <si>
    <t>Vigilance
This creature gets +2/+0 for each graveyard with seven or more cards in it.
Whenever you draw your second card each turn, target player mills three cards. (They put the top three cards of their library into their graveyard.)
(1/3)</t>
  </si>
  <si>
    <t>Gets +2/+0 for each graveyard with seven or more cards in it</t>
  </si>
  <si>
    <t>Whenever you draw your second card each turn, target player mills three cards</t>
  </si>
  <si>
    <t>47</t>
  </si>
  <si>
    <t>c0201</t>
  </si>
  <si>
    <t>Dawn's Light Archer</t>
  </si>
  <si>
    <t>Elf Archer</t>
  </si>
  <si>
    <t>Flash
Reach
(4/2)</t>
  </si>
  <si>
    <t>Can block fliers</t>
  </si>
  <si>
    <t>c0237</t>
  </si>
  <si>
    <t>Meandering Towershell</t>
  </si>
  <si>
    <t>Turtle</t>
  </si>
  <si>
    <t>Islandwalk (This creature can't be blocked as long as defending player controls an Island.)
Whenever this creature attacks, exile it. Return it to the battlefield under your control tapped and attacking at the beginning of the declare attackers step on your next turn.
(5/9)</t>
  </si>
  <si>
    <t>Can't be blocked while defender controls an Island</t>
  </si>
  <si>
    <t>Exiles itself when attacking, returns tapped and attacking next turn</t>
  </si>
  <si>
    <t>c0895</t>
  </si>
  <si>
    <t>Vow to Erebor</t>
  </si>
  <si>
    <t>Untap target creature you control. It gets +2/+2 until end of turn. If it's a Dwarf, you may attach an Equipment you control to it.</t>
  </si>
  <si>
    <t>Untap target creature you control and it gets +2/+2 until end of turn</t>
  </si>
  <si>
    <t>If it's a Dwarf, you may attach an Equipment you control to it</t>
  </si>
  <si>
    <t>c0726</t>
  </si>
  <si>
    <t>Silvergill Peddler</t>
  </si>
  <si>
    <t>Merfolk Citizen</t>
  </si>
  <si>
    <t>Whenever this creature becomes tapped, draw a card, then discard a card.
(2/3)</t>
  </si>
  <si>
    <t>Whenever this creature becomes tapped, draw a card, then discard a card</t>
  </si>
  <si>
    <t>70</t>
  </si>
  <si>
    <t>c0079</t>
  </si>
  <si>
    <t>Thirsting Shade</t>
  </si>
  <si>
    <t>Shade</t>
  </si>
  <si>
    <t>Lifelink
{2}{B}: This creature gets +1/+1 until end of turn.
(1/1)</t>
  </si>
  <si>
    <t>Pay {2}{B} to get +1/+1 until end of turn, any number of times</t>
  </si>
  <si>
    <t>c0134</t>
  </si>
  <si>
    <t>Long-Bodied Grey Dog</t>
  </si>
  <si>
    <t>Flash
Reach
When this creature enters, create a tapped Treasure token. (It's an artifact with "{T}, Sacrifice this token: Add one mana of any color.")
(2/2)</t>
  </si>
  <si>
    <t>Enters: create a tapped Treasure token</t>
  </si>
  <si>
    <t>Flash and reach on a 2/2 body</t>
  </si>
  <si>
    <t>1</t>
  </si>
  <si>
    <t>c0019</t>
  </si>
  <si>
    <t>Crude Bent Blade</t>
  </si>
  <si>
    <t>When this Equipment enters, target opponent sacrifices a creature of their choice.
Equipped creature gets +2/+1.
Equip {2} ({2}: Attach to target creature you control. Equip only as a sorcery.)</t>
  </si>
  <si>
    <t>Enters: target opponent sacrifices a creature of their choice</t>
  </si>
  <si>
    <t>Equipped creature gets +2/+1</t>
  </si>
  <si>
    <t>c0602</t>
  </si>
  <si>
    <t>Goblin-town Flunkies</t>
  </si>
  <si>
    <t>Goblin-town Flunkies {1}{R} — Creature — Goblin Soldier (1/1)
Haste
When this creature enters, amass Goblins 1. (Put a +1/+1 counter on an Army you control. It's also a Goblin. If you don't control an Army, create a 0/0 black Goblin Army creature token first.)</t>
  </si>
  <si>
    <t>Haste; when this creature enters, amass Goblins 1</t>
  </si>
  <si>
    <t>100</t>
  </si>
  <si>
    <t>Jason Kang</t>
  </si>
  <si>
    <t>c0566</t>
  </si>
  <si>
    <t>Empty the Warrens</t>
  </si>
  <si>
    <t>Create two 1/1 red Goblin creature tokens.
Storm (When you cast this spell, copy it for each spell cast before it this turn.)</t>
  </si>
  <si>
    <t>Copied for each spell already cast this turn (Storm)</t>
  </si>
  <si>
    <t>c0543</t>
  </si>
  <si>
    <t>Boar-q-pine</t>
  </si>
  <si>
    <t>Boar Porcupine</t>
  </si>
  <si>
    <t>Whenever you cast a noncreature spell, put a +1/+1 counter on this creature.
(2/2)</t>
  </si>
  <si>
    <t>Gets a +1/+1 counter whenever you cast a noncreature spell</t>
  </si>
  <si>
    <t>c0219</t>
  </si>
  <si>
    <t>Glorious Decay</t>
  </si>
  <si>
    <t>Choose one —
• Destroy target artifact.
• Glorious Decay deals 4 damage to target creature with flying.
• Exile target card from a graveyard. Draw a card.</t>
  </si>
  <si>
    <t>Choose one — destroy target artifact</t>
  </si>
  <si>
    <t>Or deal 4 damage to a creature with flying, or exile a card from a graveyard and draw a card</t>
  </si>
  <si>
    <t>c0523</t>
  </si>
  <si>
    <t>Wary Farmer</t>
  </si>
  <si>
    <t>Kithkin Citizen</t>
  </si>
  <si>
    <t>At the beginning of your end step, if another creature entered the battlefield under your control this turn, surveil 1. (Look at the top card of your library. You may put it into your graveyard.)
(3/3)</t>
  </si>
  <si>
    <t>At the beginning of your end step, surveil 1 if another creature entered under your control this turn</t>
  </si>
  <si>
    <t>251</t>
  </si>
  <si>
    <t>c0002</t>
  </si>
  <si>
    <t>Auntie's Sentence</t>
  </si>
  <si>
    <t>Choose one —
• Target opponent reveals their hand. You choose a nonland permanent card from it. That player discards that card.
• Target creature gets -2/-2 until end of turn.</t>
  </si>
  <si>
    <t>Target creature gets -2/-2 until end of turn</t>
  </si>
  <si>
    <t>Or opponent reveals hand and discards a nonland permanent card you choose</t>
  </si>
  <si>
    <t>c0047</t>
  </si>
  <si>
    <t>Mirrodin Avenged</t>
  </si>
  <si>
    <t>Destroy target creature that was dealt damage this turn.
Draw a card.</t>
  </si>
  <si>
    <t>Destroys target creature that was dealt damage this turn</t>
  </si>
  <si>
    <t>Draws a card</t>
  </si>
  <si>
    <t>c0869</t>
  </si>
  <si>
    <t>Spiral into Solitude</t>
  </si>
  <si>
    <t>Enchant creature
Enchanted creature can't attack or block.
{1}{W}, Blight 1, Sacrifice this Aura: Exile enchanted creature. (To blight 1, put a -1/-1 counter on a creature you control.)</t>
  </si>
  <si>
    <t>Enchanted creature can't attack or block</t>
  </si>
  <si>
    <t>Pay {1}{W}, blight 1, sacrifice: exile enchanted creature</t>
  </si>
  <si>
    <t>c0797</t>
  </si>
  <si>
    <t>Glider Kids</t>
  </si>
  <si>
    <t>Human Pilot Ally</t>
  </si>
  <si>
    <t>Flying
When this creature enters, scry 1. (Look at the top card of your library. You may put it on the bottom.)
(2/3)</t>
  </si>
  <si>
    <t>Enters: look at the top card of your library and you may put it on the bottom</t>
  </si>
  <si>
    <t>Ikeda-cpt</t>
  </si>
  <si>
    <t>c0418</t>
  </si>
  <si>
    <t>Cloudblazer</t>
  </si>
  <si>
    <t>Flying
When this creature enters, you gain 2 life and draw two cards.
(2/2)</t>
  </si>
  <si>
    <t>Gain 2 life and draw two cards when it enters</t>
  </si>
  <si>
    <t>c0532</t>
  </si>
  <si>
    <t>Ancestral Anger</t>
  </si>
  <si>
    <t>Target creature gains trample and gets +X/+0 until end of turn, where X is 1 plus the number of cards named Ancestral Anger in your graveyard.
Draw a card.</t>
  </si>
  <si>
    <t>Target creature gains trample and gets +X/+0, where X is 1 plus the number of copies of this card in your graveyard</t>
  </si>
  <si>
    <t>c0218</t>
  </si>
  <si>
    <t>Gilt-Leaf's Embrace</t>
  </si>
  <si>
    <t>Flash
Enchant creature
When this Aura enters, enchanted creature gains trample and indestructible until end of turn. (Damage and effects that say "destroy" don't destroy it. If its toughness is 0 or less, it still dies.)
Enchanted creature gets +2/+0.</t>
  </si>
  <si>
    <t>Enchanted creature gets +2/+0</t>
  </si>
  <si>
    <t>Enchanted creature can't be destroyed and its damage carries through blockers until end of turn, when it enters</t>
  </si>
  <si>
    <t>c0584</t>
  </si>
  <si>
    <t>Ghor-Clan Wrecker</t>
  </si>
  <si>
    <t>Riot (This creature enters with your choice of a +1/+1 counter or haste.)
Menace (This creature can't be blocked except by two or more creatures.)
(2/2)</t>
  </si>
  <si>
    <t>Enters with a +1/+1 counter or haste, your choice</t>
  </si>
  <si>
    <t>Can't be blocked except by two or more creatures</t>
  </si>
  <si>
    <t>c0269</t>
  </si>
  <si>
    <t>Sylvan Brushstrider</t>
  </si>
  <si>
    <t>Beast</t>
  </si>
  <si>
    <t>When this creature enters, you gain 2 life.
(3/2)</t>
  </si>
  <si>
    <t>c0069</t>
  </si>
  <si>
    <t>Retched Wretch</t>
  </si>
  <si>
    <t>When this creature dies, if it had a -1/-1 counter on it, return it to the battlefield under its owner's control and it loses all abilities.
(4/2)</t>
  </si>
  <si>
    <t>When it dies with a -1/-1 counter on it, return it to the battlefield with all abilities lost</t>
  </si>
  <si>
    <t>4/2 body for three mana</t>
  </si>
  <si>
    <t>c0564</t>
  </si>
  <si>
    <t>Dragon Fodder</t>
  </si>
  <si>
    <t>c0578</t>
  </si>
  <si>
    <t>Flamekin Gildweaver</t>
  </si>
  <si>
    <t>Trample
When this creature enters, create a Treasure token. (It's an artifact with "{T}, Sacrifice this token: Add one mana of any color.")
(4/3)</t>
  </si>
  <si>
    <t>Enters: create a Treasure token</t>
  </si>
  <si>
    <t>4/3 trample body</t>
  </si>
  <si>
    <t>c0519</t>
  </si>
  <si>
    <t>Visionary's Dance</t>
  </si>
  <si>
    <t>Create two 3/3 blue and red Elemental creature tokens with flying.
{2}, Discard this card: Look at the top two cards of your library. Put one of them into your hand and the other into your graveyard.</t>
  </si>
  <si>
    <t>Create two 3/3 Elemental tokens with flying</t>
  </si>
  <si>
    <t>{2}, discard this card: look at the top two cards, put one into your hand and the other into your graveyard</t>
  </si>
  <si>
    <t>Josiah "Jo" Cameron</t>
  </si>
  <si>
    <t>c0211</t>
  </si>
  <si>
    <t>Follow the Lumarets</t>
  </si>
  <si>
    <t>Infusion — Look at the top four cards of your library. You may reveal a creature or land card from among them and put it into your hand. If you gained life this turn, you may instead reveal two creature and/or land cards from among them and put them into your hand. Put the rest on the bottom of your library in a random order.</t>
  </si>
  <si>
    <t>Look at the top four cards and put a creature or land card from among them into your hand</t>
  </si>
  <si>
    <t>Infusion — take two creature and/or land cards instead if you gained life this turn</t>
  </si>
  <si>
    <t>148</t>
  </si>
  <si>
    <t>c0747</t>
  </si>
  <si>
    <t>Appeal to Eirdu</t>
  </si>
  <si>
    <t>Convoke (Your creatures can help cast this spell. Each creature you tap while casting this spell pays for {1} or one mana of that creature's color.)
One or two target creatures each get +2/+1 until end of turn.</t>
  </si>
  <si>
    <t>One or two target creatures each get +2/+1 until end of turn</t>
  </si>
  <si>
    <t>Convoke — tap creatures you control to help pay for it</t>
  </si>
  <si>
    <t>5</t>
  </si>
  <si>
    <t>c0267</t>
  </si>
  <si>
    <t>Stony Strength</t>
  </si>
  <si>
    <t>Put a +1/+1 counter on target creature you control. Untap that creature.</t>
  </si>
  <si>
    <t>Puts a +1/+1 counter on target creature you control and untaps it</t>
  </si>
  <si>
    <t>c0728</t>
  </si>
  <si>
    <t>Spellbook Seeker // Careful Study</t>
  </si>
  <si>
    <t>Spellbook Seeker {3}{U} — Creature — Bird Wizard (3/3)
Flying
This creature enters prepared. (While it's prepared, you may cast a copy of its spell. Doing so unprepares it.)
//
Careful Study {U} — Sorcery
Draw two cards, then discard two cards.</t>
  </si>
  <si>
    <t>Enters prepared — you may cast a copy of Careful Study to draw two cards, then discard two</t>
  </si>
  <si>
    <t>3/3 flying body</t>
  </si>
  <si>
    <t>68</t>
  </si>
  <si>
    <t>Scott Murphy</t>
  </si>
  <si>
    <t>c0875</t>
  </si>
  <si>
    <t>Stonecloaker</t>
  </si>
  <si>
    <t>Flash
Flying
When this creature enters, return a creature you control to its owner's hand.
When this creature enters, exile target card from a graveyard.
(3/2)</t>
  </si>
  <si>
    <t>Planar Chaos</t>
  </si>
  <si>
    <t>c0091</t>
  </si>
  <si>
    <t>Wander Off</t>
  </si>
  <si>
    <t>Exile target creature.</t>
  </si>
  <si>
    <t>104</t>
  </si>
  <si>
    <t>c0445</t>
  </si>
  <si>
    <t>Goblin Plate Mail</t>
  </si>
  <si>
    <t>Goblin Plate Mail {1}{B/R} — Artifact — Equipment
When this Equipment enters, amass Goblins 1, then attach this Equipment to the amassed Army. (To amass Goblins 1, put a +1/+1 counter on an Army you control. It's also a Goblin. If you don't control an Army, create a 0/0 black Goblin Army creature token first.)
Equipped creature gets +1/+0 and has menace.
Equip {4}</t>
  </si>
  <si>
    <t>When this Equipment enters, amass Goblins 1, then attach it to the amassed Army</t>
  </si>
  <si>
    <t>157</t>
  </si>
  <si>
    <t>c0588</t>
  </si>
  <si>
    <t>Goblin Gathering</t>
  </si>
  <si>
    <t>Create a number of 1/1 red Goblin creature tokens equal to two plus the number of cards named Goblin Gathering in your graveyard.</t>
  </si>
  <si>
    <t>Creates two 1/1 Goblin tokens, plus one more per copy in your graveyard</t>
  </si>
  <si>
    <t>c0775</t>
  </si>
  <si>
    <t>Disenchant</t>
  </si>
  <si>
    <t>Destroy target artifact or enchantment.</t>
  </si>
  <si>
    <t>Destroys target artifact or enchantment</t>
  </si>
  <si>
    <t>c0777</t>
  </si>
  <si>
    <t>Drogskol Shieldmate</t>
  </si>
  <si>
    <t>Spirit Soldier</t>
  </si>
  <si>
    <t>Flash
When this creature enters, other creatures you control get +0/+1 until end of turn.
(2/3)</t>
  </si>
  <si>
    <t>Gives other creatures you control +0/+1 until end of turn when it enters</t>
  </si>
  <si>
    <t>Flash creature</t>
  </si>
  <si>
    <t>c0684</t>
  </si>
  <si>
    <t>Elvenking's Harper</t>
  </si>
  <si>
    <t>Elf Bard</t>
  </si>
  <si>
    <t>{4}{U}: Target creature can't be blocked this turn.
(2/2)</t>
  </si>
  <si>
    <t>{4}{U}: Target creature can't be blocked this turn</t>
  </si>
  <si>
    <t>38</t>
  </si>
  <si>
    <t>c0720</t>
  </si>
  <si>
    <t>Rime Chill</t>
  </si>
  <si>
    <t>Vivid — This spell costs {1} less to cast for each color among permanents you control.
Tap up to two target creatures. Put a stun counter on each of them. (If a permanent with a stun counter would become untapped, remove one from it instead.)
Draw a card.</t>
  </si>
  <si>
    <t>Tap up to two target creatures and put a stun counter on each of them</t>
  </si>
  <si>
    <t>Vivid — costs {1} less to cast for each color among permanents you control</t>
  </si>
  <si>
    <t>64</t>
  </si>
  <si>
    <t>c0577</t>
  </si>
  <si>
    <t>Flame-Chain Mauler</t>
  </si>
  <si>
    <t>{1}{R}: This creature gets +1/+0 and gains menace until end of turn. (It can't be blocked except by two or more creatures.)
(2/2)</t>
  </si>
  <si>
    <t>{1}{R}: This creature gets +1/+0 and gains menace until end of turn</t>
  </si>
  <si>
    <t>c0886</t>
  </si>
  <si>
    <t>Timid Shieldbearer</t>
  </si>
  <si>
    <t>{4}{W}: Creatures you control get +1/+1 until end of turn.
(2/2)</t>
  </si>
  <si>
    <t>{4}{W}: your creatures get +1/+1 until end of turn</t>
  </si>
  <si>
    <t>c0845</t>
  </si>
  <si>
    <t>Reluctant Dounguard</t>
  </si>
  <si>
    <t>This creature enters with two -1/-1 counters on it.
Whenever another creature you control enters while this creature has a -1/-1 counter on it, remove a -1/-1 counter from this creature.
(4/4)</t>
  </si>
  <si>
    <t>Removes one of its own counters whenever another creature you control enters</t>
  </si>
  <si>
    <t>c0687</t>
  </si>
  <si>
    <t>Faerie Duelist</t>
  </si>
  <si>
    <t>Flash
Flying
When this creature enters, target creature an opponent controls gets -2/-0 until end of turn.
(1/2)</t>
  </si>
  <si>
    <t>Target opponent creature gets -2/-0 until end of turn when it enters</t>
  </si>
  <si>
    <t>c0456</t>
  </si>
  <si>
    <t>Kin-Tree Invocation</t>
  </si>
  <si>
    <t>Create an X/X black and green Spirit Warrior creature token, where X is the greatest toughness among creatures you control.</t>
  </si>
  <si>
    <t>Creates an X/X token, X = greatest toughness among your creatures</t>
  </si>
  <si>
    <t>c0862</t>
  </si>
  <si>
    <t>Shore Lurker</t>
  </si>
  <si>
    <t>Flying
When this creature enters, surveil 1. (Look at the top card of your library. You may put it into your graveyard.)
(3/3)</t>
  </si>
  <si>
    <t>Surveil 1 when it enters</t>
  </si>
  <si>
    <t>c0750</t>
  </si>
  <si>
    <t>Ascendant Dustspeaker</t>
  </si>
  <si>
    <t>Orc Cleric</t>
  </si>
  <si>
    <t>Flying
When this creature enters, put a +1/+1 counter on another target creature you control.
At the beginning of combat on your turn, exile up to one target card from a graveyard.
(3/4)</t>
  </si>
  <si>
    <t>At the beginning of combat on your turn, exile up to one target card from a graveyard</t>
  </si>
  <si>
    <t>Enters: put a +1/+1 counter on another target creature you control</t>
  </si>
  <si>
    <t>3/4 flying body</t>
  </si>
  <si>
    <t>c0496</t>
  </si>
  <si>
    <t>Senate Griffin</t>
  </si>
  <si>
    <t>Griffin</t>
  </si>
  <si>
    <t>Flying
When this creature enters, scry 1.
(3/2)</t>
  </si>
  <si>
    <t>c0268</t>
  </si>
  <si>
    <t>Surly Farrier</t>
  </si>
  <si>
    <t>{T}: Target creature you control gets +1/+1 and gains vigilance until end of turn. Activate only as a sorcery.
(2/2)</t>
  </si>
  <si>
    <t>Target creature you control gets +1/+1 until end of turn (sorcery speed)</t>
  </si>
  <si>
    <t>c0257</t>
  </si>
  <si>
    <t>Rebellious Captives</t>
  </si>
  <si>
    <t>Exhaust — {6}: Put two +1/+1 counters on this creature, then earthbend 2. (Target land you control becomes a 0/0 creature with haste that's still a land. Put two +1/+1 counters on it. When it dies or is exiled, return it to the battlefield tapped. Activate each exhaust ability only once.)
(2/2)</t>
  </si>
  <si>
    <t>Pay {6} once to put two +1/+1 counters on itself</t>
  </si>
  <si>
    <t>Then animates target land into a 0/0 hasty creature with two +1/+1 counters</t>
  </si>
  <si>
    <t>c0489</t>
  </si>
  <si>
    <t>Render Speechless</t>
  </si>
  <si>
    <t>Target opponent reveals their hand. You choose a nonland card from it. That player discards that card.
Put two +1/+1 counters on up to one target creature.</t>
  </si>
  <si>
    <t>Target opponent reveals their hand and discards a nonland card you choose</t>
  </si>
  <si>
    <t>Put two +1/+1 counters on up to one target creature</t>
  </si>
  <si>
    <t>220</t>
  </si>
  <si>
    <t>c0686</t>
  </si>
  <si>
    <t>Essence Scatter</t>
  </si>
  <si>
    <t>Counter target creature spell.</t>
  </si>
  <si>
    <t>Counter target creature spell</t>
  </si>
  <si>
    <t>c0874</t>
  </si>
  <si>
    <t>Stone Docent</t>
  </si>
  <si>
    <t>Spirit Chimera</t>
  </si>
  <si>
    <t>{W}, Exile this card from your graveyard: You gain 2 life. Surveil 1. Activate only as a sorcery. (Look at the top card of your library. You may put it into your graveyard.)
(3/1)</t>
  </si>
  <si>
    <t>{W}, exile this card from your graveyard: gain 2 life and surveil 1, as a sorcery</t>
  </si>
  <si>
    <t>36</t>
  </si>
  <si>
    <t>c0741</t>
  </si>
  <si>
    <t>Wanderwine Distracter</t>
  </si>
  <si>
    <t>Whenever this creature becomes tapped, target creature an opponent controls gets -3/-0 until end of turn.
(4/3)</t>
  </si>
  <si>
    <t>Target opponent creature gets -3/-0 until end of turn whenever this becomes tapped</t>
  </si>
  <si>
    <t>c0711</t>
  </si>
  <si>
    <t>Muse's Encouragement</t>
  </si>
  <si>
    <t>Create a 3/3 blue and red Elemental creature token with flying.
Surveil 2. (Look at the top two cards of your library, then put any number of them into your graveyard and the rest on top of your library in any order.)</t>
  </si>
  <si>
    <t>Create a 3/3 Elemental token with flying</t>
  </si>
  <si>
    <t>Surveil 2</t>
  </si>
  <si>
    <t>61</t>
  </si>
  <si>
    <t>c0241</t>
  </si>
  <si>
    <t>Mistmeadow Council</t>
  </si>
  <si>
    <t>Kithkin Advisor</t>
  </si>
  <si>
    <t>This spell costs {1} less to cast if you control a Kithkin.
When this creature enters, draw a card.
(4/3)</t>
  </si>
  <si>
    <t>Costs {1} less to cast if you control a Kithkin</t>
  </si>
  <si>
    <t>183</t>
  </si>
  <si>
    <t>c0817</t>
  </si>
  <si>
    <t>Knight of Old Benalia</t>
  </si>
  <si>
    <t>Suspend 5—{W} (Rather than cast this card from your hand, you may pay {W} and exile it with five time counters on it. At the beginning of your upkeep, remove a time counter. When the last is removed, you may cast it without paying its mana cost. It has haste.)
When this creature enters, other creatures you control get +1/+1 until end of turn.
(3/3)</t>
  </si>
  <si>
    <t>Other creatures you control get +1/+1 until end of turn when it enters</t>
  </si>
  <si>
    <t>Suspend 5-{W}: cast later free with haste after counters removed</t>
  </si>
  <si>
    <t>c0504</t>
  </si>
  <si>
    <t>Stadium Tidalmage</t>
  </si>
  <si>
    <t>Whenever this creature enters or attacks, you may draw a card. If you do, discard a card.
(4/4)</t>
  </si>
  <si>
    <t>Whenever this creature enters or attacks, you may draw a card, then discard a card</t>
  </si>
  <si>
    <t>232</t>
  </si>
  <si>
    <t>c0408</t>
  </si>
  <si>
    <t>Bolrac-Clan Crusher</t>
  </si>
  <si>
    <t>{T}, Remove a +1/+1 counter from a creature you control: This creature deals 2 damage to any target.
(4/4)</t>
  </si>
  <si>
    <t>Remove a +1/+1 counter from a creature you control to deal 2 damage to any target</t>
  </si>
  <si>
    <t>c0417</t>
  </si>
  <si>
    <t>Clan Guildmage</t>
  </si>
  <si>
    <t>{1}{R}, {T}: Target creature can't block this turn.
{2}{G}, {T}: Target land you control becomes a 4/4 Elemental creature with haste until end of turn. It's still a land.
(2/2)</t>
  </si>
  <si>
    <t>Target creature can't block this turn</t>
  </si>
  <si>
    <t>Target land becomes a 4/4 hasty Elemental until end of turn</t>
  </si>
  <si>
    <t>c0217</t>
  </si>
  <si>
    <t>Giant Growth</t>
  </si>
  <si>
    <t>Target creature gets +3/+3 until end of turn.</t>
  </si>
  <si>
    <t>Target creature gets +3/+3 until end of turn</t>
  </si>
  <si>
    <t>52</t>
  </si>
  <si>
    <t>c0762</t>
  </si>
  <si>
    <t>Civic Stalwart</t>
  </si>
  <si>
    <t>Elephant Soldier</t>
  </si>
  <si>
    <t>When this creature enters, creatures you control get +1/+1 until end of turn.
(3/3)</t>
  </si>
  <si>
    <t>Creatures you control get +1/+1 until end of turn when it enters</t>
  </si>
  <si>
    <t>c0135</t>
  </si>
  <si>
    <t>Mage Tower Referee</t>
  </si>
  <si>
    <t>Whenever you cast a multicolored spell, put a +1/+1 counter on this creature.
(2/1)</t>
  </si>
  <si>
    <t>Whenever you cast a multicolored spell, put a +1/+1 counter on this creature</t>
  </si>
  <si>
    <t>249</t>
  </si>
  <si>
    <t>c0722</t>
  </si>
  <si>
    <t>Run Behind</t>
  </si>
  <si>
    <t>This spell costs {1} less to cast if it targets an attacking creature.
Target creature's owner puts it on their choice of the top or bottom of their library.</t>
  </si>
  <si>
    <t>Target creature's owner puts it on their choice of the top or bottom of their library</t>
  </si>
  <si>
    <t>Costs {1} less to cast if it targets an attacking creature</t>
  </si>
  <si>
    <t>Nereida</t>
  </si>
  <si>
    <t>c0569</t>
  </si>
  <si>
    <t>Expressive Firedancer</t>
  </si>
  <si>
    <t>Human Sorcerer</t>
  </si>
  <si>
    <t>Opus — Whenever you cast an instant or sorcery spell, this creature gets +1/+1 until end of turn. If five or more mana was spent to cast that spell, this creature also gains double strike until end of turn.
(2/2)</t>
  </si>
  <si>
    <t>Opus — whenever you cast an instant or sorcery, this creature gets +1/+1 until end of turn</t>
  </si>
  <si>
    <t>It also gains double strike if five or more mana was spent to cast that spell</t>
  </si>
  <si>
    <t>114</t>
  </si>
  <si>
    <t>c0843</t>
  </si>
  <si>
    <t>Rehearsed Debater</t>
  </si>
  <si>
    <t>Djinn Bard</t>
  </si>
  <si>
    <t>Vigilance
Repartee — Whenever you cast an instant or sorcery spell that targets a creature, this creature gets +1/+1 until end of turn.
(3/3)</t>
  </si>
  <si>
    <t>Repartee — whenever you cast an instant or sorcery that targets a creature, this creature gets +1/+1 until end of turn</t>
  </si>
  <si>
    <t>Vigilance on a 3/3 body</t>
  </si>
  <si>
    <t>Kim Sokol</t>
  </si>
  <si>
    <t>c1070</t>
  </si>
  <si>
    <t>Budding Insurgent</t>
  </si>
  <si>
    <t>Dryad Scout</t>
  </si>
  <si>
    <t>Vigilance
Sacrifice this creature: Destroy target artifact or enchantment. If that permanent was a legendary enchantment, draw a card. Activate only as a sorcery.
(3/3)</t>
  </si>
  <si>
    <t>Sacrifice it: destroy target artifact or enchantment (sorcery speed); draw a card if it was a legendary enchantment</t>
  </si>
  <si>
    <t>C 0099</t>
  </si>
  <si>
    <t>Jeff Miracola</t>
  </si>
  <si>
    <t>c1101</t>
  </si>
  <si>
    <t>Warrior's Blades</t>
  </si>
  <si>
    <t>When this Equipment enters, it deals 3 damage to any target and you gain 3 life.
Equipped creature gets +2/+1.
Equip {3}. This ability costs {1} less to activate for each +1/+1 counter on the creature it targets.</t>
  </si>
  <si>
    <t>Enters: deals 3 damage to any target and you gain 3 life</t>
  </si>
  <si>
    <t>Equip {3}, costs {1} less per +1/+1 counter on the target</t>
  </si>
  <si>
    <t>U 0163</t>
  </si>
  <si>
    <t>c1081</t>
  </si>
  <si>
    <t>Blazing Crescendo</t>
  </si>
  <si>
    <t>Target creature gets +3/+1 until end of turn.
Exile the top card of your library. Until the end of your next turn, you may play that card.</t>
  </si>
  <si>
    <t>Target creature gets +3/+1 until end of turn</t>
  </si>
  <si>
    <t>Exile the top card of your library; you may play it until the end of your next turn</t>
  </si>
  <si>
    <t>C 0075</t>
  </si>
  <si>
    <t>c0192</t>
  </si>
  <si>
    <t>Boughside Wanderers</t>
  </si>
  <si>
    <t>When this creature enters, look at the top four cards of your library. You may reveal a permanent card from among them and put it into your hand. Put the rest on the bottom of your library in a random order.
Landfall — Whenever a land you control enters, this creature gets +2/+2 until end of turn.
(4/4)</t>
  </si>
  <si>
    <t>Enters: look at the top four cards of your library and put a permanent card from among them into your hand</t>
  </si>
  <si>
    <t>Landfall - whenever a land you control enters, it gets +2/+2 until end of turn</t>
  </si>
  <si>
    <t>c0695</t>
  </si>
  <si>
    <t>Gandalf, Wandering Wizard</t>
  </si>
  <si>
    <t>Ward {3} (Whenever this creature becomes the target of a spell or ability an opponent controls, counter it unless that player pays {3}.)
{6}: Gandalf's owner shuffles him into their library and draws three cards.
(4/5)</t>
  </si>
  <si>
    <t>{6}: Shuffle him into your library and draw three cards</t>
  </si>
  <si>
    <t>Ward {3}</t>
  </si>
  <si>
    <t>c0666</t>
  </si>
  <si>
    <t>Tormenting Voice</t>
  </si>
  <si>
    <t>Discard a card as an additional cost, then draw two cards</t>
  </si>
  <si>
    <t>c0704</t>
  </si>
  <si>
    <t>Latchkey Faerie</t>
  </si>
  <si>
    <t>Flying
Prowl {2}{U} (You may cast this for its prowl cost if you dealt combat damage to a player this turn with a Faerie or Rogue.)
When this creature enters, if its prowl cost was paid, draw a card.
(3/1)</t>
  </si>
  <si>
    <t>Enters: draw a card if its prowl cost was paid</t>
  </si>
  <si>
    <t>Prowl {2}{U}</t>
  </si>
  <si>
    <t>c0731</t>
  </si>
  <si>
    <t>Summit Sentinel</t>
  </si>
  <si>
    <t>Elemental Soldier</t>
  </si>
  <si>
    <t>When this creature dies, draw a card.
(1/3)</t>
  </si>
  <si>
    <t>When it dies, draw a card</t>
  </si>
  <si>
    <t>c0472</t>
  </si>
  <si>
    <t>Nori, Teller of Tales</t>
  </si>
  <si>
    <t>Whenever Nori attacks, target attacking creature gains first strike until end of turn.
(2/2)</t>
  </si>
  <si>
    <t>Whenever it attacks, target attacking creature gains first strike until end of turn</t>
  </si>
  <si>
    <t>c1020</t>
  </si>
  <si>
    <t>Academic Ascent</t>
  </si>
  <si>
    <t>Target creature gets +2/+2 and gains flying until end of turn.
Empower Jace 2. (Put two loyalty counters on a Jace token you control. If you don't control one, first create a blue Jace planeswalker token with "[−1]: Surveil 1" and "[−3]: Draw a card.")</t>
  </si>
  <si>
    <t>Target creature gets +2/+2 and flying until end of turn</t>
  </si>
  <si>
    <t>C 0002</t>
  </si>
  <si>
    <t>c0790</t>
  </si>
  <si>
    <t>Fancy Footwork</t>
  </si>
  <si>
    <t>Untap one or two target creatures. They each get +2/+2 until end of turn.</t>
  </si>
  <si>
    <t>Untap one or two target creatures; each gets +2/+2 until end of turn</t>
  </si>
  <si>
    <t>c0821</t>
  </si>
  <si>
    <t>Lake-town Toymaker</t>
  </si>
  <si>
    <t>At the beginning of combat on your turn, if you've drawn two or more cards this turn, another target creature you control gets +3/+0 and gains first strike until end of turn.
(3/4)</t>
  </si>
  <si>
    <t>At the beginning of combat on your turn, if you have drawn two or more cards this turn, another target creature you control gets +3/+0 and gains first strike until end of turn</t>
  </si>
  <si>
    <t>c0911</t>
  </si>
  <si>
    <t>Yip Yip!</t>
  </si>
  <si>
    <t>Target creature you control gets +2/+2 until end of turn. If that creature is an Ally, it also gains flying until end of turn.</t>
  </si>
  <si>
    <t>Target creature you control gets +2/+2 until end of turn; if it is an Ally, it also gains flying</t>
  </si>
  <si>
    <t>c0614</t>
  </si>
  <si>
    <t>Kindle the Inner Flame</t>
  </si>
  <si>
    <t>Kindred Sorcery</t>
  </si>
  <si>
    <t>Create a token that's a copy of target creature you control, except it has haste and "At the beginning of the end step, sacrifice this token."
Flashback—{1}{R}, Behold three Elementals. (You may cast this card from your graveyard for its flashback cost. Then exile it. To behold an Elemental, choose an Elemental you control or reveal an Elemental card from your hand.)</t>
  </si>
  <si>
    <t>Create a token copy of target creature you control with haste, sacrificed at the beginning of the end step</t>
  </si>
  <si>
    <t>Flashback {1}{R} and behold three Elementals: cast it from your graveyard, then exile it</t>
  </si>
  <si>
    <t>c0400</t>
  </si>
  <si>
    <t>Bard the Bowman</t>
  </si>
  <si>
    <t>Human Archer</t>
  </si>
  <si>
    <t>Reach
Whenever you draw your second card each turn, put a +1/+1 counter on target creature. It gains lifelink until end of turn.
(1/3)</t>
  </si>
  <si>
    <t>Whenever you draw your second card each turn, put a +1/+1 counter on target creature and it gains lifelink until end of turn</t>
  </si>
  <si>
    <t>c1090</t>
  </si>
  <si>
    <t>Predictive Preparations</t>
  </si>
  <si>
    <t>Put a +1/+1 counter on each of one or two target creatures.
Flashback {3}{W} (You may cast this card from your graveyard for its flashback cost. Then exile it.)</t>
  </si>
  <si>
    <t>Put a +1/+1 counter on each of one or two target creatures</t>
  </si>
  <si>
    <t>Flashback {3}{W}</t>
  </si>
  <si>
    <t>C 0016</t>
  </si>
  <si>
    <t>c0210</t>
  </si>
  <si>
    <t>Foggy Swamp Vinebender</t>
  </si>
  <si>
    <t>Human Plant Ally</t>
  </si>
  <si>
    <t>This creature can't be blocked by creatures with power 2 or less.
Waterbend {5}: Put a +1/+1 counter on this creature. Activate only during your turn. (While paying a waterbend cost, you can tap your artifacts and creatures to help. Each one pays for {1}.)
(4/3)</t>
  </si>
  <si>
    <t>Waterbend {5}: put a +1/+1 counter on it during your turn (tap artifacts and creatures to help pay)</t>
  </si>
  <si>
    <t>Cannot be blocked by creatures with power 2 or less</t>
  </si>
  <si>
    <t>c0534</t>
  </si>
  <si>
    <t>Ashling, Rekindled</t>
  </si>
  <si>
    <t>Ashling, Rekindled {1}{R} — Legendary Creature — Elemental Sorcerer (1/3)
Whenever this creature enters or transforms into Ashling, Rekindled, you may discard a card. If you do, draw a card.
At the beginning of your first main phase, you may pay {U}. If you do, transform Ashling.
//
Ashling, Rimebound — Legendary Creature — Elemental Wizard (1/3)
Whenever this creature transforms into Ashling, Rimebound and at the beginning of your first main phase, add two mana of any one color. Spend this mana only to cast spells with mana value 4 or greater.
At the beginning of your first main phase, you may pay {R}. If you do, transform Ashling.</t>
  </si>
  <si>
    <t>When it enters or transforms into Ashling, Rekindled, you may discard a card to draw a card</t>
  </si>
  <si>
    <t>At the beginning of your first main phase you may pay {U} to transform it</t>
  </si>
  <si>
    <t>Back face Ashling, Rimebound: on transforming and each first main phase, add two mana of any one color for spells with mana value 4 or greater</t>
  </si>
  <si>
    <t>c0055</t>
  </si>
  <si>
    <t>Northern Air Temple</t>
  </si>
  <si>
    <t>When Northern Air Temple enters, each opponent loses X life and you gain X life, where X is the number of Shrines you control.
Whenever another Shrine you control enters, each opponent loses 1 life and you gain 1 life.</t>
  </si>
  <si>
    <t>Whenever another Shrine you control enters, each opponent loses 1 life and you gain 1 life</t>
  </si>
  <si>
    <t>Enters: each opponent loses X life and you gain X life, where X is the number of Shrines you control</t>
  </si>
  <si>
    <t>c0246</t>
  </si>
  <si>
    <t>Old Fat Spider</t>
  </si>
  <si>
    <t>Reach
This creature can't be blocked by creatures with power 2 or less.
Whenever this creature becomes the target of a spell or ability an opponent controls, draw a card.
(6/7)</t>
  </si>
  <si>
    <t>Reach, and cannot be blocked by creatures with power 2 or less</t>
  </si>
  <si>
    <t>Whenever it becomes the target of a spell or ability an opponent controls, draw a card</t>
  </si>
  <si>
    <t>c0460</t>
  </si>
  <si>
    <t>Large Bear</t>
  </si>
  <si>
    <t>Reach, trample, haste
(5/5)</t>
  </si>
  <si>
    <t>Reach, trample, haste</t>
  </si>
  <si>
    <t>c0696</t>
  </si>
  <si>
    <t>Giant Koi</t>
  </si>
  <si>
    <t>Waterbend {3}: This creature can't be blocked this turn. (While paying a waterbend cost, you can tap your artifacts and creatures to help. Each one pays for {1}.)
Islandcycling {2} ({2}, Discard this card: Search your library for an Island card, reveal it, put it into your hand, then shuffle.)
(5/7)</t>
  </si>
  <si>
    <t>Waterbend {3}: it cannot be blocked this turn (tap artifacts and creatures to help pay)</t>
  </si>
  <si>
    <t>Islandcycling {2}: discard it to search your library for an Island</t>
  </si>
  <si>
    <t>c0170</t>
  </si>
  <si>
    <t>Thrór's Map</t>
  </si>
  <si>
    <t>When Thrór's Map enters, search your library for a basic land card, reveal it, put it into your hand, then shuffle.
{2}, {T}: Draw a card, then discard a card.</t>
  </si>
  <si>
    <t>{2}, {T}: Draw a card, then discard a card</t>
  </si>
  <si>
    <t>c0673</t>
  </si>
  <si>
    <t>Wartime Protestors</t>
  </si>
  <si>
    <t>Human Rebel Ally</t>
  </si>
  <si>
    <t>Haste
Whenever another Ally you control enters, put a +1/+1 counter on that creature and it gains haste until end of turn.
(4/4)</t>
  </si>
  <si>
    <t>Whenever another Ally you control enters, put a +1/+1 counter on that creature and it gains haste until end of turn</t>
  </si>
  <si>
    <t>c0721</t>
  </si>
  <si>
    <t>Rimekin Recluse</t>
  </si>
  <si>
    <t>Elemental Wizard</t>
  </si>
  <si>
    <t>When this creature enters, return up to one other target creature to its owner's hand.
(3/2)</t>
  </si>
  <si>
    <t>Enters: return up to one other target creature to its owner's hand</t>
  </si>
  <si>
    <t>c0735</t>
  </si>
  <si>
    <t>Thranduil's Decree</t>
  </si>
  <si>
    <t>Counter target spell. If a permanent spell is countered this way, exile it instead of putting it into its owner's graveyard. You may cast that card without paying its mana cost for as long as it remains exiled.</t>
  </si>
  <si>
    <t>Counter target spell</t>
  </si>
  <si>
    <t>If a permanent spell is countered this way, exile it instead and you may cast it without paying its mana cost while it remains exiled</t>
  </si>
  <si>
    <t>c0351</t>
  </si>
  <si>
    <t>Orzhov Guildgate</t>
  </si>
  <si>
    <t>This land enters tapped.
{T}: Add {W} or {B}.</t>
  </si>
  <si>
    <t>This land enters tapped. / {T}: Add {W} or {B}.</t>
  </si>
  <si>
    <t>c1051</t>
  </si>
  <si>
    <t>Room of Refuge</t>
  </si>
  <si>
    <t>This land enters tapped. As it enters, choose a color.
{T}: Add one mana of the chosen color.
{5}, {T}, Sacrifice this land: Put two +1/+1 counters on target creature. Activate only as a sorcery.</t>
  </si>
  <si>
    <t>Taps for one mana of the chosen color</t>
  </si>
  <si>
    <t>{5}, {T}, sacrifice it: put two +1/+1 counters on target creature (sorcery speed)</t>
  </si>
  <si>
    <t>C 0188</t>
  </si>
  <si>
    <t>c0355</t>
  </si>
  <si>
    <t>Plaza of Heroes</t>
  </si>
  <si>
    <t>{T}: Add {C}.
{T}: Add one mana of any color. Spend this mana only to cast a legendary spell.
{T}: Add one mana of any color among legendary permanents you control.
{3}, {T}, Exile this land: Target legendary creature gains hexproof and indestructible until end of turn.</t>
  </si>
  <si>
    <t>Taps for {C}, or any color for a legendary spell, or any color among legendary permanents you control</t>
  </si>
  <si>
    <t>{3}, {T}, Exile: target legendary creature gains hexproof and indestructible until end of turn</t>
  </si>
  <si>
    <t>c0234</t>
  </si>
  <si>
    <t>Luminollusk</t>
  </si>
  <si>
    <t>Deathtouch
Vivid — When this creature enters, you gain life equal to the number of colors among permanents you control.
(2/4)</t>
  </si>
  <si>
    <t>Enters: you gain life equal to the number of colors among your permanents</t>
  </si>
  <si>
    <t>c0390</t>
  </si>
  <si>
    <t>Air Nomad Legacy</t>
  </si>
  <si>
    <t>When this enchantment enters, create a Clue token. (It's an artifact with "{2}, Sacrifice this token: Draw a card.")
Creatures you control with flying get +1/+1.</t>
  </si>
  <si>
    <t>Creatures you control with flying get +1/+1</t>
  </si>
  <si>
    <t>Enters: create a Clue token ({2}, sacrifice it: draw a card)</t>
  </si>
  <si>
    <t>c0885</t>
  </si>
  <si>
    <t>Thoughtweft Imbuer</t>
  </si>
  <si>
    <t>Whenever a creature you control attacks alone, it gets +X/+X until end of turn, where X is the number of Kithkin you control.
(0/5)</t>
  </si>
  <si>
    <t>Whenever a creature you control attacks alone, it gets +X/+X until end of turn, where X is the number of Kithkin you control</t>
  </si>
  <si>
    <t>c0753</t>
  </si>
  <si>
    <t>Bofur, Reliable Guardian</t>
  </si>
  <si>
    <t>Dwarf Scout</t>
  </si>
  <si>
    <t>Bofur, Reliable Guardian {W} — Legendary Creature — Dwarf Scout (1/1)
Lifelink
//
Concerted Care {1}{W} — Instant — Adventure
Target artifact or creature you control gains hexproof and indestructible until end of turn. (Then exile this card. You may cast the creature later from exile.)</t>
  </si>
  <si>
    <t>Back face Concerted Care {1}{W}: target artifact or creature you control gains hexproof and indestructible until end of turn</t>
  </si>
  <si>
    <t>c0585</t>
  </si>
  <si>
    <t>Glóin the Mighty</t>
  </si>
  <si>
    <t>Glóin the Mighty {3}{R} — Legendary Creature — Dwarf Warrior (4/3)
At the beginning of your first main phase, add {R}{R}.
//
Easy Pickings {2}{R} — Sorcery — Adventure
Easy Pickings deals 1 damage to each creature your opponents control. (Then exile this card. You may cast the creature later from exile.)</t>
  </si>
  <si>
    <t>At the beginning of your first main phase, add {R}{R}</t>
  </si>
  <si>
    <t>Back face Easy Pickings {2}{R}: deals 1 damage to each creature your opponents control</t>
  </si>
  <si>
    <t>c0563</t>
  </si>
  <si>
    <t>Dori, Bearer of Friends</t>
  </si>
  <si>
    <t>Trample
When Dori enters, create a Treasure token. (It's an artifact with "{T}, Sacrifice this token: Add one mana of any color.")
(3/2)</t>
  </si>
  <si>
    <t>Thought Vessel</t>
  </si>
  <si>
    <t>c0292</t>
  </si>
  <si>
    <t>Woodland Weavemaster</t>
  </si>
  <si>
    <t>Vigilance
Whenever another Elf you control enters, this creature gets +1/+1 until end of turn.
{T}: Add X mana of any one color, where X is this creature's power. Spend this mana only to cast Elf spells and activate abilities of Elf sources.
(1/2)</t>
  </si>
  <si>
    <t>{T}: Add X mana of any one color, where X is its power; spend only on Elf spells and abilities</t>
  </si>
  <si>
    <t>Whenever another Elf you control enters, it gets +1/+1 until end of turn</t>
  </si>
  <si>
    <t>c0662</t>
  </si>
  <si>
    <t>The Misty Mountains Cold</t>
  </si>
  <si>
    <t>(As this Saga enters and after your draw step, add a lore counter. Sacrifice after IV.)
I, II, III, IV — Create a Treasure token. Then if you control four or more Treasures, sacrifice this Saga. If you do, create a 6/6 red Dragon creature token with flying. (A Treasure token is an artifact with "{T}, Sacrifice this token: Add one mana of any color.")</t>
  </si>
  <si>
    <t>Chapters I through IV: create a Treasure token</t>
  </si>
  <si>
    <t>Sacrifice it once you control four or more Treasures to create a 6/6 red Dragon token with flying</t>
  </si>
  <si>
    <t>c0032</t>
  </si>
  <si>
    <t>Gathering of Darkness</t>
  </si>
  <si>
    <t>Return up to one target creature card from your graveyard to your hand.
Amass Goblins 3. (Put three +1/+1 counters on an Army you control. It's also a Goblin. If you don't control an Army, create a 0/0 black Goblin Army creature token first.)</t>
  </si>
  <si>
    <t>Return up to one target creature card from your graveyard to your hand</t>
  </si>
  <si>
    <t>Amass Goblins 3 - put three +1/+1 counters on a Goblin Army you control, creating a 0/0 one first if you have none</t>
  </si>
  <si>
    <t>c0430</t>
  </si>
  <si>
    <t>Eerie Ultimatum</t>
  </si>
  <si>
    <t>Return any number of permanent cards with different names from your graveyard to the battlefield.</t>
  </si>
  <si>
    <t>Return any number of permanent cards with different names from your graveyard to the battlefield</t>
  </si>
  <si>
    <t>c0433</t>
  </si>
  <si>
    <t>Emptiness</t>
  </si>
  <si>
    <t>When this creature enters, if {W}{W} was spent to cast it, return target creature card with mana value 3 or less from your graveyard to the battlefield.
When this creature enters, if {B}{B} was spent to cast it, put three -1/-1 counters on up to one target creature.
Evoke {W/B}{W/B}
(3/5)</t>
  </si>
  <si>
    <t>Enters: if {W}{W} was spent, return a creature card with mana value 3 or less from your graveyard to the battlefield</t>
  </si>
  <si>
    <t>Enters: if {B}{B} was spent, put three -1/-1 counters on up to one target creature</t>
  </si>
  <si>
    <t>Evoke {W/B}{W/B}: cast it cheaply by sacrificing it as it enters</t>
  </si>
  <si>
    <t>c0883</t>
  </si>
  <si>
    <t>The Restoration of Eiganjo</t>
  </si>
  <si>
    <t>The Restoration of Eiganjo {2}{W} — Enchantment — Saga
(As this Saga enters and after your draw step, add a lore counter.)
I — Search your library for a basic Plains card, reveal it, put it into your hand, then shuffle.
II — You may discard a card. When you do, return target permanent card with mana value 2 or less from your graveyard to the battlefield tapped.
III — Exile this Saga, then return it to the battlefield transformed under your control.
//
Architect of Restoration — Enchantment Creature — Fox Monk (3/4)
Vigilance
Whenever this creature attacks or blocks, create a 1/1 colorless Spirit creature token.</t>
  </si>
  <si>
    <t>Chapter I: search library for a basic Plains to hand</t>
  </si>
  <si>
    <t>Chapter II: discard a card to reanimate a permanent MV 2 or less</t>
  </si>
  <si>
    <t>Chapter III: transforms into a creature that makes Spirit tokens on attack/block</t>
  </si>
  <si>
    <t>c1056</t>
  </si>
  <si>
    <t>Silence the Echo</t>
  </si>
  <si>
    <t>As an additional cost to cast this spell, sacrifice a creature or planeswalker or pay {3}.
Destroy target creature or planeswalker.</t>
  </si>
  <si>
    <t>Additional cost: sacrifice a creature or planeswalker, or pay {3}</t>
  </si>
  <si>
    <t>C 0066</t>
  </si>
  <si>
    <t>c1075</t>
  </si>
  <si>
    <t>Sureshot Sower</t>
  </si>
  <si>
    <t>Reach
{3}{G}, Discard this card: Destroy target creature with flying.
(3/1)</t>
  </si>
  <si>
    <t>{3}{G}, discard it: destroy target creature with flying</t>
  </si>
  <si>
    <t>C 0115</t>
  </si>
  <si>
    <t>c1015</t>
  </si>
  <si>
    <t>Violent Echoes</t>
  </si>
  <si>
    <t>Violent Echoes deals 6 damage to target creature or planeswalker. If excess damage was dealt to that permanent this way, empower Jace X, where X is that excess damage. (Put that many loyalty counters on a Jace token you control. If you don't control one, first create a blue Jace planeswalker token with "[−1]: Surveil 1" and "[−3]: Draw a card.")</t>
  </si>
  <si>
    <t>Deals 6 damage to target creature or planeswalker</t>
  </si>
  <si>
    <t>Excess damage empowers Jace by that amount</t>
  </si>
  <si>
    <t>U 0095</t>
  </si>
  <si>
    <t>Andrea Piparo</t>
  </si>
  <si>
    <t>c0005</t>
  </si>
  <si>
    <t>Bilbo's Deadly Slice</t>
  </si>
  <si>
    <t>Destroy target creature.</t>
  </si>
  <si>
    <t>c0076</t>
  </si>
  <si>
    <t>Swampsnare Trap</t>
  </si>
  <si>
    <t>This spell costs {1} less to cast if it targets a creature with flying.
Enchant creature
Enchanted creature gets -5/-3.</t>
  </si>
  <si>
    <t>Enchanted creature gets -5/-3</t>
  </si>
  <si>
    <t>Costs {1} less to cast if it targets a creature with flying</t>
  </si>
  <si>
    <t>c0165</t>
  </si>
  <si>
    <t>The Black Arrow</t>
  </si>
  <si>
    <t>Flash
When The Black Arrow enters, it deals 1 damage to any target. If a Dragon is dealt damage this way, destroy it.
Equipped creature gets +1/+1 and has reach.
Equip {1} ({1}: Attach to target creature you control. Equip only as a sorcery.)</t>
  </si>
  <si>
    <t>Enters: deals 1 damage to any target; if a Dragon is dealt damage this way, destroy it</t>
  </si>
  <si>
    <t>Equipped creature gets +1/+1 and has reach; equip {1}</t>
  </si>
  <si>
    <t>c0550</t>
  </si>
  <si>
    <t>Burn, Burn, Tree and Fern</t>
  </si>
  <si>
    <t>(As this Saga enters and after your draw step, add a lore counter. Sacrifice after IV.)
I — This Saga deals 6 damage to target creature an opponent controls.
II — Destroy target artifact an opponent controls.
III, IV — Add {R}.</t>
  </si>
  <si>
    <t>Chapter I: deals 6 damage to target creature an opponent controls</t>
  </si>
  <si>
    <t>Chapter II: destroy target artifact an opponent controls</t>
  </si>
  <si>
    <t>Chapters III and IV: add {R}</t>
  </si>
  <si>
    <t>c0568</t>
  </si>
  <si>
    <t>Explosive Prodigy</t>
  </si>
  <si>
    <t>Vivid — When this creature enters, it deals X damage to target creature an opponent controls, where X is the number of colors among permanents you control.
(1/1)</t>
  </si>
  <si>
    <t>Enters: deals X damage to target creature an opponent controls, where X is the number of colors among your permanents</t>
  </si>
  <si>
    <t>c0159</t>
  </si>
  <si>
    <t>Stalactite Dagger</t>
  </si>
  <si>
    <t>When this Equipment enters, create a 1/1 colorless Shapeshifter creature token with changeling. (It's every creature type.)
Equipped creature gets +1/+1 and is all creature types.
Equip {2} ({2}: Attach to target creature you control. Equip only as a sorcery.)</t>
  </si>
  <si>
    <t>Enters: create a 1/1 colorless Shapeshifter token with changeling</t>
  </si>
  <si>
    <t>Equipped creature gets +1/+1 and is every creature type; equip {2}</t>
  </si>
  <si>
    <t>c0548</t>
  </si>
  <si>
    <t>Bothersome Noisemaker</t>
  </si>
  <si>
    <t>Whenever you cast a noncreature spell, amass Goblins 1. (Put a +1/+1 counter on an Army you control. It's also a Goblin. If you don't control an Army, create a 0/0 black Goblin Army creature token first.)
(2/2)</t>
  </si>
  <si>
    <t>Whenever you cast a noncreature spell, put a +1/+1 counter on a Goblin Army you control, creating a 0/0 one first if you have none</t>
  </si>
  <si>
    <t>c1076</t>
  </si>
  <si>
    <t>Wrecking Gecko</t>
  </si>
  <si>
    <t>Lizard Construct</t>
  </si>
  <si>
    <t>Ward {2} (Whenever this creature becomes the target of a spell or ability an opponent controls, counter it unless that player pays {2}.)
{6}{G}{G}: This creature gets +4/+4 and gains trample until end of turn.
(5/5)</t>
  </si>
  <si>
    <t>Ward {2}</t>
  </si>
  <si>
    <t>{6}{G}{G}: gets +4/+4 and trample until end of turn</t>
  </si>
  <si>
    <t>C 0120</t>
  </si>
  <si>
    <t>c1014</t>
  </si>
  <si>
    <t>Skilled Battlecarver</t>
  </si>
  <si>
    <t>During your turn, this creature has first strike.
{1}{R}: This creature gets +1/+0 until end of turn.
(2/1)</t>
  </si>
  <si>
    <t>Has first strike during your turn</t>
  </si>
  <si>
    <t>{1}{R}: gets +1/+0 until end of turn</t>
  </si>
  <si>
    <t>C 0092</t>
  </si>
  <si>
    <t>Evyn Fong</t>
  </si>
  <si>
    <t>c0067</t>
  </si>
  <si>
    <t>Ravening Warg</t>
  </si>
  <si>
    <t>Deathtouch
Ferocious — Whenever this creature attacks while you control a creature with power 4 or greater, you gain 2 life.
(2/2)</t>
  </si>
  <si>
    <t>Ferocious - whenever it attacks while you control a creature with power 4 or greater, you gain 2 life</t>
  </si>
  <si>
    <t>c0232</t>
  </si>
  <si>
    <t>Little Bear</t>
  </si>
  <si>
    <t>Flash
When this creature enters, untap another target creature you control. If that creature is a Bear, put a +1/+1 counter on it.
(3/2)</t>
  </si>
  <si>
    <t>Enters: untap another target creature you control; if it is a Bear, put a +1/+1 counter on it</t>
  </si>
  <si>
    <t>c0415</t>
  </si>
  <si>
    <t>Chitinous Graspling</t>
  </si>
  <si>
    <t>Changeling (This card is every creature type.)
Reach
(3/4)</t>
  </si>
  <si>
    <t>c0439</t>
  </si>
  <si>
    <t>Feisty Spikeling</t>
  </si>
  <si>
    <t>Changeling (This card is every creature type.)
During your turn, this creature has first strike.
(2/1)</t>
  </si>
  <si>
    <t>c0576</t>
  </si>
  <si>
    <t>Fire Nation Cadets</t>
  </si>
  <si>
    <t>This creature has firebending 2 as long as there's a Lesson card in your graveyard. (Whenever this creature attacks, add {R}{R}. This mana lasts until end of combat.)
{2}: This creature gets +1/+0 until end of turn.
(1/2)</t>
  </si>
  <si>
    <t>{2}: It gets +1/+0 until end of turn</t>
  </si>
  <si>
    <t>Has firebending 2 while a Lesson card is in your graveyard - whenever it attacks, add {R}{R} until end of combat</t>
  </si>
  <si>
    <t>c0783</t>
  </si>
  <si>
    <t>Eagle of the Great Shelf</t>
  </si>
  <si>
    <t>Bird Soldier</t>
  </si>
  <si>
    <t>Flying
Whenever this creature attacks, it gets +1/+1 until end of turn for each other creature you control.
(2/5)</t>
  </si>
  <si>
    <t>Whenever it attacks, it gets +1/+1 until end of turn for each other creature you control</t>
  </si>
  <si>
    <t>c0570</t>
  </si>
  <si>
    <t>Fable of the Mirror-Breaker</t>
  </si>
  <si>
    <t>Fable of the Mirror-Breaker {2}{R} — Enchantment — Saga
(As this Saga enters and after your draw step, add a lore counter.)
I — Create a 2/2 red Goblin Shaman creature token with "Whenever this token attacks, create a Treasure token."
II — You may discard up to two cards. If you do, draw that many cards.
III — Exile this Saga, then return it to the battlefield transformed under your control.
//
Reflection of Kiki-Jiki — Enchantment Creature — Goblin Shaman (2/2)
{1}, {T}: Create a token that's a copy of another target nonlegendary creature you control, except it has haste. Sacrifice it at the beginning of the next end step.</t>
  </si>
  <si>
    <t>(As this Saga enters and after your draw step, add a lore counter.)
I — Create a 2/2 red Goblin Shaman creature token wi</t>
  </si>
  <si>
    <t>c0693</t>
  </si>
  <si>
    <t>Freed from the Real</t>
  </si>
  <si>
    <t>Enchant creature
{U}: Tap enchanted creature.
{U}: Untap enchanted creature.</t>
  </si>
  <si>
    <t>{U}: Tap enchanted creature</t>
  </si>
  <si>
    <t>{U}: Untap enchanted creature</t>
  </si>
  <si>
    <t>Saviors of Kamigawa</t>
  </si>
  <si>
    <t>c1109</t>
  </si>
  <si>
    <t>Hexhaven Invigorator</t>
  </si>
  <si>
    <t>Chimera Horror</t>
  </si>
  <si>
    <t>Vigilance
Whenever this creature is dealt damage, you may search your library for up to that many land cards, put them onto the battlefield tapped, then shuffle.
(6/6)</t>
  </si>
  <si>
    <t>Whenever it is dealt damage, search for that many lands and put them onto the battlefield tapped</t>
  </si>
  <si>
    <t>M 0106</t>
  </si>
  <si>
    <t>c1110</t>
  </si>
  <si>
    <t>Koth, the Geomancer</t>
  </si>
  <si>
    <t>Reach
Landfall — Whenever a land you control enters, Koth deals 1 damage to each opponent. If that land is a Mountain, add {R}.
(3/2)</t>
  </si>
  <si>
    <t>Landfall: deals 1 damage to each opponent</t>
  </si>
  <si>
    <t>If the land is a Mountain, add {R}</t>
  </si>
  <si>
    <t>U 0248</t>
  </si>
  <si>
    <t>c1111</t>
  </si>
  <si>
    <t>Your Fate Ends Here</t>
  </si>
  <si>
    <t>Destroy target creature or planeswalker with mana value 3 or greater. Surveil 1. (Look at the top card of your library. You may put it into your graveyard.)</t>
  </si>
  <si>
    <t>Destroy a creature or planeswalker with mana value 3 or greater</t>
  </si>
  <si>
    <t>U 0024</t>
  </si>
  <si>
    <t>c1112</t>
  </si>
  <si>
    <t>Eardrum Rattler</t>
  </si>
  <si>
    <t>Human Bard</t>
  </si>
  <si>
    <t>{1}, {T}: Another target creature you control with power 2 or less can't be blocked this turn.
(2/2)</t>
  </si>
  <si>
    <t>{1},{T}: another creature you control with power 2 or less can't be blocked this turn</t>
  </si>
  <si>
    <t>C 0081</t>
  </si>
  <si>
    <t>c1113</t>
  </si>
  <si>
    <t>Last Gasp</t>
  </si>
  <si>
    <t>Target creature gets -3/-3 until end of turn.</t>
  </si>
  <si>
    <t>Target creature gets -3/-3 until end of turn</t>
  </si>
  <si>
    <t>C 0056</t>
  </si>
  <si>
    <t>Jabari Weathers</t>
  </si>
  <si>
    <t>c1114</t>
  </si>
  <si>
    <t>Pyre Rhymer // Molten Tide</t>
  </si>
  <si>
    <t>Prowess
This creature enters prepared. (While it's prepared, you may cast a copy of its spell. Doing so unprepares it.)
//
Until end of turn, whenever you tap a Mountain for mana, add an additional {R}.
(3/3)</t>
  </si>
  <si>
    <t>Enters prepared: cast a copy of Molten Tide (Mountains tap for an extra {R} this turn)</t>
  </si>
  <si>
    <t>Gets +1/+1 whenever you cast a noncreature spell</t>
  </si>
  <si>
    <t>R 0091</t>
  </si>
  <si>
    <t>c1115</t>
  </si>
  <si>
    <t>Desperate Futurescribe</t>
  </si>
  <si>
    <t>Flying
At the beginning of combat on your turn, another target creature you control gets +1/+1 until end of turn. If you've scried or surveilled this turn, put a +1/+1 counter on that creature instead.
(3/4)</t>
  </si>
  <si>
    <t>Beginning of combat: another creature gets +1/+1, or a +1/+1 counter if you scried or surveilled this turn</t>
  </si>
  <si>
    <t>Sidharth Chaturvedi</t>
  </si>
  <si>
    <t>c1116</t>
  </si>
  <si>
    <t>Grim Repriser</t>
  </si>
  <si>
    <t>Zombie Bard</t>
  </si>
  <si>
    <t>Prowess (Whenever you cast a noncreature spell, this creature gets +1/+1 until end of turn.)
{B}{R}: Return this card from your graveyard to the battlefield with a finality counter on it. Activate only if an opponent has been dealt noncombat damage this turn. (If a creature with a finality counter on it would die, exile it instead.)
(2/2)</t>
  </si>
  <si>
    <t>{B}{R}: returns itself from the graveyard (finality counter) if an opponent took noncombat damage this turn</t>
  </si>
  <si>
    <t>U 0136</t>
  </si>
  <si>
    <t>c1117</t>
  </si>
  <si>
    <t>Tether Technician</t>
  </si>
  <si>
    <t>Minotaur Artificer</t>
  </si>
  <si>
    <t>Reach
When this creature enters, you may discard a card. When you do, this creature deals 2 damage to any target.
(4/5)</t>
  </si>
  <si>
    <t>Enters: you may discard a card to deal 2 damage to any target</t>
  </si>
  <si>
    <t>C 0094</t>
  </si>
  <si>
    <t>Victor Maury</t>
  </si>
  <si>
    <t>c1118</t>
  </si>
  <si>
    <t>Delay</t>
  </si>
  <si>
    <t>Counter target spell. If the spell is countered this way, exile it with three time counters on it instead of putting it into its owner's graveyard. If it doesn't have suspend, it gains suspend. (At the beginning of its owner's upkeep, they remove a time counter. When the last is removed, they may play it without paying its mana cost. If it's a creature, it has haste.)</t>
  </si>
  <si>
    <t>Counter target spell; it comes back later off suspend with three time counters</t>
  </si>
  <si>
    <t>Future Sight</t>
  </si>
  <si>
    <t>c1119</t>
  </si>
  <si>
    <t>Cathars' Crusade</t>
  </si>
  <si>
    <t>Whenever a creature you control enters, put a +1/+1 counter on each creature you control.</t>
  </si>
  <si>
    <t>Whenever a creature you control enters, put a +1/+1 counter on each creature you control</t>
  </si>
  <si>
    <t>R 0010</t>
  </si>
  <si>
    <t>Karl Kopinski</t>
  </si>
  <si>
    <t>c1120</t>
  </si>
  <si>
    <t>Lapse of Certainty</t>
  </si>
  <si>
    <t>Counter target spell. If that spell is countered this way, put it on top of its owner's library instead of into that player's graveyard.</t>
  </si>
  <si>
    <t>Counter target spell and put it on top of its owner's library</t>
  </si>
  <si>
    <t>C 0009</t>
  </si>
  <si>
    <t>Anthony Francisco</t>
  </si>
  <si>
    <t>c1121</t>
  </si>
  <si>
    <t>Mana Leak</t>
  </si>
  <si>
    <t>Counter target spell unless its controller pays {3}.</t>
  </si>
  <si>
    <t>Counter target spell unless its controller pays {3}</t>
  </si>
  <si>
    <t>C 0062</t>
  </si>
  <si>
    <t>Howard Lyon</t>
  </si>
  <si>
    <t>c1123</t>
  </si>
  <si>
    <t>Hanged Executioner</t>
  </si>
  <si>
    <t>Flying
When this creature enters, create a 1/1 white Spirit creature token with flying.
{3}{W}, Exile this creature: Exile target creature.
(1/1)</t>
  </si>
  <si>
    <t>{3}{W}, exile it: exile target creature</t>
  </si>
  <si>
    <t>R 0022</t>
  </si>
  <si>
    <t>Johann Bodin</t>
  </si>
  <si>
    <t>c1124</t>
  </si>
  <si>
    <t>Harmonize</t>
  </si>
  <si>
    <t>Draw three cards.</t>
  </si>
  <si>
    <t>Draw three cards</t>
  </si>
  <si>
    <t>U 0128</t>
  </si>
  <si>
    <t>Rob Alexander</t>
  </si>
  <si>
    <t>c1125</t>
  </si>
  <si>
    <t>Red Elemental Blast</t>
  </si>
  <si>
    <t>Choose one —
• Counter target blue spell.
• Destroy target blue permanent.</t>
  </si>
  <si>
    <t>Counter a blue spell</t>
  </si>
  <si>
    <t>Or destroy a blue permanent</t>
  </si>
  <si>
    <t>Fourth Edition</t>
  </si>
  <si>
    <t>C 0218</t>
  </si>
  <si>
    <t>Richard Thomas</t>
  </si>
  <si>
    <t>c1126</t>
  </si>
  <si>
    <t>Illusionist's Stratagem</t>
  </si>
  <si>
    <t>Exile up to two target creatures you control, then return those cards to the battlefield under their owner's control.
Draw a card.</t>
  </si>
  <si>
    <t>Exile up to two of your creatures and return them</t>
  </si>
  <si>
    <t>Svetlin Velinov</t>
  </si>
  <si>
    <t>c1127</t>
  </si>
  <si>
    <t>Alms Collector</t>
  </si>
  <si>
    <t>Flash
If an opponent would draw two or more cards, instead you and that player each draw a card.
(3/4)</t>
  </si>
  <si>
    <t>If an opponent would draw two or more cards, you and that player each draw one instead</t>
  </si>
  <si>
    <t>R 0001</t>
  </si>
  <si>
    <t>Bram Sels</t>
  </si>
  <si>
    <t>c1128</t>
  </si>
  <si>
    <t>Fauna Shaman</t>
  </si>
  <si>
    <t>{G}, {T}, Discard a creature card: Search your library for a creature card, reveal it, put it into your hand, then shuffle.
(2/2)</t>
  </si>
  <si>
    <t>{G},{T}, discard a creature card: search your library for a creature card</t>
  </si>
  <si>
    <t>Secret Lair Promo</t>
  </si>
  <si>
    <t>P 0041</t>
  </si>
  <si>
    <t>Nature Nurture</t>
  </si>
  <si>
    <t>c1129</t>
  </si>
  <si>
    <t>Oblivion Ring</t>
  </si>
  <si>
    <t>When this enchantment enters, exile another target nonland permanent.
When this enchantment leaves the battlefield, return the exiled card to the battlefield under its owner's control.</t>
  </si>
  <si>
    <t>Enters: exile another nonland permanent until this leaves</t>
  </si>
  <si>
    <t>C 0020</t>
  </si>
  <si>
    <t>Franz Vohwinkel</t>
  </si>
  <si>
    <t>c1130</t>
  </si>
  <si>
    <t>Blacksmith's Skill</t>
  </si>
  <si>
    <t>Target permanent gains hexproof and indestructible until end of turn. If it's an artifact creature, it gets +2/+2 until end of turn.</t>
  </si>
  <si>
    <t>Target permanent gains hexproof and indestructible until end of turn</t>
  </si>
  <si>
    <t>Artifact creatures also get +2/+2</t>
  </si>
  <si>
    <t>C 0381</t>
  </si>
  <si>
    <t>Jason A. Engle</t>
  </si>
  <si>
    <t>c1131</t>
  </si>
  <si>
    <t>Drift of Phantasms</t>
  </si>
  <si>
    <t>Defender (This creature can't attack.)
Flying
Transmute {1}{U}{U} ({1}{U}{U}, Discard this card: Search your library for a card with the same mana value as this card, reveal it, put it into your hand, then shuffle. Transmute only as a sorcery.)
(0/5)</t>
  </si>
  <si>
    <t>Transmute: discard it to search for a card with mana value 3</t>
  </si>
  <si>
    <t>Ravnica Remastered</t>
  </si>
  <si>
    <t>c1132</t>
  </si>
  <si>
    <t>Memory Lapse</t>
  </si>
  <si>
    <t>Eternal Masters</t>
  </si>
  <si>
    <t>c1133</t>
  </si>
  <si>
    <t>Reality Shift</t>
  </si>
  <si>
    <t>Exile target creature. Its controller manifests the top card of their library. (That player puts the top card of their library onto the battlefield face down as a 2/2 creature. If it's a creature card, it can be turned face up any time for its mana cost.)</t>
  </si>
  <si>
    <t>Exile target creature; its controller manifests the top card of their library</t>
  </si>
  <si>
    <t>c1134</t>
  </si>
  <si>
    <t>Shamanic Revelation</t>
  </si>
  <si>
    <t>Draw a card for each creature you control.
Ferocious — You gain 4 life for each creature you control with power 4 or greater.</t>
  </si>
  <si>
    <t>Draw a card for each creature you control</t>
  </si>
  <si>
    <t>Gain 4 life for each creature you control with power 4 or greater</t>
  </si>
  <si>
    <t>c0212</t>
  </si>
  <si>
    <t>Forgotten Ancient</t>
  </si>
  <si>
    <t>Whenever a player casts a spell, you may put a +1/+1 counter on this creature.
At the beginning of your upkeep, you may move any number of +1/+1 counters from this creature onto other creatures.
(0/3)</t>
  </si>
  <si>
    <t>Gets a +1/+1 counter whenever any player casts a spell</t>
  </si>
  <si>
    <t>Moves any number of +1/+1 counters to other creatures each upkeep</t>
  </si>
  <si>
    <t>c0899</t>
  </si>
  <si>
    <t>Wall of Reverence</t>
  </si>
  <si>
    <t>Spirit Wall</t>
  </si>
  <si>
    <t>Defender, flying
At the beginning of your end step, you may gain life equal to the power of target creature you control.
(1/6)</t>
  </si>
  <si>
    <t>May gain life equal to a target creature's power each end step</t>
  </si>
  <si>
    <t>c0256</t>
  </si>
  <si>
    <t>Rampart Architect</t>
  </si>
  <si>
    <t>Elephant Advisor</t>
  </si>
  <si>
    <t>Whenever this creature enters or attacks, create a 1/3 white Wall creature token with defender.
Whenever a creature you control with defender dies, you may search your library for a basic land card, put that card onto the battlefield tapped, then shuffle.
(3/4)</t>
  </si>
  <si>
    <t>Creates a 1/3 Wall token with defender when it enters or attacks</t>
  </si>
  <si>
    <t>Fetches a basic land to battlefield tapped when a defender you control dies</t>
  </si>
  <si>
    <t>c0761</t>
  </si>
  <si>
    <t>Chocobo Knights</t>
  </si>
  <si>
    <t>Whenever you attack, creatures you control with counters on them gain double strike until end of turn.
(3/3)</t>
  </si>
  <si>
    <t>Creatures you control with counters gain double strike when you attack</t>
  </si>
  <si>
    <t>c0338</t>
  </si>
  <si>
    <t>Krosan Verge</t>
  </si>
  <si>
    <t>This land enters tapped.
{T}: Add {C}.
{2}, {T}, Sacrifice this land: Search your library for a Forest card and a Plains card, put them onto the battlefield tapped, then shuffle.</t>
  </si>
  <si>
    <t>Sacrifice: search for a Forest and a Plains, put onto battlefield tapped</t>
  </si>
  <si>
    <t>c0356</t>
  </si>
  <si>
    <t>Radiant Grove</t>
  </si>
  <si>
    <t>({T}: Add {G} or {W}.)
This land enters tapped.</t>
  </si>
  <si>
    <t>c0719</t>
  </si>
  <si>
    <t>Rhystic Study</t>
  </si>
  <si>
    <t>Whenever an opponent casts a spell, you may draw a card unless that player pays {1}.</t>
  </si>
  <si>
    <t>Prophecy</t>
  </si>
  <si>
    <t>c0744</t>
  </si>
  <si>
    <t>Anointed Procession</t>
  </si>
  <si>
    <t>If an effect would create one or more tokens under your control, it creates twice that many of those tokens instead.</t>
  </si>
  <si>
    <t>c0866</t>
  </si>
  <si>
    <t>Smothering Tithe</t>
  </si>
  <si>
    <t>Whenever an opponent draws a card, that player may pay {2}. If the player doesn't, you create a Treasure token. (It's an artifact with "{T}, Sacrifice this token: Add one mana of any color.")</t>
  </si>
  <si>
    <t>Whenever an opponent draws a card, that player may pay {2}. If the player doesn't, you create a Treasure token. (It's an</t>
  </si>
  <si>
    <t>c0281</t>
  </si>
  <si>
    <t>Vorinclex, Monstrous Raider</t>
  </si>
  <si>
    <t>Phyrexian Praetor</t>
  </si>
  <si>
    <t>Trample, haste
If you would put one or more counters on a permanent or player, put twice that many of each of those kinds of counters on that permanent or player instead.
If an opponent would put one or more counters on a permanent or player, they put half that many of each of those kinds of counters on that permanent or player instead, rounded down.
(6/6)</t>
  </si>
  <si>
    <t>Trample, haste
If you would put one or more counters on a permanent or player, put twice that many of each of those kind</t>
  </si>
  <si>
    <t>c0612</t>
  </si>
  <si>
    <t>Jeska's Will</t>
  </si>
  <si>
    <t>Choose one. If you control a commander as you cast this spell, you may choose both instead.
• Add {R} for each card in target opponent's hand.
• Exile the top three cards of your library. You may play them this turn.</t>
  </si>
  <si>
    <t>Choose one. If you control a commander as you cast this spell, you may choose both instead</t>
  </si>
  <si>
    <t>• Add {R} for each card in target opponent's hand</t>
  </si>
  <si>
    <t>• Exile the top three cards of your library. You may play them this turn</t>
  </si>
  <si>
    <t>c0078</t>
  </si>
  <si>
    <t>The Meathook Massacre</t>
  </si>
  <si>
    <t>When The Meathook Massacre enters, each creature gets -X/-X until end of turn.
Whenever a creature you control dies, each opponent loses 1 life.
Whenever a creature an opponent controls dies, you gain 1 life.</t>
  </si>
  <si>
    <t>When The Meathook Massacre enters, each creature gets -X/-X until end of turn.
Whenever a creature you control dies, eac</t>
  </si>
  <si>
    <t>c0095</t>
  </si>
  <si>
    <t>Aetherflux Reservoir</t>
  </si>
  <si>
    <t>Whenever you cast a spell, you gain 1 life for each spell you've cast this turn.
Pay 50 life: This artifact deals 50 damage to any target.</t>
  </si>
  <si>
    <t>c0225</t>
  </si>
  <si>
    <t>Heroic Intervention</t>
  </si>
  <si>
    <t>Permanents you control gain hexproof and indestructible until end of turn.</t>
  </si>
  <si>
    <t>c0100</t>
  </si>
  <si>
    <t>Ashnod's Altar</t>
  </si>
  <si>
    <t>Sacrifice a creature: Add {C}{C}.</t>
  </si>
  <si>
    <t>Antiquities</t>
  </si>
  <si>
    <t>c0014</t>
  </si>
  <si>
    <t>Bolas's Citadel</t>
  </si>
  <si>
    <t>You may look at the top card of your library any time.
You may play lands and cast spells from the top of your library. If you cast a spell this way, pay life equal to its mana value rather than pay its mana cost.
{T}, Sacrifice ten nonland permanents: Each opponent loses 10 life.</t>
  </si>
  <si>
    <t>You may look at the top card of your library any time</t>
  </si>
  <si>
    <t>You may play lands and cast spells from the top of your library. If you cast a spell this way, pay life equal to its man</t>
  </si>
  <si>
    <t>{T}, Sacrifice ten nonland permanents: Each opponent loses 10 life</t>
  </si>
  <si>
    <t>c0025</t>
  </si>
  <si>
    <t>Dictate of Erebos</t>
  </si>
  <si>
    <t>Flash
Whenever a creature you control dies, each opponent sacrifices a creature of their choice.</t>
  </si>
  <si>
    <t>c0150</t>
  </si>
  <si>
    <t>Ruby Medallion</t>
  </si>
  <si>
    <t>Red spells you cast cost {1} less to cast.</t>
  </si>
  <si>
    <t>c0112</t>
  </si>
  <si>
    <t>Contagion Engine</t>
  </si>
  <si>
    <t>When this artifact enters, put a -1/-1 counter on each creature target player controls.
{4}, {T}: Proliferate twice. (Choose any number of permanents and/or players, then give each another counter of each kind already there. Then do it again.)</t>
  </si>
  <si>
    <t>c0630</t>
  </si>
  <si>
    <t>Muxus, Goblin Grandee</t>
  </si>
  <si>
    <t>When Muxus enters, reveal the top six cards of your library. Put all Goblin creature cards with mana value 5 or less from among them onto the battlefield and the rest on the bottom of your library in a random order.
Whenever Muxus attacks, it gets +1/+1 until end of turn for each other Goblin you control.
(4/4)</t>
  </si>
  <si>
    <t>When Muxus enters, reveal the top six cards of your library. Put all Goblin creature cards with mana value 5 or less fro</t>
  </si>
  <si>
    <t>c0880</t>
  </si>
  <si>
    <t>Teleportation Circle</t>
  </si>
  <si>
    <t>At the beginning of your end step, exile up to one target artifact or creature you control, then return that card to the battlefield under its owner's control.</t>
  </si>
  <si>
    <t>At the beginning of your end step, exile up to one target artifact or creature you control, then return that card to the</t>
  </si>
  <si>
    <t>c0628</t>
  </si>
  <si>
    <t>Molten Echoes</t>
  </si>
  <si>
    <t>As this enchantment enters, choose a creature type.
Whenever a nontoken creature you control of the chosen type enters, create a token that's a copy of that creature. That token gains haste. Exile it at the beginning of the next end step.</t>
  </si>
  <si>
    <t xml:space="preserve">As this enchantment enters, choose a creature type.
Whenever a nontoken creature you control of the chosen type enters, </t>
  </si>
  <si>
    <t>Commander 2020</t>
  </si>
  <si>
    <t>c0454</t>
  </si>
  <si>
    <t>Kambal, Consul of Allocation</t>
  </si>
  <si>
    <t>Whenever an opponent casts a noncreature spell, that player loses 2 life and you gain 2 life.
(2/3)</t>
  </si>
  <si>
    <t>Whenever an opponent casts a noncreature spell, that player loses 2 life and you gain 2 life.</t>
  </si>
  <si>
    <t>c0636</t>
  </si>
  <si>
    <t>Professional Face-Breaker</t>
  </si>
  <si>
    <t>Menace
Whenever one or more creatures you control deal combat damage to a player, create a Treasure token.
Sacrifice a Treasure: Exile the top card of your library. You may play that card this turn.
(2/3)</t>
  </si>
  <si>
    <t>Menace
Whenever one or more creatures you control deal combat damage to a player, create a Treasure token.
Sacrifice a T</t>
  </si>
  <si>
    <t>c0598</t>
  </si>
  <si>
    <t>Goblin Recruiter</t>
  </si>
  <si>
    <t>When this creature enters, search your library for any number of Goblin cards, reveal them, then shuffle and put those cards on top in any order.
(1/1)</t>
  </si>
  <si>
    <t>When this creature enters, search your library for any number of Goblin cards, reveal them, then shuffle and put those c</t>
  </si>
  <si>
    <t>c0748</t>
  </si>
  <si>
    <t>Approach of the Second Sun</t>
  </si>
  <si>
    <t>If this spell was cast from your hand and you've cast another spell named Approach of the Second Sun this game, you win the game. Otherwise, put Approach of the Second Sun into its owner's library seventh from the top and you gain 7 life.</t>
  </si>
  <si>
    <t>c0791</t>
  </si>
  <si>
    <t>Farewell</t>
  </si>
  <si>
    <t>Choose one or more —
• Exile all artifacts.
• Exile all creatures.
• Exile all enchantments.
• Exile all graveyards.</t>
  </si>
  <si>
    <t>c0143</t>
  </si>
  <si>
    <t>Panharmonicon</t>
  </si>
  <si>
    <t>If an artifact or creature entering causes a triggered ability of a permanent you control to trigger, that ability triggers an additional time.</t>
  </si>
  <si>
    <t>If an artifact or creature entering causes a triggered ability of a permanent you control to trigger, that ability trigg</t>
  </si>
  <si>
    <t>c0452</t>
  </si>
  <si>
    <t>Inkshield</t>
  </si>
  <si>
    <t>Prevent all combat damage that would be dealt to you this turn. For each 1 damage prevented this way, create a 2/1 white and black Inkling creature token with flying.</t>
  </si>
  <si>
    <t>Prevent all combat damage that would be dealt to you this turn. For each 1 damage prevented this way, create a 2/1 white</t>
  </si>
  <si>
    <t>c0432</t>
  </si>
  <si>
    <t>Elenda, the Dusk Rose</t>
  </si>
  <si>
    <t>Vampire Knight</t>
  </si>
  <si>
    <t>Lifelink
Whenever another creature dies, put a +1/+1 counter on Elenda.
When Elenda dies, create X 1/1 white Vampire creature tokens with lifelink, where X is Elenda's power.
(1/1)</t>
  </si>
  <si>
    <t>Lifelink
Whenever another creature dies, put a +1/+1 counter on Elenda.
When Elenda dies, create X 1/1 white Vampire cre</t>
  </si>
  <si>
    <t>c0179</t>
  </si>
  <si>
    <t>War Room</t>
  </si>
  <si>
    <t>{T}: Add {C}.
{3}, {T}, Pay life equal to the number of colors in your commanders' color identity: Draw a card.</t>
  </si>
  <si>
    <t>c0574</t>
  </si>
  <si>
    <t>Fervor</t>
  </si>
  <si>
    <t>Creatures you control have haste. (They can attack and {T} as soon as they come under your control.)</t>
  </si>
  <si>
    <t>c0015</t>
  </si>
  <si>
    <t>Braids, Arisen Nightmare</t>
  </si>
  <si>
    <t>Nightmare</t>
  </si>
  <si>
    <t>At the beginning of your end step, you may sacrifice an artifact, creature, enchantment, land, or planeswalker. If you do, each opponent may sacrifice a permanent of their choice that shares a card type with it. For each opponent who doesn't, that player loses 2 life and you draw a card.
(3/3)</t>
  </si>
  <si>
    <t>At the beginning of your end step, you may sacrifice an artifact, creature, enchantment, land, or planeswalker. If you do, each opponent may sacrifice a permanent of their choice that shares a card type with it. For each opponent who doesn't, that player loses 2 life and you draw a card</t>
  </si>
  <si>
    <t>c0393</t>
  </si>
  <si>
    <t>Anim Pakal, Thousandth Moon</t>
  </si>
  <si>
    <t>Whenever you attack with one or more non-Gnome creatures, put a +1/+1 counter on Anim Pakal, then create X 1/1 colorless Gnome artifact creature tokens that are tapped and attacking, where X is the number of +1/+1 counters on Anim Pakal.
(1/2)</t>
  </si>
  <si>
    <t>Whenever you attack with one or more non-Gnome creatures, put a +1/+1 counter on Anim Pakal, then create X 1/1 colorless</t>
  </si>
  <si>
    <t>c0251</t>
  </si>
  <si>
    <t>Pir, Imaginative Rascal</t>
  </si>
  <si>
    <t>Human</t>
  </si>
  <si>
    <t>Partner with Toothy, Imaginary Friend (When this creature enters, target player may put Toothy into their hand from their library, then shuffle.)
If one or more counters would be put on a permanent your team controls, that many plus one of each of those kinds of counters are put on that permanent instead.
(1/1)</t>
  </si>
  <si>
    <t>Partner with Toothy, Imaginary Friend (When this creature enters, target player may put Toothy into their hand from thei</t>
  </si>
  <si>
    <t>c0635</t>
  </si>
  <si>
    <t>Pashalik Mons</t>
  </si>
  <si>
    <t>Whenever Pashalik Mons or another Goblin you control dies, Pashalik Mons deals 1 damage to any target.
{3}{R}, Sacrifice a Goblin: Create two 1/1 red Goblin creature tokens.
(2/2)</t>
  </si>
  <si>
    <t>Whenever Pashalik Mons or another Goblin you control dies, Pashalik Mons deals 1 damage to any target.
{3}{R}, Sacrifice</t>
  </si>
  <si>
    <t>c0224</t>
  </si>
  <si>
    <t>Hardened Scales</t>
  </si>
  <si>
    <t>If one or more +1/+1 counters would be put on a creature you control, that many plus one +1/+1 counters are put on it instead.</t>
  </si>
  <si>
    <t>If one or more +1/+1 counters would be put on a creature you control, that many plus one +1/+1 counters are put on it in</t>
  </si>
  <si>
    <t>c0010</t>
  </si>
  <si>
    <t>Blood Artist</t>
  </si>
  <si>
    <t>Whenever this creature or another creature dies, target player loses 1 life and you gain 1 life.
(0/1)</t>
  </si>
  <si>
    <t>Whenever this creature or another creature dies, target player loses 1 life and you gain 1 life.</t>
  </si>
  <si>
    <t>c0669</t>
  </si>
  <si>
    <t>Unexpected Windfall</t>
  </si>
  <si>
    <t>As an additional cost to cast this spell, discard a card</t>
  </si>
  <si>
    <t>Draw two cards and create two Treasure tokens</t>
  </si>
  <si>
    <t>c0863</t>
  </si>
  <si>
    <t>Skrelv, Defector Mite</t>
  </si>
  <si>
    <t>Phyrexian Mite</t>
  </si>
  <si>
    <t>Toxic 1 (Players dealt combat damage by this creature also get a poison counter.)
Skrelv can't block.
{W/P}, {T}: Choose a color. Another target creature you control gains toxic 1 and hexproof from that color until end of turn. It can't be blocked by creatures of that color this turn. ({W/P} can be paid with either {W} or 2 life.)
(1/1)</t>
  </si>
  <si>
    <t>Toxic 1</t>
  </si>
  <si>
    <t>Skrelv can't block</t>
  </si>
  <si>
    <t xml:space="preserve">{W/P}, {T}: Choose a color. Another target creature you control gains toxic 1 and hexproof from that color until end of </t>
  </si>
  <si>
    <t>c0136</t>
  </si>
  <si>
    <t>Magistrate's Scepter</t>
  </si>
  <si>
    <t>{4}, {T}: Put a charge counter on this artifact.
{T}, Remove three charge counters from this artifact: Take an extra turn after this one.</t>
  </si>
  <si>
    <t>{4}, {T}: Put a charge counter on this artifact</t>
  </si>
  <si>
    <t>{T}, Remove three charge counters from this artifact: Take an extra turn after this one</t>
  </si>
  <si>
    <t>c0072</t>
  </si>
  <si>
    <t>Sign in Blood</t>
  </si>
  <si>
    <t>Target player draws two cards and loses 2 life.</t>
  </si>
  <si>
    <t>Target player draws two cards and loses 2 life</t>
  </si>
  <si>
    <t>c0652</t>
  </si>
  <si>
    <t>Skirk Fire Marshal</t>
  </si>
  <si>
    <t>Protection from red
Tap five untapped Goblins you control: This creature deals 10 damage to each creature and each player.
(2/2)</t>
  </si>
  <si>
    <t>Protection from red</t>
  </si>
  <si>
    <t>Tap five untapped Goblins you control: This creature deals 10 damage to each creature and each player</t>
  </si>
  <si>
    <t>c0184</t>
  </si>
  <si>
    <t>Arbor Adherent</t>
  </si>
  <si>
    <t>Dog Druid</t>
  </si>
  <si>
    <t>{T}: Add one mana of any color.
{T}: Add X mana of any one color, where X is the greatest toughness among other creatures you control.
(2/4)</t>
  </si>
  <si>
    <t>{T}: Add X mana of any one color, where X is the greatest toughness among other creatures you control</t>
  </si>
  <si>
    <t>c0595</t>
  </si>
  <si>
    <t>Goblin Piledriver</t>
  </si>
  <si>
    <t>Protection from blue (This creature can't be blocked, targeted, dealt damage, or enchanted by anything blue.)
Whenever this creature attacks, it gets +2/+0 until end of turn for each other attacking Goblin.
(1/2)</t>
  </si>
  <si>
    <t>Protection from blue (This creature can't be blocked, targeted, dealt damage, or enchanted by anything blue.)
Whenever t</t>
  </si>
  <si>
    <t>c0603</t>
  </si>
  <si>
    <t>Great Furnace</t>
  </si>
  <si>
    <t>Artifact Land</t>
  </si>
  <si>
    <t>{T}: Add {R}.</t>
  </si>
  <si>
    <t>c0537</t>
  </si>
  <si>
    <t>Battle Hymn</t>
  </si>
  <si>
    <t>Add {R} for each creature you control.</t>
  </si>
  <si>
    <t>Add {R} for each creature you control</t>
  </si>
  <si>
    <t>c0230</t>
  </si>
  <si>
    <t>Kodama's Reach</t>
  </si>
  <si>
    <t>Arcane</t>
  </si>
  <si>
    <t>Search your library for up to two basic land cards, reveal those cards, put one onto the battlefield tapped and the othe</t>
  </si>
  <si>
    <t>c0755</t>
  </si>
  <si>
    <t>Brought Back</t>
  </si>
  <si>
    <t>Choose up to two target permanent cards in your graveyard that were put there from the battlefield this turn. Return them to the battlefield tapped.</t>
  </si>
  <si>
    <t>Choose up to two target permanent cards in your graveyard that were put there from the battlefield this turn. Return the</t>
  </si>
  <si>
    <t>c0089</t>
  </si>
  <si>
    <t>Wall of Blood</t>
  </si>
  <si>
    <t>Defender (This creature can't attack.)
Pay 1 life: This creature gets +1/+1 until end of turn.
(0/2)</t>
  </si>
  <si>
    <t>Pay 1 life: This creature gets +1/+1 until end of turn</t>
  </si>
  <si>
    <t>c0110</t>
  </si>
  <si>
    <t>Coldsteel Heart</t>
  </si>
  <si>
    <t>Snow Artifact</t>
  </si>
  <si>
    <t>This artifact enters tapped.
As this artifact enters, choose a color.
{T}: Add one mana of the chosen color.</t>
  </si>
  <si>
    <t>Enters tapped; choose a color as it enters</t>
  </si>
  <si>
    <t>Coldsnap</t>
  </si>
  <si>
    <t>c0871</t>
  </si>
  <si>
    <t>Stalwart Shield-Bearers</t>
  </si>
  <si>
    <t>Defender
Other creatures you control with defender get +0/+2.
(0/3)</t>
  </si>
  <si>
    <t>Other creatures you control with defender get +0/+2</t>
  </si>
  <si>
    <t>c0853</t>
  </si>
  <si>
    <t>Rolling Stones</t>
  </si>
  <si>
    <t>Wall creatures can attack as though they didn't have defender.</t>
  </si>
  <si>
    <t>c0440</t>
  </si>
  <si>
    <t>Felisa, Fang of Silverquill</t>
  </si>
  <si>
    <t>Flying
Mentor (Whenever this creature attacks, put a +1/+1 counter on target attacking creature with lesser power.)
Whenever a nontoken creature you control dies, if it had counters on it, create X tapped 2/1 white and black Inkling creature tokens with flying, where X is the number of counters it had on it.
(3/2)</t>
  </si>
  <si>
    <t>Mentor</t>
  </si>
  <si>
    <t>Whenever a nontoken creature you control dies, if it had counters on it, create X tapped 2/1 white and black Inkling cre</t>
  </si>
  <si>
    <t>c0306</t>
  </si>
  <si>
    <t>Brushland</t>
  </si>
  <si>
    <t>{T}: Add {C}.
{T}: Add {G} or {W}. This land deals 1 damage to you.</t>
  </si>
  <si>
    <t>Taps for {C}, or {G}/{W} at the cost of 1 damage to you</t>
  </si>
  <si>
    <t>c0046</t>
  </si>
  <si>
    <t>Mirkwood Bats</t>
  </si>
  <si>
    <t>Flying
Whenever you create or sacrifice a token, each opponent loses 1 life.
(2/3)</t>
  </si>
  <si>
    <t>Whenever you create or sacrifice a token, each opponent loses 1 life</t>
  </si>
  <si>
    <t>The Lord of the Rings: Tales of Middle-earth</t>
  </si>
  <si>
    <t>c0423</t>
  </si>
  <si>
    <t>Deathbringer Liege</t>
  </si>
  <si>
    <t>Other white creatures you control get +1/+1.
Other black creatures you control get +1/+1.
Whenever you cast a white spell, you may tap target creature.
Whenever you cast a black spell, you may destroy target creature if it's tapped.
(3/4)</t>
  </si>
  <si>
    <t>Other white creatures you control get +1/+1</t>
  </si>
  <si>
    <t>Other black creatures you control get +1/+1</t>
  </si>
  <si>
    <t>Whenever you cast a white spell, you may tap target creature</t>
  </si>
  <si>
    <t>c0405</t>
  </si>
  <si>
    <t>Blot Out the Sky</t>
  </si>
  <si>
    <t>Create X tapped 2/1 white and black Inkling creature tokens with flying. If X is 6 or more, destroy all noncreature, nonland permanents.</t>
  </si>
  <si>
    <t>Create X tapped 2/1 white and black Inkling creature tokens with flying. If X is 6 or more, destroy all noncreature, non</t>
  </si>
  <si>
    <t>c0837</t>
  </si>
  <si>
    <t>Perimeter Captain</t>
  </si>
  <si>
    <t>Defender
Whenever a creature you control with defender blocks, you may gain 2 life.
(0/4)</t>
  </si>
  <si>
    <t>Whenever a creature you control with defender blocks, you may gain 2 life</t>
  </si>
  <si>
    <t>c0056</t>
  </si>
  <si>
    <t>Ophiomancer</t>
  </si>
  <si>
    <t>At the beginning of each upkeep, if you control no Snakes, create a 1/1 black Snake creature token with deathtouch.
(2/2)</t>
  </si>
  <si>
    <t>Each upkeep, creates a 1/1 deathtouch Snake token if you control none</t>
  </si>
  <si>
    <t>c0436</t>
  </si>
  <si>
    <t>Ezuri, Stalker of Spheres</t>
  </si>
  <si>
    <t>Phyrexian Elf Warrior</t>
  </si>
  <si>
    <t>When Ezuri enters, you may pay {3}. If you do, proliferate twice.
Whenever you proliferate, draw a card.
(3/3)</t>
  </si>
  <si>
    <t>When Ezuri enters, you may pay {3}. If you do, proliferate twice</t>
  </si>
  <si>
    <t>Whenever you proliferate, draw a card</t>
  </si>
  <si>
    <t>c0073</t>
  </si>
  <si>
    <t>Slaughter Specialist</t>
  </si>
  <si>
    <t>Vampire Warrior</t>
  </si>
  <si>
    <t>When this creature enters, each opponent creates a 1/1 white Human creature token.
Whenever a creature an opponent controls dies, put a +1/+1 counter on this creature.
(3/3)</t>
  </si>
  <si>
    <t>Gives each opponent a 1/1 Human token when it enters</t>
  </si>
  <si>
    <t>Gets a +1/+1 counter whenever an opponent's creature dies</t>
  </si>
  <si>
    <t>c0305</t>
  </si>
  <si>
    <t>Bonders' Enclave</t>
  </si>
  <si>
    <t>{T}: Add {C}.
{3}, {T}: Draw a card. Activate only if you control a creature with power 4 or greater.</t>
  </si>
  <si>
    <t>{3}, {T}: Draw a card. Activate only if you control a creature with power 4 or greater</t>
  </si>
  <si>
    <t>c0412</t>
  </si>
  <si>
    <t>Breena, the Demagogue</t>
  </si>
  <si>
    <t>Bird Warlock</t>
  </si>
  <si>
    <t>Flying
Whenever a player attacks one of your opponents, if that opponent has more life than another of your opponents, that attacking player draws a card and you put two +1/+1 counters on a creature you control.
(1/3)</t>
  </si>
  <si>
    <t>Whenever a player attacks one of your opponents, if that opponent has more life than another of your opponents, that att</t>
  </si>
  <si>
    <t>c0907</t>
  </si>
  <si>
    <t>Windborn Muse</t>
  </si>
  <si>
    <t>Flying
Creatures can't attack you unless their controller pays {2} for each creature they control that's attacking you.
(2/3)</t>
  </si>
  <si>
    <t>Creatures can't attack you unless their controller pays {2} for each creature they control that's attacking you</t>
  </si>
  <si>
    <t>Legions</t>
  </si>
  <si>
    <t>c0386</t>
  </si>
  <si>
    <t>Woodland Cemetery</t>
  </si>
  <si>
    <t>This land enters tapped unless you control a Swamp or a Forest.
{T}: Add {B} or {G}.</t>
  </si>
  <si>
    <t>This land enters tapped unless you control a Swamp or a Forest</t>
  </si>
  <si>
    <t>{T}: Add {B} or {G}</t>
  </si>
  <si>
    <t>c0420</t>
  </si>
  <si>
    <t>Colfenor, the Last Yew</t>
  </si>
  <si>
    <t>Reach, vigilance
Whenever Colfenor or another creature you control dies, return up to one other target creature card with lesser toughness from your graveyard to your hand.
(3/7)</t>
  </si>
  <si>
    <t>Returns a creature card with lesser toughness from graveyard to hand when it or another creature you control dies</t>
  </si>
  <si>
    <t>Reach, vigilance body</t>
  </si>
  <si>
    <t>c0195</t>
  </si>
  <si>
    <t>Cankerbloom</t>
  </si>
  <si>
    <t>Phyrexian Fungus</t>
  </si>
  <si>
    <t>{1}, Sacrifice this creature: Choose one —
• Destroy target artifact.
• Destroy target enchantment.
• Proliferate. (Choose any number of permanents and/or players, then give each another counter of each kind already there.)
(3/2)</t>
  </si>
  <si>
    <t>• Destroy target artifact</t>
  </si>
  <si>
    <t>• Destroy target enchantment</t>
  </si>
  <si>
    <t>c0594</t>
  </si>
  <si>
    <t>Goblin Oriflamme</t>
  </si>
  <si>
    <t>Attacking creatures you control get +1/+0.</t>
  </si>
  <si>
    <t>Attacking creatures you control get +1/+0</t>
  </si>
  <si>
    <t>c0147</t>
  </si>
  <si>
    <t>Prismatic Lens</t>
  </si>
  <si>
    <t>{T}: Add {C}.
{1}, {T}: Add one mana of any color.</t>
  </si>
  <si>
    <t>Taps for colorless</t>
  </si>
  <si>
    <t>Pay 1 and tap for one mana of any color</t>
  </si>
  <si>
    <t>c0137</t>
  </si>
  <si>
    <t>Mask of Memory</t>
  </si>
  <si>
    <t>Whenever equipped creature deals combat damage to a player, you may draw two cards. If you do, discard a card.
Equip {1} ({1}: Attach to target creature you control. Equip only as a sorcery.)</t>
  </si>
  <si>
    <t>Equipped creature draws two and discards one on combat damage to a player</t>
  </si>
  <si>
    <t>Equip for 1</t>
  </si>
  <si>
    <t>c0040</t>
  </si>
  <si>
    <t>Infectious Inquiry</t>
  </si>
  <si>
    <t>You draw two cards and you lose 2 life. Each opponent gets a poison counter.</t>
  </si>
  <si>
    <t>You draw two cards and you lose 2 life. Each opponent gets a poison counter</t>
  </si>
  <si>
    <t>c0575</t>
  </si>
  <si>
    <t>Fire Diamond</t>
  </si>
  <si>
    <t>This artifact enters tapped.
{T}: Add {R}.</t>
  </si>
  <si>
    <t>Taps for {R} (enters tapped)</t>
  </si>
  <si>
    <t>c0849</t>
  </si>
  <si>
    <t>Restoration Angel</t>
  </si>
  <si>
    <t>Flash
Flying
When this creature enters, you may exile target non-Angel creature you control, then return that card to the battlefield under your control.
(3/4)</t>
  </si>
  <si>
    <t>When this creature enters, you may exile target non-Angel creature you control, then return that card to the battlefield</t>
  </si>
  <si>
    <t>c0526</t>
  </si>
  <si>
    <t>Yavimaya Coast</t>
  </si>
  <si>
    <t>{T}: Add {C}.
{T}: Add {G} or {U}. This land deals 1 damage to you.</t>
  </si>
  <si>
    <t>{T}: Add {C}. / {T}: Add {G} or {U}. This land deals 1 damage to you.</t>
  </si>
  <si>
    <t>c0088</t>
  </si>
  <si>
    <t>Vraska's Fall</t>
  </si>
  <si>
    <t>Each opponent sacrifices a creature or planeswalker of their choice and gets a poison counter.</t>
  </si>
  <si>
    <t>Each opponent sacrifices a creature or planeswalker of their choice and gets a poison counter</t>
  </si>
  <si>
    <t>c0457</t>
  </si>
  <si>
    <t>Kiora's Follower</t>
  </si>
  <si>
    <t>Merfolk</t>
  </si>
  <si>
    <t>{T}: Untap another target permanent.
(2/2)</t>
  </si>
  <si>
    <t>{T}: Untap another target permanent</t>
  </si>
  <si>
    <t>c0478</t>
  </si>
  <si>
    <t>Priest of Fell Rites</t>
  </si>
  <si>
    <t>{T}, Pay 3 life, Sacrifice this creature: Return target creature card from your graveyard to the battlefield. Activate only as a sorcery.
Unearth {3}{W}{B} ({3}{W}{B}: Return this card from your graveyard to the battlefield. It gains haste. Exile it at the beginning of the next end step or if it would leave the battlefield. Unearth only as a sorcery.)
(2/2)</t>
  </si>
  <si>
    <t>Tap, pay 3 life, sacrifice: return target creature card from graveyard to the battlefield</t>
  </si>
  <si>
    <t>Unearth {3}{W}{B} to return from graveyard with haste temporarily</t>
  </si>
  <si>
    <t>c0044</t>
  </si>
  <si>
    <t>Marauding Blight-Priest</t>
  </si>
  <si>
    <t>Whenever you gain life, each opponent loses 1 life.
(3/2)</t>
  </si>
  <si>
    <t>Whenever you gain life, each opponent loses 1 life</t>
  </si>
  <si>
    <t>c0116</t>
  </si>
  <si>
    <t>Darksteel Reactor</t>
  </si>
  <si>
    <t>Indestructible (Effects that say "destroy" don't destroy this artifact.)
At the beginning of your upkeep, you may put a charge counter on this artifact.
When this artifact has twenty or more charge counters on it, you win the game.</t>
  </si>
  <si>
    <t>Indestructible</t>
  </si>
  <si>
    <t>At the beginning of your upkeep, you may put a charge counter on this artifact</t>
  </si>
  <si>
    <t>When this artifact has twenty or more charge counters on it, you win the game</t>
  </si>
  <si>
    <t>c0389</t>
  </si>
  <si>
    <t>Adarkar Wastes</t>
  </si>
  <si>
    <t>{T}: Add {C}.
{T}: Add {W} or {U}. This land deals 1 damage to you.</t>
  </si>
  <si>
    <t>{T}: Add {C}. / {T}: Add {W} or {U}. This land deals 1 damage to you.</t>
  </si>
  <si>
    <t>c0174</t>
  </si>
  <si>
    <t>Unlicensed Hearse</t>
  </si>
  <si>
    <t>{T}: Exile up to two target cards from a single graveyard.
Unlicensed Hearse's power and toughness are each equal to the number of cards exiled with it.
Crew 2
(*/*)</t>
  </si>
  <si>
    <t>{T}: Exile up to two target cards from a single graveyard</t>
  </si>
  <si>
    <t>Unlicensed Hearse's power and toughness are each equal to the number of cards exiled with it</t>
  </si>
  <si>
    <t>Crew 2</t>
  </si>
  <si>
    <t>c0226</t>
  </si>
  <si>
    <t>Hornet Nest</t>
  </si>
  <si>
    <t>Defender (This creature can't attack.)
Whenever this creature is dealt damage, create that many 1/1 green Insect creature tokens with flying and deathtouch. (Any amount of damage a creature with deathtouch deals to a creature is enough to destroy it.)
(0/2)</t>
  </si>
  <si>
    <t>Whenever this creature is dealt damage, create that many 1/1 green Insect creature tokens with flying and deathtouch</t>
  </si>
  <si>
    <t>c0178</t>
  </si>
  <si>
    <t>Wall of Junk</t>
  </si>
  <si>
    <t>Defender (This creature can't attack.)
When this creature blocks, return it to its owner's hand at end of combat. (Return it only if it's on the battlefield.)
(0/7)</t>
  </si>
  <si>
    <t>When this creature blocks, return it to its owner's hand at end of combat</t>
  </si>
  <si>
    <t>c0788</t>
  </si>
  <si>
    <t>Expel the Interlopers</t>
  </si>
  <si>
    <t>Choose a number between 0 and 10. Destroy all creatures with power greater than or equal to the chosen number.</t>
  </si>
  <si>
    <t>c0642</t>
  </si>
  <si>
    <t>Reckless Bushwhacker</t>
  </si>
  <si>
    <t>Goblin Warrior Ally</t>
  </si>
  <si>
    <t>Surge {1}{R} (You may cast this spell for its surge cost if you or a teammate has cast another spell this turn.)
Haste
When this creature enters, if its surge cost was paid, other creatures you control get +1/+0 and gain haste until end of turn.
(2/1)</t>
  </si>
  <si>
    <t>Surge {1}{R}</t>
  </si>
  <si>
    <t>When this creature enters, if its surge cost was paid, other creatures you control get +1/+0 and gain haste until end of</t>
  </si>
  <si>
    <t>c0366</t>
  </si>
  <si>
    <t>Shineshadow Snarl</t>
  </si>
  <si>
    <t>As this land enters, you may reveal a Plains or Swamp card from your hand. If you don't, this land enters tapped.
{T}: Add {W} or {B}.</t>
  </si>
  <si>
    <t>Enters untapped if you reveal a Plains or Swamp</t>
  </si>
  <si>
    <t>c0104</t>
  </si>
  <si>
    <t>Bandit's Haul</t>
  </si>
  <si>
    <t>Whenever you commit a crime, put a loot counter on this artifact. This ability triggers only once each turn. (Targeting opponents, anything they control, and/or cards in their graveyards is a crime.)
{T}: Add one mana of any color.
{2}, {T}, Remove two loot counters from this artifact: Draw a card.</t>
  </si>
  <si>
    <t>Gets a loot counter once a turn when you commit a crime (target an opponent or their stuff)</t>
  </si>
  <si>
    <t>Pay 2, tap, remove two loot counters: draw a card</t>
  </si>
  <si>
    <t>c0804</t>
  </si>
  <si>
    <t>Hunted Witness</t>
  </si>
  <si>
    <t>When this creature dies, create a 1/1 white Soldier creature token with lifelink.
(1/1)</t>
  </si>
  <si>
    <t>Creates a 1/1 lifelink Soldier token when it dies</t>
  </si>
  <si>
    <t>c0367</t>
  </si>
  <si>
    <t>Silverquill Campus</t>
  </si>
  <si>
    <t>This land enters tapped.
{T}: Add {W} or {B}.
{4}, {T}: Scry 1. (Look at the top card of your library. You may put that card on the bottom.)</t>
  </si>
  <si>
    <t>Taps for {W} or {B} (enters tapped)</t>
  </si>
  <si>
    <t>{4}, tap: Scry 1</t>
  </si>
  <si>
    <t>c0516</t>
  </si>
  <si>
    <t>Utter End</t>
  </si>
  <si>
    <t>Exile target nonland permanent.</t>
  </si>
  <si>
    <t>c0812</t>
  </si>
  <si>
    <t>Kami of Old Stone</t>
  </si>
  <si>
    <t>(1/7)</t>
  </si>
  <si>
    <t>c0492</t>
  </si>
  <si>
    <t>Risen Reef</t>
  </si>
  <si>
    <t>Whenever this creature or another Elemental you control enters, look at the top card of your library. If it's a land card, you may put it onto the battlefield tapped. If you don't put the card onto the battlefield, put it into your hand.
(1/1)</t>
  </si>
  <si>
    <t>Whenever this creature or another Elemental you control enters, look at the top card of your library. If it's a land car</t>
  </si>
  <si>
    <t>c0552</t>
  </si>
  <si>
    <t>Cathartic Pyre</t>
  </si>
  <si>
    <t>Choose one —
• Cathartic Pyre deals 3 damage to target creature or planeswalker.
• Discard up to two cards, then draw that many cards.</t>
  </si>
  <si>
    <t>Deals 3 damage to a creature or planeswalker</t>
  </si>
  <si>
    <t>Or discard up to two cards and draw that many</t>
  </si>
  <si>
    <t>c0723</t>
  </si>
  <si>
    <t>Serum Snare</t>
  </si>
  <si>
    <t>Return target nonland permanent to its owner's hand. If that permanent had mana value 3 or less, proliferate. (Choose any number of permanents and/or players, then give each another counter of each kind already there.)</t>
  </si>
  <si>
    <t>Return target nonland permanent to its owner's hand. If that permanent had mana value 3 or less, proliferate</t>
  </si>
  <si>
    <t>c0018</t>
  </si>
  <si>
    <t>Costly Plunder</t>
  </si>
  <si>
    <t>As an additional cost to cast this spell, sacrifice an artifact or creature.
Draw two cards.</t>
  </si>
  <si>
    <t>Sacrifice an artifact or creature to draw two cards</t>
  </si>
  <si>
    <t>c0470</t>
  </si>
  <si>
    <t>Momentary Blink</t>
  </si>
  <si>
    <t>Exile target creature you control, then return it to the battlefield under its owner's control.
Flashback {3}{U} (You may cast this card from your graveyard for its flashback cost. Then exile it.)</t>
  </si>
  <si>
    <t>Flashback {3}{U}</t>
  </si>
  <si>
    <t>c0206</t>
  </si>
  <si>
    <t>Explore</t>
  </si>
  <si>
    <t>You may play an additional land this turn.
Draw a card.</t>
  </si>
  <si>
    <t>You may play an additional land this turn</t>
  </si>
  <si>
    <t>c0807</t>
  </si>
  <si>
    <t>Inspiring Overseer</t>
  </si>
  <si>
    <t>Flying
When this creature enters, you gain 1 life and draw a card.
(2/1)</t>
  </si>
  <si>
    <t>Gains 1 life and draws a card when it enters</t>
  </si>
  <si>
    <t>c0646</t>
  </si>
  <si>
    <t>Rummaging Goblin</t>
  </si>
  <si>
    <t>{T}, Discard a card: Draw a card.
(1/1)</t>
  </si>
  <si>
    <t>Tap, discard a card: draw a card</t>
  </si>
  <si>
    <t>c0795</t>
  </si>
  <si>
    <t>Gather the Townsfolk</t>
  </si>
  <si>
    <t>Create two 1/1 white Human creature tokens.
Fateful hour — If you have 5 or less life, create five of those tokens instead.</t>
  </si>
  <si>
    <t>Creates two 1/1 Human tokens (five instead if you have 5 or less life)</t>
  </si>
  <si>
    <t>c0513</t>
  </si>
  <si>
    <t>Tranquil Cove</t>
  </si>
  <si>
    <t>This land enters tapped.
When this land enters, you gain 1 life.
{T}: Add {W} or {U}.</t>
  </si>
  <si>
    <t>c0776</t>
  </si>
  <si>
    <t>Doomed Traveler</t>
  </si>
  <si>
    <t>When this creature dies, create a 1/1 white Spirit creature token with flying.
(1/1)</t>
  </si>
  <si>
    <t>c0718</t>
  </si>
  <si>
    <t>Prologue to Phyresis</t>
  </si>
  <si>
    <t>Each opponent gets a poison counter.
Draw a card.</t>
  </si>
  <si>
    <t>c0013</t>
  </si>
  <si>
    <t>Boiling Rock Rioter</t>
  </si>
  <si>
    <t>Firebending 1 (Whenever this creature attacks, add {R}. This mana lasts until end of combat.)
Tap an untapped Ally you control: Exile target card from a graveyard.
Whenever this creature attacks, you may cast an Ally spell from among cards you own exiled with this creature.
(3/3)</t>
  </si>
  <si>
    <t>Tap an untapped Ally you control: exile target card from a graveyard</t>
  </si>
  <si>
    <t>Whenever it attacks, you may cast an Ally spell from among the cards it exiled</t>
  </si>
  <si>
    <t>Firebending 1 - whenever it attacks, add {R} until end of combat</t>
  </si>
  <si>
    <t>c0844</t>
  </si>
  <si>
    <t>Release to Memory</t>
  </si>
  <si>
    <t>Exile target opponent's graveyard. For each creature card exiled this way, create a 1/1 colorless Spirit creature token.</t>
  </si>
  <si>
    <t>c0545</t>
  </si>
  <si>
    <t>Bolt Bend</t>
  </si>
  <si>
    <t>This spell costs {3} less to cast if you control a creature with power 4 or greater.
Change the target of target spell or ability with a single target.</t>
  </si>
  <si>
    <t>c0327</t>
  </si>
  <si>
    <t>Goblin Burrows</t>
  </si>
  <si>
    <t>{T}: Add {C}.
{1}{R}, {T}: Target Goblin creature gets +2/+0 until end of turn.</t>
  </si>
  <si>
    <t>{1}{R}, {T}: Target Goblin creature gets +2/+0 until end of turn</t>
  </si>
  <si>
    <t>c0413</t>
  </si>
  <si>
    <t>Brightclimb Pathway</t>
  </si>
  <si>
    <t>Brightclimb Pathway — Land
{T}: Add {W}.
//
Grimclimb Pathway — Land
{T}: Add {B}.</t>
  </si>
  <si>
    <t>{T}: Add {W}.</t>
  </si>
  <si>
    <t>c0521</t>
  </si>
  <si>
    <t>Wandering Musicians</t>
  </si>
  <si>
    <t>Human Bard Ally</t>
  </si>
  <si>
    <t>Whenever this creature attacks, creatures you control get +1/+0 until end of turn.
(2/5)</t>
  </si>
  <si>
    <t>Whenever it attacks, creatures you control get +1/+0 until end of turn</t>
  </si>
  <si>
    <t>c0522</t>
  </si>
  <si>
    <t>Warleader's Call</t>
  </si>
  <si>
    <t>Creatures you control get +1/+1.
Whenever a creature you control enters, this enchantment deals 1 damage to each opponent.</t>
  </si>
  <si>
    <t>Creatures you control get +1/+1</t>
  </si>
  <si>
    <t>Whenever a creature you control enters, this enchantment deals 1 damage to each opponent</t>
  </si>
  <si>
    <t>c0607</t>
  </si>
  <si>
    <t>Hobgoblin Bandit Lord</t>
  </si>
  <si>
    <t>Other Goblins you control get +1/+1.
{R}, {T}: This creature deals damage equal to the number of Goblins that entered the battlefield under your control this turn to any target.
(2/3)</t>
  </si>
  <si>
    <t>Other Goblins you control get +1/+1.
{R}, {T}: This creature deals damage equal to the number of Goblins that entered the battlefield under your control this turn to any target.</t>
  </si>
  <si>
    <t>c0087</t>
  </si>
  <si>
    <t>Vraska, Betrayal's Sting</t>
  </si>
  <si>
    <t>Vraska</t>
  </si>
  <si>
    <t>Compleated ({B/P} can be paid with {B} or 2 life. If life was paid, this planeswalker enters with two fewer loyalty counters.)
0: You draw a card and lose 1 life. Proliferate.
−2: Target creature becomes a Treasure artifact with "{T}, Sacrifice this artifact: Add one mana of any color" and loses all other card types and abilities.
−9: If target player has fewer than nine poison counters, they get a number of poison counters equal to the difference.
(Loyalty 6)</t>
  </si>
  <si>
    <t xml:space="preserve">Compleated ({B/P} can be paid with {B} or 2 life. If life was paid, this planeswalker enters with two fewer loyalty counters.)
0: You draw a card and lose 1 life. Proliferate.
−2: Target creature becomes a Treasure artifact with "{T}, Sacrifice this </t>
  </si>
  <si>
    <t>c0549</t>
  </si>
  <si>
    <t>Brightstone Ritual</t>
  </si>
  <si>
    <t>Add {R} for each Goblin on the battlefield.</t>
  </si>
  <si>
    <t>Add {R} for each Goblin on the battlefield</t>
  </si>
  <si>
    <t>c0016</t>
  </si>
  <si>
    <t>Carrion Feeder</t>
  </si>
  <si>
    <t>Zombie</t>
  </si>
  <si>
    <t>This creature can't block.
Sacrifice a creature: Put a +1/+1 counter on this creature.
(1/1)</t>
  </si>
  <si>
    <t>This creature can't block.
Sacrifice a creature: Put a +1/+1 counter on this creature.</t>
  </si>
  <si>
    <t>c0093</t>
  </si>
  <si>
    <t>Yahenni, Undying Partisan</t>
  </si>
  <si>
    <t>Aetherborn Vampire</t>
  </si>
  <si>
    <t>Haste
Whenever a creature an opponent controls dies, put a +1/+1 counter on Yahenni.
Sacrifice another creature: Yahenni gains indestructible until end of turn.
(2/2)</t>
  </si>
  <si>
    <t>Haste
Whenever a creature an opponent controls dies, put a +1/+1 counter on Yahenni.
Sacrifice another creature: Yahenni gains indestructible until end of turn.</t>
  </si>
  <si>
    <t>c0554</t>
  </si>
  <si>
    <t>Chancellor of the Forge</t>
  </si>
  <si>
    <t>Phyrexian Giant</t>
  </si>
  <si>
    <t>You may reveal this card from your opening hand. If you do, at the beginning of the first upkeep, create a 1/1 red Phyrexian Goblin creature token with haste.
When this creature enters, create X 1/1 red Phyrexian Goblin creature tokens with haste, where X is the number of creatures you control.
(5/5)</t>
  </si>
  <si>
    <t>You may reveal this card from your opening hand. If you do, at the beginning of the first upkeep, create a 1/1 red Phyre</t>
  </si>
  <si>
    <t>When this creature enters, create X 1/1 red Phyrexian Goblin creature tokens with haste, where X is the number of creatu</t>
  </si>
  <si>
    <t>c0591</t>
  </si>
  <si>
    <t>Goblin Lackey</t>
  </si>
  <si>
    <t>Whenever this creature deals damage to a player, you may put a Goblin permanent card from your hand onto the battlefield.
(1/1)</t>
  </si>
  <si>
    <t>Whenever this creature deals damage to a player, you may put a Goblin permanent card from your hand onto the battlefield</t>
  </si>
  <si>
    <t>c0391</t>
  </si>
  <si>
    <t>Ancient Lumberknot</t>
  </si>
  <si>
    <t>Treefolk</t>
  </si>
  <si>
    <t>Each creature you control with toughness greater than its power assigns combat damage equal to its toughness rather than its power.
(1/4)</t>
  </si>
  <si>
    <t>Each creature you control with toughness greater than its power assigns combat damage equal to its toughness rather than its power.</t>
  </si>
  <si>
    <t>c0024</t>
  </si>
  <si>
    <t>Diabolic Tutor</t>
  </si>
  <si>
    <t>Search your library for a card, put that card into your hand, then shuffle.</t>
  </si>
  <si>
    <t>Search your library for a card, put that card into your hand, then shuffle</t>
  </si>
  <si>
    <t>c0613</t>
  </si>
  <si>
    <t>Kiki-Jiki, Mirror Breaker</t>
  </si>
  <si>
    <t>Goblin Shaman</t>
  </si>
  <si>
    <t>Haste
{T}: Create a token that's a copy of target nonlegendary creature you control, except it has haste. Sacrifice it at the beginning of the next end step.
(2/2)</t>
  </si>
  <si>
    <t xml:space="preserve">{T}: Create a token that's a copy of target nonlegendary creature you control, except it has haste. Sacrifice it at the </t>
  </si>
  <si>
    <t>c0009</t>
  </si>
  <si>
    <t>Bile-Vial Boggart</t>
  </si>
  <si>
    <t>Goblin Assassin</t>
  </si>
  <si>
    <t>When this creature dies, put a -1/-1 counter on up to one target creature.
(1/1)</t>
  </si>
  <si>
    <t>When this creature dies, put a -1/-1 counter on up to one target creature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</si>
</sst>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quot;$&quot;#,##0.00"/>
    <numFmt numFmtId="166" formatCode="\$#,##0.00"/>
  </numFmts>
  <fonts count="9">
    <font>
      <sz val="11"/>
      <color theme="1"/>
      <name val="Calibri"/>
      <family val="2"/>
      <charset val="1"/>
    </font>
    <font>
      <b/>
      <sz val="10"/>
      <color rgb="FFFFFFFF"/>
      <name val="Satoshi"/>
      <charset val="1"/>
    </font>
    <font>
      <b/>
      <sz val="10"/>
      <color theme="1"/>
      <name val="Satoshi"/>
      <charset val="1"/>
    </font>
    <font>
      <b/>
      <sz val="11"/>
      <color theme="1"/>
      <name val="Calibri"/>
      <family val="2"/>
      <charset val="1"/>
    </font>
    <font>
      <b/>
      <sz val="11"/>
      <color theme="1"/>
      <name val="Calibri"/>
      <family val="2"/>
    </font>
    <font>
      <b/>
      <sz val="10"/>
      <color theme="0"/>
      <name val="Satoshi"/>
      <charset val="1"/>
    </font>
    <font>
      <b/>
      <sz val="10"/>
      <name val="Satoshi"/>
      <charset val="1"/>
    </font>
    <font>
      <sz val="10"/>
      <color theme="1"/>
      <name val="Satoshi"/>
      <charset val="1"/>
    </font>
    <font>
      <sz val="10"/>
      <name val="Satoshi"/>
      <charset val="1"/>
    </font>
  </fonts>
  <fills count="25">
    <fill>
      <patternFill patternType="none"/>
    </fill>
    <fill>
      <patternFill patternType="gray125"/>
    </fill>
    <fill>
      <patternFill patternType="solid">
        <fgColor theme="8" tint="0.59987182226020086"/>
        <bgColor rgb="FFC6D9F1"/>
      </patternFill>
    </fill>
    <fill>
      <patternFill patternType="solid">
        <fgColor theme="6" tint="0.59987182226020086"/>
        <bgColor rgb="FFD9D9D9"/>
      </patternFill>
    </fill>
    <fill>
      <patternFill patternType="solid">
        <fgColor rgb="FFFFC000"/>
        <bgColor rgb="FFC4BD97"/>
      </patternFill>
    </fill>
    <fill>
      <patternFill patternType="solid">
        <fgColor theme="2" tint="-0.249977111117893"/>
        <bgColor rgb="FFC3D69B"/>
      </patternFill>
    </fill>
    <fill>
      <patternFill patternType="solid">
        <fgColor theme="4" tint="0.79989013336588644"/>
        <bgColor rgb="FFE6E0EC"/>
      </patternFill>
    </fill>
    <fill>
      <patternFill patternType="solid">
        <fgColor theme="7" tint="0.79989013336588644"/>
        <bgColor rgb="FFDCE6F2"/>
      </patternFill>
    </fill>
    <fill>
      <patternFill patternType="solid">
        <fgColor rgb="FF00B0F0"/>
        <bgColor rgb="FF008080"/>
      </patternFill>
    </fill>
    <fill>
      <patternFill patternType="solid">
        <fgColor theme="7" tint="0.59999389629810485"/>
        <bgColor rgb="FF008080"/>
      </patternFill>
    </fill>
    <fill>
      <patternFill patternType="solid">
        <fgColor rgb="FF00B050"/>
        <bgColor rgb="FF008080"/>
      </patternFill>
    </fill>
    <fill>
      <patternFill patternType="solid">
        <fgColor theme="6"/>
        <bgColor rgb="FF92D050"/>
      </patternFill>
    </fill>
    <fill>
      <patternFill patternType="solid">
        <fgColor theme="3" tint="0.59987182226020086"/>
        <bgColor rgb="FFB3A2C7"/>
      </patternFill>
    </fill>
    <fill>
      <patternFill patternType="solid">
        <fgColor rgb="FF1F4E78"/>
        <bgColor rgb="FF003366"/>
      </patternFill>
    </fill>
    <fill>
      <patternFill patternType="solid">
        <fgColor theme="3" tint="-0.499984740745262"/>
        <bgColor rgb="FF003366"/>
      </patternFill>
    </fill>
    <fill>
      <patternFill patternType="solid">
        <fgColor rgb="FF7030A0"/>
        <bgColor rgb="FF003366"/>
      </patternFill>
    </fill>
    <fill>
      <patternFill patternType="solid">
        <fgColor rgb="FF00823B"/>
        <bgColor rgb="FF003366"/>
      </patternFill>
    </fill>
    <fill>
      <patternFill patternType="solid">
        <fgColor theme="6" tint="-0.249977111117893"/>
        <bgColor rgb="FF948A54"/>
      </patternFill>
    </fill>
    <fill>
      <patternFill patternType="solid">
        <fgColor theme="6" tint="0.39988402966399123"/>
        <bgColor rgb="FFD7E4BD"/>
      </patternFill>
    </fill>
    <fill>
      <patternFill patternType="solid">
        <fgColor theme="3" tint="0.39988402966399123"/>
        <bgColor rgb="FF8EB4E3"/>
      </patternFill>
    </fill>
    <fill>
      <patternFill patternType="solid">
        <fgColor theme="2" tint="-0.499984740745262"/>
        <bgColor rgb="FF77933C"/>
      </patternFill>
    </fill>
    <fill>
      <patternFill patternType="solid">
        <fgColor theme="4" tint="0.59987182226020086"/>
        <bgColor rgb="FFC6D9F1"/>
      </patternFill>
    </fill>
    <fill>
      <patternFill patternType="solid">
        <fgColor theme="7" tint="0.39988402966399123"/>
        <bgColor rgb="FFA6A6A6"/>
      </patternFill>
    </fill>
    <fill>
      <patternFill patternType="solid">
        <fgColor rgb="FF7030A0"/>
        <bgColor rgb="FF993366"/>
      </patternFill>
    </fill>
    <fill>
      <patternFill patternType="solid">
        <fgColor theme="7"/>
        <bgColor rgb="FF948A54"/>
      </patternFill>
    </fill>
  </fills>
  <borders count="17">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right/>
      <top/>
      <bottom style="thin">
        <color rgb="FFD9D9D9"/>
      </bottom>
      <diagonal/>
    </border>
    <border>
      <left style="thin">
        <color rgb="FFD9D9D9"/>
      </left>
      <right style="thin">
        <color rgb="FFD9D9D9"/>
      </right>
      <top style="thin">
        <color rgb="FFD9D9D9"/>
      </top>
      <bottom style="thin">
        <color rgb="FFD9D9D9"/>
      </bottom>
      <diagonal/>
    </border>
    <border>
      <left style="thin">
        <color auto="1"/>
      </left>
      <right style="thin">
        <color auto="1"/>
      </right>
      <top/>
      <bottom style="thin">
        <color auto="1"/>
      </bottom>
      <diagonal/>
    </border>
    <border>
      <left style="thin">
        <color rgb="FFD9D9D9"/>
      </left>
      <right style="thin">
        <color rgb="FFD9D9D9"/>
      </right>
      <top/>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medium">
        <color theme="0" tint="-0.34998626667073579"/>
      </left>
      <right/>
      <top/>
      <bottom/>
      <diagonal/>
    </border>
    <border>
      <left/>
      <right style="medium">
        <color theme="0" tint="-0.34998626667073579"/>
      </right>
      <top/>
      <bottom/>
      <diagonal/>
    </border>
    <border>
      <left/>
      <right style="thin">
        <color rgb="FFD9D9D9"/>
      </right>
      <top/>
      <bottom/>
      <diagonal/>
    </border>
    <border>
      <left/>
      <right/>
      <top/>
      <bottom style="thin">
        <color rgb="FFD5D9E0"/>
      </bottom>
      <diagonal/>
    </border>
    <border>
      <left style="medium">
        <color theme="0" tint="-0.34998626667073579"/>
      </left>
      <right/>
      <top/>
      <bottom style="medium">
        <color theme="0" tint="-0.34998626667073579"/>
      </bottom>
      <diagonal/>
    </border>
    <border>
      <left/>
      <right/>
      <top/>
      <bottom style="medium">
        <color theme="0" tint="-0.34998626667073579"/>
      </bottom>
      <diagonal/>
    </border>
    <border>
      <left/>
      <right style="medium">
        <color theme="0" tint="-0.34998626667073579"/>
      </right>
      <top/>
      <bottom style="medium">
        <color theme="0" tint="-0.34998626667073579"/>
      </bottom>
      <diagonal/>
    </border>
  </borders>
  <cellStyleXfs count="1">
    <xf numFmtId="0" fontId="0" fillId="0" borderId="0"/>
  </cellStyleXfs>
  <cellXfs count="97">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0" fillId="0" borderId="0" xfId="0" applyAlignment="1">
      <alignment horizontal="left" vertical="top" wrapText="1"/>
    </xf>
    <xf numFmtId="0" fontId="0" fillId="0" borderId="0" xfId="0" applyAlignment="1">
      <alignment horizontal="center"/>
    </xf>
    <xf numFmtId="0" fontId="2" fillId="0" borderId="0" xfId="0" applyFont="1" applyAlignment="1">
      <alignment horizontal="center" vertical="center"/>
    </xf>
    <xf numFmtId="0" fontId="1" fillId="0" borderId="2" xfId="0" applyFont="1" applyBorder="1" applyAlignment="1">
      <alignment horizontal="center" vertical="top" wrapText="1"/>
    </xf>
    <xf numFmtId="0" fontId="3" fillId="2" borderId="0" xfId="0" applyFont="1" applyFill="1" applyAlignment="1">
      <alignment horizontal="center"/>
    </xf>
    <xf numFmtId="0" fontId="3" fillId="3" borderId="0" xfId="0" applyFont="1" applyFill="1" applyAlignment="1">
      <alignment horizontal="center"/>
    </xf>
    <xf numFmtId="0" fontId="3" fillId="4" borderId="0" xfId="0" applyFont="1" applyFill="1" applyAlignment="1">
      <alignment horizontal="center"/>
    </xf>
    <xf numFmtId="0" fontId="3" fillId="5" borderId="3" xfId="0" applyFont="1" applyFill="1" applyBorder="1" applyAlignment="1">
      <alignment horizontal="center"/>
    </xf>
    <xf numFmtId="0" fontId="3" fillId="6" borderId="0" xfId="0" applyFont="1" applyFill="1" applyAlignment="1">
      <alignment horizontal="center"/>
    </xf>
    <xf numFmtId="0" fontId="3" fillId="7" borderId="0" xfId="0" applyFont="1" applyFill="1" applyAlignment="1">
      <alignment horizontal="center"/>
    </xf>
    <xf numFmtId="0" fontId="4" fillId="8" borderId="0" xfId="0" applyFont="1" applyFill="1" applyAlignment="1">
      <alignment horizontal="center" wrapText="1"/>
    </xf>
    <xf numFmtId="0" fontId="0" fillId="8" borderId="0" xfId="0" applyFill="1" applyAlignment="1">
      <alignment wrapText="1"/>
    </xf>
    <xf numFmtId="0" fontId="4" fillId="8" borderId="0" xfId="0" applyFont="1" applyFill="1" applyAlignment="1">
      <alignment wrapText="1"/>
    </xf>
    <xf numFmtId="0" fontId="4" fillId="9" borderId="0" xfId="0" applyFont="1" applyFill="1"/>
    <xf numFmtId="0" fontId="4" fillId="10" borderId="0" xfId="0" applyFont="1" applyFill="1"/>
    <xf numFmtId="0" fontId="3" fillId="3" borderId="0" xfId="0" applyFont="1" applyFill="1"/>
    <xf numFmtId="0" fontId="3" fillId="3" borderId="0" xfId="0" applyFont="1" applyFill="1" applyAlignment="1">
      <alignment horizontal="left" vertical="top" wrapText="1"/>
    </xf>
    <xf numFmtId="0" fontId="3" fillId="11" borderId="0" xfId="0" applyFont="1" applyFill="1" applyAlignment="1">
      <alignment horizontal="center"/>
    </xf>
    <xf numFmtId="0" fontId="0" fillId="0" borderId="0" xfId="0"/>
    <xf numFmtId="0" fontId="0" fillId="11" borderId="0" xfId="0" applyFill="1" applyAlignment="1">
      <alignment horizontal="center"/>
    </xf>
    <xf numFmtId="0" fontId="0" fillId="6" borderId="0" xfId="0" applyFill="1" applyAlignment="1">
      <alignment horizontal="center"/>
    </xf>
    <xf numFmtId="0" fontId="0" fillId="12" borderId="3" xfId="0" applyFill="1" applyBorder="1" applyAlignment="1">
      <alignment horizontal="center"/>
    </xf>
    <xf numFmtId="0" fontId="0" fillId="0" borderId="3" xfId="0" applyBorder="1"/>
    <xf numFmtId="0" fontId="0" fillId="12" borderId="3" xfId="0" applyFill="1" applyBorder="1" applyAlignment="1">
      <alignment horizontal="center"/>
    </xf>
    <xf numFmtId="0" fontId="0" fillId="7" borderId="0" xfId="0" applyFill="1" applyAlignment="1">
      <alignment horizontal="center"/>
    </xf>
    <xf numFmtId="0" fontId="0" fillId="7" borderId="0" xfId="0" applyFill="1"/>
    <xf numFmtId="164" fontId="0" fillId="7" borderId="0" xfId="0" applyNumberFormat="1" applyFill="1"/>
    <xf numFmtId="0" fontId="1" fillId="13" borderId="4" xfId="0" applyFont="1" applyFill="1" applyBorder="1" applyAlignment="1">
      <alignment horizontal="center" vertical="top" wrapText="1"/>
    </xf>
    <xf numFmtId="0" fontId="1" fillId="13" borderId="5" xfId="0" applyFont="1" applyFill="1" applyBorder="1" applyAlignment="1">
      <alignment horizontal="center" vertical="top" wrapText="1"/>
    </xf>
    <xf numFmtId="0" fontId="1" fillId="14" borderId="4" xfId="0" applyFont="1" applyFill="1" applyBorder="1" applyAlignment="1">
      <alignment horizontal="center" vertical="top" wrapText="1"/>
    </xf>
    <xf numFmtId="0" fontId="1" fillId="15" borderId="4" xfId="0" applyFont="1" applyFill="1" applyBorder="1" applyAlignment="1">
      <alignment horizontal="center" vertical="top" wrapText="1"/>
    </xf>
    <xf numFmtId="0" fontId="1" fillId="16" borderId="4" xfId="0" applyFont="1" applyFill="1" applyBorder="1" applyAlignment="1">
      <alignment horizontal="center" vertical="top" wrapText="1"/>
    </xf>
    <xf numFmtId="0" fontId="5" fillId="17" borderId="4" xfId="0" applyFont="1" applyFill="1" applyBorder="1" applyAlignment="1">
      <alignment horizontal="center" vertical="top" wrapText="1"/>
    </xf>
    <xf numFmtId="0" fontId="2" fillId="18" borderId="4" xfId="0" applyFont="1" applyFill="1" applyBorder="1" applyAlignment="1">
      <alignment horizontal="center" vertical="top" wrapText="1"/>
    </xf>
    <xf numFmtId="0" fontId="1" fillId="19" borderId="6" xfId="0" applyFont="1" applyFill="1" applyBorder="1" applyAlignment="1">
      <alignment horizontal="center" vertical="top" wrapText="1"/>
    </xf>
    <xf numFmtId="0" fontId="1" fillId="10" borderId="7" xfId="0" applyFont="1" applyFill="1" applyBorder="1" applyAlignment="1">
      <alignment horizontal="center" vertical="top" wrapText="1"/>
    </xf>
    <xf numFmtId="0" fontId="1" fillId="10" borderId="4" xfId="0" applyFont="1" applyFill="1" applyBorder="1" applyAlignment="1">
      <alignment horizontal="center" vertical="top" wrapText="1"/>
    </xf>
    <xf numFmtId="0" fontId="1" fillId="20" borderId="8" xfId="0" applyFont="1" applyFill="1" applyBorder="1" applyAlignment="1">
      <alignment horizontal="center" vertical="top" wrapText="1"/>
    </xf>
    <xf numFmtId="0" fontId="6" fillId="21" borderId="4" xfId="0" applyFont="1" applyFill="1" applyBorder="1" applyAlignment="1">
      <alignment horizontal="center" vertical="top" wrapText="1"/>
    </xf>
    <xf numFmtId="0" fontId="1" fillId="13" borderId="9" xfId="0" applyFont="1" applyFill="1" applyBorder="1" applyAlignment="1">
      <alignment horizontal="center" vertical="top" wrapText="1"/>
    </xf>
    <xf numFmtId="0" fontId="6" fillId="22" borderId="4" xfId="0" applyFont="1" applyFill="1" applyBorder="1" applyAlignment="1">
      <alignment horizontal="center" vertical="top" wrapText="1"/>
    </xf>
    <xf numFmtId="0" fontId="1" fillId="23" borderId="4" xfId="0" applyFont="1" applyFill="1" applyBorder="1" applyAlignment="1">
      <alignment horizontal="center" vertical="top" wrapText="1"/>
    </xf>
    <xf numFmtId="0" fontId="1" fillId="24" borderId="4" xfId="0" applyFont="1" applyFill="1" applyBorder="1" applyAlignment="1">
      <alignment horizontal="center" vertical="top" wrapText="1"/>
    </xf>
    <xf numFmtId="0" fontId="7" fillId="0" borderId="0" xfId="0" applyFont="1" applyAlignment="1">
      <alignment vertical="top"/>
    </xf>
    <xf numFmtId="0" fontId="7" fillId="0" borderId="4" xfId="0" applyFont="1" applyBorder="1" applyAlignment="1">
      <alignment vertical="top"/>
    </xf>
    <xf numFmtId="0" fontId="7" fillId="0" borderId="4" xfId="0" applyFont="1" applyBorder="1" applyAlignment="1">
      <alignment horizontal="center" vertical="top"/>
    </xf>
    <xf numFmtId="0" fontId="7" fillId="0" borderId="4" xfId="0" applyFont="1" applyBorder="1" applyAlignment="1">
      <alignment horizontal="right" vertical="top"/>
    </xf>
    <xf numFmtId="0" fontId="7" fillId="0" borderId="0" xfId="0" applyFont="1" applyAlignment="1">
      <alignment vertical="top" wrapText="1"/>
    </xf>
    <xf numFmtId="0" fontId="8" fillId="0" borderId="0" xfId="0" applyFont="1" applyAlignment="1">
      <alignment vertical="top"/>
    </xf>
    <xf numFmtId="0" fontId="7" fillId="0" borderId="0" xfId="0" applyFont="1" applyAlignment="1">
      <alignment horizontal="center" vertical="top"/>
    </xf>
    <xf numFmtId="0" fontId="7" fillId="0" borderId="4" xfId="0" applyFont="1" applyBorder="1" applyAlignment="1">
      <alignment vertical="top" wrapText="1"/>
    </xf>
    <xf numFmtId="0" fontId="7" fillId="0" borderId="0" xfId="0" applyFont="1" applyAlignment="1">
      <alignment horizontal="center" vertical="top" wrapText="1"/>
    </xf>
    <xf numFmtId="0" fontId="7" fillId="0" borderId="0" xfId="0" applyFont="1" applyAlignment="1">
      <alignment horizontal="left" vertical="top"/>
    </xf>
    <xf numFmtId="0" fontId="7" fillId="0" borderId="0" xfId="0" applyFont="1" applyAlignment="1">
      <alignment horizontal="left" vertical="top" wrapText="1"/>
    </xf>
    <xf numFmtId="165" fontId="7" fillId="0" borderId="0" xfId="0" applyNumberFormat="1" applyFont="1" applyAlignment="1">
      <alignment horizontal="right" vertical="top" wrapText="1"/>
    </xf>
    <xf numFmtId="0" fontId="7" fillId="0" borderId="4" xfId="0" applyFont="1" applyBorder="1" applyAlignment="1">
      <alignment horizontal="left" vertical="top" wrapText="1"/>
    </xf>
    <xf numFmtId="0" fontId="7" fillId="0" borderId="7" xfId="0" applyFont="1" applyBorder="1" applyAlignment="1">
      <alignment horizontal="center" vertical="top"/>
    </xf>
    <xf numFmtId="0" fontId="7" fillId="0" borderId="10" xfId="0" applyFont="1" applyBorder="1" applyAlignment="1">
      <alignment horizontal="center" vertical="top"/>
    </xf>
    <xf numFmtId="0" fontId="7" fillId="0" borderId="11" xfId="0" applyFont="1" applyBorder="1" applyAlignment="1">
      <alignment horizontal="center" vertical="top"/>
    </xf>
    <xf numFmtId="165" fontId="7" fillId="0" borderId="4" xfId="0" applyNumberFormat="1" applyFont="1" applyBorder="1" applyAlignment="1">
      <alignment horizontal="right" vertical="top"/>
    </xf>
    <xf numFmtId="165" fontId="7" fillId="0" borderId="0" xfId="0" applyNumberFormat="1" applyFont="1" applyAlignment="1">
      <alignment horizontal="right" vertical="top"/>
    </xf>
    <xf numFmtId="166" fontId="7" fillId="0" borderId="0" xfId="0" applyNumberFormat="1" applyFont="1" applyAlignment="1">
      <alignment horizontal="right" vertical="top"/>
    </xf>
    <xf numFmtId="165" fontId="7" fillId="0" borderId="4" xfId="0" applyNumberFormat="1" applyFont="1" applyBorder="1" applyAlignment="1">
      <alignment horizontal="right" vertical="top" wrapText="1"/>
    </xf>
    <xf numFmtId="0" fontId="7" fillId="0" borderId="4" xfId="0" applyFont="1" applyBorder="1" applyAlignment="1">
      <alignment horizontal="center" vertical="top" wrapText="1"/>
    </xf>
    <xf numFmtId="0" fontId="7" fillId="0" borderId="4" xfId="0" applyFont="1" applyBorder="1" applyAlignment="1">
      <alignment horizontal="right" vertical="top" wrapText="1"/>
    </xf>
    <xf numFmtId="166" fontId="7" fillId="0" borderId="0" xfId="0" applyNumberFormat="1" applyFont="1" applyAlignment="1">
      <alignment horizontal="right" vertical="top" wrapText="1"/>
    </xf>
    <xf numFmtId="0" fontId="7" fillId="0" borderId="7" xfId="0" applyFont="1" applyBorder="1" applyAlignment="1">
      <alignment horizontal="center" vertical="top" wrapText="1"/>
    </xf>
    <xf numFmtId="0" fontId="7" fillId="0" borderId="10" xfId="0" applyFont="1" applyBorder="1" applyAlignment="1">
      <alignment horizontal="center" vertical="top" wrapText="1"/>
    </xf>
    <xf numFmtId="0" fontId="7" fillId="0" borderId="11" xfId="0" applyFont="1" applyBorder="1" applyAlignment="1">
      <alignment horizontal="center" vertical="top" wrapText="1"/>
    </xf>
    <xf numFmtId="166" fontId="7" fillId="0" borderId="0" xfId="0" applyNumberFormat="1" applyFont="1" applyAlignment="1">
      <alignment vertical="top" wrapText="1"/>
    </xf>
    <xf numFmtId="166" fontId="7" fillId="0" borderId="0" xfId="0" applyNumberFormat="1" applyFont="1" applyAlignment="1">
      <alignment horizontal="center" vertical="top" wrapText="1"/>
    </xf>
    <xf numFmtId="0" fontId="7" fillId="0" borderId="0" xfId="0" applyFont="1" applyAlignment="1">
      <alignment horizontal="right" vertical="top" wrapText="1"/>
    </xf>
    <xf numFmtId="0" fontId="7" fillId="0" borderId="0" xfId="0" applyFont="1" applyAlignment="1">
      <alignment horizontal="right" vertical="top"/>
    </xf>
    <xf numFmtId="0" fontId="7" fillId="0" borderId="6" xfId="0" applyFont="1" applyBorder="1" applyAlignment="1">
      <alignment vertical="top" wrapText="1"/>
    </xf>
    <xf numFmtId="0" fontId="7" fillId="0" borderId="6" xfId="0" applyFont="1" applyBorder="1" applyAlignment="1">
      <alignment horizontal="center" vertical="top" wrapText="1"/>
    </xf>
    <xf numFmtId="165" fontId="7" fillId="0" borderId="6" xfId="0" applyNumberFormat="1" applyFont="1" applyBorder="1" applyAlignment="1">
      <alignment horizontal="right" vertical="top" wrapText="1"/>
    </xf>
    <xf numFmtId="0" fontId="7" fillId="0" borderId="6" xfId="0" applyFont="1" applyBorder="1" applyAlignment="1">
      <alignment vertical="top"/>
    </xf>
    <xf numFmtId="0" fontId="7" fillId="0" borderId="6" xfId="0" applyFont="1" applyBorder="1" applyAlignment="1">
      <alignment horizontal="center" vertical="top"/>
    </xf>
    <xf numFmtId="0" fontId="7" fillId="0" borderId="12" xfId="0" applyFont="1" applyBorder="1" applyAlignment="1">
      <alignment vertical="top" wrapText="1"/>
    </xf>
    <xf numFmtId="0" fontId="7" fillId="0" borderId="12" xfId="0" applyFont="1" applyBorder="1" applyAlignment="1">
      <alignment vertical="top"/>
    </xf>
    <xf numFmtId="0" fontId="7" fillId="0" borderId="13" xfId="0" applyFont="1" applyBorder="1" applyAlignment="1">
      <alignment vertical="top" wrapText="1"/>
    </xf>
    <xf numFmtId="0" fontId="7" fillId="0" borderId="13" xfId="0" applyFont="1" applyBorder="1" applyAlignment="1">
      <alignment horizontal="center" vertical="top" wrapText="1"/>
    </xf>
    <xf numFmtId="0" fontId="7" fillId="0" borderId="13" xfId="0" applyFont="1" applyBorder="1" applyAlignment="1">
      <alignment horizontal="left" vertical="top" wrapText="1"/>
    </xf>
    <xf numFmtId="0" fontId="7" fillId="0" borderId="13" xfId="0" applyFont="1" applyBorder="1" applyAlignment="1">
      <alignment vertical="top"/>
    </xf>
    <xf numFmtId="0" fontId="7" fillId="0" borderId="13" xfId="0" applyFont="1" applyBorder="1" applyAlignment="1">
      <alignment horizontal="center" vertical="top"/>
    </xf>
    <xf numFmtId="0" fontId="7" fillId="0" borderId="14" xfId="0" applyFont="1" applyBorder="1" applyAlignment="1">
      <alignment horizontal="center" vertical="top"/>
    </xf>
    <xf numFmtId="0" fontId="7" fillId="0" borderId="15" xfId="0" applyFont="1" applyBorder="1" applyAlignment="1">
      <alignment horizontal="center" vertical="top"/>
    </xf>
    <xf numFmtId="0" fontId="7" fillId="0" borderId="16" xfId="0" applyFont="1" applyBorder="1" applyAlignment="1">
      <alignment horizontal="center" vertical="top"/>
    </xf>
    <xf numFmtId="0" fontId="7" fillId="0" borderId="0" xfId="0" applyFont="1" applyBorder="1" applyAlignment="1">
      <alignment horizontal="left" vertical="top" wrapText="1"/>
    </xf>
    <xf numFmtId="166" fontId="7" fillId="0" borderId="0" xfId="0" applyNumberFormat="1" applyFont="1" applyAlignment="1">
      <alignment horizontal="left" vertical="top"/>
    </xf>
    <xf numFmtId="166" fontId="7" fillId="0" borderId="4" xfId="0" applyNumberFormat="1" applyFont="1" applyBorder="1" applyAlignment="1">
      <alignment horizontal="left" vertical="top" wrapText="1"/>
    </xf>
    <xf numFmtId="166" fontId="7" fillId="0" borderId="0" xfId="0" applyNumberFormat="1" applyFont="1" applyAlignment="1">
      <alignment horizontal="left" vertical="top" wrapText="1"/>
    </xf>
    <xf numFmtId="0" fontId="0" fillId="0" borderId="0" xfId="0" applyAlignment="1">
      <alignment horizontal="left"/>
    </xf>
    <xf numFmtId="0" fontId="0" fillId="0" borderId="0" xfId="0" applyAlignment="1">
      <alignment horizontal="right"/>
    </xf>
  </cellXfs>
  <cellStyles count="1">
    <cellStyle name="Normal" xfId="0" builtinId="0"/>
  </cellStyles>
  <dxfs count="4">
    <dxf>
      <fill>
        <patternFill>
          <bgColor theme="5" tint="0.79989013336588644"/>
        </patternFill>
      </fill>
    </dxf>
    <dxf>
      <fill>
        <patternFill>
          <bgColor rgb="FF92D050"/>
        </patternFill>
      </fill>
    </dxf>
    <dxf>
      <fill>
        <patternFill>
          <bgColor theme="3" tint="0.59987182226020086"/>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E8036-A883-4197-A460-BCAFFA22622A}">
  <sheetPr>
    <tabColor rgb="FF1F4E78"/>
    <outlinePr summaryRight="0"/>
  </sheetPr>
  <dimension ref="A1:BO1136"/>
  <sheetViews>
    <sheetView tabSelected="1" zoomScaleNormal="100" workbookViewId="0">
      <pane xSplit="2" ySplit="4" topLeftCell="C5" activePane="bottomRight" state="frozen"/>
      <selection pane="topRight" activeCell="C1" sqref="C1"/>
      <selection pane="bottomLeft" activeCell="A53" sqref="A53"/>
      <selection pane="bottomRight" activeCell="BG1" sqref="BG1:BI1048576"/>
    </sheetView>
  </sheetViews>
  <sheetFormatPr defaultColWidth="8.6640625" defaultRowHeight="14.4" outlineLevelCol="1"/>
  <cols>
    <col min="2" max="2" width="29.88671875" customWidth="1"/>
    <col min="3" max="4" width="7.33203125" customWidth="1"/>
    <col min="5" max="5" width="18" customWidth="1"/>
    <col min="6" max="7" width="10.6640625" style="2" customWidth="1"/>
    <col min="8" max="8" width="16.6640625" customWidth="1" outlineLevel="1"/>
    <col min="9" max="9" width="45.109375" style="2" customWidth="1" outlineLevel="1"/>
    <col min="10" max="10" width="8.6640625" customWidth="1" outlineLevel="1"/>
    <col min="11" max="11" width="21.88671875" customWidth="1"/>
    <col min="12" max="14" width="25" style="2" customWidth="1" outlineLevel="1"/>
    <col min="15" max="15" width="8.6640625" customWidth="1"/>
    <col min="16" max="16" width="12.6640625" customWidth="1"/>
    <col min="17" max="17" width="23.88671875" customWidth="1" outlineLevel="1"/>
    <col min="18" max="18" width="11.44140625" customWidth="1" outlineLevel="1"/>
    <col min="19" max="20" width="8.6640625" customWidth="1" outlineLevel="1"/>
    <col min="21" max="23" width="12.6640625" style="3" customWidth="1" outlineLevel="1"/>
    <col min="24" max="24" width="12.6640625" customWidth="1" outlineLevel="1"/>
    <col min="25" max="26" width="8.6640625" customWidth="1" outlineLevel="1"/>
    <col min="27" max="28" width="12.6640625" style="3" customWidth="1" outlineLevel="1"/>
    <col min="29" max="29" width="6.6640625" style="4" customWidth="1"/>
    <col min="30" max="30" width="6.6640625" customWidth="1"/>
    <col min="31" max="37" width="6.6640625" customWidth="1" outlineLevel="1"/>
    <col min="38" max="39" width="6.6640625" customWidth="1"/>
    <col min="40" max="46" width="6.6640625" customWidth="1" outlineLevel="1"/>
    <col min="47" max="47" width="6.6640625" customWidth="1"/>
    <col min="48" max="48" width="6.6640625" customWidth="1" outlineLevel="1"/>
    <col min="49" max="49" width="9.109375" customWidth="1" outlineLevel="1"/>
    <col min="50" max="58" width="6.6640625" customWidth="1" outlineLevel="1"/>
  </cols>
  <sheetData>
    <row r="1" spans="1:58" ht="14.25" customHeight="1">
      <c r="C1" s="1"/>
      <c r="AE1" s="5">
        <f t="shared" ref="AE1:AK1" si="0">100-AE2</f>
        <v>0</v>
      </c>
      <c r="AF1" s="5">
        <f t="shared" si="0"/>
        <v>0</v>
      </c>
      <c r="AG1" s="5">
        <f t="shared" si="0"/>
        <v>0</v>
      </c>
      <c r="AH1" s="5">
        <f t="shared" si="0"/>
        <v>0</v>
      </c>
      <c r="AI1" s="5">
        <f t="shared" si="0"/>
        <v>0</v>
      </c>
      <c r="AJ1" s="5">
        <f t="shared" si="0"/>
        <v>0</v>
      </c>
      <c r="AK1" s="5">
        <f t="shared" si="0"/>
        <v>0</v>
      </c>
      <c r="AN1" s="5">
        <f t="shared" ref="AN1:AT1" si="1">100-AN2</f>
        <v>0</v>
      </c>
      <c r="AO1" s="5">
        <f t="shared" si="1"/>
        <v>0</v>
      </c>
      <c r="AP1" s="5">
        <f t="shared" si="1"/>
        <v>0</v>
      </c>
      <c r="AQ1" s="5">
        <f t="shared" si="1"/>
        <v>0</v>
      </c>
      <c r="AR1" s="5">
        <f t="shared" si="1"/>
        <v>0</v>
      </c>
      <c r="AS1" s="5">
        <f t="shared" si="1"/>
        <v>0</v>
      </c>
      <c r="AT1" s="5">
        <f t="shared" si="1"/>
        <v>0</v>
      </c>
    </row>
    <row r="2" spans="1:58" ht="15" customHeight="1">
      <c r="C2" s="6"/>
      <c r="AC2" s="7" t="s">
        <v>0</v>
      </c>
      <c r="AD2" s="8" t="s">
        <v>1</v>
      </c>
      <c r="AE2" s="9">
        <f t="shared" ref="AE2:AK2" si="2">SUM(AE$5:AE$1498)</f>
        <v>100</v>
      </c>
      <c r="AF2" s="9">
        <f t="shared" si="2"/>
        <v>100</v>
      </c>
      <c r="AG2" s="9">
        <f t="shared" si="2"/>
        <v>100</v>
      </c>
      <c r="AH2" s="9">
        <f t="shared" si="2"/>
        <v>100</v>
      </c>
      <c r="AI2" s="9">
        <f t="shared" si="2"/>
        <v>100</v>
      </c>
      <c r="AJ2" s="9">
        <f t="shared" si="2"/>
        <v>100</v>
      </c>
      <c r="AK2" s="9">
        <f t="shared" si="2"/>
        <v>100</v>
      </c>
      <c r="AL2" s="10" t="s">
        <v>2</v>
      </c>
      <c r="AM2" s="11" t="s">
        <v>3</v>
      </c>
      <c r="AN2" s="5">
        <f t="shared" ref="AN2:AT2" si="3">SUM(AN5:AN1498)</f>
        <v>100</v>
      </c>
      <c r="AO2" s="5">
        <f t="shared" si="3"/>
        <v>100</v>
      </c>
      <c r="AP2" s="5">
        <f t="shared" si="3"/>
        <v>100</v>
      </c>
      <c r="AQ2" s="5">
        <f t="shared" si="3"/>
        <v>100</v>
      </c>
      <c r="AR2" s="5">
        <f t="shared" si="3"/>
        <v>100</v>
      </c>
      <c r="AS2" s="5">
        <f t="shared" si="3"/>
        <v>100</v>
      </c>
      <c r="AT2" s="5">
        <f t="shared" si="3"/>
        <v>100</v>
      </c>
      <c r="AU2" s="12" t="s">
        <v>4</v>
      </c>
      <c r="AV2" s="4"/>
      <c r="AW2" s="4"/>
      <c r="AX2" s="4"/>
      <c r="AY2" s="4"/>
      <c r="AZ2" s="4"/>
      <c r="BA2" s="4"/>
      <c r="BB2" s="4"/>
      <c r="BC2" s="4"/>
      <c r="BD2" s="4"/>
      <c r="BE2" s="4"/>
      <c r="BF2" s="4"/>
    </row>
    <row r="3" spans="1:58" ht="15" customHeight="1">
      <c r="C3" s="6"/>
      <c r="E3" s="13" t="s">
        <v>5</v>
      </c>
      <c r="F3" s="14"/>
      <c r="G3" s="14"/>
      <c r="H3" s="15"/>
      <c r="I3" s="14"/>
      <c r="J3" s="14"/>
      <c r="K3" s="16" t="s">
        <v>6</v>
      </c>
      <c r="L3" s="16"/>
      <c r="M3" s="16"/>
      <c r="N3" s="16"/>
      <c r="O3" s="17" t="s">
        <v>7</v>
      </c>
      <c r="P3" s="18" t="s">
        <v>8</v>
      </c>
      <c r="Q3" s="18"/>
      <c r="R3" s="18"/>
      <c r="S3" s="18"/>
      <c r="T3" s="18"/>
      <c r="U3" s="19"/>
      <c r="V3" s="19"/>
      <c r="W3" s="19"/>
      <c r="X3" s="18"/>
      <c r="Y3" s="18"/>
      <c r="Z3" s="18"/>
      <c r="AA3" s="19"/>
      <c r="AB3" s="19"/>
      <c r="AC3" s="7">
        <f>SUM(AC5:AC1498)</f>
        <v>1598</v>
      </c>
      <c r="AD3" s="8">
        <f>SUM(AD5:AD1498)</f>
        <v>700</v>
      </c>
      <c r="AE3" s="20" t="s">
        <v>9</v>
      </c>
      <c r="AF3" s="21"/>
      <c r="AG3" s="21"/>
      <c r="AH3" s="21"/>
      <c r="AI3" s="21"/>
      <c r="AJ3" s="22"/>
      <c r="AK3" s="22"/>
      <c r="AL3" s="10">
        <f>SUM(AL5:AL1498)</f>
        <v>898</v>
      </c>
      <c r="AM3" s="23">
        <f>SUM(AM5:AM1498)</f>
        <v>700</v>
      </c>
      <c r="AN3" s="24" t="s">
        <v>3</v>
      </c>
      <c r="AO3" s="25"/>
      <c r="AP3" s="25"/>
      <c r="AQ3" s="25"/>
      <c r="AR3" s="25"/>
      <c r="AS3" s="26"/>
      <c r="AT3" s="26"/>
      <c r="AU3" s="27">
        <f>SUM(AU5:AU1498)</f>
        <v>107</v>
      </c>
      <c r="AV3" s="28"/>
      <c r="AW3" s="28">
        <f>SUM(AW5:AW1498)</f>
        <v>0</v>
      </c>
      <c r="AX3" s="29">
        <f>SUM(AX5:AX1498)</f>
        <v>178.17999999999998</v>
      </c>
      <c r="AY3" s="28"/>
      <c r="AZ3" s="28"/>
      <c r="BA3" s="28"/>
      <c r="BB3" s="28"/>
      <c r="BC3" s="28"/>
      <c r="BD3" s="28"/>
      <c r="BE3" s="28"/>
      <c r="BF3" s="28"/>
    </row>
    <row r="4" spans="1:58" ht="39.75" customHeight="1">
      <c r="A4" s="30" t="s">
        <v>10</v>
      </c>
      <c r="B4" s="30" t="s">
        <v>11</v>
      </c>
      <c r="C4" s="31" t="s">
        <v>12</v>
      </c>
      <c r="D4" s="32" t="s">
        <v>13</v>
      </c>
      <c r="E4" s="32" t="s">
        <v>14</v>
      </c>
      <c r="F4" s="32" t="s">
        <v>15</v>
      </c>
      <c r="G4" s="32" t="s">
        <v>16</v>
      </c>
      <c r="H4" s="32" t="s">
        <v>17</v>
      </c>
      <c r="I4" s="32" t="s">
        <v>18</v>
      </c>
      <c r="J4" s="32" t="s">
        <v>19</v>
      </c>
      <c r="K4" s="33" t="s">
        <v>20</v>
      </c>
      <c r="L4" s="33" t="s">
        <v>21</v>
      </c>
      <c r="M4" s="33" t="s">
        <v>22</v>
      </c>
      <c r="N4" s="33" t="s">
        <v>23</v>
      </c>
      <c r="O4" s="34" t="s">
        <v>24</v>
      </c>
      <c r="P4" s="35" t="s">
        <v>25</v>
      </c>
      <c r="Q4" s="35" t="s">
        <v>26</v>
      </c>
      <c r="R4" s="35" t="s">
        <v>27</v>
      </c>
      <c r="S4" s="35" t="s">
        <v>28</v>
      </c>
      <c r="T4" s="35" t="s">
        <v>29</v>
      </c>
      <c r="U4" s="35" t="s">
        <v>30</v>
      </c>
      <c r="V4" s="35" t="s">
        <v>31</v>
      </c>
      <c r="W4" s="36" t="s">
        <v>32</v>
      </c>
      <c r="X4" s="36" t="s">
        <v>33</v>
      </c>
      <c r="Y4" s="36" t="s">
        <v>34</v>
      </c>
      <c r="Z4" s="36" t="s">
        <v>35</v>
      </c>
      <c r="AA4" s="36" t="s">
        <v>36</v>
      </c>
      <c r="AB4" s="36" t="s">
        <v>37</v>
      </c>
      <c r="AC4" s="37" t="s">
        <v>38</v>
      </c>
      <c r="AD4" s="38" t="s">
        <v>39</v>
      </c>
      <c r="AE4" s="39" t="s">
        <v>40</v>
      </c>
      <c r="AF4" s="39" t="s">
        <v>41</v>
      </c>
      <c r="AG4" s="39" t="s">
        <v>42</v>
      </c>
      <c r="AH4" s="39" t="s">
        <v>43</v>
      </c>
      <c r="AI4" s="39" t="s">
        <v>44</v>
      </c>
      <c r="AJ4" s="39" t="s">
        <v>45</v>
      </c>
      <c r="AK4" s="39" t="s">
        <v>46</v>
      </c>
      <c r="AL4" s="40" t="s">
        <v>47</v>
      </c>
      <c r="AM4" s="41" t="s">
        <v>48</v>
      </c>
      <c r="AN4" s="42" t="s">
        <v>49</v>
      </c>
      <c r="AO4" s="42" t="s">
        <v>50</v>
      </c>
      <c r="AP4" s="42" t="s">
        <v>51</v>
      </c>
      <c r="AQ4" s="42" t="s">
        <v>52</v>
      </c>
      <c r="AR4" s="42" t="s">
        <v>53</v>
      </c>
      <c r="AS4" s="42" t="s">
        <v>54</v>
      </c>
      <c r="AT4" s="42" t="s">
        <v>55</v>
      </c>
      <c r="AU4" s="43" t="s">
        <v>56</v>
      </c>
      <c r="AV4" s="44" t="s">
        <v>57</v>
      </c>
      <c r="AW4" s="44" t="s">
        <v>58</v>
      </c>
      <c r="AX4" s="44" t="s">
        <v>59</v>
      </c>
      <c r="AY4" s="44" t="s">
        <v>60</v>
      </c>
      <c r="AZ4" s="45" t="s">
        <v>61</v>
      </c>
      <c r="BA4" s="45" t="s">
        <v>62</v>
      </c>
      <c r="BB4" s="45" t="s">
        <v>63</v>
      </c>
      <c r="BC4" s="45" t="s">
        <v>64</v>
      </c>
      <c r="BD4" s="45" t="s">
        <v>65</v>
      </c>
      <c r="BE4" s="45" t="s">
        <v>66</v>
      </c>
      <c r="BF4" s="45" t="s">
        <v>67</v>
      </c>
    </row>
    <row r="5" spans="1:58" ht="15" customHeight="1">
      <c r="A5" s="46" t="s">
        <v>442</v>
      </c>
      <c r="B5" s="53" t="s">
        <v>443</v>
      </c>
      <c r="C5" s="66" t="s">
        <v>311</v>
      </c>
      <c r="D5" s="67">
        <v>0</v>
      </c>
      <c r="E5" s="53" t="s">
        <v>312</v>
      </c>
      <c r="F5" s="50"/>
      <c r="G5" s="50"/>
      <c r="H5" s="51"/>
      <c r="I5" s="50" t="s">
        <v>440</v>
      </c>
      <c r="J5" s="54" t="s">
        <v>73</v>
      </c>
      <c r="K5" s="58" t="s">
        <v>312</v>
      </c>
      <c r="L5" s="58" t="s">
        <v>441</v>
      </c>
      <c r="M5" s="58"/>
      <c r="N5" s="58"/>
      <c r="O5" s="54"/>
      <c r="P5" s="56" t="s">
        <v>76</v>
      </c>
      <c r="Q5" s="58" t="s">
        <v>444</v>
      </c>
      <c r="R5" s="54"/>
      <c r="S5" s="54"/>
      <c r="T5" s="54"/>
      <c r="U5" s="54"/>
      <c r="V5" s="57">
        <v>0.27</v>
      </c>
      <c r="W5" s="93" t="s">
        <v>445</v>
      </c>
      <c r="X5" s="56" t="s">
        <v>446</v>
      </c>
      <c r="Y5" s="74">
        <v>1</v>
      </c>
      <c r="Z5" s="74">
        <v>0</v>
      </c>
      <c r="AA5" s="56" t="s">
        <v>447</v>
      </c>
      <c r="AB5" s="57">
        <v>0.22</v>
      </c>
      <c r="AC5" s="54">
        <v>2</v>
      </c>
      <c r="AD5" s="69">
        <f>SUM(AE5:AK5)</f>
        <v>1</v>
      </c>
      <c r="AE5" s="66">
        <v>1</v>
      </c>
      <c r="AF5" s="66"/>
      <c r="AG5" s="66"/>
      <c r="AH5" s="66"/>
      <c r="AI5" s="66"/>
      <c r="AJ5" s="66"/>
      <c r="AK5" s="66"/>
      <c r="AL5" s="54">
        <f>IF((AC5-SUM(AE5:AK5))&lt;0,0,AC5-SUM(AE5:AK5))</f>
        <v>1</v>
      </c>
      <c r="AM5" s="69">
        <f>SUM(AN5:AT5)</f>
        <v>3</v>
      </c>
      <c r="AN5" s="60">
        <v>1</v>
      </c>
      <c r="AO5" s="52"/>
      <c r="AP5" s="52">
        <v>1</v>
      </c>
      <c r="AQ5" s="52">
        <v>1</v>
      </c>
      <c r="AR5" s="52"/>
      <c r="AS5" s="52"/>
      <c r="AT5" s="61"/>
      <c r="AU5" s="66">
        <f>MAX(0,$AM5-$AC5-$AW5)</f>
        <v>1</v>
      </c>
      <c r="AV5" s="66"/>
      <c r="AW5" s="66"/>
      <c r="AX5" s="65">
        <v>0.22</v>
      </c>
      <c r="AY5" s="65">
        <f>IF(AND($AU5&gt;0,ISNUMBER($AX5)),$AU5*$AX5,0)</f>
        <v>0.22</v>
      </c>
      <c r="AZ5" s="46"/>
      <c r="BA5" s="52"/>
      <c r="BB5" s="52"/>
      <c r="BC5" s="52"/>
      <c r="BD5" s="52"/>
      <c r="BE5" s="52"/>
      <c r="BF5" s="52"/>
    </row>
    <row r="6" spans="1:58" ht="15" customHeight="1">
      <c r="A6" s="46" t="s">
        <v>869</v>
      </c>
      <c r="B6" s="53" t="s">
        <v>870</v>
      </c>
      <c r="C6" s="66" t="s">
        <v>80</v>
      </c>
      <c r="D6" s="67">
        <v>2</v>
      </c>
      <c r="E6" s="53" t="s">
        <v>189</v>
      </c>
      <c r="F6" s="50"/>
      <c r="G6" s="50"/>
      <c r="H6" s="51"/>
      <c r="I6" s="50" t="s">
        <v>871</v>
      </c>
      <c r="J6" s="54" t="s">
        <v>73</v>
      </c>
      <c r="K6" s="58" t="s">
        <v>98</v>
      </c>
      <c r="L6" s="58" t="s">
        <v>872</v>
      </c>
      <c r="M6" s="58"/>
      <c r="N6" s="58"/>
      <c r="O6" s="54"/>
      <c r="P6" s="56" t="s">
        <v>76</v>
      </c>
      <c r="Q6" s="58" t="s">
        <v>873</v>
      </c>
      <c r="R6" s="54"/>
      <c r="S6" s="54"/>
      <c r="T6" s="54"/>
      <c r="U6" s="54"/>
      <c r="V6" s="57">
        <v>0.25</v>
      </c>
      <c r="W6" s="94" t="s">
        <v>874</v>
      </c>
      <c r="X6" s="56" t="s">
        <v>875</v>
      </c>
      <c r="Y6" s="74">
        <v>1</v>
      </c>
      <c r="Z6" s="74">
        <v>0</v>
      </c>
      <c r="AA6" s="56" t="s">
        <v>876</v>
      </c>
      <c r="AB6" s="57">
        <v>0.19</v>
      </c>
      <c r="AC6" s="54">
        <v>3</v>
      </c>
      <c r="AD6" s="69">
        <f>SUM(AE6:AK6)</f>
        <v>1</v>
      </c>
      <c r="AE6" s="66"/>
      <c r="AF6" s="66">
        <v>1</v>
      </c>
      <c r="AG6" s="66"/>
      <c r="AH6" s="66"/>
      <c r="AI6" s="66"/>
      <c r="AJ6" s="66"/>
      <c r="AK6" s="66"/>
      <c r="AL6" s="54">
        <f>IF((AC6-SUM(AE6:AK6))&lt;0,0,AC6-SUM(AE6:AK6))</f>
        <v>2</v>
      </c>
      <c r="AM6" s="69">
        <f>SUM(AN6:AT6)</f>
        <v>0</v>
      </c>
      <c r="AN6" s="60"/>
      <c r="AO6" s="52"/>
      <c r="AP6" s="52"/>
      <c r="AQ6" s="52"/>
      <c r="AR6" s="52"/>
      <c r="AS6" s="52"/>
      <c r="AT6" s="61"/>
      <c r="AU6" s="66">
        <f>MAX(0,$AM6-$AC6-$AW6)</f>
        <v>0</v>
      </c>
      <c r="AV6" s="66"/>
      <c r="AW6" s="66"/>
      <c r="AX6" s="65">
        <v>0</v>
      </c>
      <c r="AY6" s="65">
        <f>IF(AND($AU6&gt;0,ISNUMBER($AX6)),$AU6*$AX6,0)</f>
        <v>0</v>
      </c>
      <c r="AZ6" s="46"/>
      <c r="BA6" s="52" t="s">
        <v>155</v>
      </c>
      <c r="BB6" s="52"/>
      <c r="BC6" s="52"/>
      <c r="BD6" s="52"/>
      <c r="BE6" s="52"/>
      <c r="BF6" s="52"/>
    </row>
    <row r="7" spans="1:58" ht="15" customHeight="1">
      <c r="A7" s="46" t="s">
        <v>1769</v>
      </c>
      <c r="B7" s="53" t="s">
        <v>1770</v>
      </c>
      <c r="C7" s="66" t="s">
        <v>101</v>
      </c>
      <c r="D7" s="67">
        <v>2</v>
      </c>
      <c r="E7" s="53" t="s">
        <v>110</v>
      </c>
      <c r="F7" s="50">
        <v>1</v>
      </c>
      <c r="G7" s="50">
        <v>3</v>
      </c>
      <c r="H7" s="51" t="s">
        <v>1771</v>
      </c>
      <c r="I7" s="50" t="s">
        <v>1772</v>
      </c>
      <c r="J7" s="54" t="s">
        <v>196</v>
      </c>
      <c r="K7" s="58" t="s">
        <v>170</v>
      </c>
      <c r="L7" s="58" t="s">
        <v>242</v>
      </c>
      <c r="M7" s="58" t="s">
        <v>1773</v>
      </c>
      <c r="N7" s="58"/>
      <c r="O7" s="56">
        <v>117</v>
      </c>
      <c r="P7" s="56" t="s">
        <v>185</v>
      </c>
      <c r="Q7" s="58" t="s">
        <v>305</v>
      </c>
      <c r="R7" s="50"/>
      <c r="S7" s="50"/>
      <c r="T7" s="50"/>
      <c r="U7" s="50"/>
      <c r="V7" s="57"/>
      <c r="W7" s="56" t="s">
        <v>1774</v>
      </c>
      <c r="X7" s="56" t="s">
        <v>1775</v>
      </c>
      <c r="Y7" s="74">
        <v>1</v>
      </c>
      <c r="Z7" s="74">
        <v>0</v>
      </c>
      <c r="AA7" s="56" t="s">
        <v>1776</v>
      </c>
      <c r="AB7" s="57">
        <v>0.3</v>
      </c>
      <c r="AC7" s="54">
        <v>2</v>
      </c>
      <c r="AD7" s="69">
        <f>SUM(AE7:AK7)</f>
        <v>0</v>
      </c>
      <c r="AE7" s="66"/>
      <c r="AF7" s="66"/>
      <c r="AG7" s="66"/>
      <c r="AH7" s="66"/>
      <c r="AI7" s="66"/>
      <c r="AJ7" s="66"/>
      <c r="AK7" s="66"/>
      <c r="AL7" s="54">
        <f>IF((AC7-SUM(AE7:AK7))&lt;0,0,AC7-SUM(AE7:AK7))</f>
        <v>2</v>
      </c>
      <c r="AM7" s="69">
        <f>SUM(AN7:AT7)</f>
        <v>0</v>
      </c>
      <c r="AN7" s="60"/>
      <c r="AO7" s="52"/>
      <c r="AP7" s="52"/>
      <c r="AQ7" s="52"/>
      <c r="AR7" s="52"/>
      <c r="AS7" s="52"/>
      <c r="AT7" s="61"/>
      <c r="AU7" s="66">
        <f>MAX(0,$AM7-$AC7-$AW7)</f>
        <v>0</v>
      </c>
      <c r="AV7" s="66"/>
      <c r="AW7" s="66"/>
      <c r="AX7" s="65">
        <v>0</v>
      </c>
      <c r="AY7" s="65">
        <f>IF(AND($AU7&gt;0,ISNUMBER($AX7)),$AU7*$AX7,0)</f>
        <v>0</v>
      </c>
      <c r="AZ7" s="46"/>
      <c r="BA7" s="52"/>
      <c r="BB7" s="52"/>
      <c r="BC7" s="52"/>
      <c r="BD7" s="52"/>
      <c r="BE7" s="52"/>
      <c r="BF7" s="52"/>
    </row>
    <row r="8" spans="1:58" ht="15" customHeight="1">
      <c r="A8" s="46" t="s">
        <v>388</v>
      </c>
      <c r="B8" s="47" t="s">
        <v>389</v>
      </c>
      <c r="C8" s="48" t="s">
        <v>118</v>
      </c>
      <c r="D8" s="49">
        <v>4</v>
      </c>
      <c r="E8" s="47" t="s">
        <v>71</v>
      </c>
      <c r="F8" s="50"/>
      <c r="G8" s="50"/>
      <c r="H8" s="51"/>
      <c r="I8" s="50" t="s">
        <v>390</v>
      </c>
      <c r="J8" s="52" t="s">
        <v>73</v>
      </c>
      <c r="K8" s="47" t="s">
        <v>129</v>
      </c>
      <c r="L8" s="53" t="s">
        <v>391</v>
      </c>
      <c r="M8" s="53"/>
      <c r="N8" s="53"/>
      <c r="O8" s="54"/>
      <c r="P8" s="55" t="s">
        <v>76</v>
      </c>
      <c r="Q8" s="92" t="s">
        <v>392</v>
      </c>
      <c r="R8" s="46" t="s">
        <v>393</v>
      </c>
      <c r="S8" s="46">
        <v>1</v>
      </c>
      <c r="T8" s="46">
        <v>0</v>
      </c>
      <c r="U8" s="56" t="s">
        <v>394</v>
      </c>
      <c r="V8" s="63">
        <v>0.57999999999999996</v>
      </c>
      <c r="X8" s="95"/>
      <c r="Y8" s="96"/>
      <c r="Z8" s="96"/>
      <c r="AC8" s="52">
        <v>1</v>
      </c>
      <c r="AD8" s="59">
        <f>SUM(AE8:AK8)</f>
        <v>0</v>
      </c>
      <c r="AE8" s="48"/>
      <c r="AF8" s="48"/>
      <c r="AG8" s="48"/>
      <c r="AH8" s="48"/>
      <c r="AI8" s="48"/>
      <c r="AJ8" s="48"/>
      <c r="AK8" s="48"/>
      <c r="AL8" s="52">
        <f>IF((AC8-SUM(AE8:AK8))&lt;0,0,AC8-SUM(AE8:AK8))</f>
        <v>1</v>
      </c>
      <c r="AM8" s="59">
        <f>SUM(AN8:AT8)</f>
        <v>1</v>
      </c>
      <c r="AN8" s="60"/>
      <c r="AO8" s="52"/>
      <c r="AP8" s="52"/>
      <c r="AQ8" s="52"/>
      <c r="AR8" s="52">
        <v>1</v>
      </c>
      <c r="AS8" s="52"/>
      <c r="AT8" s="61"/>
      <c r="AU8" s="48">
        <f>MAX(0,$AM8-$AC8-$AW8)</f>
        <v>0</v>
      </c>
      <c r="AV8" s="48"/>
      <c r="AW8" s="48"/>
      <c r="AX8" s="65">
        <v>0</v>
      </c>
      <c r="AY8" s="62">
        <f>IF(AND($AU8&gt;0,ISNUMBER($AX8)),$AU8*$AX8,0)</f>
        <v>0</v>
      </c>
      <c r="AZ8" s="46"/>
      <c r="BA8" s="52"/>
      <c r="BB8" s="52"/>
      <c r="BC8" s="52"/>
      <c r="BD8" s="52"/>
      <c r="BE8" s="52"/>
      <c r="BF8" s="52"/>
    </row>
    <row r="9" spans="1:58" ht="15" customHeight="1">
      <c r="A9" s="46" t="s">
        <v>1103</v>
      </c>
      <c r="B9" s="53" t="s">
        <v>1104</v>
      </c>
      <c r="C9" s="66" t="s">
        <v>311</v>
      </c>
      <c r="D9" s="67">
        <v>0</v>
      </c>
      <c r="E9" s="53" t="s">
        <v>312</v>
      </c>
      <c r="F9" s="50"/>
      <c r="G9" s="50"/>
      <c r="H9" s="51"/>
      <c r="I9" s="50" t="s">
        <v>1105</v>
      </c>
      <c r="J9" s="54" t="s">
        <v>73</v>
      </c>
      <c r="K9" s="58" t="s">
        <v>312</v>
      </c>
      <c r="L9" s="58" t="s">
        <v>740</v>
      </c>
      <c r="M9" s="58" t="s">
        <v>1106</v>
      </c>
      <c r="N9" s="58"/>
      <c r="O9" s="54"/>
      <c r="P9" s="56" t="s">
        <v>86</v>
      </c>
      <c r="Q9" s="58" t="s">
        <v>420</v>
      </c>
      <c r="R9" s="54"/>
      <c r="S9" s="54"/>
      <c r="T9" s="54"/>
      <c r="U9" s="54"/>
      <c r="V9" s="57">
        <v>0.32</v>
      </c>
      <c r="W9" s="94" t="s">
        <v>1107</v>
      </c>
      <c r="X9" s="56" t="s">
        <v>1108</v>
      </c>
      <c r="Y9" s="74">
        <v>1</v>
      </c>
      <c r="Z9" s="74">
        <v>0</v>
      </c>
      <c r="AA9" s="56" t="s">
        <v>1109</v>
      </c>
      <c r="AB9" s="57">
        <v>0.44</v>
      </c>
      <c r="AC9" s="54">
        <v>2</v>
      </c>
      <c r="AD9" s="69">
        <f>SUM(AE9:AK9)</f>
        <v>1</v>
      </c>
      <c r="AE9" s="66">
        <v>1</v>
      </c>
      <c r="AF9" s="66"/>
      <c r="AG9" s="66"/>
      <c r="AH9" s="66"/>
      <c r="AI9" s="66"/>
      <c r="AJ9" s="66"/>
      <c r="AK9" s="66"/>
      <c r="AL9" s="54">
        <f>IF((AC9-SUM(AE9:AK9))&lt;0,0,AC9-SUM(AE9:AK9))</f>
        <v>1</v>
      </c>
      <c r="AM9" s="69">
        <f>SUM(AN9:AT9)</f>
        <v>1</v>
      </c>
      <c r="AN9" s="60">
        <v>1</v>
      </c>
      <c r="AO9" s="52"/>
      <c r="AP9" s="52"/>
      <c r="AQ9" s="52"/>
      <c r="AR9" s="52"/>
      <c r="AS9" s="52"/>
      <c r="AT9" s="61"/>
      <c r="AU9" s="66">
        <f>MAX(0,$AM9-$AC9-$AW9)</f>
        <v>0</v>
      </c>
      <c r="AV9" s="66"/>
      <c r="AW9" s="66"/>
      <c r="AX9" s="65">
        <v>0</v>
      </c>
      <c r="AY9" s="65">
        <f>IF(AND($AU9&gt;0,ISNUMBER($AX9)),$AU9*$AX9,0)</f>
        <v>0</v>
      </c>
      <c r="AZ9" s="46"/>
      <c r="BA9" s="52"/>
      <c r="BB9" s="52"/>
      <c r="BC9" s="52"/>
      <c r="BD9" s="52"/>
      <c r="BE9" s="52"/>
      <c r="BF9" s="52"/>
    </row>
    <row r="10" spans="1:58" ht="15" customHeight="1">
      <c r="A10" s="46" t="s">
        <v>834</v>
      </c>
      <c r="B10" s="53" t="s">
        <v>835</v>
      </c>
      <c r="C10" s="66" t="s">
        <v>118</v>
      </c>
      <c r="D10" s="67">
        <v>9</v>
      </c>
      <c r="E10" s="53" t="s">
        <v>110</v>
      </c>
      <c r="F10" s="50">
        <v>0</v>
      </c>
      <c r="G10" s="50">
        <v>7</v>
      </c>
      <c r="H10" s="51" t="s">
        <v>836</v>
      </c>
      <c r="I10" s="50" t="s">
        <v>837</v>
      </c>
      <c r="J10" s="54" t="s">
        <v>73</v>
      </c>
      <c r="K10" s="53" t="s">
        <v>497</v>
      </c>
      <c r="L10" s="53" t="s">
        <v>838</v>
      </c>
      <c r="M10" s="53" t="s">
        <v>839</v>
      </c>
      <c r="N10" s="53" t="s">
        <v>840</v>
      </c>
      <c r="O10" s="56">
        <v>2552</v>
      </c>
      <c r="P10" s="56" t="s">
        <v>185</v>
      </c>
      <c r="Q10" s="53" t="s">
        <v>691</v>
      </c>
      <c r="R10" s="50" t="s">
        <v>841</v>
      </c>
      <c r="S10" s="50">
        <v>2</v>
      </c>
      <c r="T10" s="50">
        <v>0</v>
      </c>
      <c r="U10" s="56" t="s">
        <v>842</v>
      </c>
      <c r="V10" s="57">
        <v>0.56000000000000005</v>
      </c>
      <c r="W10" s="56" t="s">
        <v>691</v>
      </c>
      <c r="X10" s="56" t="s">
        <v>841</v>
      </c>
      <c r="Y10" s="74">
        <v>1</v>
      </c>
      <c r="Z10" s="74">
        <v>1</v>
      </c>
      <c r="AA10" s="56" t="s">
        <v>842</v>
      </c>
      <c r="AB10" s="57">
        <v>0.99</v>
      </c>
      <c r="AC10" s="54">
        <v>3</v>
      </c>
      <c r="AD10" s="69">
        <f>SUM(AE10:AK10)</f>
        <v>0</v>
      </c>
      <c r="AE10" s="66"/>
      <c r="AF10" s="66"/>
      <c r="AG10" s="66"/>
      <c r="AH10" s="66"/>
      <c r="AI10" s="66"/>
      <c r="AJ10" s="66"/>
      <c r="AK10" s="66"/>
      <c r="AL10" s="54">
        <f>IF((AC10-SUM(AE10:AK10))&lt;0,0,AC10-SUM(AE10:AK10))</f>
        <v>3</v>
      </c>
      <c r="AM10" s="69">
        <f>SUM(AN10:AT10)</f>
        <v>0</v>
      </c>
      <c r="AN10" s="60"/>
      <c r="AO10" s="52"/>
      <c r="AP10" s="52"/>
      <c r="AQ10" s="52"/>
      <c r="AR10" s="52"/>
      <c r="AS10" s="52"/>
      <c r="AT10" s="61"/>
      <c r="AU10" s="66">
        <f>MAX(0,$AM10-$AC10-$AW10)</f>
        <v>0</v>
      </c>
      <c r="AV10" s="66"/>
      <c r="AW10" s="66"/>
      <c r="AX10" s="65">
        <v>0</v>
      </c>
      <c r="AY10" s="65">
        <f>IF(AND($AU10&gt;0,ISNUMBER($AX10)),$AU10*$AX10,0)</f>
        <v>0</v>
      </c>
      <c r="AZ10" s="46"/>
      <c r="BA10" s="52"/>
      <c r="BB10" s="52"/>
      <c r="BC10" s="52"/>
      <c r="BD10" s="52"/>
      <c r="BE10" s="52"/>
      <c r="BF10" s="52"/>
    </row>
    <row r="11" spans="1:58" ht="15" customHeight="1">
      <c r="A11" s="46" t="s">
        <v>1845</v>
      </c>
      <c r="B11" s="53" t="s">
        <v>1846</v>
      </c>
      <c r="C11" s="66" t="s">
        <v>118</v>
      </c>
      <c r="D11" s="67">
        <v>2</v>
      </c>
      <c r="E11" s="53" t="s">
        <v>81</v>
      </c>
      <c r="F11" s="50">
        <v>2</v>
      </c>
      <c r="G11" s="50">
        <v>1</v>
      </c>
      <c r="H11" s="51" t="s">
        <v>119</v>
      </c>
      <c r="I11" s="50" t="s">
        <v>1847</v>
      </c>
      <c r="J11" s="54" t="s">
        <v>73</v>
      </c>
      <c r="K11" s="58" t="s">
        <v>121</v>
      </c>
      <c r="L11" s="58" t="s">
        <v>1848</v>
      </c>
      <c r="M11" s="58" t="s">
        <v>1849</v>
      </c>
      <c r="N11" s="58"/>
      <c r="O11" s="54"/>
      <c r="P11" s="56" t="s">
        <v>76</v>
      </c>
      <c r="Q11" s="58" t="s">
        <v>691</v>
      </c>
      <c r="R11" s="50" t="s">
        <v>1465</v>
      </c>
      <c r="S11" s="50">
        <v>1</v>
      </c>
      <c r="T11" s="50">
        <v>0</v>
      </c>
      <c r="U11" s="50" t="s">
        <v>981</v>
      </c>
      <c r="V11" s="57">
        <v>0.36</v>
      </c>
      <c r="W11" s="56" t="s">
        <v>691</v>
      </c>
      <c r="X11" s="56" t="s">
        <v>1465</v>
      </c>
      <c r="Y11" s="74">
        <v>1</v>
      </c>
      <c r="Z11" s="74">
        <v>1</v>
      </c>
      <c r="AA11" s="56" t="s">
        <v>981</v>
      </c>
      <c r="AB11" s="57">
        <v>0.57999999999999996</v>
      </c>
      <c r="AC11" s="54">
        <v>2</v>
      </c>
      <c r="AD11" s="69">
        <f>SUM(AE11:AK11)</f>
        <v>0</v>
      </c>
      <c r="AE11" s="66"/>
      <c r="AF11" s="66"/>
      <c r="AG11" s="66"/>
      <c r="AH11" s="66"/>
      <c r="AI11" s="66"/>
      <c r="AJ11" s="66"/>
      <c r="AK11" s="66"/>
      <c r="AL11" s="54">
        <f>IF((AC11-SUM(AE11:AK11))&lt;0,0,AC11-SUM(AE11:AK11))</f>
        <v>2</v>
      </c>
      <c r="AM11" s="69">
        <f>SUM(AN11:AT11)</f>
        <v>0</v>
      </c>
      <c r="AN11" s="60"/>
      <c r="AO11" s="52"/>
      <c r="AP11" s="52"/>
      <c r="AQ11" s="52"/>
      <c r="AR11" s="52"/>
      <c r="AS11" s="52"/>
      <c r="AT11" s="61"/>
      <c r="AU11" s="66">
        <f>MAX(0,$AM11-$AC11-$AW11)</f>
        <v>0</v>
      </c>
      <c r="AV11" s="66"/>
      <c r="AW11" s="66"/>
      <c r="AX11" s="65">
        <v>0</v>
      </c>
      <c r="AY11" s="65">
        <f>IF(AND($AU11&gt;0,ISNUMBER($AX11)),$AU11*$AX11,0)</f>
        <v>0</v>
      </c>
      <c r="AZ11" s="46"/>
      <c r="BA11" s="52"/>
      <c r="BB11" s="52"/>
      <c r="BC11" s="52"/>
      <c r="BD11" s="52"/>
      <c r="BE11" s="52"/>
      <c r="BF11" s="52"/>
    </row>
    <row r="12" spans="1:58" ht="15" customHeight="1">
      <c r="A12" s="46" t="s">
        <v>1076</v>
      </c>
      <c r="B12" s="53" t="s">
        <v>1077</v>
      </c>
      <c r="C12" s="66" t="s">
        <v>118</v>
      </c>
      <c r="D12" s="67">
        <v>3</v>
      </c>
      <c r="E12" s="53" t="s">
        <v>189</v>
      </c>
      <c r="F12" s="50"/>
      <c r="G12" s="50"/>
      <c r="H12" s="51"/>
      <c r="I12" s="50" t="s">
        <v>1078</v>
      </c>
      <c r="J12" s="54" t="s">
        <v>196</v>
      </c>
      <c r="K12" s="58" t="s">
        <v>135</v>
      </c>
      <c r="L12" s="58" t="s">
        <v>1079</v>
      </c>
      <c r="M12" s="58" t="s">
        <v>1080</v>
      </c>
      <c r="N12" s="58"/>
      <c r="O12" s="54"/>
      <c r="P12" s="56" t="s">
        <v>185</v>
      </c>
      <c r="Q12" s="58" t="s">
        <v>293</v>
      </c>
      <c r="R12" s="50"/>
      <c r="S12" s="50"/>
      <c r="T12" s="50"/>
      <c r="U12" s="50"/>
      <c r="V12" s="57">
        <v>0.72</v>
      </c>
      <c r="W12" s="94" t="s">
        <v>1081</v>
      </c>
      <c r="X12" s="56" t="s">
        <v>1082</v>
      </c>
      <c r="Y12" s="74">
        <v>1</v>
      </c>
      <c r="Z12" s="74">
        <v>1</v>
      </c>
      <c r="AA12" s="56" t="s">
        <v>1083</v>
      </c>
      <c r="AB12" s="57">
        <v>5.24</v>
      </c>
      <c r="AC12" s="54">
        <v>2</v>
      </c>
      <c r="AD12" s="69">
        <f>SUM(AE12:AK12)</f>
        <v>1</v>
      </c>
      <c r="AE12" s="66">
        <v>1</v>
      </c>
      <c r="AF12" s="66"/>
      <c r="AG12" s="66"/>
      <c r="AH12" s="66"/>
      <c r="AI12" s="66"/>
      <c r="AJ12" s="66"/>
      <c r="AK12" s="66"/>
      <c r="AL12" s="54">
        <f>IF((AC12-SUM(AE12:AK12))&lt;0,0,AC12-SUM(AE12:AK12))</f>
        <v>1</v>
      </c>
      <c r="AM12" s="69">
        <f>SUM(AN12:AT12)</f>
        <v>1</v>
      </c>
      <c r="AN12" s="60">
        <v>1</v>
      </c>
      <c r="AO12" s="52"/>
      <c r="AP12" s="52"/>
      <c r="AQ12" s="52"/>
      <c r="AR12" s="52"/>
      <c r="AS12" s="52"/>
      <c r="AT12" s="61"/>
      <c r="AU12" s="66">
        <f>MAX(0,$AM12-$AC12-$AW12)</f>
        <v>0</v>
      </c>
      <c r="AV12" s="66"/>
      <c r="AW12" s="66"/>
      <c r="AX12" s="65">
        <v>0</v>
      </c>
      <c r="AY12" s="65">
        <f>IF(AND($AU12&gt;0,ISNUMBER($AX12)),$AU12*$AX12,0)</f>
        <v>0</v>
      </c>
      <c r="AZ12" s="46"/>
      <c r="BA12" s="52"/>
      <c r="BB12" s="52"/>
      <c r="BC12" s="52"/>
      <c r="BD12" s="52"/>
      <c r="BE12" s="52"/>
      <c r="BF12" s="52"/>
    </row>
    <row r="13" spans="1:58" ht="15" customHeight="1">
      <c r="A13" s="46" t="s">
        <v>1850</v>
      </c>
      <c r="B13" s="53" t="s">
        <v>1851</v>
      </c>
      <c r="C13" s="66" t="s">
        <v>118</v>
      </c>
      <c r="D13" s="67">
        <v>1</v>
      </c>
      <c r="E13" s="53" t="s">
        <v>189</v>
      </c>
      <c r="F13" s="50"/>
      <c r="G13" s="50"/>
      <c r="H13" s="51"/>
      <c r="I13" s="50" t="s">
        <v>1852</v>
      </c>
      <c r="J13" s="54" t="s">
        <v>73</v>
      </c>
      <c r="K13" s="58" t="s">
        <v>135</v>
      </c>
      <c r="L13" s="58" t="s">
        <v>1853</v>
      </c>
      <c r="M13" s="58" t="s">
        <v>1854</v>
      </c>
      <c r="N13" s="58"/>
      <c r="O13" s="54"/>
      <c r="P13" s="56" t="s">
        <v>185</v>
      </c>
      <c r="Q13" s="58" t="s">
        <v>1115</v>
      </c>
      <c r="R13" s="50" t="s">
        <v>1855</v>
      </c>
      <c r="S13" s="50">
        <v>1</v>
      </c>
      <c r="T13" s="50">
        <v>0</v>
      </c>
      <c r="U13" s="50" t="s">
        <v>1856</v>
      </c>
      <c r="V13" s="57">
        <v>0.25</v>
      </c>
      <c r="W13" s="56" t="s">
        <v>1857</v>
      </c>
      <c r="X13" s="56" t="s">
        <v>1858</v>
      </c>
      <c r="Y13" s="74">
        <v>1</v>
      </c>
      <c r="Z13" s="74">
        <v>0</v>
      </c>
      <c r="AA13" s="56" t="s">
        <v>1856</v>
      </c>
      <c r="AB13" s="57">
        <v>0.19</v>
      </c>
      <c r="AC13" s="54">
        <v>2</v>
      </c>
      <c r="AD13" s="69">
        <f>SUM(AE13:AK13)</f>
        <v>0</v>
      </c>
      <c r="AE13" s="66"/>
      <c r="AF13" s="66"/>
      <c r="AG13" s="66"/>
      <c r="AH13" s="66"/>
      <c r="AI13" s="66"/>
      <c r="AJ13" s="66"/>
      <c r="AK13" s="66"/>
      <c r="AL13" s="54">
        <f>IF((AC13-SUM(AE13:AK13))&lt;0,0,AC13-SUM(AE13:AK13))</f>
        <v>2</v>
      </c>
      <c r="AM13" s="69">
        <f>SUM(AN13:AT13)</f>
        <v>0</v>
      </c>
      <c r="AN13" s="60"/>
      <c r="AO13" s="52"/>
      <c r="AP13" s="52"/>
      <c r="AQ13" s="52"/>
      <c r="AR13" s="52"/>
      <c r="AS13" s="52"/>
      <c r="AT13" s="61"/>
      <c r="AU13" s="66">
        <f>MAX(0,$AM13-$AC13-$AW13)</f>
        <v>0</v>
      </c>
      <c r="AV13" s="66"/>
      <c r="AW13" s="66"/>
      <c r="AX13" s="65">
        <v>0</v>
      </c>
      <c r="AY13" s="65">
        <f>IF(AND($AU13&gt;0,ISNUMBER($AX13)),$AU13*$AX13,0)</f>
        <v>0</v>
      </c>
      <c r="AZ13" s="46"/>
      <c r="BA13" s="52"/>
      <c r="BB13" s="52"/>
      <c r="BC13" s="52"/>
      <c r="BD13" s="52"/>
      <c r="BE13" s="52"/>
      <c r="BF13" s="52"/>
    </row>
    <row r="14" spans="1:58" ht="15" customHeight="1">
      <c r="A14" s="46" t="s">
        <v>68</v>
      </c>
      <c r="B14" s="47" t="s">
        <v>69</v>
      </c>
      <c r="C14" s="48" t="s">
        <v>70</v>
      </c>
      <c r="D14" s="49">
        <v>2</v>
      </c>
      <c r="E14" s="47" t="s">
        <v>71</v>
      </c>
      <c r="F14" s="50"/>
      <c r="G14" s="50"/>
      <c r="H14" s="51"/>
      <c r="I14" s="50" t="s">
        <v>72</v>
      </c>
      <c r="J14" s="52" t="s">
        <v>73</v>
      </c>
      <c r="K14" s="47" t="s">
        <v>74</v>
      </c>
      <c r="L14" s="53" t="s">
        <v>75</v>
      </c>
      <c r="M14" s="53"/>
      <c r="N14" s="53"/>
      <c r="O14" s="54"/>
      <c r="P14" s="55" t="s">
        <v>76</v>
      </c>
      <c r="Q14" s="47" t="s">
        <v>77</v>
      </c>
      <c r="R14" s="46"/>
      <c r="S14" s="46"/>
      <c r="T14" s="46"/>
      <c r="U14" s="56"/>
      <c r="V14" s="57"/>
      <c r="W14" s="91"/>
      <c r="X14" s="46"/>
      <c r="Y14" s="46"/>
      <c r="Z14" s="46"/>
      <c r="AA14" s="56"/>
      <c r="AB14" s="57"/>
      <c r="AC14" s="52">
        <v>0</v>
      </c>
      <c r="AD14" s="59">
        <f>SUM(AE14:AK14)</f>
        <v>0</v>
      </c>
      <c r="AE14" s="48"/>
      <c r="AF14" s="48"/>
      <c r="AG14" s="48"/>
      <c r="AH14" s="48"/>
      <c r="AI14" s="48"/>
      <c r="AJ14" s="48"/>
      <c r="AK14" s="48"/>
      <c r="AL14" s="52">
        <f>IF((AC14-SUM(AE14:AK14))&lt;0,0,AC14-SUM(AE14:AK14))</f>
        <v>0</v>
      </c>
      <c r="AM14" s="59">
        <f>SUM(AN14:AT14)</f>
        <v>1</v>
      </c>
      <c r="AN14" s="60">
        <v>1</v>
      </c>
      <c r="AO14" s="52"/>
      <c r="AP14" s="52"/>
      <c r="AQ14" s="52"/>
      <c r="AR14" s="52"/>
      <c r="AS14" s="52"/>
      <c r="AT14" s="61"/>
      <c r="AU14" s="48">
        <f>MAX(0,$AM14-$AC14-$AW14)</f>
        <v>1</v>
      </c>
      <c r="AV14" s="48"/>
      <c r="AW14" s="48"/>
      <c r="AX14" s="62">
        <v>0</v>
      </c>
      <c r="AY14" s="62">
        <f>IF(AND($AU14&gt;0,ISNUMBER($AX14)),$AU14*$AX14,0)</f>
        <v>0</v>
      </c>
      <c r="AZ14" s="46"/>
      <c r="BA14" s="52"/>
      <c r="BB14" s="52"/>
      <c r="BC14" s="52"/>
      <c r="BD14" s="52"/>
      <c r="BE14" s="52"/>
      <c r="BF14" s="52"/>
    </row>
    <row r="15" spans="1:58" ht="15" customHeight="1">
      <c r="A15" s="46" t="s">
        <v>78</v>
      </c>
      <c r="B15" s="47" t="s">
        <v>79</v>
      </c>
      <c r="C15" s="48" t="s">
        <v>80</v>
      </c>
      <c r="D15" s="49">
        <v>3</v>
      </c>
      <c r="E15" s="47" t="s">
        <v>81</v>
      </c>
      <c r="F15" s="50">
        <v>1</v>
      </c>
      <c r="G15" s="50">
        <v>1</v>
      </c>
      <c r="H15" s="51" t="s">
        <v>82</v>
      </c>
      <c r="I15" s="50" t="s">
        <v>83</v>
      </c>
      <c r="J15" s="52" t="s">
        <v>73</v>
      </c>
      <c r="K15" s="47" t="s">
        <v>84</v>
      </c>
      <c r="L15" s="53" t="s">
        <v>85</v>
      </c>
      <c r="M15" s="53"/>
      <c r="N15" s="53"/>
      <c r="O15" s="54"/>
      <c r="P15" s="56" t="s">
        <v>86</v>
      </c>
      <c r="Q15" s="47" t="s">
        <v>87</v>
      </c>
      <c r="R15" s="46"/>
      <c r="S15" s="46"/>
      <c r="T15" s="46"/>
      <c r="U15" s="56"/>
      <c r="V15" s="63">
        <v>12.95</v>
      </c>
      <c r="W15" s="64"/>
      <c r="X15" s="50"/>
      <c r="Y15" s="46"/>
      <c r="Z15" s="46"/>
      <c r="AA15" s="56"/>
      <c r="AB15" s="63"/>
      <c r="AC15" s="52">
        <v>0</v>
      </c>
      <c r="AD15" s="59">
        <f>SUM(AE15:AK15)</f>
        <v>0</v>
      </c>
      <c r="AE15" s="48"/>
      <c r="AF15" s="48"/>
      <c r="AG15" s="48"/>
      <c r="AH15" s="48"/>
      <c r="AI15" s="48"/>
      <c r="AJ15" s="48"/>
      <c r="AK15" s="48"/>
      <c r="AL15" s="52">
        <f>IF((AC15-SUM(AE15:AK15))&lt;0,0,AC15-SUM(AE15:AK15))</f>
        <v>0</v>
      </c>
      <c r="AM15" s="59">
        <f>SUM(AN15:AT15)</f>
        <v>1</v>
      </c>
      <c r="AN15" s="60"/>
      <c r="AO15" s="52"/>
      <c r="AP15" s="52"/>
      <c r="AQ15" s="52"/>
      <c r="AR15" s="52"/>
      <c r="AS15" s="52"/>
      <c r="AT15" s="61">
        <v>1</v>
      </c>
      <c r="AU15" s="48">
        <f>MAX(0,$AM15-$AC15-$AW15)</f>
        <v>1</v>
      </c>
      <c r="AV15" s="48"/>
      <c r="AW15" s="48"/>
      <c r="AX15" s="62">
        <v>12.95</v>
      </c>
      <c r="AY15" s="62">
        <f>IF(AND($AU15&gt;0,ISNUMBER($AX15)),$AU15*$AX15,0)</f>
        <v>12.95</v>
      </c>
      <c r="AZ15" s="46"/>
      <c r="BA15" s="52"/>
      <c r="BB15" s="52"/>
      <c r="BC15" s="52"/>
      <c r="BD15" s="52"/>
      <c r="BE15" s="52"/>
      <c r="BF15" s="52"/>
    </row>
    <row r="16" spans="1:58" ht="15" customHeight="1">
      <c r="A16" s="46" t="s">
        <v>88</v>
      </c>
      <c r="B16" s="47" t="s">
        <v>89</v>
      </c>
      <c r="C16" s="48" t="s">
        <v>80</v>
      </c>
      <c r="D16" s="49">
        <v>2</v>
      </c>
      <c r="E16" s="47" t="s">
        <v>81</v>
      </c>
      <c r="F16" s="50">
        <v>2</v>
      </c>
      <c r="G16" s="50">
        <v>1</v>
      </c>
      <c r="H16" s="51" t="s">
        <v>90</v>
      </c>
      <c r="I16" s="50" t="s">
        <v>91</v>
      </c>
      <c r="J16" s="52" t="s">
        <v>73</v>
      </c>
      <c r="K16" s="47" t="s">
        <v>92</v>
      </c>
      <c r="L16" s="53" t="s">
        <v>85</v>
      </c>
      <c r="M16" s="53"/>
      <c r="N16" s="53"/>
      <c r="O16" s="54"/>
      <c r="P16" s="56" t="s">
        <v>86</v>
      </c>
      <c r="Q16" s="47" t="s">
        <v>93</v>
      </c>
      <c r="R16" s="46"/>
      <c r="S16" s="46"/>
      <c r="T16" s="46"/>
      <c r="U16" s="56"/>
      <c r="V16" s="63">
        <v>12.11</v>
      </c>
      <c r="W16" s="64"/>
      <c r="X16" s="50"/>
      <c r="Y16" s="46"/>
      <c r="Z16" s="46"/>
      <c r="AA16" s="56"/>
      <c r="AB16" s="63"/>
      <c r="AC16" s="52">
        <v>0</v>
      </c>
      <c r="AD16" s="59">
        <f>SUM(AE16:AK16)</f>
        <v>0</v>
      </c>
      <c r="AE16" s="48"/>
      <c r="AF16" s="48"/>
      <c r="AG16" s="48"/>
      <c r="AH16" s="48"/>
      <c r="AI16" s="48"/>
      <c r="AJ16" s="48"/>
      <c r="AK16" s="48"/>
      <c r="AL16" s="52">
        <f>IF((AC16-SUM(AE16:AK16))&lt;0,0,AC16-SUM(AE16:AK16))</f>
        <v>0</v>
      </c>
      <c r="AM16" s="59">
        <f>SUM(AN16:AT16)</f>
        <v>1</v>
      </c>
      <c r="AN16" s="60"/>
      <c r="AO16" s="52"/>
      <c r="AP16" s="52"/>
      <c r="AQ16" s="52"/>
      <c r="AR16" s="52"/>
      <c r="AS16" s="52"/>
      <c r="AT16" s="61">
        <v>1</v>
      </c>
      <c r="AU16" s="48">
        <f>MAX(0,$AM16-$AC16-$AW16)</f>
        <v>1</v>
      </c>
      <c r="AV16" s="48"/>
      <c r="AW16" s="48"/>
      <c r="AX16" s="62">
        <v>12.11</v>
      </c>
      <c r="AY16" s="62">
        <f>IF(AND($AU16&gt;0,ISNUMBER($AX16)),$AU16*$AX16,0)</f>
        <v>12.11</v>
      </c>
      <c r="AZ16" s="46"/>
      <c r="BA16" s="52"/>
      <c r="BB16" s="52"/>
      <c r="BC16" s="52"/>
      <c r="BD16" s="52"/>
      <c r="BE16" s="52"/>
      <c r="BF16" s="52"/>
    </row>
    <row r="17" spans="1:58" ht="15" customHeight="1">
      <c r="A17" s="46" t="s">
        <v>94</v>
      </c>
      <c r="B17" s="47" t="s">
        <v>95</v>
      </c>
      <c r="C17" s="48" t="s">
        <v>80</v>
      </c>
      <c r="D17" s="49">
        <v>2</v>
      </c>
      <c r="E17" s="47" t="s">
        <v>81</v>
      </c>
      <c r="F17" s="50">
        <v>1</v>
      </c>
      <c r="G17" s="50">
        <v>1</v>
      </c>
      <c r="H17" s="51" t="s">
        <v>96</v>
      </c>
      <c r="I17" s="50" t="s">
        <v>97</v>
      </c>
      <c r="J17" s="52" t="s">
        <v>73</v>
      </c>
      <c r="K17" s="47" t="s">
        <v>98</v>
      </c>
      <c r="L17" s="53" t="s">
        <v>85</v>
      </c>
      <c r="M17" s="53"/>
      <c r="N17" s="53"/>
      <c r="O17" s="54"/>
      <c r="P17" s="55" t="s">
        <v>76</v>
      </c>
      <c r="Q17" s="47" t="s">
        <v>87</v>
      </c>
      <c r="R17" s="46"/>
      <c r="S17" s="46"/>
      <c r="T17" s="46"/>
      <c r="U17" s="56"/>
      <c r="V17" s="63">
        <v>5.42</v>
      </c>
      <c r="W17" s="64"/>
      <c r="X17" s="46"/>
      <c r="Y17" s="46"/>
      <c r="Z17" s="46"/>
      <c r="AA17" s="56"/>
      <c r="AB17" s="63"/>
      <c r="AC17" s="52">
        <v>0</v>
      </c>
      <c r="AD17" s="59">
        <f>SUM(AE17:AK17)</f>
        <v>0</v>
      </c>
      <c r="AE17" s="48"/>
      <c r="AF17" s="48"/>
      <c r="AG17" s="48"/>
      <c r="AH17" s="48"/>
      <c r="AI17" s="48"/>
      <c r="AJ17" s="48"/>
      <c r="AK17" s="48"/>
      <c r="AL17" s="52">
        <f>IF((AC17-SUM(AE17:AK17))&lt;0,0,AC17-SUM(AE17:AK17))</f>
        <v>0</v>
      </c>
      <c r="AM17" s="59">
        <f>SUM(AN17:AT17)</f>
        <v>1</v>
      </c>
      <c r="AN17" s="60"/>
      <c r="AO17" s="52"/>
      <c r="AP17" s="52"/>
      <c r="AQ17" s="52"/>
      <c r="AR17" s="52"/>
      <c r="AS17" s="52"/>
      <c r="AT17" s="61">
        <v>1</v>
      </c>
      <c r="AU17" s="48">
        <f>MAX(0,$AM17-$AC17-$AW17)</f>
        <v>1</v>
      </c>
      <c r="AV17" s="48"/>
      <c r="AW17" s="48"/>
      <c r="AX17" s="62">
        <v>5.42</v>
      </c>
      <c r="AY17" s="62">
        <f>IF(AND($AU17&gt;0,ISNUMBER($AX17)),$AU17*$AX17,0)</f>
        <v>5.42</v>
      </c>
      <c r="AZ17" s="46"/>
      <c r="BA17" s="52"/>
      <c r="BB17" s="52"/>
      <c r="BC17" s="52"/>
      <c r="BD17" s="52"/>
      <c r="BE17" s="52"/>
      <c r="BF17" s="52"/>
    </row>
    <row r="18" spans="1:58" ht="15" customHeight="1">
      <c r="A18" s="46" t="s">
        <v>99</v>
      </c>
      <c r="B18" s="47" t="s">
        <v>100</v>
      </c>
      <c r="C18" s="48" t="s">
        <v>101</v>
      </c>
      <c r="D18" s="49">
        <v>1</v>
      </c>
      <c r="E18" s="47" t="s">
        <v>81</v>
      </c>
      <c r="F18" s="50">
        <v>1</v>
      </c>
      <c r="G18" s="50">
        <v>1</v>
      </c>
      <c r="H18" s="51" t="s">
        <v>102</v>
      </c>
      <c r="I18" s="50" t="s">
        <v>103</v>
      </c>
      <c r="J18" s="52" t="s">
        <v>73</v>
      </c>
      <c r="K18" s="47" t="s">
        <v>104</v>
      </c>
      <c r="L18" s="53" t="s">
        <v>105</v>
      </c>
      <c r="M18" s="53"/>
      <c r="N18" s="53"/>
      <c r="O18" s="54"/>
      <c r="P18" s="55" t="s">
        <v>76</v>
      </c>
      <c r="Q18" s="47" t="s">
        <v>106</v>
      </c>
      <c r="R18" s="46"/>
      <c r="S18" s="46"/>
      <c r="T18" s="46"/>
      <c r="U18" s="56"/>
      <c r="V18" s="63">
        <v>5.23</v>
      </c>
      <c r="W18" s="64"/>
      <c r="X18" s="46"/>
      <c r="Y18" s="46"/>
      <c r="Z18" s="46"/>
      <c r="AA18" s="56"/>
      <c r="AB18" s="63"/>
      <c r="AC18" s="52">
        <v>0</v>
      </c>
      <c r="AD18" s="59">
        <f>SUM(AE18:AK18)</f>
        <v>0</v>
      </c>
      <c r="AE18" s="48"/>
      <c r="AF18" s="48"/>
      <c r="AG18" s="48"/>
      <c r="AH18" s="48"/>
      <c r="AI18" s="48"/>
      <c r="AJ18" s="48"/>
      <c r="AK18" s="48"/>
      <c r="AL18" s="52">
        <f>IF((AC18-SUM(AE18:AK18))&lt;0,0,AC18-SUM(AE18:AK18))</f>
        <v>0</v>
      </c>
      <c r="AM18" s="59">
        <f>SUM(AN18:AT18)</f>
        <v>1</v>
      </c>
      <c r="AN18" s="60"/>
      <c r="AO18" s="52"/>
      <c r="AP18" s="52"/>
      <c r="AQ18" s="52"/>
      <c r="AR18" s="52"/>
      <c r="AS18" s="52"/>
      <c r="AT18" s="61">
        <v>1</v>
      </c>
      <c r="AU18" s="48">
        <f>MAX(0,$AM18-$AC18-$AW18)</f>
        <v>1</v>
      </c>
      <c r="AV18" s="48"/>
      <c r="AW18" s="48"/>
      <c r="AX18" s="62">
        <v>5.23</v>
      </c>
      <c r="AY18" s="62">
        <f>IF(AND($AU18&gt;0,ISNUMBER($AX18)),$AU18*$AX18,0)</f>
        <v>5.23</v>
      </c>
      <c r="AZ18" s="46"/>
      <c r="BA18" s="52"/>
      <c r="BB18" s="52"/>
      <c r="BC18" s="52"/>
      <c r="BD18" s="52"/>
      <c r="BE18" s="52"/>
      <c r="BF18" s="52"/>
    </row>
    <row r="19" spans="1:58" ht="15" customHeight="1">
      <c r="A19" s="46" t="s">
        <v>107</v>
      </c>
      <c r="B19" s="47" t="s">
        <v>108</v>
      </c>
      <c r="C19" s="48" t="s">
        <v>109</v>
      </c>
      <c r="D19" s="49">
        <v>3</v>
      </c>
      <c r="E19" s="47" t="s">
        <v>110</v>
      </c>
      <c r="F19" s="50">
        <v>2</v>
      </c>
      <c r="G19" s="50">
        <v>3</v>
      </c>
      <c r="H19" s="51" t="s">
        <v>111</v>
      </c>
      <c r="I19" s="50" t="s">
        <v>112</v>
      </c>
      <c r="J19" s="52" t="s">
        <v>73</v>
      </c>
      <c r="K19" s="47" t="s">
        <v>84</v>
      </c>
      <c r="L19" s="53" t="s">
        <v>113</v>
      </c>
      <c r="M19" s="53"/>
      <c r="N19" s="53"/>
      <c r="O19" s="54"/>
      <c r="P19" s="55" t="s">
        <v>114</v>
      </c>
      <c r="Q19" s="47" t="s">
        <v>115</v>
      </c>
      <c r="R19" s="46"/>
      <c r="S19" s="46"/>
      <c r="T19" s="46"/>
      <c r="U19" s="56"/>
      <c r="V19" s="63">
        <v>4.55</v>
      </c>
      <c r="W19" s="64"/>
      <c r="X19" s="46"/>
      <c r="Y19" s="46"/>
      <c r="Z19" s="46"/>
      <c r="AA19" s="56"/>
      <c r="AB19" s="63"/>
      <c r="AC19" s="52">
        <v>0</v>
      </c>
      <c r="AD19" s="59">
        <f>SUM(AE19:AK19)</f>
        <v>0</v>
      </c>
      <c r="AE19" s="48"/>
      <c r="AF19" s="48"/>
      <c r="AG19" s="48"/>
      <c r="AH19" s="48"/>
      <c r="AI19" s="48"/>
      <c r="AJ19" s="48"/>
      <c r="AK19" s="48"/>
      <c r="AL19" s="52">
        <f>IF((AC19-SUM(AE19:AK19))&lt;0,0,AC19-SUM(AE19:AK19))</f>
        <v>0</v>
      </c>
      <c r="AM19" s="59">
        <f>SUM(AN19:AT19)</f>
        <v>1</v>
      </c>
      <c r="AN19" s="60"/>
      <c r="AO19" s="52"/>
      <c r="AP19" s="52"/>
      <c r="AQ19" s="52"/>
      <c r="AR19" s="52"/>
      <c r="AS19" s="52"/>
      <c r="AT19" s="61">
        <v>1</v>
      </c>
      <c r="AU19" s="48">
        <f>MAX(0,$AM19-$AC19-$AW19)</f>
        <v>1</v>
      </c>
      <c r="AV19" s="48"/>
      <c r="AW19" s="48"/>
      <c r="AX19" s="62">
        <v>4.55</v>
      </c>
      <c r="AY19" s="62">
        <f>IF(AND($AU19&gt;0,ISNUMBER($AX19)),$AU19*$AX19,0)</f>
        <v>4.55</v>
      </c>
      <c r="AZ19" s="46"/>
      <c r="BA19" s="52"/>
      <c r="BB19" s="52"/>
      <c r="BC19" s="52"/>
      <c r="BD19" s="52"/>
      <c r="BE19" s="52"/>
      <c r="BF19" s="52"/>
    </row>
    <row r="20" spans="1:58" ht="15" customHeight="1">
      <c r="A20" s="46" t="s">
        <v>116</v>
      </c>
      <c r="B20" s="47" t="s">
        <v>117</v>
      </c>
      <c r="C20" s="48" t="s">
        <v>118</v>
      </c>
      <c r="D20" s="49">
        <v>1</v>
      </c>
      <c r="E20" s="47" t="s">
        <v>81</v>
      </c>
      <c r="F20" s="50">
        <v>1</v>
      </c>
      <c r="G20" s="50">
        <v>1</v>
      </c>
      <c r="H20" s="51" t="s">
        <v>119</v>
      </c>
      <c r="I20" s="50" t="s">
        <v>120</v>
      </c>
      <c r="J20" s="52" t="s">
        <v>73</v>
      </c>
      <c r="K20" s="47" t="s">
        <v>121</v>
      </c>
      <c r="L20" s="53" t="s">
        <v>122</v>
      </c>
      <c r="M20" s="53"/>
      <c r="N20" s="53"/>
      <c r="O20" s="54"/>
      <c r="P20" s="55" t="s">
        <v>76</v>
      </c>
      <c r="Q20" s="47" t="s">
        <v>123</v>
      </c>
      <c r="R20" s="46"/>
      <c r="S20" s="46"/>
      <c r="T20" s="46"/>
      <c r="U20" s="56"/>
      <c r="V20" s="63">
        <v>3.33</v>
      </c>
      <c r="W20" s="64"/>
      <c r="X20" s="46"/>
      <c r="Y20" s="46"/>
      <c r="Z20" s="46"/>
      <c r="AA20" s="56"/>
      <c r="AB20" s="63"/>
      <c r="AC20" s="52">
        <v>0</v>
      </c>
      <c r="AD20" s="59">
        <f>SUM(AE20:AK20)</f>
        <v>0</v>
      </c>
      <c r="AE20" s="48"/>
      <c r="AF20" s="48"/>
      <c r="AG20" s="48"/>
      <c r="AH20" s="48"/>
      <c r="AI20" s="48"/>
      <c r="AJ20" s="48"/>
      <c r="AK20" s="48"/>
      <c r="AL20" s="52">
        <f>IF((AC20-SUM(AE20:AK20))&lt;0,0,AC20-SUM(AE20:AK20))</f>
        <v>0</v>
      </c>
      <c r="AM20" s="59">
        <f>SUM(AN20:AT20)</f>
        <v>1</v>
      </c>
      <c r="AN20" s="60"/>
      <c r="AO20" s="52"/>
      <c r="AP20" s="52"/>
      <c r="AQ20" s="52"/>
      <c r="AR20" s="52">
        <v>1</v>
      </c>
      <c r="AS20" s="52"/>
      <c r="AT20" s="61"/>
      <c r="AU20" s="48">
        <f>MAX(0,$AM20-$AC20-$AW20)</f>
        <v>1</v>
      </c>
      <c r="AV20" s="48"/>
      <c r="AW20" s="48"/>
      <c r="AX20" s="62">
        <v>3.33</v>
      </c>
      <c r="AY20" s="62">
        <f>IF(AND($AU20&gt;0,ISNUMBER($AX20)),$AU20*$AX20,0)</f>
        <v>3.33</v>
      </c>
      <c r="AZ20" s="46"/>
      <c r="BA20" s="52"/>
      <c r="BB20" s="52"/>
      <c r="BC20" s="52"/>
      <c r="BD20" s="52"/>
      <c r="BE20" s="52"/>
      <c r="BF20" s="52"/>
    </row>
    <row r="21" spans="1:58" ht="15" customHeight="1">
      <c r="A21" s="46" t="s">
        <v>124</v>
      </c>
      <c r="B21" s="47" t="s">
        <v>125</v>
      </c>
      <c r="C21" s="48" t="s">
        <v>118</v>
      </c>
      <c r="D21" s="49">
        <v>3</v>
      </c>
      <c r="E21" s="47" t="s">
        <v>110</v>
      </c>
      <c r="F21" s="50" t="s">
        <v>126</v>
      </c>
      <c r="G21" s="50">
        <v>4</v>
      </c>
      <c r="H21" s="51" t="s">
        <v>127</v>
      </c>
      <c r="I21" s="50" t="s">
        <v>128</v>
      </c>
      <c r="J21" s="52" t="s">
        <v>73</v>
      </c>
      <c r="K21" s="47" t="s">
        <v>129</v>
      </c>
      <c r="L21" s="53" t="s">
        <v>130</v>
      </c>
      <c r="M21" s="53"/>
      <c r="N21" s="53"/>
      <c r="O21" s="54"/>
      <c r="P21" s="56" t="s">
        <v>86</v>
      </c>
      <c r="Q21" s="47" t="s">
        <v>131</v>
      </c>
      <c r="R21" s="46"/>
      <c r="S21" s="46"/>
      <c r="T21" s="46"/>
      <c r="U21" s="56"/>
      <c r="V21" s="63">
        <v>2.85</v>
      </c>
      <c r="W21" s="64"/>
      <c r="X21" s="50"/>
      <c r="Y21" s="46"/>
      <c r="Z21" s="46"/>
      <c r="AA21" s="56"/>
      <c r="AB21" s="63"/>
      <c r="AC21" s="52">
        <v>0</v>
      </c>
      <c r="AD21" s="59">
        <f>SUM(AE21:AK21)</f>
        <v>0</v>
      </c>
      <c r="AE21" s="48"/>
      <c r="AF21" s="48"/>
      <c r="AG21" s="48"/>
      <c r="AH21" s="48"/>
      <c r="AI21" s="48"/>
      <c r="AJ21" s="48"/>
      <c r="AK21" s="48"/>
      <c r="AL21" s="52">
        <f>IF((AC21-SUM(AE21:AK21))&lt;0,0,AC21-SUM(AE21:AK21))</f>
        <v>0</v>
      </c>
      <c r="AM21" s="59">
        <f>SUM(AN21:AT21)</f>
        <v>1</v>
      </c>
      <c r="AN21" s="60"/>
      <c r="AO21" s="52"/>
      <c r="AP21" s="52"/>
      <c r="AQ21" s="52"/>
      <c r="AR21" s="52">
        <v>1</v>
      </c>
      <c r="AS21" s="52"/>
      <c r="AT21" s="61"/>
      <c r="AU21" s="48">
        <f>MAX(0,$AM21-$AC21-$AW21)</f>
        <v>1</v>
      </c>
      <c r="AV21" s="48"/>
      <c r="AW21" s="48"/>
      <c r="AX21" s="62">
        <v>2.85</v>
      </c>
      <c r="AY21" s="62">
        <f>IF(AND($AU21&gt;0,ISNUMBER($AX21)),$AU21*$AX21,0)</f>
        <v>2.85</v>
      </c>
      <c r="AZ21" s="46"/>
      <c r="BA21" s="52"/>
      <c r="BB21" s="52"/>
      <c r="BC21" s="52"/>
      <c r="BD21" s="52"/>
      <c r="BE21" s="52"/>
      <c r="BF21" s="52"/>
    </row>
    <row r="22" spans="1:58" ht="15" customHeight="1">
      <c r="A22" s="46" t="s">
        <v>132</v>
      </c>
      <c r="B22" s="47" t="s">
        <v>133</v>
      </c>
      <c r="C22" s="48" t="s">
        <v>80</v>
      </c>
      <c r="D22" s="49">
        <v>4</v>
      </c>
      <c r="E22" s="47" t="s">
        <v>81</v>
      </c>
      <c r="F22" s="50">
        <v>2</v>
      </c>
      <c r="G22" s="50">
        <v>2</v>
      </c>
      <c r="H22" s="51" t="s">
        <v>96</v>
      </c>
      <c r="I22" s="50" t="s">
        <v>134</v>
      </c>
      <c r="J22" s="52" t="s">
        <v>73</v>
      </c>
      <c r="K22" s="47" t="s">
        <v>135</v>
      </c>
      <c r="L22" s="53" t="s">
        <v>136</v>
      </c>
      <c r="M22" s="53"/>
      <c r="N22" s="53"/>
      <c r="O22" s="54"/>
      <c r="P22" s="56" t="s">
        <v>86</v>
      </c>
      <c r="Q22" s="47" t="s">
        <v>137</v>
      </c>
      <c r="R22" s="46"/>
      <c r="S22" s="46"/>
      <c r="T22" s="46"/>
      <c r="U22" s="56"/>
      <c r="V22" s="63">
        <v>2.5299999999999998</v>
      </c>
      <c r="W22" s="64"/>
      <c r="X22" s="50"/>
      <c r="Y22" s="46"/>
      <c r="Z22" s="46"/>
      <c r="AA22" s="56"/>
      <c r="AB22" s="63"/>
      <c r="AC22" s="52">
        <v>0</v>
      </c>
      <c r="AD22" s="59">
        <f>SUM(AE22:AK22)</f>
        <v>0</v>
      </c>
      <c r="AE22" s="48"/>
      <c r="AF22" s="48"/>
      <c r="AG22" s="48"/>
      <c r="AH22" s="48"/>
      <c r="AI22" s="48"/>
      <c r="AJ22" s="48"/>
      <c r="AK22" s="48"/>
      <c r="AL22" s="52">
        <f>IF((AC22-SUM(AE22:AK22))&lt;0,0,AC22-SUM(AE22:AK22))</f>
        <v>0</v>
      </c>
      <c r="AM22" s="59">
        <f>SUM(AN22:AT22)</f>
        <v>1</v>
      </c>
      <c r="AN22" s="60"/>
      <c r="AO22" s="52"/>
      <c r="AP22" s="52"/>
      <c r="AQ22" s="52"/>
      <c r="AR22" s="52"/>
      <c r="AS22" s="52"/>
      <c r="AT22" s="61">
        <v>1</v>
      </c>
      <c r="AU22" s="48">
        <f>MAX(0,$AM22-$AC22-$AW22)</f>
        <v>1</v>
      </c>
      <c r="AV22" s="48"/>
      <c r="AW22" s="48"/>
      <c r="AX22" s="62">
        <v>2.5299999999999998</v>
      </c>
      <c r="AY22" s="62">
        <f>IF(AND($AU22&gt;0,ISNUMBER($AX22)),$AU22*$AX22,0)</f>
        <v>2.5299999999999998</v>
      </c>
      <c r="AZ22" s="46"/>
      <c r="BA22" s="52"/>
      <c r="BB22" s="52"/>
      <c r="BC22" s="52"/>
      <c r="BD22" s="52"/>
      <c r="BE22" s="52"/>
      <c r="BF22" s="52"/>
    </row>
    <row r="23" spans="1:58" ht="15" customHeight="1">
      <c r="A23" s="46" t="s">
        <v>138</v>
      </c>
      <c r="B23" s="47" t="s">
        <v>139</v>
      </c>
      <c r="C23" s="48" t="s">
        <v>101</v>
      </c>
      <c r="D23" s="49">
        <v>1</v>
      </c>
      <c r="E23" s="47" t="s">
        <v>81</v>
      </c>
      <c r="F23" s="50">
        <v>1</v>
      </c>
      <c r="G23" s="50">
        <v>1</v>
      </c>
      <c r="H23" s="51" t="s">
        <v>102</v>
      </c>
      <c r="I23" s="50" t="s">
        <v>140</v>
      </c>
      <c r="J23" s="52" t="s">
        <v>73</v>
      </c>
      <c r="K23" s="47" t="s">
        <v>104</v>
      </c>
      <c r="L23" s="53" t="s">
        <v>105</v>
      </c>
      <c r="M23" s="53"/>
      <c r="N23" s="53"/>
      <c r="O23" s="54"/>
      <c r="P23" s="55" t="s">
        <v>76</v>
      </c>
      <c r="Q23" s="47" t="s">
        <v>141</v>
      </c>
      <c r="R23" s="46"/>
      <c r="S23" s="46"/>
      <c r="T23" s="46"/>
      <c r="U23" s="56"/>
      <c r="V23" s="63">
        <v>2.2799999999999998</v>
      </c>
      <c r="W23" s="64"/>
      <c r="X23" s="46"/>
      <c r="Y23" s="46"/>
      <c r="Z23" s="46"/>
      <c r="AA23" s="56"/>
      <c r="AB23" s="63"/>
      <c r="AC23" s="52">
        <v>0</v>
      </c>
      <c r="AD23" s="59">
        <f>SUM(AE23:AK23)</f>
        <v>0</v>
      </c>
      <c r="AE23" s="48"/>
      <c r="AF23" s="48"/>
      <c r="AG23" s="48"/>
      <c r="AH23" s="48"/>
      <c r="AI23" s="48"/>
      <c r="AJ23" s="48"/>
      <c r="AK23" s="48"/>
      <c r="AL23" s="52">
        <f>IF((AC23-SUM(AE23:AK23))&lt;0,0,AC23-SUM(AE23:AK23))</f>
        <v>0</v>
      </c>
      <c r="AM23" s="59">
        <f>SUM(AN23:AT23)</f>
        <v>1</v>
      </c>
      <c r="AN23" s="60"/>
      <c r="AO23" s="52"/>
      <c r="AP23" s="52"/>
      <c r="AQ23" s="52"/>
      <c r="AR23" s="52"/>
      <c r="AS23" s="52"/>
      <c r="AT23" s="61">
        <v>1</v>
      </c>
      <c r="AU23" s="48">
        <f>MAX(0,$AM23-$AC23-$AW23)</f>
        <v>1</v>
      </c>
      <c r="AV23" s="48"/>
      <c r="AW23" s="48"/>
      <c r="AX23" s="62">
        <v>2.2799999999999998</v>
      </c>
      <c r="AY23" s="62">
        <f>IF(AND($AU23&gt;0,ISNUMBER($AX23)),$AU23*$AX23,0)</f>
        <v>2.2799999999999998</v>
      </c>
      <c r="AZ23" s="46"/>
      <c r="BA23" s="52"/>
      <c r="BB23" s="52"/>
      <c r="BC23" s="52"/>
      <c r="BD23" s="52"/>
      <c r="BE23" s="52"/>
      <c r="BF23" s="52"/>
    </row>
    <row r="24" spans="1:58" ht="15" customHeight="1">
      <c r="A24" s="46" t="s">
        <v>142</v>
      </c>
      <c r="B24" s="47" t="s">
        <v>143</v>
      </c>
      <c r="C24" s="48" t="s">
        <v>101</v>
      </c>
      <c r="D24" s="49">
        <v>4</v>
      </c>
      <c r="E24" s="47" t="s">
        <v>81</v>
      </c>
      <c r="F24" s="50">
        <v>3</v>
      </c>
      <c r="G24" s="50">
        <v>3</v>
      </c>
      <c r="H24" s="51" t="s">
        <v>144</v>
      </c>
      <c r="I24" s="50" t="s">
        <v>145</v>
      </c>
      <c r="J24" s="52" t="s">
        <v>73</v>
      </c>
      <c r="K24" s="47" t="s">
        <v>129</v>
      </c>
      <c r="L24" s="53" t="s">
        <v>146</v>
      </c>
      <c r="M24" s="53"/>
      <c r="N24" s="53"/>
      <c r="O24" s="54"/>
      <c r="P24" s="55" t="s">
        <v>76</v>
      </c>
      <c r="Q24" s="47" t="s">
        <v>147</v>
      </c>
      <c r="R24" s="46"/>
      <c r="S24" s="46"/>
      <c r="T24" s="46"/>
      <c r="U24" s="56"/>
      <c r="V24" s="63">
        <v>2.1800000000000002</v>
      </c>
      <c r="W24" s="64"/>
      <c r="X24" s="46"/>
      <c r="Y24" s="46"/>
      <c r="Z24" s="46"/>
      <c r="AA24" s="56"/>
      <c r="AB24" s="63"/>
      <c r="AC24" s="52">
        <v>0</v>
      </c>
      <c r="AD24" s="59">
        <f>SUM(AE24:AK24)</f>
        <v>0</v>
      </c>
      <c r="AE24" s="48"/>
      <c r="AF24" s="48"/>
      <c r="AG24" s="48"/>
      <c r="AH24" s="48"/>
      <c r="AI24" s="48"/>
      <c r="AJ24" s="48"/>
      <c r="AK24" s="48"/>
      <c r="AL24" s="52">
        <f>IF((AC24-SUM(AE24:AK24))&lt;0,0,AC24-SUM(AE24:AK24))</f>
        <v>0</v>
      </c>
      <c r="AM24" s="59">
        <f>SUM(AN24:AT24)</f>
        <v>1</v>
      </c>
      <c r="AN24" s="60"/>
      <c r="AO24" s="52"/>
      <c r="AP24" s="52"/>
      <c r="AQ24" s="52"/>
      <c r="AR24" s="52"/>
      <c r="AS24" s="52"/>
      <c r="AT24" s="61">
        <v>1</v>
      </c>
      <c r="AU24" s="48">
        <f>MAX(0,$AM24-$AC24-$AW24)</f>
        <v>1</v>
      </c>
      <c r="AV24" s="48"/>
      <c r="AW24" s="48"/>
      <c r="AX24" s="62">
        <v>2.1800000000000002</v>
      </c>
      <c r="AY24" s="62">
        <f>IF(AND($AU24&gt;0,ISNUMBER($AX24)),$AU24*$AX24,0)</f>
        <v>2.1800000000000002</v>
      </c>
      <c r="AZ24" s="46"/>
      <c r="BA24" s="52"/>
      <c r="BB24" s="52"/>
      <c r="BC24" s="52"/>
      <c r="BD24" s="52"/>
      <c r="BE24" s="52"/>
      <c r="BF24" s="52"/>
    </row>
    <row r="25" spans="1:58" ht="15" customHeight="1">
      <c r="A25" s="46" t="s">
        <v>148</v>
      </c>
      <c r="B25" s="47" t="s">
        <v>149</v>
      </c>
      <c r="C25" s="48" t="s">
        <v>101</v>
      </c>
      <c r="D25" s="49">
        <v>3</v>
      </c>
      <c r="E25" s="47" t="s">
        <v>81</v>
      </c>
      <c r="F25" s="50">
        <v>2</v>
      </c>
      <c r="G25" s="50">
        <v>3</v>
      </c>
      <c r="H25" s="51" t="s">
        <v>150</v>
      </c>
      <c r="I25" s="50" t="s">
        <v>151</v>
      </c>
      <c r="J25" s="52" t="s">
        <v>73</v>
      </c>
      <c r="K25" s="47" t="s">
        <v>152</v>
      </c>
      <c r="L25" s="53" t="s">
        <v>153</v>
      </c>
      <c r="M25" s="53"/>
      <c r="N25" s="53"/>
      <c r="O25" s="54"/>
      <c r="P25" s="56" t="s">
        <v>86</v>
      </c>
      <c r="Q25" s="47" t="s">
        <v>154</v>
      </c>
      <c r="R25" s="46"/>
      <c r="S25" s="46"/>
      <c r="T25" s="46"/>
      <c r="U25" s="56"/>
      <c r="V25" s="63">
        <v>2.1</v>
      </c>
      <c r="W25" s="64"/>
      <c r="X25" s="50"/>
      <c r="Y25" s="46"/>
      <c r="Z25" s="46"/>
      <c r="AA25" s="56"/>
      <c r="AB25" s="63"/>
      <c r="AC25" s="52">
        <v>0</v>
      </c>
      <c r="AD25" s="59">
        <f>SUM(AE25:AK25)</f>
        <v>0</v>
      </c>
      <c r="AE25" s="48"/>
      <c r="AF25" s="48"/>
      <c r="AG25" s="48"/>
      <c r="AH25" s="48"/>
      <c r="AI25" s="48"/>
      <c r="AJ25" s="48"/>
      <c r="AK25" s="48"/>
      <c r="AL25" s="52">
        <f>IF((AC25-SUM(AE25:AK25))&lt;0,0,AC25-SUM(AE25:AK25))</f>
        <v>0</v>
      </c>
      <c r="AM25" s="59">
        <f>SUM(AN25:AT25)</f>
        <v>1</v>
      </c>
      <c r="AN25" s="60"/>
      <c r="AO25" s="52"/>
      <c r="AP25" s="52"/>
      <c r="AQ25" s="52"/>
      <c r="AR25" s="52"/>
      <c r="AS25" s="52"/>
      <c r="AT25" s="61">
        <v>1</v>
      </c>
      <c r="AU25" s="48">
        <f>MAX(0,$AM25-$AC25-$AW25)</f>
        <v>1</v>
      </c>
      <c r="AV25" s="48"/>
      <c r="AW25" s="48"/>
      <c r="AX25" s="62">
        <v>2.1</v>
      </c>
      <c r="AY25" s="62">
        <f>IF(AND($AU25&gt;0,ISNUMBER($AX25)),$AU25*$AX25,0)</f>
        <v>2.1</v>
      </c>
      <c r="AZ25" s="46"/>
      <c r="BA25" s="52"/>
      <c r="BB25" s="52"/>
      <c r="BC25" s="52"/>
      <c r="BD25" s="52"/>
      <c r="BE25" s="52"/>
      <c r="BF25" s="52"/>
    </row>
    <row r="26" spans="1:58" ht="15" customHeight="1">
      <c r="A26" s="46" t="s">
        <v>155</v>
      </c>
      <c r="B26" s="47" t="s">
        <v>156</v>
      </c>
      <c r="C26" s="48" t="s">
        <v>109</v>
      </c>
      <c r="D26" s="49">
        <v>4</v>
      </c>
      <c r="E26" s="47" t="s">
        <v>81</v>
      </c>
      <c r="F26" s="50">
        <v>2</v>
      </c>
      <c r="G26" s="50">
        <v>2</v>
      </c>
      <c r="H26" s="51" t="s">
        <v>157</v>
      </c>
      <c r="I26" s="50" t="s">
        <v>158</v>
      </c>
      <c r="J26" s="52" t="s">
        <v>73</v>
      </c>
      <c r="K26" s="47" t="s">
        <v>98</v>
      </c>
      <c r="L26" s="53" t="s">
        <v>85</v>
      </c>
      <c r="M26" s="53"/>
      <c r="N26" s="53"/>
      <c r="O26" s="54"/>
      <c r="P26" s="56" t="s">
        <v>86</v>
      </c>
      <c r="Q26" s="47" t="s">
        <v>159</v>
      </c>
      <c r="R26" s="46"/>
      <c r="S26" s="46"/>
      <c r="T26" s="46"/>
      <c r="U26" s="56"/>
      <c r="V26" s="63">
        <v>1.47</v>
      </c>
      <c r="W26" s="64"/>
      <c r="X26" s="50"/>
      <c r="Y26" s="46"/>
      <c r="Z26" s="46"/>
      <c r="AA26" s="56"/>
      <c r="AB26" s="63"/>
      <c r="AC26" s="52">
        <v>0</v>
      </c>
      <c r="AD26" s="59">
        <f>SUM(AE26:AK26)</f>
        <v>0</v>
      </c>
      <c r="AE26" s="48"/>
      <c r="AF26" s="48"/>
      <c r="AG26" s="48"/>
      <c r="AH26" s="48"/>
      <c r="AI26" s="48"/>
      <c r="AJ26" s="48"/>
      <c r="AK26" s="48"/>
      <c r="AL26" s="52">
        <f>IF((AC26-SUM(AE26:AK26))&lt;0,0,AC26-SUM(AE26:AK26))</f>
        <v>0</v>
      </c>
      <c r="AM26" s="59">
        <f>SUM(AN26:AT26)</f>
        <v>1</v>
      </c>
      <c r="AN26" s="60"/>
      <c r="AO26" s="52">
        <v>1</v>
      </c>
      <c r="AP26" s="52"/>
      <c r="AQ26" s="52"/>
      <c r="AR26" s="52"/>
      <c r="AS26" s="52"/>
      <c r="AT26" s="61"/>
      <c r="AU26" s="48">
        <f>MAX(0,$AM26-$AC26-$AW26)</f>
        <v>1</v>
      </c>
      <c r="AV26" s="48"/>
      <c r="AW26" s="48"/>
      <c r="AX26" s="62">
        <v>1.47</v>
      </c>
      <c r="AY26" s="62">
        <f>IF(AND($AU26&gt;0,ISNUMBER($AX26)),$AU26*$AX26,0)</f>
        <v>1.47</v>
      </c>
      <c r="AZ26" s="46"/>
      <c r="BA26" s="52"/>
      <c r="BB26" s="52"/>
      <c r="BC26" s="52"/>
      <c r="BD26" s="52"/>
      <c r="BE26" s="52"/>
      <c r="BF26" s="52"/>
    </row>
    <row r="27" spans="1:58" ht="15" customHeight="1">
      <c r="A27" s="46" t="s">
        <v>160</v>
      </c>
      <c r="B27" s="47" t="s">
        <v>161</v>
      </c>
      <c r="C27" s="48" t="s">
        <v>101</v>
      </c>
      <c r="D27" s="49">
        <v>2</v>
      </c>
      <c r="E27" s="47" t="s">
        <v>81</v>
      </c>
      <c r="F27" s="50">
        <v>0</v>
      </c>
      <c r="G27" s="50">
        <v>4</v>
      </c>
      <c r="H27" s="51" t="s">
        <v>162</v>
      </c>
      <c r="I27" s="50" t="s">
        <v>163</v>
      </c>
      <c r="J27" s="52" t="s">
        <v>73</v>
      </c>
      <c r="K27" s="47" t="s">
        <v>164</v>
      </c>
      <c r="L27" s="53" t="s">
        <v>165</v>
      </c>
      <c r="M27" s="53"/>
      <c r="N27" s="53"/>
      <c r="O27" s="54"/>
      <c r="P27" s="55" t="s">
        <v>76</v>
      </c>
      <c r="Q27" s="47" t="s">
        <v>166</v>
      </c>
      <c r="R27" s="46"/>
      <c r="S27" s="46"/>
      <c r="T27" s="46"/>
      <c r="U27" s="56"/>
      <c r="V27" s="63">
        <v>1.1599999999999999</v>
      </c>
      <c r="W27" s="64"/>
      <c r="X27" s="46"/>
      <c r="Y27" s="46"/>
      <c r="Z27" s="46"/>
      <c r="AA27" s="56"/>
      <c r="AB27" s="63"/>
      <c r="AC27" s="52">
        <v>0</v>
      </c>
      <c r="AD27" s="59">
        <f>SUM(AE27:AK27)</f>
        <v>0</v>
      </c>
      <c r="AE27" s="48"/>
      <c r="AF27" s="48"/>
      <c r="AG27" s="48"/>
      <c r="AH27" s="48"/>
      <c r="AI27" s="48"/>
      <c r="AJ27" s="48"/>
      <c r="AK27" s="48"/>
      <c r="AL27" s="52">
        <f>IF((AC27-SUM(AE27:AK27))&lt;0,0,AC27-SUM(AE27:AK27))</f>
        <v>0</v>
      </c>
      <c r="AM27" s="59">
        <f>SUM(AN27:AT27)</f>
        <v>1</v>
      </c>
      <c r="AN27" s="60"/>
      <c r="AO27" s="52"/>
      <c r="AP27" s="52"/>
      <c r="AQ27" s="52">
        <v>1</v>
      </c>
      <c r="AR27" s="52"/>
      <c r="AS27" s="52"/>
      <c r="AT27" s="61"/>
      <c r="AU27" s="48">
        <f>MAX(0,$AM27-$AC27-$AW27)</f>
        <v>1</v>
      </c>
      <c r="AV27" s="48"/>
      <c r="AW27" s="48"/>
      <c r="AX27" s="62">
        <v>1.1599999999999999</v>
      </c>
      <c r="AY27" s="62">
        <f>IF(AND($AU27&gt;0,ISNUMBER($AX27)),$AU27*$AX27,0)</f>
        <v>1.1599999999999999</v>
      </c>
      <c r="AZ27" s="46"/>
      <c r="BA27" s="52"/>
      <c r="BB27" s="52"/>
      <c r="BC27" s="52"/>
      <c r="BD27" s="52"/>
      <c r="BE27" s="52"/>
      <c r="BF27" s="52"/>
    </row>
    <row r="28" spans="1:58" ht="15" customHeight="1">
      <c r="A28" s="46" t="s">
        <v>167</v>
      </c>
      <c r="B28" s="47" t="s">
        <v>168</v>
      </c>
      <c r="C28" s="48" t="s">
        <v>70</v>
      </c>
      <c r="D28" s="49">
        <v>5</v>
      </c>
      <c r="E28" s="47" t="s">
        <v>71</v>
      </c>
      <c r="F28" s="50"/>
      <c r="G28" s="50"/>
      <c r="H28" s="51"/>
      <c r="I28" s="50" t="s">
        <v>169</v>
      </c>
      <c r="J28" s="52" t="s">
        <v>73</v>
      </c>
      <c r="K28" s="47" t="s">
        <v>170</v>
      </c>
      <c r="L28" s="53" t="s">
        <v>171</v>
      </c>
      <c r="M28" s="53"/>
      <c r="N28" s="53"/>
      <c r="O28" s="54"/>
      <c r="P28" s="56" t="s">
        <v>86</v>
      </c>
      <c r="Q28" s="47" t="s">
        <v>172</v>
      </c>
      <c r="R28" s="46"/>
      <c r="S28" s="46"/>
      <c r="T28" s="46"/>
      <c r="U28" s="56"/>
      <c r="V28" s="63">
        <v>1.08</v>
      </c>
      <c r="W28" s="64"/>
      <c r="X28" s="50"/>
      <c r="Y28" s="46"/>
      <c r="Z28" s="46"/>
      <c r="AA28" s="56"/>
      <c r="AB28" s="63"/>
      <c r="AC28" s="52">
        <v>0</v>
      </c>
      <c r="AD28" s="59">
        <f>SUM(AE28:AK28)</f>
        <v>0</v>
      </c>
      <c r="AE28" s="48"/>
      <c r="AF28" s="48"/>
      <c r="AG28" s="48"/>
      <c r="AH28" s="48"/>
      <c r="AI28" s="48"/>
      <c r="AJ28" s="48"/>
      <c r="AK28" s="48"/>
      <c r="AL28" s="52">
        <f>IF((AC28-SUM(AE28:AK28))&lt;0,0,AC28-SUM(AE28:AK28))</f>
        <v>0</v>
      </c>
      <c r="AM28" s="59">
        <f>SUM(AN28:AT28)</f>
        <v>1</v>
      </c>
      <c r="AN28" s="60"/>
      <c r="AO28" s="52"/>
      <c r="AP28" s="52"/>
      <c r="AQ28" s="52"/>
      <c r="AR28" s="52"/>
      <c r="AS28" s="52">
        <v>1</v>
      </c>
      <c r="AT28" s="61"/>
      <c r="AU28" s="48">
        <f>MAX(0,$AM28-$AC28-$AW28)</f>
        <v>1</v>
      </c>
      <c r="AV28" s="48"/>
      <c r="AW28" s="48"/>
      <c r="AX28" s="62">
        <v>1.08</v>
      </c>
      <c r="AY28" s="62">
        <f>IF(AND($AU28&gt;0,ISNUMBER($AX28)),$AU28*$AX28,0)</f>
        <v>1.08</v>
      </c>
      <c r="AZ28" s="46"/>
      <c r="BA28" s="52"/>
      <c r="BB28" s="52"/>
      <c r="BC28" s="52"/>
      <c r="BD28" s="52"/>
      <c r="BE28" s="52"/>
      <c r="BF28" s="52"/>
    </row>
    <row r="29" spans="1:58" ht="15" customHeight="1">
      <c r="A29" s="46" t="s">
        <v>173</v>
      </c>
      <c r="B29" s="47" t="s">
        <v>174</v>
      </c>
      <c r="C29" s="48" t="s">
        <v>101</v>
      </c>
      <c r="D29" s="49">
        <v>3</v>
      </c>
      <c r="E29" s="47" t="s">
        <v>81</v>
      </c>
      <c r="F29" s="50">
        <v>4</v>
      </c>
      <c r="G29" s="50">
        <v>4</v>
      </c>
      <c r="H29" s="51" t="s">
        <v>175</v>
      </c>
      <c r="I29" s="50" t="s">
        <v>176</v>
      </c>
      <c r="J29" s="52" t="s">
        <v>73</v>
      </c>
      <c r="K29" s="47" t="s">
        <v>104</v>
      </c>
      <c r="L29" s="53" t="s">
        <v>177</v>
      </c>
      <c r="M29" s="53"/>
      <c r="N29" s="53"/>
      <c r="O29" s="54"/>
      <c r="P29" s="56" t="s">
        <v>86</v>
      </c>
      <c r="Q29" s="47" t="s">
        <v>178</v>
      </c>
      <c r="R29" s="46"/>
      <c r="S29" s="46"/>
      <c r="T29" s="46"/>
      <c r="U29" s="56"/>
      <c r="V29" s="63">
        <v>0.99</v>
      </c>
      <c r="W29" s="64"/>
      <c r="X29" s="50"/>
      <c r="Y29" s="46"/>
      <c r="Z29" s="46"/>
      <c r="AA29" s="56"/>
      <c r="AB29" s="63"/>
      <c r="AC29" s="52">
        <v>0</v>
      </c>
      <c r="AD29" s="59">
        <f>SUM(AE29:AK29)</f>
        <v>0</v>
      </c>
      <c r="AE29" s="48"/>
      <c r="AF29" s="48"/>
      <c r="AG29" s="48"/>
      <c r="AH29" s="48"/>
      <c r="AI29" s="48"/>
      <c r="AJ29" s="48"/>
      <c r="AK29" s="48"/>
      <c r="AL29" s="52">
        <f>IF((AC29-SUM(AE29:AK29))&lt;0,0,AC29-SUM(AE29:AK29))</f>
        <v>0</v>
      </c>
      <c r="AM29" s="59">
        <f>SUM(AN29:AT29)</f>
        <v>1</v>
      </c>
      <c r="AN29" s="60"/>
      <c r="AO29" s="52">
        <v>1</v>
      </c>
      <c r="AP29" s="52"/>
      <c r="AQ29" s="52"/>
      <c r="AR29" s="52"/>
      <c r="AS29" s="52"/>
      <c r="AT29" s="61"/>
      <c r="AU29" s="48">
        <f>MAX(0,$AM29-$AC29-$AW29)</f>
        <v>1</v>
      </c>
      <c r="AV29" s="48"/>
      <c r="AW29" s="48"/>
      <c r="AX29" s="62">
        <v>0.99</v>
      </c>
      <c r="AY29" s="62">
        <f>IF(AND($AU29&gt;0,ISNUMBER($AX29)),$AU29*$AX29,0)</f>
        <v>0.99</v>
      </c>
      <c r="AZ29" s="46"/>
      <c r="BA29" s="52"/>
      <c r="BB29" s="52"/>
      <c r="BC29" s="52"/>
      <c r="BD29" s="52"/>
      <c r="BE29" s="52"/>
      <c r="BF29" s="52"/>
    </row>
    <row r="30" spans="1:58" ht="15" customHeight="1">
      <c r="A30" s="46" t="s">
        <v>179</v>
      </c>
      <c r="B30" s="47" t="s">
        <v>180</v>
      </c>
      <c r="C30" s="48" t="s">
        <v>181</v>
      </c>
      <c r="D30" s="49">
        <v>4</v>
      </c>
      <c r="E30" s="47" t="s">
        <v>81</v>
      </c>
      <c r="F30" s="50">
        <v>2</v>
      </c>
      <c r="G30" s="50">
        <v>2</v>
      </c>
      <c r="H30" s="51" t="s">
        <v>182</v>
      </c>
      <c r="I30" s="50" t="s">
        <v>183</v>
      </c>
      <c r="J30" s="52" t="s">
        <v>73</v>
      </c>
      <c r="K30" s="47" t="s">
        <v>135</v>
      </c>
      <c r="L30" s="53" t="s">
        <v>184</v>
      </c>
      <c r="M30" s="53"/>
      <c r="N30" s="53"/>
      <c r="O30" s="54"/>
      <c r="P30" s="56" t="s">
        <v>185</v>
      </c>
      <c r="Q30" s="47" t="s">
        <v>186</v>
      </c>
      <c r="R30" s="46"/>
      <c r="S30" s="46"/>
      <c r="T30" s="46"/>
      <c r="U30" s="56"/>
      <c r="V30" s="63">
        <v>0.99</v>
      </c>
      <c r="W30" s="64"/>
      <c r="X30" s="50"/>
      <c r="Y30" s="46"/>
      <c r="Z30" s="46"/>
      <c r="AA30" s="56"/>
      <c r="AB30" s="63"/>
      <c r="AC30" s="52">
        <v>0</v>
      </c>
      <c r="AD30" s="59">
        <f>SUM(AE30:AK30)</f>
        <v>0</v>
      </c>
      <c r="AE30" s="48"/>
      <c r="AF30" s="48"/>
      <c r="AG30" s="48"/>
      <c r="AH30" s="48"/>
      <c r="AI30" s="48"/>
      <c r="AJ30" s="48"/>
      <c r="AK30" s="48"/>
      <c r="AL30" s="52">
        <f>IF((AC30-SUM(AE30:AK30))&lt;0,0,AC30-SUM(AE30:AK30))</f>
        <v>0</v>
      </c>
      <c r="AM30" s="59">
        <f>SUM(AN30:AT30)</f>
        <v>1</v>
      </c>
      <c r="AN30" s="60"/>
      <c r="AO30" s="52"/>
      <c r="AP30" s="52"/>
      <c r="AQ30" s="52"/>
      <c r="AR30" s="52"/>
      <c r="AS30" s="52"/>
      <c r="AT30" s="61">
        <v>1</v>
      </c>
      <c r="AU30" s="48">
        <f>MAX(0,$AM30-$AC30-$AW30)</f>
        <v>1</v>
      </c>
      <c r="AV30" s="48"/>
      <c r="AW30" s="48"/>
      <c r="AX30" s="62">
        <v>0.99</v>
      </c>
      <c r="AY30" s="62">
        <f>IF(AND($AU30&gt;0,ISNUMBER($AX30)),$AU30*$AX30,0)</f>
        <v>0.99</v>
      </c>
      <c r="AZ30" s="46"/>
      <c r="BA30" s="52"/>
      <c r="BB30" s="52"/>
      <c r="BC30" s="52"/>
      <c r="BD30" s="52"/>
      <c r="BE30" s="52"/>
      <c r="BF30" s="52"/>
    </row>
    <row r="31" spans="1:58" ht="15" customHeight="1">
      <c r="A31" s="46" t="s">
        <v>187</v>
      </c>
      <c r="B31" s="47" t="s">
        <v>188</v>
      </c>
      <c r="C31" s="48" t="s">
        <v>70</v>
      </c>
      <c r="D31" s="49">
        <v>1</v>
      </c>
      <c r="E31" s="47" t="s">
        <v>189</v>
      </c>
      <c r="F31" s="50"/>
      <c r="G31" s="50"/>
      <c r="H31" s="51"/>
      <c r="I31" s="50" t="s">
        <v>190</v>
      </c>
      <c r="J31" s="52" t="s">
        <v>73</v>
      </c>
      <c r="K31" s="47" t="s">
        <v>135</v>
      </c>
      <c r="L31" s="53" t="s">
        <v>191</v>
      </c>
      <c r="M31" s="53"/>
      <c r="N31" s="53"/>
      <c r="O31" s="54"/>
      <c r="P31" s="56" t="s">
        <v>185</v>
      </c>
      <c r="Q31" s="47" t="s">
        <v>192</v>
      </c>
      <c r="R31" s="46"/>
      <c r="S31" s="46"/>
      <c r="T31" s="46"/>
      <c r="U31" s="56"/>
      <c r="V31" s="63">
        <v>0.81</v>
      </c>
      <c r="W31" s="64"/>
      <c r="X31" s="50"/>
      <c r="Y31" s="46"/>
      <c r="Z31" s="46"/>
      <c r="AA31" s="56"/>
      <c r="AB31" s="63"/>
      <c r="AC31" s="52">
        <v>0</v>
      </c>
      <c r="AD31" s="59">
        <f>SUM(AE31:AK31)</f>
        <v>0</v>
      </c>
      <c r="AE31" s="48"/>
      <c r="AF31" s="48"/>
      <c r="AG31" s="48"/>
      <c r="AH31" s="48"/>
      <c r="AI31" s="48"/>
      <c r="AJ31" s="48"/>
      <c r="AK31" s="48"/>
      <c r="AL31" s="52">
        <f>IF((AC31-SUM(AE31:AK31))&lt;0,0,AC31-SUM(AE31:AK31))</f>
        <v>0</v>
      </c>
      <c r="AM31" s="59">
        <f>SUM(AN31:AT31)</f>
        <v>1</v>
      </c>
      <c r="AN31" s="60"/>
      <c r="AO31" s="52"/>
      <c r="AP31" s="52"/>
      <c r="AQ31" s="52"/>
      <c r="AR31" s="52"/>
      <c r="AS31" s="52">
        <v>1</v>
      </c>
      <c r="AT31" s="61"/>
      <c r="AU31" s="48">
        <f>MAX(0,$AM31-$AC31-$AW31)</f>
        <v>1</v>
      </c>
      <c r="AV31" s="48"/>
      <c r="AW31" s="48"/>
      <c r="AX31" s="62">
        <v>0.81</v>
      </c>
      <c r="AY31" s="62">
        <f>IF(AND($AU31&gt;0,ISNUMBER($AX31)),$AU31*$AX31,0)</f>
        <v>0.81</v>
      </c>
      <c r="AZ31" s="46"/>
      <c r="BA31" s="52"/>
      <c r="BB31" s="52"/>
      <c r="BC31" s="52"/>
      <c r="BD31" s="52"/>
      <c r="BE31" s="52"/>
      <c r="BF31" s="52"/>
    </row>
    <row r="32" spans="1:58" ht="15" customHeight="1">
      <c r="A32" s="46" t="s">
        <v>193</v>
      </c>
      <c r="B32" s="47" t="s">
        <v>194</v>
      </c>
      <c r="C32" s="48" t="s">
        <v>80</v>
      </c>
      <c r="D32" s="49">
        <v>1</v>
      </c>
      <c r="E32" s="47" t="s">
        <v>71</v>
      </c>
      <c r="F32" s="50"/>
      <c r="G32" s="50"/>
      <c r="H32" s="51"/>
      <c r="I32" s="50" t="s">
        <v>195</v>
      </c>
      <c r="J32" s="52" t="s">
        <v>196</v>
      </c>
      <c r="K32" s="47" t="s">
        <v>74</v>
      </c>
      <c r="L32" s="53" t="s">
        <v>197</v>
      </c>
      <c r="M32" s="53"/>
      <c r="N32" s="53"/>
      <c r="O32" s="54"/>
      <c r="P32" s="55" t="s">
        <v>76</v>
      </c>
      <c r="Q32" s="47" t="s">
        <v>131</v>
      </c>
      <c r="R32" s="46"/>
      <c r="S32" s="46"/>
      <c r="T32" s="46"/>
      <c r="U32" s="56"/>
      <c r="V32" s="63">
        <v>0.74</v>
      </c>
      <c r="W32" s="64"/>
      <c r="X32" s="46"/>
      <c r="Y32" s="46"/>
      <c r="Z32" s="46"/>
      <c r="AA32" s="56"/>
      <c r="AB32" s="63"/>
      <c r="AC32" s="52">
        <v>0</v>
      </c>
      <c r="AD32" s="59">
        <f>SUM(AE32:AK32)</f>
        <v>0</v>
      </c>
      <c r="AE32" s="48"/>
      <c r="AF32" s="48"/>
      <c r="AG32" s="48"/>
      <c r="AH32" s="48"/>
      <c r="AI32" s="48"/>
      <c r="AJ32" s="48"/>
      <c r="AK32" s="48"/>
      <c r="AL32" s="52">
        <f>IF((AC32-SUM(AE32:AK32))&lt;0,0,AC32-SUM(AE32:AK32))</f>
        <v>0</v>
      </c>
      <c r="AM32" s="59">
        <f>SUM(AN32:AT32)</f>
        <v>1</v>
      </c>
      <c r="AN32" s="60"/>
      <c r="AO32" s="52"/>
      <c r="AP32" s="52"/>
      <c r="AQ32" s="52"/>
      <c r="AR32" s="52"/>
      <c r="AS32" s="52"/>
      <c r="AT32" s="61">
        <v>1</v>
      </c>
      <c r="AU32" s="48">
        <f>MAX(0,$AM32-$AC32-$AW32)</f>
        <v>1</v>
      </c>
      <c r="AV32" s="48"/>
      <c r="AW32" s="48"/>
      <c r="AX32" s="62">
        <v>0.74</v>
      </c>
      <c r="AY32" s="62">
        <f>IF(AND($AU32&gt;0,ISNUMBER($AX32)),$AU32*$AX32,0)</f>
        <v>0.74</v>
      </c>
      <c r="AZ32" s="46"/>
      <c r="BA32" s="52"/>
      <c r="BB32" s="52"/>
      <c r="BC32" s="52"/>
      <c r="BD32" s="52"/>
      <c r="BE32" s="52"/>
      <c r="BF32" s="52"/>
    </row>
    <row r="33" spans="1:58" ht="15" customHeight="1">
      <c r="A33" s="46" t="s">
        <v>198</v>
      </c>
      <c r="B33" s="47" t="s">
        <v>199</v>
      </c>
      <c r="C33" s="48" t="s">
        <v>118</v>
      </c>
      <c r="D33" s="49">
        <v>2</v>
      </c>
      <c r="E33" s="47" t="s">
        <v>81</v>
      </c>
      <c r="F33" s="50">
        <v>2</v>
      </c>
      <c r="G33" s="50">
        <v>3</v>
      </c>
      <c r="H33" s="51" t="s">
        <v>200</v>
      </c>
      <c r="I33" s="50" t="s">
        <v>201</v>
      </c>
      <c r="J33" s="52" t="s">
        <v>73</v>
      </c>
      <c r="K33" s="47" t="s">
        <v>202</v>
      </c>
      <c r="L33" s="53" t="s">
        <v>136</v>
      </c>
      <c r="M33" s="53"/>
      <c r="N33" s="53"/>
      <c r="O33" s="54"/>
      <c r="P33" s="55" t="s">
        <v>76</v>
      </c>
      <c r="Q33" s="47" t="s">
        <v>123</v>
      </c>
      <c r="R33" s="46"/>
      <c r="S33" s="46"/>
      <c r="T33" s="46"/>
      <c r="U33" s="56"/>
      <c r="V33" s="63">
        <v>0.61</v>
      </c>
      <c r="W33" s="64"/>
      <c r="X33" s="46"/>
      <c r="Y33" s="46"/>
      <c r="Z33" s="46"/>
      <c r="AA33" s="56"/>
      <c r="AB33" s="63"/>
      <c r="AC33" s="52">
        <v>0</v>
      </c>
      <c r="AD33" s="59">
        <f>SUM(AE33:AK33)</f>
        <v>0</v>
      </c>
      <c r="AE33" s="48"/>
      <c r="AF33" s="48"/>
      <c r="AG33" s="48"/>
      <c r="AH33" s="48"/>
      <c r="AI33" s="48"/>
      <c r="AJ33" s="48"/>
      <c r="AK33" s="48"/>
      <c r="AL33" s="52">
        <f>IF((AC33-SUM(AE33:AK33))&lt;0,0,AC33-SUM(AE33:AK33))</f>
        <v>0</v>
      </c>
      <c r="AM33" s="59">
        <f>SUM(AN33:AT33)</f>
        <v>1</v>
      </c>
      <c r="AN33" s="60"/>
      <c r="AO33" s="52">
        <v>1</v>
      </c>
      <c r="AP33" s="52"/>
      <c r="AQ33" s="52"/>
      <c r="AR33" s="52"/>
      <c r="AS33" s="52"/>
      <c r="AT33" s="61"/>
      <c r="AU33" s="48">
        <f>MAX(0,$AM33-$AC33-$AW33)</f>
        <v>1</v>
      </c>
      <c r="AV33" s="48"/>
      <c r="AW33" s="48"/>
      <c r="AX33" s="62">
        <v>0.61</v>
      </c>
      <c r="AY33" s="62">
        <f>IF(AND($AU33&gt;0,ISNUMBER($AX33)),$AU33*$AX33,0)</f>
        <v>0.61</v>
      </c>
      <c r="AZ33" s="46"/>
      <c r="BA33" s="52"/>
      <c r="BB33" s="52"/>
      <c r="BC33" s="52"/>
      <c r="BD33" s="52"/>
      <c r="BE33" s="52"/>
      <c r="BF33" s="52"/>
    </row>
    <row r="34" spans="1:58" ht="15" customHeight="1">
      <c r="A34" s="46" t="s">
        <v>203</v>
      </c>
      <c r="B34" s="47" t="s">
        <v>204</v>
      </c>
      <c r="C34" s="48" t="s">
        <v>109</v>
      </c>
      <c r="D34" s="49">
        <v>4</v>
      </c>
      <c r="E34" s="47" t="s">
        <v>81</v>
      </c>
      <c r="F34" s="50">
        <v>1</v>
      </c>
      <c r="G34" s="50">
        <v>1</v>
      </c>
      <c r="H34" s="51" t="s">
        <v>205</v>
      </c>
      <c r="I34" s="50" t="s">
        <v>206</v>
      </c>
      <c r="J34" s="52" t="s">
        <v>73</v>
      </c>
      <c r="K34" s="47" t="s">
        <v>92</v>
      </c>
      <c r="L34" s="53" t="s">
        <v>207</v>
      </c>
      <c r="M34" s="53"/>
      <c r="N34" s="53"/>
      <c r="O34" s="54"/>
      <c r="P34" s="56" t="s">
        <v>86</v>
      </c>
      <c r="Q34" s="47" t="s">
        <v>208</v>
      </c>
      <c r="R34" s="46"/>
      <c r="S34" s="46"/>
      <c r="T34" s="46"/>
      <c r="U34" s="56"/>
      <c r="V34" s="63">
        <v>0.61</v>
      </c>
      <c r="W34" s="64"/>
      <c r="X34" s="50"/>
      <c r="Y34" s="46"/>
      <c r="Z34" s="46"/>
      <c r="AA34" s="56"/>
      <c r="AB34" s="63"/>
      <c r="AC34" s="52">
        <v>0</v>
      </c>
      <c r="AD34" s="59">
        <f>SUM(AE34:AK34)</f>
        <v>0</v>
      </c>
      <c r="AE34" s="48"/>
      <c r="AF34" s="48"/>
      <c r="AG34" s="48"/>
      <c r="AH34" s="48"/>
      <c r="AI34" s="48"/>
      <c r="AJ34" s="48"/>
      <c r="AK34" s="48"/>
      <c r="AL34" s="52">
        <f>IF((AC34-SUM(AE34:AK34))&lt;0,0,AC34-SUM(AE34:AK34))</f>
        <v>0</v>
      </c>
      <c r="AM34" s="59">
        <f>SUM(AN34:AT34)</f>
        <v>1</v>
      </c>
      <c r="AN34" s="60"/>
      <c r="AO34" s="52"/>
      <c r="AP34" s="52">
        <v>1</v>
      </c>
      <c r="AQ34" s="52"/>
      <c r="AR34" s="52"/>
      <c r="AS34" s="52"/>
      <c r="AT34" s="61"/>
      <c r="AU34" s="48">
        <f>MAX(0,$AM34-$AC34-$AW34)</f>
        <v>1</v>
      </c>
      <c r="AV34" s="48"/>
      <c r="AW34" s="48"/>
      <c r="AX34" s="62">
        <v>0.61</v>
      </c>
      <c r="AY34" s="62">
        <f>IF(AND($AU34&gt;0,ISNUMBER($AX34)),$AU34*$AX34,0)</f>
        <v>0.61</v>
      </c>
      <c r="AZ34" s="46"/>
      <c r="BA34" s="52"/>
      <c r="BB34" s="52"/>
      <c r="BC34" s="52"/>
      <c r="BD34" s="52"/>
      <c r="BE34" s="52"/>
      <c r="BF34" s="52"/>
    </row>
    <row r="35" spans="1:58" ht="15" customHeight="1">
      <c r="A35" s="46" t="s">
        <v>209</v>
      </c>
      <c r="B35" s="47" t="s">
        <v>210</v>
      </c>
      <c r="C35" s="48" t="s">
        <v>101</v>
      </c>
      <c r="D35" s="49">
        <v>3</v>
      </c>
      <c r="E35" s="47" t="s">
        <v>81</v>
      </c>
      <c r="F35" s="50">
        <v>1</v>
      </c>
      <c r="G35" s="50">
        <v>1</v>
      </c>
      <c r="H35" s="51" t="s">
        <v>102</v>
      </c>
      <c r="I35" s="50" t="s">
        <v>211</v>
      </c>
      <c r="J35" s="52" t="s">
        <v>73</v>
      </c>
      <c r="K35" s="47" t="s">
        <v>104</v>
      </c>
      <c r="L35" s="53" t="s">
        <v>212</v>
      </c>
      <c r="M35" s="53"/>
      <c r="N35" s="53"/>
      <c r="O35" s="54"/>
      <c r="P35" s="55" t="s">
        <v>76</v>
      </c>
      <c r="Q35" s="47" t="s">
        <v>213</v>
      </c>
      <c r="R35" s="46"/>
      <c r="S35" s="46"/>
      <c r="T35" s="46"/>
      <c r="U35" s="56"/>
      <c r="V35" s="63">
        <v>0.59</v>
      </c>
      <c r="W35" s="64"/>
      <c r="X35" s="46"/>
      <c r="Y35" s="46"/>
      <c r="Z35" s="46"/>
      <c r="AA35" s="56"/>
      <c r="AB35" s="63"/>
      <c r="AC35" s="52">
        <v>0</v>
      </c>
      <c r="AD35" s="59">
        <f>SUM(AE35:AK35)</f>
        <v>0</v>
      </c>
      <c r="AE35" s="48"/>
      <c r="AF35" s="48"/>
      <c r="AG35" s="48"/>
      <c r="AH35" s="48"/>
      <c r="AI35" s="48"/>
      <c r="AJ35" s="48"/>
      <c r="AK35" s="48"/>
      <c r="AL35" s="52">
        <f>IF((AC35-SUM(AE35:AK35))&lt;0,0,AC35-SUM(AE35:AK35))</f>
        <v>0</v>
      </c>
      <c r="AM35" s="59">
        <f>SUM(AN35:AT35)</f>
        <v>1</v>
      </c>
      <c r="AN35" s="60"/>
      <c r="AO35" s="52">
        <v>1</v>
      </c>
      <c r="AP35" s="52"/>
      <c r="AQ35" s="52"/>
      <c r="AR35" s="52"/>
      <c r="AS35" s="52"/>
      <c r="AT35" s="61"/>
      <c r="AU35" s="48">
        <f>MAX(0,$AM35-$AC35-$AW35)</f>
        <v>1</v>
      </c>
      <c r="AV35" s="48"/>
      <c r="AW35" s="48"/>
      <c r="AX35" s="62">
        <v>0.59</v>
      </c>
      <c r="AY35" s="62">
        <f>IF(AND($AU35&gt;0,ISNUMBER($AX35)),$AU35*$AX35,0)</f>
        <v>0.59</v>
      </c>
      <c r="AZ35" s="46"/>
      <c r="BA35" s="52"/>
      <c r="BB35" s="52"/>
      <c r="BC35" s="52"/>
      <c r="BD35" s="52"/>
      <c r="BE35" s="52"/>
      <c r="BF35" s="52"/>
    </row>
    <row r="36" spans="1:58" ht="15" customHeight="1">
      <c r="A36" s="46" t="s">
        <v>214</v>
      </c>
      <c r="B36" s="47" t="s">
        <v>215</v>
      </c>
      <c r="C36" s="48" t="s">
        <v>70</v>
      </c>
      <c r="D36" s="49">
        <v>2</v>
      </c>
      <c r="E36" s="47" t="s">
        <v>71</v>
      </c>
      <c r="F36" s="50"/>
      <c r="G36" s="50"/>
      <c r="H36" s="51"/>
      <c r="I36" s="50" t="s">
        <v>216</v>
      </c>
      <c r="J36" s="52" t="s">
        <v>73</v>
      </c>
      <c r="K36" s="47" t="s">
        <v>135</v>
      </c>
      <c r="L36" s="53" t="s">
        <v>217</v>
      </c>
      <c r="M36" s="53"/>
      <c r="N36" s="53"/>
      <c r="O36" s="54"/>
      <c r="P36" s="56" t="s">
        <v>86</v>
      </c>
      <c r="Q36" s="47" t="s">
        <v>218</v>
      </c>
      <c r="R36" s="46"/>
      <c r="S36" s="46"/>
      <c r="T36" s="46"/>
      <c r="U36" s="56"/>
      <c r="V36" s="63">
        <v>0.56999999999999995</v>
      </c>
      <c r="W36" s="64"/>
      <c r="X36" s="50"/>
      <c r="Y36" s="46"/>
      <c r="Z36" s="46"/>
      <c r="AA36" s="56"/>
      <c r="AB36" s="63"/>
      <c r="AC36" s="52">
        <v>0</v>
      </c>
      <c r="AD36" s="59">
        <f>SUM(AE36:AK36)</f>
        <v>0</v>
      </c>
      <c r="AE36" s="48"/>
      <c r="AF36" s="48"/>
      <c r="AG36" s="48"/>
      <c r="AH36" s="48"/>
      <c r="AI36" s="48"/>
      <c r="AJ36" s="48"/>
      <c r="AK36" s="48"/>
      <c r="AL36" s="52">
        <f>IF((AC36-SUM(AE36:AK36))&lt;0,0,AC36-SUM(AE36:AK36))</f>
        <v>0</v>
      </c>
      <c r="AM36" s="59">
        <f>SUM(AN36:AT36)</f>
        <v>1</v>
      </c>
      <c r="AN36" s="60"/>
      <c r="AO36" s="52"/>
      <c r="AP36" s="52"/>
      <c r="AQ36" s="52"/>
      <c r="AR36" s="52"/>
      <c r="AS36" s="52">
        <v>1</v>
      </c>
      <c r="AT36" s="61"/>
      <c r="AU36" s="48">
        <f>MAX(0,$AM36-$AC36-$AW36)</f>
        <v>1</v>
      </c>
      <c r="AV36" s="48"/>
      <c r="AW36" s="48"/>
      <c r="AX36" s="62">
        <v>0.56999999999999995</v>
      </c>
      <c r="AY36" s="62">
        <f>IF(AND($AU36&gt;0,ISNUMBER($AX36)),$AU36*$AX36,0)</f>
        <v>0.56999999999999995</v>
      </c>
      <c r="AZ36" s="46"/>
      <c r="BA36" s="52"/>
      <c r="BB36" s="52"/>
      <c r="BC36" s="52"/>
      <c r="BD36" s="52"/>
      <c r="BE36" s="52"/>
      <c r="BF36" s="52"/>
    </row>
    <row r="37" spans="1:58" ht="15" customHeight="1">
      <c r="A37" s="46" t="s">
        <v>219</v>
      </c>
      <c r="B37" s="47" t="s">
        <v>220</v>
      </c>
      <c r="C37" s="48" t="s">
        <v>101</v>
      </c>
      <c r="D37" s="49">
        <v>2</v>
      </c>
      <c r="E37" s="47" t="s">
        <v>81</v>
      </c>
      <c r="F37" s="50">
        <v>1</v>
      </c>
      <c r="G37" s="50">
        <v>1</v>
      </c>
      <c r="H37" s="51" t="s">
        <v>221</v>
      </c>
      <c r="I37" s="50" t="s">
        <v>222</v>
      </c>
      <c r="J37" s="52" t="s">
        <v>73</v>
      </c>
      <c r="K37" s="47" t="s">
        <v>104</v>
      </c>
      <c r="L37" s="53" t="s">
        <v>223</v>
      </c>
      <c r="M37" s="53"/>
      <c r="N37" s="53"/>
      <c r="O37" s="54"/>
      <c r="P37" s="55" t="s">
        <v>76</v>
      </c>
      <c r="Q37" s="47" t="s">
        <v>224</v>
      </c>
      <c r="R37" s="46"/>
      <c r="S37" s="46"/>
      <c r="T37" s="46"/>
      <c r="U37" s="56"/>
      <c r="V37" s="63">
        <v>0.56000000000000005</v>
      </c>
      <c r="W37" s="64"/>
      <c r="X37" s="46"/>
      <c r="Y37" s="46"/>
      <c r="Z37" s="46"/>
      <c r="AA37" s="56"/>
      <c r="AB37" s="63"/>
      <c r="AC37" s="52">
        <v>0</v>
      </c>
      <c r="AD37" s="59">
        <f>SUM(AE37:AK37)</f>
        <v>0</v>
      </c>
      <c r="AE37" s="48"/>
      <c r="AF37" s="48"/>
      <c r="AG37" s="48"/>
      <c r="AH37" s="48"/>
      <c r="AI37" s="48"/>
      <c r="AJ37" s="48"/>
      <c r="AK37" s="48"/>
      <c r="AL37" s="52">
        <f>IF((AC37-SUM(AE37:AK37))&lt;0,0,AC37-SUM(AE37:AK37))</f>
        <v>0</v>
      </c>
      <c r="AM37" s="59">
        <f>SUM(AN37:AT37)</f>
        <v>1</v>
      </c>
      <c r="AN37" s="60"/>
      <c r="AO37" s="52">
        <v>1</v>
      </c>
      <c r="AP37" s="52"/>
      <c r="AQ37" s="52"/>
      <c r="AR37" s="52"/>
      <c r="AS37" s="52"/>
      <c r="AT37" s="61"/>
      <c r="AU37" s="48">
        <f>MAX(0,$AM37-$AC37-$AW37)</f>
        <v>1</v>
      </c>
      <c r="AV37" s="48"/>
      <c r="AW37" s="48"/>
      <c r="AX37" s="62">
        <v>0.56000000000000005</v>
      </c>
      <c r="AY37" s="62">
        <f>IF(AND($AU37&gt;0,ISNUMBER($AX37)),$AU37*$AX37,0)</f>
        <v>0.56000000000000005</v>
      </c>
      <c r="AZ37" s="46"/>
      <c r="BA37" s="52"/>
      <c r="BB37" s="52"/>
      <c r="BC37" s="52"/>
      <c r="BD37" s="52"/>
      <c r="BE37" s="52"/>
      <c r="BF37" s="52"/>
    </row>
    <row r="38" spans="1:58" ht="15" customHeight="1">
      <c r="A38" s="46" t="s">
        <v>225</v>
      </c>
      <c r="B38" s="47" t="s">
        <v>226</v>
      </c>
      <c r="C38" s="48" t="s">
        <v>80</v>
      </c>
      <c r="D38" s="49">
        <v>5</v>
      </c>
      <c r="E38" s="47" t="s">
        <v>81</v>
      </c>
      <c r="F38" s="50">
        <v>5</v>
      </c>
      <c r="G38" s="50">
        <v>4</v>
      </c>
      <c r="H38" s="51" t="s">
        <v>227</v>
      </c>
      <c r="I38" s="50" t="s">
        <v>228</v>
      </c>
      <c r="J38" s="52" t="s">
        <v>73</v>
      </c>
      <c r="K38" s="47" t="s">
        <v>129</v>
      </c>
      <c r="L38" s="53" t="s">
        <v>136</v>
      </c>
      <c r="M38" s="53"/>
      <c r="N38" s="53"/>
      <c r="O38" s="54"/>
      <c r="P38" s="56" t="s">
        <v>86</v>
      </c>
      <c r="Q38" s="47" t="s">
        <v>229</v>
      </c>
      <c r="R38" s="46"/>
      <c r="S38" s="46"/>
      <c r="T38" s="46"/>
      <c r="U38" s="56"/>
      <c r="V38" s="63">
        <v>0.45</v>
      </c>
      <c r="W38" s="64"/>
      <c r="X38" s="50"/>
      <c r="Y38" s="46"/>
      <c r="Z38" s="46"/>
      <c r="AA38" s="56"/>
      <c r="AB38" s="63"/>
      <c r="AC38" s="52">
        <v>0</v>
      </c>
      <c r="AD38" s="59">
        <f>SUM(AE38:AK38)</f>
        <v>0</v>
      </c>
      <c r="AE38" s="48"/>
      <c r="AF38" s="48"/>
      <c r="AG38" s="48"/>
      <c r="AH38" s="48"/>
      <c r="AI38" s="48"/>
      <c r="AJ38" s="48"/>
      <c r="AK38" s="48"/>
      <c r="AL38" s="52">
        <f>IF((AC38-SUM(AE38:AK38))&lt;0,0,AC38-SUM(AE38:AK38))</f>
        <v>0</v>
      </c>
      <c r="AM38" s="59">
        <f>SUM(AN38:AT38)</f>
        <v>1</v>
      </c>
      <c r="AN38" s="60"/>
      <c r="AO38" s="52"/>
      <c r="AP38" s="52"/>
      <c r="AQ38" s="52"/>
      <c r="AR38" s="52"/>
      <c r="AS38" s="52"/>
      <c r="AT38" s="61">
        <v>1</v>
      </c>
      <c r="AU38" s="48">
        <f>MAX(0,$AM38-$AC38-$AW38)</f>
        <v>1</v>
      </c>
      <c r="AV38" s="48"/>
      <c r="AW38" s="48"/>
      <c r="AX38" s="62">
        <v>0.45</v>
      </c>
      <c r="AY38" s="62">
        <f>IF(AND($AU38&gt;0,ISNUMBER($AX38)),$AU38*$AX38,0)</f>
        <v>0.45</v>
      </c>
      <c r="AZ38" s="46"/>
      <c r="BA38" s="52"/>
      <c r="BB38" s="52"/>
      <c r="BC38" s="52"/>
      <c r="BD38" s="52"/>
      <c r="BE38" s="52"/>
      <c r="BF38" s="52"/>
    </row>
    <row r="39" spans="1:58" ht="15" customHeight="1">
      <c r="A39" s="46" t="s">
        <v>230</v>
      </c>
      <c r="B39" s="47" t="s">
        <v>231</v>
      </c>
      <c r="C39" s="48" t="s">
        <v>232</v>
      </c>
      <c r="D39" s="49">
        <v>3</v>
      </c>
      <c r="E39" s="47" t="s">
        <v>233</v>
      </c>
      <c r="F39" s="50"/>
      <c r="G39" s="50"/>
      <c r="H39" s="51"/>
      <c r="I39" s="50" t="s">
        <v>234</v>
      </c>
      <c r="J39" s="52" t="s">
        <v>73</v>
      </c>
      <c r="K39" s="47" t="s">
        <v>235</v>
      </c>
      <c r="L39" s="53" t="s">
        <v>236</v>
      </c>
      <c r="M39" s="53"/>
      <c r="N39" s="53"/>
      <c r="O39" s="54"/>
      <c r="P39" s="56" t="s">
        <v>86</v>
      </c>
      <c r="Q39" s="47" t="s">
        <v>237</v>
      </c>
      <c r="R39" s="46"/>
      <c r="S39" s="46"/>
      <c r="T39" s="46"/>
      <c r="U39" s="56"/>
      <c r="V39" s="63">
        <v>0.39</v>
      </c>
      <c r="W39" s="64"/>
      <c r="X39" s="50"/>
      <c r="Y39" s="46"/>
      <c r="Z39" s="46"/>
      <c r="AA39" s="56"/>
      <c r="AB39" s="63"/>
      <c r="AC39" s="52">
        <v>0</v>
      </c>
      <c r="AD39" s="59">
        <f>SUM(AE39:AK39)</f>
        <v>0</v>
      </c>
      <c r="AE39" s="48"/>
      <c r="AF39" s="48"/>
      <c r="AG39" s="48"/>
      <c r="AH39" s="48"/>
      <c r="AI39" s="48"/>
      <c r="AJ39" s="48"/>
      <c r="AK39" s="48"/>
      <c r="AL39" s="52">
        <f>IF((AC39-SUM(AE39:AK39))&lt;0,0,AC39-SUM(AE39:AK39))</f>
        <v>0</v>
      </c>
      <c r="AM39" s="59">
        <f>SUM(AN39:AT39)</f>
        <v>1</v>
      </c>
      <c r="AN39" s="60"/>
      <c r="AO39" s="52"/>
      <c r="AP39" s="52">
        <v>1</v>
      </c>
      <c r="AQ39" s="52"/>
      <c r="AR39" s="52"/>
      <c r="AS39" s="52"/>
      <c r="AT39" s="61"/>
      <c r="AU39" s="48">
        <f>MAX(0,$AM39-$AC39-$AW39)</f>
        <v>1</v>
      </c>
      <c r="AV39" s="48"/>
      <c r="AW39" s="48"/>
      <c r="AX39" s="62">
        <v>0.39</v>
      </c>
      <c r="AY39" s="62">
        <f>IF(AND($AU39&gt;0,ISNUMBER($AX39)),$AU39*$AX39,0)</f>
        <v>0.39</v>
      </c>
      <c r="AZ39" s="46"/>
      <c r="BA39" s="52"/>
      <c r="BB39" s="52"/>
      <c r="BC39" s="52"/>
      <c r="BD39" s="52"/>
      <c r="BE39" s="52"/>
      <c r="BF39" s="52"/>
    </row>
    <row r="40" spans="1:58" ht="15" customHeight="1">
      <c r="A40" s="46" t="s">
        <v>238</v>
      </c>
      <c r="B40" s="47" t="s">
        <v>239</v>
      </c>
      <c r="C40" s="48" t="s">
        <v>181</v>
      </c>
      <c r="D40" s="49">
        <v>6</v>
      </c>
      <c r="E40" s="47" t="s">
        <v>81</v>
      </c>
      <c r="F40" s="50">
        <v>6</v>
      </c>
      <c r="G40" s="50">
        <v>6</v>
      </c>
      <c r="H40" s="51" t="s">
        <v>240</v>
      </c>
      <c r="I40" s="50" t="s">
        <v>241</v>
      </c>
      <c r="J40" s="52" t="s">
        <v>196</v>
      </c>
      <c r="K40" s="47" t="s">
        <v>129</v>
      </c>
      <c r="L40" s="53" t="s">
        <v>242</v>
      </c>
      <c r="M40" s="53"/>
      <c r="N40" s="53"/>
      <c r="O40" s="54"/>
      <c r="P40" s="55" t="s">
        <v>114</v>
      </c>
      <c r="Q40" s="47" t="s">
        <v>154</v>
      </c>
      <c r="R40" s="46"/>
      <c r="S40" s="46"/>
      <c r="T40" s="46"/>
      <c r="U40" s="56"/>
      <c r="V40" s="63">
        <v>0.39</v>
      </c>
      <c r="W40" s="64"/>
      <c r="X40" s="46"/>
      <c r="Y40" s="46"/>
      <c r="Z40" s="46"/>
      <c r="AA40" s="56"/>
      <c r="AB40" s="63"/>
      <c r="AC40" s="52">
        <v>0</v>
      </c>
      <c r="AD40" s="59">
        <f>SUM(AE40:AK40)</f>
        <v>0</v>
      </c>
      <c r="AE40" s="48"/>
      <c r="AF40" s="48"/>
      <c r="AG40" s="48"/>
      <c r="AH40" s="48"/>
      <c r="AI40" s="48"/>
      <c r="AJ40" s="48"/>
      <c r="AK40" s="48"/>
      <c r="AL40" s="52">
        <f>IF((AC40-SUM(AE40:AK40))&lt;0,0,AC40-SUM(AE40:AK40))</f>
        <v>0</v>
      </c>
      <c r="AM40" s="59">
        <f>SUM(AN40:AT40)</f>
        <v>1</v>
      </c>
      <c r="AN40" s="60"/>
      <c r="AO40" s="52"/>
      <c r="AP40" s="52"/>
      <c r="AQ40" s="52"/>
      <c r="AR40" s="52">
        <v>1</v>
      </c>
      <c r="AS40" s="52"/>
      <c r="AT40" s="61"/>
      <c r="AU40" s="48">
        <f>MAX(0,$AM40-$AC40-$AW40)</f>
        <v>1</v>
      </c>
      <c r="AV40" s="48"/>
      <c r="AW40" s="48"/>
      <c r="AX40" s="62">
        <v>0.39</v>
      </c>
      <c r="AY40" s="62">
        <f>IF(AND($AU40&gt;0,ISNUMBER($AX40)),$AU40*$AX40,0)</f>
        <v>0.39</v>
      </c>
      <c r="AZ40" s="46"/>
      <c r="BA40" s="52"/>
      <c r="BB40" s="52"/>
      <c r="BC40" s="52"/>
      <c r="BD40" s="52"/>
      <c r="BE40" s="52"/>
      <c r="BF40" s="52"/>
    </row>
    <row r="41" spans="1:58" ht="15" customHeight="1">
      <c r="A41" s="46" t="s">
        <v>243</v>
      </c>
      <c r="B41" s="47" t="s">
        <v>244</v>
      </c>
      <c r="C41" s="48" t="s">
        <v>70</v>
      </c>
      <c r="D41" s="49">
        <v>1</v>
      </c>
      <c r="E41" s="47" t="s">
        <v>81</v>
      </c>
      <c r="F41" s="50">
        <v>1</v>
      </c>
      <c r="G41" s="50">
        <v>1</v>
      </c>
      <c r="H41" s="51" t="s">
        <v>245</v>
      </c>
      <c r="I41" s="50" t="s">
        <v>246</v>
      </c>
      <c r="J41" s="52" t="s">
        <v>73</v>
      </c>
      <c r="K41" s="47" t="s">
        <v>247</v>
      </c>
      <c r="L41" s="53" t="s">
        <v>248</v>
      </c>
      <c r="M41" s="53"/>
      <c r="N41" s="53"/>
      <c r="O41" s="54"/>
      <c r="P41" s="55" t="s">
        <v>76</v>
      </c>
      <c r="Q41" s="47" t="s">
        <v>249</v>
      </c>
      <c r="R41" s="46"/>
      <c r="S41" s="46"/>
      <c r="T41" s="46"/>
      <c r="U41" s="56"/>
      <c r="V41" s="63">
        <v>0.38</v>
      </c>
      <c r="W41" s="64"/>
      <c r="X41" s="46"/>
      <c r="Y41" s="46"/>
      <c r="Z41" s="46"/>
      <c r="AA41" s="56"/>
      <c r="AB41" s="63"/>
      <c r="AC41" s="52">
        <v>0</v>
      </c>
      <c r="AD41" s="59">
        <f>SUM(AE41:AK41)</f>
        <v>0</v>
      </c>
      <c r="AE41" s="48"/>
      <c r="AF41" s="48"/>
      <c r="AG41" s="48"/>
      <c r="AH41" s="48"/>
      <c r="AI41" s="48"/>
      <c r="AJ41" s="48"/>
      <c r="AK41" s="48"/>
      <c r="AL41" s="52">
        <f>IF((AC41-SUM(AE41:AK41))&lt;0,0,AC41-SUM(AE41:AK41))</f>
        <v>0</v>
      </c>
      <c r="AM41" s="59">
        <f>SUM(AN41:AT41)</f>
        <v>1</v>
      </c>
      <c r="AN41" s="60"/>
      <c r="AO41" s="52"/>
      <c r="AP41" s="52"/>
      <c r="AQ41" s="52"/>
      <c r="AR41" s="52"/>
      <c r="AS41" s="52">
        <v>1</v>
      </c>
      <c r="AT41" s="61"/>
      <c r="AU41" s="48">
        <f>MAX(0,$AM41-$AC41-$AW41)</f>
        <v>1</v>
      </c>
      <c r="AV41" s="48"/>
      <c r="AW41" s="48"/>
      <c r="AX41" s="62">
        <v>0.38</v>
      </c>
      <c r="AY41" s="62">
        <f>IF(AND($AU41&gt;0,ISNUMBER($AX41)),$AU41*$AX41,0)</f>
        <v>0.38</v>
      </c>
      <c r="AZ41" s="46"/>
      <c r="BA41" s="52"/>
      <c r="BB41" s="52"/>
      <c r="BC41" s="52"/>
      <c r="BD41" s="52"/>
      <c r="BE41" s="52"/>
      <c r="BF41" s="52"/>
    </row>
    <row r="42" spans="1:58" ht="15" customHeight="1">
      <c r="A42" s="46" t="s">
        <v>250</v>
      </c>
      <c r="B42" s="47" t="s">
        <v>251</v>
      </c>
      <c r="C42" s="48" t="s">
        <v>118</v>
      </c>
      <c r="D42" s="49">
        <v>1</v>
      </c>
      <c r="E42" s="47" t="s">
        <v>81</v>
      </c>
      <c r="F42" s="50">
        <v>1</v>
      </c>
      <c r="G42" s="50">
        <v>1</v>
      </c>
      <c r="H42" s="51" t="s">
        <v>252</v>
      </c>
      <c r="I42" s="50" t="s">
        <v>253</v>
      </c>
      <c r="J42" s="52" t="s">
        <v>73</v>
      </c>
      <c r="K42" s="47" t="s">
        <v>254</v>
      </c>
      <c r="L42" s="53" t="s">
        <v>255</v>
      </c>
      <c r="M42" s="53"/>
      <c r="N42" s="53"/>
      <c r="O42" s="54"/>
      <c r="P42" s="56" t="s">
        <v>185</v>
      </c>
      <c r="Q42" s="47" t="s">
        <v>256</v>
      </c>
      <c r="R42" s="46"/>
      <c r="S42" s="46"/>
      <c r="T42" s="46"/>
      <c r="U42" s="56"/>
      <c r="V42" s="63">
        <v>0.37</v>
      </c>
      <c r="W42" s="64"/>
      <c r="X42" s="50"/>
      <c r="Y42" s="46"/>
      <c r="Z42" s="46"/>
      <c r="AA42" s="56"/>
      <c r="AB42" s="63"/>
      <c r="AC42" s="52">
        <v>0</v>
      </c>
      <c r="AD42" s="59">
        <f>SUM(AE42:AK42)</f>
        <v>0</v>
      </c>
      <c r="AE42" s="48"/>
      <c r="AF42" s="48"/>
      <c r="AG42" s="48"/>
      <c r="AH42" s="48"/>
      <c r="AI42" s="48"/>
      <c r="AJ42" s="48"/>
      <c r="AK42" s="48"/>
      <c r="AL42" s="52">
        <f>IF((AC42-SUM(AE42:AK42))&lt;0,0,AC42-SUM(AE42:AK42))</f>
        <v>0</v>
      </c>
      <c r="AM42" s="59">
        <f>SUM(AN42:AT42)</f>
        <v>1</v>
      </c>
      <c r="AN42" s="60"/>
      <c r="AO42" s="52">
        <v>1</v>
      </c>
      <c r="AP42" s="52"/>
      <c r="AQ42" s="52"/>
      <c r="AR42" s="52"/>
      <c r="AS42" s="52"/>
      <c r="AT42" s="61"/>
      <c r="AU42" s="48">
        <f>MAX(0,$AM42-$AC42-$AW42)</f>
        <v>1</v>
      </c>
      <c r="AV42" s="48"/>
      <c r="AW42" s="48"/>
      <c r="AX42" s="62">
        <v>0.37</v>
      </c>
      <c r="AY42" s="62">
        <f>IF(AND($AU42&gt;0,ISNUMBER($AX42)),$AU42*$AX42,0)</f>
        <v>0.37</v>
      </c>
      <c r="AZ42" s="46"/>
      <c r="BA42" s="52"/>
      <c r="BB42" s="52"/>
      <c r="BC42" s="52"/>
      <c r="BD42" s="52"/>
      <c r="BE42" s="52"/>
      <c r="BF42" s="52"/>
    </row>
    <row r="43" spans="1:58" ht="15" customHeight="1">
      <c r="A43" s="46" t="s">
        <v>257</v>
      </c>
      <c r="B43" s="47" t="s">
        <v>258</v>
      </c>
      <c r="C43" s="48" t="s">
        <v>70</v>
      </c>
      <c r="D43" s="49">
        <v>3</v>
      </c>
      <c r="E43" s="47" t="s">
        <v>259</v>
      </c>
      <c r="F43" s="50"/>
      <c r="G43" s="50"/>
      <c r="H43" s="51"/>
      <c r="I43" s="50" t="s">
        <v>260</v>
      </c>
      <c r="J43" s="52" t="s">
        <v>73</v>
      </c>
      <c r="K43" s="47" t="s">
        <v>261</v>
      </c>
      <c r="L43" s="53" t="s">
        <v>262</v>
      </c>
      <c r="M43" s="53"/>
      <c r="N43" s="53"/>
      <c r="O43" s="54"/>
      <c r="P43" s="56" t="s">
        <v>86</v>
      </c>
      <c r="Q43" s="47" t="s">
        <v>263</v>
      </c>
      <c r="R43" s="46"/>
      <c r="S43" s="46"/>
      <c r="T43" s="46"/>
      <c r="U43" s="56"/>
      <c r="V43" s="63">
        <v>0.35</v>
      </c>
      <c r="W43" s="64"/>
      <c r="X43" s="50"/>
      <c r="Y43" s="46"/>
      <c r="Z43" s="46"/>
      <c r="AA43" s="56"/>
      <c r="AB43" s="63"/>
      <c r="AC43" s="52">
        <v>0</v>
      </c>
      <c r="AD43" s="59">
        <f>SUM(AE43:AK43)</f>
        <v>0</v>
      </c>
      <c r="AE43" s="48"/>
      <c r="AF43" s="48"/>
      <c r="AG43" s="48"/>
      <c r="AH43" s="48"/>
      <c r="AI43" s="48"/>
      <c r="AJ43" s="48"/>
      <c r="AK43" s="48"/>
      <c r="AL43" s="52">
        <f>IF((AC43-SUM(AE43:AK43))&lt;0,0,AC43-SUM(AE43:AK43))</f>
        <v>0</v>
      </c>
      <c r="AM43" s="59">
        <f>SUM(AN43:AT43)</f>
        <v>1</v>
      </c>
      <c r="AN43" s="60"/>
      <c r="AO43" s="52"/>
      <c r="AP43" s="52"/>
      <c r="AQ43" s="52"/>
      <c r="AR43" s="52"/>
      <c r="AS43" s="52">
        <v>1</v>
      </c>
      <c r="AT43" s="61"/>
      <c r="AU43" s="48">
        <f>MAX(0,$AM43-$AC43-$AW43)</f>
        <v>1</v>
      </c>
      <c r="AV43" s="48"/>
      <c r="AW43" s="48"/>
      <c r="AX43" s="62">
        <v>0.35</v>
      </c>
      <c r="AY43" s="62">
        <f>IF(AND($AU43&gt;0,ISNUMBER($AX43)),$AU43*$AX43,0)</f>
        <v>0.35</v>
      </c>
      <c r="AZ43" s="46"/>
      <c r="BA43" s="52"/>
      <c r="BB43" s="52"/>
      <c r="BC43" s="52"/>
      <c r="BD43" s="52"/>
      <c r="BE43" s="52"/>
      <c r="BF43" s="52"/>
    </row>
    <row r="44" spans="1:58" ht="15" customHeight="1">
      <c r="A44" s="46" t="s">
        <v>264</v>
      </c>
      <c r="B44" s="47" t="s">
        <v>265</v>
      </c>
      <c r="C44" s="48" t="s">
        <v>118</v>
      </c>
      <c r="D44" s="49">
        <v>2</v>
      </c>
      <c r="E44" s="47" t="s">
        <v>266</v>
      </c>
      <c r="F44" s="50">
        <v>1</v>
      </c>
      <c r="G44" s="50">
        <v>1</v>
      </c>
      <c r="H44" s="51" t="s">
        <v>252</v>
      </c>
      <c r="I44" s="50" t="s">
        <v>267</v>
      </c>
      <c r="J44" s="52" t="s">
        <v>73</v>
      </c>
      <c r="K44" s="47" t="s">
        <v>92</v>
      </c>
      <c r="L44" s="53" t="s">
        <v>268</v>
      </c>
      <c r="M44" s="53"/>
      <c r="N44" s="53"/>
      <c r="O44" s="54"/>
      <c r="P44" s="55" t="s">
        <v>76</v>
      </c>
      <c r="Q44" s="47" t="s">
        <v>224</v>
      </c>
      <c r="R44" s="46"/>
      <c r="S44" s="46"/>
      <c r="T44" s="46"/>
      <c r="U44" s="56"/>
      <c r="V44" s="63">
        <v>0.34</v>
      </c>
      <c r="W44" s="64"/>
      <c r="X44" s="46"/>
      <c r="Y44" s="46"/>
      <c r="Z44" s="46"/>
      <c r="AA44" s="56"/>
      <c r="AB44" s="63"/>
      <c r="AC44" s="52">
        <v>0</v>
      </c>
      <c r="AD44" s="59">
        <f>SUM(AE44:AK44)</f>
        <v>0</v>
      </c>
      <c r="AE44" s="48"/>
      <c r="AF44" s="48"/>
      <c r="AG44" s="48"/>
      <c r="AH44" s="48"/>
      <c r="AI44" s="48"/>
      <c r="AJ44" s="48"/>
      <c r="AK44" s="48"/>
      <c r="AL44" s="52">
        <f>IF((AC44-SUM(AE44:AK44))&lt;0,0,AC44-SUM(AE44:AK44))</f>
        <v>0</v>
      </c>
      <c r="AM44" s="59">
        <f>SUM(AN44:AT44)</f>
        <v>1</v>
      </c>
      <c r="AN44" s="60"/>
      <c r="AO44" s="52"/>
      <c r="AP44" s="52"/>
      <c r="AQ44" s="52"/>
      <c r="AR44" s="52">
        <v>1</v>
      </c>
      <c r="AS44" s="52"/>
      <c r="AT44" s="61"/>
      <c r="AU44" s="48">
        <f>MAX(0,$AM44-$AC44-$AW44)</f>
        <v>1</v>
      </c>
      <c r="AV44" s="48"/>
      <c r="AW44" s="48"/>
      <c r="AX44" s="62">
        <v>0.34</v>
      </c>
      <c r="AY44" s="62">
        <f>IF(AND($AU44&gt;0,ISNUMBER($AX44)),$AU44*$AX44,0)</f>
        <v>0.34</v>
      </c>
      <c r="AZ44" s="46"/>
      <c r="BA44" s="52"/>
      <c r="BB44" s="52"/>
      <c r="BC44" s="52"/>
      <c r="BD44" s="52"/>
      <c r="BE44" s="52"/>
      <c r="BF44" s="52"/>
    </row>
    <row r="45" spans="1:58" ht="15" customHeight="1">
      <c r="A45" s="46" t="s">
        <v>269</v>
      </c>
      <c r="B45" s="47" t="s">
        <v>270</v>
      </c>
      <c r="C45" s="48" t="s">
        <v>109</v>
      </c>
      <c r="D45" s="49">
        <v>2</v>
      </c>
      <c r="E45" s="47" t="s">
        <v>110</v>
      </c>
      <c r="F45" s="50">
        <v>2</v>
      </c>
      <c r="G45" s="50">
        <v>2</v>
      </c>
      <c r="H45" s="51" t="s">
        <v>271</v>
      </c>
      <c r="I45" s="50" t="s">
        <v>272</v>
      </c>
      <c r="J45" s="52" t="s">
        <v>73</v>
      </c>
      <c r="K45" s="47" t="s">
        <v>273</v>
      </c>
      <c r="L45" s="53" t="s">
        <v>85</v>
      </c>
      <c r="M45" s="53"/>
      <c r="N45" s="53"/>
      <c r="O45" s="54"/>
      <c r="P45" s="56" t="s">
        <v>185</v>
      </c>
      <c r="Q45" s="47" t="s">
        <v>274</v>
      </c>
      <c r="R45" s="46"/>
      <c r="S45" s="46"/>
      <c r="T45" s="46"/>
      <c r="U45" s="56"/>
      <c r="V45" s="63">
        <v>0.34</v>
      </c>
      <c r="W45" s="64"/>
      <c r="X45" s="50"/>
      <c r="Y45" s="46"/>
      <c r="Z45" s="46"/>
      <c r="AA45" s="56"/>
      <c r="AB45" s="63"/>
      <c r="AC45" s="52">
        <v>0</v>
      </c>
      <c r="AD45" s="59">
        <f>SUM(AE45:AK45)</f>
        <v>0</v>
      </c>
      <c r="AE45" s="48"/>
      <c r="AF45" s="48"/>
      <c r="AG45" s="48"/>
      <c r="AH45" s="48"/>
      <c r="AI45" s="48"/>
      <c r="AJ45" s="48"/>
      <c r="AK45" s="48"/>
      <c r="AL45" s="52">
        <f>IF((AC45-SUM(AE45:AK45))&lt;0,0,AC45-SUM(AE45:AK45))</f>
        <v>0</v>
      </c>
      <c r="AM45" s="59">
        <f>SUM(AN45:AT45)</f>
        <v>1</v>
      </c>
      <c r="AN45" s="60"/>
      <c r="AO45" s="52"/>
      <c r="AP45" s="52"/>
      <c r="AQ45" s="52"/>
      <c r="AR45" s="52"/>
      <c r="AS45" s="52"/>
      <c r="AT45" s="61">
        <v>1</v>
      </c>
      <c r="AU45" s="48">
        <f>MAX(0,$AM45-$AC45-$AW45)</f>
        <v>1</v>
      </c>
      <c r="AV45" s="48"/>
      <c r="AW45" s="48"/>
      <c r="AX45" s="62">
        <v>0.34</v>
      </c>
      <c r="AY45" s="62">
        <f>IF(AND($AU45&gt;0,ISNUMBER($AX45)),$AU45*$AX45,0)</f>
        <v>0.34</v>
      </c>
      <c r="AZ45" s="46"/>
      <c r="BA45" s="52"/>
      <c r="BB45" s="52"/>
      <c r="BC45" s="52"/>
      <c r="BD45" s="52"/>
      <c r="BE45" s="52"/>
      <c r="BF45" s="52"/>
    </row>
    <row r="46" spans="1:58" ht="15" customHeight="1">
      <c r="A46" s="46" t="s">
        <v>275</v>
      </c>
      <c r="B46" s="47" t="s">
        <v>276</v>
      </c>
      <c r="C46" s="48" t="s">
        <v>101</v>
      </c>
      <c r="D46" s="49">
        <v>2</v>
      </c>
      <c r="E46" s="47" t="s">
        <v>81</v>
      </c>
      <c r="F46" s="50">
        <v>1</v>
      </c>
      <c r="G46" s="50">
        <v>1</v>
      </c>
      <c r="H46" s="51" t="s">
        <v>277</v>
      </c>
      <c r="I46" s="50" t="s">
        <v>278</v>
      </c>
      <c r="J46" s="52" t="s">
        <v>73</v>
      </c>
      <c r="K46" s="47" t="s">
        <v>104</v>
      </c>
      <c r="L46" s="53" t="s">
        <v>279</v>
      </c>
      <c r="M46" s="53"/>
      <c r="N46" s="53"/>
      <c r="O46" s="54"/>
      <c r="P46" s="55" t="s">
        <v>76</v>
      </c>
      <c r="Q46" s="47" t="s">
        <v>93</v>
      </c>
      <c r="R46" s="46"/>
      <c r="S46" s="46"/>
      <c r="T46" s="46"/>
      <c r="U46" s="56"/>
      <c r="V46" s="63">
        <v>0.34</v>
      </c>
      <c r="W46" s="64"/>
      <c r="X46" s="46"/>
      <c r="Y46" s="46"/>
      <c r="Z46" s="46"/>
      <c r="AA46" s="56"/>
      <c r="AB46" s="63"/>
      <c r="AC46" s="52">
        <v>0</v>
      </c>
      <c r="AD46" s="59">
        <f>SUM(AE46:AK46)</f>
        <v>0</v>
      </c>
      <c r="AE46" s="48"/>
      <c r="AF46" s="48"/>
      <c r="AG46" s="48"/>
      <c r="AH46" s="48"/>
      <c r="AI46" s="48"/>
      <c r="AJ46" s="48"/>
      <c r="AK46" s="48"/>
      <c r="AL46" s="52">
        <f>IF((AC46-SUM(AE46:AK46))&lt;0,0,AC46-SUM(AE46:AK46))</f>
        <v>0</v>
      </c>
      <c r="AM46" s="59">
        <f>SUM(AN46:AT46)</f>
        <v>1</v>
      </c>
      <c r="AN46" s="60"/>
      <c r="AO46" s="52">
        <v>1</v>
      </c>
      <c r="AP46" s="52"/>
      <c r="AQ46" s="52"/>
      <c r="AR46" s="52"/>
      <c r="AS46" s="52"/>
      <c r="AT46" s="61"/>
      <c r="AU46" s="48">
        <f>MAX(0,$AM46-$AC46-$AW46)</f>
        <v>1</v>
      </c>
      <c r="AV46" s="48"/>
      <c r="AW46" s="48"/>
      <c r="AX46" s="62">
        <v>0.34</v>
      </c>
      <c r="AY46" s="62">
        <f>IF(AND($AU46&gt;0,ISNUMBER($AX46)),$AU46*$AX46,0)</f>
        <v>0.34</v>
      </c>
      <c r="AZ46" s="46"/>
      <c r="BA46" s="52"/>
      <c r="BB46" s="52"/>
      <c r="BC46" s="52"/>
      <c r="BD46" s="52"/>
      <c r="BE46" s="52"/>
      <c r="BF46" s="52"/>
    </row>
    <row r="47" spans="1:58" ht="15" customHeight="1">
      <c r="A47" s="46" t="s">
        <v>280</v>
      </c>
      <c r="B47" s="47" t="s">
        <v>281</v>
      </c>
      <c r="C47" s="48" t="s">
        <v>80</v>
      </c>
      <c r="D47" s="49">
        <v>1</v>
      </c>
      <c r="E47" s="47" t="s">
        <v>81</v>
      </c>
      <c r="F47" s="50">
        <v>2</v>
      </c>
      <c r="G47" s="50">
        <v>1</v>
      </c>
      <c r="H47" s="51" t="s">
        <v>90</v>
      </c>
      <c r="I47" s="50" t="s">
        <v>282</v>
      </c>
      <c r="J47" s="52" t="s">
        <v>73</v>
      </c>
      <c r="K47" s="47" t="s">
        <v>202</v>
      </c>
      <c r="L47" s="53" t="s">
        <v>136</v>
      </c>
      <c r="M47" s="53"/>
      <c r="N47" s="53"/>
      <c r="O47" s="54"/>
      <c r="P47" s="56" t="s">
        <v>185</v>
      </c>
      <c r="Q47" s="47" t="s">
        <v>283</v>
      </c>
      <c r="R47" s="46"/>
      <c r="S47" s="46"/>
      <c r="T47" s="46"/>
      <c r="U47" s="56"/>
      <c r="V47" s="63">
        <v>0.32</v>
      </c>
      <c r="W47" s="64"/>
      <c r="X47" s="50"/>
      <c r="Y47" s="46"/>
      <c r="Z47" s="46"/>
      <c r="AA47" s="56"/>
      <c r="AB47" s="63"/>
      <c r="AC47" s="52">
        <v>0</v>
      </c>
      <c r="AD47" s="59">
        <f>SUM(AE47:AK47)</f>
        <v>0</v>
      </c>
      <c r="AE47" s="48"/>
      <c r="AF47" s="48"/>
      <c r="AG47" s="48"/>
      <c r="AH47" s="48"/>
      <c r="AI47" s="48"/>
      <c r="AJ47" s="48"/>
      <c r="AK47" s="48"/>
      <c r="AL47" s="52">
        <f>IF((AC47-SUM(AE47:AK47))&lt;0,0,AC47-SUM(AE47:AK47))</f>
        <v>0</v>
      </c>
      <c r="AM47" s="59">
        <f>SUM(AN47:AT47)</f>
        <v>1</v>
      </c>
      <c r="AN47" s="60"/>
      <c r="AO47" s="52"/>
      <c r="AP47" s="52"/>
      <c r="AQ47" s="52"/>
      <c r="AR47" s="52"/>
      <c r="AS47" s="52"/>
      <c r="AT47" s="61">
        <v>1</v>
      </c>
      <c r="AU47" s="48">
        <f>MAX(0,$AM47-$AC47-$AW47)</f>
        <v>1</v>
      </c>
      <c r="AV47" s="48"/>
      <c r="AW47" s="48"/>
      <c r="AX47" s="62">
        <v>0.32</v>
      </c>
      <c r="AY47" s="62">
        <f>IF(AND($AU47&gt;0,ISNUMBER($AX47)),$AU47*$AX47,0)</f>
        <v>0.32</v>
      </c>
      <c r="AZ47" s="46"/>
      <c r="BA47" s="52"/>
      <c r="BB47" s="52"/>
      <c r="BC47" s="52"/>
      <c r="BD47" s="52"/>
      <c r="BE47" s="52"/>
      <c r="BF47" s="52"/>
    </row>
    <row r="48" spans="1:58" ht="15" customHeight="1">
      <c r="A48" s="46" t="s">
        <v>284</v>
      </c>
      <c r="B48" s="47" t="s">
        <v>285</v>
      </c>
      <c r="C48" s="48" t="s">
        <v>101</v>
      </c>
      <c r="D48" s="49">
        <v>3</v>
      </c>
      <c r="E48" s="47" t="s">
        <v>81</v>
      </c>
      <c r="F48" s="50">
        <v>3</v>
      </c>
      <c r="G48" s="50">
        <v>2</v>
      </c>
      <c r="H48" s="51" t="s">
        <v>286</v>
      </c>
      <c r="I48" s="50" t="s">
        <v>287</v>
      </c>
      <c r="J48" s="52" t="s">
        <v>73</v>
      </c>
      <c r="K48" s="47" t="s">
        <v>92</v>
      </c>
      <c r="L48" s="53" t="s">
        <v>288</v>
      </c>
      <c r="M48" s="53"/>
      <c r="N48" s="53"/>
      <c r="O48" s="54"/>
      <c r="P48" s="56" t="s">
        <v>86</v>
      </c>
      <c r="Q48" s="47" t="s">
        <v>263</v>
      </c>
      <c r="R48" s="46"/>
      <c r="S48" s="46"/>
      <c r="T48" s="46"/>
      <c r="U48" s="56"/>
      <c r="V48" s="63">
        <v>0.32</v>
      </c>
      <c r="W48" s="64"/>
      <c r="X48" s="50"/>
      <c r="Y48" s="46"/>
      <c r="Z48" s="46"/>
      <c r="AA48" s="56"/>
      <c r="AB48" s="63"/>
      <c r="AC48" s="52">
        <v>0</v>
      </c>
      <c r="AD48" s="59">
        <f>SUM(AE48:AK48)</f>
        <v>0</v>
      </c>
      <c r="AE48" s="48"/>
      <c r="AF48" s="48"/>
      <c r="AG48" s="48"/>
      <c r="AH48" s="48"/>
      <c r="AI48" s="48"/>
      <c r="AJ48" s="48"/>
      <c r="AK48" s="48"/>
      <c r="AL48" s="52">
        <f>IF((AC48-SUM(AE48:AK48))&lt;0,0,AC48-SUM(AE48:AK48))</f>
        <v>0</v>
      </c>
      <c r="AM48" s="59">
        <f>SUM(AN48:AT48)</f>
        <v>1</v>
      </c>
      <c r="AN48" s="60"/>
      <c r="AO48" s="52">
        <v>1</v>
      </c>
      <c r="AP48" s="52"/>
      <c r="AQ48" s="52"/>
      <c r="AR48" s="52"/>
      <c r="AS48" s="52"/>
      <c r="AT48" s="61"/>
      <c r="AU48" s="48">
        <f>MAX(0,$AM48-$AC48-$AW48)</f>
        <v>1</v>
      </c>
      <c r="AV48" s="48"/>
      <c r="AW48" s="48"/>
      <c r="AX48" s="62">
        <v>0.32</v>
      </c>
      <c r="AY48" s="62">
        <f>IF(AND($AU48&gt;0,ISNUMBER($AX48)),$AU48*$AX48,0)</f>
        <v>0.32</v>
      </c>
      <c r="AZ48" s="46"/>
      <c r="BA48" s="52"/>
      <c r="BB48" s="52"/>
      <c r="BC48" s="52"/>
      <c r="BD48" s="52"/>
      <c r="BE48" s="52"/>
      <c r="BF48" s="52"/>
    </row>
    <row r="49" spans="1:58" ht="15" customHeight="1">
      <c r="A49" s="46" t="s">
        <v>289</v>
      </c>
      <c r="B49" s="47" t="s">
        <v>290</v>
      </c>
      <c r="C49" s="48" t="s">
        <v>80</v>
      </c>
      <c r="D49" s="49">
        <v>2</v>
      </c>
      <c r="E49" s="47" t="s">
        <v>81</v>
      </c>
      <c r="F49" s="50">
        <v>2</v>
      </c>
      <c r="G49" s="50">
        <v>1</v>
      </c>
      <c r="H49" s="51" t="s">
        <v>205</v>
      </c>
      <c r="I49" s="50" t="s">
        <v>291</v>
      </c>
      <c r="J49" s="52" t="s">
        <v>73</v>
      </c>
      <c r="K49" s="47" t="s">
        <v>74</v>
      </c>
      <c r="L49" s="53" t="s">
        <v>292</v>
      </c>
      <c r="M49" s="53"/>
      <c r="N49" s="53"/>
      <c r="O49" s="54"/>
      <c r="P49" s="56" t="s">
        <v>185</v>
      </c>
      <c r="Q49" s="47" t="s">
        <v>293</v>
      </c>
      <c r="R49" s="46"/>
      <c r="S49" s="46"/>
      <c r="T49" s="46"/>
      <c r="U49" s="56"/>
      <c r="V49" s="63">
        <v>0.32</v>
      </c>
      <c r="W49" s="64"/>
      <c r="X49" s="50"/>
      <c r="Y49" s="46"/>
      <c r="Z49" s="46"/>
      <c r="AA49" s="56"/>
      <c r="AB49" s="63"/>
      <c r="AC49" s="52">
        <v>0</v>
      </c>
      <c r="AD49" s="59">
        <f>SUM(AE49:AK49)</f>
        <v>0</v>
      </c>
      <c r="AE49" s="48"/>
      <c r="AF49" s="48"/>
      <c r="AG49" s="48"/>
      <c r="AH49" s="48"/>
      <c r="AI49" s="48"/>
      <c r="AJ49" s="48"/>
      <c r="AK49" s="48"/>
      <c r="AL49" s="52">
        <f>IF((AC49-SUM(AE49:AK49))&lt;0,0,AC49-SUM(AE49:AK49))</f>
        <v>0</v>
      </c>
      <c r="AM49" s="59">
        <f>SUM(AN49:AT49)</f>
        <v>1</v>
      </c>
      <c r="AN49" s="60"/>
      <c r="AO49" s="52">
        <v>1</v>
      </c>
      <c r="AP49" s="52"/>
      <c r="AQ49" s="52"/>
      <c r="AR49" s="52"/>
      <c r="AS49" s="52"/>
      <c r="AT49" s="61"/>
      <c r="AU49" s="48">
        <f>MAX(0,$AM49-$AC49-$AW49)</f>
        <v>1</v>
      </c>
      <c r="AV49" s="48"/>
      <c r="AW49" s="48"/>
      <c r="AX49" s="62">
        <v>0.32</v>
      </c>
      <c r="AY49" s="62">
        <f>IF(AND($AU49&gt;0,ISNUMBER($AX49)),$AU49*$AX49,0)</f>
        <v>0.32</v>
      </c>
      <c r="AZ49" s="46"/>
      <c r="BA49" s="52"/>
      <c r="BB49" s="52"/>
      <c r="BC49" s="52"/>
      <c r="BD49" s="52"/>
      <c r="BE49" s="52"/>
      <c r="BF49" s="52"/>
    </row>
    <row r="50" spans="1:58" ht="15" customHeight="1">
      <c r="A50" s="46" t="s">
        <v>294</v>
      </c>
      <c r="B50" s="47" t="s">
        <v>295</v>
      </c>
      <c r="C50" s="48" t="s">
        <v>118</v>
      </c>
      <c r="D50" s="49">
        <v>3</v>
      </c>
      <c r="E50" s="47" t="s">
        <v>81</v>
      </c>
      <c r="F50" s="50">
        <v>1</v>
      </c>
      <c r="G50" s="50">
        <v>1</v>
      </c>
      <c r="H50" s="51" t="s">
        <v>296</v>
      </c>
      <c r="I50" s="50" t="s">
        <v>297</v>
      </c>
      <c r="J50" s="52" t="s">
        <v>73</v>
      </c>
      <c r="K50" s="47" t="s">
        <v>129</v>
      </c>
      <c r="L50" s="53" t="s">
        <v>298</v>
      </c>
      <c r="M50" s="53"/>
      <c r="N50" s="53"/>
      <c r="O50" s="54"/>
      <c r="P50" s="56" t="s">
        <v>86</v>
      </c>
      <c r="Q50" s="47" t="s">
        <v>299</v>
      </c>
      <c r="R50" s="46"/>
      <c r="S50" s="46"/>
      <c r="T50" s="46"/>
      <c r="U50" s="56"/>
      <c r="V50" s="63">
        <v>0.32</v>
      </c>
      <c r="W50" s="64"/>
      <c r="X50" s="50"/>
      <c r="Y50" s="46"/>
      <c r="Z50" s="46"/>
      <c r="AA50" s="56"/>
      <c r="AB50" s="63"/>
      <c r="AC50" s="52">
        <v>0</v>
      </c>
      <c r="AD50" s="59">
        <f>SUM(AE50:AK50)</f>
        <v>0</v>
      </c>
      <c r="AE50" s="48"/>
      <c r="AF50" s="48"/>
      <c r="AG50" s="48"/>
      <c r="AH50" s="48"/>
      <c r="AI50" s="48"/>
      <c r="AJ50" s="48"/>
      <c r="AK50" s="48"/>
      <c r="AL50" s="52">
        <f>IF((AC50-SUM(AE50:AK50))&lt;0,0,AC50-SUM(AE50:AK50))</f>
        <v>0</v>
      </c>
      <c r="AM50" s="59">
        <f>SUM(AN50:AT50)</f>
        <v>1</v>
      </c>
      <c r="AN50" s="60"/>
      <c r="AO50" s="52">
        <v>1</v>
      </c>
      <c r="AP50" s="52"/>
      <c r="AQ50" s="52"/>
      <c r="AR50" s="52"/>
      <c r="AS50" s="52"/>
      <c r="AT50" s="61"/>
      <c r="AU50" s="48">
        <f>MAX(0,$AM50-$AC50-$AW50)</f>
        <v>1</v>
      </c>
      <c r="AV50" s="48"/>
      <c r="AW50" s="48"/>
      <c r="AX50" s="62">
        <v>0.32</v>
      </c>
      <c r="AY50" s="62">
        <f>IF(AND($AU50&gt;0,ISNUMBER($AX50)),$AU50*$AX50,0)</f>
        <v>0.32</v>
      </c>
      <c r="AZ50" s="46"/>
      <c r="BA50" s="52"/>
      <c r="BB50" s="52"/>
      <c r="BC50" s="52"/>
      <c r="BD50" s="52"/>
      <c r="BE50" s="52"/>
      <c r="BF50" s="52"/>
    </row>
    <row r="51" spans="1:58" ht="15" customHeight="1">
      <c r="A51" s="46" t="s">
        <v>300</v>
      </c>
      <c r="B51" s="47" t="s">
        <v>301</v>
      </c>
      <c r="C51" s="48" t="s">
        <v>101</v>
      </c>
      <c r="D51" s="49">
        <v>1</v>
      </c>
      <c r="E51" s="47" t="s">
        <v>81</v>
      </c>
      <c r="F51" s="50">
        <v>1</v>
      </c>
      <c r="G51" s="50">
        <v>2</v>
      </c>
      <c r="H51" s="51" t="s">
        <v>302</v>
      </c>
      <c r="I51" s="50" t="s">
        <v>303</v>
      </c>
      <c r="J51" s="52" t="s">
        <v>73</v>
      </c>
      <c r="K51" s="47" t="s">
        <v>104</v>
      </c>
      <c r="L51" s="53" t="s">
        <v>304</v>
      </c>
      <c r="M51" s="53"/>
      <c r="N51" s="53"/>
      <c r="O51" s="54"/>
      <c r="P51" s="55" t="s">
        <v>76</v>
      </c>
      <c r="Q51" s="47" t="s">
        <v>305</v>
      </c>
      <c r="R51" s="46"/>
      <c r="S51" s="46"/>
      <c r="T51" s="46"/>
      <c r="U51" s="56"/>
      <c r="V51" s="63">
        <v>0.3</v>
      </c>
      <c r="W51" s="64"/>
      <c r="X51" s="46"/>
      <c r="Y51" s="46"/>
      <c r="Z51" s="46"/>
      <c r="AA51" s="56"/>
      <c r="AB51" s="63"/>
      <c r="AC51" s="52">
        <v>0</v>
      </c>
      <c r="AD51" s="59">
        <f>SUM(AE51:AK51)</f>
        <v>0</v>
      </c>
      <c r="AE51" s="48"/>
      <c r="AF51" s="48"/>
      <c r="AG51" s="48"/>
      <c r="AH51" s="48"/>
      <c r="AI51" s="48"/>
      <c r="AJ51" s="48"/>
      <c r="AK51" s="48"/>
      <c r="AL51" s="52">
        <f>IF((AC51-SUM(AE51:AK51))&lt;0,0,AC51-SUM(AE51:AK51))</f>
        <v>0</v>
      </c>
      <c r="AM51" s="59">
        <f>SUM(AN51:AT51)</f>
        <v>1</v>
      </c>
      <c r="AN51" s="60"/>
      <c r="AO51" s="52"/>
      <c r="AP51" s="52"/>
      <c r="AQ51" s="52"/>
      <c r="AR51" s="52"/>
      <c r="AS51" s="52"/>
      <c r="AT51" s="61">
        <v>1</v>
      </c>
      <c r="AU51" s="48">
        <f>MAX(0,$AM51-$AC51-$AW51)</f>
        <v>1</v>
      </c>
      <c r="AV51" s="48"/>
      <c r="AW51" s="48"/>
      <c r="AX51" s="62">
        <v>0.3</v>
      </c>
      <c r="AY51" s="62">
        <f>IF(AND($AU51&gt;0,ISNUMBER($AX51)),$AU51*$AX51,0)</f>
        <v>0.3</v>
      </c>
      <c r="AZ51" s="46"/>
      <c r="BA51" s="52"/>
      <c r="BB51" s="52"/>
      <c r="BC51" s="52"/>
      <c r="BD51" s="52"/>
      <c r="BE51" s="52"/>
      <c r="BF51" s="52"/>
    </row>
    <row r="52" spans="1:58" ht="15" customHeight="1">
      <c r="A52" s="46" t="s">
        <v>306</v>
      </c>
      <c r="B52" s="47" t="s">
        <v>307</v>
      </c>
      <c r="C52" s="48" t="s">
        <v>101</v>
      </c>
      <c r="D52" s="49">
        <v>3</v>
      </c>
      <c r="E52" s="47" t="s">
        <v>81</v>
      </c>
      <c r="F52" s="50">
        <v>2</v>
      </c>
      <c r="G52" s="50">
        <v>2</v>
      </c>
      <c r="H52" s="51" t="s">
        <v>102</v>
      </c>
      <c r="I52" s="50" t="s">
        <v>308</v>
      </c>
      <c r="J52" s="52" t="s">
        <v>73</v>
      </c>
      <c r="K52" s="47" t="s">
        <v>92</v>
      </c>
      <c r="L52" s="53" t="s">
        <v>268</v>
      </c>
      <c r="M52" s="53"/>
      <c r="N52" s="53"/>
      <c r="O52" s="54"/>
      <c r="P52" s="55" t="s">
        <v>76</v>
      </c>
      <c r="Q52" s="47" t="s">
        <v>256</v>
      </c>
      <c r="R52" s="46"/>
      <c r="S52" s="46"/>
      <c r="T52" s="46"/>
      <c r="U52" s="56"/>
      <c r="V52" s="63">
        <v>0.28999999999999998</v>
      </c>
      <c r="W52" s="64"/>
      <c r="X52" s="46"/>
      <c r="Y52" s="46"/>
      <c r="Z52" s="46"/>
      <c r="AA52" s="56"/>
      <c r="AB52" s="63"/>
      <c r="AC52" s="52">
        <v>0</v>
      </c>
      <c r="AD52" s="59">
        <f>SUM(AE52:AK52)</f>
        <v>0</v>
      </c>
      <c r="AE52" s="48"/>
      <c r="AF52" s="48"/>
      <c r="AG52" s="48"/>
      <c r="AH52" s="48"/>
      <c r="AI52" s="48"/>
      <c r="AJ52" s="48"/>
      <c r="AK52" s="48"/>
      <c r="AL52" s="52">
        <f>IF((AC52-SUM(AE52:AK52))&lt;0,0,AC52-SUM(AE52:AK52))</f>
        <v>0</v>
      </c>
      <c r="AM52" s="59">
        <f>SUM(AN52:AT52)</f>
        <v>1</v>
      </c>
      <c r="AN52" s="60"/>
      <c r="AO52" s="52"/>
      <c r="AP52" s="52"/>
      <c r="AQ52" s="52"/>
      <c r="AR52" s="52"/>
      <c r="AS52" s="52"/>
      <c r="AT52" s="61">
        <v>1</v>
      </c>
      <c r="AU52" s="48">
        <f>MAX(0,$AM52-$AC52-$AW52)</f>
        <v>1</v>
      </c>
      <c r="AV52" s="48"/>
      <c r="AW52" s="48"/>
      <c r="AX52" s="62">
        <v>0.28999999999999998</v>
      </c>
      <c r="AY52" s="62">
        <f>IF(AND($AU52&gt;0,ISNUMBER($AX52)),$AU52*$AX52,0)</f>
        <v>0.28999999999999998</v>
      </c>
      <c r="AZ52" s="46"/>
      <c r="BA52" s="52"/>
      <c r="BB52" s="52"/>
      <c r="BC52" s="52"/>
      <c r="BD52" s="52"/>
      <c r="BE52" s="52"/>
      <c r="BF52" s="52"/>
    </row>
    <row r="53" spans="1:58" ht="15" customHeight="1">
      <c r="A53" s="46" t="s">
        <v>309</v>
      </c>
      <c r="B53" s="47" t="s">
        <v>310</v>
      </c>
      <c r="C53" s="48" t="s">
        <v>311</v>
      </c>
      <c r="D53" s="49">
        <v>0</v>
      </c>
      <c r="E53" s="47" t="s">
        <v>312</v>
      </c>
      <c r="F53" s="50"/>
      <c r="G53" s="50"/>
      <c r="H53" s="51" t="s">
        <v>313</v>
      </c>
      <c r="I53" s="50" t="s">
        <v>314</v>
      </c>
      <c r="J53" s="52" t="s">
        <v>73</v>
      </c>
      <c r="K53" s="47" t="s">
        <v>312</v>
      </c>
      <c r="L53" s="53" t="s">
        <v>315</v>
      </c>
      <c r="M53" s="53"/>
      <c r="N53" s="53"/>
      <c r="O53" s="54"/>
      <c r="P53" s="56" t="s">
        <v>86</v>
      </c>
      <c r="Q53" s="47" t="s">
        <v>192</v>
      </c>
      <c r="R53" s="46"/>
      <c r="S53" s="46"/>
      <c r="T53" s="46"/>
      <c r="U53" s="56"/>
      <c r="V53" s="63">
        <v>0.28999999999999998</v>
      </c>
      <c r="W53" s="64"/>
      <c r="X53" s="50"/>
      <c r="Y53" s="46"/>
      <c r="Z53" s="46"/>
      <c r="AA53" s="56"/>
      <c r="AB53" s="63"/>
      <c r="AC53" s="52">
        <v>0</v>
      </c>
      <c r="AD53" s="59">
        <f>SUM(AE53:AK53)</f>
        <v>0</v>
      </c>
      <c r="AE53" s="48"/>
      <c r="AF53" s="48"/>
      <c r="AG53" s="48"/>
      <c r="AH53" s="48"/>
      <c r="AI53" s="48"/>
      <c r="AJ53" s="48"/>
      <c r="AK53" s="48"/>
      <c r="AL53" s="52">
        <f>IF((AC53-SUM(AE53:AK53))&lt;0,0,AC53-SUM(AE53:AK53))</f>
        <v>0</v>
      </c>
      <c r="AM53" s="59">
        <f>SUM(AN53:AT53)</f>
        <v>1</v>
      </c>
      <c r="AN53" s="60"/>
      <c r="AO53" s="52">
        <v>1</v>
      </c>
      <c r="AP53" s="52"/>
      <c r="AQ53" s="52"/>
      <c r="AR53" s="52"/>
      <c r="AS53" s="52"/>
      <c r="AT53" s="61"/>
      <c r="AU53" s="48">
        <f>MAX(0,$AM53-$AC53-$AW53)</f>
        <v>1</v>
      </c>
      <c r="AV53" s="48"/>
      <c r="AW53" s="48"/>
      <c r="AX53" s="62">
        <v>0.28999999999999998</v>
      </c>
      <c r="AY53" s="62">
        <f>IF(AND($AU53&gt;0,ISNUMBER($AX53)),$AU53*$AX53,0)</f>
        <v>0.28999999999999998</v>
      </c>
      <c r="AZ53" s="46"/>
      <c r="BA53" s="52"/>
      <c r="BB53" s="52"/>
      <c r="BC53" s="52"/>
      <c r="BD53" s="52"/>
      <c r="BE53" s="52"/>
      <c r="BF53" s="52"/>
    </row>
    <row r="54" spans="1:58" ht="15" customHeight="1">
      <c r="A54" s="46" t="s">
        <v>316</v>
      </c>
      <c r="B54" s="47" t="s">
        <v>317</v>
      </c>
      <c r="C54" s="48" t="s">
        <v>70</v>
      </c>
      <c r="D54" s="49">
        <v>2</v>
      </c>
      <c r="E54" s="47" t="s">
        <v>81</v>
      </c>
      <c r="F54" s="50">
        <v>2</v>
      </c>
      <c r="G54" s="50">
        <v>2</v>
      </c>
      <c r="H54" s="51" t="s">
        <v>318</v>
      </c>
      <c r="I54" s="50" t="s">
        <v>319</v>
      </c>
      <c r="J54" s="52" t="s">
        <v>73</v>
      </c>
      <c r="K54" s="47" t="s">
        <v>135</v>
      </c>
      <c r="L54" s="53" t="s">
        <v>320</v>
      </c>
      <c r="M54" s="53"/>
      <c r="N54" s="53"/>
      <c r="O54" s="54"/>
      <c r="P54" s="56" t="s">
        <v>185</v>
      </c>
      <c r="Q54" s="47" t="s">
        <v>106</v>
      </c>
      <c r="R54" s="46"/>
      <c r="S54" s="46"/>
      <c r="T54" s="46"/>
      <c r="U54" s="56"/>
      <c r="V54" s="63">
        <v>0.27</v>
      </c>
      <c r="W54" s="64"/>
      <c r="X54" s="50"/>
      <c r="Y54" s="46"/>
      <c r="Z54" s="46"/>
      <c r="AA54" s="56"/>
      <c r="AB54" s="63"/>
      <c r="AC54" s="52">
        <v>0</v>
      </c>
      <c r="AD54" s="59">
        <f>SUM(AE54:AK54)</f>
        <v>0</v>
      </c>
      <c r="AE54" s="48"/>
      <c r="AF54" s="48"/>
      <c r="AG54" s="48"/>
      <c r="AH54" s="48"/>
      <c r="AI54" s="48"/>
      <c r="AJ54" s="48"/>
      <c r="AK54" s="48"/>
      <c r="AL54" s="52">
        <f>IF((AC54-SUM(AE54:AK54))&lt;0,0,AC54-SUM(AE54:AK54))</f>
        <v>0</v>
      </c>
      <c r="AM54" s="59">
        <f>SUM(AN54:AT54)</f>
        <v>1</v>
      </c>
      <c r="AN54" s="60"/>
      <c r="AO54" s="52"/>
      <c r="AP54" s="52"/>
      <c r="AQ54" s="52"/>
      <c r="AR54" s="52"/>
      <c r="AS54" s="52">
        <v>1</v>
      </c>
      <c r="AT54" s="61"/>
      <c r="AU54" s="48">
        <f>MAX(0,$AM54-$AC54-$AW54)</f>
        <v>1</v>
      </c>
      <c r="AV54" s="48"/>
      <c r="AW54" s="48"/>
      <c r="AX54" s="62">
        <v>0.27</v>
      </c>
      <c r="AY54" s="62">
        <f>IF(AND($AU54&gt;0,ISNUMBER($AX54)),$AU54*$AX54,0)</f>
        <v>0.27</v>
      </c>
      <c r="AZ54" s="46"/>
      <c r="BA54" s="52"/>
      <c r="BB54" s="52"/>
      <c r="BC54" s="52"/>
      <c r="BD54" s="52"/>
      <c r="BE54" s="52"/>
      <c r="BF54" s="52"/>
    </row>
    <row r="55" spans="1:58" ht="15" customHeight="1">
      <c r="A55" s="46" t="s">
        <v>321</v>
      </c>
      <c r="B55" s="47" t="s">
        <v>322</v>
      </c>
      <c r="C55" s="48" t="s">
        <v>109</v>
      </c>
      <c r="D55" s="49">
        <v>3</v>
      </c>
      <c r="E55" s="47" t="s">
        <v>81</v>
      </c>
      <c r="F55" s="50">
        <v>3</v>
      </c>
      <c r="G55" s="50">
        <v>1</v>
      </c>
      <c r="H55" s="51" t="s">
        <v>90</v>
      </c>
      <c r="I55" s="50" t="s">
        <v>323</v>
      </c>
      <c r="J55" s="52" t="s">
        <v>73</v>
      </c>
      <c r="K55" s="47" t="s">
        <v>152</v>
      </c>
      <c r="L55" s="53" t="s">
        <v>136</v>
      </c>
      <c r="M55" s="53"/>
      <c r="N55" s="53"/>
      <c r="O55" s="54"/>
      <c r="P55" s="56" t="s">
        <v>185</v>
      </c>
      <c r="Q55" s="47" t="s">
        <v>324</v>
      </c>
      <c r="R55" s="46"/>
      <c r="S55" s="46"/>
      <c r="T55" s="46"/>
      <c r="U55" s="56"/>
      <c r="V55" s="63">
        <v>0.26</v>
      </c>
      <c r="W55" s="64"/>
      <c r="X55" s="50"/>
      <c r="Y55" s="46"/>
      <c r="Z55" s="46"/>
      <c r="AA55" s="56"/>
      <c r="AB55" s="63"/>
      <c r="AC55" s="52">
        <v>0</v>
      </c>
      <c r="AD55" s="59">
        <f>SUM(AE55:AK55)</f>
        <v>0</v>
      </c>
      <c r="AE55" s="48"/>
      <c r="AF55" s="48"/>
      <c r="AG55" s="48"/>
      <c r="AH55" s="48"/>
      <c r="AI55" s="48"/>
      <c r="AJ55" s="48"/>
      <c r="AK55" s="48"/>
      <c r="AL55" s="52">
        <f>IF((AC55-SUM(AE55:AK55))&lt;0,0,AC55-SUM(AE55:AK55))</f>
        <v>0</v>
      </c>
      <c r="AM55" s="59">
        <f>SUM(AN55:AT55)</f>
        <v>1</v>
      </c>
      <c r="AN55" s="60"/>
      <c r="AO55" s="52"/>
      <c r="AP55" s="52"/>
      <c r="AQ55" s="52"/>
      <c r="AR55" s="52"/>
      <c r="AS55" s="52"/>
      <c r="AT55" s="61">
        <v>1</v>
      </c>
      <c r="AU55" s="48">
        <f>MAX(0,$AM55-$AC55-$AW55)</f>
        <v>1</v>
      </c>
      <c r="AV55" s="48"/>
      <c r="AW55" s="48"/>
      <c r="AX55" s="62">
        <v>0.26</v>
      </c>
      <c r="AY55" s="62">
        <f>IF(AND($AU55&gt;0,ISNUMBER($AX55)),$AU55*$AX55,0)</f>
        <v>0.26</v>
      </c>
      <c r="AZ55" s="46"/>
      <c r="BA55" s="52"/>
      <c r="BB55" s="52"/>
      <c r="BC55" s="52"/>
      <c r="BD55" s="52"/>
      <c r="BE55" s="52"/>
      <c r="BF55" s="52"/>
    </row>
    <row r="56" spans="1:58" ht="15" customHeight="1">
      <c r="A56" s="46" t="s">
        <v>325</v>
      </c>
      <c r="B56" s="47" t="s">
        <v>326</v>
      </c>
      <c r="C56" s="48" t="s">
        <v>101</v>
      </c>
      <c r="D56" s="49">
        <v>3</v>
      </c>
      <c r="E56" s="47" t="s">
        <v>81</v>
      </c>
      <c r="F56" s="50">
        <v>1</v>
      </c>
      <c r="G56" s="50">
        <v>1</v>
      </c>
      <c r="H56" s="51" t="s">
        <v>102</v>
      </c>
      <c r="I56" s="50" t="s">
        <v>327</v>
      </c>
      <c r="J56" s="52" t="s">
        <v>73</v>
      </c>
      <c r="K56" s="47" t="s">
        <v>104</v>
      </c>
      <c r="L56" s="53" t="s">
        <v>328</v>
      </c>
      <c r="M56" s="53"/>
      <c r="N56" s="53"/>
      <c r="O56" s="54"/>
      <c r="P56" s="55" t="s">
        <v>76</v>
      </c>
      <c r="Q56" s="47" t="s">
        <v>329</v>
      </c>
      <c r="R56" s="46"/>
      <c r="S56" s="46"/>
      <c r="T56" s="46"/>
      <c r="U56" s="56"/>
      <c r="V56" s="63">
        <v>0.26</v>
      </c>
      <c r="W56" s="64"/>
      <c r="X56" s="46"/>
      <c r="Y56" s="46"/>
      <c r="Z56" s="46"/>
      <c r="AA56" s="56"/>
      <c r="AB56" s="63"/>
      <c r="AC56" s="52">
        <v>0</v>
      </c>
      <c r="AD56" s="59">
        <f>SUM(AE56:AK56)</f>
        <v>0</v>
      </c>
      <c r="AE56" s="48"/>
      <c r="AF56" s="48"/>
      <c r="AG56" s="48"/>
      <c r="AH56" s="48"/>
      <c r="AI56" s="48"/>
      <c r="AJ56" s="48"/>
      <c r="AK56" s="48"/>
      <c r="AL56" s="52">
        <f>IF((AC56-SUM(AE56:AK56))&lt;0,0,AC56-SUM(AE56:AK56))</f>
        <v>0</v>
      </c>
      <c r="AM56" s="59">
        <f>SUM(AN56:AT56)</f>
        <v>1</v>
      </c>
      <c r="AN56" s="60"/>
      <c r="AO56" s="52">
        <v>1</v>
      </c>
      <c r="AP56" s="52"/>
      <c r="AQ56" s="52"/>
      <c r="AR56" s="52"/>
      <c r="AS56" s="52"/>
      <c r="AT56" s="61"/>
      <c r="AU56" s="48">
        <f>MAX(0,$AM56-$AC56-$AW56)</f>
        <v>1</v>
      </c>
      <c r="AV56" s="48"/>
      <c r="AW56" s="48"/>
      <c r="AX56" s="62">
        <v>0.26</v>
      </c>
      <c r="AY56" s="62">
        <f>IF(AND($AU56&gt;0,ISNUMBER($AX56)),$AU56*$AX56,0)</f>
        <v>0.26</v>
      </c>
      <c r="AZ56" s="46"/>
      <c r="BA56" s="52"/>
      <c r="BB56" s="52"/>
      <c r="BC56" s="52"/>
      <c r="BD56" s="52"/>
      <c r="BE56" s="52"/>
      <c r="BF56" s="52"/>
    </row>
    <row r="57" spans="1:58" ht="15" customHeight="1">
      <c r="A57" s="46" t="s">
        <v>330</v>
      </c>
      <c r="B57" s="47" t="s">
        <v>331</v>
      </c>
      <c r="C57" s="48" t="s">
        <v>181</v>
      </c>
      <c r="D57" s="49">
        <v>1</v>
      </c>
      <c r="E57" s="47" t="s">
        <v>332</v>
      </c>
      <c r="F57" s="50"/>
      <c r="G57" s="50"/>
      <c r="H57" s="51" t="s">
        <v>227</v>
      </c>
      <c r="I57" s="50" t="s">
        <v>333</v>
      </c>
      <c r="J57" s="52" t="s">
        <v>73</v>
      </c>
      <c r="K57" s="47" t="s">
        <v>135</v>
      </c>
      <c r="L57" s="53" t="s">
        <v>334</v>
      </c>
      <c r="M57" s="53"/>
      <c r="N57" s="53"/>
      <c r="O57" s="54"/>
      <c r="P57" s="55" t="s">
        <v>76</v>
      </c>
      <c r="Q57" s="47" t="s">
        <v>87</v>
      </c>
      <c r="R57" s="46"/>
      <c r="S57" s="46"/>
      <c r="T57" s="46"/>
      <c r="U57" s="56"/>
      <c r="V57" s="63">
        <v>0.26</v>
      </c>
      <c r="W57" s="64"/>
      <c r="X57" s="46"/>
      <c r="Y57" s="46"/>
      <c r="Z57" s="46"/>
      <c r="AA57" s="56"/>
      <c r="AB57" s="63"/>
      <c r="AC57" s="52">
        <v>0</v>
      </c>
      <c r="AD57" s="59">
        <f>SUM(AE57:AK57)</f>
        <v>0</v>
      </c>
      <c r="AE57" s="48"/>
      <c r="AF57" s="48"/>
      <c r="AG57" s="48"/>
      <c r="AH57" s="48"/>
      <c r="AI57" s="48"/>
      <c r="AJ57" s="48"/>
      <c r="AK57" s="48"/>
      <c r="AL57" s="52">
        <f>IF((AC57-SUM(AE57:AK57))&lt;0,0,AC57-SUM(AE57:AK57))</f>
        <v>0</v>
      </c>
      <c r="AM57" s="59">
        <f>SUM(AN57:AT57)</f>
        <v>1</v>
      </c>
      <c r="AN57" s="60"/>
      <c r="AO57" s="52"/>
      <c r="AP57" s="52"/>
      <c r="AQ57" s="52"/>
      <c r="AR57" s="52"/>
      <c r="AS57" s="52"/>
      <c r="AT57" s="61">
        <v>1</v>
      </c>
      <c r="AU57" s="48">
        <f>MAX(0,$AM57-$AC57-$AW57)</f>
        <v>1</v>
      </c>
      <c r="AV57" s="48"/>
      <c r="AW57" s="48"/>
      <c r="AX57" s="62">
        <v>0.26</v>
      </c>
      <c r="AY57" s="62">
        <f>IF(AND($AU57&gt;0,ISNUMBER($AX57)),$AU57*$AX57,0)</f>
        <v>0.26</v>
      </c>
      <c r="AZ57" s="46"/>
      <c r="BA57" s="52"/>
      <c r="BB57" s="52"/>
      <c r="BC57" s="52"/>
      <c r="BD57" s="52"/>
      <c r="BE57" s="52"/>
      <c r="BF57" s="52"/>
    </row>
    <row r="58" spans="1:58" ht="15" customHeight="1">
      <c r="A58" s="46" t="s">
        <v>335</v>
      </c>
      <c r="B58" s="47" t="s">
        <v>336</v>
      </c>
      <c r="C58" s="48" t="s">
        <v>101</v>
      </c>
      <c r="D58" s="49">
        <v>3</v>
      </c>
      <c r="E58" s="47" t="s">
        <v>81</v>
      </c>
      <c r="F58" s="50">
        <v>2</v>
      </c>
      <c r="G58" s="50">
        <v>1</v>
      </c>
      <c r="H58" s="51" t="s">
        <v>337</v>
      </c>
      <c r="I58" s="50" t="s">
        <v>338</v>
      </c>
      <c r="J58" s="52" t="s">
        <v>73</v>
      </c>
      <c r="K58" s="47" t="s">
        <v>104</v>
      </c>
      <c r="L58" s="53" t="s">
        <v>339</v>
      </c>
      <c r="M58" s="53"/>
      <c r="N58" s="53"/>
      <c r="O58" s="54"/>
      <c r="P58" s="56" t="s">
        <v>185</v>
      </c>
      <c r="Q58" s="47" t="s">
        <v>340</v>
      </c>
      <c r="R58" s="46"/>
      <c r="S58" s="46"/>
      <c r="T58" s="46"/>
      <c r="U58" s="56"/>
      <c r="V58" s="63">
        <v>0.24</v>
      </c>
      <c r="W58" s="64"/>
      <c r="X58" s="50"/>
      <c r="Y58" s="46"/>
      <c r="Z58" s="46"/>
      <c r="AA58" s="56"/>
      <c r="AB58" s="63"/>
      <c r="AC58" s="52">
        <v>0</v>
      </c>
      <c r="AD58" s="59">
        <f>SUM(AE58:AK58)</f>
        <v>0</v>
      </c>
      <c r="AE58" s="48"/>
      <c r="AF58" s="48"/>
      <c r="AG58" s="48"/>
      <c r="AH58" s="48"/>
      <c r="AI58" s="48"/>
      <c r="AJ58" s="48"/>
      <c r="AK58" s="48"/>
      <c r="AL58" s="52">
        <f>IF((AC58-SUM(AE58:AK58))&lt;0,0,AC58-SUM(AE58:AK58))</f>
        <v>0</v>
      </c>
      <c r="AM58" s="59">
        <f>SUM(AN58:AT58)</f>
        <v>1</v>
      </c>
      <c r="AN58" s="60"/>
      <c r="AO58" s="52">
        <v>1</v>
      </c>
      <c r="AP58" s="52"/>
      <c r="AQ58" s="52"/>
      <c r="AR58" s="52"/>
      <c r="AS58" s="52"/>
      <c r="AT58" s="61"/>
      <c r="AU58" s="48">
        <f>MAX(0,$AM58-$AC58-$AW58)</f>
        <v>1</v>
      </c>
      <c r="AV58" s="48"/>
      <c r="AW58" s="48"/>
      <c r="AX58" s="62">
        <v>0.24</v>
      </c>
      <c r="AY58" s="62">
        <f>IF(AND($AU58&gt;0,ISNUMBER($AX58)),$AU58*$AX58,0)</f>
        <v>0.24</v>
      </c>
      <c r="AZ58" s="46"/>
      <c r="BA58" s="52"/>
      <c r="BB58" s="52"/>
      <c r="BC58" s="52"/>
      <c r="BD58" s="52"/>
      <c r="BE58" s="52"/>
      <c r="BF58" s="52"/>
    </row>
    <row r="59" spans="1:58" ht="15" customHeight="1">
      <c r="A59" s="46" t="s">
        <v>341</v>
      </c>
      <c r="B59" s="47" t="s">
        <v>342</v>
      </c>
      <c r="C59" s="48" t="s">
        <v>101</v>
      </c>
      <c r="D59" s="49">
        <v>2</v>
      </c>
      <c r="E59" s="47" t="s">
        <v>81</v>
      </c>
      <c r="F59" s="50">
        <v>1</v>
      </c>
      <c r="G59" s="50">
        <v>1</v>
      </c>
      <c r="H59" s="51" t="s">
        <v>102</v>
      </c>
      <c r="I59" s="50" t="s">
        <v>343</v>
      </c>
      <c r="J59" s="52" t="s">
        <v>73</v>
      </c>
      <c r="K59" s="47" t="s">
        <v>344</v>
      </c>
      <c r="L59" s="53" t="s">
        <v>345</v>
      </c>
      <c r="M59" s="53"/>
      <c r="N59" s="53"/>
      <c r="O59" s="54"/>
      <c r="P59" s="55" t="s">
        <v>76</v>
      </c>
      <c r="Q59" s="47" t="s">
        <v>224</v>
      </c>
      <c r="R59" s="46"/>
      <c r="S59" s="46"/>
      <c r="T59" s="46"/>
      <c r="U59" s="56"/>
      <c r="V59" s="63">
        <v>0.23</v>
      </c>
      <c r="W59" s="64"/>
      <c r="X59" s="46"/>
      <c r="Y59" s="46"/>
      <c r="Z59" s="46"/>
      <c r="AA59" s="56"/>
      <c r="AB59" s="63"/>
      <c r="AC59" s="52">
        <v>0</v>
      </c>
      <c r="AD59" s="59">
        <f>SUM(AE59:AK59)</f>
        <v>0</v>
      </c>
      <c r="AE59" s="48"/>
      <c r="AF59" s="48"/>
      <c r="AG59" s="48"/>
      <c r="AH59" s="48"/>
      <c r="AI59" s="48"/>
      <c r="AJ59" s="48"/>
      <c r="AK59" s="48"/>
      <c r="AL59" s="52">
        <f>IF((AC59-SUM(AE59:AK59))&lt;0,0,AC59-SUM(AE59:AK59))</f>
        <v>0</v>
      </c>
      <c r="AM59" s="59">
        <f>SUM(AN59:AT59)</f>
        <v>1</v>
      </c>
      <c r="AN59" s="60"/>
      <c r="AO59" s="52"/>
      <c r="AP59" s="52">
        <v>1</v>
      </c>
      <c r="AQ59" s="52"/>
      <c r="AR59" s="52"/>
      <c r="AS59" s="52"/>
      <c r="AT59" s="61"/>
      <c r="AU59" s="48">
        <f>MAX(0,$AM59-$AC59-$AW59)</f>
        <v>1</v>
      </c>
      <c r="AV59" s="48"/>
      <c r="AW59" s="48"/>
      <c r="AX59" s="62">
        <v>0.23</v>
      </c>
      <c r="AY59" s="62">
        <f>IF(AND($AU59&gt;0,ISNUMBER($AX59)),$AU59*$AX59,0)</f>
        <v>0.23</v>
      </c>
      <c r="AZ59" s="46"/>
      <c r="BA59" s="52"/>
      <c r="BB59" s="52"/>
      <c r="BC59" s="52"/>
      <c r="BD59" s="52"/>
      <c r="BE59" s="52"/>
      <c r="BF59" s="52"/>
    </row>
    <row r="60" spans="1:58" ht="15" customHeight="1">
      <c r="A60" s="46" t="s">
        <v>346</v>
      </c>
      <c r="B60" s="47" t="s">
        <v>347</v>
      </c>
      <c r="C60" s="48" t="s">
        <v>181</v>
      </c>
      <c r="D60" s="49">
        <v>3</v>
      </c>
      <c r="E60" s="47" t="s">
        <v>332</v>
      </c>
      <c r="F60" s="50"/>
      <c r="G60" s="50"/>
      <c r="H60" s="51" t="s">
        <v>348</v>
      </c>
      <c r="I60" s="50" t="s">
        <v>349</v>
      </c>
      <c r="J60" s="52" t="s">
        <v>73</v>
      </c>
      <c r="K60" s="47" t="s">
        <v>135</v>
      </c>
      <c r="L60" s="53" t="s">
        <v>350</v>
      </c>
      <c r="M60" s="53"/>
      <c r="N60" s="53"/>
      <c r="O60" s="54"/>
      <c r="P60" s="55" t="s">
        <v>76</v>
      </c>
      <c r="Q60" s="47" t="s">
        <v>351</v>
      </c>
      <c r="R60" s="46"/>
      <c r="S60" s="46"/>
      <c r="T60" s="46"/>
      <c r="U60" s="56"/>
      <c r="V60" s="63">
        <v>0.23</v>
      </c>
      <c r="W60" s="64"/>
      <c r="X60" s="46"/>
      <c r="Y60" s="46"/>
      <c r="Z60" s="46"/>
      <c r="AA60" s="56"/>
      <c r="AB60" s="63"/>
      <c r="AC60" s="52">
        <v>0</v>
      </c>
      <c r="AD60" s="59">
        <f>SUM(AE60:AK60)</f>
        <v>0</v>
      </c>
      <c r="AE60" s="48"/>
      <c r="AF60" s="48"/>
      <c r="AG60" s="48"/>
      <c r="AH60" s="48"/>
      <c r="AI60" s="48"/>
      <c r="AJ60" s="48"/>
      <c r="AK60" s="48"/>
      <c r="AL60" s="52">
        <f>IF((AC60-SUM(AE60:AK60))&lt;0,0,AC60-SUM(AE60:AK60))</f>
        <v>0</v>
      </c>
      <c r="AM60" s="59">
        <f>SUM(AN60:AT60)</f>
        <v>1</v>
      </c>
      <c r="AN60" s="60"/>
      <c r="AO60" s="52"/>
      <c r="AP60" s="52"/>
      <c r="AQ60" s="52"/>
      <c r="AR60" s="52"/>
      <c r="AS60" s="52"/>
      <c r="AT60" s="61">
        <v>1</v>
      </c>
      <c r="AU60" s="48">
        <f>MAX(0,$AM60-$AC60-$AW60)</f>
        <v>1</v>
      </c>
      <c r="AV60" s="48"/>
      <c r="AW60" s="48"/>
      <c r="AX60" s="62">
        <v>0.23</v>
      </c>
      <c r="AY60" s="62">
        <f>IF(AND($AU60&gt;0,ISNUMBER($AX60)),$AU60*$AX60,0)</f>
        <v>0.23</v>
      </c>
      <c r="AZ60" s="46"/>
      <c r="BA60" s="52"/>
      <c r="BB60" s="52"/>
      <c r="BC60" s="52"/>
      <c r="BD60" s="52"/>
      <c r="BE60" s="52"/>
      <c r="BF60" s="52"/>
    </row>
    <row r="61" spans="1:58" ht="15" customHeight="1">
      <c r="A61" s="46" t="s">
        <v>352</v>
      </c>
      <c r="B61" s="47" t="s">
        <v>353</v>
      </c>
      <c r="C61" s="48" t="s">
        <v>181</v>
      </c>
      <c r="D61" s="49">
        <v>5</v>
      </c>
      <c r="E61" s="47" t="s">
        <v>81</v>
      </c>
      <c r="F61" s="50">
        <v>4</v>
      </c>
      <c r="G61" s="50">
        <v>3</v>
      </c>
      <c r="H61" s="51" t="s">
        <v>144</v>
      </c>
      <c r="I61" s="50" t="s">
        <v>354</v>
      </c>
      <c r="J61" s="52" t="s">
        <v>73</v>
      </c>
      <c r="K61" s="47" t="s">
        <v>135</v>
      </c>
      <c r="L61" s="53" t="s">
        <v>355</v>
      </c>
      <c r="M61" s="53"/>
      <c r="N61" s="53"/>
      <c r="O61" s="54"/>
      <c r="P61" s="56" t="s">
        <v>185</v>
      </c>
      <c r="Q61" s="47" t="s">
        <v>141</v>
      </c>
      <c r="R61" s="46"/>
      <c r="S61" s="46"/>
      <c r="T61" s="46"/>
      <c r="U61" s="56"/>
      <c r="V61" s="63">
        <v>0.23</v>
      </c>
      <c r="W61" s="64"/>
      <c r="X61" s="50"/>
      <c r="Y61" s="46"/>
      <c r="Z61" s="46"/>
      <c r="AA61" s="56"/>
      <c r="AB61" s="63"/>
      <c r="AC61" s="52">
        <v>0</v>
      </c>
      <c r="AD61" s="59">
        <f>SUM(AE61:AK61)</f>
        <v>0</v>
      </c>
      <c r="AE61" s="48"/>
      <c r="AF61" s="48"/>
      <c r="AG61" s="48"/>
      <c r="AH61" s="48"/>
      <c r="AI61" s="48"/>
      <c r="AJ61" s="48"/>
      <c r="AK61" s="48"/>
      <c r="AL61" s="52">
        <f>IF((AC61-SUM(AE61:AK61))&lt;0,0,AC61-SUM(AE61:AK61))</f>
        <v>0</v>
      </c>
      <c r="AM61" s="59">
        <f>SUM(AN61:AT61)</f>
        <v>1</v>
      </c>
      <c r="AN61" s="60"/>
      <c r="AO61" s="52"/>
      <c r="AP61" s="52"/>
      <c r="AQ61" s="52"/>
      <c r="AR61" s="52"/>
      <c r="AS61" s="52"/>
      <c r="AT61" s="61">
        <v>1</v>
      </c>
      <c r="AU61" s="48">
        <f>MAX(0,$AM61-$AC61-$AW61)</f>
        <v>1</v>
      </c>
      <c r="AV61" s="48"/>
      <c r="AW61" s="48"/>
      <c r="AX61" s="62">
        <v>0.23</v>
      </c>
      <c r="AY61" s="62">
        <f>IF(AND($AU61&gt;0,ISNUMBER($AX61)),$AU61*$AX61,0)</f>
        <v>0.23</v>
      </c>
      <c r="AZ61" s="46"/>
      <c r="BA61" s="52"/>
      <c r="BB61" s="52"/>
      <c r="BC61" s="52"/>
      <c r="BD61" s="52"/>
      <c r="BE61" s="52"/>
      <c r="BF61" s="52"/>
    </row>
    <row r="62" spans="1:58" ht="15" customHeight="1">
      <c r="A62" s="46" t="s">
        <v>356</v>
      </c>
      <c r="B62" s="47" t="s">
        <v>357</v>
      </c>
      <c r="C62" s="48" t="s">
        <v>101</v>
      </c>
      <c r="D62" s="49">
        <v>2</v>
      </c>
      <c r="E62" s="47" t="s">
        <v>81</v>
      </c>
      <c r="F62" s="50">
        <v>2</v>
      </c>
      <c r="G62" s="50">
        <v>1</v>
      </c>
      <c r="H62" s="51" t="s">
        <v>102</v>
      </c>
      <c r="I62" s="50" t="s">
        <v>358</v>
      </c>
      <c r="J62" s="52" t="s">
        <v>73</v>
      </c>
      <c r="K62" s="47" t="s">
        <v>104</v>
      </c>
      <c r="L62" s="53" t="s">
        <v>359</v>
      </c>
      <c r="M62" s="53"/>
      <c r="N62" s="53"/>
      <c r="O62" s="54"/>
      <c r="P62" s="56" t="s">
        <v>185</v>
      </c>
      <c r="Q62" s="47" t="s">
        <v>360</v>
      </c>
      <c r="R62" s="46"/>
      <c r="S62" s="46"/>
      <c r="T62" s="46"/>
      <c r="U62" s="56"/>
      <c r="V62" s="63">
        <v>0.21</v>
      </c>
      <c r="W62" s="64"/>
      <c r="X62" s="50"/>
      <c r="Y62" s="46"/>
      <c r="Z62" s="46"/>
      <c r="AA62" s="56"/>
      <c r="AB62" s="63"/>
      <c r="AC62" s="52">
        <v>0</v>
      </c>
      <c r="AD62" s="59">
        <f>SUM(AE62:AK62)</f>
        <v>0</v>
      </c>
      <c r="AE62" s="48"/>
      <c r="AF62" s="48"/>
      <c r="AG62" s="48"/>
      <c r="AH62" s="48"/>
      <c r="AI62" s="48"/>
      <c r="AJ62" s="48"/>
      <c r="AK62" s="48"/>
      <c r="AL62" s="52">
        <f>IF((AC62-SUM(AE62:AK62))&lt;0,0,AC62-SUM(AE62:AK62))</f>
        <v>0</v>
      </c>
      <c r="AM62" s="59">
        <f>SUM(AN62:AT62)</f>
        <v>1</v>
      </c>
      <c r="AN62" s="60"/>
      <c r="AO62" s="52">
        <v>1</v>
      </c>
      <c r="AP62" s="52"/>
      <c r="AQ62" s="52"/>
      <c r="AR62" s="52"/>
      <c r="AS62" s="52"/>
      <c r="AT62" s="61"/>
      <c r="AU62" s="48">
        <f>MAX(0,$AM62-$AC62-$AW62)</f>
        <v>1</v>
      </c>
      <c r="AV62" s="48"/>
      <c r="AW62" s="48"/>
      <c r="AX62" s="62">
        <v>0.21</v>
      </c>
      <c r="AY62" s="62">
        <f>IF(AND($AU62&gt;0,ISNUMBER($AX62)),$AU62*$AX62,0)</f>
        <v>0.21</v>
      </c>
      <c r="AZ62" s="46"/>
      <c r="BA62" s="52"/>
      <c r="BB62" s="52"/>
      <c r="BC62" s="52"/>
      <c r="BD62" s="52"/>
      <c r="BE62" s="52"/>
      <c r="BF62" s="52"/>
    </row>
    <row r="63" spans="1:58" ht="15" customHeight="1">
      <c r="A63" s="46" t="s">
        <v>361</v>
      </c>
      <c r="B63" s="47" t="s">
        <v>362</v>
      </c>
      <c r="C63" s="48" t="s">
        <v>80</v>
      </c>
      <c r="D63" s="49">
        <v>2</v>
      </c>
      <c r="E63" s="47" t="s">
        <v>81</v>
      </c>
      <c r="F63" s="50">
        <v>2</v>
      </c>
      <c r="G63" s="50">
        <v>1</v>
      </c>
      <c r="H63" s="51" t="s">
        <v>227</v>
      </c>
      <c r="I63" s="50" t="s">
        <v>363</v>
      </c>
      <c r="J63" s="52" t="s">
        <v>73</v>
      </c>
      <c r="K63" s="47" t="s">
        <v>98</v>
      </c>
      <c r="L63" s="53" t="s">
        <v>136</v>
      </c>
      <c r="M63" s="53"/>
      <c r="N63" s="53"/>
      <c r="O63" s="54"/>
      <c r="P63" s="56" t="s">
        <v>185</v>
      </c>
      <c r="Q63" s="47" t="s">
        <v>229</v>
      </c>
      <c r="R63" s="46"/>
      <c r="S63" s="46"/>
      <c r="T63" s="46"/>
      <c r="U63" s="56"/>
      <c r="V63" s="63">
        <v>0.12</v>
      </c>
      <c r="W63" s="64"/>
      <c r="X63" s="50"/>
      <c r="Y63" s="46"/>
      <c r="Z63" s="46"/>
      <c r="AA63" s="56"/>
      <c r="AB63" s="63"/>
      <c r="AC63" s="52">
        <v>0</v>
      </c>
      <c r="AD63" s="59">
        <f>SUM(AE63:AK63)</f>
        <v>0</v>
      </c>
      <c r="AE63" s="48"/>
      <c r="AF63" s="48"/>
      <c r="AG63" s="48"/>
      <c r="AH63" s="48"/>
      <c r="AI63" s="48"/>
      <c r="AJ63" s="48"/>
      <c r="AK63" s="48"/>
      <c r="AL63" s="52">
        <f>IF((AC63-SUM(AE63:AK63))&lt;0,0,AC63-SUM(AE63:AK63))</f>
        <v>0</v>
      </c>
      <c r="AM63" s="59">
        <f>SUM(AN63:AT63)</f>
        <v>1</v>
      </c>
      <c r="AN63" s="60"/>
      <c r="AO63" s="52"/>
      <c r="AP63" s="52"/>
      <c r="AQ63" s="52"/>
      <c r="AR63" s="52"/>
      <c r="AS63" s="52"/>
      <c r="AT63" s="61">
        <v>1</v>
      </c>
      <c r="AU63" s="48">
        <f>MAX(0,$AM63-$AC63-$AW63)</f>
        <v>1</v>
      </c>
      <c r="AV63" s="48"/>
      <c r="AW63" s="48"/>
      <c r="AX63" s="62">
        <v>0.12</v>
      </c>
      <c r="AY63" s="62">
        <f>IF(AND($AU63&gt;0,ISNUMBER($AX63)),$AU63*$AX63,0)</f>
        <v>0.12</v>
      </c>
      <c r="AZ63" s="46"/>
      <c r="BA63" s="52"/>
      <c r="BB63" s="52"/>
      <c r="BC63" s="52"/>
      <c r="BD63" s="52"/>
      <c r="BE63" s="52"/>
      <c r="BF63" s="52"/>
    </row>
    <row r="64" spans="1:58" ht="15" customHeight="1">
      <c r="A64" s="46" t="s">
        <v>364</v>
      </c>
      <c r="B64" s="47" t="s">
        <v>365</v>
      </c>
      <c r="C64" s="48" t="s">
        <v>80</v>
      </c>
      <c r="D64" s="49">
        <v>4</v>
      </c>
      <c r="E64" s="47" t="s">
        <v>189</v>
      </c>
      <c r="F64" s="50"/>
      <c r="G64" s="50"/>
      <c r="H64" s="51"/>
      <c r="I64" s="50" t="s">
        <v>366</v>
      </c>
      <c r="J64" s="52" t="s">
        <v>73</v>
      </c>
      <c r="K64" s="47" t="s">
        <v>92</v>
      </c>
      <c r="L64" s="53" t="s">
        <v>367</v>
      </c>
      <c r="M64" s="53"/>
      <c r="N64" s="53"/>
      <c r="O64" s="54"/>
      <c r="P64" s="56" t="s">
        <v>185</v>
      </c>
      <c r="Q64" s="47" t="s">
        <v>368</v>
      </c>
      <c r="R64" s="46"/>
      <c r="S64" s="46"/>
      <c r="T64" s="46"/>
      <c r="U64" s="56"/>
      <c r="V64" s="57"/>
      <c r="W64" s="56"/>
      <c r="X64" s="50"/>
      <c r="Y64" s="46"/>
      <c r="Z64" s="46"/>
      <c r="AA64" s="56"/>
      <c r="AB64" s="57"/>
      <c r="AC64" s="52">
        <v>0</v>
      </c>
      <c r="AD64" s="59">
        <f>SUM(AE64:AK64)</f>
        <v>0</v>
      </c>
      <c r="AE64" s="48"/>
      <c r="AF64" s="48"/>
      <c r="AG64" s="48"/>
      <c r="AH64" s="48"/>
      <c r="AI64" s="48"/>
      <c r="AJ64" s="48"/>
      <c r="AK64" s="48"/>
      <c r="AL64" s="52">
        <f>IF((AC64-SUM(AE64:AK64))&lt;0,0,AC64-SUM(AE64:AK64))</f>
        <v>0</v>
      </c>
      <c r="AM64" s="59">
        <f>SUM(AN64:AT64)</f>
        <v>1</v>
      </c>
      <c r="AN64" s="60"/>
      <c r="AO64" s="52"/>
      <c r="AP64" s="52"/>
      <c r="AQ64" s="52"/>
      <c r="AR64" s="52"/>
      <c r="AS64" s="52"/>
      <c r="AT64" s="61">
        <v>1</v>
      </c>
      <c r="AU64" s="48">
        <f>MAX(0,$AM64-$AC64-$AW64)</f>
        <v>1</v>
      </c>
      <c r="AV64" s="48"/>
      <c r="AW64" s="48"/>
      <c r="AX64" s="62"/>
      <c r="AY64" s="62">
        <f>IF(AND($AU64&gt;0,ISNUMBER($AX64)),$AU64*$AX64,0)</f>
        <v>0</v>
      </c>
      <c r="AZ64" s="46"/>
      <c r="BA64" s="52"/>
      <c r="BB64" s="52"/>
      <c r="BC64" s="52"/>
      <c r="BD64" s="52"/>
      <c r="BE64" s="52"/>
      <c r="BF64" s="52"/>
    </row>
    <row r="65" spans="1:58" ht="15" customHeight="1">
      <c r="A65" s="46" t="s">
        <v>369</v>
      </c>
      <c r="B65" s="47" t="s">
        <v>370</v>
      </c>
      <c r="C65" s="48" t="s">
        <v>311</v>
      </c>
      <c r="D65" s="49">
        <v>0</v>
      </c>
      <c r="E65" s="47" t="s">
        <v>312</v>
      </c>
      <c r="F65" s="50"/>
      <c r="G65" s="50"/>
      <c r="H65" s="51" t="s">
        <v>371</v>
      </c>
      <c r="I65" s="50" t="s">
        <v>372</v>
      </c>
      <c r="J65" s="52" t="s">
        <v>73</v>
      </c>
      <c r="K65" s="47" t="s">
        <v>312</v>
      </c>
      <c r="L65" s="53" t="s">
        <v>373</v>
      </c>
      <c r="M65" s="53"/>
      <c r="N65" s="53"/>
      <c r="O65" s="54"/>
      <c r="P65" s="56" t="s">
        <v>86</v>
      </c>
      <c r="Q65" s="47" t="s">
        <v>368</v>
      </c>
      <c r="R65" s="46"/>
      <c r="S65" s="46"/>
      <c r="T65" s="46"/>
      <c r="U65" s="56"/>
      <c r="V65" s="57"/>
      <c r="W65" s="56"/>
      <c r="X65" s="50"/>
      <c r="Y65" s="46"/>
      <c r="Z65" s="46"/>
      <c r="AA65" s="56"/>
      <c r="AB65" s="57"/>
      <c r="AC65" s="52">
        <v>0</v>
      </c>
      <c r="AD65" s="59">
        <f>SUM(AE65:AK65)</f>
        <v>0</v>
      </c>
      <c r="AE65" s="48"/>
      <c r="AF65" s="48"/>
      <c r="AG65" s="48"/>
      <c r="AH65" s="48"/>
      <c r="AI65" s="48"/>
      <c r="AJ65" s="48"/>
      <c r="AK65" s="48"/>
      <c r="AL65" s="52">
        <f>IF((AC65-SUM(AE65:AK65))&lt;0,0,AC65-SUM(AE65:AK65))</f>
        <v>0</v>
      </c>
      <c r="AM65" s="59">
        <f>SUM(AN65:AT65)</f>
        <v>1</v>
      </c>
      <c r="AN65" s="60"/>
      <c r="AO65" s="52">
        <v>1</v>
      </c>
      <c r="AP65" s="52"/>
      <c r="AQ65" s="52"/>
      <c r="AR65" s="52"/>
      <c r="AS65" s="52"/>
      <c r="AT65" s="61"/>
      <c r="AU65" s="48">
        <f>MAX(0,$AM65-$AC65-$AW65)</f>
        <v>1</v>
      </c>
      <c r="AV65" s="48"/>
      <c r="AW65" s="48"/>
      <c r="AX65" s="62"/>
      <c r="AY65" s="62">
        <f>IF(AND($AU65&gt;0,ISNUMBER($AX65)),$AU65*$AX65,0)</f>
        <v>0</v>
      </c>
      <c r="AZ65" s="46"/>
      <c r="BA65" s="52"/>
      <c r="BB65" s="52"/>
      <c r="BC65" s="52"/>
      <c r="BD65" s="52"/>
      <c r="BE65" s="52"/>
      <c r="BF65" s="52"/>
    </row>
    <row r="66" spans="1:58" ht="15" customHeight="1">
      <c r="A66" s="46" t="s">
        <v>374</v>
      </c>
      <c r="B66" s="47" t="s">
        <v>375</v>
      </c>
      <c r="C66" s="48" t="s">
        <v>101</v>
      </c>
      <c r="D66" s="49">
        <v>3</v>
      </c>
      <c r="E66" s="47" t="s">
        <v>81</v>
      </c>
      <c r="F66" s="50">
        <v>2</v>
      </c>
      <c r="G66" s="50">
        <v>2</v>
      </c>
      <c r="H66" s="51" t="s">
        <v>144</v>
      </c>
      <c r="I66" s="50" t="s">
        <v>376</v>
      </c>
      <c r="J66" s="52" t="s">
        <v>73</v>
      </c>
      <c r="K66" s="47" t="s">
        <v>84</v>
      </c>
      <c r="L66" s="53" t="s">
        <v>377</v>
      </c>
      <c r="M66" s="53"/>
      <c r="N66" s="53"/>
      <c r="O66" s="54"/>
      <c r="P66" s="56" t="s">
        <v>185</v>
      </c>
      <c r="Q66" s="47" t="s">
        <v>213</v>
      </c>
      <c r="R66" s="46"/>
      <c r="S66" s="46"/>
      <c r="T66" s="46"/>
      <c r="U66" s="56"/>
      <c r="V66" s="57"/>
      <c r="W66" s="56"/>
      <c r="X66" s="50"/>
      <c r="Y66" s="46"/>
      <c r="Z66" s="46"/>
      <c r="AA66" s="56"/>
      <c r="AB66" s="57"/>
      <c r="AC66" s="52">
        <v>0</v>
      </c>
      <c r="AD66" s="59">
        <f>SUM(AE66:AK66)</f>
        <v>0</v>
      </c>
      <c r="AE66" s="48"/>
      <c r="AF66" s="48"/>
      <c r="AG66" s="48"/>
      <c r="AH66" s="48"/>
      <c r="AI66" s="48"/>
      <c r="AJ66" s="48"/>
      <c r="AK66" s="48"/>
      <c r="AL66" s="52">
        <f>IF((AC66-SUM(AE66:AK66))&lt;0,0,AC66-SUM(AE66:AK66))</f>
        <v>0</v>
      </c>
      <c r="AM66" s="59">
        <f>SUM(AN66:AT66)</f>
        <v>1</v>
      </c>
      <c r="AN66" s="60"/>
      <c r="AO66" s="52"/>
      <c r="AP66" s="52"/>
      <c r="AQ66" s="52"/>
      <c r="AR66" s="52"/>
      <c r="AS66" s="52"/>
      <c r="AT66" s="61">
        <v>1</v>
      </c>
      <c r="AU66" s="48">
        <f>MAX(0,$AM66-$AC66-$AW66)</f>
        <v>1</v>
      </c>
      <c r="AV66" s="48"/>
      <c r="AW66" s="48"/>
      <c r="AX66" s="62"/>
      <c r="AY66" s="62">
        <f>IF(AND($AU66&gt;0,ISNUMBER($AX66)),$AU66*$AX66,0)</f>
        <v>0</v>
      </c>
      <c r="AZ66" s="46"/>
      <c r="BA66" s="52"/>
      <c r="BB66" s="52"/>
      <c r="BC66" s="52"/>
      <c r="BD66" s="52"/>
      <c r="BE66" s="52"/>
      <c r="BF66" s="52"/>
    </row>
    <row r="67" spans="1:58" ht="15" customHeight="1">
      <c r="A67" s="46" t="s">
        <v>378</v>
      </c>
      <c r="B67" s="47" t="s">
        <v>379</v>
      </c>
      <c r="C67" s="48" t="s">
        <v>118</v>
      </c>
      <c r="D67" s="49">
        <v>3</v>
      </c>
      <c r="E67" s="47" t="s">
        <v>189</v>
      </c>
      <c r="F67" s="50"/>
      <c r="G67" s="50"/>
      <c r="H67" s="51"/>
      <c r="I67" s="50" t="s">
        <v>380</v>
      </c>
      <c r="J67" s="52" t="s">
        <v>73</v>
      </c>
      <c r="K67" s="47" t="s">
        <v>254</v>
      </c>
      <c r="L67" s="53" t="s">
        <v>381</v>
      </c>
      <c r="M67" s="53"/>
      <c r="N67" s="53"/>
      <c r="O67" s="54"/>
      <c r="P67" s="56" t="s">
        <v>185</v>
      </c>
      <c r="Q67" s="47" t="s">
        <v>213</v>
      </c>
      <c r="R67" s="46"/>
      <c r="S67" s="46"/>
      <c r="T67" s="46"/>
      <c r="U67" s="56"/>
      <c r="V67" s="57"/>
      <c r="W67" s="56"/>
      <c r="X67" s="50"/>
      <c r="Y67" s="46"/>
      <c r="Z67" s="46"/>
      <c r="AA67" s="56"/>
      <c r="AB67" s="57"/>
      <c r="AC67" s="52">
        <v>0</v>
      </c>
      <c r="AD67" s="59">
        <f>SUM(AE67:AK67)</f>
        <v>0</v>
      </c>
      <c r="AE67" s="48"/>
      <c r="AF67" s="48"/>
      <c r="AG67" s="48"/>
      <c r="AH67" s="48"/>
      <c r="AI67" s="48"/>
      <c r="AJ67" s="48"/>
      <c r="AK67" s="48"/>
      <c r="AL67" s="52">
        <f>IF((AC67-SUM(AE67:AK67))&lt;0,0,AC67-SUM(AE67:AK67))</f>
        <v>0</v>
      </c>
      <c r="AM67" s="59">
        <f>SUM(AN67:AT67)</f>
        <v>1</v>
      </c>
      <c r="AN67" s="60"/>
      <c r="AO67" s="52"/>
      <c r="AP67" s="52"/>
      <c r="AQ67" s="52"/>
      <c r="AR67" s="52">
        <v>1</v>
      </c>
      <c r="AS67" s="52"/>
      <c r="AT67" s="61"/>
      <c r="AU67" s="48">
        <f>MAX(0,$AM67-$AC67-$AW67)</f>
        <v>1</v>
      </c>
      <c r="AV67" s="48"/>
      <c r="AW67" s="48"/>
      <c r="AX67" s="62"/>
      <c r="AY67" s="62">
        <f>IF(AND($AU67&gt;0,ISNUMBER($AX67)),$AU67*$AX67,0)</f>
        <v>0</v>
      </c>
      <c r="AZ67" s="46"/>
      <c r="BA67" s="52"/>
      <c r="BB67" s="52"/>
      <c r="BC67" s="52"/>
      <c r="BD67" s="52"/>
      <c r="BE67" s="52"/>
      <c r="BF67" s="52"/>
    </row>
    <row r="68" spans="1:58" ht="15" customHeight="1">
      <c r="A68" s="46" t="s">
        <v>382</v>
      </c>
      <c r="B68" s="47" t="s">
        <v>383</v>
      </c>
      <c r="C68" s="48" t="s">
        <v>70</v>
      </c>
      <c r="D68" s="49">
        <v>6</v>
      </c>
      <c r="E68" s="47" t="s">
        <v>384</v>
      </c>
      <c r="F68" s="50"/>
      <c r="G68" s="50"/>
      <c r="H68" s="51"/>
      <c r="I68" s="50" t="s">
        <v>385</v>
      </c>
      <c r="J68" s="52" t="s">
        <v>73</v>
      </c>
      <c r="K68" s="47" t="s">
        <v>386</v>
      </c>
      <c r="L68" s="53" t="s">
        <v>387</v>
      </c>
      <c r="M68" s="53"/>
      <c r="N68" s="53"/>
      <c r="O68" s="54"/>
      <c r="P68" s="56" t="s">
        <v>86</v>
      </c>
      <c r="Q68" s="47" t="s">
        <v>218</v>
      </c>
      <c r="R68" s="46"/>
      <c r="S68" s="46"/>
      <c r="T68" s="46"/>
      <c r="U68" s="56"/>
      <c r="V68" s="63">
        <v>1.44</v>
      </c>
      <c r="W68" s="64"/>
      <c r="X68" s="50"/>
      <c r="Y68" s="46"/>
      <c r="Z68" s="46"/>
      <c r="AA68" s="56"/>
      <c r="AB68" s="63"/>
      <c r="AC68" s="52">
        <v>1</v>
      </c>
      <c r="AD68" s="59">
        <f>SUM(AE68:AK68)</f>
        <v>0</v>
      </c>
      <c r="AE68" s="48"/>
      <c r="AF68" s="48"/>
      <c r="AG68" s="48"/>
      <c r="AH68" s="48"/>
      <c r="AI68" s="48"/>
      <c r="AJ68" s="48"/>
      <c r="AK68" s="48"/>
      <c r="AL68" s="52">
        <f>IF((AC68-SUM(AE68:AK68))&lt;0,0,AC68-SUM(AE68:AK68))</f>
        <v>1</v>
      </c>
      <c r="AM68" s="59">
        <f>SUM(AN68:AT68)</f>
        <v>1</v>
      </c>
      <c r="AN68" s="60"/>
      <c r="AO68" s="52"/>
      <c r="AP68" s="52"/>
      <c r="AQ68" s="52"/>
      <c r="AR68" s="52"/>
      <c r="AS68" s="52">
        <v>1</v>
      </c>
      <c r="AT68" s="61"/>
      <c r="AU68" s="48">
        <f>MAX(0,$AM68-$AC68-$AW68)</f>
        <v>0</v>
      </c>
      <c r="AV68" s="48"/>
      <c r="AW68" s="48"/>
      <c r="AX68" s="65">
        <v>0</v>
      </c>
      <c r="AY68" s="62">
        <f>IF(AND($AU68&gt;0,ISNUMBER($AX68)),$AU68*$AX68,0)</f>
        <v>0</v>
      </c>
      <c r="AZ68" s="46"/>
      <c r="BA68" s="52"/>
      <c r="BB68" s="52"/>
      <c r="BC68" s="52"/>
      <c r="BD68" s="52"/>
      <c r="BE68" s="52"/>
      <c r="BF68" s="52"/>
    </row>
    <row r="69" spans="1:58" ht="15" customHeight="1">
      <c r="A69" s="46" t="s">
        <v>395</v>
      </c>
      <c r="B69" s="53" t="s">
        <v>396</v>
      </c>
      <c r="C69" s="66" t="s">
        <v>101</v>
      </c>
      <c r="D69" s="67">
        <v>2</v>
      </c>
      <c r="E69" s="53" t="s">
        <v>71</v>
      </c>
      <c r="F69" s="50"/>
      <c r="G69" s="50"/>
      <c r="H69" s="51"/>
      <c r="I69" s="50" t="s">
        <v>397</v>
      </c>
      <c r="J69" s="54" t="s">
        <v>73</v>
      </c>
      <c r="K69" s="53" t="s">
        <v>104</v>
      </c>
      <c r="L69" s="53" t="s">
        <v>398</v>
      </c>
      <c r="M69" s="53"/>
      <c r="N69" s="53"/>
      <c r="O69" s="54"/>
      <c r="P69" s="56" t="s">
        <v>76</v>
      </c>
      <c r="Q69" s="53" t="s">
        <v>399</v>
      </c>
      <c r="R69" s="56"/>
      <c r="S69" s="54"/>
      <c r="T69" s="54"/>
      <c r="U69" s="56"/>
      <c r="V69" s="57">
        <v>0.59</v>
      </c>
      <c r="W69" s="68"/>
      <c r="X69" s="56"/>
      <c r="Y69" s="54"/>
      <c r="Z69" s="54"/>
      <c r="AA69" s="56"/>
      <c r="AB69" s="57"/>
      <c r="AC69" s="54">
        <v>0</v>
      </c>
      <c r="AD69" s="69">
        <f>SUM(AE69:AK69)</f>
        <v>0</v>
      </c>
      <c r="AE69" s="66"/>
      <c r="AF69" s="66"/>
      <c r="AG69" s="66"/>
      <c r="AH69" s="66"/>
      <c r="AI69" s="66"/>
      <c r="AJ69" s="66"/>
      <c r="AK69" s="66"/>
      <c r="AL69" s="54">
        <f>IF((AC69-SUM(AE69:AK69))&lt;0,0,AC69-SUM(AE69:AK69))</f>
        <v>0</v>
      </c>
      <c r="AM69" s="69">
        <f>SUM(AN69:AT69)</f>
        <v>3</v>
      </c>
      <c r="AN69" s="60"/>
      <c r="AO69" s="52">
        <v>1</v>
      </c>
      <c r="AP69" s="52"/>
      <c r="AQ69" s="52">
        <v>1</v>
      </c>
      <c r="AR69" s="52"/>
      <c r="AS69" s="52"/>
      <c r="AT69" s="61">
        <v>1</v>
      </c>
      <c r="AU69" s="66">
        <f>MAX(0,$AM69-$AC69-$AW69)</f>
        <v>3</v>
      </c>
      <c r="AV69" s="66"/>
      <c r="AW69" s="66"/>
      <c r="AX69" s="65">
        <v>0.62</v>
      </c>
      <c r="AY69" s="65">
        <f>IF(AND($AU69&gt;0,ISNUMBER($AX69)),$AU69*$AX69,0)</f>
        <v>1.8599999999999999</v>
      </c>
      <c r="AZ69" s="46"/>
      <c r="BA69" s="52"/>
      <c r="BB69" s="52"/>
      <c r="BC69" s="52"/>
      <c r="BD69" s="52"/>
      <c r="BE69" s="52"/>
      <c r="BF69" s="52"/>
    </row>
    <row r="70" spans="1:58" ht="15" customHeight="1">
      <c r="A70" s="46" t="s">
        <v>400</v>
      </c>
      <c r="B70" s="53" t="s">
        <v>401</v>
      </c>
      <c r="C70" s="66" t="s">
        <v>70</v>
      </c>
      <c r="D70" s="67">
        <v>2</v>
      </c>
      <c r="E70" s="53" t="s">
        <v>189</v>
      </c>
      <c r="F70" s="50"/>
      <c r="G70" s="50"/>
      <c r="H70" s="51"/>
      <c r="I70" s="50" t="s">
        <v>402</v>
      </c>
      <c r="J70" s="54" t="s">
        <v>73</v>
      </c>
      <c r="K70" s="53" t="s">
        <v>92</v>
      </c>
      <c r="L70" s="53" t="s">
        <v>403</v>
      </c>
      <c r="M70" s="53" t="s">
        <v>404</v>
      </c>
      <c r="N70" s="53"/>
      <c r="O70" s="54"/>
      <c r="P70" s="56" t="s">
        <v>76</v>
      </c>
      <c r="Q70" s="53" t="s">
        <v>405</v>
      </c>
      <c r="R70" s="56"/>
      <c r="S70" s="54"/>
      <c r="T70" s="54"/>
      <c r="U70" s="56"/>
      <c r="V70" s="57">
        <v>0.47</v>
      </c>
      <c r="W70" s="68"/>
      <c r="X70" s="56"/>
      <c r="Y70" s="54"/>
      <c r="Z70" s="54"/>
      <c r="AA70" s="56"/>
      <c r="AB70" s="57"/>
      <c r="AC70" s="54">
        <v>0</v>
      </c>
      <c r="AD70" s="69">
        <f>SUM(AE70:AK70)</f>
        <v>0</v>
      </c>
      <c r="AE70" s="66"/>
      <c r="AF70" s="66"/>
      <c r="AG70" s="66"/>
      <c r="AH70" s="66"/>
      <c r="AI70" s="66"/>
      <c r="AJ70" s="66"/>
      <c r="AK70" s="66"/>
      <c r="AL70" s="54">
        <f>IF((AC70-SUM(AE70:AK70))&lt;0,0,AC70-SUM(AE70:AK70))</f>
        <v>0</v>
      </c>
      <c r="AM70" s="69">
        <f>SUM(AN70:AT70)</f>
        <v>2</v>
      </c>
      <c r="AN70" s="60">
        <v>1</v>
      </c>
      <c r="AO70" s="52"/>
      <c r="AP70" s="52"/>
      <c r="AQ70" s="52"/>
      <c r="AR70" s="52"/>
      <c r="AS70" s="52">
        <v>1</v>
      </c>
      <c r="AT70" s="61"/>
      <c r="AU70" s="66">
        <f>MAX(0,$AM70-$AC70-$AW70)</f>
        <v>2</v>
      </c>
      <c r="AV70" s="66"/>
      <c r="AW70" s="66"/>
      <c r="AX70" s="65">
        <v>0.5</v>
      </c>
      <c r="AY70" s="65">
        <f>IF(AND($AU70&gt;0,ISNUMBER($AX70)),$AU70*$AX70,0)</f>
        <v>1</v>
      </c>
      <c r="AZ70" s="46"/>
      <c r="BA70" s="52"/>
      <c r="BB70" s="52"/>
      <c r="BC70" s="52"/>
      <c r="BD70" s="52"/>
      <c r="BE70" s="52"/>
      <c r="BF70" s="52"/>
    </row>
    <row r="71" spans="1:58" ht="15" customHeight="1">
      <c r="A71" s="46" t="s">
        <v>406</v>
      </c>
      <c r="B71" s="53" t="s">
        <v>407</v>
      </c>
      <c r="C71" s="66" t="s">
        <v>101</v>
      </c>
      <c r="D71" s="67">
        <v>4</v>
      </c>
      <c r="E71" s="53" t="s">
        <v>384</v>
      </c>
      <c r="F71" s="50"/>
      <c r="G71" s="50"/>
      <c r="H71" s="51"/>
      <c r="I71" s="50" t="s">
        <v>408</v>
      </c>
      <c r="J71" s="54" t="s">
        <v>196</v>
      </c>
      <c r="K71" s="58" t="s">
        <v>92</v>
      </c>
      <c r="L71" s="58" t="s">
        <v>409</v>
      </c>
      <c r="M71" s="58"/>
      <c r="N71" s="58"/>
      <c r="O71" s="54"/>
      <c r="P71" s="56" t="s">
        <v>114</v>
      </c>
      <c r="Q71" s="58" t="s">
        <v>410</v>
      </c>
      <c r="R71" s="50"/>
      <c r="S71" s="50"/>
      <c r="T71" s="50"/>
      <c r="U71" s="50"/>
      <c r="V71" s="57">
        <v>15.05</v>
      </c>
      <c r="W71" s="68"/>
      <c r="X71" s="50"/>
      <c r="Y71" s="50"/>
      <c r="Z71" s="50"/>
      <c r="AA71" s="50"/>
      <c r="AB71" s="57"/>
      <c r="AC71" s="54">
        <v>0</v>
      </c>
      <c r="AD71" s="69">
        <f>SUM(AE71:AK71)</f>
        <v>0</v>
      </c>
      <c r="AE71" s="66"/>
      <c r="AF71" s="66"/>
      <c r="AG71" s="66"/>
      <c r="AH71" s="66"/>
      <c r="AI71" s="66"/>
      <c r="AJ71" s="66"/>
      <c r="AK71" s="66"/>
      <c r="AL71" s="54">
        <f>IF((AC71-SUM(AE71:AK71))&lt;0,0,AC71-SUM(AE71:AK71))</f>
        <v>0</v>
      </c>
      <c r="AM71" s="69">
        <f>SUM(AN71:AT71)</f>
        <v>2</v>
      </c>
      <c r="AN71" s="70"/>
      <c r="AO71" s="54">
        <v>1</v>
      </c>
      <c r="AP71" s="54"/>
      <c r="AQ71" s="54">
        <v>1</v>
      </c>
      <c r="AR71" s="54"/>
      <c r="AS71" s="54"/>
      <c r="AT71" s="71"/>
      <c r="AU71" s="66">
        <f>MAX(0,$AM71-$AC71-$AW71)</f>
        <v>2</v>
      </c>
      <c r="AV71" s="66"/>
      <c r="AW71" s="66"/>
      <c r="AX71" s="65">
        <v>14.88</v>
      </c>
      <c r="AY71" s="65">
        <f>IF(AND($AU71&gt;0,ISNUMBER($AX71)),$AU71*$AX71,0)</f>
        <v>29.76</v>
      </c>
      <c r="AZ71" s="72"/>
      <c r="BA71" s="73"/>
      <c r="BB71" s="73"/>
      <c r="BC71" s="73"/>
      <c r="BD71" s="73"/>
      <c r="BE71" s="73"/>
      <c r="BF71" s="73"/>
    </row>
    <row r="72" spans="1:58" ht="15" customHeight="1">
      <c r="A72" s="46" t="s">
        <v>411</v>
      </c>
      <c r="B72" s="53" t="s">
        <v>412</v>
      </c>
      <c r="C72" s="66" t="s">
        <v>232</v>
      </c>
      <c r="D72" s="67">
        <v>2</v>
      </c>
      <c r="E72" s="53" t="s">
        <v>233</v>
      </c>
      <c r="F72" s="50"/>
      <c r="G72" s="50"/>
      <c r="H72" s="51"/>
      <c r="I72" s="50" t="s">
        <v>413</v>
      </c>
      <c r="J72" s="54" t="s">
        <v>196</v>
      </c>
      <c r="K72" s="58" t="s">
        <v>92</v>
      </c>
      <c r="L72" s="58" t="s">
        <v>414</v>
      </c>
      <c r="M72" s="58"/>
      <c r="N72" s="58"/>
      <c r="O72" s="54"/>
      <c r="P72" s="56" t="s">
        <v>86</v>
      </c>
      <c r="Q72" s="58" t="s">
        <v>415</v>
      </c>
      <c r="R72" s="50"/>
      <c r="S72" s="50"/>
      <c r="T72" s="50"/>
      <c r="U72" s="50"/>
      <c r="V72" s="57">
        <v>3.54</v>
      </c>
      <c r="W72" s="68"/>
      <c r="X72" s="50"/>
      <c r="Y72" s="50"/>
      <c r="Z72" s="50"/>
      <c r="AA72" s="50"/>
      <c r="AB72" s="57"/>
      <c r="AC72" s="54">
        <v>0</v>
      </c>
      <c r="AD72" s="69">
        <f>SUM(AE72:AK72)</f>
        <v>0</v>
      </c>
      <c r="AE72" s="66"/>
      <c r="AF72" s="66"/>
      <c r="AG72" s="66"/>
      <c r="AH72" s="66"/>
      <c r="AI72" s="66"/>
      <c r="AJ72" s="66"/>
      <c r="AK72" s="66"/>
      <c r="AL72" s="54">
        <f>IF((AC72-SUM(AE72:AK72))&lt;0,0,AC72-SUM(AE72:AK72))</f>
        <v>0</v>
      </c>
      <c r="AM72" s="69">
        <f>SUM(AN72:AT72)</f>
        <v>2</v>
      </c>
      <c r="AN72" s="70"/>
      <c r="AO72" s="54"/>
      <c r="AP72" s="54"/>
      <c r="AQ72" s="54"/>
      <c r="AR72" s="54">
        <v>1</v>
      </c>
      <c r="AS72" s="54">
        <v>1</v>
      </c>
      <c r="AT72" s="71"/>
      <c r="AU72" s="66">
        <f>MAX(0,$AM72-$AC72-$AW72)</f>
        <v>2</v>
      </c>
      <c r="AV72" s="66"/>
      <c r="AW72" s="66"/>
      <c r="AX72" s="65">
        <v>1.85</v>
      </c>
      <c r="AY72" s="65">
        <f>IF(AND($AU72&gt;0,ISNUMBER($AX72)),$AU72*$AX72,0)</f>
        <v>3.7</v>
      </c>
      <c r="AZ72" s="72"/>
      <c r="BA72" s="73"/>
      <c r="BB72" s="73"/>
      <c r="BC72" s="73"/>
      <c r="BD72" s="73"/>
      <c r="BE72" s="73"/>
      <c r="BF72" s="73"/>
    </row>
    <row r="73" spans="1:58" ht="15" customHeight="1">
      <c r="A73" s="46" t="s">
        <v>416</v>
      </c>
      <c r="B73" s="53" t="s">
        <v>417</v>
      </c>
      <c r="C73" s="66" t="s">
        <v>311</v>
      </c>
      <c r="D73" s="67">
        <v>0</v>
      </c>
      <c r="E73" s="53" t="s">
        <v>312</v>
      </c>
      <c r="F73" s="50"/>
      <c r="G73" s="50"/>
      <c r="H73" s="51"/>
      <c r="I73" s="50" t="s">
        <v>418</v>
      </c>
      <c r="J73" s="54" t="s">
        <v>73</v>
      </c>
      <c r="K73" s="58" t="s">
        <v>312</v>
      </c>
      <c r="L73" s="58" t="s">
        <v>419</v>
      </c>
      <c r="M73" s="58"/>
      <c r="N73" s="58"/>
      <c r="O73" s="54"/>
      <c r="P73" s="56" t="s">
        <v>86</v>
      </c>
      <c r="Q73" s="58" t="s">
        <v>420</v>
      </c>
      <c r="R73" s="50"/>
      <c r="S73" s="50"/>
      <c r="T73" s="50"/>
      <c r="U73" s="50"/>
      <c r="V73" s="57">
        <v>0.6</v>
      </c>
      <c r="W73" s="68"/>
      <c r="X73" s="50"/>
      <c r="Y73" s="50"/>
      <c r="Z73" s="50"/>
      <c r="AA73" s="50"/>
      <c r="AB73" s="57"/>
      <c r="AC73" s="54">
        <v>0</v>
      </c>
      <c r="AD73" s="69">
        <f>SUM(AE73:AK73)</f>
        <v>0</v>
      </c>
      <c r="AE73" s="66"/>
      <c r="AF73" s="66"/>
      <c r="AG73" s="66"/>
      <c r="AH73" s="66"/>
      <c r="AI73" s="66"/>
      <c r="AJ73" s="66"/>
      <c r="AK73" s="66"/>
      <c r="AL73" s="54">
        <f>IF((AC73-SUM(AE73:AK73))&lt;0,0,AC73-SUM(AE73:AK73))</f>
        <v>0</v>
      </c>
      <c r="AM73" s="69">
        <f>SUM(AN73:AT73)</f>
        <v>2</v>
      </c>
      <c r="AN73" s="70"/>
      <c r="AO73" s="54"/>
      <c r="AP73" s="54">
        <v>1</v>
      </c>
      <c r="AQ73" s="54">
        <v>1</v>
      </c>
      <c r="AR73" s="54"/>
      <c r="AS73" s="54"/>
      <c r="AT73" s="71"/>
      <c r="AU73" s="66">
        <f>MAX(0,$AM73-$AC73-$AW73)</f>
        <v>2</v>
      </c>
      <c r="AV73" s="66"/>
      <c r="AW73" s="66"/>
      <c r="AX73" s="65">
        <v>0.57999999999999996</v>
      </c>
      <c r="AY73" s="65">
        <f>IF(AND($AU73&gt;0,ISNUMBER($AX73)),$AU73*$AX73,0)</f>
        <v>1.1599999999999999</v>
      </c>
      <c r="AZ73" s="72"/>
      <c r="BA73" s="73"/>
      <c r="BB73" s="73"/>
      <c r="BC73" s="73"/>
      <c r="BD73" s="73"/>
      <c r="BE73" s="73"/>
      <c r="BF73" s="73"/>
    </row>
    <row r="74" spans="1:58" ht="15" customHeight="1">
      <c r="A74" s="46" t="s">
        <v>421</v>
      </c>
      <c r="B74" s="53" t="s">
        <v>422</v>
      </c>
      <c r="C74" s="66" t="s">
        <v>118</v>
      </c>
      <c r="D74" s="67">
        <v>6</v>
      </c>
      <c r="E74" s="53" t="s">
        <v>71</v>
      </c>
      <c r="F74" s="50"/>
      <c r="G74" s="50"/>
      <c r="H74" s="51"/>
      <c r="I74" s="50" t="s">
        <v>423</v>
      </c>
      <c r="J74" s="54" t="s">
        <v>196</v>
      </c>
      <c r="K74" s="53" t="s">
        <v>424</v>
      </c>
      <c r="L74" s="53" t="s">
        <v>425</v>
      </c>
      <c r="M74" s="53"/>
      <c r="N74" s="53"/>
      <c r="O74" s="54"/>
      <c r="P74" s="56" t="s">
        <v>86</v>
      </c>
      <c r="Q74" s="53" t="s">
        <v>426</v>
      </c>
      <c r="R74" s="56"/>
      <c r="S74" s="54"/>
      <c r="T74" s="54"/>
      <c r="U74" s="56"/>
      <c r="V74" s="57">
        <v>0.35</v>
      </c>
      <c r="W74" s="68"/>
      <c r="X74" s="56"/>
      <c r="Y74" s="54"/>
      <c r="Z74" s="54"/>
      <c r="AA74" s="56"/>
      <c r="AB74" s="57"/>
      <c r="AC74" s="54">
        <v>0</v>
      </c>
      <c r="AD74" s="69">
        <f>SUM(AE74:AK74)</f>
        <v>0</v>
      </c>
      <c r="AE74" s="66"/>
      <c r="AF74" s="66"/>
      <c r="AG74" s="66"/>
      <c r="AH74" s="66"/>
      <c r="AI74" s="66"/>
      <c r="AJ74" s="66"/>
      <c r="AK74" s="66"/>
      <c r="AL74" s="54">
        <f>IF((AC74-SUM(AE74:AK74))&lt;0,0,AC74-SUM(AE74:AK74))</f>
        <v>0</v>
      </c>
      <c r="AM74" s="69">
        <f>SUM(AN74:AT74)</f>
        <v>2</v>
      </c>
      <c r="AN74" s="60"/>
      <c r="AO74" s="52"/>
      <c r="AP74" s="52"/>
      <c r="AQ74" s="52">
        <v>1</v>
      </c>
      <c r="AR74" s="52">
        <v>1</v>
      </c>
      <c r="AS74" s="52"/>
      <c r="AT74" s="61"/>
      <c r="AU74" s="66">
        <f>MAX(0,$AM74-$AC74-$AW74)</f>
        <v>2</v>
      </c>
      <c r="AV74" s="66"/>
      <c r="AW74" s="66"/>
      <c r="AX74" s="65">
        <v>0.36</v>
      </c>
      <c r="AY74" s="65">
        <f>IF(AND($AU74&gt;0,ISNUMBER($AX74)),$AU74*$AX74,0)</f>
        <v>0.72</v>
      </c>
      <c r="AZ74" s="46"/>
      <c r="BA74" s="52"/>
      <c r="BB74" s="52"/>
      <c r="BC74" s="52"/>
      <c r="BD74" s="52"/>
      <c r="BE74" s="52"/>
      <c r="BF74" s="52"/>
    </row>
    <row r="75" spans="1:58" ht="15" customHeight="1">
      <c r="A75" s="46" t="s">
        <v>427</v>
      </c>
      <c r="B75" s="53" t="s">
        <v>428</v>
      </c>
      <c r="C75" s="66" t="s">
        <v>101</v>
      </c>
      <c r="D75" s="67">
        <v>2</v>
      </c>
      <c r="E75" s="53" t="s">
        <v>81</v>
      </c>
      <c r="F75" s="50">
        <v>0</v>
      </c>
      <c r="G75" s="50">
        <v>4</v>
      </c>
      <c r="H75" s="51" t="s">
        <v>162</v>
      </c>
      <c r="I75" s="50" t="s">
        <v>429</v>
      </c>
      <c r="J75" s="54" t="s">
        <v>73</v>
      </c>
      <c r="K75" s="58" t="s">
        <v>92</v>
      </c>
      <c r="L75" s="58" t="s">
        <v>430</v>
      </c>
      <c r="M75" s="58" t="s">
        <v>431</v>
      </c>
      <c r="N75" s="58"/>
      <c r="O75" s="54"/>
      <c r="P75" s="56" t="s">
        <v>185</v>
      </c>
      <c r="Q75" s="58" t="s">
        <v>432</v>
      </c>
      <c r="R75" s="50"/>
      <c r="S75" s="50"/>
      <c r="T75" s="50"/>
      <c r="U75" s="50"/>
      <c r="V75" s="57">
        <v>0.33</v>
      </c>
      <c r="W75" s="68"/>
      <c r="X75" s="50"/>
      <c r="Y75" s="50"/>
      <c r="Z75" s="50"/>
      <c r="AA75" s="50"/>
      <c r="AB75" s="57"/>
      <c r="AC75" s="54">
        <v>0</v>
      </c>
      <c r="AD75" s="69">
        <f>SUM(AE75:AK75)</f>
        <v>0</v>
      </c>
      <c r="AE75" s="66"/>
      <c r="AF75" s="66"/>
      <c r="AG75" s="66"/>
      <c r="AH75" s="66"/>
      <c r="AI75" s="66"/>
      <c r="AJ75" s="66"/>
      <c r="AK75" s="66"/>
      <c r="AL75" s="54">
        <f>IF((AC75-SUM(AE75:AK75))&lt;0,0,AC75-SUM(AE75:AK75))</f>
        <v>0</v>
      </c>
      <c r="AM75" s="69">
        <f>SUM(AN75:AT75)</f>
        <v>2</v>
      </c>
      <c r="AN75" s="70"/>
      <c r="AO75" s="54">
        <v>1</v>
      </c>
      <c r="AP75" s="54"/>
      <c r="AQ75" s="54">
        <v>1</v>
      </c>
      <c r="AR75" s="54"/>
      <c r="AS75" s="54"/>
      <c r="AT75" s="71"/>
      <c r="AU75" s="66">
        <f>MAX(0,$AM75-$AC75-$AW75)</f>
        <v>2</v>
      </c>
      <c r="AV75" s="66"/>
      <c r="AW75" s="66"/>
      <c r="AX75" s="65">
        <v>0.28999999999999998</v>
      </c>
      <c r="AY75" s="65">
        <f>IF(AND($AU75&gt;0,ISNUMBER($AX75)),$AU75*$AX75,0)</f>
        <v>0.57999999999999996</v>
      </c>
      <c r="AZ75" s="72"/>
      <c r="BA75" s="73"/>
      <c r="BB75" s="73"/>
      <c r="BC75" s="73"/>
      <c r="BD75" s="73"/>
      <c r="BE75" s="73"/>
      <c r="BF75" s="73"/>
    </row>
    <row r="76" spans="1:58" ht="15" customHeight="1">
      <c r="A76" s="46" t="s">
        <v>433</v>
      </c>
      <c r="B76" s="53" t="s">
        <v>434</v>
      </c>
      <c r="C76" s="66" t="s">
        <v>80</v>
      </c>
      <c r="D76" s="67">
        <v>1</v>
      </c>
      <c r="E76" s="53" t="s">
        <v>189</v>
      </c>
      <c r="F76" s="50"/>
      <c r="G76" s="50"/>
      <c r="H76" s="51"/>
      <c r="I76" s="50" t="s">
        <v>435</v>
      </c>
      <c r="J76" s="54" t="s">
        <v>196</v>
      </c>
      <c r="K76" s="53" t="s">
        <v>92</v>
      </c>
      <c r="L76" s="53" t="s">
        <v>436</v>
      </c>
      <c r="M76" s="53"/>
      <c r="N76" s="53"/>
      <c r="O76" s="54"/>
      <c r="P76" s="56" t="s">
        <v>76</v>
      </c>
      <c r="Q76" s="53" t="s">
        <v>437</v>
      </c>
      <c r="R76" s="56"/>
      <c r="S76" s="54"/>
      <c r="T76" s="54"/>
      <c r="U76" s="56"/>
      <c r="V76" s="57"/>
      <c r="W76" s="68"/>
      <c r="X76" s="56"/>
      <c r="Y76" s="54"/>
      <c r="Z76" s="54"/>
      <c r="AA76" s="56"/>
      <c r="AB76" s="57"/>
      <c r="AC76" s="54">
        <v>0</v>
      </c>
      <c r="AD76" s="69">
        <f>SUM(AE76:AK76)</f>
        <v>0</v>
      </c>
      <c r="AE76" s="66"/>
      <c r="AF76" s="66"/>
      <c r="AG76" s="66"/>
      <c r="AH76" s="66"/>
      <c r="AI76" s="66"/>
      <c r="AJ76" s="66"/>
      <c r="AK76" s="66"/>
      <c r="AL76" s="54">
        <f>IF((AC76-SUM(AE76:AK76))&lt;0,0,AC76-SUM(AE76:AK76))</f>
        <v>0</v>
      </c>
      <c r="AM76" s="69">
        <f>SUM(AN76:AT76)</f>
        <v>2</v>
      </c>
      <c r="AN76" s="60"/>
      <c r="AO76" s="52"/>
      <c r="AP76" s="52">
        <v>1</v>
      </c>
      <c r="AQ76" s="52"/>
      <c r="AR76" s="52"/>
      <c r="AS76" s="52"/>
      <c r="AT76" s="61">
        <v>1</v>
      </c>
      <c r="AU76" s="66">
        <f>MAX(0,$AM76-$AC76-$AW76)</f>
        <v>2</v>
      </c>
      <c r="AV76" s="66"/>
      <c r="AW76" s="66"/>
      <c r="AX76" s="65">
        <v>1.38</v>
      </c>
      <c r="AY76" s="65">
        <f>IF(AND($AU76&gt;0,ISNUMBER($AX76)),$AU76*$AX76,0)</f>
        <v>2.76</v>
      </c>
      <c r="AZ76" s="46"/>
      <c r="BA76" s="52"/>
      <c r="BB76" s="52"/>
      <c r="BC76" s="52"/>
      <c r="BD76" s="52"/>
      <c r="BE76" s="52"/>
      <c r="BF76" s="52"/>
    </row>
    <row r="77" spans="1:58" ht="15" customHeight="1">
      <c r="A77" s="46" t="s">
        <v>438</v>
      </c>
      <c r="B77" s="53" t="s">
        <v>439</v>
      </c>
      <c r="C77" s="66" t="s">
        <v>232</v>
      </c>
      <c r="D77" s="67">
        <v>2</v>
      </c>
      <c r="E77" s="53" t="s">
        <v>233</v>
      </c>
      <c r="F77" s="50"/>
      <c r="G77" s="50"/>
      <c r="H77" s="51"/>
      <c r="I77" s="50" t="s">
        <v>440</v>
      </c>
      <c r="J77" s="54" t="s">
        <v>73</v>
      </c>
      <c r="K77" s="58" t="s">
        <v>235</v>
      </c>
      <c r="L77" s="58" t="s">
        <v>441</v>
      </c>
      <c r="M77" s="58"/>
      <c r="N77" s="58"/>
      <c r="O77" s="54"/>
      <c r="P77" s="56" t="s">
        <v>185</v>
      </c>
      <c r="Q77" s="58" t="s">
        <v>229</v>
      </c>
      <c r="R77" s="54"/>
      <c r="S77" s="54"/>
      <c r="T77" s="54"/>
      <c r="U77" s="54"/>
      <c r="V77" s="57">
        <v>0.56999999999999995</v>
      </c>
      <c r="W77" s="68"/>
      <c r="X77" s="54"/>
      <c r="Y77" s="54"/>
      <c r="Z77" s="54"/>
      <c r="AA77" s="54"/>
      <c r="AB77" s="57"/>
      <c r="AC77" s="54">
        <v>4</v>
      </c>
      <c r="AD77" s="69">
        <f>SUM(AE77:AK77)</f>
        <v>4</v>
      </c>
      <c r="AE77" s="66">
        <v>1</v>
      </c>
      <c r="AF77" s="66">
        <v>1</v>
      </c>
      <c r="AG77" s="66"/>
      <c r="AH77" s="66"/>
      <c r="AI77" s="66">
        <v>1</v>
      </c>
      <c r="AJ77" s="66">
        <v>1</v>
      </c>
      <c r="AK77" s="66"/>
      <c r="AL77" s="54">
        <f>IF((AC77-SUM(AE77:AK77))&lt;0,0,AC77-SUM(AE77:AK77))</f>
        <v>0</v>
      </c>
      <c r="AM77" s="69">
        <f>SUM(AN77:AT77)</f>
        <v>5</v>
      </c>
      <c r="AN77" s="60">
        <v>1</v>
      </c>
      <c r="AO77" s="52">
        <v>1</v>
      </c>
      <c r="AP77" s="52">
        <v>1</v>
      </c>
      <c r="AQ77" s="52"/>
      <c r="AR77" s="52">
        <v>1</v>
      </c>
      <c r="AS77" s="52">
        <v>1</v>
      </c>
      <c r="AT77" s="61"/>
      <c r="AU77" s="66">
        <f>MAX(0,$AM77-$AC77-$AW77)</f>
        <v>1</v>
      </c>
      <c r="AV77" s="66"/>
      <c r="AW77" s="66"/>
      <c r="AX77" s="65">
        <v>0.41</v>
      </c>
      <c r="AY77" s="65">
        <f>IF(AND($AU77&gt;0,ISNUMBER($AX77)),$AU77*$AX77,0)</f>
        <v>0.41</v>
      </c>
      <c r="AZ77" s="46"/>
      <c r="BA77" s="52"/>
      <c r="BB77" s="52"/>
      <c r="BC77" s="52"/>
      <c r="BD77" s="52"/>
      <c r="BE77" s="52"/>
      <c r="BF77" s="52"/>
    </row>
    <row r="78" spans="1:58" ht="15" customHeight="1">
      <c r="A78" s="46" t="s">
        <v>448</v>
      </c>
      <c r="B78" s="53" t="s">
        <v>449</v>
      </c>
      <c r="C78" s="66" t="s">
        <v>232</v>
      </c>
      <c r="D78" s="67">
        <v>1</v>
      </c>
      <c r="E78" s="53" t="s">
        <v>233</v>
      </c>
      <c r="F78" s="50"/>
      <c r="G78" s="50"/>
      <c r="H78" s="51"/>
      <c r="I78" s="50" t="s">
        <v>450</v>
      </c>
      <c r="J78" s="54" t="s">
        <v>73</v>
      </c>
      <c r="K78" s="58" t="s">
        <v>235</v>
      </c>
      <c r="L78" s="58" t="s">
        <v>451</v>
      </c>
      <c r="M78" s="58"/>
      <c r="N78" s="58"/>
      <c r="O78" s="54"/>
      <c r="P78" s="56" t="s">
        <v>185</v>
      </c>
      <c r="Q78" s="58" t="s">
        <v>452</v>
      </c>
      <c r="R78" s="54"/>
      <c r="S78" s="54"/>
      <c r="T78" s="54"/>
      <c r="U78" s="54"/>
      <c r="V78" s="57">
        <v>1.53</v>
      </c>
      <c r="W78" s="68"/>
      <c r="X78" s="54"/>
      <c r="Y78" s="54"/>
      <c r="Z78" s="54"/>
      <c r="AA78" s="54"/>
      <c r="AB78" s="57"/>
      <c r="AC78" s="54">
        <v>1</v>
      </c>
      <c r="AD78" s="69">
        <f>SUM(AE78:AK78)</f>
        <v>1</v>
      </c>
      <c r="AE78" s="66"/>
      <c r="AF78" s="66">
        <v>1</v>
      </c>
      <c r="AG78" s="66"/>
      <c r="AH78" s="66"/>
      <c r="AI78" s="66"/>
      <c r="AJ78" s="66"/>
      <c r="AK78" s="66"/>
      <c r="AL78" s="54">
        <f>IF((AC78-SUM(AE78:AK78))&lt;0,0,AC78-SUM(AE78:AK78))</f>
        <v>0</v>
      </c>
      <c r="AM78" s="69">
        <f>SUM(AN78:AT78)</f>
        <v>2</v>
      </c>
      <c r="AN78" s="60"/>
      <c r="AO78" s="52">
        <v>1</v>
      </c>
      <c r="AP78" s="52"/>
      <c r="AQ78" s="52"/>
      <c r="AR78" s="52"/>
      <c r="AS78" s="52">
        <v>1</v>
      </c>
      <c r="AT78" s="61"/>
      <c r="AU78" s="66">
        <f>MAX(0,$AM78-$AC78-$AW78)</f>
        <v>1</v>
      </c>
      <c r="AV78" s="66"/>
      <c r="AW78" s="66"/>
      <c r="AX78" s="65">
        <v>1.45</v>
      </c>
      <c r="AY78" s="65">
        <f>IF(AND($AU78&gt;0,ISNUMBER($AX78)),$AU78*$AX78,0)</f>
        <v>1.45</v>
      </c>
      <c r="AZ78" s="46"/>
      <c r="BA78" s="52"/>
      <c r="BB78" s="52"/>
      <c r="BC78" s="52"/>
      <c r="BD78" s="52"/>
      <c r="BE78" s="52"/>
      <c r="BF78" s="52"/>
    </row>
    <row r="79" spans="1:58" ht="15" customHeight="1">
      <c r="A79" s="46" t="s">
        <v>453</v>
      </c>
      <c r="B79" s="53" t="s">
        <v>454</v>
      </c>
      <c r="C79" s="66" t="s">
        <v>311</v>
      </c>
      <c r="D79" s="67">
        <v>0</v>
      </c>
      <c r="E79" s="53" t="s">
        <v>312</v>
      </c>
      <c r="F79" s="50"/>
      <c r="G79" s="50"/>
      <c r="H79" s="51"/>
      <c r="I79" s="50" t="s">
        <v>455</v>
      </c>
      <c r="J79" s="54" t="s">
        <v>73</v>
      </c>
      <c r="K79" s="58" t="s">
        <v>312</v>
      </c>
      <c r="L79" s="58" t="s">
        <v>456</v>
      </c>
      <c r="M79" s="58" t="s">
        <v>457</v>
      </c>
      <c r="N79" s="58"/>
      <c r="O79" s="54"/>
      <c r="P79" s="56" t="s">
        <v>86</v>
      </c>
      <c r="Q79" s="58" t="s">
        <v>229</v>
      </c>
      <c r="R79" s="54"/>
      <c r="S79" s="54"/>
      <c r="T79" s="54"/>
      <c r="U79" s="54"/>
      <c r="V79" s="57">
        <v>1.1100000000000001</v>
      </c>
      <c r="W79" s="68"/>
      <c r="X79" s="54"/>
      <c r="Y79" s="54"/>
      <c r="Z79" s="54"/>
      <c r="AA79" s="54"/>
      <c r="AB79" s="57"/>
      <c r="AC79" s="54">
        <v>1</v>
      </c>
      <c r="AD79" s="69">
        <f>SUM(AE79:AK79)</f>
        <v>1</v>
      </c>
      <c r="AE79" s="66"/>
      <c r="AF79" s="66"/>
      <c r="AG79" s="66"/>
      <c r="AH79" s="66"/>
      <c r="AI79" s="66">
        <v>1</v>
      </c>
      <c r="AJ79" s="66"/>
      <c r="AK79" s="66"/>
      <c r="AL79" s="54">
        <f>IF((AC79-SUM(AE79:AK79))&lt;0,0,AC79-SUM(AE79:AK79))</f>
        <v>0</v>
      </c>
      <c r="AM79" s="69">
        <f>SUM(AN79:AT79)</f>
        <v>2</v>
      </c>
      <c r="AN79" s="60"/>
      <c r="AO79" s="52">
        <v>1</v>
      </c>
      <c r="AP79" s="52"/>
      <c r="AQ79" s="52"/>
      <c r="AR79" s="52">
        <v>1</v>
      </c>
      <c r="AS79" s="52"/>
      <c r="AT79" s="61"/>
      <c r="AU79" s="66">
        <f>MAX(0,$AM79-$AC79-$AW79)</f>
        <v>1</v>
      </c>
      <c r="AV79" s="66"/>
      <c r="AW79" s="66"/>
      <c r="AX79" s="65">
        <v>1.05</v>
      </c>
      <c r="AY79" s="65">
        <f>IF(AND($AU79&gt;0,ISNUMBER($AX79)),$AU79*$AX79,0)</f>
        <v>1.05</v>
      </c>
      <c r="AZ79" s="46"/>
      <c r="BA79" s="52"/>
      <c r="BB79" s="52"/>
      <c r="BC79" s="52"/>
      <c r="BD79" s="52"/>
      <c r="BE79" s="52"/>
      <c r="BF79" s="52"/>
    </row>
    <row r="80" spans="1:58" ht="15" customHeight="1">
      <c r="A80" s="46" t="s">
        <v>458</v>
      </c>
      <c r="B80" s="53" t="s">
        <v>459</v>
      </c>
      <c r="C80" s="66" t="s">
        <v>101</v>
      </c>
      <c r="D80" s="67">
        <v>3</v>
      </c>
      <c r="E80" s="53" t="s">
        <v>81</v>
      </c>
      <c r="F80" s="50">
        <v>3</v>
      </c>
      <c r="G80" s="50">
        <v>2</v>
      </c>
      <c r="H80" s="51" t="s">
        <v>102</v>
      </c>
      <c r="I80" s="50" t="s">
        <v>460</v>
      </c>
      <c r="J80" s="54" t="s">
        <v>73</v>
      </c>
      <c r="K80" s="58" t="s">
        <v>344</v>
      </c>
      <c r="L80" s="58" t="s">
        <v>461</v>
      </c>
      <c r="M80" s="58"/>
      <c r="N80" s="58"/>
      <c r="O80" s="54"/>
      <c r="P80" s="56" t="s">
        <v>185</v>
      </c>
      <c r="Q80" s="58" t="s">
        <v>462</v>
      </c>
      <c r="R80" s="50"/>
      <c r="S80" s="50"/>
      <c r="T80" s="50"/>
      <c r="U80" s="50"/>
      <c r="V80" s="57">
        <v>2.94</v>
      </c>
      <c r="W80" s="68"/>
      <c r="X80" s="50"/>
      <c r="Y80" s="50"/>
      <c r="Z80" s="50"/>
      <c r="AA80" s="50"/>
      <c r="AB80" s="57"/>
      <c r="AC80" s="54">
        <v>0</v>
      </c>
      <c r="AD80" s="69">
        <f>SUM(AE80:AK80)</f>
        <v>0</v>
      </c>
      <c r="AE80" s="66"/>
      <c r="AF80" s="66"/>
      <c r="AG80" s="66"/>
      <c r="AH80" s="66"/>
      <c r="AI80" s="66"/>
      <c r="AJ80" s="66"/>
      <c r="AK80" s="66"/>
      <c r="AL80" s="54">
        <f>IF((AC80-SUM(AE80:AK80))&lt;0,0,AC80-SUM(AE80:AK80))</f>
        <v>0</v>
      </c>
      <c r="AM80" s="69">
        <f>SUM(AN80:AT80)</f>
        <v>1</v>
      </c>
      <c r="AN80" s="70"/>
      <c r="AO80" s="54"/>
      <c r="AP80" s="54">
        <v>1</v>
      </c>
      <c r="AQ80" s="54"/>
      <c r="AR80" s="54"/>
      <c r="AS80" s="54"/>
      <c r="AT80" s="71"/>
      <c r="AU80" s="66">
        <f>MAX(0,$AM80-$AC80-$AW80)</f>
        <v>1</v>
      </c>
      <c r="AV80" s="66"/>
      <c r="AW80" s="66"/>
      <c r="AX80" s="65">
        <v>2.33</v>
      </c>
      <c r="AY80" s="65">
        <f>IF(AND($AU80&gt;0,ISNUMBER($AX80)),$AU80*$AX80,0)</f>
        <v>2.33</v>
      </c>
      <c r="AZ80" s="72"/>
      <c r="BA80" s="73"/>
      <c r="BB80" s="73"/>
      <c r="BC80" s="73"/>
      <c r="BD80" s="73"/>
      <c r="BE80" s="73"/>
      <c r="BF80" s="73"/>
    </row>
    <row r="81" spans="1:58" ht="15" customHeight="1">
      <c r="A81" s="46" t="s">
        <v>463</v>
      </c>
      <c r="B81" s="53" t="s">
        <v>464</v>
      </c>
      <c r="C81" s="66" t="s">
        <v>118</v>
      </c>
      <c r="D81" s="67">
        <v>2</v>
      </c>
      <c r="E81" s="53" t="s">
        <v>81</v>
      </c>
      <c r="F81" s="50">
        <v>0</v>
      </c>
      <c r="G81" s="50">
        <v>4</v>
      </c>
      <c r="H81" s="51" t="s">
        <v>465</v>
      </c>
      <c r="I81" s="50" t="s">
        <v>429</v>
      </c>
      <c r="J81" s="54" t="s">
        <v>73</v>
      </c>
      <c r="K81" s="58" t="s">
        <v>92</v>
      </c>
      <c r="L81" s="58" t="s">
        <v>430</v>
      </c>
      <c r="M81" s="58" t="s">
        <v>431</v>
      </c>
      <c r="N81" s="58"/>
      <c r="O81" s="54"/>
      <c r="P81" s="56" t="s">
        <v>185</v>
      </c>
      <c r="Q81" s="58" t="s">
        <v>466</v>
      </c>
      <c r="R81" s="50"/>
      <c r="S81" s="50"/>
      <c r="T81" s="50"/>
      <c r="U81" s="50"/>
      <c r="V81" s="57">
        <v>0.32</v>
      </c>
      <c r="W81" s="68"/>
      <c r="X81" s="50"/>
      <c r="Y81" s="50"/>
      <c r="Z81" s="50"/>
      <c r="AA81" s="50"/>
      <c r="AB81" s="57"/>
      <c r="AC81" s="54">
        <v>0</v>
      </c>
      <c r="AD81" s="69">
        <f>SUM(AE81:AK81)</f>
        <v>0</v>
      </c>
      <c r="AE81" s="66"/>
      <c r="AF81" s="66"/>
      <c r="AG81" s="66"/>
      <c r="AH81" s="66"/>
      <c r="AI81" s="66"/>
      <c r="AJ81" s="66"/>
      <c r="AK81" s="66"/>
      <c r="AL81" s="54">
        <f>IF((AC81-SUM(AE81:AK81))&lt;0,0,AC81-SUM(AE81:AK81))</f>
        <v>0</v>
      </c>
      <c r="AM81" s="69">
        <f>SUM(AN81:AT81)</f>
        <v>1</v>
      </c>
      <c r="AN81" s="70"/>
      <c r="AO81" s="54"/>
      <c r="AP81" s="54"/>
      <c r="AQ81" s="54">
        <v>1</v>
      </c>
      <c r="AR81" s="54"/>
      <c r="AS81" s="54"/>
      <c r="AT81" s="71"/>
      <c r="AU81" s="66">
        <f>MAX(0,$AM81-$AC81-$AW81)</f>
        <v>1</v>
      </c>
      <c r="AV81" s="66"/>
      <c r="AW81" s="66"/>
      <c r="AX81" s="65">
        <v>0.28000000000000003</v>
      </c>
      <c r="AY81" s="65">
        <f>IF(AND($AU81&gt;0,ISNUMBER($AX81)),$AU81*$AX81,0)</f>
        <v>0.28000000000000003</v>
      </c>
      <c r="AZ81" s="72"/>
      <c r="BA81" s="73"/>
      <c r="BB81" s="73"/>
      <c r="BC81" s="73"/>
      <c r="BD81" s="73"/>
      <c r="BE81" s="73"/>
      <c r="BF81" s="73"/>
    </row>
    <row r="82" spans="1:58" ht="15" customHeight="1">
      <c r="A82" s="46" t="s">
        <v>467</v>
      </c>
      <c r="B82" s="53" t="s">
        <v>468</v>
      </c>
      <c r="C82" s="66" t="s">
        <v>101</v>
      </c>
      <c r="D82" s="67">
        <v>2</v>
      </c>
      <c r="E82" s="53" t="s">
        <v>81</v>
      </c>
      <c r="F82" s="50">
        <v>0</v>
      </c>
      <c r="G82" s="50">
        <v>5</v>
      </c>
      <c r="H82" s="51" t="s">
        <v>162</v>
      </c>
      <c r="I82" s="50" t="s">
        <v>469</v>
      </c>
      <c r="J82" s="54" t="s">
        <v>73</v>
      </c>
      <c r="K82" s="58" t="s">
        <v>104</v>
      </c>
      <c r="L82" s="58" t="s">
        <v>470</v>
      </c>
      <c r="M82" s="58" t="s">
        <v>431</v>
      </c>
      <c r="N82" s="58"/>
      <c r="O82" s="54"/>
      <c r="P82" s="56" t="s">
        <v>76</v>
      </c>
      <c r="Q82" s="58" t="s">
        <v>399</v>
      </c>
      <c r="R82" s="50"/>
      <c r="S82" s="50"/>
      <c r="T82" s="50"/>
      <c r="U82" s="50"/>
      <c r="V82" s="57">
        <v>0.24</v>
      </c>
      <c r="W82" s="68"/>
      <c r="X82" s="50"/>
      <c r="Y82" s="50"/>
      <c r="Z82" s="50"/>
      <c r="AA82" s="50"/>
      <c r="AB82" s="57"/>
      <c r="AC82" s="54">
        <v>0</v>
      </c>
      <c r="AD82" s="69">
        <f>SUM(AE82:AK82)</f>
        <v>0</v>
      </c>
      <c r="AE82" s="66"/>
      <c r="AF82" s="66"/>
      <c r="AG82" s="66"/>
      <c r="AH82" s="66"/>
      <c r="AI82" s="66"/>
      <c r="AJ82" s="66"/>
      <c r="AK82" s="66"/>
      <c r="AL82" s="54">
        <f>IF((AC82-SUM(AE82:AK82))&lt;0,0,AC82-SUM(AE82:AK82))</f>
        <v>0</v>
      </c>
      <c r="AM82" s="69">
        <f>SUM(AN82:AT82)</f>
        <v>1</v>
      </c>
      <c r="AN82" s="70"/>
      <c r="AO82" s="54"/>
      <c r="AP82" s="54"/>
      <c r="AQ82" s="54">
        <v>1</v>
      </c>
      <c r="AR82" s="54"/>
      <c r="AS82" s="54"/>
      <c r="AT82" s="71"/>
      <c r="AU82" s="66">
        <f>MAX(0,$AM82-$AC82-$AW82)</f>
        <v>1</v>
      </c>
      <c r="AV82" s="66"/>
      <c r="AW82" s="66"/>
      <c r="AX82" s="65">
        <v>0.23</v>
      </c>
      <c r="AY82" s="65">
        <f>IF(AND($AU82&gt;0,ISNUMBER($AX82)),$AU82*$AX82,0)</f>
        <v>0.23</v>
      </c>
      <c r="AZ82" s="72"/>
      <c r="BA82" s="73"/>
      <c r="BB82" s="73"/>
      <c r="BC82" s="73"/>
      <c r="BD82" s="73"/>
      <c r="BE82" s="73"/>
      <c r="BF82" s="73"/>
    </row>
    <row r="83" spans="1:58" ht="15" customHeight="1">
      <c r="A83" s="46" t="s">
        <v>471</v>
      </c>
      <c r="B83" s="53" t="s">
        <v>472</v>
      </c>
      <c r="C83" s="66" t="s">
        <v>70</v>
      </c>
      <c r="D83" s="67">
        <v>4</v>
      </c>
      <c r="E83" s="53" t="s">
        <v>71</v>
      </c>
      <c r="F83" s="50"/>
      <c r="G83" s="50"/>
      <c r="H83" s="51"/>
      <c r="I83" s="50" t="s">
        <v>473</v>
      </c>
      <c r="J83" s="54" t="s">
        <v>196</v>
      </c>
      <c r="K83" s="58" t="s">
        <v>474</v>
      </c>
      <c r="L83" s="58" t="s">
        <v>475</v>
      </c>
      <c r="M83" s="58" t="s">
        <v>476</v>
      </c>
      <c r="N83" s="58"/>
      <c r="O83" s="54"/>
      <c r="P83" s="56" t="s">
        <v>86</v>
      </c>
      <c r="Q83" s="58" t="s">
        <v>477</v>
      </c>
      <c r="R83" s="50"/>
      <c r="S83" s="50"/>
      <c r="T83" s="50"/>
      <c r="U83" s="50"/>
      <c r="V83" s="57">
        <v>8.1</v>
      </c>
      <c r="W83" s="68"/>
      <c r="X83" s="50"/>
      <c r="Y83" s="50"/>
      <c r="Z83" s="50"/>
      <c r="AA83" s="50"/>
      <c r="AB83" s="57"/>
      <c r="AC83" s="54">
        <v>0</v>
      </c>
      <c r="AD83" s="69">
        <f>SUM(AE83:AK83)</f>
        <v>0</v>
      </c>
      <c r="AE83" s="66"/>
      <c r="AF83" s="66"/>
      <c r="AG83" s="66"/>
      <c r="AH83" s="66"/>
      <c r="AI83" s="66"/>
      <c r="AJ83" s="66"/>
      <c r="AK83" s="66"/>
      <c r="AL83" s="54">
        <f>IF((AC83-SUM(AE83:AK83))&lt;0,0,AC83-SUM(AE83:AK83))</f>
        <v>0</v>
      </c>
      <c r="AM83" s="69">
        <f>SUM(AN83:AT83)</f>
        <v>1</v>
      </c>
      <c r="AN83" s="70">
        <v>1</v>
      </c>
      <c r="AO83" s="54"/>
      <c r="AP83" s="54"/>
      <c r="AQ83" s="54"/>
      <c r="AR83" s="54"/>
      <c r="AS83" s="54"/>
      <c r="AT83" s="71"/>
      <c r="AU83" s="66">
        <f>MAX(0,$AM83-$AC83-$AW83)</f>
        <v>1</v>
      </c>
      <c r="AV83" s="66"/>
      <c r="AW83" s="66"/>
      <c r="AX83" s="65">
        <v>4.5199999999999996</v>
      </c>
      <c r="AY83" s="65">
        <f>IF(AND($AU83&gt;0,ISNUMBER($AX83)),$AU83*$AX83,0)</f>
        <v>4.5199999999999996</v>
      </c>
      <c r="AZ83" s="72"/>
      <c r="BA83" s="73"/>
      <c r="BB83" s="73"/>
      <c r="BC83" s="73"/>
      <c r="BD83" s="73"/>
      <c r="BE83" s="73"/>
      <c r="BF83" s="73"/>
    </row>
    <row r="84" spans="1:58" ht="15" customHeight="1">
      <c r="A84" s="46" t="s">
        <v>478</v>
      </c>
      <c r="B84" s="53" t="s">
        <v>479</v>
      </c>
      <c r="C84" s="66" t="s">
        <v>109</v>
      </c>
      <c r="D84" s="67">
        <v>2</v>
      </c>
      <c r="E84" s="53" t="s">
        <v>189</v>
      </c>
      <c r="F84" s="50"/>
      <c r="G84" s="50"/>
      <c r="H84" s="51"/>
      <c r="I84" s="50" t="s">
        <v>480</v>
      </c>
      <c r="J84" s="54" t="s">
        <v>196</v>
      </c>
      <c r="K84" s="58" t="s">
        <v>386</v>
      </c>
      <c r="L84" s="58" t="s">
        <v>481</v>
      </c>
      <c r="M84" s="58"/>
      <c r="N84" s="58"/>
      <c r="O84" s="54"/>
      <c r="P84" s="56" t="s">
        <v>185</v>
      </c>
      <c r="Q84" s="58" t="s">
        <v>482</v>
      </c>
      <c r="R84" s="50"/>
      <c r="S84" s="50"/>
      <c r="T84" s="50"/>
      <c r="U84" s="50"/>
      <c r="V84" s="57">
        <v>4.51</v>
      </c>
      <c r="W84" s="68"/>
      <c r="X84" s="50"/>
      <c r="Y84" s="50"/>
      <c r="Z84" s="50"/>
      <c r="AA84" s="50"/>
      <c r="AB84" s="57"/>
      <c r="AC84" s="54">
        <v>0</v>
      </c>
      <c r="AD84" s="69">
        <f>SUM(AE84:AK84)</f>
        <v>0</v>
      </c>
      <c r="AE84" s="66"/>
      <c r="AF84" s="66"/>
      <c r="AG84" s="66"/>
      <c r="AH84" s="66"/>
      <c r="AI84" s="66"/>
      <c r="AJ84" s="66"/>
      <c r="AK84" s="66"/>
      <c r="AL84" s="54">
        <f>IF((AC84-SUM(AE84:AK84))&lt;0,0,AC84-SUM(AE84:AK84))</f>
        <v>0</v>
      </c>
      <c r="AM84" s="69">
        <f>SUM(AN84:AT84)</f>
        <v>1</v>
      </c>
      <c r="AN84" s="70">
        <v>1</v>
      </c>
      <c r="AO84" s="54"/>
      <c r="AP84" s="54"/>
      <c r="AQ84" s="54"/>
      <c r="AR84" s="54"/>
      <c r="AS84" s="54"/>
      <c r="AT84" s="71"/>
      <c r="AU84" s="66">
        <f>MAX(0,$AM84-$AC84-$AW84)</f>
        <v>1</v>
      </c>
      <c r="AV84" s="66"/>
      <c r="AW84" s="66"/>
      <c r="AX84" s="65">
        <v>4.87</v>
      </c>
      <c r="AY84" s="65">
        <f>IF(AND($AU84&gt;0,ISNUMBER($AX84)),$AU84*$AX84,0)</f>
        <v>4.87</v>
      </c>
      <c r="AZ84" s="72"/>
      <c r="BA84" s="73"/>
      <c r="BB84" s="73"/>
      <c r="BC84" s="73"/>
      <c r="BD84" s="73"/>
      <c r="BE84" s="73"/>
      <c r="BF84" s="73"/>
    </row>
    <row r="85" spans="1:58" ht="15" customHeight="1">
      <c r="A85" s="46" t="s">
        <v>483</v>
      </c>
      <c r="B85" s="53" t="s">
        <v>484</v>
      </c>
      <c r="C85" s="66" t="s">
        <v>109</v>
      </c>
      <c r="D85" s="67">
        <v>2</v>
      </c>
      <c r="E85" s="53" t="s">
        <v>233</v>
      </c>
      <c r="F85" s="50"/>
      <c r="G85" s="50"/>
      <c r="H85" s="51"/>
      <c r="I85" s="50" t="s">
        <v>485</v>
      </c>
      <c r="J85" s="54" t="s">
        <v>73</v>
      </c>
      <c r="K85" s="58" t="s">
        <v>235</v>
      </c>
      <c r="L85" s="58" t="s">
        <v>486</v>
      </c>
      <c r="M85" s="58"/>
      <c r="N85" s="58"/>
      <c r="O85" s="54"/>
      <c r="P85" s="56" t="s">
        <v>185</v>
      </c>
      <c r="Q85" s="58" t="s">
        <v>487</v>
      </c>
      <c r="R85" s="50"/>
      <c r="S85" s="50"/>
      <c r="T85" s="50"/>
      <c r="U85" s="50"/>
      <c r="V85" s="57">
        <v>0.67</v>
      </c>
      <c r="W85" s="68"/>
      <c r="X85" s="50"/>
      <c r="Y85" s="50"/>
      <c r="Z85" s="50"/>
      <c r="AA85" s="50"/>
      <c r="AB85" s="57"/>
      <c r="AC85" s="54">
        <v>0</v>
      </c>
      <c r="AD85" s="69">
        <f>SUM(AE85:AK85)</f>
        <v>0</v>
      </c>
      <c r="AE85" s="66"/>
      <c r="AF85" s="66"/>
      <c r="AG85" s="66"/>
      <c r="AH85" s="66"/>
      <c r="AI85" s="66"/>
      <c r="AJ85" s="66"/>
      <c r="AK85" s="66"/>
      <c r="AL85" s="54">
        <f>IF((AC85-SUM(AE85:AK85))&lt;0,0,AC85-SUM(AE85:AK85))</f>
        <v>0</v>
      </c>
      <c r="AM85" s="69">
        <f>SUM(AN85:AT85)</f>
        <v>1</v>
      </c>
      <c r="AN85" s="70">
        <v>1</v>
      </c>
      <c r="AO85" s="54"/>
      <c r="AP85" s="54"/>
      <c r="AQ85" s="54"/>
      <c r="AR85" s="54"/>
      <c r="AS85" s="54"/>
      <c r="AT85" s="71"/>
      <c r="AU85" s="66">
        <f>MAX(0,$AM85-$AC85-$AW85)</f>
        <v>1</v>
      </c>
      <c r="AV85" s="66"/>
      <c r="AW85" s="66"/>
      <c r="AX85" s="65">
        <v>0.52</v>
      </c>
      <c r="AY85" s="65">
        <f>IF(AND($AU85&gt;0,ISNUMBER($AX85)),$AU85*$AX85,0)</f>
        <v>0.52</v>
      </c>
      <c r="AZ85" s="72"/>
      <c r="BA85" s="73"/>
      <c r="BB85" s="73"/>
      <c r="BC85" s="73"/>
      <c r="BD85" s="73"/>
      <c r="BE85" s="73"/>
      <c r="BF85" s="73"/>
    </row>
    <row r="86" spans="1:58" ht="15" customHeight="1">
      <c r="A86" s="46" t="s">
        <v>488</v>
      </c>
      <c r="B86" s="53" t="s">
        <v>489</v>
      </c>
      <c r="C86" s="66" t="s">
        <v>101</v>
      </c>
      <c r="D86" s="67">
        <v>4</v>
      </c>
      <c r="E86" s="53" t="s">
        <v>81</v>
      </c>
      <c r="F86" s="50">
        <v>2</v>
      </c>
      <c r="G86" s="50">
        <v>3</v>
      </c>
      <c r="H86" s="51" t="s">
        <v>102</v>
      </c>
      <c r="I86" s="50" t="s">
        <v>490</v>
      </c>
      <c r="J86" s="54" t="s">
        <v>196</v>
      </c>
      <c r="K86" s="58" t="s">
        <v>92</v>
      </c>
      <c r="L86" s="58" t="s">
        <v>491</v>
      </c>
      <c r="M86" s="58"/>
      <c r="N86" s="58"/>
      <c r="O86" s="54"/>
      <c r="P86" s="56" t="s">
        <v>86</v>
      </c>
      <c r="Q86" s="58" t="s">
        <v>492</v>
      </c>
      <c r="R86" s="50"/>
      <c r="S86" s="50"/>
      <c r="T86" s="50"/>
      <c r="U86" s="50"/>
      <c r="V86" s="57">
        <v>8.9600000000000009</v>
      </c>
      <c r="W86" s="68"/>
      <c r="X86" s="50"/>
      <c r="Y86" s="50"/>
      <c r="Z86" s="50"/>
      <c r="AA86" s="50"/>
      <c r="AB86" s="57"/>
      <c r="AC86" s="54">
        <v>0</v>
      </c>
      <c r="AD86" s="69">
        <f>SUM(AE86:AK86)</f>
        <v>0</v>
      </c>
      <c r="AE86" s="66"/>
      <c r="AF86" s="66"/>
      <c r="AG86" s="66"/>
      <c r="AH86" s="66"/>
      <c r="AI86" s="66"/>
      <c r="AJ86" s="66"/>
      <c r="AK86" s="66"/>
      <c r="AL86" s="54">
        <f>IF((AC86-SUM(AE86:AK86))&lt;0,0,AC86-SUM(AE86:AK86))</f>
        <v>0</v>
      </c>
      <c r="AM86" s="69">
        <f>SUM(AN86:AT86)</f>
        <v>1</v>
      </c>
      <c r="AN86" s="70"/>
      <c r="AO86" s="54">
        <v>1</v>
      </c>
      <c r="AP86" s="54"/>
      <c r="AQ86" s="54"/>
      <c r="AR86" s="54"/>
      <c r="AS86" s="54"/>
      <c r="AT86" s="71"/>
      <c r="AU86" s="66">
        <f>MAX(0,$AM86-$AC86-$AW86)</f>
        <v>1</v>
      </c>
      <c r="AV86" s="66"/>
      <c r="AW86" s="66"/>
      <c r="AX86" s="65">
        <v>7.51</v>
      </c>
      <c r="AY86" s="65">
        <f>IF(AND($AU86&gt;0,ISNUMBER($AX86)),$AU86*$AX86,0)</f>
        <v>7.51</v>
      </c>
      <c r="AZ86" s="72"/>
      <c r="BA86" s="73"/>
      <c r="BB86" s="73"/>
      <c r="BC86" s="73"/>
      <c r="BD86" s="73"/>
      <c r="BE86" s="73"/>
      <c r="BF86" s="73"/>
    </row>
    <row r="87" spans="1:58" ht="15" customHeight="1">
      <c r="A87" s="46" t="s">
        <v>493</v>
      </c>
      <c r="B87" s="53" t="s">
        <v>494</v>
      </c>
      <c r="C87" s="66" t="s">
        <v>109</v>
      </c>
      <c r="D87" s="67">
        <v>3</v>
      </c>
      <c r="E87" s="53" t="s">
        <v>110</v>
      </c>
      <c r="F87" s="50">
        <v>0</v>
      </c>
      <c r="G87" s="50">
        <v>5</v>
      </c>
      <c r="H87" s="51" t="s">
        <v>495</v>
      </c>
      <c r="I87" s="50" t="s">
        <v>496</v>
      </c>
      <c r="J87" s="54" t="s">
        <v>196</v>
      </c>
      <c r="K87" s="58" t="s">
        <v>497</v>
      </c>
      <c r="L87" s="58" t="s">
        <v>498</v>
      </c>
      <c r="M87" s="58"/>
      <c r="N87" s="58"/>
      <c r="O87" s="54"/>
      <c r="P87" s="56" t="s">
        <v>86</v>
      </c>
      <c r="Q87" s="58" t="s">
        <v>426</v>
      </c>
      <c r="R87" s="50"/>
      <c r="S87" s="50"/>
      <c r="T87" s="50"/>
      <c r="U87" s="50"/>
      <c r="V87" s="57">
        <v>8.65</v>
      </c>
      <c r="W87" s="68"/>
      <c r="X87" s="50"/>
      <c r="Y87" s="50"/>
      <c r="Z87" s="50"/>
      <c r="AA87" s="50"/>
      <c r="AB87" s="57"/>
      <c r="AC87" s="54">
        <v>0</v>
      </c>
      <c r="AD87" s="69">
        <f>SUM(AE87:AK87)</f>
        <v>0</v>
      </c>
      <c r="AE87" s="66"/>
      <c r="AF87" s="66"/>
      <c r="AG87" s="66"/>
      <c r="AH87" s="66"/>
      <c r="AI87" s="66"/>
      <c r="AJ87" s="66"/>
      <c r="AK87" s="66"/>
      <c r="AL87" s="54">
        <f>IF((AC87-SUM(AE87:AK87))&lt;0,0,AC87-SUM(AE87:AK87))</f>
        <v>0</v>
      </c>
      <c r="AM87" s="69">
        <f>SUM(AN87:AT87)</f>
        <v>1</v>
      </c>
      <c r="AN87" s="70"/>
      <c r="AO87" s="54"/>
      <c r="AP87" s="54"/>
      <c r="AQ87" s="54">
        <v>1</v>
      </c>
      <c r="AR87" s="54"/>
      <c r="AS87" s="54"/>
      <c r="AT87" s="71"/>
      <c r="AU87" s="66">
        <f>MAX(0,$AM87-$AC87-$AW87)</f>
        <v>1</v>
      </c>
      <c r="AV87" s="66"/>
      <c r="AW87" s="66"/>
      <c r="AX87" s="65">
        <v>8.48</v>
      </c>
      <c r="AY87" s="65">
        <f>IF(AND($AU87&gt;0,ISNUMBER($AX87)),$AU87*$AX87,0)</f>
        <v>8.48</v>
      </c>
      <c r="AZ87" s="72"/>
      <c r="BA87" s="73"/>
      <c r="BB87" s="73"/>
      <c r="BC87" s="73"/>
      <c r="BD87" s="73"/>
      <c r="BE87" s="73"/>
      <c r="BF87" s="73"/>
    </row>
    <row r="88" spans="1:58" ht="15" customHeight="1">
      <c r="A88" s="46" t="s">
        <v>499</v>
      </c>
      <c r="B88" s="53" t="s">
        <v>500</v>
      </c>
      <c r="C88" s="66" t="s">
        <v>181</v>
      </c>
      <c r="D88" s="67">
        <v>2</v>
      </c>
      <c r="E88" s="53" t="s">
        <v>71</v>
      </c>
      <c r="F88" s="50"/>
      <c r="G88" s="50"/>
      <c r="H88" s="51"/>
      <c r="I88" s="50" t="s">
        <v>501</v>
      </c>
      <c r="J88" s="54" t="s">
        <v>196</v>
      </c>
      <c r="K88" s="58" t="s">
        <v>92</v>
      </c>
      <c r="L88" s="58" t="s">
        <v>501</v>
      </c>
      <c r="M88" s="58"/>
      <c r="N88" s="58"/>
      <c r="O88" s="54"/>
      <c r="P88" s="56" t="s">
        <v>76</v>
      </c>
      <c r="Q88" s="58" t="s">
        <v>502</v>
      </c>
      <c r="R88" s="54"/>
      <c r="S88" s="54"/>
      <c r="T88" s="54"/>
      <c r="U88" s="54"/>
      <c r="V88" s="57">
        <v>5.45</v>
      </c>
      <c r="W88" s="68"/>
      <c r="X88" s="54"/>
      <c r="Y88" s="54"/>
      <c r="Z88" s="54"/>
      <c r="AA88" s="54"/>
      <c r="AB88" s="57"/>
      <c r="AC88" s="54">
        <v>0</v>
      </c>
      <c r="AD88" s="69">
        <f>SUM(AE88:AK88)</f>
        <v>0</v>
      </c>
      <c r="AE88" s="66"/>
      <c r="AF88" s="66"/>
      <c r="AG88" s="66"/>
      <c r="AH88" s="66"/>
      <c r="AI88" s="66"/>
      <c r="AJ88" s="66"/>
      <c r="AK88" s="66"/>
      <c r="AL88" s="54">
        <f>IF((AC88-SUM(AE88:AK88))&lt;0,0,AC88-SUM(AE88:AK88))</f>
        <v>0</v>
      </c>
      <c r="AM88" s="69">
        <f>SUM(AN88:AT88)</f>
        <v>1</v>
      </c>
      <c r="AN88" s="70"/>
      <c r="AO88" s="54"/>
      <c r="AP88" s="54"/>
      <c r="AQ88" s="54"/>
      <c r="AR88" s="54">
        <v>1</v>
      </c>
      <c r="AS88" s="54"/>
      <c r="AT88" s="71"/>
      <c r="AU88" s="66">
        <f>MAX(0,$AM88-$AC88-$AW88)</f>
        <v>1</v>
      </c>
      <c r="AV88" s="66"/>
      <c r="AW88" s="66"/>
      <c r="AX88" s="65">
        <v>0.28999999999999998</v>
      </c>
      <c r="AY88" s="65">
        <f>IF(AND($AU88&gt;0,ISNUMBER($AX88)),$AU88*$AX88,0)</f>
        <v>0.28999999999999998</v>
      </c>
      <c r="AZ88" s="72"/>
      <c r="BA88" s="73"/>
      <c r="BB88" s="73"/>
      <c r="BC88" s="73"/>
      <c r="BD88" s="73"/>
      <c r="BE88" s="73"/>
      <c r="BF88" s="73"/>
    </row>
    <row r="89" spans="1:58" ht="15" customHeight="1">
      <c r="A89" s="46" t="s">
        <v>503</v>
      </c>
      <c r="B89" s="53" t="s">
        <v>504</v>
      </c>
      <c r="C89" s="66" t="s">
        <v>232</v>
      </c>
      <c r="D89" s="67">
        <v>5</v>
      </c>
      <c r="E89" s="53" t="s">
        <v>233</v>
      </c>
      <c r="F89" s="50"/>
      <c r="G89" s="50"/>
      <c r="H89" s="51"/>
      <c r="I89" s="50" t="s">
        <v>505</v>
      </c>
      <c r="J89" s="54" t="s">
        <v>73</v>
      </c>
      <c r="K89" s="53" t="s">
        <v>92</v>
      </c>
      <c r="L89" s="53" t="s">
        <v>506</v>
      </c>
      <c r="M89" s="53" t="s">
        <v>507</v>
      </c>
      <c r="N89" s="53" t="s">
        <v>508</v>
      </c>
      <c r="O89" s="54"/>
      <c r="P89" s="56" t="s">
        <v>86</v>
      </c>
      <c r="Q89" s="53" t="s">
        <v>509</v>
      </c>
      <c r="R89" s="56"/>
      <c r="S89" s="54"/>
      <c r="T89" s="54"/>
      <c r="U89" s="56"/>
      <c r="V89" s="57">
        <v>5.12</v>
      </c>
      <c r="W89" s="68"/>
      <c r="X89" s="56"/>
      <c r="Y89" s="54"/>
      <c r="Z89" s="54"/>
      <c r="AA89" s="56"/>
      <c r="AB89" s="57"/>
      <c r="AC89" s="54">
        <v>0</v>
      </c>
      <c r="AD89" s="69">
        <f>SUM(AE89:AK89)</f>
        <v>0</v>
      </c>
      <c r="AE89" s="66"/>
      <c r="AF89" s="66"/>
      <c r="AG89" s="66"/>
      <c r="AH89" s="66"/>
      <c r="AI89" s="66"/>
      <c r="AJ89" s="66"/>
      <c r="AK89" s="66"/>
      <c r="AL89" s="54">
        <f>IF((AC89-SUM(AE89:AK89))&lt;0,0,AC89-SUM(AE89:AK89))</f>
        <v>0</v>
      </c>
      <c r="AM89" s="69">
        <f>SUM(AN89:AT89)</f>
        <v>1</v>
      </c>
      <c r="AN89" s="60"/>
      <c r="AO89" s="52"/>
      <c r="AP89" s="52"/>
      <c r="AQ89" s="52"/>
      <c r="AR89" s="52"/>
      <c r="AS89" s="52">
        <v>1</v>
      </c>
      <c r="AT89" s="61"/>
      <c r="AU89" s="66">
        <f>MAX(0,$AM89-$AC89-$AW89)</f>
        <v>1</v>
      </c>
      <c r="AV89" s="66"/>
      <c r="AW89" s="66"/>
      <c r="AX89" s="65">
        <v>5.51</v>
      </c>
      <c r="AY89" s="65">
        <f>IF(AND($AU89&gt;0,ISNUMBER($AX89)),$AU89*$AX89,0)</f>
        <v>5.51</v>
      </c>
      <c r="AZ89" s="46"/>
      <c r="BA89" s="52"/>
      <c r="BB89" s="52"/>
      <c r="BC89" s="52"/>
      <c r="BD89" s="52"/>
      <c r="BE89" s="52"/>
      <c r="BF89" s="52"/>
    </row>
    <row r="90" spans="1:58" ht="15" customHeight="1">
      <c r="A90" s="46" t="s">
        <v>510</v>
      </c>
      <c r="B90" s="53" t="s">
        <v>511</v>
      </c>
      <c r="C90" s="66" t="s">
        <v>118</v>
      </c>
      <c r="D90" s="67">
        <v>2</v>
      </c>
      <c r="E90" s="53" t="s">
        <v>81</v>
      </c>
      <c r="F90" s="50">
        <v>1</v>
      </c>
      <c r="G90" s="50">
        <v>1</v>
      </c>
      <c r="H90" s="51" t="s">
        <v>512</v>
      </c>
      <c r="I90" s="50" t="s">
        <v>513</v>
      </c>
      <c r="J90" s="54" t="s">
        <v>73</v>
      </c>
      <c r="K90" s="58" t="s">
        <v>273</v>
      </c>
      <c r="L90" s="58" t="s">
        <v>514</v>
      </c>
      <c r="M90" s="58" t="s">
        <v>515</v>
      </c>
      <c r="N90" s="58"/>
      <c r="O90" s="54"/>
      <c r="P90" s="56" t="s">
        <v>76</v>
      </c>
      <c r="Q90" s="58" t="s">
        <v>516</v>
      </c>
      <c r="R90" s="50"/>
      <c r="S90" s="50"/>
      <c r="T90" s="50"/>
      <c r="U90" s="50"/>
      <c r="V90" s="57">
        <v>4.4000000000000004</v>
      </c>
      <c r="W90" s="68"/>
      <c r="X90" s="50"/>
      <c r="Y90" s="50"/>
      <c r="Z90" s="50"/>
      <c r="AA90" s="50"/>
      <c r="AB90" s="57"/>
      <c r="AC90" s="54">
        <v>0</v>
      </c>
      <c r="AD90" s="69">
        <f>SUM(AE90:AK90)</f>
        <v>0</v>
      </c>
      <c r="AE90" s="66"/>
      <c r="AF90" s="66"/>
      <c r="AG90" s="66"/>
      <c r="AH90" s="66"/>
      <c r="AI90" s="66"/>
      <c r="AJ90" s="66"/>
      <c r="AK90" s="66"/>
      <c r="AL90" s="54">
        <f>IF((AC90-SUM(AE90:AK90))&lt;0,0,AC90-SUM(AE90:AK90))</f>
        <v>0</v>
      </c>
      <c r="AM90" s="69">
        <f>SUM(AN90:AT90)</f>
        <v>1</v>
      </c>
      <c r="AN90" s="70"/>
      <c r="AO90" s="54"/>
      <c r="AP90" s="54"/>
      <c r="AQ90" s="54"/>
      <c r="AR90" s="54">
        <v>1</v>
      </c>
      <c r="AS90" s="54"/>
      <c r="AT90" s="71"/>
      <c r="AU90" s="66">
        <f>MAX(0,$AM90-$AC90-$AW90)</f>
        <v>1</v>
      </c>
      <c r="AV90" s="66"/>
      <c r="AW90" s="66"/>
      <c r="AX90" s="65">
        <v>4.67</v>
      </c>
      <c r="AY90" s="65">
        <f>IF(AND($AU90&gt;0,ISNUMBER($AX90)),$AU90*$AX90,0)</f>
        <v>4.67</v>
      </c>
      <c r="AZ90" s="72"/>
      <c r="BA90" s="73"/>
      <c r="BB90" s="73"/>
      <c r="BC90" s="73"/>
      <c r="BD90" s="73"/>
      <c r="BE90" s="73"/>
      <c r="BF90" s="73"/>
    </row>
    <row r="91" spans="1:58" ht="15" customHeight="1">
      <c r="A91" s="46" t="s">
        <v>517</v>
      </c>
      <c r="B91" s="53" t="s">
        <v>518</v>
      </c>
      <c r="C91" s="66" t="s">
        <v>232</v>
      </c>
      <c r="D91" s="67">
        <v>2</v>
      </c>
      <c r="E91" s="53" t="s">
        <v>233</v>
      </c>
      <c r="F91" s="50"/>
      <c r="G91" s="50"/>
      <c r="H91" s="51" t="s">
        <v>519</v>
      </c>
      <c r="I91" s="50" t="s">
        <v>520</v>
      </c>
      <c r="J91" s="54" t="s">
        <v>196</v>
      </c>
      <c r="K91" s="58" t="s">
        <v>254</v>
      </c>
      <c r="L91" s="58" t="s">
        <v>521</v>
      </c>
      <c r="M91" s="58" t="s">
        <v>522</v>
      </c>
      <c r="N91" s="58"/>
      <c r="O91" s="54"/>
      <c r="P91" s="56" t="s">
        <v>185</v>
      </c>
      <c r="Q91" s="58" t="s">
        <v>523</v>
      </c>
      <c r="R91" s="50"/>
      <c r="S91" s="50"/>
      <c r="T91" s="50"/>
      <c r="U91" s="50"/>
      <c r="V91" s="57">
        <v>3.58</v>
      </c>
      <c r="W91" s="68"/>
      <c r="X91" s="50"/>
      <c r="Y91" s="50"/>
      <c r="Z91" s="50"/>
      <c r="AA91" s="50"/>
      <c r="AB91" s="57"/>
      <c r="AC91" s="54">
        <v>0</v>
      </c>
      <c r="AD91" s="69">
        <f>SUM(AE91:AK91)</f>
        <v>0</v>
      </c>
      <c r="AE91" s="66"/>
      <c r="AF91" s="66"/>
      <c r="AG91" s="66"/>
      <c r="AH91" s="66"/>
      <c r="AI91" s="66"/>
      <c r="AJ91" s="66"/>
      <c r="AK91" s="66"/>
      <c r="AL91" s="54">
        <f>IF((AC91-SUM(AE91:AK91))&lt;0,0,AC91-SUM(AE91:AK91))</f>
        <v>0</v>
      </c>
      <c r="AM91" s="69">
        <f>SUM(AN91:AT91)</f>
        <v>1</v>
      </c>
      <c r="AN91" s="70"/>
      <c r="AO91" s="54"/>
      <c r="AP91" s="54"/>
      <c r="AQ91" s="54"/>
      <c r="AR91" s="54"/>
      <c r="AS91" s="54">
        <v>1</v>
      </c>
      <c r="AT91" s="71"/>
      <c r="AU91" s="66">
        <f>MAX(0,$AM91-$AC91-$AW91)</f>
        <v>1</v>
      </c>
      <c r="AV91" s="66"/>
      <c r="AW91" s="66"/>
      <c r="AX91" s="65">
        <v>4.59</v>
      </c>
      <c r="AY91" s="65">
        <f>IF(AND($AU91&gt;0,ISNUMBER($AX91)),$AU91*$AX91,0)</f>
        <v>4.59</v>
      </c>
      <c r="AZ91" s="72"/>
      <c r="BA91" s="73"/>
      <c r="BB91" s="73"/>
      <c r="BC91" s="73"/>
      <c r="BD91" s="73"/>
      <c r="BE91" s="73"/>
      <c r="BF91" s="73"/>
    </row>
    <row r="92" spans="1:58" ht="15" customHeight="1">
      <c r="A92" s="46" t="s">
        <v>524</v>
      </c>
      <c r="B92" s="53" t="s">
        <v>525</v>
      </c>
      <c r="C92" s="66" t="s">
        <v>70</v>
      </c>
      <c r="D92" s="67">
        <v>2</v>
      </c>
      <c r="E92" s="53" t="s">
        <v>81</v>
      </c>
      <c r="F92" s="50">
        <v>1</v>
      </c>
      <c r="G92" s="50">
        <v>1</v>
      </c>
      <c r="H92" s="51" t="s">
        <v>318</v>
      </c>
      <c r="I92" s="50" t="s">
        <v>526</v>
      </c>
      <c r="J92" s="54" t="s">
        <v>196</v>
      </c>
      <c r="K92" s="58" t="s">
        <v>84</v>
      </c>
      <c r="L92" s="58" t="s">
        <v>527</v>
      </c>
      <c r="M92" s="58"/>
      <c r="N92" s="58"/>
      <c r="O92" s="54"/>
      <c r="P92" s="56" t="s">
        <v>86</v>
      </c>
      <c r="Q92" s="58" t="s">
        <v>528</v>
      </c>
      <c r="R92" s="54"/>
      <c r="S92" s="54"/>
      <c r="T92" s="54"/>
      <c r="U92" s="54"/>
      <c r="V92" s="57">
        <v>3.52</v>
      </c>
      <c r="W92" s="68"/>
      <c r="X92" s="54"/>
      <c r="Y92" s="54"/>
      <c r="Z92" s="54"/>
      <c r="AA92" s="54"/>
      <c r="AB92" s="57"/>
      <c r="AC92" s="54">
        <v>0</v>
      </c>
      <c r="AD92" s="69">
        <f>SUM(AE92:AK92)</f>
        <v>0</v>
      </c>
      <c r="AE92" s="66"/>
      <c r="AF92" s="66"/>
      <c r="AG92" s="66"/>
      <c r="AH92" s="66"/>
      <c r="AI92" s="66"/>
      <c r="AJ92" s="66"/>
      <c r="AK92" s="66"/>
      <c r="AL92" s="54">
        <f>IF((AC92-SUM(AE92:AK92))&lt;0,0,AC92-SUM(AE92:AK92))</f>
        <v>0</v>
      </c>
      <c r="AM92" s="69">
        <f>SUM(AN92:AT92)</f>
        <v>1</v>
      </c>
      <c r="AN92" s="70"/>
      <c r="AO92" s="54"/>
      <c r="AP92" s="54"/>
      <c r="AQ92" s="54"/>
      <c r="AR92" s="54"/>
      <c r="AS92" s="54">
        <v>1</v>
      </c>
      <c r="AT92" s="71"/>
      <c r="AU92" s="66">
        <f>MAX(0,$AM92-$AC92-$AW92)</f>
        <v>1</v>
      </c>
      <c r="AV92" s="66"/>
      <c r="AW92" s="66"/>
      <c r="AX92" s="65">
        <v>4.87</v>
      </c>
      <c r="AY92" s="65">
        <f>IF(AND($AU92&gt;0,ISNUMBER($AX92)),$AU92*$AX92,0)</f>
        <v>4.87</v>
      </c>
      <c r="AZ92" s="72"/>
      <c r="BA92" s="73"/>
      <c r="BB92" s="73"/>
      <c r="BC92" s="73"/>
      <c r="BD92" s="73"/>
      <c r="BE92" s="73"/>
      <c r="BF92" s="73"/>
    </row>
    <row r="93" spans="1:58" ht="15" customHeight="1">
      <c r="A93" s="46" t="s">
        <v>529</v>
      </c>
      <c r="B93" s="53" t="s">
        <v>530</v>
      </c>
      <c r="C93" s="66" t="s">
        <v>232</v>
      </c>
      <c r="D93" s="67">
        <v>5</v>
      </c>
      <c r="E93" s="53" t="s">
        <v>531</v>
      </c>
      <c r="F93" s="50" t="s">
        <v>126</v>
      </c>
      <c r="G93" s="50" t="s">
        <v>126</v>
      </c>
      <c r="H93" s="51" t="s">
        <v>532</v>
      </c>
      <c r="I93" s="50" t="s">
        <v>533</v>
      </c>
      <c r="J93" s="54" t="s">
        <v>73</v>
      </c>
      <c r="K93" s="53" t="s">
        <v>92</v>
      </c>
      <c r="L93" s="53" t="s">
        <v>534</v>
      </c>
      <c r="M93" s="53" t="s">
        <v>535</v>
      </c>
      <c r="N93" s="53"/>
      <c r="O93" s="54"/>
      <c r="P93" s="56" t="s">
        <v>86</v>
      </c>
      <c r="Q93" s="53" t="s">
        <v>536</v>
      </c>
      <c r="R93" s="56"/>
      <c r="S93" s="54"/>
      <c r="T93" s="54"/>
      <c r="U93" s="56"/>
      <c r="V93" s="57">
        <v>2.5</v>
      </c>
      <c r="W93" s="68"/>
      <c r="X93" s="56"/>
      <c r="Y93" s="54"/>
      <c r="Z93" s="54"/>
      <c r="AA93" s="56"/>
      <c r="AB93" s="57"/>
      <c r="AC93" s="54">
        <v>0</v>
      </c>
      <c r="AD93" s="69">
        <f>SUM(AE93:AK93)</f>
        <v>0</v>
      </c>
      <c r="AE93" s="66"/>
      <c r="AF93" s="66"/>
      <c r="AG93" s="66"/>
      <c r="AH93" s="66"/>
      <c r="AI93" s="66"/>
      <c r="AJ93" s="66"/>
      <c r="AK93" s="66"/>
      <c r="AL93" s="54">
        <f>IF((AC93-SUM(AE93:AK93))&lt;0,0,AC93-SUM(AE93:AK93))</f>
        <v>0</v>
      </c>
      <c r="AM93" s="69">
        <f>SUM(AN93:AT93)</f>
        <v>1</v>
      </c>
      <c r="AN93" s="60"/>
      <c r="AO93" s="52"/>
      <c r="AP93" s="52"/>
      <c r="AQ93" s="52"/>
      <c r="AR93" s="52">
        <v>1</v>
      </c>
      <c r="AS93" s="52"/>
      <c r="AT93" s="61"/>
      <c r="AU93" s="66">
        <f>MAX(0,$AM93-$AC93-$AW93)</f>
        <v>1</v>
      </c>
      <c r="AV93" s="66"/>
      <c r="AW93" s="66"/>
      <c r="AX93" s="65">
        <v>2.69</v>
      </c>
      <c r="AY93" s="65">
        <f>IF(AND($AU93&gt;0,ISNUMBER($AX93)),$AU93*$AX93,0)</f>
        <v>2.69</v>
      </c>
      <c r="AZ93" s="46"/>
      <c r="BA93" s="52"/>
      <c r="BB93" s="52"/>
      <c r="BC93" s="52"/>
      <c r="BD93" s="52"/>
      <c r="BE93" s="52"/>
      <c r="BF93" s="52"/>
    </row>
    <row r="94" spans="1:58" ht="15" customHeight="1">
      <c r="A94" s="46" t="s">
        <v>537</v>
      </c>
      <c r="B94" s="53" t="s">
        <v>538</v>
      </c>
      <c r="C94" s="66" t="s">
        <v>80</v>
      </c>
      <c r="D94" s="67">
        <v>3</v>
      </c>
      <c r="E94" s="53" t="s">
        <v>189</v>
      </c>
      <c r="F94" s="50"/>
      <c r="G94" s="50"/>
      <c r="H94" s="51"/>
      <c r="I94" s="50" t="s">
        <v>539</v>
      </c>
      <c r="J94" s="54" t="s">
        <v>73</v>
      </c>
      <c r="K94" s="53" t="s">
        <v>92</v>
      </c>
      <c r="L94" s="53" t="s">
        <v>540</v>
      </c>
      <c r="M94" s="53"/>
      <c r="N94" s="53"/>
      <c r="O94" s="54"/>
      <c r="P94" s="56" t="s">
        <v>76</v>
      </c>
      <c r="Q94" s="53" t="s">
        <v>541</v>
      </c>
      <c r="R94" s="56"/>
      <c r="S94" s="54"/>
      <c r="T94" s="54"/>
      <c r="U94" s="56"/>
      <c r="V94" s="57">
        <v>2.12</v>
      </c>
      <c r="W94" s="68"/>
      <c r="X94" s="56"/>
      <c r="Y94" s="54"/>
      <c r="Z94" s="54"/>
      <c r="AA94" s="56"/>
      <c r="AB94" s="57"/>
      <c r="AC94" s="54">
        <v>0</v>
      </c>
      <c r="AD94" s="69">
        <f>SUM(AE94:AK94)</f>
        <v>0</v>
      </c>
      <c r="AE94" s="66"/>
      <c r="AF94" s="66"/>
      <c r="AG94" s="66"/>
      <c r="AH94" s="66"/>
      <c r="AI94" s="66"/>
      <c r="AJ94" s="66"/>
      <c r="AK94" s="66"/>
      <c r="AL94" s="54">
        <f>IF((AC94-SUM(AE94:AK94))&lt;0,0,AC94-SUM(AE94:AK94))</f>
        <v>0</v>
      </c>
      <c r="AM94" s="69">
        <f>SUM(AN94:AT94)</f>
        <v>1</v>
      </c>
      <c r="AN94" s="60"/>
      <c r="AO94" s="52"/>
      <c r="AP94" s="52">
        <v>1</v>
      </c>
      <c r="AQ94" s="52"/>
      <c r="AR94" s="52"/>
      <c r="AS94" s="52"/>
      <c r="AT94" s="61"/>
      <c r="AU94" s="66">
        <f>MAX(0,$AM94-$AC94-$AW94)</f>
        <v>1</v>
      </c>
      <c r="AV94" s="66"/>
      <c r="AW94" s="66"/>
      <c r="AX94" s="65">
        <v>2.17</v>
      </c>
      <c r="AY94" s="65">
        <f>IF(AND($AU94&gt;0,ISNUMBER($AX94)),$AU94*$AX94,0)</f>
        <v>2.17</v>
      </c>
      <c r="AZ94" s="46"/>
      <c r="BA94" s="52"/>
      <c r="BB94" s="52"/>
      <c r="BC94" s="52"/>
      <c r="BD94" s="52"/>
      <c r="BE94" s="52"/>
      <c r="BF94" s="52"/>
    </row>
    <row r="95" spans="1:58" ht="15" customHeight="1">
      <c r="A95" s="46" t="s">
        <v>542</v>
      </c>
      <c r="B95" s="53" t="s">
        <v>543</v>
      </c>
      <c r="C95" s="66" t="s">
        <v>70</v>
      </c>
      <c r="D95" s="67">
        <v>0</v>
      </c>
      <c r="E95" s="53" t="s">
        <v>312</v>
      </c>
      <c r="F95" s="50"/>
      <c r="G95" s="50"/>
      <c r="H95" s="51"/>
      <c r="I95" s="50" t="s">
        <v>544</v>
      </c>
      <c r="J95" s="54" t="s">
        <v>196</v>
      </c>
      <c r="K95" s="58" t="s">
        <v>312</v>
      </c>
      <c r="L95" s="58" t="s">
        <v>545</v>
      </c>
      <c r="M95" s="58"/>
      <c r="N95" s="58"/>
      <c r="O95" s="54"/>
      <c r="P95" s="56" t="s">
        <v>86</v>
      </c>
      <c r="Q95" s="58" t="s">
        <v>546</v>
      </c>
      <c r="R95" s="50"/>
      <c r="S95" s="50"/>
      <c r="T95" s="50"/>
      <c r="U95" s="50"/>
      <c r="V95" s="57">
        <v>1.68</v>
      </c>
      <c r="W95" s="68"/>
      <c r="X95" s="50"/>
      <c r="Y95" s="50"/>
      <c r="Z95" s="50"/>
      <c r="AA95" s="50"/>
      <c r="AB95" s="57"/>
      <c r="AC95" s="54">
        <v>0</v>
      </c>
      <c r="AD95" s="69">
        <f>SUM(AE95:AK95)</f>
        <v>0</v>
      </c>
      <c r="AE95" s="66"/>
      <c r="AF95" s="66"/>
      <c r="AG95" s="66"/>
      <c r="AH95" s="66"/>
      <c r="AI95" s="66"/>
      <c r="AJ95" s="66"/>
      <c r="AK95" s="66"/>
      <c r="AL95" s="54">
        <f>IF((AC95-SUM(AE95:AK95))&lt;0,0,AC95-SUM(AE95:AK95))</f>
        <v>0</v>
      </c>
      <c r="AM95" s="69">
        <f>SUM(AN95:AT95)</f>
        <v>1</v>
      </c>
      <c r="AN95" s="70"/>
      <c r="AO95" s="54"/>
      <c r="AP95" s="54"/>
      <c r="AQ95" s="54"/>
      <c r="AR95" s="54"/>
      <c r="AS95" s="54">
        <v>1</v>
      </c>
      <c r="AT95" s="71"/>
      <c r="AU95" s="66">
        <f>MAX(0,$AM95-$AC95-$AW95)</f>
        <v>1</v>
      </c>
      <c r="AV95" s="66"/>
      <c r="AW95" s="66"/>
      <c r="AX95" s="65">
        <v>1.33</v>
      </c>
      <c r="AY95" s="65">
        <f>IF(AND($AU95&gt;0,ISNUMBER($AX95)),$AU95*$AX95,0)</f>
        <v>1.33</v>
      </c>
      <c r="AZ95" s="72"/>
      <c r="BA95" s="73"/>
      <c r="BB95" s="73"/>
      <c r="BC95" s="73"/>
      <c r="BD95" s="73"/>
      <c r="BE95" s="73"/>
      <c r="BF95" s="73"/>
    </row>
    <row r="96" spans="1:58" ht="15" customHeight="1">
      <c r="A96" s="46" t="s">
        <v>547</v>
      </c>
      <c r="B96" s="53" t="s">
        <v>548</v>
      </c>
      <c r="C96" s="66" t="s">
        <v>118</v>
      </c>
      <c r="D96" s="67">
        <v>3</v>
      </c>
      <c r="E96" s="53" t="s">
        <v>189</v>
      </c>
      <c r="F96" s="50"/>
      <c r="G96" s="50"/>
      <c r="H96" s="51"/>
      <c r="I96" s="50" t="s">
        <v>549</v>
      </c>
      <c r="J96" s="54" t="s">
        <v>196</v>
      </c>
      <c r="K96" s="58" t="s">
        <v>550</v>
      </c>
      <c r="L96" s="58" t="s">
        <v>551</v>
      </c>
      <c r="M96" s="58" t="s">
        <v>552</v>
      </c>
      <c r="N96" s="58"/>
      <c r="O96" s="54"/>
      <c r="P96" s="56" t="s">
        <v>86</v>
      </c>
      <c r="Q96" s="58" t="s">
        <v>410</v>
      </c>
      <c r="R96" s="50"/>
      <c r="S96" s="50"/>
      <c r="T96" s="50"/>
      <c r="U96" s="50"/>
      <c r="V96" s="57">
        <v>1.4</v>
      </c>
      <c r="W96" s="68"/>
      <c r="X96" s="50"/>
      <c r="Y96" s="50"/>
      <c r="Z96" s="50"/>
      <c r="AA96" s="50"/>
      <c r="AB96" s="57"/>
      <c r="AC96" s="54">
        <v>0</v>
      </c>
      <c r="AD96" s="69">
        <f>SUM(AE96:AK96)</f>
        <v>0</v>
      </c>
      <c r="AE96" s="66"/>
      <c r="AF96" s="66"/>
      <c r="AG96" s="66"/>
      <c r="AH96" s="66"/>
      <c r="AI96" s="66"/>
      <c r="AJ96" s="66"/>
      <c r="AK96" s="66"/>
      <c r="AL96" s="54">
        <f>IF((AC96-SUM(AE96:AK96))&lt;0,0,AC96-SUM(AE96:AK96))</f>
        <v>0</v>
      </c>
      <c r="AM96" s="69">
        <f>SUM(AN96:AT96)</f>
        <v>1</v>
      </c>
      <c r="AN96" s="70"/>
      <c r="AO96" s="54"/>
      <c r="AP96" s="54"/>
      <c r="AQ96" s="54"/>
      <c r="AR96" s="54">
        <v>1</v>
      </c>
      <c r="AS96" s="54"/>
      <c r="AT96" s="71"/>
      <c r="AU96" s="66">
        <f>MAX(0,$AM96-$AC96-$AW96)</f>
        <v>1</v>
      </c>
      <c r="AV96" s="66"/>
      <c r="AW96" s="66"/>
      <c r="AX96" s="65">
        <v>0.74</v>
      </c>
      <c r="AY96" s="65">
        <f>IF(AND($AU96&gt;0,ISNUMBER($AX96)),$AU96*$AX96,0)</f>
        <v>0.74</v>
      </c>
      <c r="AZ96" s="72"/>
      <c r="BA96" s="73"/>
      <c r="BB96" s="73"/>
      <c r="BC96" s="73"/>
      <c r="BD96" s="73"/>
      <c r="BE96" s="73"/>
      <c r="BF96" s="73"/>
    </row>
    <row r="97" spans="1:58" ht="15" customHeight="1">
      <c r="A97" s="46" t="s">
        <v>553</v>
      </c>
      <c r="B97" s="53" t="s">
        <v>554</v>
      </c>
      <c r="C97" s="66" t="s">
        <v>109</v>
      </c>
      <c r="D97" s="67">
        <v>2</v>
      </c>
      <c r="E97" s="53" t="s">
        <v>189</v>
      </c>
      <c r="F97" s="50"/>
      <c r="G97" s="50"/>
      <c r="H97" s="51"/>
      <c r="I97" s="50" t="s">
        <v>555</v>
      </c>
      <c r="J97" s="54" t="s">
        <v>196</v>
      </c>
      <c r="K97" s="53" t="s">
        <v>135</v>
      </c>
      <c r="L97" s="53" t="s">
        <v>556</v>
      </c>
      <c r="M97" s="53"/>
      <c r="N97" s="53"/>
      <c r="O97" s="54"/>
      <c r="P97" s="56" t="s">
        <v>86</v>
      </c>
      <c r="Q97" s="53" t="s">
        <v>492</v>
      </c>
      <c r="R97" s="56"/>
      <c r="S97" s="54"/>
      <c r="T97" s="54"/>
      <c r="U97" s="56"/>
      <c r="V97" s="57">
        <v>1.19</v>
      </c>
      <c r="W97" s="68"/>
      <c r="X97" s="56"/>
      <c r="Y97" s="54"/>
      <c r="Z97" s="54"/>
      <c r="AA97" s="56"/>
      <c r="AB97" s="57"/>
      <c r="AC97" s="54">
        <v>0</v>
      </c>
      <c r="AD97" s="69">
        <f>SUM(AE97:AK97)</f>
        <v>0</v>
      </c>
      <c r="AE97" s="66"/>
      <c r="AF97" s="66"/>
      <c r="AG97" s="66"/>
      <c r="AH97" s="66"/>
      <c r="AI97" s="66"/>
      <c r="AJ97" s="66"/>
      <c r="AK97" s="66"/>
      <c r="AL97" s="54">
        <f>IF((AC97-SUM(AE97:AK97))&lt;0,0,AC97-SUM(AE97:AK97))</f>
        <v>0</v>
      </c>
      <c r="AM97" s="69">
        <f>SUM(AN97:AT97)</f>
        <v>1</v>
      </c>
      <c r="AN97" s="60"/>
      <c r="AO97" s="52"/>
      <c r="AP97" s="52"/>
      <c r="AQ97" s="52"/>
      <c r="AR97" s="52"/>
      <c r="AS97" s="52"/>
      <c r="AT97" s="61">
        <v>1</v>
      </c>
      <c r="AU97" s="66">
        <f>MAX(0,$AM97-$AC97-$AW97)</f>
        <v>1</v>
      </c>
      <c r="AV97" s="66"/>
      <c r="AW97" s="66"/>
      <c r="AX97" s="65">
        <v>1.2</v>
      </c>
      <c r="AY97" s="65">
        <f>IF(AND($AU97&gt;0,ISNUMBER($AX97)),$AU97*$AX97,0)</f>
        <v>1.2</v>
      </c>
      <c r="AZ97" s="46"/>
      <c r="BA97" s="52"/>
      <c r="BB97" s="52"/>
      <c r="BC97" s="52"/>
      <c r="BD97" s="52"/>
      <c r="BE97" s="52"/>
      <c r="BF97" s="52"/>
    </row>
    <row r="98" spans="1:58" ht="15" customHeight="1">
      <c r="A98" s="46" t="s">
        <v>557</v>
      </c>
      <c r="B98" s="53" t="s">
        <v>558</v>
      </c>
      <c r="C98" s="66" t="s">
        <v>101</v>
      </c>
      <c r="D98" s="67">
        <v>3</v>
      </c>
      <c r="E98" s="53" t="s">
        <v>189</v>
      </c>
      <c r="F98" s="50"/>
      <c r="G98" s="50"/>
      <c r="H98" s="51"/>
      <c r="I98" s="50" t="s">
        <v>559</v>
      </c>
      <c r="J98" s="54" t="s">
        <v>196</v>
      </c>
      <c r="K98" s="58" t="s">
        <v>135</v>
      </c>
      <c r="L98" s="58" t="s">
        <v>560</v>
      </c>
      <c r="M98" s="58"/>
      <c r="N98" s="58"/>
      <c r="O98" s="54"/>
      <c r="P98" s="56" t="s">
        <v>185</v>
      </c>
      <c r="Q98" s="58" t="s">
        <v>516</v>
      </c>
      <c r="R98" s="50"/>
      <c r="S98" s="50"/>
      <c r="T98" s="50"/>
      <c r="U98" s="50"/>
      <c r="V98" s="57">
        <v>0.63</v>
      </c>
      <c r="W98" s="68"/>
      <c r="X98" s="50"/>
      <c r="Y98" s="50"/>
      <c r="Z98" s="50"/>
      <c r="AA98" s="50"/>
      <c r="AB98" s="57"/>
      <c r="AC98" s="54">
        <v>0</v>
      </c>
      <c r="AD98" s="69">
        <f>SUM(AE98:AK98)</f>
        <v>0</v>
      </c>
      <c r="AE98" s="66"/>
      <c r="AF98" s="66"/>
      <c r="AG98" s="66"/>
      <c r="AH98" s="66"/>
      <c r="AI98" s="66"/>
      <c r="AJ98" s="66"/>
      <c r="AK98" s="66"/>
      <c r="AL98" s="54">
        <f>IF((AC98-SUM(AE98:AK98))&lt;0,0,AC98-SUM(AE98:AK98))</f>
        <v>0</v>
      </c>
      <c r="AM98" s="69">
        <f>SUM(AN98:AT98)</f>
        <v>1</v>
      </c>
      <c r="AN98" s="70"/>
      <c r="AO98" s="54"/>
      <c r="AP98" s="54"/>
      <c r="AQ98" s="54">
        <v>1</v>
      </c>
      <c r="AR98" s="54"/>
      <c r="AS98" s="54"/>
      <c r="AT98" s="71"/>
      <c r="AU98" s="66">
        <f>MAX(0,$AM98-$AC98-$AW98)</f>
        <v>1</v>
      </c>
      <c r="AV98" s="66"/>
      <c r="AW98" s="66"/>
      <c r="AX98" s="65">
        <v>0.6</v>
      </c>
      <c r="AY98" s="65">
        <f>IF(AND($AU98&gt;0,ISNUMBER($AX98)),$AU98*$AX98,0)</f>
        <v>0.6</v>
      </c>
      <c r="AZ98" s="72"/>
      <c r="BA98" s="73"/>
      <c r="BB98" s="73"/>
      <c r="BC98" s="73"/>
      <c r="BD98" s="73"/>
      <c r="BE98" s="73"/>
      <c r="BF98" s="73"/>
    </row>
    <row r="99" spans="1:58" ht="15" customHeight="1">
      <c r="A99" s="46" t="s">
        <v>561</v>
      </c>
      <c r="B99" s="53" t="s">
        <v>562</v>
      </c>
      <c r="C99" s="66" t="s">
        <v>101</v>
      </c>
      <c r="D99" s="67">
        <v>3</v>
      </c>
      <c r="E99" s="53" t="s">
        <v>384</v>
      </c>
      <c r="F99" s="50"/>
      <c r="G99" s="50"/>
      <c r="H99" s="51"/>
      <c r="I99" s="50" t="s">
        <v>563</v>
      </c>
      <c r="J99" s="54" t="s">
        <v>73</v>
      </c>
      <c r="K99" s="53" t="s">
        <v>92</v>
      </c>
      <c r="L99" s="53" t="s">
        <v>564</v>
      </c>
      <c r="M99" s="53" t="s">
        <v>565</v>
      </c>
      <c r="N99" s="53" t="s">
        <v>566</v>
      </c>
      <c r="O99" s="54"/>
      <c r="P99" s="56" t="s">
        <v>185</v>
      </c>
      <c r="Q99" s="53" t="s">
        <v>256</v>
      </c>
      <c r="R99" s="56"/>
      <c r="S99" s="54"/>
      <c r="T99" s="54"/>
      <c r="U99" s="56"/>
      <c r="V99" s="57">
        <v>0.59</v>
      </c>
      <c r="W99" s="68"/>
      <c r="X99" s="56"/>
      <c r="Y99" s="54"/>
      <c r="Z99" s="54"/>
      <c r="AA99" s="56"/>
      <c r="AB99" s="57"/>
      <c r="AC99" s="54">
        <v>0</v>
      </c>
      <c r="AD99" s="69">
        <f>SUM(AE99:AK99)</f>
        <v>0</v>
      </c>
      <c r="AE99" s="66"/>
      <c r="AF99" s="66"/>
      <c r="AG99" s="66"/>
      <c r="AH99" s="66"/>
      <c r="AI99" s="66"/>
      <c r="AJ99" s="66"/>
      <c r="AK99" s="66"/>
      <c r="AL99" s="54">
        <f>IF((AC99-SUM(AE99:AK99))&lt;0,0,AC99-SUM(AE99:AK99))</f>
        <v>0</v>
      </c>
      <c r="AM99" s="69">
        <f>SUM(AN99:AT99)</f>
        <v>1</v>
      </c>
      <c r="AN99" s="60"/>
      <c r="AO99" s="52"/>
      <c r="AP99" s="52">
        <v>1</v>
      </c>
      <c r="AQ99" s="52"/>
      <c r="AR99" s="52"/>
      <c r="AS99" s="52"/>
      <c r="AT99" s="61"/>
      <c r="AU99" s="66">
        <f>MAX(0,$AM99-$AC99-$AW99)</f>
        <v>1</v>
      </c>
      <c r="AV99" s="66"/>
      <c r="AW99" s="66"/>
      <c r="AX99" s="65">
        <v>0.54</v>
      </c>
      <c r="AY99" s="65">
        <f>IF(AND($AU99&gt;0,ISNUMBER($AX99)),$AU99*$AX99,0)</f>
        <v>0.54</v>
      </c>
      <c r="AZ99" s="46"/>
      <c r="BA99" s="52"/>
      <c r="BB99" s="52"/>
      <c r="BC99" s="52"/>
      <c r="BD99" s="52"/>
      <c r="BE99" s="52"/>
      <c r="BF99" s="52"/>
    </row>
    <row r="100" spans="1:58" ht="15" customHeight="1">
      <c r="A100" s="46" t="s">
        <v>567</v>
      </c>
      <c r="B100" s="53" t="s">
        <v>568</v>
      </c>
      <c r="C100" s="66" t="s">
        <v>181</v>
      </c>
      <c r="D100" s="67">
        <v>2</v>
      </c>
      <c r="E100" s="53" t="s">
        <v>81</v>
      </c>
      <c r="F100" s="50">
        <v>1</v>
      </c>
      <c r="G100" s="50">
        <v>2</v>
      </c>
      <c r="H100" s="51" t="s">
        <v>119</v>
      </c>
      <c r="I100" s="50" t="s">
        <v>569</v>
      </c>
      <c r="J100" s="54" t="s">
        <v>73</v>
      </c>
      <c r="K100" s="58" t="s">
        <v>247</v>
      </c>
      <c r="L100" s="58" t="s">
        <v>570</v>
      </c>
      <c r="M100" s="58"/>
      <c r="N100" s="58"/>
      <c r="O100" s="54"/>
      <c r="P100" s="56" t="s">
        <v>86</v>
      </c>
      <c r="Q100" s="58" t="s">
        <v>410</v>
      </c>
      <c r="R100" s="50"/>
      <c r="S100" s="50"/>
      <c r="T100" s="50"/>
      <c r="U100" s="50"/>
      <c r="V100" s="57">
        <v>0.56999999999999995</v>
      </c>
      <c r="W100" s="68"/>
      <c r="X100" s="50"/>
      <c r="Y100" s="50"/>
      <c r="Z100" s="50"/>
      <c r="AA100" s="50"/>
      <c r="AB100" s="57"/>
      <c r="AC100" s="54">
        <v>0</v>
      </c>
      <c r="AD100" s="69">
        <f>SUM(AE100:AK100)</f>
        <v>0</v>
      </c>
      <c r="AE100" s="66"/>
      <c r="AF100" s="66"/>
      <c r="AG100" s="66"/>
      <c r="AH100" s="66"/>
      <c r="AI100" s="66"/>
      <c r="AJ100" s="66"/>
      <c r="AK100" s="66"/>
      <c r="AL100" s="54">
        <f>IF((AC100-SUM(AE100:AK100))&lt;0,0,AC100-SUM(AE100:AK100))</f>
        <v>0</v>
      </c>
      <c r="AM100" s="69">
        <f>SUM(AN100:AT100)</f>
        <v>1</v>
      </c>
      <c r="AN100" s="70"/>
      <c r="AO100" s="54"/>
      <c r="AP100" s="54"/>
      <c r="AQ100" s="54"/>
      <c r="AR100" s="54">
        <v>1</v>
      </c>
      <c r="AS100" s="54"/>
      <c r="AT100" s="71"/>
      <c r="AU100" s="66">
        <f>MAX(0,$AM100-$AC100-$AW100)</f>
        <v>1</v>
      </c>
      <c r="AV100" s="66"/>
      <c r="AW100" s="66"/>
      <c r="AX100" s="65">
        <v>0.59</v>
      </c>
      <c r="AY100" s="65">
        <f>IF(AND($AU100&gt;0,ISNUMBER($AX100)),$AU100*$AX100,0)</f>
        <v>0.59</v>
      </c>
      <c r="AZ100" s="72"/>
      <c r="BA100" s="73"/>
      <c r="BB100" s="73"/>
      <c r="BC100" s="73"/>
      <c r="BD100" s="73"/>
      <c r="BE100" s="73"/>
      <c r="BF100" s="73"/>
    </row>
    <row r="101" spans="1:58" ht="15" customHeight="1">
      <c r="A101" s="46" t="s">
        <v>571</v>
      </c>
      <c r="B101" s="53" t="s">
        <v>572</v>
      </c>
      <c r="C101" s="66" t="s">
        <v>181</v>
      </c>
      <c r="D101" s="67">
        <v>2</v>
      </c>
      <c r="E101" s="53" t="s">
        <v>189</v>
      </c>
      <c r="F101" s="50"/>
      <c r="G101" s="50"/>
      <c r="H101" s="51"/>
      <c r="I101" s="50" t="s">
        <v>573</v>
      </c>
      <c r="J101" s="54" t="s">
        <v>73</v>
      </c>
      <c r="K101" s="53" t="s">
        <v>135</v>
      </c>
      <c r="L101" s="53" t="s">
        <v>574</v>
      </c>
      <c r="M101" s="53"/>
      <c r="N101" s="53"/>
      <c r="O101" s="54"/>
      <c r="P101" s="56" t="s">
        <v>185</v>
      </c>
      <c r="Q101" s="53" t="s">
        <v>575</v>
      </c>
      <c r="R101" s="56"/>
      <c r="S101" s="54"/>
      <c r="T101" s="54"/>
      <c r="U101" s="56"/>
      <c r="V101" s="57">
        <v>0.33</v>
      </c>
      <c r="W101" s="68"/>
      <c r="X101" s="56"/>
      <c r="Y101" s="54"/>
      <c r="Z101" s="54"/>
      <c r="AA101" s="56"/>
      <c r="AB101" s="57"/>
      <c r="AC101" s="54">
        <v>0</v>
      </c>
      <c r="AD101" s="69">
        <f>SUM(AE101:AK101)</f>
        <v>0</v>
      </c>
      <c r="AE101" s="66"/>
      <c r="AF101" s="66"/>
      <c r="AG101" s="66"/>
      <c r="AH101" s="66"/>
      <c r="AI101" s="66"/>
      <c r="AJ101" s="66"/>
      <c r="AK101" s="66"/>
      <c r="AL101" s="54">
        <f>IF((AC101-SUM(AE101:AK101))&lt;0,0,AC101-SUM(AE101:AK101))</f>
        <v>0</v>
      </c>
      <c r="AM101" s="69">
        <f>SUM(AN101:AT101)</f>
        <v>1</v>
      </c>
      <c r="AN101" s="60"/>
      <c r="AO101" s="52"/>
      <c r="AP101" s="52"/>
      <c r="AQ101" s="52"/>
      <c r="AR101" s="52">
        <v>1</v>
      </c>
      <c r="AS101" s="52"/>
      <c r="AT101" s="61"/>
      <c r="AU101" s="66">
        <f>MAX(0,$AM101-$AC101-$AW101)</f>
        <v>1</v>
      </c>
      <c r="AV101" s="66"/>
      <c r="AW101" s="66"/>
      <c r="AX101" s="65">
        <v>0.33</v>
      </c>
      <c r="AY101" s="65">
        <f>IF(AND($AU101&gt;0,ISNUMBER($AX101)),$AU101*$AX101,0)</f>
        <v>0.33</v>
      </c>
      <c r="AZ101" s="46"/>
      <c r="BA101" s="52"/>
      <c r="BB101" s="52"/>
      <c r="BC101" s="52"/>
      <c r="BD101" s="52"/>
      <c r="BE101" s="52"/>
      <c r="BF101" s="52"/>
    </row>
    <row r="102" spans="1:58" ht="15" customHeight="1">
      <c r="A102" s="46" t="s">
        <v>576</v>
      </c>
      <c r="B102" s="53" t="s">
        <v>577</v>
      </c>
      <c r="C102" s="66" t="s">
        <v>181</v>
      </c>
      <c r="D102" s="67">
        <v>3</v>
      </c>
      <c r="E102" s="53" t="s">
        <v>81</v>
      </c>
      <c r="F102" s="50">
        <v>3</v>
      </c>
      <c r="G102" s="50">
        <v>2</v>
      </c>
      <c r="H102" s="51" t="s">
        <v>578</v>
      </c>
      <c r="I102" s="50" t="s">
        <v>579</v>
      </c>
      <c r="J102" s="54" t="s">
        <v>196</v>
      </c>
      <c r="K102" s="58" t="s">
        <v>247</v>
      </c>
      <c r="L102" s="58" t="s">
        <v>580</v>
      </c>
      <c r="M102" s="58"/>
      <c r="N102" s="58"/>
      <c r="O102" s="54"/>
      <c r="P102" s="56" t="s">
        <v>86</v>
      </c>
      <c r="Q102" s="58" t="s">
        <v>581</v>
      </c>
      <c r="R102" s="54"/>
      <c r="S102" s="54"/>
      <c r="T102" s="54"/>
      <c r="U102" s="54"/>
      <c r="V102" s="57">
        <v>0.33</v>
      </c>
      <c r="W102" s="68"/>
      <c r="X102" s="54"/>
      <c r="Y102" s="54"/>
      <c r="Z102" s="54"/>
      <c r="AA102" s="54"/>
      <c r="AB102" s="57"/>
      <c r="AC102" s="54">
        <v>0</v>
      </c>
      <c r="AD102" s="69">
        <f>SUM(AE102:AK102)</f>
        <v>0</v>
      </c>
      <c r="AE102" s="66"/>
      <c r="AF102" s="66"/>
      <c r="AG102" s="66"/>
      <c r="AH102" s="66"/>
      <c r="AI102" s="66"/>
      <c r="AJ102" s="66"/>
      <c r="AK102" s="66"/>
      <c r="AL102" s="54">
        <f>IF((AC102-SUM(AE102:AK102))&lt;0,0,AC102-SUM(AE102:AK102))</f>
        <v>0</v>
      </c>
      <c r="AM102" s="69">
        <f>SUM(AN102:AT102)</f>
        <v>1</v>
      </c>
      <c r="AN102" s="70"/>
      <c r="AO102" s="54"/>
      <c r="AP102" s="54"/>
      <c r="AQ102" s="54"/>
      <c r="AR102" s="54">
        <v>1</v>
      </c>
      <c r="AS102" s="54"/>
      <c r="AT102" s="71"/>
      <c r="AU102" s="66">
        <f>MAX(0,$AM102-$AC102-$AW102)</f>
        <v>1</v>
      </c>
      <c r="AV102" s="66"/>
      <c r="AW102" s="66"/>
      <c r="AX102" s="65">
        <v>0.21</v>
      </c>
      <c r="AY102" s="65">
        <f>IF(AND($AU102&gt;0,ISNUMBER($AX102)),$AU102*$AX102,0)</f>
        <v>0.21</v>
      </c>
      <c r="AZ102" s="72"/>
      <c r="BA102" s="73"/>
      <c r="BB102" s="73"/>
      <c r="BC102" s="73"/>
      <c r="BD102" s="73"/>
      <c r="BE102" s="73"/>
      <c r="BF102" s="73"/>
    </row>
    <row r="103" spans="1:58" ht="15" customHeight="1">
      <c r="A103" s="46" t="s">
        <v>582</v>
      </c>
      <c r="B103" s="53" t="s">
        <v>583</v>
      </c>
      <c r="C103" s="66" t="s">
        <v>181</v>
      </c>
      <c r="D103" s="67">
        <v>3</v>
      </c>
      <c r="E103" s="53" t="s">
        <v>81</v>
      </c>
      <c r="F103" s="50">
        <v>1</v>
      </c>
      <c r="G103" s="50">
        <v>3</v>
      </c>
      <c r="H103" s="51" t="s">
        <v>584</v>
      </c>
      <c r="I103" s="50" t="s">
        <v>585</v>
      </c>
      <c r="J103" s="54" t="s">
        <v>73</v>
      </c>
      <c r="K103" s="53" t="s">
        <v>92</v>
      </c>
      <c r="L103" s="53" t="s">
        <v>586</v>
      </c>
      <c r="M103" s="53"/>
      <c r="N103" s="53"/>
      <c r="O103" s="54"/>
      <c r="P103" s="56" t="s">
        <v>185</v>
      </c>
      <c r="Q103" s="53" t="s">
        <v>575</v>
      </c>
      <c r="R103" s="56"/>
      <c r="S103" s="54"/>
      <c r="T103" s="54"/>
      <c r="U103" s="56"/>
      <c r="V103" s="57">
        <v>0.32</v>
      </c>
      <c r="W103" s="68"/>
      <c r="X103" s="56"/>
      <c r="Y103" s="54"/>
      <c r="Z103" s="54"/>
      <c r="AA103" s="56"/>
      <c r="AB103" s="57"/>
      <c r="AC103" s="54">
        <v>0</v>
      </c>
      <c r="AD103" s="69">
        <f>SUM(AE103:AK103)</f>
        <v>0</v>
      </c>
      <c r="AE103" s="66"/>
      <c r="AF103" s="66"/>
      <c r="AG103" s="66"/>
      <c r="AH103" s="66"/>
      <c r="AI103" s="66"/>
      <c r="AJ103" s="66"/>
      <c r="AK103" s="66"/>
      <c r="AL103" s="54">
        <f>IF((AC103-SUM(AE103:AK103))&lt;0,0,AC103-SUM(AE103:AK103))</f>
        <v>0</v>
      </c>
      <c r="AM103" s="69">
        <f>SUM(AN103:AT103)</f>
        <v>1</v>
      </c>
      <c r="AN103" s="60"/>
      <c r="AO103" s="52"/>
      <c r="AP103" s="52"/>
      <c r="AQ103" s="52"/>
      <c r="AR103" s="52">
        <v>1</v>
      </c>
      <c r="AS103" s="52"/>
      <c r="AT103" s="61"/>
      <c r="AU103" s="66">
        <f>MAX(0,$AM103-$AC103-$AW103)</f>
        <v>1</v>
      </c>
      <c r="AV103" s="66"/>
      <c r="AW103" s="66"/>
      <c r="AX103" s="65">
        <v>0.32</v>
      </c>
      <c r="AY103" s="65">
        <f>IF(AND($AU103&gt;0,ISNUMBER($AX103)),$AU103*$AX103,0)</f>
        <v>0.32</v>
      </c>
      <c r="AZ103" s="46"/>
      <c r="BA103" s="52"/>
      <c r="BB103" s="52"/>
      <c r="BC103" s="52"/>
      <c r="BD103" s="52"/>
      <c r="BE103" s="52"/>
      <c r="BF103" s="52"/>
    </row>
    <row r="104" spans="1:58" ht="15" customHeight="1">
      <c r="A104" s="46" t="s">
        <v>587</v>
      </c>
      <c r="B104" s="53" t="s">
        <v>588</v>
      </c>
      <c r="C104" s="66" t="s">
        <v>80</v>
      </c>
      <c r="D104" s="67">
        <v>2</v>
      </c>
      <c r="E104" s="53" t="s">
        <v>71</v>
      </c>
      <c r="F104" s="50"/>
      <c r="G104" s="50"/>
      <c r="H104" s="51"/>
      <c r="I104" s="50" t="s">
        <v>589</v>
      </c>
      <c r="J104" s="54" t="s">
        <v>73</v>
      </c>
      <c r="K104" s="58" t="s">
        <v>344</v>
      </c>
      <c r="L104" s="58" t="s">
        <v>344</v>
      </c>
      <c r="M104" s="58" t="s">
        <v>590</v>
      </c>
      <c r="N104" s="58"/>
      <c r="O104" s="54"/>
      <c r="P104" s="56" t="s">
        <v>76</v>
      </c>
      <c r="Q104" s="58" t="s">
        <v>462</v>
      </c>
      <c r="R104" s="50"/>
      <c r="S104" s="50"/>
      <c r="T104" s="50"/>
      <c r="U104" s="50"/>
      <c r="V104" s="57">
        <v>0.32</v>
      </c>
      <c r="W104" s="68"/>
      <c r="X104" s="50"/>
      <c r="Y104" s="50"/>
      <c r="Z104" s="50"/>
      <c r="AA104" s="50"/>
      <c r="AB104" s="57"/>
      <c r="AC104" s="54">
        <v>0</v>
      </c>
      <c r="AD104" s="69">
        <f>SUM(AE104:AK104)</f>
        <v>0</v>
      </c>
      <c r="AE104" s="66"/>
      <c r="AF104" s="66"/>
      <c r="AG104" s="66"/>
      <c r="AH104" s="66"/>
      <c r="AI104" s="66"/>
      <c r="AJ104" s="66"/>
      <c r="AK104" s="66"/>
      <c r="AL104" s="54">
        <f>IF((AC104-SUM(AE104:AK104))&lt;0,0,AC104-SUM(AE104:AK104))</f>
        <v>0</v>
      </c>
      <c r="AM104" s="69">
        <f>SUM(AN104:AT104)</f>
        <v>1</v>
      </c>
      <c r="AN104" s="70"/>
      <c r="AO104" s="54"/>
      <c r="AP104" s="54">
        <v>1</v>
      </c>
      <c r="AQ104" s="54"/>
      <c r="AR104" s="54"/>
      <c r="AS104" s="54"/>
      <c r="AT104" s="71"/>
      <c r="AU104" s="66">
        <f>MAX(0,$AM104-$AC104-$AW104)</f>
        <v>1</v>
      </c>
      <c r="AV104" s="66"/>
      <c r="AW104" s="66"/>
      <c r="AX104" s="65">
        <v>0.39</v>
      </c>
      <c r="AY104" s="65">
        <f>IF(AND($AU104&gt;0,ISNUMBER($AX104)),$AU104*$AX104,0)</f>
        <v>0.39</v>
      </c>
      <c r="AZ104" s="72"/>
      <c r="BA104" s="73"/>
      <c r="BB104" s="73"/>
      <c r="BC104" s="73"/>
      <c r="BD104" s="73"/>
      <c r="BE104" s="73"/>
      <c r="BF104" s="73"/>
    </row>
    <row r="105" spans="1:58" ht="15" customHeight="1">
      <c r="A105" s="46" t="s">
        <v>591</v>
      </c>
      <c r="B105" s="53" t="s">
        <v>592</v>
      </c>
      <c r="C105" s="66" t="s">
        <v>101</v>
      </c>
      <c r="D105" s="67">
        <v>1</v>
      </c>
      <c r="E105" s="53" t="s">
        <v>81</v>
      </c>
      <c r="F105" s="50">
        <v>0</v>
      </c>
      <c r="G105" s="50">
        <v>3</v>
      </c>
      <c r="H105" s="51" t="s">
        <v>337</v>
      </c>
      <c r="I105" s="50" t="s">
        <v>593</v>
      </c>
      <c r="J105" s="54" t="s">
        <v>73</v>
      </c>
      <c r="K105" s="58" t="s">
        <v>164</v>
      </c>
      <c r="L105" s="58" t="s">
        <v>594</v>
      </c>
      <c r="M105" s="58" t="s">
        <v>595</v>
      </c>
      <c r="N105" s="58"/>
      <c r="O105" s="54"/>
      <c r="P105" s="56" t="s">
        <v>76</v>
      </c>
      <c r="Q105" s="58" t="s">
        <v>410</v>
      </c>
      <c r="R105" s="50"/>
      <c r="S105" s="50"/>
      <c r="T105" s="50"/>
      <c r="U105" s="50"/>
      <c r="V105" s="57">
        <v>0.28999999999999998</v>
      </c>
      <c r="W105" s="68"/>
      <c r="X105" s="50"/>
      <c r="Y105" s="50"/>
      <c r="Z105" s="50"/>
      <c r="AA105" s="50"/>
      <c r="AB105" s="57"/>
      <c r="AC105" s="54">
        <v>0</v>
      </c>
      <c r="AD105" s="69">
        <f>SUM(AE105:AK105)</f>
        <v>0</v>
      </c>
      <c r="AE105" s="66"/>
      <c r="AF105" s="66"/>
      <c r="AG105" s="66"/>
      <c r="AH105" s="66"/>
      <c r="AI105" s="66"/>
      <c r="AJ105" s="66"/>
      <c r="AK105" s="66"/>
      <c r="AL105" s="54">
        <f>IF((AC105-SUM(AE105:AK105))&lt;0,0,AC105-SUM(AE105:AK105))</f>
        <v>0</v>
      </c>
      <c r="AM105" s="69">
        <f>SUM(AN105:AT105)</f>
        <v>1</v>
      </c>
      <c r="AN105" s="70"/>
      <c r="AO105" s="54"/>
      <c r="AP105" s="54"/>
      <c r="AQ105" s="54">
        <v>1</v>
      </c>
      <c r="AR105" s="54"/>
      <c r="AS105" s="54"/>
      <c r="AT105" s="71"/>
      <c r="AU105" s="66">
        <f>MAX(0,$AM105-$AC105-$AW105)</f>
        <v>1</v>
      </c>
      <c r="AV105" s="66"/>
      <c r="AW105" s="66"/>
      <c r="AX105" s="65">
        <v>0.27</v>
      </c>
      <c r="AY105" s="65">
        <f>IF(AND($AU105&gt;0,ISNUMBER($AX105)),$AU105*$AX105,0)</f>
        <v>0.27</v>
      </c>
      <c r="AZ105" s="72"/>
      <c r="BA105" s="73"/>
      <c r="BB105" s="73"/>
      <c r="BC105" s="73"/>
      <c r="BD105" s="73"/>
      <c r="BE105" s="73"/>
      <c r="BF105" s="73"/>
    </row>
    <row r="106" spans="1:58" ht="15" customHeight="1">
      <c r="A106" s="46" t="s">
        <v>596</v>
      </c>
      <c r="B106" s="53" t="s">
        <v>597</v>
      </c>
      <c r="C106" s="66" t="s">
        <v>70</v>
      </c>
      <c r="D106" s="67">
        <v>1</v>
      </c>
      <c r="E106" s="53" t="s">
        <v>81</v>
      </c>
      <c r="F106" s="50">
        <v>1</v>
      </c>
      <c r="G106" s="50">
        <v>1</v>
      </c>
      <c r="H106" s="51" t="s">
        <v>318</v>
      </c>
      <c r="I106" s="50" t="s">
        <v>598</v>
      </c>
      <c r="J106" s="54" t="s">
        <v>73</v>
      </c>
      <c r="K106" s="58" t="s">
        <v>261</v>
      </c>
      <c r="L106" s="58" t="s">
        <v>599</v>
      </c>
      <c r="M106" s="58"/>
      <c r="N106" s="58"/>
      <c r="O106" s="54"/>
      <c r="P106" s="56" t="s">
        <v>76</v>
      </c>
      <c r="Q106" s="58" t="s">
        <v>600</v>
      </c>
      <c r="R106" s="50"/>
      <c r="S106" s="50"/>
      <c r="T106" s="50"/>
      <c r="U106" s="50"/>
      <c r="V106" s="57">
        <v>0.26</v>
      </c>
      <c r="W106" s="68"/>
      <c r="X106" s="50"/>
      <c r="Y106" s="50"/>
      <c r="Z106" s="50"/>
      <c r="AA106" s="50"/>
      <c r="AB106" s="57"/>
      <c r="AC106" s="54">
        <v>0</v>
      </c>
      <c r="AD106" s="69">
        <f>SUM(AE106:AK106)</f>
        <v>0</v>
      </c>
      <c r="AE106" s="66"/>
      <c r="AF106" s="66"/>
      <c r="AG106" s="66"/>
      <c r="AH106" s="66"/>
      <c r="AI106" s="66"/>
      <c r="AJ106" s="66"/>
      <c r="AK106" s="66"/>
      <c r="AL106" s="54">
        <f>IF((AC106-SUM(AE106:AK106))&lt;0,0,AC106-SUM(AE106:AK106))</f>
        <v>0</v>
      </c>
      <c r="AM106" s="69">
        <f>SUM(AN106:AT106)</f>
        <v>1</v>
      </c>
      <c r="AN106" s="70"/>
      <c r="AO106" s="54"/>
      <c r="AP106" s="54"/>
      <c r="AQ106" s="54"/>
      <c r="AR106" s="54"/>
      <c r="AS106" s="54">
        <v>1</v>
      </c>
      <c r="AT106" s="71"/>
      <c r="AU106" s="66">
        <f>MAX(0,$AM106-$AC106-$AW106)</f>
        <v>1</v>
      </c>
      <c r="AV106" s="66"/>
      <c r="AW106" s="66"/>
      <c r="AX106" s="65">
        <v>0.26</v>
      </c>
      <c r="AY106" s="65">
        <f>IF(AND($AU106&gt;0,ISNUMBER($AX106)),$AU106*$AX106,0)</f>
        <v>0.26</v>
      </c>
      <c r="AZ106" s="72"/>
      <c r="BA106" s="73"/>
      <c r="BB106" s="73"/>
      <c r="BC106" s="73"/>
      <c r="BD106" s="73"/>
      <c r="BE106" s="73"/>
      <c r="BF106" s="73"/>
    </row>
    <row r="107" spans="1:58" ht="15" customHeight="1">
      <c r="A107" s="46" t="s">
        <v>601</v>
      </c>
      <c r="B107" s="53" t="s">
        <v>602</v>
      </c>
      <c r="C107" s="66" t="s">
        <v>118</v>
      </c>
      <c r="D107" s="67">
        <v>2</v>
      </c>
      <c r="E107" s="53" t="s">
        <v>81</v>
      </c>
      <c r="F107" s="50">
        <v>2</v>
      </c>
      <c r="G107" s="50">
        <v>2</v>
      </c>
      <c r="H107" s="51" t="s">
        <v>603</v>
      </c>
      <c r="I107" s="50" t="s">
        <v>604</v>
      </c>
      <c r="J107" s="54" t="s">
        <v>73</v>
      </c>
      <c r="K107" s="58" t="s">
        <v>202</v>
      </c>
      <c r="L107" s="58" t="s">
        <v>85</v>
      </c>
      <c r="M107" s="58" t="s">
        <v>605</v>
      </c>
      <c r="N107" s="58"/>
      <c r="O107" s="54"/>
      <c r="P107" s="56" t="s">
        <v>76</v>
      </c>
      <c r="Q107" s="58" t="s">
        <v>606</v>
      </c>
      <c r="R107" s="50"/>
      <c r="S107" s="50"/>
      <c r="T107" s="50"/>
      <c r="U107" s="50"/>
      <c r="V107" s="57">
        <v>0.24</v>
      </c>
      <c r="W107" s="68"/>
      <c r="X107" s="50"/>
      <c r="Y107" s="50"/>
      <c r="Z107" s="50"/>
      <c r="AA107" s="50"/>
      <c r="AB107" s="57"/>
      <c r="AC107" s="54">
        <v>0</v>
      </c>
      <c r="AD107" s="69">
        <f>SUM(AE107:AK107)</f>
        <v>0</v>
      </c>
      <c r="AE107" s="66"/>
      <c r="AF107" s="66"/>
      <c r="AG107" s="66"/>
      <c r="AH107" s="66"/>
      <c r="AI107" s="66"/>
      <c r="AJ107" s="66"/>
      <c r="AK107" s="66"/>
      <c r="AL107" s="54">
        <f>IF((AC107-SUM(AE107:AK107))&lt;0,0,AC107-SUM(AE107:AK107))</f>
        <v>0</v>
      </c>
      <c r="AM107" s="69">
        <f>SUM(AN107:AT107)</f>
        <v>1</v>
      </c>
      <c r="AN107" s="70"/>
      <c r="AO107" s="54">
        <v>1</v>
      </c>
      <c r="AP107" s="54"/>
      <c r="AQ107" s="54"/>
      <c r="AR107" s="54"/>
      <c r="AS107" s="54"/>
      <c r="AT107" s="71"/>
      <c r="AU107" s="66">
        <f>MAX(0,$AM107-$AC107-$AW107)</f>
        <v>1</v>
      </c>
      <c r="AV107" s="66"/>
      <c r="AW107" s="66"/>
      <c r="AX107" s="65">
        <v>0.09</v>
      </c>
      <c r="AY107" s="65">
        <f>IF(AND($AU107&gt;0,ISNUMBER($AX107)),$AU107*$AX107,0)</f>
        <v>0.09</v>
      </c>
      <c r="AZ107" s="72"/>
      <c r="BA107" s="73"/>
      <c r="BB107" s="73"/>
      <c r="BC107" s="73"/>
      <c r="BD107" s="73"/>
      <c r="BE107" s="73"/>
      <c r="BF107" s="73"/>
    </row>
    <row r="108" spans="1:58" ht="15" customHeight="1">
      <c r="A108" s="46" t="s">
        <v>607</v>
      </c>
      <c r="B108" s="53" t="s">
        <v>608</v>
      </c>
      <c r="C108" s="66" t="s">
        <v>80</v>
      </c>
      <c r="D108" s="67">
        <v>1</v>
      </c>
      <c r="E108" s="53" t="s">
        <v>384</v>
      </c>
      <c r="F108" s="50"/>
      <c r="G108" s="50"/>
      <c r="H108" s="51"/>
      <c r="I108" s="50" t="s">
        <v>609</v>
      </c>
      <c r="J108" s="54" t="s">
        <v>196</v>
      </c>
      <c r="K108" s="53" t="s">
        <v>92</v>
      </c>
      <c r="L108" s="53" t="s">
        <v>610</v>
      </c>
      <c r="M108" s="53" t="s">
        <v>611</v>
      </c>
      <c r="N108" s="53"/>
      <c r="O108" s="54"/>
      <c r="P108" s="56" t="s">
        <v>86</v>
      </c>
      <c r="Q108" s="53" t="s">
        <v>437</v>
      </c>
      <c r="R108" s="56"/>
      <c r="S108" s="54"/>
      <c r="T108" s="54"/>
      <c r="U108" s="56"/>
      <c r="V108" s="57"/>
      <c r="W108" s="68"/>
      <c r="X108" s="56"/>
      <c r="Y108" s="54"/>
      <c r="Z108" s="54"/>
      <c r="AA108" s="56"/>
      <c r="AB108" s="57"/>
      <c r="AC108" s="54">
        <v>0</v>
      </c>
      <c r="AD108" s="69">
        <f>SUM(AE108:AK108)</f>
        <v>0</v>
      </c>
      <c r="AE108" s="66"/>
      <c r="AF108" s="66"/>
      <c r="AG108" s="66"/>
      <c r="AH108" s="66"/>
      <c r="AI108" s="66"/>
      <c r="AJ108" s="66"/>
      <c r="AK108" s="66"/>
      <c r="AL108" s="54">
        <f>IF((AC108-SUM(AE108:AK108))&lt;0,0,AC108-SUM(AE108:AK108))</f>
        <v>0</v>
      </c>
      <c r="AM108" s="69">
        <f>SUM(AN108:AT108)</f>
        <v>1</v>
      </c>
      <c r="AN108" s="60"/>
      <c r="AO108" s="52"/>
      <c r="AP108" s="52">
        <v>1</v>
      </c>
      <c r="AQ108" s="52"/>
      <c r="AR108" s="52"/>
      <c r="AS108" s="52"/>
      <c r="AT108" s="61"/>
      <c r="AU108" s="66">
        <f>MAX(0,$AM108-$AC108-$AW108)</f>
        <v>1</v>
      </c>
      <c r="AV108" s="66"/>
      <c r="AW108" s="66"/>
      <c r="AX108" s="65">
        <v>12.86</v>
      </c>
      <c r="AY108" s="65">
        <f>IF(AND($AU108&gt;0,ISNUMBER($AX108)),$AU108*$AX108,0)</f>
        <v>12.86</v>
      </c>
      <c r="AZ108" s="46"/>
      <c r="BA108" s="52"/>
      <c r="BB108" s="52"/>
      <c r="BC108" s="52"/>
      <c r="BD108" s="52"/>
      <c r="BE108" s="52"/>
      <c r="BF108" s="52"/>
    </row>
    <row r="109" spans="1:58" ht="15" customHeight="1">
      <c r="A109" s="46" t="s">
        <v>612</v>
      </c>
      <c r="B109" s="53" t="s">
        <v>613</v>
      </c>
      <c r="C109" s="66" t="s">
        <v>181</v>
      </c>
      <c r="D109" s="67">
        <v>2</v>
      </c>
      <c r="E109" s="53" t="s">
        <v>71</v>
      </c>
      <c r="F109" s="50"/>
      <c r="G109" s="50"/>
      <c r="H109" s="51"/>
      <c r="I109" s="50" t="s">
        <v>614</v>
      </c>
      <c r="J109" s="54" t="s">
        <v>73</v>
      </c>
      <c r="K109" s="53" t="s">
        <v>273</v>
      </c>
      <c r="L109" s="53" t="s">
        <v>615</v>
      </c>
      <c r="M109" s="53"/>
      <c r="N109" s="53"/>
      <c r="O109" s="54"/>
      <c r="P109" s="56" t="s">
        <v>185</v>
      </c>
      <c r="Q109" s="53" t="s">
        <v>616</v>
      </c>
      <c r="R109" s="56"/>
      <c r="S109" s="54"/>
      <c r="T109" s="54"/>
      <c r="U109" s="56"/>
      <c r="V109" s="57"/>
      <c r="W109" s="68"/>
      <c r="X109" s="56"/>
      <c r="Y109" s="54"/>
      <c r="Z109" s="54"/>
      <c r="AA109" s="56"/>
      <c r="AB109" s="57"/>
      <c r="AC109" s="54">
        <v>0</v>
      </c>
      <c r="AD109" s="69">
        <f>SUM(AE109:AK109)</f>
        <v>0</v>
      </c>
      <c r="AE109" s="66"/>
      <c r="AF109" s="66"/>
      <c r="AG109" s="66"/>
      <c r="AH109" s="66"/>
      <c r="AI109" s="66"/>
      <c r="AJ109" s="66"/>
      <c r="AK109" s="66"/>
      <c r="AL109" s="54">
        <f>IF((AC109-SUM(AE109:AK109))&lt;0,0,AC109-SUM(AE109:AK109))</f>
        <v>0</v>
      </c>
      <c r="AM109" s="69">
        <f>SUM(AN109:AT109)</f>
        <v>1</v>
      </c>
      <c r="AN109" s="60"/>
      <c r="AO109" s="52"/>
      <c r="AP109" s="52"/>
      <c r="AQ109" s="52"/>
      <c r="AR109" s="52">
        <v>1</v>
      </c>
      <c r="AS109" s="52"/>
      <c r="AT109" s="61"/>
      <c r="AU109" s="66">
        <f>MAX(0,$AM109-$AC109-$AW109)</f>
        <v>1</v>
      </c>
      <c r="AV109" s="66"/>
      <c r="AW109" s="66"/>
      <c r="AX109" s="65">
        <v>0.4</v>
      </c>
      <c r="AY109" s="65">
        <f>IF(AND($AU109&gt;0,ISNUMBER($AX109)),$AU109*$AX109,0)</f>
        <v>0.4</v>
      </c>
      <c r="AZ109" s="46"/>
      <c r="BA109" s="52"/>
      <c r="BB109" s="52"/>
      <c r="BC109" s="52"/>
      <c r="BD109" s="52"/>
      <c r="BE109" s="52"/>
      <c r="BF109" s="52"/>
    </row>
    <row r="110" spans="1:58" ht="15" customHeight="1">
      <c r="A110" s="46" t="s">
        <v>617</v>
      </c>
      <c r="B110" s="53" t="s">
        <v>618</v>
      </c>
      <c r="C110" s="66" t="s">
        <v>109</v>
      </c>
      <c r="D110" s="67">
        <v>0</v>
      </c>
      <c r="E110" s="53" t="s">
        <v>312</v>
      </c>
      <c r="F110" s="50"/>
      <c r="G110" s="50"/>
      <c r="H110" s="51"/>
      <c r="I110" s="50" t="s">
        <v>619</v>
      </c>
      <c r="J110" s="54" t="s">
        <v>73</v>
      </c>
      <c r="K110" s="58" t="s">
        <v>312</v>
      </c>
      <c r="L110" s="58" t="s">
        <v>620</v>
      </c>
      <c r="M110" s="58"/>
      <c r="N110" s="58"/>
      <c r="O110" s="54"/>
      <c r="P110" s="56" t="s">
        <v>86</v>
      </c>
      <c r="Q110" s="58" t="s">
        <v>437</v>
      </c>
      <c r="R110" s="54"/>
      <c r="S110" s="54"/>
      <c r="T110" s="54"/>
      <c r="U110" s="54"/>
      <c r="V110" s="57"/>
      <c r="W110" s="54"/>
      <c r="X110" s="54"/>
      <c r="Y110" s="54"/>
      <c r="Z110" s="54"/>
      <c r="AA110" s="54"/>
      <c r="AB110" s="57"/>
      <c r="AC110" s="54">
        <v>0</v>
      </c>
      <c r="AD110" s="69">
        <f>SUM(AE110:AK110)</f>
        <v>0</v>
      </c>
      <c r="AE110" s="66"/>
      <c r="AF110" s="66"/>
      <c r="AG110" s="66"/>
      <c r="AH110" s="66"/>
      <c r="AI110" s="66"/>
      <c r="AJ110" s="66"/>
      <c r="AK110" s="66"/>
      <c r="AL110" s="54">
        <f>IF((AC110-SUM(AE110:AK110))&lt;0,0,AC110-SUM(AE110:AK110))</f>
        <v>0</v>
      </c>
      <c r="AM110" s="69">
        <f>SUM(AN110:AT110)</f>
        <v>1</v>
      </c>
      <c r="AN110" s="70"/>
      <c r="AO110" s="54"/>
      <c r="AP110" s="54">
        <v>1</v>
      </c>
      <c r="AQ110" s="54"/>
      <c r="AR110" s="54"/>
      <c r="AS110" s="54"/>
      <c r="AT110" s="71"/>
      <c r="AU110" s="66">
        <f>MAX(0,$AM110-$AC110-$AW110)</f>
        <v>1</v>
      </c>
      <c r="AV110" s="66"/>
      <c r="AW110" s="66"/>
      <c r="AX110" s="65">
        <v>2.39</v>
      </c>
      <c r="AY110" s="65">
        <f>IF(AND($AU110&gt;0,ISNUMBER($AX110)),$AU110*$AX110,0)</f>
        <v>2.39</v>
      </c>
      <c r="AZ110" s="72"/>
      <c r="BA110" s="73"/>
      <c r="BB110" s="73"/>
      <c r="BC110" s="73"/>
      <c r="BD110" s="73"/>
      <c r="BE110" s="73"/>
      <c r="BF110" s="73"/>
    </row>
    <row r="111" spans="1:58" ht="15" customHeight="1">
      <c r="A111" s="46" t="s">
        <v>621</v>
      </c>
      <c r="B111" s="53" t="s">
        <v>622</v>
      </c>
      <c r="C111" s="66" t="s">
        <v>181</v>
      </c>
      <c r="D111" s="67">
        <v>4</v>
      </c>
      <c r="E111" s="53" t="s">
        <v>189</v>
      </c>
      <c r="F111" s="50"/>
      <c r="G111" s="50"/>
      <c r="H111" s="51"/>
      <c r="I111" s="50" t="s">
        <v>623</v>
      </c>
      <c r="J111" s="54" t="s">
        <v>73</v>
      </c>
      <c r="K111" s="53" t="s">
        <v>135</v>
      </c>
      <c r="L111" s="53" t="s">
        <v>624</v>
      </c>
      <c r="M111" s="53" t="s">
        <v>625</v>
      </c>
      <c r="N111" s="53" t="s">
        <v>626</v>
      </c>
      <c r="O111" s="54"/>
      <c r="P111" s="56" t="s">
        <v>185</v>
      </c>
      <c r="Q111" s="53" t="s">
        <v>627</v>
      </c>
      <c r="R111" s="56"/>
      <c r="S111" s="54"/>
      <c r="T111" s="54"/>
      <c r="U111" s="56"/>
      <c r="V111" s="57"/>
      <c r="W111" s="68"/>
      <c r="X111" s="56"/>
      <c r="Y111" s="54"/>
      <c r="Z111" s="54"/>
      <c r="AA111" s="56"/>
      <c r="AB111" s="57"/>
      <c r="AC111" s="54">
        <v>0</v>
      </c>
      <c r="AD111" s="69">
        <f>SUM(AE111:AK111)</f>
        <v>0</v>
      </c>
      <c r="AE111" s="66"/>
      <c r="AF111" s="66"/>
      <c r="AG111" s="66"/>
      <c r="AH111" s="66"/>
      <c r="AI111" s="66"/>
      <c r="AJ111" s="66"/>
      <c r="AK111" s="66"/>
      <c r="AL111" s="54">
        <f>IF((AC111-SUM(AE111:AK111))&lt;0,0,AC111-SUM(AE111:AK111))</f>
        <v>0</v>
      </c>
      <c r="AM111" s="69">
        <f>SUM(AN111:AT111)</f>
        <v>1</v>
      </c>
      <c r="AN111" s="60"/>
      <c r="AO111" s="52"/>
      <c r="AP111" s="52"/>
      <c r="AQ111" s="52"/>
      <c r="AR111" s="52">
        <v>1</v>
      </c>
      <c r="AS111" s="52"/>
      <c r="AT111" s="61"/>
      <c r="AU111" s="66">
        <f>MAX(0,$AM111-$AC111-$AW111)</f>
        <v>1</v>
      </c>
      <c r="AV111" s="66"/>
      <c r="AW111" s="66"/>
      <c r="AX111" s="65">
        <v>5.01</v>
      </c>
      <c r="AY111" s="65">
        <f>IF(AND($AU111&gt;0,ISNUMBER($AX111)),$AU111*$AX111,0)</f>
        <v>5.01</v>
      </c>
      <c r="AZ111" s="46"/>
      <c r="BA111" s="52"/>
      <c r="BB111" s="52"/>
      <c r="BC111" s="52"/>
      <c r="BD111" s="52"/>
      <c r="BE111" s="52"/>
      <c r="BF111" s="52"/>
    </row>
    <row r="112" spans="1:58" ht="15" customHeight="1">
      <c r="A112" s="46" t="s">
        <v>628</v>
      </c>
      <c r="B112" s="53" t="s">
        <v>629</v>
      </c>
      <c r="C112" s="66" t="s">
        <v>311</v>
      </c>
      <c r="D112" s="67">
        <v>0</v>
      </c>
      <c r="E112" s="53" t="s">
        <v>630</v>
      </c>
      <c r="F112" s="50"/>
      <c r="G112" s="50"/>
      <c r="H112" s="51" t="s">
        <v>629</v>
      </c>
      <c r="I112" s="50" t="s">
        <v>631</v>
      </c>
      <c r="J112" s="54" t="s">
        <v>73</v>
      </c>
      <c r="K112" s="58" t="s">
        <v>312</v>
      </c>
      <c r="L112" s="58" t="s">
        <v>632</v>
      </c>
      <c r="M112" s="58"/>
      <c r="N112" s="58"/>
      <c r="O112" s="54"/>
      <c r="P112" s="56" t="s">
        <v>76</v>
      </c>
      <c r="Q112" s="58" t="s">
        <v>633</v>
      </c>
      <c r="R112" s="74" t="s">
        <v>634</v>
      </c>
      <c r="S112" s="74">
        <v>1</v>
      </c>
      <c r="T112" s="74">
        <v>0</v>
      </c>
      <c r="U112" s="56" t="s">
        <v>635</v>
      </c>
      <c r="V112" s="57">
        <v>0.08</v>
      </c>
      <c r="W112" s="68"/>
      <c r="X112" s="50"/>
      <c r="Y112" s="50">
        <v>1</v>
      </c>
      <c r="Z112" s="50">
        <v>0</v>
      </c>
      <c r="AA112" s="56" t="s">
        <v>636</v>
      </c>
      <c r="AB112" s="57">
        <v>0.08</v>
      </c>
      <c r="AC112" s="54">
        <v>96</v>
      </c>
      <c r="AD112" s="69">
        <f>SUM(AE112:AK112)</f>
        <v>46</v>
      </c>
      <c r="AE112" s="66">
        <v>9</v>
      </c>
      <c r="AF112" s="66">
        <v>6</v>
      </c>
      <c r="AG112" s="66">
        <v>5</v>
      </c>
      <c r="AH112" s="66">
        <v>9</v>
      </c>
      <c r="AI112" s="66">
        <v>17</v>
      </c>
      <c r="AJ112" s="66"/>
      <c r="AK112" s="66"/>
      <c r="AL112" s="54">
        <f>IF((AC112-SUM(AE112:AK112))&lt;0,0,AC112-SUM(AE112:AK112))</f>
        <v>50</v>
      </c>
      <c r="AM112" s="69">
        <f>SUM(AN112:AT112)</f>
        <v>46</v>
      </c>
      <c r="AN112" s="60">
        <v>9</v>
      </c>
      <c r="AO112" s="52">
        <v>6</v>
      </c>
      <c r="AP112" s="52">
        <v>5</v>
      </c>
      <c r="AQ112" s="52">
        <v>9</v>
      </c>
      <c r="AR112" s="52">
        <v>17</v>
      </c>
      <c r="AS112" s="52"/>
      <c r="AT112" s="61"/>
      <c r="AU112" s="66">
        <f>MAX(0,$AM112-$AC112-$AW112)</f>
        <v>0</v>
      </c>
      <c r="AV112" s="66"/>
      <c r="AW112" s="66"/>
      <c r="AX112" s="65">
        <v>0</v>
      </c>
      <c r="AY112" s="65">
        <f>IF(AND($AU112&gt;0,ISNUMBER($AX112)),$AU112*$AX112,0)</f>
        <v>0</v>
      </c>
      <c r="AZ112" s="46"/>
      <c r="BA112" s="52"/>
      <c r="BB112" s="52"/>
      <c r="BC112" s="52"/>
      <c r="BD112" s="52"/>
      <c r="BE112" s="52"/>
      <c r="BF112" s="52"/>
    </row>
    <row r="113" spans="1:58" ht="15" customHeight="1">
      <c r="A113" s="46" t="s">
        <v>637</v>
      </c>
      <c r="B113" s="53" t="s">
        <v>638</v>
      </c>
      <c r="C113" s="66" t="s">
        <v>311</v>
      </c>
      <c r="D113" s="67">
        <v>0</v>
      </c>
      <c r="E113" s="53" t="s">
        <v>630</v>
      </c>
      <c r="F113" s="50"/>
      <c r="G113" s="50"/>
      <c r="H113" s="51" t="s">
        <v>638</v>
      </c>
      <c r="I113" s="50" t="s">
        <v>639</v>
      </c>
      <c r="J113" s="54" t="s">
        <v>73</v>
      </c>
      <c r="K113" s="58" t="s">
        <v>312</v>
      </c>
      <c r="L113" s="58" t="s">
        <v>640</v>
      </c>
      <c r="M113" s="58"/>
      <c r="N113" s="58"/>
      <c r="O113" s="54"/>
      <c r="P113" s="56" t="s">
        <v>76</v>
      </c>
      <c r="Q113" s="58" t="s">
        <v>452</v>
      </c>
      <c r="R113" s="50"/>
      <c r="S113" s="50"/>
      <c r="T113" s="50"/>
      <c r="U113" s="56"/>
      <c r="V113" s="57">
        <v>0.08</v>
      </c>
      <c r="W113" s="68"/>
      <c r="X113" s="50"/>
      <c r="Y113" s="50"/>
      <c r="Z113" s="50"/>
      <c r="AA113" s="56"/>
      <c r="AB113" s="57"/>
      <c r="AC113" s="54">
        <v>88</v>
      </c>
      <c r="AD113" s="69">
        <f>SUM(AE113:AK113)</f>
        <v>41</v>
      </c>
      <c r="AE113" s="66">
        <v>8</v>
      </c>
      <c r="AF113" s="66"/>
      <c r="AG113" s="66"/>
      <c r="AH113" s="66"/>
      <c r="AI113" s="66"/>
      <c r="AJ113" s="66">
        <v>33</v>
      </c>
      <c r="AK113" s="66"/>
      <c r="AL113" s="54">
        <f>IF((AC113-SUM(AE113:AK113))&lt;0,0,AC113-SUM(AE113:AK113))</f>
        <v>47</v>
      </c>
      <c r="AM113" s="69">
        <f>SUM(AN113:AT113)</f>
        <v>41</v>
      </c>
      <c r="AN113" s="60">
        <v>8</v>
      </c>
      <c r="AO113" s="52"/>
      <c r="AP113" s="52"/>
      <c r="AQ113" s="52"/>
      <c r="AR113" s="52"/>
      <c r="AS113" s="52">
        <v>33</v>
      </c>
      <c r="AT113" s="61"/>
      <c r="AU113" s="66">
        <f>MAX(0,$AM113-$AC113-$AW113)</f>
        <v>0</v>
      </c>
      <c r="AV113" s="66"/>
      <c r="AW113" s="66"/>
      <c r="AX113" s="65">
        <v>0</v>
      </c>
      <c r="AY113" s="65">
        <f>IF(AND($AU113&gt;0,ISNUMBER($AX113)),$AU113*$AX113,0)</f>
        <v>0</v>
      </c>
      <c r="AZ113" s="46"/>
      <c r="BA113" s="52"/>
      <c r="BB113" s="52"/>
      <c r="BC113" s="52"/>
      <c r="BD113" s="52"/>
      <c r="BE113" s="52"/>
      <c r="BF113" s="52"/>
    </row>
    <row r="114" spans="1:58" ht="15" customHeight="1">
      <c r="A114" s="46" t="s">
        <v>641</v>
      </c>
      <c r="B114" s="53" t="s">
        <v>642</v>
      </c>
      <c r="C114" s="66" t="s">
        <v>311</v>
      </c>
      <c r="D114" s="67">
        <v>0</v>
      </c>
      <c r="E114" s="53" t="s">
        <v>630</v>
      </c>
      <c r="F114" s="50"/>
      <c r="G114" s="50"/>
      <c r="H114" s="51" t="s">
        <v>642</v>
      </c>
      <c r="I114" s="50" t="s">
        <v>643</v>
      </c>
      <c r="J114" s="54" t="s">
        <v>73</v>
      </c>
      <c r="K114" s="58" t="s">
        <v>312</v>
      </c>
      <c r="L114" s="58" t="s">
        <v>644</v>
      </c>
      <c r="M114" s="58"/>
      <c r="N114" s="58"/>
      <c r="O114" s="54"/>
      <c r="P114" s="56" t="s">
        <v>76</v>
      </c>
      <c r="Q114" s="58" t="s">
        <v>645</v>
      </c>
      <c r="R114" s="74" t="s">
        <v>646</v>
      </c>
      <c r="S114" s="74">
        <v>1</v>
      </c>
      <c r="T114" s="74">
        <v>0</v>
      </c>
      <c r="U114" s="56" t="s">
        <v>647</v>
      </c>
      <c r="V114" s="57">
        <v>0.09</v>
      </c>
      <c r="W114" s="68"/>
      <c r="X114" s="50"/>
      <c r="Y114" s="50">
        <v>1</v>
      </c>
      <c r="Z114" s="50">
        <v>0</v>
      </c>
      <c r="AA114" s="56" t="s">
        <v>648</v>
      </c>
      <c r="AB114" s="57">
        <v>0.09</v>
      </c>
      <c r="AC114" s="54">
        <v>84</v>
      </c>
      <c r="AD114" s="69">
        <f>SUM(AE114:AK114)</f>
        <v>33</v>
      </c>
      <c r="AE114" s="66"/>
      <c r="AF114" s="66"/>
      <c r="AG114" s="66">
        <v>3</v>
      </c>
      <c r="AH114" s="66">
        <v>5</v>
      </c>
      <c r="AI114" s="66">
        <v>11</v>
      </c>
      <c r="AJ114" s="66"/>
      <c r="AK114" s="66">
        <v>14</v>
      </c>
      <c r="AL114" s="54">
        <f>IF((AC114-SUM(AE114:AK114))&lt;0,0,AC114-SUM(AE114:AK114))</f>
        <v>51</v>
      </c>
      <c r="AM114" s="69">
        <f>SUM(AN114:AT114)</f>
        <v>33</v>
      </c>
      <c r="AN114" s="60"/>
      <c r="AO114" s="52"/>
      <c r="AP114" s="52">
        <v>3</v>
      </c>
      <c r="AQ114" s="52">
        <v>5</v>
      </c>
      <c r="AR114" s="52">
        <v>11</v>
      </c>
      <c r="AS114" s="52"/>
      <c r="AT114" s="61">
        <v>14</v>
      </c>
      <c r="AU114" s="66">
        <f>MAX(0,$AM114-$AC114-$AW114)</f>
        <v>0</v>
      </c>
      <c r="AV114" s="66"/>
      <c r="AW114" s="66"/>
      <c r="AX114" s="65">
        <v>0</v>
      </c>
      <c r="AY114" s="65">
        <f>IF(AND($AU114&gt;0,ISNUMBER($AX114)),$AU114*$AX114,0)</f>
        <v>0</v>
      </c>
      <c r="AZ114" s="46"/>
      <c r="BA114" s="52"/>
      <c r="BB114" s="52"/>
      <c r="BC114" s="52"/>
      <c r="BD114" s="52"/>
      <c r="BE114" s="52"/>
      <c r="BF114" s="52"/>
    </row>
    <row r="115" spans="1:58" ht="15" customHeight="1">
      <c r="A115" s="46" t="s">
        <v>649</v>
      </c>
      <c r="B115" s="53" t="s">
        <v>650</v>
      </c>
      <c r="C115" s="66" t="s">
        <v>311</v>
      </c>
      <c r="D115" s="67">
        <v>0</v>
      </c>
      <c r="E115" s="53" t="s">
        <v>630</v>
      </c>
      <c r="F115" s="50"/>
      <c r="G115" s="50"/>
      <c r="H115" s="51" t="s">
        <v>650</v>
      </c>
      <c r="I115" s="50" t="s">
        <v>651</v>
      </c>
      <c r="J115" s="54" t="s">
        <v>73</v>
      </c>
      <c r="K115" s="58" t="s">
        <v>312</v>
      </c>
      <c r="L115" s="58" t="s">
        <v>652</v>
      </c>
      <c r="M115" s="58"/>
      <c r="N115" s="58"/>
      <c r="O115" s="54"/>
      <c r="P115" s="56" t="s">
        <v>76</v>
      </c>
      <c r="Q115" s="58" t="s">
        <v>452</v>
      </c>
      <c r="R115" s="50"/>
      <c r="S115" s="50"/>
      <c r="T115" s="50"/>
      <c r="U115" s="56"/>
      <c r="V115" s="57">
        <v>0.08</v>
      </c>
      <c r="W115" s="68"/>
      <c r="X115" s="50"/>
      <c r="Y115" s="50"/>
      <c r="Z115" s="50"/>
      <c r="AA115" s="56"/>
      <c r="AB115" s="57"/>
      <c r="AC115" s="54">
        <v>82</v>
      </c>
      <c r="AD115" s="69">
        <f>SUM(AE115:AK115)</f>
        <v>27</v>
      </c>
      <c r="AE115" s="66"/>
      <c r="AF115" s="66">
        <v>7</v>
      </c>
      <c r="AG115" s="66">
        <v>7</v>
      </c>
      <c r="AH115" s="66"/>
      <c r="AI115" s="66"/>
      <c r="AJ115" s="66"/>
      <c r="AK115" s="66">
        <v>13</v>
      </c>
      <c r="AL115" s="54">
        <f>IF((AC115-SUM(AE115:AK115))&lt;0,0,AC115-SUM(AE115:AK115))</f>
        <v>55</v>
      </c>
      <c r="AM115" s="69">
        <f>SUM(AN115:AT115)</f>
        <v>27</v>
      </c>
      <c r="AN115" s="60"/>
      <c r="AO115" s="52">
        <v>7</v>
      </c>
      <c r="AP115" s="52">
        <v>7</v>
      </c>
      <c r="AQ115" s="52"/>
      <c r="AR115" s="52"/>
      <c r="AS115" s="52"/>
      <c r="AT115" s="61">
        <v>13</v>
      </c>
      <c r="AU115" s="66">
        <f>MAX(0,$AM115-$AC115-$AW115)</f>
        <v>0</v>
      </c>
      <c r="AV115" s="66"/>
      <c r="AW115" s="66"/>
      <c r="AX115" s="65">
        <v>0</v>
      </c>
      <c r="AY115" s="65">
        <f>IF(AND($AU115&gt;0,ISNUMBER($AX115)),$AU115*$AX115,0)</f>
        <v>0</v>
      </c>
      <c r="AZ115" s="46"/>
      <c r="BA115" s="52"/>
      <c r="BB115" s="52"/>
      <c r="BC115" s="52"/>
      <c r="BD115" s="52"/>
      <c r="BE115" s="52"/>
      <c r="BF115" s="52"/>
    </row>
    <row r="116" spans="1:58" ht="15" customHeight="1">
      <c r="A116" s="46" t="s">
        <v>653</v>
      </c>
      <c r="B116" s="53" t="s">
        <v>654</v>
      </c>
      <c r="C116" s="66" t="s">
        <v>311</v>
      </c>
      <c r="D116" s="67">
        <v>0</v>
      </c>
      <c r="E116" s="53" t="s">
        <v>630</v>
      </c>
      <c r="F116" s="50"/>
      <c r="G116" s="50"/>
      <c r="H116" s="51" t="s">
        <v>654</v>
      </c>
      <c r="I116" s="50" t="s">
        <v>655</v>
      </c>
      <c r="J116" s="54" t="s">
        <v>73</v>
      </c>
      <c r="K116" s="58" t="s">
        <v>312</v>
      </c>
      <c r="L116" s="58" t="s">
        <v>656</v>
      </c>
      <c r="M116" s="58"/>
      <c r="N116" s="58"/>
      <c r="O116" s="54"/>
      <c r="P116" s="56" t="s">
        <v>76</v>
      </c>
      <c r="Q116" s="58" t="s">
        <v>452</v>
      </c>
      <c r="R116" s="50"/>
      <c r="S116" s="50"/>
      <c r="T116" s="50"/>
      <c r="U116" s="56"/>
      <c r="V116" s="57">
        <v>0.08</v>
      </c>
      <c r="W116" s="68"/>
      <c r="X116" s="50"/>
      <c r="Y116" s="50"/>
      <c r="Z116" s="50"/>
      <c r="AA116" s="56"/>
      <c r="AB116" s="57"/>
      <c r="AC116" s="54">
        <v>80</v>
      </c>
      <c r="AD116" s="69">
        <f>SUM(AE116:AK116)</f>
        <v>34</v>
      </c>
      <c r="AE116" s="66"/>
      <c r="AF116" s="66">
        <v>8</v>
      </c>
      <c r="AG116" s="66">
        <v>6</v>
      </c>
      <c r="AH116" s="66">
        <v>10</v>
      </c>
      <c r="AI116" s="66"/>
      <c r="AJ116" s="66"/>
      <c r="AK116" s="66">
        <v>10</v>
      </c>
      <c r="AL116" s="54">
        <f>IF((AC116-SUM(AE116:AK116))&lt;0,0,AC116-SUM(AE116:AK116))</f>
        <v>46</v>
      </c>
      <c r="AM116" s="69">
        <f>SUM(AN116:AT116)</f>
        <v>34</v>
      </c>
      <c r="AN116" s="60"/>
      <c r="AO116" s="52">
        <v>8</v>
      </c>
      <c r="AP116" s="52">
        <v>6</v>
      </c>
      <c r="AQ116" s="52">
        <v>10</v>
      </c>
      <c r="AR116" s="52"/>
      <c r="AS116" s="52"/>
      <c r="AT116" s="61">
        <v>10</v>
      </c>
      <c r="AU116" s="66">
        <f>MAX(0,$AM116-$AC116-$AW116)</f>
        <v>0</v>
      </c>
      <c r="AV116" s="66"/>
      <c r="AW116" s="66"/>
      <c r="AX116" s="65">
        <v>0</v>
      </c>
      <c r="AY116" s="65">
        <f>IF(AND($AU116&gt;0,ISNUMBER($AX116)),$AU116*$AX116,0)</f>
        <v>0</v>
      </c>
      <c r="AZ116" s="46"/>
      <c r="BA116" s="52"/>
      <c r="BB116" s="52"/>
      <c r="BC116" s="52"/>
      <c r="BD116" s="52"/>
      <c r="BE116" s="52"/>
      <c r="BF116" s="52"/>
    </row>
    <row r="117" spans="1:58" ht="15" customHeight="1">
      <c r="A117" s="46" t="s">
        <v>657</v>
      </c>
      <c r="B117" s="53" t="s">
        <v>658</v>
      </c>
      <c r="C117" s="66" t="s">
        <v>101</v>
      </c>
      <c r="D117" s="67">
        <v>2</v>
      </c>
      <c r="E117" s="53" t="s">
        <v>81</v>
      </c>
      <c r="F117" s="50">
        <v>2</v>
      </c>
      <c r="G117" s="50">
        <v>2</v>
      </c>
      <c r="H117" s="51" t="s">
        <v>659</v>
      </c>
      <c r="I117" s="50" t="s">
        <v>660</v>
      </c>
      <c r="J117" s="54" t="s">
        <v>73</v>
      </c>
      <c r="K117" s="58" t="s">
        <v>661</v>
      </c>
      <c r="L117" s="58" t="s">
        <v>662</v>
      </c>
      <c r="M117" s="58" t="s">
        <v>663</v>
      </c>
      <c r="N117" s="58"/>
      <c r="O117" s="54"/>
      <c r="P117" s="56" t="s">
        <v>76</v>
      </c>
      <c r="Q117" s="58" t="s">
        <v>633</v>
      </c>
      <c r="R117" s="74" t="s">
        <v>664</v>
      </c>
      <c r="S117" s="74">
        <v>2</v>
      </c>
      <c r="T117" s="74">
        <v>0</v>
      </c>
      <c r="U117" s="56" t="s">
        <v>665</v>
      </c>
      <c r="V117" s="57">
        <v>0.13</v>
      </c>
      <c r="W117" s="68"/>
      <c r="X117" s="50"/>
      <c r="Y117" s="50"/>
      <c r="Z117" s="50"/>
      <c r="AA117" s="56"/>
      <c r="AB117" s="57"/>
      <c r="AC117" s="54">
        <v>6</v>
      </c>
      <c r="AD117" s="69">
        <f>SUM(AE117:AK117)</f>
        <v>1</v>
      </c>
      <c r="AE117" s="66"/>
      <c r="AF117" s="66"/>
      <c r="AG117" s="66">
        <v>1</v>
      </c>
      <c r="AH117" s="66"/>
      <c r="AI117" s="66"/>
      <c r="AJ117" s="66"/>
      <c r="AK117" s="66"/>
      <c r="AL117" s="54">
        <f>IF((AC117-SUM(AE117:AK117))&lt;0,0,AC117-SUM(AE117:AK117))</f>
        <v>5</v>
      </c>
      <c r="AM117" s="69">
        <f>SUM(AN117:AT117)</f>
        <v>0</v>
      </c>
      <c r="AN117" s="60"/>
      <c r="AO117" s="52"/>
      <c r="AP117" s="52"/>
      <c r="AQ117" s="52"/>
      <c r="AR117" s="52"/>
      <c r="AS117" s="52"/>
      <c r="AT117" s="61"/>
      <c r="AU117" s="66">
        <f>MAX(0,$AM117-$AC117-$AW117)</f>
        <v>0</v>
      </c>
      <c r="AV117" s="66"/>
      <c r="AW117" s="66"/>
      <c r="AX117" s="65">
        <v>0</v>
      </c>
      <c r="AY117" s="65">
        <f>IF(AND($AU117&gt;0,ISNUMBER($AX117)),$AU117*$AX117,0)</f>
        <v>0</v>
      </c>
      <c r="AZ117" s="46"/>
      <c r="BA117" s="52"/>
      <c r="BB117" s="52" t="s">
        <v>587</v>
      </c>
      <c r="BC117" s="52"/>
      <c r="BD117" s="52"/>
      <c r="BE117" s="52"/>
      <c r="BF117" s="52"/>
    </row>
    <row r="118" spans="1:58" ht="15" customHeight="1">
      <c r="A118" s="46" t="s">
        <v>666</v>
      </c>
      <c r="B118" s="53" t="s">
        <v>667</v>
      </c>
      <c r="C118" s="66" t="s">
        <v>311</v>
      </c>
      <c r="D118" s="67">
        <v>0</v>
      </c>
      <c r="E118" s="53" t="s">
        <v>312</v>
      </c>
      <c r="F118" s="50"/>
      <c r="G118" s="50"/>
      <c r="H118" s="51"/>
      <c r="I118" s="50" t="s">
        <v>668</v>
      </c>
      <c r="J118" s="54" t="s">
        <v>73</v>
      </c>
      <c r="K118" s="58" t="s">
        <v>312</v>
      </c>
      <c r="L118" s="58" t="s">
        <v>456</v>
      </c>
      <c r="M118" s="58"/>
      <c r="N118" s="58"/>
      <c r="O118" s="54"/>
      <c r="P118" s="55" t="s">
        <v>76</v>
      </c>
      <c r="Q118" s="58" t="s">
        <v>669</v>
      </c>
      <c r="R118" s="74" t="s">
        <v>670</v>
      </c>
      <c r="S118" s="74">
        <v>1</v>
      </c>
      <c r="T118" s="74">
        <v>0</v>
      </c>
      <c r="U118" s="54" t="s">
        <v>671</v>
      </c>
      <c r="V118" s="57">
        <v>0.09</v>
      </c>
      <c r="W118" s="68"/>
      <c r="X118" s="46"/>
      <c r="Y118" s="54"/>
      <c r="Z118" s="54"/>
      <c r="AA118" s="54"/>
      <c r="AB118" s="57"/>
      <c r="AC118" s="54">
        <v>5</v>
      </c>
      <c r="AD118" s="69">
        <f>SUM(AE118:AK118)</f>
        <v>3</v>
      </c>
      <c r="AE118" s="66"/>
      <c r="AF118" s="66">
        <v>1</v>
      </c>
      <c r="AG118" s="66">
        <v>1</v>
      </c>
      <c r="AH118" s="66"/>
      <c r="AI118" s="66">
        <v>1</v>
      </c>
      <c r="AJ118" s="66"/>
      <c r="AK118" s="66"/>
      <c r="AL118" s="54">
        <f>IF((AC118-SUM(AE118:AK118))&lt;0,0,AC118-SUM(AE118:AK118))</f>
        <v>2</v>
      </c>
      <c r="AM118" s="69">
        <f>SUM(AN118:AT118)</f>
        <v>1</v>
      </c>
      <c r="AN118" s="60"/>
      <c r="AO118" s="52"/>
      <c r="AP118" s="52"/>
      <c r="AQ118" s="52"/>
      <c r="AR118" s="52">
        <v>1</v>
      </c>
      <c r="AS118" s="52"/>
      <c r="AT118" s="61"/>
      <c r="AU118" s="66">
        <f>MAX(0,$AM118-$AC118-$AW118)</f>
        <v>0</v>
      </c>
      <c r="AV118" s="66"/>
      <c r="AW118" s="66"/>
      <c r="AX118" s="65">
        <v>0</v>
      </c>
      <c r="AY118" s="65">
        <f>IF(AND($AU118&gt;0,ISNUMBER($AX118)),$AU118*$AX118,0)</f>
        <v>0</v>
      </c>
      <c r="AZ118" s="46"/>
      <c r="BA118" s="52" t="s">
        <v>453</v>
      </c>
      <c r="BB118" s="52" t="s">
        <v>617</v>
      </c>
      <c r="BC118" s="52"/>
      <c r="BD118" s="52"/>
      <c r="BE118" s="52"/>
      <c r="BF118" s="52"/>
    </row>
    <row r="119" spans="1:58" ht="15" customHeight="1">
      <c r="A119" s="46" t="s">
        <v>672</v>
      </c>
      <c r="B119" s="53" t="s">
        <v>673</v>
      </c>
      <c r="C119" s="66" t="s">
        <v>181</v>
      </c>
      <c r="D119" s="67">
        <v>2</v>
      </c>
      <c r="E119" s="53" t="s">
        <v>81</v>
      </c>
      <c r="F119" s="50">
        <v>2</v>
      </c>
      <c r="G119" s="50">
        <v>2</v>
      </c>
      <c r="H119" s="51" t="s">
        <v>674</v>
      </c>
      <c r="I119" s="50" t="s">
        <v>675</v>
      </c>
      <c r="J119" s="54" t="s">
        <v>73</v>
      </c>
      <c r="K119" s="53" t="s">
        <v>676</v>
      </c>
      <c r="L119" s="53" t="s">
        <v>677</v>
      </c>
      <c r="M119" s="53"/>
      <c r="N119" s="53"/>
      <c r="O119" s="54"/>
      <c r="P119" s="56" t="s">
        <v>76</v>
      </c>
      <c r="Q119" s="53" t="s">
        <v>633</v>
      </c>
      <c r="R119" s="74" t="s">
        <v>678</v>
      </c>
      <c r="S119" s="74">
        <v>1</v>
      </c>
      <c r="T119" s="74">
        <v>0</v>
      </c>
      <c r="U119" s="56" t="s">
        <v>679</v>
      </c>
      <c r="V119" s="57">
        <v>0.12</v>
      </c>
      <c r="W119" s="68"/>
      <c r="X119" s="50"/>
      <c r="Y119" s="50"/>
      <c r="Z119" s="50"/>
      <c r="AA119" s="56"/>
      <c r="AB119" s="57"/>
      <c r="AC119" s="54">
        <v>5</v>
      </c>
      <c r="AD119" s="69">
        <f>SUM(AE119:AK119)</f>
        <v>0</v>
      </c>
      <c r="AE119" s="66"/>
      <c r="AF119" s="66"/>
      <c r="AG119" s="66"/>
      <c r="AH119" s="66"/>
      <c r="AI119" s="66"/>
      <c r="AJ119" s="66"/>
      <c r="AK119" s="66"/>
      <c r="AL119" s="54">
        <f>IF((AC119-SUM(AE119:AK119))&lt;0,0,AC119-SUM(AE119:AK119))</f>
        <v>5</v>
      </c>
      <c r="AM119" s="69">
        <f>SUM(AN119:AT119)</f>
        <v>0</v>
      </c>
      <c r="AN119" s="60"/>
      <c r="AO119" s="52"/>
      <c r="AP119" s="52"/>
      <c r="AQ119" s="52"/>
      <c r="AR119" s="52"/>
      <c r="AS119" s="52"/>
      <c r="AT119" s="61"/>
      <c r="AU119" s="66">
        <f>MAX(0,$AM119-$AC119-$AW119)</f>
        <v>0</v>
      </c>
      <c r="AV119" s="66"/>
      <c r="AW119" s="66"/>
      <c r="AX119" s="65">
        <v>0</v>
      </c>
      <c r="AY119" s="65">
        <f>IF(AND($AU119&gt;0,ISNUMBER($AX119)),$AU119*$AX119,0)</f>
        <v>0</v>
      </c>
      <c r="AZ119" s="46"/>
      <c r="BA119" s="52"/>
      <c r="BB119" s="52"/>
      <c r="BC119" s="52"/>
      <c r="BD119" s="52"/>
      <c r="BE119" s="52"/>
      <c r="BF119" s="52"/>
    </row>
    <row r="120" spans="1:58" ht="15" customHeight="1">
      <c r="A120" s="46" t="s">
        <v>680</v>
      </c>
      <c r="B120" s="53" t="s">
        <v>681</v>
      </c>
      <c r="C120" s="66" t="s">
        <v>311</v>
      </c>
      <c r="D120" s="67">
        <v>0</v>
      </c>
      <c r="E120" s="53" t="s">
        <v>312</v>
      </c>
      <c r="F120" s="50"/>
      <c r="G120" s="50"/>
      <c r="H120" s="51"/>
      <c r="I120" s="50" t="s">
        <v>682</v>
      </c>
      <c r="J120" s="54" t="s">
        <v>73</v>
      </c>
      <c r="K120" s="58" t="s">
        <v>312</v>
      </c>
      <c r="L120" s="58" t="s">
        <v>683</v>
      </c>
      <c r="M120" s="58" t="s">
        <v>684</v>
      </c>
      <c r="N120" s="58"/>
      <c r="O120" s="54"/>
      <c r="P120" s="56" t="s">
        <v>76</v>
      </c>
      <c r="Q120" s="58" t="s">
        <v>633</v>
      </c>
      <c r="R120" s="50"/>
      <c r="S120" s="50"/>
      <c r="T120" s="50"/>
      <c r="U120" s="56"/>
      <c r="V120" s="57">
        <v>0.16</v>
      </c>
      <c r="W120" s="68"/>
      <c r="X120" s="50"/>
      <c r="Y120" s="50"/>
      <c r="Z120" s="50"/>
      <c r="AA120" s="56"/>
      <c r="AB120" s="57"/>
      <c r="AC120" s="54">
        <v>4</v>
      </c>
      <c r="AD120" s="69">
        <f>SUM(AE120:AK120)</f>
        <v>2</v>
      </c>
      <c r="AE120" s="66"/>
      <c r="AF120" s="66"/>
      <c r="AG120" s="66">
        <v>1</v>
      </c>
      <c r="AH120" s="66"/>
      <c r="AI120" s="66"/>
      <c r="AJ120" s="66"/>
      <c r="AK120" s="66">
        <v>1</v>
      </c>
      <c r="AL120" s="54">
        <f>IF((AC120-SUM(AE120:AK120))&lt;0,0,AC120-SUM(AE120:AK120))</f>
        <v>2</v>
      </c>
      <c r="AM120" s="69">
        <f>SUM(AN120:AT120)</f>
        <v>2</v>
      </c>
      <c r="AN120" s="60"/>
      <c r="AO120" s="52"/>
      <c r="AP120" s="52">
        <v>1</v>
      </c>
      <c r="AQ120" s="52"/>
      <c r="AR120" s="52"/>
      <c r="AS120" s="52"/>
      <c r="AT120" s="61">
        <v>1</v>
      </c>
      <c r="AU120" s="66">
        <f>MAX(0,$AM120-$AC120-$AW120)</f>
        <v>0</v>
      </c>
      <c r="AV120" s="66"/>
      <c r="AW120" s="66"/>
      <c r="AX120" s="65">
        <v>0</v>
      </c>
      <c r="AY120" s="65">
        <f>IF(AND($AU120&gt;0,ISNUMBER($AX120)),$AU120*$AX120,0)</f>
        <v>0</v>
      </c>
      <c r="AZ120" s="46"/>
      <c r="BA120" s="52"/>
      <c r="BB120" s="52"/>
      <c r="BC120" s="52"/>
      <c r="BD120" s="52"/>
      <c r="BE120" s="52"/>
      <c r="BF120" s="52"/>
    </row>
    <row r="121" spans="1:58" ht="15" customHeight="1">
      <c r="A121" s="46" t="s">
        <v>685</v>
      </c>
      <c r="B121" s="53" t="s">
        <v>686</v>
      </c>
      <c r="C121" s="66" t="s">
        <v>181</v>
      </c>
      <c r="D121" s="67">
        <v>3</v>
      </c>
      <c r="E121" s="53" t="s">
        <v>81</v>
      </c>
      <c r="F121" s="50">
        <v>4</v>
      </c>
      <c r="G121" s="50">
        <v>1</v>
      </c>
      <c r="H121" s="51" t="s">
        <v>687</v>
      </c>
      <c r="I121" s="50" t="s">
        <v>688</v>
      </c>
      <c r="J121" s="54" t="s">
        <v>73</v>
      </c>
      <c r="K121" s="53" t="s">
        <v>474</v>
      </c>
      <c r="L121" s="53" t="s">
        <v>689</v>
      </c>
      <c r="M121" s="53" t="s">
        <v>690</v>
      </c>
      <c r="N121" s="53"/>
      <c r="O121" s="54"/>
      <c r="P121" s="56" t="s">
        <v>76</v>
      </c>
      <c r="Q121" s="53" t="s">
        <v>691</v>
      </c>
      <c r="R121" s="50" t="s">
        <v>692</v>
      </c>
      <c r="S121" s="50">
        <v>4</v>
      </c>
      <c r="T121" s="50">
        <v>0</v>
      </c>
      <c r="U121" s="56" t="s">
        <v>693</v>
      </c>
      <c r="V121" s="57">
        <v>1.99</v>
      </c>
      <c r="W121" s="56"/>
      <c r="X121" s="50"/>
      <c r="Y121" s="50"/>
      <c r="Z121" s="50"/>
      <c r="AA121" s="56"/>
      <c r="AB121" s="57"/>
      <c r="AC121" s="54">
        <v>4</v>
      </c>
      <c r="AD121" s="69">
        <f>SUM(AE121:AK121)</f>
        <v>0</v>
      </c>
      <c r="AE121" s="66"/>
      <c r="AF121" s="66"/>
      <c r="AG121" s="66"/>
      <c r="AH121" s="66"/>
      <c r="AI121" s="66"/>
      <c r="AJ121" s="66"/>
      <c r="AK121" s="66"/>
      <c r="AL121" s="54">
        <f>IF((AC121-SUM(AE121:AK121))&lt;0,0,AC121-SUM(AE121:AK121))</f>
        <v>4</v>
      </c>
      <c r="AM121" s="69">
        <f>SUM(AN121:AT121)</f>
        <v>0</v>
      </c>
      <c r="AN121" s="60"/>
      <c r="AO121" s="52"/>
      <c r="AP121" s="52"/>
      <c r="AQ121" s="52"/>
      <c r="AR121" s="52"/>
      <c r="AS121" s="52"/>
      <c r="AT121" s="61"/>
      <c r="AU121" s="66">
        <f>MAX(0,$AM121-$AC121-$AW121)</f>
        <v>0</v>
      </c>
      <c r="AV121" s="66"/>
      <c r="AW121" s="66"/>
      <c r="AX121" s="65">
        <v>0</v>
      </c>
      <c r="AY121" s="65">
        <f>IF(AND($AU121&gt;0,ISNUMBER($AX121)),$AU121*$AX121,0)</f>
        <v>0</v>
      </c>
      <c r="AZ121" s="46"/>
      <c r="BA121" s="52"/>
      <c r="BB121" s="52"/>
      <c r="BC121" s="52"/>
      <c r="BD121" s="52"/>
      <c r="BE121" s="52"/>
      <c r="BF121" s="52"/>
    </row>
    <row r="122" spans="1:58" ht="15" customHeight="1">
      <c r="A122" s="46" t="s">
        <v>694</v>
      </c>
      <c r="B122" s="53" t="s">
        <v>695</v>
      </c>
      <c r="C122" s="66" t="s">
        <v>80</v>
      </c>
      <c r="D122" s="67">
        <v>4</v>
      </c>
      <c r="E122" s="53" t="s">
        <v>81</v>
      </c>
      <c r="F122" s="50">
        <v>3</v>
      </c>
      <c r="G122" s="50">
        <v>4</v>
      </c>
      <c r="H122" s="51" t="s">
        <v>205</v>
      </c>
      <c r="I122" s="50" t="s">
        <v>696</v>
      </c>
      <c r="J122" s="54" t="s">
        <v>73</v>
      </c>
      <c r="K122" s="53" t="s">
        <v>676</v>
      </c>
      <c r="L122" s="53" t="s">
        <v>697</v>
      </c>
      <c r="M122" s="53" t="s">
        <v>698</v>
      </c>
      <c r="N122" s="53"/>
      <c r="O122" s="54"/>
      <c r="P122" s="56" t="s">
        <v>76</v>
      </c>
      <c r="Q122" s="53" t="s">
        <v>691</v>
      </c>
      <c r="R122" s="50" t="s">
        <v>699</v>
      </c>
      <c r="S122" s="50">
        <v>4</v>
      </c>
      <c r="T122" s="50">
        <v>0</v>
      </c>
      <c r="U122" s="56" t="s">
        <v>700</v>
      </c>
      <c r="V122" s="57">
        <v>0.92</v>
      </c>
      <c r="W122" s="56"/>
      <c r="X122" s="50"/>
      <c r="Y122" s="50"/>
      <c r="Z122" s="50"/>
      <c r="AA122" s="56"/>
      <c r="AB122" s="57"/>
      <c r="AC122" s="54">
        <v>4</v>
      </c>
      <c r="AD122" s="69">
        <f>SUM(AE122:AK122)</f>
        <v>0</v>
      </c>
      <c r="AE122" s="66"/>
      <c r="AF122" s="66"/>
      <c r="AG122" s="66"/>
      <c r="AH122" s="66"/>
      <c r="AI122" s="66"/>
      <c r="AJ122" s="66"/>
      <c r="AK122" s="66"/>
      <c r="AL122" s="54">
        <f>IF((AC122-SUM(AE122:AK122))&lt;0,0,AC122-SUM(AE122:AK122))</f>
        <v>4</v>
      </c>
      <c r="AM122" s="69">
        <f>SUM(AN122:AT122)</f>
        <v>0</v>
      </c>
      <c r="AN122" s="60"/>
      <c r="AO122" s="52"/>
      <c r="AP122" s="52"/>
      <c r="AQ122" s="52"/>
      <c r="AR122" s="52"/>
      <c r="AS122" s="52"/>
      <c r="AT122" s="61"/>
      <c r="AU122" s="66">
        <f>MAX(0,$AM122-$AC122-$AW122)</f>
        <v>0</v>
      </c>
      <c r="AV122" s="66"/>
      <c r="AW122" s="66"/>
      <c r="AX122" s="65">
        <v>0</v>
      </c>
      <c r="AY122" s="65">
        <f>IF(AND($AU122&gt;0,ISNUMBER($AX122)),$AU122*$AX122,0)</f>
        <v>0</v>
      </c>
      <c r="AZ122" s="46"/>
      <c r="BA122" s="52"/>
      <c r="BB122" s="52"/>
      <c r="BC122" s="52"/>
      <c r="BD122" s="52"/>
      <c r="BE122" s="52"/>
      <c r="BF122" s="52"/>
    </row>
    <row r="123" spans="1:58" ht="15" customHeight="1">
      <c r="A123" s="46" t="s">
        <v>701</v>
      </c>
      <c r="B123" s="53" t="s">
        <v>702</v>
      </c>
      <c r="C123" s="66" t="s">
        <v>101</v>
      </c>
      <c r="D123" s="67">
        <v>7</v>
      </c>
      <c r="E123" s="53" t="s">
        <v>81</v>
      </c>
      <c r="F123" s="50">
        <v>6</v>
      </c>
      <c r="G123" s="50">
        <v>5</v>
      </c>
      <c r="H123" s="51" t="s">
        <v>703</v>
      </c>
      <c r="I123" s="50" t="s">
        <v>704</v>
      </c>
      <c r="J123" s="54" t="s">
        <v>73</v>
      </c>
      <c r="K123" s="58" t="s">
        <v>705</v>
      </c>
      <c r="L123" s="58" t="s">
        <v>706</v>
      </c>
      <c r="M123" s="58" t="s">
        <v>707</v>
      </c>
      <c r="N123" s="58" t="s">
        <v>663</v>
      </c>
      <c r="O123" s="54"/>
      <c r="P123" s="55" t="s">
        <v>76</v>
      </c>
      <c r="Q123" s="58" t="s">
        <v>669</v>
      </c>
      <c r="R123" s="74" t="s">
        <v>708</v>
      </c>
      <c r="S123" s="74">
        <v>1</v>
      </c>
      <c r="T123" s="74">
        <v>0</v>
      </c>
      <c r="U123" s="56"/>
      <c r="V123" s="57">
        <v>0.09</v>
      </c>
      <c r="W123" s="68"/>
      <c r="X123" s="46"/>
      <c r="Y123" s="50"/>
      <c r="Z123" s="50"/>
      <c r="AA123" s="56"/>
      <c r="AB123" s="57"/>
      <c r="AC123" s="54">
        <v>4</v>
      </c>
      <c r="AD123" s="69">
        <f>SUM(AE123:AK123)</f>
        <v>0</v>
      </c>
      <c r="AE123" s="66"/>
      <c r="AF123" s="66"/>
      <c r="AG123" s="66"/>
      <c r="AH123" s="66"/>
      <c r="AI123" s="66"/>
      <c r="AJ123" s="66"/>
      <c r="AK123" s="66"/>
      <c r="AL123" s="54">
        <f>IF((AC123-SUM(AE123:AK123))&lt;0,0,AC123-SUM(AE123:AK123))</f>
        <v>4</v>
      </c>
      <c r="AM123" s="69">
        <f>SUM(AN123:AT123)</f>
        <v>0</v>
      </c>
      <c r="AN123" s="60"/>
      <c r="AO123" s="52"/>
      <c r="AP123" s="52"/>
      <c r="AQ123" s="52"/>
      <c r="AR123" s="52"/>
      <c r="AS123" s="52"/>
      <c r="AT123" s="61"/>
      <c r="AU123" s="66">
        <f>MAX(0,$AM123-$AC123-$AW123)</f>
        <v>0</v>
      </c>
      <c r="AV123" s="66"/>
      <c r="AW123" s="66"/>
      <c r="AX123" s="65">
        <v>0</v>
      </c>
      <c r="AY123" s="65">
        <f>IF(AND($AU123&gt;0,ISNUMBER($AX123)),$AU123*$AX123,0)</f>
        <v>0</v>
      </c>
      <c r="AZ123" s="46"/>
      <c r="BA123" s="52"/>
      <c r="BB123" s="52"/>
      <c r="BC123" s="52"/>
      <c r="BD123" s="52"/>
      <c r="BE123" s="52"/>
      <c r="BF123" s="52"/>
    </row>
    <row r="124" spans="1:58" ht="15" customHeight="1">
      <c r="A124" s="46" t="s">
        <v>709</v>
      </c>
      <c r="B124" s="53" t="s">
        <v>710</v>
      </c>
      <c r="C124" s="66" t="s">
        <v>101</v>
      </c>
      <c r="D124" s="67">
        <v>4</v>
      </c>
      <c r="E124" s="53" t="s">
        <v>71</v>
      </c>
      <c r="F124" s="50"/>
      <c r="G124" s="50"/>
      <c r="H124" s="51"/>
      <c r="I124" s="50" t="s">
        <v>711</v>
      </c>
      <c r="J124" s="54" t="s">
        <v>73</v>
      </c>
      <c r="K124" s="53" t="s">
        <v>129</v>
      </c>
      <c r="L124" s="53" t="s">
        <v>712</v>
      </c>
      <c r="M124" s="53" t="s">
        <v>713</v>
      </c>
      <c r="N124" s="53"/>
      <c r="O124" s="54"/>
      <c r="P124" s="56" t="s">
        <v>76</v>
      </c>
      <c r="Q124" s="53" t="s">
        <v>691</v>
      </c>
      <c r="R124" s="50" t="s">
        <v>714</v>
      </c>
      <c r="S124" s="50">
        <v>4</v>
      </c>
      <c r="T124" s="50">
        <v>0</v>
      </c>
      <c r="U124" s="56" t="s">
        <v>636</v>
      </c>
      <c r="V124" s="57"/>
      <c r="W124" s="56"/>
      <c r="X124" s="50"/>
      <c r="Y124" s="50"/>
      <c r="Z124" s="50"/>
      <c r="AA124" s="56"/>
      <c r="AB124" s="57"/>
      <c r="AC124" s="54">
        <v>4</v>
      </c>
      <c r="AD124" s="69">
        <f>SUM(AE124:AK124)</f>
        <v>0</v>
      </c>
      <c r="AE124" s="66"/>
      <c r="AF124" s="66"/>
      <c r="AG124" s="66"/>
      <c r="AH124" s="66"/>
      <c r="AI124" s="66"/>
      <c r="AJ124" s="66"/>
      <c r="AK124" s="66"/>
      <c r="AL124" s="54">
        <f>IF((AC124-SUM(AE124:AK124))&lt;0,0,AC124-SUM(AE124:AK124))</f>
        <v>4</v>
      </c>
      <c r="AM124" s="69">
        <f>SUM(AN124:AT124)</f>
        <v>0</v>
      </c>
      <c r="AN124" s="60"/>
      <c r="AO124" s="52"/>
      <c r="AP124" s="52"/>
      <c r="AQ124" s="52"/>
      <c r="AR124" s="52"/>
      <c r="AS124" s="52"/>
      <c r="AT124" s="61"/>
      <c r="AU124" s="66">
        <f>MAX(0,$AM124-$AC124-$AW124)</f>
        <v>0</v>
      </c>
      <c r="AV124" s="66"/>
      <c r="AW124" s="66"/>
      <c r="AX124" s="65">
        <v>0</v>
      </c>
      <c r="AY124" s="65">
        <f>IF(AND($AU124&gt;0,ISNUMBER($AX124)),$AU124*$AX124,0)</f>
        <v>0</v>
      </c>
      <c r="AZ124" s="46"/>
      <c r="BA124" s="52"/>
      <c r="BB124" s="52"/>
      <c r="BC124" s="52"/>
      <c r="BD124" s="52"/>
      <c r="BE124" s="52"/>
      <c r="BF124" s="52"/>
    </row>
    <row r="125" spans="1:58" ht="15" customHeight="1">
      <c r="A125" s="46" t="s">
        <v>715</v>
      </c>
      <c r="B125" s="53" t="s">
        <v>716</v>
      </c>
      <c r="C125" s="66" t="s">
        <v>118</v>
      </c>
      <c r="D125" s="67">
        <v>4</v>
      </c>
      <c r="E125" s="53" t="s">
        <v>384</v>
      </c>
      <c r="F125" s="50"/>
      <c r="G125" s="50"/>
      <c r="H125" s="51"/>
      <c r="I125" s="50" t="s">
        <v>717</v>
      </c>
      <c r="J125" s="54" t="s">
        <v>73</v>
      </c>
      <c r="K125" s="58" t="s">
        <v>135</v>
      </c>
      <c r="L125" s="58" t="s">
        <v>718</v>
      </c>
      <c r="M125" s="58" t="s">
        <v>719</v>
      </c>
      <c r="N125" s="58" t="s">
        <v>720</v>
      </c>
      <c r="O125" s="54"/>
      <c r="P125" s="56" t="s">
        <v>185</v>
      </c>
      <c r="Q125" s="58" t="s">
        <v>721</v>
      </c>
      <c r="R125" s="54"/>
      <c r="S125" s="54"/>
      <c r="T125" s="54"/>
      <c r="U125" s="54"/>
      <c r="V125" s="57">
        <v>0.28000000000000003</v>
      </c>
      <c r="W125" s="68"/>
      <c r="X125" s="54"/>
      <c r="Y125" s="54"/>
      <c r="Z125" s="54"/>
      <c r="AA125" s="54"/>
      <c r="AB125" s="57"/>
      <c r="AC125" s="54">
        <v>3</v>
      </c>
      <c r="AD125" s="69">
        <f>SUM(AE125:AK125)</f>
        <v>2</v>
      </c>
      <c r="AE125" s="66"/>
      <c r="AF125" s="66">
        <v>1</v>
      </c>
      <c r="AG125" s="66">
        <v>1</v>
      </c>
      <c r="AH125" s="66"/>
      <c r="AI125" s="66"/>
      <c r="AJ125" s="66"/>
      <c r="AK125" s="66"/>
      <c r="AL125" s="54">
        <f>IF((AC125-SUM(AE125:AK125))&lt;0,0,AC125-SUM(AE125:AK125))</f>
        <v>1</v>
      </c>
      <c r="AM125" s="69">
        <f>SUM(AN125:AT125)</f>
        <v>2</v>
      </c>
      <c r="AN125" s="60"/>
      <c r="AO125" s="52">
        <v>1</v>
      </c>
      <c r="AP125" s="52">
        <v>1</v>
      </c>
      <c r="AQ125" s="52"/>
      <c r="AR125" s="52"/>
      <c r="AS125" s="52"/>
      <c r="AT125" s="61"/>
      <c r="AU125" s="66">
        <f>MAX(0,$AM125-$AC125-$AW125)</f>
        <v>0</v>
      </c>
      <c r="AV125" s="66"/>
      <c r="AW125" s="66"/>
      <c r="AX125" s="65">
        <v>0</v>
      </c>
      <c r="AY125" s="65">
        <f>IF(AND($AU125&gt;0,ISNUMBER($AX125)),$AU125*$AX125,0)</f>
        <v>0</v>
      </c>
      <c r="AZ125" s="46"/>
      <c r="BA125" s="52"/>
      <c r="BB125" s="52"/>
      <c r="BC125" s="52"/>
      <c r="BD125" s="52"/>
      <c r="BE125" s="52"/>
      <c r="BF125" s="52"/>
    </row>
    <row r="126" spans="1:58" ht="15" customHeight="1">
      <c r="A126" s="46" t="s">
        <v>722</v>
      </c>
      <c r="B126" s="53" t="s">
        <v>723</v>
      </c>
      <c r="C126" s="66" t="s">
        <v>101</v>
      </c>
      <c r="D126" s="67">
        <v>2</v>
      </c>
      <c r="E126" s="53" t="s">
        <v>189</v>
      </c>
      <c r="F126" s="50"/>
      <c r="G126" s="50"/>
      <c r="H126" s="51" t="s">
        <v>724</v>
      </c>
      <c r="I126" s="50" t="s">
        <v>725</v>
      </c>
      <c r="J126" s="54" t="s">
        <v>73</v>
      </c>
      <c r="K126" s="58" t="s">
        <v>726</v>
      </c>
      <c r="L126" s="58" t="s">
        <v>727</v>
      </c>
      <c r="M126" s="58" t="s">
        <v>728</v>
      </c>
      <c r="N126" s="58"/>
      <c r="O126" s="54"/>
      <c r="P126" s="56" t="s">
        <v>76</v>
      </c>
      <c r="Q126" s="58" t="s">
        <v>729</v>
      </c>
      <c r="R126" s="54"/>
      <c r="S126" s="54"/>
      <c r="T126" s="54"/>
      <c r="U126" s="56"/>
      <c r="V126" s="57">
        <v>0.26</v>
      </c>
      <c r="W126" s="68"/>
      <c r="X126" s="54"/>
      <c r="Y126" s="54"/>
      <c r="Z126" s="54"/>
      <c r="AA126" s="56"/>
      <c r="AB126" s="57"/>
      <c r="AC126" s="54">
        <v>3</v>
      </c>
      <c r="AD126" s="69">
        <f>SUM(AE126:AK126)</f>
        <v>2</v>
      </c>
      <c r="AE126" s="66"/>
      <c r="AF126" s="66"/>
      <c r="AG126" s="66">
        <v>1</v>
      </c>
      <c r="AH126" s="66">
        <v>1</v>
      </c>
      <c r="AI126" s="66"/>
      <c r="AJ126" s="66"/>
      <c r="AK126" s="66"/>
      <c r="AL126" s="54">
        <f>IF((AC126-SUM(AE126:AK126))&lt;0,0,AC126-SUM(AE126:AK126))</f>
        <v>1</v>
      </c>
      <c r="AM126" s="69">
        <f>SUM(AN126:AT126)</f>
        <v>2</v>
      </c>
      <c r="AN126" s="60"/>
      <c r="AO126" s="52"/>
      <c r="AP126" s="52">
        <v>1</v>
      </c>
      <c r="AQ126" s="52">
        <v>1</v>
      </c>
      <c r="AR126" s="52"/>
      <c r="AS126" s="52"/>
      <c r="AT126" s="61"/>
      <c r="AU126" s="66">
        <f>MAX(0,$AM126-$AC126-$AW126)</f>
        <v>0</v>
      </c>
      <c r="AV126" s="66"/>
      <c r="AW126" s="66"/>
      <c r="AX126" s="65">
        <v>0</v>
      </c>
      <c r="AY126" s="65">
        <f>IF(AND($AU126&gt;0,ISNUMBER($AX126)),$AU126*$AX126,0)</f>
        <v>0</v>
      </c>
      <c r="AZ126" s="46"/>
      <c r="BA126" s="52"/>
      <c r="BB126" s="52"/>
      <c r="BC126" s="52"/>
      <c r="BD126" s="52"/>
      <c r="BE126" s="52"/>
      <c r="BF126" s="52"/>
    </row>
    <row r="127" spans="1:58" ht="15" customHeight="1">
      <c r="A127" s="46" t="s">
        <v>730</v>
      </c>
      <c r="B127" s="53" t="s">
        <v>731</v>
      </c>
      <c r="C127" s="66" t="s">
        <v>181</v>
      </c>
      <c r="D127" s="67">
        <v>3</v>
      </c>
      <c r="E127" s="53" t="s">
        <v>71</v>
      </c>
      <c r="F127" s="50"/>
      <c r="G127" s="50"/>
      <c r="H127" s="51"/>
      <c r="I127" s="50" t="s">
        <v>732</v>
      </c>
      <c r="J127" s="54" t="s">
        <v>73</v>
      </c>
      <c r="K127" s="53" t="s">
        <v>92</v>
      </c>
      <c r="L127" s="53" t="s">
        <v>733</v>
      </c>
      <c r="M127" s="53" t="s">
        <v>734</v>
      </c>
      <c r="N127" s="53"/>
      <c r="O127" s="54"/>
      <c r="P127" s="56" t="s">
        <v>76</v>
      </c>
      <c r="Q127" s="53" t="s">
        <v>633</v>
      </c>
      <c r="R127" s="74" t="s">
        <v>735</v>
      </c>
      <c r="S127" s="74">
        <v>1</v>
      </c>
      <c r="T127" s="74">
        <v>0</v>
      </c>
      <c r="U127" s="56" t="s">
        <v>736</v>
      </c>
      <c r="V127" s="57">
        <v>0.16</v>
      </c>
      <c r="W127" s="68"/>
      <c r="X127" s="50"/>
      <c r="Y127" s="50"/>
      <c r="Z127" s="50"/>
      <c r="AA127" s="56"/>
      <c r="AB127" s="57"/>
      <c r="AC127" s="54">
        <v>3</v>
      </c>
      <c r="AD127" s="69">
        <f>SUM(AE127:AK127)</f>
        <v>1</v>
      </c>
      <c r="AE127" s="66"/>
      <c r="AF127" s="66"/>
      <c r="AG127" s="66">
        <v>1</v>
      </c>
      <c r="AH127" s="66"/>
      <c r="AI127" s="66"/>
      <c r="AJ127" s="66"/>
      <c r="AK127" s="66"/>
      <c r="AL127" s="54">
        <f>IF((AC127-SUM(AE127:AK127))&lt;0,0,AC127-SUM(AE127:AK127))</f>
        <v>2</v>
      </c>
      <c r="AM127" s="69">
        <f>SUM(AN127:AT127)</f>
        <v>1</v>
      </c>
      <c r="AN127" s="60"/>
      <c r="AO127" s="52"/>
      <c r="AP127" s="52">
        <v>1</v>
      </c>
      <c r="AQ127" s="52"/>
      <c r="AR127" s="52"/>
      <c r="AS127" s="52"/>
      <c r="AT127" s="61"/>
      <c r="AU127" s="66">
        <f>MAX(0,$AM127-$AC127-$AW127)</f>
        <v>0</v>
      </c>
      <c r="AV127" s="66"/>
      <c r="AW127" s="66"/>
      <c r="AX127" s="65">
        <v>0</v>
      </c>
      <c r="AY127" s="65">
        <f>IF(AND($AU127&gt;0,ISNUMBER($AX127)),$AU127*$AX127,0)</f>
        <v>0</v>
      </c>
      <c r="AZ127" s="46"/>
      <c r="BA127" s="52"/>
      <c r="BB127" s="52"/>
      <c r="BC127" s="52"/>
      <c r="BD127" s="52"/>
      <c r="BE127" s="52"/>
      <c r="BF127" s="52"/>
    </row>
    <row r="128" spans="1:58" ht="15" customHeight="1">
      <c r="A128" s="46" t="s">
        <v>737</v>
      </c>
      <c r="B128" s="53" t="s">
        <v>738</v>
      </c>
      <c r="C128" s="66" t="s">
        <v>232</v>
      </c>
      <c r="D128" s="67">
        <v>2</v>
      </c>
      <c r="E128" s="53" t="s">
        <v>233</v>
      </c>
      <c r="F128" s="50"/>
      <c r="G128" s="50"/>
      <c r="H128" s="51"/>
      <c r="I128" s="50" t="s">
        <v>739</v>
      </c>
      <c r="J128" s="54" t="s">
        <v>73</v>
      </c>
      <c r="K128" s="58" t="s">
        <v>235</v>
      </c>
      <c r="L128" s="58" t="s">
        <v>740</v>
      </c>
      <c r="M128" s="58" t="s">
        <v>741</v>
      </c>
      <c r="N128" s="58"/>
      <c r="O128" s="54"/>
      <c r="P128" s="56" t="s">
        <v>185</v>
      </c>
      <c r="Q128" s="58" t="s">
        <v>742</v>
      </c>
      <c r="R128" s="54"/>
      <c r="S128" s="54"/>
      <c r="T128" s="54"/>
      <c r="U128" s="54"/>
      <c r="V128" s="57">
        <v>0.27</v>
      </c>
      <c r="W128" s="68"/>
      <c r="X128" s="54"/>
      <c r="Y128" s="54"/>
      <c r="Z128" s="54"/>
      <c r="AA128" s="54"/>
      <c r="AB128" s="57"/>
      <c r="AC128" s="54">
        <v>3</v>
      </c>
      <c r="AD128" s="69">
        <f>SUM(AE128:AK128)</f>
        <v>3</v>
      </c>
      <c r="AE128" s="66">
        <v>1</v>
      </c>
      <c r="AF128" s="66"/>
      <c r="AG128" s="66"/>
      <c r="AH128" s="66"/>
      <c r="AI128" s="66">
        <v>1</v>
      </c>
      <c r="AJ128" s="66">
        <v>1</v>
      </c>
      <c r="AK128" s="66"/>
      <c r="AL128" s="54">
        <f>IF((AC128-SUM(AE128:AK128))&lt;0,0,AC128-SUM(AE128:AK128))</f>
        <v>0</v>
      </c>
      <c r="AM128" s="69">
        <f>SUM(AN128:AT128)</f>
        <v>3</v>
      </c>
      <c r="AN128" s="60">
        <v>1</v>
      </c>
      <c r="AO128" s="52"/>
      <c r="AP128" s="52"/>
      <c r="AQ128" s="52"/>
      <c r="AR128" s="52">
        <v>1</v>
      </c>
      <c r="AS128" s="52">
        <v>1</v>
      </c>
      <c r="AT128" s="61"/>
      <c r="AU128" s="66">
        <f>MAX(0,$AM128-$AC128-$AW128)</f>
        <v>0</v>
      </c>
      <c r="AV128" s="66"/>
      <c r="AW128" s="66"/>
      <c r="AX128" s="65">
        <v>0</v>
      </c>
      <c r="AY128" s="65">
        <f>IF(AND($AU128&gt;0,ISNUMBER($AX128)),$AU128*$AX128,0)</f>
        <v>0</v>
      </c>
      <c r="AZ128" s="46"/>
      <c r="BA128" s="52"/>
      <c r="BB128" s="52"/>
      <c r="BC128" s="52"/>
      <c r="BD128" s="52"/>
      <c r="BE128" s="52"/>
      <c r="BF128" s="52"/>
    </row>
    <row r="129" spans="1:58" ht="15" customHeight="1">
      <c r="A129" s="46" t="s">
        <v>743</v>
      </c>
      <c r="B129" s="53" t="s">
        <v>744</v>
      </c>
      <c r="C129" s="66" t="s">
        <v>311</v>
      </c>
      <c r="D129" s="67">
        <v>0</v>
      </c>
      <c r="E129" s="53" t="s">
        <v>312</v>
      </c>
      <c r="F129" s="50"/>
      <c r="G129" s="50"/>
      <c r="H129" s="51"/>
      <c r="I129" s="50" t="s">
        <v>745</v>
      </c>
      <c r="J129" s="54" t="s">
        <v>73</v>
      </c>
      <c r="K129" s="58" t="s">
        <v>312</v>
      </c>
      <c r="L129" s="58" t="s">
        <v>746</v>
      </c>
      <c r="M129" s="58" t="s">
        <v>747</v>
      </c>
      <c r="N129" s="58" t="s">
        <v>748</v>
      </c>
      <c r="O129" s="54"/>
      <c r="P129" s="55" t="s">
        <v>76</v>
      </c>
      <c r="Q129" s="58" t="s">
        <v>645</v>
      </c>
      <c r="R129" s="74" t="s">
        <v>749</v>
      </c>
      <c r="S129" s="74">
        <v>2</v>
      </c>
      <c r="T129" s="74">
        <v>0</v>
      </c>
      <c r="U129" s="56" t="s">
        <v>750</v>
      </c>
      <c r="V129" s="57">
        <v>0.15</v>
      </c>
      <c r="W129" s="68"/>
      <c r="X129" s="46"/>
      <c r="Y129" s="50"/>
      <c r="Z129" s="50"/>
      <c r="AA129" s="56"/>
      <c r="AB129" s="57"/>
      <c r="AC129" s="54">
        <v>3</v>
      </c>
      <c r="AD129" s="69">
        <f>SUM(AE129:AK129)</f>
        <v>1</v>
      </c>
      <c r="AE129" s="66">
        <v>1</v>
      </c>
      <c r="AF129" s="66"/>
      <c r="AG129" s="66"/>
      <c r="AH129" s="66"/>
      <c r="AI129" s="66"/>
      <c r="AJ129" s="66"/>
      <c r="AK129" s="66"/>
      <c r="AL129" s="54">
        <f>IF((AC129-SUM(AE129:AK129))&lt;0,0,AC129-SUM(AE129:AK129))</f>
        <v>2</v>
      </c>
      <c r="AM129" s="69">
        <f>SUM(AN129:AT129)</f>
        <v>1</v>
      </c>
      <c r="AN129" s="60">
        <v>1</v>
      </c>
      <c r="AO129" s="52"/>
      <c r="AP129" s="52"/>
      <c r="AQ129" s="52"/>
      <c r="AR129" s="52"/>
      <c r="AS129" s="52"/>
      <c r="AT129" s="61"/>
      <c r="AU129" s="66">
        <f>MAX(0,$AM129-$AC129-$AW129)</f>
        <v>0</v>
      </c>
      <c r="AV129" s="66"/>
      <c r="AW129" s="66"/>
      <c r="AX129" s="65">
        <v>0</v>
      </c>
      <c r="AY129" s="65">
        <f>IF(AND($AU129&gt;0,ISNUMBER($AX129)),$AU129*$AX129,0)</f>
        <v>0</v>
      </c>
      <c r="AZ129" s="46"/>
      <c r="BA129" s="52"/>
      <c r="BB129" s="52"/>
      <c r="BC129" s="52"/>
      <c r="BD129" s="52"/>
      <c r="BE129" s="52"/>
      <c r="BF129" s="52"/>
    </row>
    <row r="130" spans="1:58" ht="15" customHeight="1">
      <c r="A130" s="46" t="s">
        <v>751</v>
      </c>
      <c r="B130" s="47" t="s">
        <v>752</v>
      </c>
      <c r="C130" s="48" t="s">
        <v>109</v>
      </c>
      <c r="D130" s="49">
        <v>4</v>
      </c>
      <c r="E130" s="47" t="s">
        <v>71</v>
      </c>
      <c r="F130" s="50"/>
      <c r="G130" s="50"/>
      <c r="H130" s="51"/>
      <c r="I130" s="50" t="s">
        <v>753</v>
      </c>
      <c r="J130" s="52" t="s">
        <v>73</v>
      </c>
      <c r="K130" s="47" t="s">
        <v>754</v>
      </c>
      <c r="L130" s="53" t="s">
        <v>755</v>
      </c>
      <c r="M130" s="53" t="s">
        <v>756</v>
      </c>
      <c r="N130" s="53"/>
      <c r="O130" s="54"/>
      <c r="P130" s="55" t="s">
        <v>185</v>
      </c>
      <c r="Q130" s="47" t="s">
        <v>645</v>
      </c>
      <c r="R130" s="75" t="s">
        <v>757</v>
      </c>
      <c r="S130" s="75">
        <v>3</v>
      </c>
      <c r="T130" s="75">
        <v>0</v>
      </c>
      <c r="U130" s="56" t="s">
        <v>758</v>
      </c>
      <c r="V130" s="57">
        <v>0.34</v>
      </c>
      <c r="W130" s="68"/>
      <c r="X130" s="46"/>
      <c r="Y130" s="46"/>
      <c r="Z130" s="46"/>
      <c r="AA130" s="56"/>
      <c r="AB130" s="57"/>
      <c r="AC130" s="54">
        <v>3</v>
      </c>
      <c r="AD130" s="69">
        <f>SUM(AE130:AK130)</f>
        <v>1</v>
      </c>
      <c r="AE130" s="66">
        <v>1</v>
      </c>
      <c r="AF130" s="66"/>
      <c r="AG130" s="66"/>
      <c r="AH130" s="66"/>
      <c r="AI130" s="66"/>
      <c r="AJ130" s="66"/>
      <c r="AK130" s="66"/>
      <c r="AL130" s="54">
        <f>IF((AC130-SUM(AE130:AK130))&lt;0,0,AC130-SUM(AE130:AK130))</f>
        <v>2</v>
      </c>
      <c r="AM130" s="69">
        <f>SUM(AN130:AT130)</f>
        <v>0</v>
      </c>
      <c r="AN130" s="60"/>
      <c r="AO130" s="52"/>
      <c r="AP130" s="52"/>
      <c r="AQ130" s="52"/>
      <c r="AR130" s="52"/>
      <c r="AS130" s="52"/>
      <c r="AT130" s="61"/>
      <c r="AU130" s="66">
        <f>MAX(0,$AM130-$AC130-$AW130)</f>
        <v>0</v>
      </c>
      <c r="AV130" s="48"/>
      <c r="AW130" s="48"/>
      <c r="AX130" s="65">
        <v>0</v>
      </c>
      <c r="AY130" s="65">
        <f>IF(AND($AU130&gt;0,ISNUMBER($AX130)),$AU130*$AX130,0)</f>
        <v>0</v>
      </c>
      <c r="AZ130" s="52" t="s">
        <v>483</v>
      </c>
      <c r="BA130" s="52"/>
      <c r="BB130" s="52"/>
      <c r="BC130" s="52"/>
      <c r="BD130" s="52"/>
      <c r="BE130" s="52"/>
      <c r="BF130" s="52"/>
    </row>
    <row r="131" spans="1:58" ht="15" customHeight="1">
      <c r="A131" s="46" t="s">
        <v>759</v>
      </c>
      <c r="B131" s="53" t="s">
        <v>760</v>
      </c>
      <c r="C131" s="66" t="s">
        <v>70</v>
      </c>
      <c r="D131" s="67">
        <v>2</v>
      </c>
      <c r="E131" s="53" t="s">
        <v>233</v>
      </c>
      <c r="F131" s="50"/>
      <c r="G131" s="50"/>
      <c r="H131" s="51" t="s">
        <v>519</v>
      </c>
      <c r="I131" s="50" t="s">
        <v>761</v>
      </c>
      <c r="J131" s="54" t="s">
        <v>73</v>
      </c>
      <c r="K131" s="58" t="s">
        <v>92</v>
      </c>
      <c r="L131" s="58" t="s">
        <v>762</v>
      </c>
      <c r="M131" s="58" t="s">
        <v>763</v>
      </c>
      <c r="N131" s="58"/>
      <c r="O131" s="54"/>
      <c r="P131" s="56" t="s">
        <v>76</v>
      </c>
      <c r="Q131" s="58" t="s">
        <v>633</v>
      </c>
      <c r="R131" s="74" t="s">
        <v>764</v>
      </c>
      <c r="S131" s="74">
        <v>1</v>
      </c>
      <c r="T131" s="74">
        <v>0</v>
      </c>
      <c r="U131" s="56" t="s">
        <v>765</v>
      </c>
      <c r="V131" s="57">
        <v>0.13</v>
      </c>
      <c r="W131" s="68"/>
      <c r="X131" s="50"/>
      <c r="Y131" s="50"/>
      <c r="Z131" s="50"/>
      <c r="AA131" s="56"/>
      <c r="AB131" s="57"/>
      <c r="AC131" s="54">
        <v>3</v>
      </c>
      <c r="AD131" s="69">
        <f>SUM(AE131:AK131)</f>
        <v>1</v>
      </c>
      <c r="AE131" s="66">
        <v>1</v>
      </c>
      <c r="AF131" s="66"/>
      <c r="AG131" s="66"/>
      <c r="AH131" s="66"/>
      <c r="AI131" s="66"/>
      <c r="AJ131" s="66"/>
      <c r="AK131" s="66"/>
      <c r="AL131" s="54">
        <f>IF((AC131-SUM(AE131:AK131))&lt;0,0,AC131-SUM(AE131:AK131))</f>
        <v>2</v>
      </c>
      <c r="AM131" s="69">
        <f>SUM(AN131:AT131)</f>
        <v>0</v>
      </c>
      <c r="AN131" s="60"/>
      <c r="AO131" s="52"/>
      <c r="AP131" s="52"/>
      <c r="AQ131" s="52"/>
      <c r="AR131" s="52"/>
      <c r="AS131" s="52"/>
      <c r="AT131" s="61"/>
      <c r="AU131" s="66">
        <f>MAX(0,$AM131-$AC131-$AW131)</f>
        <v>0</v>
      </c>
      <c r="AV131" s="66"/>
      <c r="AW131" s="66"/>
      <c r="AX131" s="65">
        <v>0</v>
      </c>
      <c r="AY131" s="65">
        <f>IF(AND($AU131&gt;0,ISNUMBER($AX131)),$AU131*$AX131,0)</f>
        <v>0</v>
      </c>
      <c r="AZ131" s="52" t="s">
        <v>400</v>
      </c>
      <c r="BA131" s="52"/>
      <c r="BB131" s="52"/>
      <c r="BC131" s="52"/>
      <c r="BD131" s="52"/>
      <c r="BE131" s="52"/>
      <c r="BF131" s="52"/>
    </row>
    <row r="132" spans="1:58" ht="15" customHeight="1">
      <c r="A132" s="46" t="s">
        <v>766</v>
      </c>
      <c r="B132" s="53" t="s">
        <v>767</v>
      </c>
      <c r="C132" s="66" t="s">
        <v>118</v>
      </c>
      <c r="D132" s="67">
        <v>2</v>
      </c>
      <c r="E132" s="53" t="s">
        <v>71</v>
      </c>
      <c r="F132" s="50"/>
      <c r="G132" s="50"/>
      <c r="H132" s="51"/>
      <c r="I132" s="50" t="s">
        <v>768</v>
      </c>
      <c r="J132" s="54" t="s">
        <v>73</v>
      </c>
      <c r="K132" s="53" t="s">
        <v>135</v>
      </c>
      <c r="L132" s="53" t="s">
        <v>769</v>
      </c>
      <c r="M132" s="53" t="s">
        <v>770</v>
      </c>
      <c r="N132" s="53"/>
      <c r="O132" s="54"/>
      <c r="P132" s="56" t="s">
        <v>76</v>
      </c>
      <c r="Q132" s="53" t="s">
        <v>691</v>
      </c>
      <c r="R132" s="50" t="s">
        <v>771</v>
      </c>
      <c r="S132" s="50">
        <v>3</v>
      </c>
      <c r="T132" s="50">
        <v>0</v>
      </c>
      <c r="U132" s="56" t="s">
        <v>772</v>
      </c>
      <c r="V132" s="57">
        <v>1.99</v>
      </c>
      <c r="W132" s="56"/>
      <c r="X132" s="50"/>
      <c r="Y132" s="50"/>
      <c r="Z132" s="50"/>
      <c r="AA132" s="56"/>
      <c r="AB132" s="57"/>
      <c r="AC132" s="54">
        <v>3</v>
      </c>
      <c r="AD132" s="69">
        <f>SUM(AE132:AK132)</f>
        <v>0</v>
      </c>
      <c r="AE132" s="66"/>
      <c r="AF132" s="66"/>
      <c r="AG132" s="66"/>
      <c r="AH132" s="66"/>
      <c r="AI132" s="66"/>
      <c r="AJ132" s="66"/>
      <c r="AK132" s="66"/>
      <c r="AL132" s="54">
        <f>IF((AC132-SUM(AE132:AK132))&lt;0,0,AC132-SUM(AE132:AK132))</f>
        <v>3</v>
      </c>
      <c r="AM132" s="69">
        <f>SUM(AN132:AT132)</f>
        <v>0</v>
      </c>
      <c r="AN132" s="60"/>
      <c r="AO132" s="52"/>
      <c r="AP132" s="52"/>
      <c r="AQ132" s="52"/>
      <c r="AR132" s="52"/>
      <c r="AS132" s="52"/>
      <c r="AT132" s="61"/>
      <c r="AU132" s="66">
        <f>MAX(0,$AM132-$AC132-$AW132)</f>
        <v>0</v>
      </c>
      <c r="AV132" s="66"/>
      <c r="AW132" s="66"/>
      <c r="AX132" s="65">
        <v>0</v>
      </c>
      <c r="AY132" s="65">
        <f>IF(AND($AU132&gt;0,ISNUMBER($AX132)),$AU132*$AX132,0)</f>
        <v>0</v>
      </c>
      <c r="AZ132" s="46"/>
      <c r="BA132" s="52"/>
      <c r="BB132" s="52"/>
      <c r="BC132" s="52"/>
      <c r="BD132" s="52"/>
      <c r="BE132" s="52"/>
      <c r="BF132" s="52"/>
    </row>
    <row r="133" spans="1:58" ht="15" customHeight="1">
      <c r="A133" s="46" t="s">
        <v>773</v>
      </c>
      <c r="B133" s="53" t="s">
        <v>774</v>
      </c>
      <c r="C133" s="66" t="s">
        <v>109</v>
      </c>
      <c r="D133" s="67">
        <v>3</v>
      </c>
      <c r="E133" s="53" t="s">
        <v>81</v>
      </c>
      <c r="F133" s="50">
        <v>2</v>
      </c>
      <c r="G133" s="50">
        <v>1</v>
      </c>
      <c r="H133" s="51" t="s">
        <v>775</v>
      </c>
      <c r="I133" s="50" t="s">
        <v>776</v>
      </c>
      <c r="J133" s="54" t="s">
        <v>73</v>
      </c>
      <c r="K133" s="53" t="s">
        <v>104</v>
      </c>
      <c r="L133" s="53" t="s">
        <v>777</v>
      </c>
      <c r="M133" s="53" t="s">
        <v>778</v>
      </c>
      <c r="N133" s="53"/>
      <c r="O133" s="54"/>
      <c r="P133" s="56" t="s">
        <v>185</v>
      </c>
      <c r="Q133" s="53" t="s">
        <v>691</v>
      </c>
      <c r="R133" s="50" t="s">
        <v>779</v>
      </c>
      <c r="S133" s="50">
        <v>3</v>
      </c>
      <c r="T133" s="50">
        <v>0</v>
      </c>
      <c r="U133" s="56" t="s">
        <v>780</v>
      </c>
      <c r="V133" s="57">
        <v>1.73</v>
      </c>
      <c r="W133" s="56"/>
      <c r="X133" s="50"/>
      <c r="Y133" s="50"/>
      <c r="Z133" s="50"/>
      <c r="AA133" s="56"/>
      <c r="AB133" s="57"/>
      <c r="AC133" s="54">
        <v>3</v>
      </c>
      <c r="AD133" s="69">
        <f>SUM(AE133:AK133)</f>
        <v>0</v>
      </c>
      <c r="AE133" s="66"/>
      <c r="AF133" s="66"/>
      <c r="AG133" s="66"/>
      <c r="AH133" s="66"/>
      <c r="AI133" s="66"/>
      <c r="AJ133" s="66"/>
      <c r="AK133" s="66"/>
      <c r="AL133" s="54">
        <f>IF((AC133-SUM(AE133:AK133))&lt;0,0,AC133-SUM(AE133:AK133))</f>
        <v>3</v>
      </c>
      <c r="AM133" s="69">
        <f>SUM(AN133:AT133)</f>
        <v>0</v>
      </c>
      <c r="AN133" s="60"/>
      <c r="AO133" s="52"/>
      <c r="AP133" s="52"/>
      <c r="AQ133" s="52"/>
      <c r="AR133" s="52"/>
      <c r="AS133" s="52"/>
      <c r="AT133" s="61"/>
      <c r="AU133" s="66">
        <f>MAX(0,$AM133-$AC133-$AW133)</f>
        <v>0</v>
      </c>
      <c r="AV133" s="66"/>
      <c r="AW133" s="66"/>
      <c r="AX133" s="65">
        <v>0</v>
      </c>
      <c r="AY133" s="65">
        <f>IF(AND($AU133&gt;0,ISNUMBER($AX133)),$AU133*$AX133,0)</f>
        <v>0</v>
      </c>
      <c r="AZ133" s="46"/>
      <c r="BA133" s="52"/>
      <c r="BB133" s="52"/>
      <c r="BC133" s="52"/>
      <c r="BD133" s="52"/>
      <c r="BE133" s="52"/>
      <c r="BF133" s="52"/>
    </row>
    <row r="134" spans="1:58" ht="15" customHeight="1">
      <c r="A134" s="46" t="s">
        <v>781</v>
      </c>
      <c r="B134" s="53" t="s">
        <v>782</v>
      </c>
      <c r="C134" s="66" t="s">
        <v>70</v>
      </c>
      <c r="D134" s="67">
        <v>1</v>
      </c>
      <c r="E134" s="53" t="s">
        <v>110</v>
      </c>
      <c r="F134" s="50">
        <v>2</v>
      </c>
      <c r="G134" s="50">
        <v>1</v>
      </c>
      <c r="H134" s="51" t="s">
        <v>144</v>
      </c>
      <c r="I134" s="50" t="s">
        <v>783</v>
      </c>
      <c r="J134" s="54" t="s">
        <v>73</v>
      </c>
      <c r="K134" s="53" t="s">
        <v>92</v>
      </c>
      <c r="L134" s="53" t="s">
        <v>784</v>
      </c>
      <c r="M134" s="53"/>
      <c r="N134" s="53"/>
      <c r="O134" s="56">
        <v>5463</v>
      </c>
      <c r="P134" s="56" t="s">
        <v>185</v>
      </c>
      <c r="Q134" s="53" t="s">
        <v>691</v>
      </c>
      <c r="R134" s="50" t="s">
        <v>785</v>
      </c>
      <c r="S134" s="50">
        <v>3</v>
      </c>
      <c r="T134" s="50">
        <v>0</v>
      </c>
      <c r="U134" s="56" t="s">
        <v>786</v>
      </c>
      <c r="V134" s="57">
        <v>1.7</v>
      </c>
      <c r="W134" s="56"/>
      <c r="X134" s="50"/>
      <c r="Y134" s="50"/>
      <c r="Z134" s="50"/>
      <c r="AA134" s="56"/>
      <c r="AB134" s="57"/>
      <c r="AC134" s="54">
        <v>3</v>
      </c>
      <c r="AD134" s="69">
        <f>SUM(AE134:AK134)</f>
        <v>0</v>
      </c>
      <c r="AE134" s="66"/>
      <c r="AF134" s="66"/>
      <c r="AG134" s="66"/>
      <c r="AH134" s="66"/>
      <c r="AI134" s="66"/>
      <c r="AJ134" s="66"/>
      <c r="AK134" s="66"/>
      <c r="AL134" s="54">
        <f>IF((AC134-SUM(AE134:AK134))&lt;0,0,AC134-SUM(AE134:AK134))</f>
        <v>3</v>
      </c>
      <c r="AM134" s="69">
        <f>SUM(AN134:AT134)</f>
        <v>0</v>
      </c>
      <c r="AN134" s="60"/>
      <c r="AO134" s="52"/>
      <c r="AP134" s="52"/>
      <c r="AQ134" s="52"/>
      <c r="AR134" s="52"/>
      <c r="AS134" s="52"/>
      <c r="AT134" s="61"/>
      <c r="AU134" s="66">
        <f>MAX(0,$AM134-$AC134-$AW134)</f>
        <v>0</v>
      </c>
      <c r="AV134" s="66"/>
      <c r="AW134" s="66"/>
      <c r="AX134" s="65">
        <v>0</v>
      </c>
      <c r="AY134" s="65">
        <f>IF(AND($AU134&gt;0,ISNUMBER($AX134)),$AU134*$AX134,0)</f>
        <v>0</v>
      </c>
      <c r="AZ134" s="46"/>
      <c r="BA134" s="52"/>
      <c r="BB134" s="52"/>
      <c r="BC134" s="52"/>
      <c r="BD134" s="52"/>
      <c r="BE134" s="52"/>
      <c r="BF134" s="52"/>
    </row>
    <row r="135" spans="1:58" ht="15" customHeight="1">
      <c r="A135" s="46" t="s">
        <v>787</v>
      </c>
      <c r="B135" s="53" t="s">
        <v>788</v>
      </c>
      <c r="C135" s="66" t="s">
        <v>101</v>
      </c>
      <c r="D135" s="67">
        <v>2</v>
      </c>
      <c r="E135" s="53" t="s">
        <v>110</v>
      </c>
      <c r="F135" s="50">
        <v>3</v>
      </c>
      <c r="G135" s="50">
        <v>2</v>
      </c>
      <c r="H135" s="51" t="s">
        <v>102</v>
      </c>
      <c r="I135" s="50" t="s">
        <v>789</v>
      </c>
      <c r="J135" s="54" t="s">
        <v>73</v>
      </c>
      <c r="K135" s="53" t="s">
        <v>254</v>
      </c>
      <c r="L135" s="53" t="s">
        <v>790</v>
      </c>
      <c r="M135" s="53" t="s">
        <v>791</v>
      </c>
      <c r="N135" s="53"/>
      <c r="O135" s="56">
        <v>4675</v>
      </c>
      <c r="P135" s="56" t="s">
        <v>185</v>
      </c>
      <c r="Q135" s="53" t="s">
        <v>691</v>
      </c>
      <c r="R135" s="50" t="s">
        <v>792</v>
      </c>
      <c r="S135" s="50">
        <v>3</v>
      </c>
      <c r="T135" s="50">
        <v>0</v>
      </c>
      <c r="U135" s="56" t="s">
        <v>786</v>
      </c>
      <c r="V135" s="57">
        <v>1.67</v>
      </c>
      <c r="W135" s="56"/>
      <c r="X135" s="50"/>
      <c r="Y135" s="50"/>
      <c r="Z135" s="50"/>
      <c r="AA135" s="56"/>
      <c r="AB135" s="57"/>
      <c r="AC135" s="54">
        <v>3</v>
      </c>
      <c r="AD135" s="69">
        <f>SUM(AE135:AK135)</f>
        <v>0</v>
      </c>
      <c r="AE135" s="66"/>
      <c r="AF135" s="66"/>
      <c r="AG135" s="66"/>
      <c r="AH135" s="66"/>
      <c r="AI135" s="66"/>
      <c r="AJ135" s="66"/>
      <c r="AK135" s="66"/>
      <c r="AL135" s="54">
        <f>IF((AC135-SUM(AE135:AK135))&lt;0,0,AC135-SUM(AE135:AK135))</f>
        <v>3</v>
      </c>
      <c r="AM135" s="69">
        <f>SUM(AN135:AT135)</f>
        <v>0</v>
      </c>
      <c r="AN135" s="60"/>
      <c r="AO135" s="52"/>
      <c r="AP135" s="52"/>
      <c r="AQ135" s="52"/>
      <c r="AR135" s="52"/>
      <c r="AS135" s="52"/>
      <c r="AT135" s="61"/>
      <c r="AU135" s="66">
        <f>MAX(0,$AM135-$AC135-$AW135)</f>
        <v>0</v>
      </c>
      <c r="AV135" s="66"/>
      <c r="AW135" s="66"/>
      <c r="AX135" s="65">
        <v>0</v>
      </c>
      <c r="AY135" s="65">
        <f>IF(AND($AU135&gt;0,ISNUMBER($AX135)),$AU135*$AX135,0)</f>
        <v>0</v>
      </c>
      <c r="AZ135" s="46"/>
      <c r="BA135" s="52"/>
      <c r="BB135" s="52"/>
      <c r="BC135" s="52"/>
      <c r="BD135" s="52"/>
      <c r="BE135" s="52"/>
      <c r="BF135" s="52"/>
    </row>
    <row r="136" spans="1:58" ht="15" customHeight="1">
      <c r="A136" s="46" t="s">
        <v>793</v>
      </c>
      <c r="B136" s="53" t="s">
        <v>794</v>
      </c>
      <c r="C136" s="66" t="s">
        <v>101</v>
      </c>
      <c r="D136" s="67">
        <v>2</v>
      </c>
      <c r="E136" s="53" t="s">
        <v>189</v>
      </c>
      <c r="F136" s="50"/>
      <c r="G136" s="50"/>
      <c r="H136" s="51"/>
      <c r="I136" s="50" t="s">
        <v>795</v>
      </c>
      <c r="J136" s="54" t="s">
        <v>73</v>
      </c>
      <c r="K136" s="53" t="s">
        <v>74</v>
      </c>
      <c r="L136" s="53" t="s">
        <v>796</v>
      </c>
      <c r="M136" s="53" t="s">
        <v>797</v>
      </c>
      <c r="N136" s="53"/>
      <c r="O136" s="54"/>
      <c r="P136" s="56" t="s">
        <v>76</v>
      </c>
      <c r="Q136" s="53" t="s">
        <v>691</v>
      </c>
      <c r="R136" s="50" t="s">
        <v>798</v>
      </c>
      <c r="S136" s="50">
        <v>3</v>
      </c>
      <c r="T136" s="50">
        <v>0</v>
      </c>
      <c r="U136" s="56" t="s">
        <v>799</v>
      </c>
      <c r="V136" s="57">
        <v>1.6</v>
      </c>
      <c r="W136" s="56"/>
      <c r="X136" s="50"/>
      <c r="Y136" s="50"/>
      <c r="Z136" s="50"/>
      <c r="AA136" s="56"/>
      <c r="AB136" s="57"/>
      <c r="AC136" s="54">
        <v>3</v>
      </c>
      <c r="AD136" s="69">
        <f>SUM(AE136:AK136)</f>
        <v>0</v>
      </c>
      <c r="AE136" s="66"/>
      <c r="AF136" s="66"/>
      <c r="AG136" s="66"/>
      <c r="AH136" s="66"/>
      <c r="AI136" s="66"/>
      <c r="AJ136" s="66"/>
      <c r="AK136" s="66"/>
      <c r="AL136" s="54">
        <f>IF((AC136-SUM(AE136:AK136))&lt;0,0,AC136-SUM(AE136:AK136))</f>
        <v>3</v>
      </c>
      <c r="AM136" s="69">
        <f>SUM(AN136:AT136)</f>
        <v>0</v>
      </c>
      <c r="AN136" s="60"/>
      <c r="AO136" s="52"/>
      <c r="AP136" s="52"/>
      <c r="AQ136" s="52"/>
      <c r="AR136" s="52"/>
      <c r="AS136" s="52"/>
      <c r="AT136" s="61"/>
      <c r="AU136" s="66">
        <f>MAX(0,$AM136-$AC136-$AW136)</f>
        <v>0</v>
      </c>
      <c r="AV136" s="66"/>
      <c r="AW136" s="66"/>
      <c r="AX136" s="65">
        <v>0</v>
      </c>
      <c r="AY136" s="65">
        <f>IF(AND($AU136&gt;0,ISNUMBER($AX136)),$AU136*$AX136,0)</f>
        <v>0</v>
      </c>
      <c r="AZ136" s="46"/>
      <c r="BA136" s="52"/>
      <c r="BB136" s="52"/>
      <c r="BC136" s="52"/>
      <c r="BD136" s="52"/>
      <c r="BE136" s="52"/>
      <c r="BF136" s="52"/>
    </row>
    <row r="137" spans="1:58" ht="15" customHeight="1">
      <c r="A137" s="46" t="s">
        <v>800</v>
      </c>
      <c r="B137" s="53" t="s">
        <v>801</v>
      </c>
      <c r="C137" s="66" t="s">
        <v>181</v>
      </c>
      <c r="D137" s="67">
        <v>4</v>
      </c>
      <c r="E137" s="53" t="s">
        <v>81</v>
      </c>
      <c r="F137" s="50">
        <v>3</v>
      </c>
      <c r="G137" s="50">
        <v>3</v>
      </c>
      <c r="H137" s="51" t="s">
        <v>578</v>
      </c>
      <c r="I137" s="50" t="s">
        <v>802</v>
      </c>
      <c r="J137" s="54" t="s">
        <v>73</v>
      </c>
      <c r="K137" s="53" t="s">
        <v>676</v>
      </c>
      <c r="L137" s="53" t="s">
        <v>242</v>
      </c>
      <c r="M137" s="53" t="s">
        <v>803</v>
      </c>
      <c r="N137" s="53"/>
      <c r="O137" s="54"/>
      <c r="P137" s="56" t="s">
        <v>76</v>
      </c>
      <c r="Q137" s="53" t="s">
        <v>691</v>
      </c>
      <c r="R137" s="50" t="s">
        <v>804</v>
      </c>
      <c r="S137" s="50">
        <v>3</v>
      </c>
      <c r="T137" s="50">
        <v>0</v>
      </c>
      <c r="U137" s="56" t="s">
        <v>805</v>
      </c>
      <c r="V137" s="57">
        <v>1.25</v>
      </c>
      <c r="W137" s="56"/>
      <c r="X137" s="50"/>
      <c r="Y137" s="50"/>
      <c r="Z137" s="50"/>
      <c r="AA137" s="56"/>
      <c r="AB137" s="57"/>
      <c r="AC137" s="54">
        <v>3</v>
      </c>
      <c r="AD137" s="69">
        <f>SUM(AE137:AK137)</f>
        <v>0</v>
      </c>
      <c r="AE137" s="66"/>
      <c r="AF137" s="66"/>
      <c r="AG137" s="66"/>
      <c r="AH137" s="66"/>
      <c r="AI137" s="66"/>
      <c r="AJ137" s="66"/>
      <c r="AK137" s="66"/>
      <c r="AL137" s="54">
        <f>IF((AC137-SUM(AE137:AK137))&lt;0,0,AC137-SUM(AE137:AK137))</f>
        <v>3</v>
      </c>
      <c r="AM137" s="69">
        <f>SUM(AN137:AT137)</f>
        <v>0</v>
      </c>
      <c r="AN137" s="60"/>
      <c r="AO137" s="52"/>
      <c r="AP137" s="52"/>
      <c r="AQ137" s="52"/>
      <c r="AR137" s="52"/>
      <c r="AS137" s="52"/>
      <c r="AT137" s="61"/>
      <c r="AU137" s="66">
        <f>MAX(0,$AM137-$AC137-$AW137)</f>
        <v>0</v>
      </c>
      <c r="AV137" s="66"/>
      <c r="AW137" s="66"/>
      <c r="AX137" s="65">
        <v>0</v>
      </c>
      <c r="AY137" s="65">
        <f>IF(AND($AU137&gt;0,ISNUMBER($AX137)),$AU137*$AX137,0)</f>
        <v>0</v>
      </c>
      <c r="AZ137" s="46"/>
      <c r="BA137" s="52"/>
      <c r="BB137" s="52"/>
      <c r="BC137" s="52"/>
      <c r="BD137" s="52"/>
      <c r="BE137" s="52"/>
      <c r="BF137" s="52"/>
    </row>
    <row r="138" spans="1:58" ht="15" customHeight="1">
      <c r="A138" s="46" t="s">
        <v>806</v>
      </c>
      <c r="B138" s="53" t="s">
        <v>807</v>
      </c>
      <c r="C138" s="66" t="s">
        <v>80</v>
      </c>
      <c r="D138" s="67">
        <v>4</v>
      </c>
      <c r="E138" s="53" t="s">
        <v>71</v>
      </c>
      <c r="F138" s="50"/>
      <c r="G138" s="50"/>
      <c r="H138" s="51"/>
      <c r="I138" s="50" t="s">
        <v>808</v>
      </c>
      <c r="J138" s="54" t="s">
        <v>73</v>
      </c>
      <c r="K138" s="53" t="s">
        <v>152</v>
      </c>
      <c r="L138" s="53" t="s">
        <v>809</v>
      </c>
      <c r="M138" s="53" t="s">
        <v>590</v>
      </c>
      <c r="N138" s="53"/>
      <c r="O138" s="54"/>
      <c r="P138" s="56" t="s">
        <v>76</v>
      </c>
      <c r="Q138" s="53" t="s">
        <v>691</v>
      </c>
      <c r="R138" s="50" t="s">
        <v>810</v>
      </c>
      <c r="S138" s="50">
        <v>3</v>
      </c>
      <c r="T138" s="50">
        <v>0</v>
      </c>
      <c r="U138" s="56" t="s">
        <v>811</v>
      </c>
      <c r="V138" s="57">
        <v>0.87</v>
      </c>
      <c r="W138" s="56"/>
      <c r="X138" s="50"/>
      <c r="Y138" s="50"/>
      <c r="Z138" s="50"/>
      <c r="AA138" s="56"/>
      <c r="AB138" s="57"/>
      <c r="AC138" s="54">
        <v>3</v>
      </c>
      <c r="AD138" s="69">
        <f>SUM(AE138:AK138)</f>
        <v>0</v>
      </c>
      <c r="AE138" s="66"/>
      <c r="AF138" s="66"/>
      <c r="AG138" s="66"/>
      <c r="AH138" s="66"/>
      <c r="AI138" s="66"/>
      <c r="AJ138" s="66"/>
      <c r="AK138" s="66"/>
      <c r="AL138" s="54">
        <f>IF((AC138-SUM(AE138:AK138))&lt;0,0,AC138-SUM(AE138:AK138))</f>
        <v>3</v>
      </c>
      <c r="AM138" s="69">
        <f>SUM(AN138:AT138)</f>
        <v>0</v>
      </c>
      <c r="AN138" s="60"/>
      <c r="AO138" s="52"/>
      <c r="AP138" s="52"/>
      <c r="AQ138" s="52"/>
      <c r="AR138" s="52"/>
      <c r="AS138" s="52"/>
      <c r="AT138" s="61"/>
      <c r="AU138" s="66">
        <f>MAX(0,$AM138-$AC138-$AW138)</f>
        <v>0</v>
      </c>
      <c r="AV138" s="66"/>
      <c r="AW138" s="66"/>
      <c r="AX138" s="65">
        <v>0</v>
      </c>
      <c r="AY138" s="65">
        <f>IF(AND($AU138&gt;0,ISNUMBER($AX138)),$AU138*$AX138,0)</f>
        <v>0</v>
      </c>
      <c r="AZ138" s="46"/>
      <c r="BA138" s="52"/>
      <c r="BB138" s="52"/>
      <c r="BC138" s="52"/>
      <c r="BD138" s="52"/>
      <c r="BE138" s="52"/>
      <c r="BF138" s="52"/>
    </row>
    <row r="139" spans="1:58" ht="15" customHeight="1">
      <c r="A139" s="46" t="s">
        <v>812</v>
      </c>
      <c r="B139" s="53" t="s">
        <v>813</v>
      </c>
      <c r="C139" s="66" t="s">
        <v>70</v>
      </c>
      <c r="D139" s="67">
        <v>3</v>
      </c>
      <c r="E139" s="53" t="s">
        <v>81</v>
      </c>
      <c r="F139" s="50">
        <v>2</v>
      </c>
      <c r="G139" s="50">
        <v>2</v>
      </c>
      <c r="H139" s="51" t="s">
        <v>814</v>
      </c>
      <c r="I139" s="50" t="s">
        <v>815</v>
      </c>
      <c r="J139" s="54" t="s">
        <v>73</v>
      </c>
      <c r="K139" s="53" t="s">
        <v>676</v>
      </c>
      <c r="L139" s="53" t="s">
        <v>816</v>
      </c>
      <c r="M139" s="53" t="s">
        <v>817</v>
      </c>
      <c r="N139" s="53"/>
      <c r="O139" s="54"/>
      <c r="P139" s="56" t="s">
        <v>76</v>
      </c>
      <c r="Q139" s="53" t="s">
        <v>691</v>
      </c>
      <c r="R139" s="50" t="s">
        <v>818</v>
      </c>
      <c r="S139" s="50">
        <v>3</v>
      </c>
      <c r="T139" s="50">
        <v>1</v>
      </c>
      <c r="U139" s="56" t="s">
        <v>819</v>
      </c>
      <c r="V139" s="57">
        <v>0.86</v>
      </c>
      <c r="W139" s="56"/>
      <c r="X139" s="50"/>
      <c r="Y139" s="50"/>
      <c r="Z139" s="50"/>
      <c r="AA139" s="56"/>
      <c r="AB139" s="57"/>
      <c r="AC139" s="54">
        <v>3</v>
      </c>
      <c r="AD139" s="69">
        <f>SUM(AE139:AK139)</f>
        <v>0</v>
      </c>
      <c r="AE139" s="66"/>
      <c r="AF139" s="66"/>
      <c r="AG139" s="66"/>
      <c r="AH139" s="66"/>
      <c r="AI139" s="66"/>
      <c r="AJ139" s="66"/>
      <c r="AK139" s="66"/>
      <c r="AL139" s="54">
        <f>IF((AC139-SUM(AE139:AK139))&lt;0,0,AC139-SUM(AE139:AK139))</f>
        <v>3</v>
      </c>
      <c r="AM139" s="69">
        <f>SUM(AN139:AT139)</f>
        <v>0</v>
      </c>
      <c r="AN139" s="60"/>
      <c r="AO139" s="52"/>
      <c r="AP139" s="52"/>
      <c r="AQ139" s="52"/>
      <c r="AR139" s="52"/>
      <c r="AS139" s="52"/>
      <c r="AT139" s="61"/>
      <c r="AU139" s="66">
        <f>MAX(0,$AM139-$AC139-$AW139)</f>
        <v>0</v>
      </c>
      <c r="AV139" s="66"/>
      <c r="AW139" s="66"/>
      <c r="AX139" s="65">
        <v>0</v>
      </c>
      <c r="AY139" s="65">
        <f>IF(AND($AU139&gt;0,ISNUMBER($AX139)),$AU139*$AX139,0)</f>
        <v>0</v>
      </c>
      <c r="AZ139" s="46"/>
      <c r="BA139" s="52"/>
      <c r="BB139" s="52"/>
      <c r="BC139" s="52"/>
      <c r="BD139" s="52"/>
      <c r="BE139" s="52"/>
      <c r="BF139" s="52"/>
    </row>
    <row r="140" spans="1:58" ht="15" customHeight="1">
      <c r="A140" s="46" t="s">
        <v>820</v>
      </c>
      <c r="B140" s="53" t="s">
        <v>821</v>
      </c>
      <c r="C140" s="66" t="s">
        <v>118</v>
      </c>
      <c r="D140" s="67">
        <v>6</v>
      </c>
      <c r="E140" s="53" t="s">
        <v>71</v>
      </c>
      <c r="F140" s="50"/>
      <c r="G140" s="50"/>
      <c r="H140" s="51"/>
      <c r="I140" s="50" t="s">
        <v>822</v>
      </c>
      <c r="J140" s="54" t="s">
        <v>73</v>
      </c>
      <c r="K140" s="53" t="s">
        <v>129</v>
      </c>
      <c r="L140" s="53" t="s">
        <v>823</v>
      </c>
      <c r="M140" s="53" t="s">
        <v>824</v>
      </c>
      <c r="N140" s="53" t="s">
        <v>825</v>
      </c>
      <c r="O140" s="54"/>
      <c r="P140" s="56" t="s">
        <v>76</v>
      </c>
      <c r="Q140" s="53" t="s">
        <v>691</v>
      </c>
      <c r="R140" s="50" t="s">
        <v>826</v>
      </c>
      <c r="S140" s="50">
        <v>3</v>
      </c>
      <c r="T140" s="50">
        <v>0</v>
      </c>
      <c r="U140" s="56" t="s">
        <v>827</v>
      </c>
      <c r="V140" s="57">
        <v>0.79</v>
      </c>
      <c r="W140" s="56"/>
      <c r="X140" s="50"/>
      <c r="Y140" s="50"/>
      <c r="Z140" s="50"/>
      <c r="AA140" s="56"/>
      <c r="AB140" s="57"/>
      <c r="AC140" s="54">
        <v>3</v>
      </c>
      <c r="AD140" s="69">
        <f>SUM(AE140:AK140)</f>
        <v>0</v>
      </c>
      <c r="AE140" s="66"/>
      <c r="AF140" s="66"/>
      <c r="AG140" s="66"/>
      <c r="AH140" s="66"/>
      <c r="AI140" s="66"/>
      <c r="AJ140" s="66"/>
      <c r="AK140" s="66"/>
      <c r="AL140" s="54">
        <f>IF((AC140-SUM(AE140:AK140))&lt;0,0,AC140-SUM(AE140:AK140))</f>
        <v>3</v>
      </c>
      <c r="AM140" s="69">
        <f>SUM(AN140:AT140)</f>
        <v>0</v>
      </c>
      <c r="AN140" s="60"/>
      <c r="AO140" s="52"/>
      <c r="AP140" s="52"/>
      <c r="AQ140" s="52"/>
      <c r="AR140" s="52"/>
      <c r="AS140" s="52"/>
      <c r="AT140" s="61"/>
      <c r="AU140" s="66">
        <f>MAX(0,$AM140-$AC140-$AW140)</f>
        <v>0</v>
      </c>
      <c r="AV140" s="66"/>
      <c r="AW140" s="66"/>
      <c r="AX140" s="65">
        <v>0</v>
      </c>
      <c r="AY140" s="65">
        <f>IF(AND($AU140&gt;0,ISNUMBER($AX140)),$AU140*$AX140,0)</f>
        <v>0</v>
      </c>
      <c r="AZ140" s="46"/>
      <c r="BA140" s="52"/>
      <c r="BB140" s="52"/>
      <c r="BC140" s="52"/>
      <c r="BD140" s="52"/>
      <c r="BE140" s="52"/>
      <c r="BF140" s="52"/>
    </row>
    <row r="141" spans="1:58" ht="15" customHeight="1">
      <c r="A141" s="46" t="s">
        <v>828</v>
      </c>
      <c r="B141" s="53" t="s">
        <v>829</v>
      </c>
      <c r="C141" s="66" t="s">
        <v>101</v>
      </c>
      <c r="D141" s="67">
        <v>3</v>
      </c>
      <c r="E141" s="53" t="s">
        <v>81</v>
      </c>
      <c r="F141" s="50">
        <v>0</v>
      </c>
      <c r="G141" s="50">
        <v>3</v>
      </c>
      <c r="H141" s="51" t="s">
        <v>830</v>
      </c>
      <c r="I141" s="50" t="s">
        <v>831</v>
      </c>
      <c r="J141" s="54" t="s">
        <v>73</v>
      </c>
      <c r="K141" s="58" t="s">
        <v>164</v>
      </c>
      <c r="L141" s="58" t="s">
        <v>832</v>
      </c>
      <c r="M141" s="58"/>
      <c r="N141" s="58"/>
      <c r="O141" s="54"/>
      <c r="P141" s="56" t="s">
        <v>76</v>
      </c>
      <c r="Q141" s="58" t="s">
        <v>833</v>
      </c>
      <c r="R141" s="54"/>
      <c r="S141" s="54"/>
      <c r="T141" s="54"/>
      <c r="U141" s="56"/>
      <c r="V141" s="57">
        <v>0.67</v>
      </c>
      <c r="W141" s="68"/>
      <c r="X141" s="54"/>
      <c r="Y141" s="54"/>
      <c r="Z141" s="54"/>
      <c r="AA141" s="56"/>
      <c r="AB141" s="57"/>
      <c r="AC141" s="54">
        <v>3</v>
      </c>
      <c r="AD141" s="69">
        <f>SUM(AE141:AK141)</f>
        <v>1</v>
      </c>
      <c r="AE141" s="66"/>
      <c r="AF141" s="66"/>
      <c r="AG141" s="66"/>
      <c r="AH141" s="66">
        <v>1</v>
      </c>
      <c r="AI141" s="66"/>
      <c r="AJ141" s="66"/>
      <c r="AK141" s="66"/>
      <c r="AL141" s="54">
        <f>IF((AC141-SUM(AE141:AK141))&lt;0,0,AC141-SUM(AE141:AK141))</f>
        <v>2</v>
      </c>
      <c r="AM141" s="69">
        <f>SUM(AN141:AT141)</f>
        <v>1</v>
      </c>
      <c r="AN141" s="60"/>
      <c r="AO141" s="52"/>
      <c r="AP141" s="52"/>
      <c r="AQ141" s="52">
        <v>1</v>
      </c>
      <c r="AR141" s="52"/>
      <c r="AS141" s="52"/>
      <c r="AT141" s="61"/>
      <c r="AU141" s="66">
        <f>MAX(0,$AM141-$AC141-$AW141)</f>
        <v>0</v>
      </c>
      <c r="AV141" s="66"/>
      <c r="AW141" s="66"/>
      <c r="AX141" s="65">
        <v>0</v>
      </c>
      <c r="AY141" s="65">
        <f>IF(AND($AU141&gt;0,ISNUMBER($AX141)),$AU141*$AX141,0)</f>
        <v>0</v>
      </c>
      <c r="AZ141" s="46"/>
      <c r="BA141" s="52"/>
      <c r="BB141" s="52"/>
      <c r="BC141" s="52"/>
      <c r="BD141" s="52"/>
      <c r="BE141" s="52"/>
      <c r="BF141" s="52"/>
    </row>
    <row r="142" spans="1:58" ht="15" customHeight="1">
      <c r="A142" s="46" t="s">
        <v>843</v>
      </c>
      <c r="B142" s="53" t="s">
        <v>844</v>
      </c>
      <c r="C142" s="66" t="s">
        <v>109</v>
      </c>
      <c r="D142" s="67">
        <v>2</v>
      </c>
      <c r="E142" s="53" t="s">
        <v>81</v>
      </c>
      <c r="F142" s="50">
        <v>1</v>
      </c>
      <c r="G142" s="50">
        <v>2</v>
      </c>
      <c r="H142" s="51" t="s">
        <v>845</v>
      </c>
      <c r="I142" s="50" t="s">
        <v>846</v>
      </c>
      <c r="J142" s="54" t="s">
        <v>73</v>
      </c>
      <c r="K142" s="53" t="s">
        <v>676</v>
      </c>
      <c r="L142" s="53" t="s">
        <v>136</v>
      </c>
      <c r="M142" s="53" t="s">
        <v>697</v>
      </c>
      <c r="N142" s="53"/>
      <c r="O142" s="54"/>
      <c r="P142" s="56" t="s">
        <v>76</v>
      </c>
      <c r="Q142" s="53" t="s">
        <v>691</v>
      </c>
      <c r="R142" s="50" t="s">
        <v>847</v>
      </c>
      <c r="S142" s="50">
        <v>3</v>
      </c>
      <c r="T142" s="50">
        <v>0</v>
      </c>
      <c r="U142" s="56" t="s">
        <v>848</v>
      </c>
      <c r="V142" s="57">
        <v>0.56000000000000005</v>
      </c>
      <c r="W142" s="56"/>
      <c r="X142" s="50"/>
      <c r="Y142" s="50"/>
      <c r="Z142" s="50"/>
      <c r="AA142" s="56"/>
      <c r="AB142" s="57"/>
      <c r="AC142" s="54">
        <v>3</v>
      </c>
      <c r="AD142" s="69">
        <f>SUM(AE142:AK142)</f>
        <v>0</v>
      </c>
      <c r="AE142" s="66"/>
      <c r="AF142" s="66"/>
      <c r="AG142" s="66"/>
      <c r="AH142" s="66"/>
      <c r="AI142" s="66"/>
      <c r="AJ142" s="66"/>
      <c r="AK142" s="66"/>
      <c r="AL142" s="54">
        <f>IF((AC142-SUM(AE142:AK142))&lt;0,0,AC142-SUM(AE142:AK142))</f>
        <v>3</v>
      </c>
      <c r="AM142" s="69">
        <f>SUM(AN142:AT142)</f>
        <v>0</v>
      </c>
      <c r="AN142" s="60"/>
      <c r="AO142" s="52"/>
      <c r="AP142" s="52"/>
      <c r="AQ142" s="52"/>
      <c r="AR142" s="52"/>
      <c r="AS142" s="52"/>
      <c r="AT142" s="61"/>
      <c r="AU142" s="66">
        <f>MAX(0,$AM142-$AC142-$AW142)</f>
        <v>0</v>
      </c>
      <c r="AV142" s="66"/>
      <c r="AW142" s="66"/>
      <c r="AX142" s="65">
        <v>0</v>
      </c>
      <c r="AY142" s="65">
        <f>IF(AND($AU142&gt;0,ISNUMBER($AX142)),$AU142*$AX142,0)</f>
        <v>0</v>
      </c>
      <c r="AZ142" s="46"/>
      <c r="BA142" s="52"/>
      <c r="BB142" s="52"/>
      <c r="BC142" s="52"/>
      <c r="BD142" s="52"/>
      <c r="BE142" s="52"/>
      <c r="BF142" s="52"/>
    </row>
    <row r="143" spans="1:58" ht="15" customHeight="1">
      <c r="A143" s="46" t="s">
        <v>849</v>
      </c>
      <c r="B143" s="53" t="s">
        <v>850</v>
      </c>
      <c r="C143" s="66" t="s">
        <v>101</v>
      </c>
      <c r="D143" s="67">
        <v>2</v>
      </c>
      <c r="E143" s="53" t="s">
        <v>81</v>
      </c>
      <c r="F143" s="50">
        <v>0</v>
      </c>
      <c r="G143" s="50">
        <v>4</v>
      </c>
      <c r="H143" s="51" t="s">
        <v>465</v>
      </c>
      <c r="I143" s="50" t="s">
        <v>851</v>
      </c>
      <c r="J143" s="54" t="s">
        <v>73</v>
      </c>
      <c r="K143" s="58" t="s">
        <v>164</v>
      </c>
      <c r="L143" s="58" t="s">
        <v>852</v>
      </c>
      <c r="M143" s="58"/>
      <c r="N143" s="58"/>
      <c r="O143" s="54"/>
      <c r="P143" s="56" t="s">
        <v>185</v>
      </c>
      <c r="Q143" s="58" t="s">
        <v>466</v>
      </c>
      <c r="R143" s="50"/>
      <c r="S143" s="50"/>
      <c r="T143" s="50"/>
      <c r="U143" s="56"/>
      <c r="V143" s="57">
        <v>0.35</v>
      </c>
      <c r="W143" s="68"/>
      <c r="X143" s="50"/>
      <c r="Y143" s="50"/>
      <c r="Z143" s="50"/>
      <c r="AA143" s="56"/>
      <c r="AB143" s="57"/>
      <c r="AC143" s="54">
        <v>3</v>
      </c>
      <c r="AD143" s="69">
        <f>SUM(AE143:AK143)</f>
        <v>2</v>
      </c>
      <c r="AE143" s="66"/>
      <c r="AF143" s="66"/>
      <c r="AG143" s="66"/>
      <c r="AH143" s="66">
        <v>1</v>
      </c>
      <c r="AI143" s="66"/>
      <c r="AJ143" s="66"/>
      <c r="AK143" s="66">
        <v>1</v>
      </c>
      <c r="AL143" s="54">
        <f>IF((AC143-SUM(AE143:AK143))&lt;0,0,AC143-SUM(AE143:AK143))</f>
        <v>1</v>
      </c>
      <c r="AM143" s="69">
        <f>SUM(AN143:AT143)</f>
        <v>1</v>
      </c>
      <c r="AN143" s="60"/>
      <c r="AO143" s="52"/>
      <c r="AP143" s="52"/>
      <c r="AQ143" s="52">
        <v>1</v>
      </c>
      <c r="AR143" s="52"/>
      <c r="AS143" s="52"/>
      <c r="AT143" s="61"/>
      <c r="AU143" s="66">
        <f>MAX(0,$AM143-$AC143-$AW143)</f>
        <v>0</v>
      </c>
      <c r="AV143" s="66"/>
      <c r="AW143" s="66"/>
      <c r="AX143" s="65">
        <v>0</v>
      </c>
      <c r="AY143" s="65">
        <f>IF(AND($AU143&gt;0,ISNUMBER($AX143)),$AU143*$AX143,0)</f>
        <v>0</v>
      </c>
      <c r="AZ143" s="46"/>
      <c r="BA143" s="52"/>
      <c r="BB143" s="52"/>
      <c r="BC143" s="52"/>
      <c r="BD143" s="52"/>
      <c r="BE143" s="52"/>
      <c r="BF143" s="52" t="s">
        <v>853</v>
      </c>
    </row>
    <row r="144" spans="1:58" ht="15" customHeight="1">
      <c r="A144" s="46" t="s">
        <v>854</v>
      </c>
      <c r="B144" s="53" t="s">
        <v>855</v>
      </c>
      <c r="C144" s="66" t="s">
        <v>70</v>
      </c>
      <c r="D144" s="67">
        <v>4</v>
      </c>
      <c r="E144" s="53" t="s">
        <v>81</v>
      </c>
      <c r="F144" s="50">
        <v>4</v>
      </c>
      <c r="G144" s="50">
        <v>2</v>
      </c>
      <c r="H144" s="51" t="s">
        <v>856</v>
      </c>
      <c r="I144" s="50" t="s">
        <v>857</v>
      </c>
      <c r="J144" s="54" t="s">
        <v>73</v>
      </c>
      <c r="K144" s="58" t="s">
        <v>152</v>
      </c>
      <c r="L144" s="58" t="s">
        <v>858</v>
      </c>
      <c r="M144" s="58"/>
      <c r="N144" s="58"/>
      <c r="O144" s="54"/>
      <c r="P144" s="55" t="s">
        <v>76</v>
      </c>
      <c r="Q144" s="58" t="s">
        <v>633</v>
      </c>
      <c r="R144" s="74" t="s">
        <v>859</v>
      </c>
      <c r="S144" s="74">
        <v>1</v>
      </c>
      <c r="T144" s="74">
        <v>1</v>
      </c>
      <c r="U144" s="56" t="s">
        <v>860</v>
      </c>
      <c r="V144" s="57">
        <v>0.25</v>
      </c>
      <c r="W144" s="68"/>
      <c r="X144" s="46"/>
      <c r="Y144" s="50"/>
      <c r="Z144" s="50"/>
      <c r="AA144" s="56"/>
      <c r="AB144" s="57"/>
      <c r="AC144" s="54">
        <v>3</v>
      </c>
      <c r="AD144" s="69">
        <f>SUM(AE144:AK144)</f>
        <v>1</v>
      </c>
      <c r="AE144" s="66"/>
      <c r="AF144" s="66"/>
      <c r="AG144" s="66"/>
      <c r="AH144" s="66"/>
      <c r="AI144" s="66"/>
      <c r="AJ144" s="66">
        <v>1</v>
      </c>
      <c r="AK144" s="66"/>
      <c r="AL144" s="54">
        <f>IF((AC144-SUM(AE144:AK144))&lt;0,0,AC144-SUM(AE144:AK144))</f>
        <v>2</v>
      </c>
      <c r="AM144" s="69">
        <f>SUM(AN144:AT144)</f>
        <v>1</v>
      </c>
      <c r="AN144" s="60"/>
      <c r="AO144" s="52"/>
      <c r="AP144" s="52"/>
      <c r="AQ144" s="52"/>
      <c r="AR144" s="52"/>
      <c r="AS144" s="52">
        <v>1</v>
      </c>
      <c r="AT144" s="61"/>
      <c r="AU144" s="66">
        <f>MAX(0,$AM144-$AC144-$AW144)</f>
        <v>0</v>
      </c>
      <c r="AV144" s="66"/>
      <c r="AW144" s="66"/>
      <c r="AX144" s="65">
        <v>0</v>
      </c>
      <c r="AY144" s="65">
        <f>IF(AND($AU144&gt;0,ISNUMBER($AX144)),$AU144*$AX144,0)</f>
        <v>0</v>
      </c>
      <c r="AZ144" s="46"/>
      <c r="BA144" s="52"/>
      <c r="BB144" s="52"/>
      <c r="BC144" s="52"/>
      <c r="BD144" s="52"/>
      <c r="BE144" s="52"/>
      <c r="BF144" s="52"/>
    </row>
    <row r="145" spans="1:58" ht="15" customHeight="1">
      <c r="A145" s="46" t="s">
        <v>861</v>
      </c>
      <c r="B145" s="53" t="s">
        <v>862</v>
      </c>
      <c r="C145" s="66" t="s">
        <v>118</v>
      </c>
      <c r="D145" s="67">
        <v>2</v>
      </c>
      <c r="E145" s="53" t="s">
        <v>189</v>
      </c>
      <c r="F145" s="50"/>
      <c r="G145" s="50"/>
      <c r="H145" s="51"/>
      <c r="I145" s="50" t="s">
        <v>863</v>
      </c>
      <c r="J145" s="54" t="s">
        <v>73</v>
      </c>
      <c r="K145" s="58" t="s">
        <v>864</v>
      </c>
      <c r="L145" s="58" t="s">
        <v>865</v>
      </c>
      <c r="M145" s="58" t="s">
        <v>866</v>
      </c>
      <c r="N145" s="58"/>
      <c r="O145" s="54"/>
      <c r="P145" s="55" t="s">
        <v>76</v>
      </c>
      <c r="Q145" s="58" t="s">
        <v>867</v>
      </c>
      <c r="R145" s="74" t="s">
        <v>868</v>
      </c>
      <c r="S145" s="74">
        <v>2</v>
      </c>
      <c r="T145" s="74">
        <v>2</v>
      </c>
      <c r="U145" s="56" t="s">
        <v>447</v>
      </c>
      <c r="V145" s="57">
        <v>0.25</v>
      </c>
      <c r="W145" s="68"/>
      <c r="X145" s="46"/>
      <c r="Y145" s="50"/>
      <c r="Z145" s="50"/>
      <c r="AA145" s="56"/>
      <c r="AB145" s="57"/>
      <c r="AC145" s="54">
        <v>3</v>
      </c>
      <c r="AD145" s="69">
        <f>SUM(AE145:AK145)</f>
        <v>1</v>
      </c>
      <c r="AE145" s="66"/>
      <c r="AF145" s="66"/>
      <c r="AG145" s="66"/>
      <c r="AH145" s="66"/>
      <c r="AI145" s="66">
        <v>1</v>
      </c>
      <c r="AJ145" s="66"/>
      <c r="AK145" s="66"/>
      <c r="AL145" s="54">
        <f>IF((AC145-SUM(AE145:AK145))&lt;0,0,AC145-SUM(AE145:AK145))</f>
        <v>2</v>
      </c>
      <c r="AM145" s="69">
        <f>SUM(AN145:AT145)</f>
        <v>0</v>
      </c>
      <c r="AN145" s="60"/>
      <c r="AO145" s="52"/>
      <c r="AP145" s="52"/>
      <c r="AQ145" s="52"/>
      <c r="AR145" s="52"/>
      <c r="AS145" s="52"/>
      <c r="AT145" s="61"/>
      <c r="AU145" s="66">
        <f>MAX(0,$AM145-$AC145-$AW145)</f>
        <v>0</v>
      </c>
      <c r="AV145" s="66"/>
      <c r="AW145" s="66"/>
      <c r="AX145" s="65">
        <v>0</v>
      </c>
      <c r="AY145" s="65">
        <f>IF(AND($AU145&gt;0,ISNUMBER($AX145)),$AU145*$AX145,0)</f>
        <v>0</v>
      </c>
      <c r="AZ145" s="46"/>
      <c r="BA145" s="52"/>
      <c r="BB145" s="52"/>
      <c r="BC145" s="52"/>
      <c r="BD145" s="52" t="s">
        <v>582</v>
      </c>
      <c r="BE145" s="52"/>
      <c r="BF145" s="52"/>
    </row>
    <row r="146" spans="1:58" ht="15" customHeight="1">
      <c r="A146" s="46" t="s">
        <v>877</v>
      </c>
      <c r="B146" s="53" t="s">
        <v>878</v>
      </c>
      <c r="C146" s="66" t="s">
        <v>101</v>
      </c>
      <c r="D146" s="67">
        <v>3</v>
      </c>
      <c r="E146" s="53" t="s">
        <v>81</v>
      </c>
      <c r="F146" s="50">
        <v>1</v>
      </c>
      <c r="G146" s="50">
        <v>1</v>
      </c>
      <c r="H146" s="51" t="s">
        <v>879</v>
      </c>
      <c r="I146" s="50" t="s">
        <v>880</v>
      </c>
      <c r="J146" s="54" t="s">
        <v>73</v>
      </c>
      <c r="K146" s="58" t="s">
        <v>104</v>
      </c>
      <c r="L146" s="58" t="s">
        <v>881</v>
      </c>
      <c r="M146" s="58"/>
      <c r="N146" s="58"/>
      <c r="O146" s="54"/>
      <c r="P146" s="55" t="s">
        <v>76</v>
      </c>
      <c r="Q146" s="58" t="s">
        <v>633</v>
      </c>
      <c r="R146" s="74" t="s">
        <v>882</v>
      </c>
      <c r="S146" s="74">
        <v>1</v>
      </c>
      <c r="T146" s="74">
        <v>0</v>
      </c>
      <c r="U146" s="56" t="s">
        <v>665</v>
      </c>
      <c r="V146" s="57">
        <v>0.25</v>
      </c>
      <c r="W146" s="68"/>
      <c r="X146" s="46"/>
      <c r="Y146" s="54"/>
      <c r="Z146" s="54"/>
      <c r="AA146" s="56"/>
      <c r="AB146" s="57"/>
      <c r="AC146" s="54">
        <v>3</v>
      </c>
      <c r="AD146" s="69">
        <f>SUM(AE146:AK146)</f>
        <v>3</v>
      </c>
      <c r="AE146" s="66"/>
      <c r="AF146" s="66">
        <v>1</v>
      </c>
      <c r="AG146" s="66"/>
      <c r="AH146" s="66">
        <v>1</v>
      </c>
      <c r="AI146" s="66"/>
      <c r="AJ146" s="66"/>
      <c r="AK146" s="66">
        <v>1</v>
      </c>
      <c r="AL146" s="54">
        <f>IF((AC146-SUM(AE146:AK146))&lt;0,0,AC146-SUM(AE146:AK146))</f>
        <v>0</v>
      </c>
      <c r="AM146" s="69">
        <f>SUM(AN146:AT146)</f>
        <v>3</v>
      </c>
      <c r="AN146" s="60"/>
      <c r="AO146" s="52">
        <v>1</v>
      </c>
      <c r="AP146" s="52"/>
      <c r="AQ146" s="52">
        <v>1</v>
      </c>
      <c r="AR146" s="52"/>
      <c r="AS146" s="52"/>
      <c r="AT146" s="61">
        <v>1</v>
      </c>
      <c r="AU146" s="66">
        <f>MAX(0,$AM146-$AC146-$AW146)</f>
        <v>0</v>
      </c>
      <c r="AV146" s="66"/>
      <c r="AW146" s="66"/>
      <c r="AX146" s="65">
        <v>0</v>
      </c>
      <c r="AY146" s="65">
        <f>IF(AND($AU146&gt;0,ISNUMBER($AX146)),$AU146*$AX146,0)</f>
        <v>0</v>
      </c>
      <c r="AZ146" s="46"/>
      <c r="BA146" s="52"/>
      <c r="BB146" s="52"/>
      <c r="BC146" s="52"/>
      <c r="BD146" s="52"/>
      <c r="BE146" s="52"/>
      <c r="BF146" s="52"/>
    </row>
    <row r="147" spans="1:58" ht="15" customHeight="1">
      <c r="A147" s="46" t="s">
        <v>883</v>
      </c>
      <c r="B147" s="53" t="s">
        <v>884</v>
      </c>
      <c r="C147" s="66" t="s">
        <v>101</v>
      </c>
      <c r="D147" s="67">
        <v>2</v>
      </c>
      <c r="E147" s="53" t="s">
        <v>81</v>
      </c>
      <c r="F147" s="50">
        <v>2</v>
      </c>
      <c r="G147" s="50">
        <v>1</v>
      </c>
      <c r="H147" s="51" t="s">
        <v>885</v>
      </c>
      <c r="I147" s="50" t="s">
        <v>886</v>
      </c>
      <c r="J147" s="54" t="s">
        <v>73</v>
      </c>
      <c r="K147" s="58" t="s">
        <v>474</v>
      </c>
      <c r="L147" s="58" t="s">
        <v>887</v>
      </c>
      <c r="M147" s="58"/>
      <c r="N147" s="58"/>
      <c r="O147" s="54"/>
      <c r="P147" s="56" t="s">
        <v>185</v>
      </c>
      <c r="Q147" s="58" t="s">
        <v>669</v>
      </c>
      <c r="R147" s="50"/>
      <c r="S147" s="50"/>
      <c r="T147" s="50"/>
      <c r="U147" s="56"/>
      <c r="V147" s="57">
        <v>0.22</v>
      </c>
      <c r="W147" s="68"/>
      <c r="X147" s="50"/>
      <c r="Y147" s="50"/>
      <c r="Z147" s="50"/>
      <c r="AA147" s="56"/>
      <c r="AB147" s="57"/>
      <c r="AC147" s="54">
        <v>3</v>
      </c>
      <c r="AD147" s="69">
        <f>SUM(AE147:AK147)</f>
        <v>1</v>
      </c>
      <c r="AE147" s="66"/>
      <c r="AF147" s="66">
        <v>1</v>
      </c>
      <c r="AG147" s="66"/>
      <c r="AH147" s="66"/>
      <c r="AI147" s="66"/>
      <c r="AJ147" s="66"/>
      <c r="AK147" s="66"/>
      <c r="AL147" s="54">
        <f>IF((AC147-SUM(AE147:AK147))&lt;0,0,AC147-SUM(AE147:AK147))</f>
        <v>2</v>
      </c>
      <c r="AM147" s="69">
        <f>SUM(AN147:AT147)</f>
        <v>1</v>
      </c>
      <c r="AN147" s="60"/>
      <c r="AO147" s="52">
        <v>1</v>
      </c>
      <c r="AP147" s="52"/>
      <c r="AQ147" s="52"/>
      <c r="AR147" s="52"/>
      <c r="AS147" s="52"/>
      <c r="AT147" s="61"/>
      <c r="AU147" s="66">
        <f>MAX(0,$AM147-$AC147-$AW147)</f>
        <v>0</v>
      </c>
      <c r="AV147" s="66"/>
      <c r="AW147" s="66"/>
      <c r="AX147" s="65">
        <v>0</v>
      </c>
      <c r="AY147" s="65">
        <f>IF(AND($AU147&gt;0,ISNUMBER($AX147)),$AU147*$AX147,0)</f>
        <v>0</v>
      </c>
      <c r="AZ147" s="46"/>
      <c r="BA147" s="52"/>
      <c r="BB147" s="52"/>
      <c r="BC147" s="52"/>
      <c r="BD147" s="52"/>
      <c r="BE147" s="52"/>
      <c r="BF147" s="52"/>
    </row>
    <row r="148" spans="1:58" ht="15" customHeight="1">
      <c r="A148" s="46" t="s">
        <v>888</v>
      </c>
      <c r="B148" s="53" t="s">
        <v>889</v>
      </c>
      <c r="C148" s="66" t="s">
        <v>232</v>
      </c>
      <c r="D148" s="67">
        <v>1</v>
      </c>
      <c r="E148" s="53" t="s">
        <v>233</v>
      </c>
      <c r="F148" s="50"/>
      <c r="G148" s="50"/>
      <c r="H148" s="51"/>
      <c r="I148" s="50" t="s">
        <v>890</v>
      </c>
      <c r="J148" s="54" t="s">
        <v>73</v>
      </c>
      <c r="K148" s="58" t="s">
        <v>235</v>
      </c>
      <c r="L148" s="58" t="s">
        <v>891</v>
      </c>
      <c r="M148" s="58" t="s">
        <v>892</v>
      </c>
      <c r="N148" s="58" t="s">
        <v>893</v>
      </c>
      <c r="O148" s="54"/>
      <c r="P148" s="56" t="s">
        <v>76</v>
      </c>
      <c r="Q148" s="58" t="s">
        <v>633</v>
      </c>
      <c r="R148" s="74" t="s">
        <v>894</v>
      </c>
      <c r="S148" s="74">
        <v>1</v>
      </c>
      <c r="T148" s="74">
        <v>0</v>
      </c>
      <c r="U148" s="56"/>
      <c r="V148" s="57">
        <v>0.21</v>
      </c>
      <c r="W148" s="68"/>
      <c r="X148" s="50"/>
      <c r="Y148" s="50"/>
      <c r="Z148" s="50"/>
      <c r="AA148" s="56"/>
      <c r="AB148" s="57"/>
      <c r="AC148" s="54">
        <v>3</v>
      </c>
      <c r="AD148" s="69">
        <f>SUM(AE148:AK148)</f>
        <v>2</v>
      </c>
      <c r="AE148" s="66"/>
      <c r="AF148" s="66"/>
      <c r="AG148" s="66"/>
      <c r="AH148" s="66"/>
      <c r="AI148" s="66"/>
      <c r="AJ148" s="66">
        <v>1</v>
      </c>
      <c r="AK148" s="66">
        <v>1</v>
      </c>
      <c r="AL148" s="54">
        <f>IF((AC148-SUM(AE148:AK148))&lt;0,0,AC148-SUM(AE148:AK148))</f>
        <v>1</v>
      </c>
      <c r="AM148" s="69">
        <f>SUM(AN148:AT148)</f>
        <v>1</v>
      </c>
      <c r="AN148" s="60"/>
      <c r="AO148" s="52"/>
      <c r="AP148" s="52"/>
      <c r="AQ148" s="52"/>
      <c r="AR148" s="52"/>
      <c r="AS148" s="52"/>
      <c r="AT148" s="61">
        <v>1</v>
      </c>
      <c r="AU148" s="66">
        <f>MAX(0,$AM148-$AC148-$AW148)</f>
        <v>0</v>
      </c>
      <c r="AV148" s="66"/>
      <c r="AW148" s="66"/>
      <c r="AX148" s="65">
        <v>0</v>
      </c>
      <c r="AY148" s="65">
        <f>IF(AND($AU148&gt;0,ISNUMBER($AX148)),$AU148*$AX148,0)</f>
        <v>0</v>
      </c>
      <c r="AZ148" s="46"/>
      <c r="BA148" s="52"/>
      <c r="BB148" s="52"/>
      <c r="BC148" s="52"/>
      <c r="BD148" s="52"/>
      <c r="BE148" s="52" t="s">
        <v>448</v>
      </c>
      <c r="BF148" s="52"/>
    </row>
    <row r="149" spans="1:58" ht="15" customHeight="1">
      <c r="A149" s="46" t="s">
        <v>895</v>
      </c>
      <c r="B149" s="53" t="s">
        <v>896</v>
      </c>
      <c r="C149" s="66" t="s">
        <v>118</v>
      </c>
      <c r="D149" s="67">
        <v>2</v>
      </c>
      <c r="E149" s="53" t="s">
        <v>189</v>
      </c>
      <c r="F149" s="50"/>
      <c r="G149" s="50"/>
      <c r="H149" s="51"/>
      <c r="I149" s="50" t="s">
        <v>897</v>
      </c>
      <c r="J149" s="54" t="s">
        <v>73</v>
      </c>
      <c r="K149" s="58" t="s">
        <v>254</v>
      </c>
      <c r="L149" s="58" t="s">
        <v>898</v>
      </c>
      <c r="M149" s="58" t="s">
        <v>899</v>
      </c>
      <c r="N149" s="58"/>
      <c r="O149" s="54"/>
      <c r="P149" s="56" t="s">
        <v>185</v>
      </c>
      <c r="Q149" s="58" t="s">
        <v>900</v>
      </c>
      <c r="R149" s="50"/>
      <c r="S149" s="50"/>
      <c r="T149" s="50"/>
      <c r="U149" s="50"/>
      <c r="V149" s="57">
        <v>0.21</v>
      </c>
      <c r="W149" s="68"/>
      <c r="X149" s="50"/>
      <c r="Y149" s="50"/>
      <c r="Z149" s="50"/>
      <c r="AA149" s="50"/>
      <c r="AB149" s="57"/>
      <c r="AC149" s="54">
        <v>3</v>
      </c>
      <c r="AD149" s="69">
        <f>SUM(AE149:AK149)</f>
        <v>2</v>
      </c>
      <c r="AE149" s="66"/>
      <c r="AF149" s="66">
        <v>1</v>
      </c>
      <c r="AG149" s="66"/>
      <c r="AH149" s="66">
        <v>1</v>
      </c>
      <c r="AI149" s="66"/>
      <c r="AJ149" s="66"/>
      <c r="AK149" s="66"/>
      <c r="AL149" s="54">
        <f>IF((AC149-SUM(AE149:AK149))&lt;0,0,AC149-SUM(AE149:AK149))</f>
        <v>1</v>
      </c>
      <c r="AM149" s="69">
        <f>SUM(AN149:AT149)</f>
        <v>2</v>
      </c>
      <c r="AN149" s="60"/>
      <c r="AO149" s="52">
        <v>1</v>
      </c>
      <c r="AP149" s="52"/>
      <c r="AQ149" s="52">
        <v>1</v>
      </c>
      <c r="AR149" s="52"/>
      <c r="AS149" s="52"/>
      <c r="AT149" s="61"/>
      <c r="AU149" s="66">
        <f>MAX(0,$AM149-$AC149-$AW149)</f>
        <v>0</v>
      </c>
      <c r="AV149" s="66"/>
      <c r="AW149" s="66"/>
      <c r="AX149" s="65">
        <v>0</v>
      </c>
      <c r="AY149" s="65">
        <f>IF(AND($AU149&gt;0,ISNUMBER($AX149)),$AU149*$AX149,0)</f>
        <v>0</v>
      </c>
      <c r="AZ149" s="46"/>
      <c r="BA149" s="52"/>
      <c r="BB149" s="52"/>
      <c r="BC149" s="52"/>
      <c r="BD149" s="52"/>
      <c r="BE149" s="52"/>
      <c r="BF149" s="52"/>
    </row>
    <row r="150" spans="1:58" ht="15" customHeight="1">
      <c r="A150" s="46" t="s">
        <v>901</v>
      </c>
      <c r="B150" s="53" t="s">
        <v>902</v>
      </c>
      <c r="C150" s="66" t="s">
        <v>232</v>
      </c>
      <c r="D150" s="67">
        <v>3</v>
      </c>
      <c r="E150" s="53" t="s">
        <v>531</v>
      </c>
      <c r="F150" s="50">
        <v>1</v>
      </c>
      <c r="G150" s="50">
        <v>1</v>
      </c>
      <c r="H150" s="51" t="s">
        <v>903</v>
      </c>
      <c r="I150" s="50" t="s">
        <v>904</v>
      </c>
      <c r="J150" s="54" t="s">
        <v>73</v>
      </c>
      <c r="K150" s="58" t="s">
        <v>104</v>
      </c>
      <c r="L150" s="58" t="s">
        <v>905</v>
      </c>
      <c r="M150" s="58" t="s">
        <v>906</v>
      </c>
      <c r="N150" s="58"/>
      <c r="O150" s="54"/>
      <c r="P150" s="56" t="s">
        <v>76</v>
      </c>
      <c r="Q150" s="58" t="s">
        <v>907</v>
      </c>
      <c r="R150" s="50"/>
      <c r="S150" s="50"/>
      <c r="T150" s="50"/>
      <c r="U150" s="56"/>
      <c r="V150" s="57">
        <v>0.21</v>
      </c>
      <c r="W150" s="68"/>
      <c r="X150" s="50"/>
      <c r="Y150" s="50"/>
      <c r="Z150" s="50"/>
      <c r="AA150" s="56"/>
      <c r="AB150" s="57"/>
      <c r="AC150" s="54">
        <v>3</v>
      </c>
      <c r="AD150" s="69">
        <f>SUM(AE150:AK150)</f>
        <v>2</v>
      </c>
      <c r="AE150" s="66"/>
      <c r="AF150" s="66">
        <v>1</v>
      </c>
      <c r="AG150" s="66"/>
      <c r="AH150" s="66"/>
      <c r="AI150" s="66">
        <v>1</v>
      </c>
      <c r="AJ150" s="66"/>
      <c r="AK150" s="66"/>
      <c r="AL150" s="54">
        <f>IF((AC150-SUM(AE150:AK150))&lt;0,0,AC150-SUM(AE150:AK150))</f>
        <v>1</v>
      </c>
      <c r="AM150" s="69">
        <f>SUM(AN150:AT150)</f>
        <v>0</v>
      </c>
      <c r="AN150" s="60"/>
      <c r="AO150" s="52"/>
      <c r="AP150" s="52"/>
      <c r="AQ150" s="52"/>
      <c r="AR150" s="52"/>
      <c r="AS150" s="52"/>
      <c r="AT150" s="61"/>
      <c r="AU150" s="66">
        <f>MAX(0,$AM150-$AC150-$AW150)</f>
        <v>0</v>
      </c>
      <c r="AV150" s="66"/>
      <c r="AW150" s="66"/>
      <c r="AX150" s="65">
        <v>0</v>
      </c>
      <c r="AY150" s="65">
        <f>IF(AND($AU150&gt;0,ISNUMBER($AX150)),$AU150*$AX150,0)</f>
        <v>0</v>
      </c>
      <c r="AZ150" s="46"/>
      <c r="BA150" s="52" t="s">
        <v>908</v>
      </c>
      <c r="BB150" s="52"/>
      <c r="BC150" s="52"/>
      <c r="BD150" s="52" t="s">
        <v>909</v>
      </c>
      <c r="BE150" s="52"/>
      <c r="BF150" s="52"/>
    </row>
    <row r="151" spans="1:58" ht="15" customHeight="1">
      <c r="A151" s="46" t="s">
        <v>910</v>
      </c>
      <c r="B151" s="53" t="s">
        <v>911</v>
      </c>
      <c r="C151" s="66" t="s">
        <v>118</v>
      </c>
      <c r="D151" s="67">
        <v>4</v>
      </c>
      <c r="E151" s="53" t="s">
        <v>233</v>
      </c>
      <c r="F151" s="50"/>
      <c r="G151" s="50"/>
      <c r="H151" s="51" t="s">
        <v>519</v>
      </c>
      <c r="I151" s="50" t="s">
        <v>912</v>
      </c>
      <c r="J151" s="54" t="s">
        <v>73</v>
      </c>
      <c r="K151" s="58" t="s">
        <v>129</v>
      </c>
      <c r="L151" s="58" t="s">
        <v>913</v>
      </c>
      <c r="M151" s="58" t="s">
        <v>914</v>
      </c>
      <c r="N151" s="58" t="s">
        <v>915</v>
      </c>
      <c r="O151" s="54"/>
      <c r="P151" s="56" t="s">
        <v>76</v>
      </c>
      <c r="Q151" s="58" t="s">
        <v>633</v>
      </c>
      <c r="R151" s="74" t="s">
        <v>916</v>
      </c>
      <c r="S151" s="74">
        <v>1</v>
      </c>
      <c r="T151" s="74">
        <v>0</v>
      </c>
      <c r="U151" s="56"/>
      <c r="V151" s="57">
        <v>0.18</v>
      </c>
      <c r="W151" s="68"/>
      <c r="X151" s="50"/>
      <c r="Y151" s="50"/>
      <c r="Z151" s="50"/>
      <c r="AA151" s="56"/>
      <c r="AB151" s="57"/>
      <c r="AC151" s="54">
        <v>3</v>
      </c>
      <c r="AD151" s="69">
        <f>SUM(AE151:AK151)</f>
        <v>0</v>
      </c>
      <c r="AE151" s="66"/>
      <c r="AF151" s="66"/>
      <c r="AG151" s="66"/>
      <c r="AH151" s="66"/>
      <c r="AI151" s="66"/>
      <c r="AJ151" s="66"/>
      <c r="AK151" s="66"/>
      <c r="AL151" s="54">
        <f>IF((AC151-SUM(AE151:AK151))&lt;0,0,AC151-SUM(AE151:AK151))</f>
        <v>3</v>
      </c>
      <c r="AM151" s="69">
        <f>SUM(AN151:AT151)</f>
        <v>0</v>
      </c>
      <c r="AN151" s="60"/>
      <c r="AO151" s="52"/>
      <c r="AP151" s="52"/>
      <c r="AQ151" s="52"/>
      <c r="AR151" s="52"/>
      <c r="AS151" s="52"/>
      <c r="AT151" s="61"/>
      <c r="AU151" s="66">
        <f>MAX(0,$AM151-$AC151-$AW151)</f>
        <v>0</v>
      </c>
      <c r="AV151" s="66"/>
      <c r="AW151" s="66"/>
      <c r="AX151" s="65">
        <v>0</v>
      </c>
      <c r="AY151" s="65">
        <f>IF(AND($AU151&gt;0,ISNUMBER($AX151)),$AU151*$AX151,0)</f>
        <v>0</v>
      </c>
      <c r="AZ151" s="46"/>
      <c r="BA151" s="52"/>
      <c r="BB151" s="52"/>
      <c r="BC151" s="52"/>
      <c r="BD151" s="52"/>
      <c r="BE151" s="52"/>
      <c r="BF151" s="52"/>
    </row>
    <row r="152" spans="1:58" ht="15" customHeight="1">
      <c r="A152" s="46" t="s">
        <v>917</v>
      </c>
      <c r="B152" s="53" t="s">
        <v>918</v>
      </c>
      <c r="C152" s="66" t="s">
        <v>101</v>
      </c>
      <c r="D152" s="67">
        <v>2</v>
      </c>
      <c r="E152" s="53" t="s">
        <v>81</v>
      </c>
      <c r="F152" s="50">
        <v>2</v>
      </c>
      <c r="G152" s="50">
        <v>1</v>
      </c>
      <c r="H152" s="51" t="s">
        <v>919</v>
      </c>
      <c r="I152" s="50" t="s">
        <v>920</v>
      </c>
      <c r="J152" s="54" t="s">
        <v>73</v>
      </c>
      <c r="K152" s="53" t="s">
        <v>676</v>
      </c>
      <c r="L152" s="53" t="s">
        <v>921</v>
      </c>
      <c r="M152" s="53" t="s">
        <v>922</v>
      </c>
      <c r="N152" s="53"/>
      <c r="O152" s="54"/>
      <c r="P152" s="56" t="s">
        <v>76</v>
      </c>
      <c r="Q152" s="53" t="s">
        <v>633</v>
      </c>
      <c r="R152" s="74" t="s">
        <v>923</v>
      </c>
      <c r="S152" s="74">
        <v>1</v>
      </c>
      <c r="T152" s="74">
        <v>0</v>
      </c>
      <c r="U152" s="56"/>
      <c r="V152" s="57">
        <v>0.17</v>
      </c>
      <c r="W152" s="68"/>
      <c r="X152" s="50"/>
      <c r="Y152" s="50"/>
      <c r="Z152" s="50"/>
      <c r="AA152" s="56"/>
      <c r="AB152" s="57"/>
      <c r="AC152" s="54">
        <v>3</v>
      </c>
      <c r="AD152" s="69">
        <f>SUM(AE152:AK152)</f>
        <v>0</v>
      </c>
      <c r="AE152" s="66"/>
      <c r="AF152" s="66"/>
      <c r="AG152" s="66"/>
      <c r="AH152" s="66"/>
      <c r="AI152" s="66"/>
      <c r="AJ152" s="66"/>
      <c r="AK152" s="66"/>
      <c r="AL152" s="54">
        <f>IF((AC152-SUM(AE152:AK152))&lt;0,0,AC152-SUM(AE152:AK152))</f>
        <v>3</v>
      </c>
      <c r="AM152" s="69">
        <f>SUM(AN152:AT152)</f>
        <v>0</v>
      </c>
      <c r="AN152" s="60"/>
      <c r="AO152" s="52"/>
      <c r="AP152" s="52"/>
      <c r="AQ152" s="52"/>
      <c r="AR152" s="52"/>
      <c r="AS152" s="52"/>
      <c r="AT152" s="61"/>
      <c r="AU152" s="66">
        <f>MAX(0,$AM152-$AC152-$AW152)</f>
        <v>0</v>
      </c>
      <c r="AV152" s="66"/>
      <c r="AW152" s="66"/>
      <c r="AX152" s="65">
        <v>0</v>
      </c>
      <c r="AY152" s="65">
        <f>IF(AND($AU152&gt;0,ISNUMBER($AX152)),$AU152*$AX152,0)</f>
        <v>0</v>
      </c>
      <c r="AZ152" s="46"/>
      <c r="BA152" s="52"/>
      <c r="BB152" s="52"/>
      <c r="BC152" s="52"/>
      <c r="BD152" s="52"/>
      <c r="BE152" s="52"/>
      <c r="BF152" s="52"/>
    </row>
    <row r="153" spans="1:58" ht="15" customHeight="1">
      <c r="A153" s="46" t="s">
        <v>924</v>
      </c>
      <c r="B153" s="53" t="s">
        <v>925</v>
      </c>
      <c r="C153" s="66" t="s">
        <v>232</v>
      </c>
      <c r="D153" s="67">
        <v>1</v>
      </c>
      <c r="E153" s="53" t="s">
        <v>233</v>
      </c>
      <c r="F153" s="50"/>
      <c r="G153" s="50"/>
      <c r="H153" s="51" t="s">
        <v>519</v>
      </c>
      <c r="I153" s="50" t="s">
        <v>926</v>
      </c>
      <c r="J153" s="54" t="s">
        <v>73</v>
      </c>
      <c r="K153" s="58" t="s">
        <v>104</v>
      </c>
      <c r="L153" s="58" t="s">
        <v>927</v>
      </c>
      <c r="M153" s="58"/>
      <c r="N153" s="58"/>
      <c r="O153" s="54"/>
      <c r="P153" s="56" t="s">
        <v>76</v>
      </c>
      <c r="Q153" s="58" t="s">
        <v>928</v>
      </c>
      <c r="R153" s="50"/>
      <c r="S153" s="50"/>
      <c r="T153" s="50"/>
      <c r="U153" s="56"/>
      <c r="V153" s="57">
        <v>0.16</v>
      </c>
      <c r="W153" s="68"/>
      <c r="X153" s="50"/>
      <c r="Y153" s="50"/>
      <c r="Z153" s="50"/>
      <c r="AA153" s="56"/>
      <c r="AB153" s="57"/>
      <c r="AC153" s="54">
        <v>3</v>
      </c>
      <c r="AD153" s="69">
        <f>SUM(AE153:AK153)</f>
        <v>1</v>
      </c>
      <c r="AE153" s="66"/>
      <c r="AF153" s="66"/>
      <c r="AG153" s="66"/>
      <c r="AH153" s="66"/>
      <c r="AI153" s="66"/>
      <c r="AJ153" s="66"/>
      <c r="AK153" s="66">
        <v>1</v>
      </c>
      <c r="AL153" s="54">
        <f>IF((AC153-SUM(AE153:AK153))&lt;0,0,AC153-SUM(AE153:AK153))</f>
        <v>2</v>
      </c>
      <c r="AM153" s="69">
        <f>SUM(AN153:AT153)</f>
        <v>0</v>
      </c>
      <c r="AN153" s="60"/>
      <c r="AO153" s="52"/>
      <c r="AP153" s="52"/>
      <c r="AQ153" s="52"/>
      <c r="AR153" s="52"/>
      <c r="AS153" s="52"/>
      <c r="AT153" s="61"/>
      <c r="AU153" s="66">
        <f>MAX(0,$AM153-$AC153-$AW153)</f>
        <v>0</v>
      </c>
      <c r="AV153" s="66"/>
      <c r="AW153" s="66"/>
      <c r="AX153" s="65">
        <v>0</v>
      </c>
      <c r="AY153" s="65">
        <f>IF(AND($AU153&gt;0,ISNUMBER($AX153)),$AU153*$AX153,0)</f>
        <v>0</v>
      </c>
      <c r="AZ153" s="46"/>
      <c r="BA153" s="52"/>
      <c r="BB153" s="52"/>
      <c r="BC153" s="52"/>
      <c r="BD153" s="52"/>
      <c r="BE153" s="52"/>
      <c r="BF153" s="52" t="s">
        <v>99</v>
      </c>
    </row>
    <row r="154" spans="1:58" ht="15" customHeight="1">
      <c r="A154" s="46" t="s">
        <v>929</v>
      </c>
      <c r="B154" s="53" t="s">
        <v>930</v>
      </c>
      <c r="C154" s="66" t="s">
        <v>109</v>
      </c>
      <c r="D154" s="67">
        <v>3</v>
      </c>
      <c r="E154" s="53" t="s">
        <v>81</v>
      </c>
      <c r="F154" s="50">
        <v>3</v>
      </c>
      <c r="G154" s="50">
        <v>2</v>
      </c>
      <c r="H154" s="51" t="s">
        <v>931</v>
      </c>
      <c r="I154" s="50" t="s">
        <v>932</v>
      </c>
      <c r="J154" s="54" t="s">
        <v>73</v>
      </c>
      <c r="K154" s="53" t="s">
        <v>202</v>
      </c>
      <c r="L154" s="53" t="s">
        <v>933</v>
      </c>
      <c r="M154" s="53"/>
      <c r="N154" s="53"/>
      <c r="O154" s="54"/>
      <c r="P154" s="56" t="s">
        <v>76</v>
      </c>
      <c r="Q154" s="53" t="s">
        <v>633</v>
      </c>
      <c r="R154" s="54"/>
      <c r="S154" s="54"/>
      <c r="T154" s="54"/>
      <c r="U154" s="56"/>
      <c r="V154" s="57">
        <v>0.15</v>
      </c>
      <c r="W154" s="68"/>
      <c r="X154" s="54"/>
      <c r="Y154" s="54"/>
      <c r="Z154" s="54"/>
      <c r="AA154" s="56"/>
      <c r="AB154" s="57"/>
      <c r="AC154" s="54">
        <v>3</v>
      </c>
      <c r="AD154" s="69">
        <f>SUM(AE154:AK154)</f>
        <v>2</v>
      </c>
      <c r="AE154" s="66"/>
      <c r="AF154" s="66">
        <v>1</v>
      </c>
      <c r="AG154" s="66"/>
      <c r="AH154" s="66"/>
      <c r="AI154" s="66"/>
      <c r="AJ154" s="66"/>
      <c r="AK154" s="66">
        <v>1</v>
      </c>
      <c r="AL154" s="54">
        <f>IF((AC154-SUM(AE154:AK154))&lt;0,0,AC154-SUM(AE154:AK154))</f>
        <v>1</v>
      </c>
      <c r="AM154" s="69">
        <f>SUM(AN154:AT154)</f>
        <v>2</v>
      </c>
      <c r="AN154" s="60"/>
      <c r="AO154" s="52">
        <v>1</v>
      </c>
      <c r="AP154" s="52"/>
      <c r="AQ154" s="52"/>
      <c r="AR154" s="52"/>
      <c r="AS154" s="52"/>
      <c r="AT154" s="61">
        <v>1</v>
      </c>
      <c r="AU154" s="66">
        <f>MAX(0,$AM154-$AC154-$AW154)</f>
        <v>0</v>
      </c>
      <c r="AV154" s="66"/>
      <c r="AW154" s="66"/>
      <c r="AX154" s="65">
        <v>0</v>
      </c>
      <c r="AY154" s="65">
        <f>IF(AND($AU154&gt;0,ISNUMBER($AX154)),$AU154*$AX154,0)</f>
        <v>0</v>
      </c>
      <c r="AZ154" s="46"/>
      <c r="BA154" s="52"/>
      <c r="BB154" s="52"/>
      <c r="BC154" s="52"/>
      <c r="BD154" s="52"/>
      <c r="BE154" s="52"/>
      <c r="BF154" s="52"/>
    </row>
    <row r="155" spans="1:58" ht="15" customHeight="1">
      <c r="A155" s="46" t="s">
        <v>934</v>
      </c>
      <c r="B155" s="53" t="s">
        <v>935</v>
      </c>
      <c r="C155" s="66" t="s">
        <v>70</v>
      </c>
      <c r="D155" s="67">
        <v>7</v>
      </c>
      <c r="E155" s="53" t="s">
        <v>110</v>
      </c>
      <c r="F155" s="50">
        <v>5</v>
      </c>
      <c r="G155" s="50">
        <v>5</v>
      </c>
      <c r="H155" s="51" t="s">
        <v>936</v>
      </c>
      <c r="I155" s="50" t="s">
        <v>937</v>
      </c>
      <c r="J155" s="54" t="s">
        <v>73</v>
      </c>
      <c r="K155" s="53" t="s">
        <v>170</v>
      </c>
      <c r="L155" s="53" t="s">
        <v>136</v>
      </c>
      <c r="M155" s="53" t="s">
        <v>938</v>
      </c>
      <c r="N155" s="53"/>
      <c r="O155" s="56">
        <v>5277</v>
      </c>
      <c r="P155" s="56" t="s">
        <v>76</v>
      </c>
      <c r="Q155" s="53" t="s">
        <v>633</v>
      </c>
      <c r="R155" s="74" t="s">
        <v>939</v>
      </c>
      <c r="S155" s="74">
        <v>1</v>
      </c>
      <c r="T155" s="74">
        <v>0</v>
      </c>
      <c r="U155" s="56"/>
      <c r="V155" s="57">
        <v>0.15</v>
      </c>
      <c r="W155" s="68"/>
      <c r="X155" s="50"/>
      <c r="Y155" s="50"/>
      <c r="Z155" s="50"/>
      <c r="AA155" s="56"/>
      <c r="AB155" s="57"/>
      <c r="AC155" s="54">
        <v>3</v>
      </c>
      <c r="AD155" s="69">
        <f>SUM(AE155:AK155)</f>
        <v>0</v>
      </c>
      <c r="AE155" s="66"/>
      <c r="AF155" s="66"/>
      <c r="AG155" s="66"/>
      <c r="AH155" s="66"/>
      <c r="AI155" s="66"/>
      <c r="AJ155" s="66"/>
      <c r="AK155" s="66"/>
      <c r="AL155" s="54">
        <f>IF((AC155-SUM(AE155:AK155))&lt;0,0,AC155-SUM(AE155:AK155))</f>
        <v>3</v>
      </c>
      <c r="AM155" s="69">
        <f>SUM(AN155:AT155)</f>
        <v>0</v>
      </c>
      <c r="AN155" s="60"/>
      <c r="AO155" s="52"/>
      <c r="AP155" s="52"/>
      <c r="AQ155" s="52"/>
      <c r="AR155" s="52"/>
      <c r="AS155" s="52"/>
      <c r="AT155" s="61"/>
      <c r="AU155" s="66">
        <f>MAX(0,$AM155-$AC155-$AW155)</f>
        <v>0</v>
      </c>
      <c r="AV155" s="66"/>
      <c r="AW155" s="66"/>
      <c r="AX155" s="65">
        <v>0</v>
      </c>
      <c r="AY155" s="65">
        <f>IF(AND($AU155&gt;0,ISNUMBER($AX155)),$AU155*$AX155,0)</f>
        <v>0</v>
      </c>
      <c r="AZ155" s="46"/>
      <c r="BA155" s="52"/>
      <c r="BB155" s="52"/>
      <c r="BC155" s="52"/>
      <c r="BD155" s="52"/>
      <c r="BE155" s="52"/>
      <c r="BF155" s="52"/>
    </row>
    <row r="156" spans="1:58" ht="15" customHeight="1">
      <c r="A156" s="46" t="s">
        <v>940</v>
      </c>
      <c r="B156" s="47" t="s">
        <v>941</v>
      </c>
      <c r="C156" s="48" t="s">
        <v>80</v>
      </c>
      <c r="D156" s="49">
        <v>3</v>
      </c>
      <c r="E156" s="47" t="s">
        <v>110</v>
      </c>
      <c r="F156" s="50">
        <v>2</v>
      </c>
      <c r="G156" s="50">
        <v>1</v>
      </c>
      <c r="H156" s="51" t="s">
        <v>942</v>
      </c>
      <c r="I156" s="50" t="s">
        <v>943</v>
      </c>
      <c r="J156" s="52" t="s">
        <v>73</v>
      </c>
      <c r="K156" s="47" t="s">
        <v>92</v>
      </c>
      <c r="L156" s="53" t="s">
        <v>944</v>
      </c>
      <c r="M156" s="53" t="s">
        <v>945</v>
      </c>
      <c r="N156" s="53"/>
      <c r="O156" s="56">
        <v>4718</v>
      </c>
      <c r="P156" s="55" t="s">
        <v>76</v>
      </c>
      <c r="Q156" s="47" t="s">
        <v>633</v>
      </c>
      <c r="R156" s="75" t="s">
        <v>946</v>
      </c>
      <c r="S156" s="75">
        <v>2</v>
      </c>
      <c r="T156" s="75">
        <v>0</v>
      </c>
      <c r="U156" s="56" t="s">
        <v>947</v>
      </c>
      <c r="V156" s="57">
        <v>0.14000000000000001</v>
      </c>
      <c r="W156" s="68"/>
      <c r="X156" s="46"/>
      <c r="Y156" s="46"/>
      <c r="Z156" s="46"/>
      <c r="AA156" s="56"/>
      <c r="AB156" s="57"/>
      <c r="AC156" s="54">
        <v>3</v>
      </c>
      <c r="AD156" s="69">
        <f>SUM(AE156:AK156)</f>
        <v>1</v>
      </c>
      <c r="AE156" s="66"/>
      <c r="AF156" s="66">
        <v>1</v>
      </c>
      <c r="AG156" s="66"/>
      <c r="AH156" s="66"/>
      <c r="AI156" s="66"/>
      <c r="AJ156" s="66"/>
      <c r="AK156" s="66"/>
      <c r="AL156" s="54">
        <f>IF((AC156-SUM(AE156:AK156))&lt;0,0,AC156-SUM(AE156:AK156))</f>
        <v>2</v>
      </c>
      <c r="AM156" s="69">
        <f>SUM(AN156:AT156)</f>
        <v>0</v>
      </c>
      <c r="AN156" s="60"/>
      <c r="AO156" s="52"/>
      <c r="AP156" s="52"/>
      <c r="AQ156" s="52"/>
      <c r="AR156" s="52"/>
      <c r="AS156" s="52"/>
      <c r="AT156" s="61"/>
      <c r="AU156" s="66">
        <f>MAX(0,$AM156-$AC156-$AW156)</f>
        <v>0</v>
      </c>
      <c r="AV156" s="48"/>
      <c r="AW156" s="48"/>
      <c r="AX156" s="65">
        <v>0</v>
      </c>
      <c r="AY156" s="65">
        <f>IF(AND($AU156&gt;0,ISNUMBER($AX156)),$AU156*$AX156,0)</f>
        <v>0</v>
      </c>
      <c r="AZ156" s="46"/>
      <c r="BA156" s="52" t="s">
        <v>601</v>
      </c>
      <c r="BB156" s="52"/>
      <c r="BC156" s="52"/>
      <c r="BD156" s="52"/>
      <c r="BE156" s="52"/>
      <c r="BF156" s="52"/>
    </row>
    <row r="157" spans="1:58" ht="15" customHeight="1">
      <c r="A157" s="46" t="s">
        <v>948</v>
      </c>
      <c r="B157" s="53" t="s">
        <v>949</v>
      </c>
      <c r="C157" s="66" t="s">
        <v>232</v>
      </c>
      <c r="D157" s="67">
        <v>1</v>
      </c>
      <c r="E157" s="53" t="s">
        <v>233</v>
      </c>
      <c r="F157" s="50"/>
      <c r="G157" s="50"/>
      <c r="H157" s="51" t="s">
        <v>519</v>
      </c>
      <c r="I157" s="50" t="s">
        <v>950</v>
      </c>
      <c r="J157" s="54" t="s">
        <v>73</v>
      </c>
      <c r="K157" s="53" t="s">
        <v>121</v>
      </c>
      <c r="L157" s="53" t="s">
        <v>951</v>
      </c>
      <c r="M157" s="53" t="s">
        <v>952</v>
      </c>
      <c r="N157" s="53"/>
      <c r="O157" s="54"/>
      <c r="P157" s="56" t="s">
        <v>76</v>
      </c>
      <c r="Q157" s="53" t="s">
        <v>633</v>
      </c>
      <c r="R157" s="74" t="s">
        <v>953</v>
      </c>
      <c r="S157" s="74">
        <v>2</v>
      </c>
      <c r="T157" s="74">
        <v>0</v>
      </c>
      <c r="U157" s="56" t="s">
        <v>954</v>
      </c>
      <c r="V157" s="57">
        <v>0.13</v>
      </c>
      <c r="W157" s="68"/>
      <c r="X157" s="50"/>
      <c r="Y157" s="50"/>
      <c r="Z157" s="50"/>
      <c r="AA157" s="56"/>
      <c r="AB157" s="57"/>
      <c r="AC157" s="54">
        <v>3</v>
      </c>
      <c r="AD157" s="69">
        <f>SUM(AE157:AK157)</f>
        <v>0</v>
      </c>
      <c r="AE157" s="66"/>
      <c r="AF157" s="66"/>
      <c r="AG157" s="66"/>
      <c r="AH157" s="66"/>
      <c r="AI157" s="66"/>
      <c r="AJ157" s="66"/>
      <c r="AK157" s="66"/>
      <c r="AL157" s="54">
        <f>IF((AC157-SUM(AE157:AK157))&lt;0,0,AC157-SUM(AE157:AK157))</f>
        <v>3</v>
      </c>
      <c r="AM157" s="69">
        <f>SUM(AN157:AT157)</f>
        <v>0</v>
      </c>
      <c r="AN157" s="60"/>
      <c r="AO157" s="52"/>
      <c r="AP157" s="52"/>
      <c r="AQ157" s="52"/>
      <c r="AR157" s="52"/>
      <c r="AS157" s="52"/>
      <c r="AT157" s="61"/>
      <c r="AU157" s="66">
        <f>MAX(0,$AM157-$AC157-$AW157)</f>
        <v>0</v>
      </c>
      <c r="AV157" s="66"/>
      <c r="AW157" s="66"/>
      <c r="AX157" s="65">
        <v>0</v>
      </c>
      <c r="AY157" s="65">
        <f>IF(AND($AU157&gt;0,ISNUMBER($AX157)),$AU157*$AX157,0)</f>
        <v>0</v>
      </c>
      <c r="AZ157" s="46"/>
      <c r="BA157" s="52"/>
      <c r="BB157" s="52"/>
      <c r="BC157" s="52"/>
      <c r="BD157" s="52"/>
      <c r="BE157" s="52"/>
      <c r="BF157" s="52"/>
    </row>
    <row r="158" spans="1:58" ht="15" customHeight="1">
      <c r="A158" s="46" t="s">
        <v>955</v>
      </c>
      <c r="B158" s="53" t="s">
        <v>956</v>
      </c>
      <c r="C158" s="66" t="s">
        <v>80</v>
      </c>
      <c r="D158" s="67">
        <v>4</v>
      </c>
      <c r="E158" s="53" t="s">
        <v>81</v>
      </c>
      <c r="F158" s="50">
        <v>3</v>
      </c>
      <c r="G158" s="50">
        <v>1</v>
      </c>
      <c r="H158" s="51" t="s">
        <v>957</v>
      </c>
      <c r="I158" s="50" t="s">
        <v>958</v>
      </c>
      <c r="J158" s="54" t="s">
        <v>73</v>
      </c>
      <c r="K158" s="53" t="s">
        <v>129</v>
      </c>
      <c r="L158" s="53" t="s">
        <v>959</v>
      </c>
      <c r="M158" s="53" t="s">
        <v>960</v>
      </c>
      <c r="N158" s="53"/>
      <c r="O158" s="54"/>
      <c r="P158" s="56" t="s">
        <v>76</v>
      </c>
      <c r="Q158" s="58" t="s">
        <v>633</v>
      </c>
      <c r="R158" s="74" t="s">
        <v>961</v>
      </c>
      <c r="S158" s="74">
        <v>1</v>
      </c>
      <c r="T158" s="74">
        <v>0</v>
      </c>
      <c r="U158" s="56"/>
      <c r="V158" s="57">
        <v>0.08</v>
      </c>
      <c r="W158" s="68"/>
      <c r="X158" s="50"/>
      <c r="Y158" s="50"/>
      <c r="Z158" s="50"/>
      <c r="AA158" s="56"/>
      <c r="AB158" s="57"/>
      <c r="AC158" s="54">
        <v>3</v>
      </c>
      <c r="AD158" s="69">
        <f>SUM(AE158:AK158)</f>
        <v>1</v>
      </c>
      <c r="AE158" s="66"/>
      <c r="AF158" s="66">
        <v>1</v>
      </c>
      <c r="AG158" s="66"/>
      <c r="AH158" s="66"/>
      <c r="AI158" s="66"/>
      <c r="AJ158" s="66"/>
      <c r="AK158" s="66"/>
      <c r="AL158" s="54">
        <f>IF((AC158-SUM(AE158:AK158))&lt;0,0,AC158-SUM(AE158:AK158))</f>
        <v>2</v>
      </c>
      <c r="AM158" s="69">
        <f>SUM(AN158:AT158)</f>
        <v>0</v>
      </c>
      <c r="AN158" s="60"/>
      <c r="AO158" s="52"/>
      <c r="AP158" s="52"/>
      <c r="AQ158" s="52"/>
      <c r="AR158" s="52"/>
      <c r="AS158" s="52"/>
      <c r="AT158" s="61"/>
      <c r="AU158" s="66">
        <f>MAX(0,$AM158-$AC158-$AW158)</f>
        <v>0</v>
      </c>
      <c r="AV158" s="66"/>
      <c r="AW158" s="66"/>
      <c r="AX158" s="65">
        <v>0</v>
      </c>
      <c r="AY158" s="65">
        <f>IF(AND($AU158&gt;0,ISNUMBER($AX158)),$AU158*$AX158,0)</f>
        <v>0</v>
      </c>
      <c r="AZ158" s="46"/>
      <c r="BA158" s="52" t="s">
        <v>294</v>
      </c>
      <c r="BB158" s="52"/>
      <c r="BC158" s="52"/>
      <c r="BD158" s="52"/>
      <c r="BE158" s="52"/>
      <c r="BF158" s="52"/>
    </row>
    <row r="159" spans="1:58" ht="15" customHeight="1">
      <c r="A159" s="46" t="s">
        <v>962</v>
      </c>
      <c r="B159" s="53" t="s">
        <v>963</v>
      </c>
      <c r="C159" s="48" t="s">
        <v>232</v>
      </c>
      <c r="D159" s="49">
        <v>4</v>
      </c>
      <c r="E159" s="47" t="s">
        <v>531</v>
      </c>
      <c r="F159" s="50">
        <v>3</v>
      </c>
      <c r="G159" s="50">
        <v>4</v>
      </c>
      <c r="H159" s="51" t="s">
        <v>964</v>
      </c>
      <c r="I159" s="50" t="s">
        <v>965</v>
      </c>
      <c r="J159" s="52" t="s">
        <v>73</v>
      </c>
      <c r="K159" s="47" t="s">
        <v>676</v>
      </c>
      <c r="L159" s="53" t="s">
        <v>966</v>
      </c>
      <c r="M159" s="53" t="s">
        <v>967</v>
      </c>
      <c r="N159" s="53"/>
      <c r="O159" s="54"/>
      <c r="P159" s="55" t="s">
        <v>76</v>
      </c>
      <c r="Q159" s="47" t="s">
        <v>645</v>
      </c>
      <c r="R159" s="75" t="s">
        <v>968</v>
      </c>
      <c r="S159" s="75">
        <v>3</v>
      </c>
      <c r="T159" s="75">
        <v>0</v>
      </c>
      <c r="U159" s="56" t="s">
        <v>969</v>
      </c>
      <c r="V159" s="57">
        <v>7.0000000000000007E-2</v>
      </c>
      <c r="W159" s="68"/>
      <c r="X159" s="46"/>
      <c r="Y159" s="46"/>
      <c r="Z159" s="46"/>
      <c r="AA159" s="56"/>
      <c r="AB159" s="57"/>
      <c r="AC159" s="54">
        <v>3</v>
      </c>
      <c r="AD159" s="69">
        <f>SUM(AE159:AK159)</f>
        <v>0</v>
      </c>
      <c r="AE159" s="66"/>
      <c r="AF159" s="66"/>
      <c r="AG159" s="66"/>
      <c r="AH159" s="66"/>
      <c r="AI159" s="66"/>
      <c r="AJ159" s="66"/>
      <c r="AK159" s="66"/>
      <c r="AL159" s="54">
        <f>IF((AC159-SUM(AE159:AK159))&lt;0,0,AC159-SUM(AE159:AK159))</f>
        <v>3</v>
      </c>
      <c r="AM159" s="69">
        <f>SUM(AN159:AT159)</f>
        <v>0</v>
      </c>
      <c r="AN159" s="60"/>
      <c r="AO159" s="52"/>
      <c r="AP159" s="52"/>
      <c r="AQ159" s="52"/>
      <c r="AR159" s="52"/>
      <c r="AS159" s="52"/>
      <c r="AT159" s="61"/>
      <c r="AU159" s="66">
        <f>MAX(0,$AM159-$AC159-$AW159)</f>
        <v>0</v>
      </c>
      <c r="AV159" s="48"/>
      <c r="AW159" s="48"/>
      <c r="AX159" s="65">
        <v>0</v>
      </c>
      <c r="AY159" s="65">
        <f>IF(AND($AU159&gt;0,ISNUMBER($AX159)),$AU159*$AX159,0)</f>
        <v>0</v>
      </c>
      <c r="AZ159" s="46"/>
      <c r="BA159" s="52"/>
      <c r="BB159" s="52"/>
      <c r="BC159" s="52"/>
      <c r="BD159" s="52"/>
      <c r="BE159" s="52"/>
      <c r="BF159" s="52"/>
    </row>
    <row r="160" spans="1:58" ht="15" customHeight="1">
      <c r="A160" s="46" t="s">
        <v>970</v>
      </c>
      <c r="B160" s="53" t="s">
        <v>971</v>
      </c>
      <c r="C160" s="66" t="s">
        <v>181</v>
      </c>
      <c r="D160" s="67">
        <v>3</v>
      </c>
      <c r="E160" s="53" t="s">
        <v>81</v>
      </c>
      <c r="F160" s="50">
        <v>2</v>
      </c>
      <c r="G160" s="50">
        <v>1</v>
      </c>
      <c r="H160" s="51" t="s">
        <v>972</v>
      </c>
      <c r="I160" s="50" t="s">
        <v>973</v>
      </c>
      <c r="J160" s="54" t="s">
        <v>73</v>
      </c>
      <c r="K160" s="58" t="s">
        <v>92</v>
      </c>
      <c r="L160" s="58" t="s">
        <v>974</v>
      </c>
      <c r="M160" s="58"/>
      <c r="N160" s="58"/>
      <c r="O160" s="54"/>
      <c r="P160" s="56" t="s">
        <v>76</v>
      </c>
      <c r="Q160" s="58" t="s">
        <v>669</v>
      </c>
      <c r="R160" s="50"/>
      <c r="S160" s="50"/>
      <c r="T160" s="50"/>
      <c r="U160" s="56"/>
      <c r="V160" s="57">
        <v>0.06</v>
      </c>
      <c r="W160" s="68"/>
      <c r="X160" s="50"/>
      <c r="Y160" s="50"/>
      <c r="Z160" s="50"/>
      <c r="AA160" s="56"/>
      <c r="AB160" s="57"/>
      <c r="AC160" s="54">
        <v>3</v>
      </c>
      <c r="AD160" s="69">
        <f>SUM(AE160:AK160)</f>
        <v>1</v>
      </c>
      <c r="AE160" s="66"/>
      <c r="AF160" s="66"/>
      <c r="AG160" s="66"/>
      <c r="AH160" s="66"/>
      <c r="AI160" s="66"/>
      <c r="AJ160" s="66"/>
      <c r="AK160" s="66">
        <v>1</v>
      </c>
      <c r="AL160" s="54">
        <f>IF((AC160-SUM(AE160:AK160))&lt;0,0,AC160-SUM(AE160:AK160))</f>
        <v>2</v>
      </c>
      <c r="AM160" s="69">
        <f>SUM(AN160:AT160)</f>
        <v>0</v>
      </c>
      <c r="AN160" s="60"/>
      <c r="AO160" s="52"/>
      <c r="AP160" s="52"/>
      <c r="AQ160" s="52"/>
      <c r="AR160" s="52"/>
      <c r="AS160" s="52"/>
      <c r="AT160" s="61"/>
      <c r="AU160" s="66">
        <f>MAX(0,$AM160-$AC160-$AW160)</f>
        <v>0</v>
      </c>
      <c r="AV160" s="66"/>
      <c r="AW160" s="66"/>
      <c r="AX160" s="65">
        <v>0</v>
      </c>
      <c r="AY160" s="65">
        <f>IF(AND($AU160&gt;0,ISNUMBER($AX160)),$AU160*$AX160,0)</f>
        <v>0</v>
      </c>
      <c r="AZ160" s="46"/>
      <c r="BA160" s="52"/>
      <c r="BB160" s="52"/>
      <c r="BC160" s="52"/>
      <c r="BD160" s="52"/>
      <c r="BE160" s="52"/>
      <c r="BF160" s="52" t="s">
        <v>306</v>
      </c>
    </row>
    <row r="161" spans="1:58" ht="15" customHeight="1">
      <c r="A161" s="46" t="s">
        <v>975</v>
      </c>
      <c r="B161" s="53" t="s">
        <v>976</v>
      </c>
      <c r="C161" s="66" t="s">
        <v>70</v>
      </c>
      <c r="D161" s="67">
        <v>3</v>
      </c>
      <c r="E161" s="53" t="s">
        <v>189</v>
      </c>
      <c r="F161" s="50"/>
      <c r="G161" s="50"/>
      <c r="H161" s="51"/>
      <c r="I161" s="50" t="s">
        <v>977</v>
      </c>
      <c r="J161" s="54" t="s">
        <v>73</v>
      </c>
      <c r="K161" s="53" t="s">
        <v>135</v>
      </c>
      <c r="L161" s="53" t="s">
        <v>978</v>
      </c>
      <c r="M161" s="53" t="s">
        <v>979</v>
      </c>
      <c r="N161" s="53"/>
      <c r="O161" s="54"/>
      <c r="P161" s="56" t="s">
        <v>76</v>
      </c>
      <c r="Q161" s="53" t="s">
        <v>691</v>
      </c>
      <c r="R161" s="50" t="s">
        <v>980</v>
      </c>
      <c r="S161" s="50">
        <v>3</v>
      </c>
      <c r="T161" s="50">
        <v>0</v>
      </c>
      <c r="U161" s="56" t="s">
        <v>981</v>
      </c>
      <c r="V161" s="57"/>
      <c r="W161" s="56"/>
      <c r="X161" s="50"/>
      <c r="Y161" s="50"/>
      <c r="Z161" s="50"/>
      <c r="AA161" s="56"/>
      <c r="AB161" s="57"/>
      <c r="AC161" s="54">
        <v>3</v>
      </c>
      <c r="AD161" s="69">
        <f>SUM(AE161:AK161)</f>
        <v>0</v>
      </c>
      <c r="AE161" s="66"/>
      <c r="AF161" s="66"/>
      <c r="AG161" s="66"/>
      <c r="AH161" s="66"/>
      <c r="AI161" s="66"/>
      <c r="AJ161" s="66"/>
      <c r="AK161" s="66"/>
      <c r="AL161" s="54">
        <f>IF((AC161-SUM(AE161:AK161))&lt;0,0,AC161-SUM(AE161:AK161))</f>
        <v>3</v>
      </c>
      <c r="AM161" s="69">
        <f>SUM(AN161:AT161)</f>
        <v>0</v>
      </c>
      <c r="AN161" s="60"/>
      <c r="AO161" s="52"/>
      <c r="AP161" s="52"/>
      <c r="AQ161" s="52"/>
      <c r="AR161" s="52"/>
      <c r="AS161" s="52"/>
      <c r="AT161" s="61"/>
      <c r="AU161" s="66">
        <f>MAX(0,$AM161-$AC161-$AW161)</f>
        <v>0</v>
      </c>
      <c r="AV161" s="66"/>
      <c r="AW161" s="66"/>
      <c r="AX161" s="65">
        <v>0</v>
      </c>
      <c r="AY161" s="65">
        <f>IF(AND($AU161&gt;0,ISNUMBER($AX161)),$AU161*$AX161,0)</f>
        <v>0</v>
      </c>
      <c r="AZ161" s="46"/>
      <c r="BA161" s="52"/>
      <c r="BB161" s="52"/>
      <c r="BC161" s="52"/>
      <c r="BD161" s="52"/>
      <c r="BE161" s="52"/>
      <c r="BF161" s="52"/>
    </row>
    <row r="162" spans="1:58" ht="15" customHeight="1">
      <c r="A162" s="46" t="s">
        <v>982</v>
      </c>
      <c r="B162" s="53" t="s">
        <v>983</v>
      </c>
      <c r="C162" s="66" t="s">
        <v>232</v>
      </c>
      <c r="D162" s="67">
        <v>2</v>
      </c>
      <c r="E162" s="53" t="s">
        <v>984</v>
      </c>
      <c r="F162" s="50"/>
      <c r="G162" s="50"/>
      <c r="H162" s="51" t="s">
        <v>519</v>
      </c>
      <c r="I162" s="50" t="s">
        <v>985</v>
      </c>
      <c r="J162" s="54" t="s">
        <v>73</v>
      </c>
      <c r="K162" s="58" t="s">
        <v>104</v>
      </c>
      <c r="L162" s="58" t="s">
        <v>986</v>
      </c>
      <c r="M162" s="58" t="s">
        <v>987</v>
      </c>
      <c r="N162" s="58"/>
      <c r="O162" s="54"/>
      <c r="P162" s="56" t="s">
        <v>86</v>
      </c>
      <c r="Q162" s="58" t="s">
        <v>988</v>
      </c>
      <c r="R162" s="54"/>
      <c r="S162" s="54"/>
      <c r="T162" s="54"/>
      <c r="U162" s="54"/>
      <c r="V162" s="57">
        <v>6.05</v>
      </c>
      <c r="W162" s="68"/>
      <c r="X162" s="54"/>
      <c r="Y162" s="54"/>
      <c r="Z162" s="54"/>
      <c r="AA162" s="54"/>
      <c r="AB162" s="57"/>
      <c r="AC162" s="54">
        <v>2</v>
      </c>
      <c r="AD162" s="69">
        <f>SUM(AE162:AK162)</f>
        <v>2</v>
      </c>
      <c r="AE162" s="66"/>
      <c r="AF162" s="66"/>
      <c r="AG162" s="66">
        <v>1</v>
      </c>
      <c r="AH162" s="66"/>
      <c r="AI162" s="66">
        <v>1</v>
      </c>
      <c r="AJ162" s="66"/>
      <c r="AK162" s="66"/>
      <c r="AL162" s="54">
        <f>IF((AC162-SUM(AE162:AK162))&lt;0,0,AC162-SUM(AE162:AK162))</f>
        <v>0</v>
      </c>
      <c r="AM162" s="69">
        <f>SUM(AN162:AT162)</f>
        <v>2</v>
      </c>
      <c r="AN162" s="60"/>
      <c r="AO162" s="52"/>
      <c r="AP162" s="52">
        <v>1</v>
      </c>
      <c r="AQ162" s="52"/>
      <c r="AR162" s="52">
        <v>1</v>
      </c>
      <c r="AS162" s="52"/>
      <c r="AT162" s="61"/>
      <c r="AU162" s="66">
        <f>MAX(0,$AM162-$AC162-$AW162)</f>
        <v>0</v>
      </c>
      <c r="AV162" s="66"/>
      <c r="AW162" s="66"/>
      <c r="AX162" s="65">
        <v>0</v>
      </c>
      <c r="AY162" s="65">
        <f>IF(AND($AU162&gt;0,ISNUMBER($AX162)),$AU162*$AX162,0)</f>
        <v>0</v>
      </c>
      <c r="AZ162" s="46"/>
      <c r="BA162" s="52"/>
      <c r="BB162" s="52"/>
      <c r="BC162" s="52"/>
      <c r="BD162" s="52"/>
      <c r="BE162" s="52"/>
      <c r="BF162" s="52"/>
    </row>
    <row r="163" spans="1:58" ht="15" customHeight="1">
      <c r="A163" s="46" t="s">
        <v>989</v>
      </c>
      <c r="B163" s="53" t="s">
        <v>990</v>
      </c>
      <c r="C163" s="66" t="s">
        <v>80</v>
      </c>
      <c r="D163" s="67">
        <v>4</v>
      </c>
      <c r="E163" s="53" t="s">
        <v>81</v>
      </c>
      <c r="F163" s="50">
        <v>1</v>
      </c>
      <c r="G163" s="50">
        <v>4</v>
      </c>
      <c r="H163" s="51" t="s">
        <v>991</v>
      </c>
      <c r="I163" s="50" t="s">
        <v>992</v>
      </c>
      <c r="J163" s="54" t="s">
        <v>73</v>
      </c>
      <c r="K163" s="58" t="s">
        <v>344</v>
      </c>
      <c r="L163" s="58" t="s">
        <v>993</v>
      </c>
      <c r="M163" s="58" t="s">
        <v>994</v>
      </c>
      <c r="N163" s="58" t="s">
        <v>995</v>
      </c>
      <c r="O163" s="54"/>
      <c r="P163" s="56" t="s">
        <v>185</v>
      </c>
      <c r="Q163" s="58" t="s">
        <v>516</v>
      </c>
      <c r="R163" s="50"/>
      <c r="S163" s="50"/>
      <c r="T163" s="50"/>
      <c r="U163" s="56"/>
      <c r="V163" s="57">
        <v>1.95</v>
      </c>
      <c r="W163" s="68"/>
      <c r="X163" s="50"/>
      <c r="Y163" s="50"/>
      <c r="Z163" s="50"/>
      <c r="AA163" s="56"/>
      <c r="AB163" s="57"/>
      <c r="AC163" s="54">
        <v>2</v>
      </c>
      <c r="AD163" s="69">
        <f>SUM(AE163:AK163)</f>
        <v>1</v>
      </c>
      <c r="AE163" s="66"/>
      <c r="AF163" s="66"/>
      <c r="AG163" s="66">
        <v>1</v>
      </c>
      <c r="AH163" s="66"/>
      <c r="AI163" s="66"/>
      <c r="AJ163" s="66"/>
      <c r="AK163" s="66"/>
      <c r="AL163" s="54">
        <f>IF((AC163-SUM(AE163:AK163))&lt;0,0,AC163-SUM(AE163:AK163))</f>
        <v>1</v>
      </c>
      <c r="AM163" s="69">
        <f>SUM(AN163:AT163)</f>
        <v>1</v>
      </c>
      <c r="AN163" s="60"/>
      <c r="AO163" s="52"/>
      <c r="AP163" s="52">
        <v>1</v>
      </c>
      <c r="AQ163" s="52"/>
      <c r="AR163" s="52"/>
      <c r="AS163" s="52"/>
      <c r="AT163" s="61"/>
      <c r="AU163" s="66">
        <f>MAX(0,$AM163-$AC163-$AW163)</f>
        <v>0</v>
      </c>
      <c r="AV163" s="66"/>
      <c r="AW163" s="66"/>
      <c r="AX163" s="65">
        <v>0</v>
      </c>
      <c r="AY163" s="65">
        <f>IF(AND($AU163&gt;0,ISNUMBER($AX163)),$AU163*$AX163,0)</f>
        <v>0</v>
      </c>
      <c r="AZ163" s="46"/>
      <c r="BA163" s="52"/>
      <c r="BB163" s="52"/>
      <c r="BC163" s="52"/>
      <c r="BD163" s="52"/>
      <c r="BE163" s="52"/>
      <c r="BF163" s="52"/>
    </row>
    <row r="164" spans="1:58" ht="15" customHeight="1">
      <c r="A164" s="46" t="s">
        <v>996</v>
      </c>
      <c r="B164" s="53" t="s">
        <v>997</v>
      </c>
      <c r="C164" s="66" t="s">
        <v>232</v>
      </c>
      <c r="D164" s="67">
        <v>2</v>
      </c>
      <c r="E164" s="53" t="s">
        <v>233</v>
      </c>
      <c r="F164" s="50"/>
      <c r="G164" s="50"/>
      <c r="H164" s="51"/>
      <c r="I164" s="50" t="s">
        <v>998</v>
      </c>
      <c r="J164" s="54" t="s">
        <v>73</v>
      </c>
      <c r="K164" s="58" t="s">
        <v>344</v>
      </c>
      <c r="L164" s="58" t="s">
        <v>999</v>
      </c>
      <c r="M164" s="58" t="s">
        <v>1000</v>
      </c>
      <c r="N164" s="58"/>
      <c r="O164" s="54"/>
      <c r="P164" s="56" t="s">
        <v>185</v>
      </c>
      <c r="Q164" s="58" t="s">
        <v>1001</v>
      </c>
      <c r="R164" s="50"/>
      <c r="S164" s="50"/>
      <c r="T164" s="50"/>
      <c r="U164" s="56"/>
      <c r="V164" s="57">
        <v>0.39</v>
      </c>
      <c r="W164" s="68"/>
      <c r="X164" s="50"/>
      <c r="Y164" s="50"/>
      <c r="Z164" s="50"/>
      <c r="AA164" s="56"/>
      <c r="AB164" s="57"/>
      <c r="AC164" s="54">
        <v>2</v>
      </c>
      <c r="AD164" s="69">
        <f>SUM(AE164:AK164)</f>
        <v>1</v>
      </c>
      <c r="AE164" s="66"/>
      <c r="AF164" s="66"/>
      <c r="AG164" s="66">
        <v>1</v>
      </c>
      <c r="AH164" s="66"/>
      <c r="AI164" s="66"/>
      <c r="AJ164" s="66"/>
      <c r="AK164" s="66"/>
      <c r="AL164" s="54">
        <f>IF((AC164-SUM(AE164:AK164))&lt;0,0,AC164-SUM(AE164:AK164))</f>
        <v>1</v>
      </c>
      <c r="AM164" s="69">
        <f>SUM(AN164:AT164)</f>
        <v>1</v>
      </c>
      <c r="AN164" s="60"/>
      <c r="AO164" s="52"/>
      <c r="AP164" s="52">
        <v>1</v>
      </c>
      <c r="AQ164" s="52"/>
      <c r="AR164" s="52"/>
      <c r="AS164" s="52"/>
      <c r="AT164" s="61"/>
      <c r="AU164" s="66">
        <f>MAX(0,$AM164-$AC164-$AW164)</f>
        <v>0</v>
      </c>
      <c r="AV164" s="66"/>
      <c r="AW164" s="66"/>
      <c r="AX164" s="65">
        <v>0</v>
      </c>
      <c r="AY164" s="65">
        <f>IF(AND($AU164&gt;0,ISNUMBER($AX164)),$AU164*$AX164,0)</f>
        <v>0</v>
      </c>
      <c r="AZ164" s="46"/>
      <c r="BA164" s="52"/>
      <c r="BB164" s="52"/>
      <c r="BC164" s="52"/>
      <c r="BD164" s="52"/>
      <c r="BE164" s="52"/>
      <c r="BF164" s="52"/>
    </row>
    <row r="165" spans="1:58" ht="15" customHeight="1">
      <c r="A165" s="46" t="s">
        <v>1002</v>
      </c>
      <c r="B165" s="53" t="s">
        <v>1003</v>
      </c>
      <c r="C165" s="66" t="s">
        <v>232</v>
      </c>
      <c r="D165" s="67">
        <v>2</v>
      </c>
      <c r="E165" s="53" t="s">
        <v>233</v>
      </c>
      <c r="F165" s="50"/>
      <c r="G165" s="50"/>
      <c r="H165" s="51"/>
      <c r="I165" s="50" t="s">
        <v>1004</v>
      </c>
      <c r="J165" s="54" t="s">
        <v>73</v>
      </c>
      <c r="K165" s="58" t="s">
        <v>235</v>
      </c>
      <c r="L165" s="58" t="s">
        <v>1005</v>
      </c>
      <c r="M165" s="58"/>
      <c r="N165" s="58"/>
      <c r="O165" s="54"/>
      <c r="P165" s="56" t="s">
        <v>185</v>
      </c>
      <c r="Q165" s="58" t="s">
        <v>1006</v>
      </c>
      <c r="R165" s="50"/>
      <c r="S165" s="50"/>
      <c r="T165" s="50"/>
      <c r="U165" s="50"/>
      <c r="V165" s="57">
        <v>0.36</v>
      </c>
      <c r="W165" s="68"/>
      <c r="X165" s="50"/>
      <c r="Y165" s="50"/>
      <c r="Z165" s="50"/>
      <c r="AA165" s="50"/>
      <c r="AB165" s="57"/>
      <c r="AC165" s="54">
        <v>2</v>
      </c>
      <c r="AD165" s="69">
        <f>SUM(AE165:AK165)</f>
        <v>1</v>
      </c>
      <c r="AE165" s="66"/>
      <c r="AF165" s="66"/>
      <c r="AG165" s="66">
        <v>1</v>
      </c>
      <c r="AH165" s="66"/>
      <c r="AI165" s="66"/>
      <c r="AJ165" s="66"/>
      <c r="AK165" s="66"/>
      <c r="AL165" s="54">
        <f>IF((AC165-SUM(AE165:AK165))&lt;0,0,AC165-SUM(AE165:AK165))</f>
        <v>1</v>
      </c>
      <c r="AM165" s="69">
        <f>SUM(AN165:AT165)</f>
        <v>1</v>
      </c>
      <c r="AN165" s="60"/>
      <c r="AO165" s="52"/>
      <c r="AP165" s="52">
        <v>1</v>
      </c>
      <c r="AQ165" s="52"/>
      <c r="AR165" s="52"/>
      <c r="AS165" s="52"/>
      <c r="AT165" s="61"/>
      <c r="AU165" s="66">
        <f>MAX(0,$AM165-$AC165-$AW165)</f>
        <v>0</v>
      </c>
      <c r="AV165" s="66"/>
      <c r="AW165" s="66"/>
      <c r="AX165" s="65">
        <v>0</v>
      </c>
      <c r="AY165" s="65">
        <f>IF(AND($AU165&gt;0,ISNUMBER($AX165)),$AU165*$AX165,0)</f>
        <v>0</v>
      </c>
      <c r="AZ165" s="46"/>
      <c r="BA165" s="52"/>
      <c r="BB165" s="52"/>
      <c r="BC165" s="52"/>
      <c r="BD165" s="52"/>
      <c r="BE165" s="52"/>
      <c r="BF165" s="52"/>
    </row>
    <row r="166" spans="1:58" ht="15" customHeight="1">
      <c r="A166" s="46" t="s">
        <v>1007</v>
      </c>
      <c r="B166" s="53" t="s">
        <v>1008</v>
      </c>
      <c r="C166" s="66" t="s">
        <v>109</v>
      </c>
      <c r="D166" s="67">
        <v>2</v>
      </c>
      <c r="E166" s="53" t="s">
        <v>189</v>
      </c>
      <c r="F166" s="50"/>
      <c r="G166" s="50"/>
      <c r="H166" s="51"/>
      <c r="I166" s="50" t="s">
        <v>1009</v>
      </c>
      <c r="J166" s="54" t="s">
        <v>73</v>
      </c>
      <c r="K166" s="58" t="s">
        <v>135</v>
      </c>
      <c r="L166" s="58" t="s">
        <v>1010</v>
      </c>
      <c r="M166" s="58"/>
      <c r="N166" s="58"/>
      <c r="O166" s="54"/>
      <c r="P166" s="56" t="s">
        <v>185</v>
      </c>
      <c r="Q166" s="58" t="s">
        <v>462</v>
      </c>
      <c r="R166" s="50"/>
      <c r="S166" s="50"/>
      <c r="T166" s="50"/>
      <c r="U166" s="50"/>
      <c r="V166" s="57">
        <v>0.33</v>
      </c>
      <c r="W166" s="68"/>
      <c r="X166" s="50"/>
      <c r="Y166" s="50"/>
      <c r="Z166" s="50"/>
      <c r="AA166" s="50"/>
      <c r="AB166" s="57"/>
      <c r="AC166" s="54">
        <v>2</v>
      </c>
      <c r="AD166" s="69">
        <f>SUM(AE166:AK166)</f>
        <v>2</v>
      </c>
      <c r="AE166" s="66"/>
      <c r="AF166" s="66"/>
      <c r="AG166" s="66">
        <v>1</v>
      </c>
      <c r="AH166" s="66">
        <v>1</v>
      </c>
      <c r="AI166" s="66"/>
      <c r="AJ166" s="66"/>
      <c r="AK166" s="66"/>
      <c r="AL166" s="54">
        <f>IF((AC166-SUM(AE166:AK166))&lt;0,0,AC166-SUM(AE166:AK166))</f>
        <v>0</v>
      </c>
      <c r="AM166" s="69">
        <f>SUM(AN166:AT166)</f>
        <v>2</v>
      </c>
      <c r="AN166" s="60"/>
      <c r="AO166" s="52"/>
      <c r="AP166" s="52">
        <v>1</v>
      </c>
      <c r="AQ166" s="52">
        <v>1</v>
      </c>
      <c r="AR166" s="52"/>
      <c r="AS166" s="52"/>
      <c r="AT166" s="61"/>
      <c r="AU166" s="66">
        <f>MAX(0,$AM166-$AC166-$AW166)</f>
        <v>0</v>
      </c>
      <c r="AV166" s="66"/>
      <c r="AW166" s="66"/>
      <c r="AX166" s="65">
        <v>0</v>
      </c>
      <c r="AY166" s="65">
        <f>IF(AND($AU166&gt;0,ISNUMBER($AX166)),$AU166*$AX166,0)</f>
        <v>0</v>
      </c>
      <c r="AZ166" s="46"/>
      <c r="BA166" s="52"/>
      <c r="BB166" s="52"/>
      <c r="BC166" s="52"/>
      <c r="BD166" s="52"/>
      <c r="BE166" s="52"/>
      <c r="BF166" s="52"/>
    </row>
    <row r="167" spans="1:58" ht="15" customHeight="1">
      <c r="A167" s="46" t="s">
        <v>1011</v>
      </c>
      <c r="B167" s="53" t="s">
        <v>1012</v>
      </c>
      <c r="C167" s="66" t="s">
        <v>311</v>
      </c>
      <c r="D167" s="67">
        <v>0</v>
      </c>
      <c r="E167" s="53" t="s">
        <v>312</v>
      </c>
      <c r="F167" s="50"/>
      <c r="G167" s="50"/>
      <c r="H167" s="51"/>
      <c r="I167" s="50" t="s">
        <v>1013</v>
      </c>
      <c r="J167" s="54" t="s">
        <v>73</v>
      </c>
      <c r="K167" s="58" t="s">
        <v>312</v>
      </c>
      <c r="L167" s="58" t="s">
        <v>1014</v>
      </c>
      <c r="M167" s="58" t="s">
        <v>1015</v>
      </c>
      <c r="N167" s="58"/>
      <c r="O167" s="54"/>
      <c r="P167" s="56" t="s">
        <v>86</v>
      </c>
      <c r="Q167" s="58" t="s">
        <v>1016</v>
      </c>
      <c r="R167" s="50"/>
      <c r="S167" s="50"/>
      <c r="T167" s="50"/>
      <c r="U167" s="50"/>
      <c r="V167" s="57">
        <v>0.32</v>
      </c>
      <c r="W167" s="68"/>
      <c r="X167" s="50"/>
      <c r="Y167" s="50"/>
      <c r="Z167" s="50"/>
      <c r="AA167" s="50"/>
      <c r="AB167" s="57"/>
      <c r="AC167" s="54">
        <v>2</v>
      </c>
      <c r="AD167" s="69">
        <f>SUM(AE167:AK167)</f>
        <v>2</v>
      </c>
      <c r="AE167" s="66"/>
      <c r="AF167" s="66"/>
      <c r="AG167" s="66">
        <v>1</v>
      </c>
      <c r="AH167" s="66">
        <v>1</v>
      </c>
      <c r="AI167" s="66"/>
      <c r="AJ167" s="66"/>
      <c r="AK167" s="66"/>
      <c r="AL167" s="54">
        <f>IF((AC167-SUM(AE167:AK167))&lt;0,0,AC167-SUM(AE167:AK167))</f>
        <v>0</v>
      </c>
      <c r="AM167" s="69">
        <f>SUM(AN167:AT167)</f>
        <v>2</v>
      </c>
      <c r="AN167" s="60"/>
      <c r="AO167" s="52"/>
      <c r="AP167" s="52">
        <v>1</v>
      </c>
      <c r="AQ167" s="52">
        <v>1</v>
      </c>
      <c r="AR167" s="52"/>
      <c r="AS167" s="52"/>
      <c r="AT167" s="61"/>
      <c r="AU167" s="66">
        <f>MAX(0,$AM167-$AC167-$AW167)</f>
        <v>0</v>
      </c>
      <c r="AV167" s="66"/>
      <c r="AW167" s="66"/>
      <c r="AX167" s="65">
        <v>0</v>
      </c>
      <c r="AY167" s="65">
        <f>IF(AND($AU167&gt;0,ISNUMBER($AX167)),$AU167*$AX167,0)</f>
        <v>0</v>
      </c>
      <c r="AZ167" s="46"/>
      <c r="BA167" s="52"/>
      <c r="BB167" s="52"/>
      <c r="BC167" s="52"/>
      <c r="BD167" s="52"/>
      <c r="BE167" s="52"/>
      <c r="BF167" s="52"/>
    </row>
    <row r="168" spans="1:58" ht="15" customHeight="1">
      <c r="A168" s="46" t="s">
        <v>1017</v>
      </c>
      <c r="B168" s="53" t="s">
        <v>1018</v>
      </c>
      <c r="C168" s="66" t="s">
        <v>101</v>
      </c>
      <c r="D168" s="67">
        <v>3</v>
      </c>
      <c r="E168" s="53" t="s">
        <v>81</v>
      </c>
      <c r="F168" s="50">
        <v>0</v>
      </c>
      <c r="G168" s="50">
        <v>0</v>
      </c>
      <c r="H168" s="51" t="s">
        <v>1019</v>
      </c>
      <c r="I168" s="50" t="s">
        <v>1020</v>
      </c>
      <c r="J168" s="54" t="s">
        <v>73</v>
      </c>
      <c r="K168" s="58" t="s">
        <v>104</v>
      </c>
      <c r="L168" s="58" t="s">
        <v>1021</v>
      </c>
      <c r="M168" s="58" t="s">
        <v>1022</v>
      </c>
      <c r="N168" s="58"/>
      <c r="O168" s="54"/>
      <c r="P168" s="56" t="s">
        <v>76</v>
      </c>
      <c r="Q168" s="58" t="s">
        <v>873</v>
      </c>
      <c r="R168" s="54"/>
      <c r="S168" s="54"/>
      <c r="T168" s="54"/>
      <c r="U168" s="54"/>
      <c r="V168" s="57">
        <v>0.32</v>
      </c>
      <c r="W168" s="68"/>
      <c r="X168" s="54"/>
      <c r="Y168" s="54"/>
      <c r="Z168" s="54"/>
      <c r="AA168" s="54"/>
      <c r="AB168" s="57"/>
      <c r="AC168" s="54">
        <v>2</v>
      </c>
      <c r="AD168" s="69">
        <f>SUM(AE168:AK168)</f>
        <v>2</v>
      </c>
      <c r="AE168" s="66"/>
      <c r="AF168" s="66">
        <v>1</v>
      </c>
      <c r="AG168" s="66">
        <v>1</v>
      </c>
      <c r="AH168" s="66"/>
      <c r="AI168" s="66"/>
      <c r="AJ168" s="66"/>
      <c r="AK168" s="66"/>
      <c r="AL168" s="54">
        <f>IF((AC168-SUM(AE168:AK168))&lt;0,0,AC168-SUM(AE168:AK168))</f>
        <v>0</v>
      </c>
      <c r="AM168" s="69">
        <f>SUM(AN168:AT168)</f>
        <v>2</v>
      </c>
      <c r="AN168" s="60"/>
      <c r="AO168" s="52">
        <v>1</v>
      </c>
      <c r="AP168" s="52">
        <v>1</v>
      </c>
      <c r="AQ168" s="52"/>
      <c r="AR168" s="52"/>
      <c r="AS168" s="52"/>
      <c r="AT168" s="61"/>
      <c r="AU168" s="66">
        <f>MAX(0,$AM168-$AC168-$AW168)</f>
        <v>0</v>
      </c>
      <c r="AV168" s="66"/>
      <c r="AW168" s="66"/>
      <c r="AX168" s="65">
        <v>0</v>
      </c>
      <c r="AY168" s="65">
        <f>IF(AND($AU168&gt;0,ISNUMBER($AX168)),$AU168*$AX168,0)</f>
        <v>0</v>
      </c>
      <c r="AZ168" s="46"/>
      <c r="BA168" s="52"/>
      <c r="BB168" s="52"/>
      <c r="BC168" s="52"/>
      <c r="BD168" s="52"/>
      <c r="BE168" s="52"/>
      <c r="BF168" s="52"/>
    </row>
    <row r="169" spans="1:58" ht="15" customHeight="1">
      <c r="A169" s="46" t="s">
        <v>1023</v>
      </c>
      <c r="B169" s="53" t="s">
        <v>1024</v>
      </c>
      <c r="C169" s="66" t="s">
        <v>80</v>
      </c>
      <c r="D169" s="67">
        <v>3</v>
      </c>
      <c r="E169" s="53" t="s">
        <v>189</v>
      </c>
      <c r="F169" s="50"/>
      <c r="G169" s="50"/>
      <c r="H169" s="51"/>
      <c r="I169" s="50" t="s">
        <v>589</v>
      </c>
      <c r="J169" s="54" t="s">
        <v>73</v>
      </c>
      <c r="K169" s="58" t="s">
        <v>344</v>
      </c>
      <c r="L169" s="58" t="s">
        <v>1025</v>
      </c>
      <c r="M169" s="58"/>
      <c r="N169" s="58"/>
      <c r="O169" s="54"/>
      <c r="P169" s="56" t="s">
        <v>76</v>
      </c>
      <c r="Q169" s="58" t="s">
        <v>616</v>
      </c>
      <c r="R169" s="50"/>
      <c r="S169" s="50"/>
      <c r="T169" s="50"/>
      <c r="U169" s="56"/>
      <c r="V169" s="57">
        <v>0.3</v>
      </c>
      <c r="W169" s="68"/>
      <c r="X169" s="50"/>
      <c r="Y169" s="50"/>
      <c r="Z169" s="50"/>
      <c r="AA169" s="56"/>
      <c r="AB169" s="57"/>
      <c r="AC169" s="54">
        <v>2</v>
      </c>
      <c r="AD169" s="69">
        <f>SUM(AE169:AK169)</f>
        <v>1</v>
      </c>
      <c r="AE169" s="66"/>
      <c r="AF169" s="66"/>
      <c r="AG169" s="66">
        <v>1</v>
      </c>
      <c r="AH169" s="66"/>
      <c r="AI169" s="66"/>
      <c r="AJ169" s="66"/>
      <c r="AK169" s="66"/>
      <c r="AL169" s="54">
        <f>IF((AC169-SUM(AE169:AK169))&lt;0,0,AC169-SUM(AE169:AK169))</f>
        <v>1</v>
      </c>
      <c r="AM169" s="69">
        <f>SUM(AN169:AT169)</f>
        <v>1</v>
      </c>
      <c r="AN169" s="60"/>
      <c r="AO169" s="52"/>
      <c r="AP169" s="52">
        <v>1</v>
      </c>
      <c r="AQ169" s="52"/>
      <c r="AR169" s="52"/>
      <c r="AS169" s="52"/>
      <c r="AT169" s="61"/>
      <c r="AU169" s="66">
        <f>MAX(0,$AM169-$AC169-$AW169)</f>
        <v>0</v>
      </c>
      <c r="AV169" s="66"/>
      <c r="AW169" s="66"/>
      <c r="AX169" s="65">
        <v>0</v>
      </c>
      <c r="AY169" s="65">
        <f>IF(AND($AU169&gt;0,ISNUMBER($AX169)),$AU169*$AX169,0)</f>
        <v>0</v>
      </c>
      <c r="AZ169" s="46"/>
      <c r="BA169" s="52"/>
      <c r="BB169" s="52"/>
      <c r="BC169" s="52"/>
      <c r="BD169" s="52"/>
      <c r="BE169" s="52"/>
      <c r="BF169" s="52"/>
    </row>
    <row r="170" spans="1:58" ht="15" customHeight="1">
      <c r="A170" s="46" t="s">
        <v>1026</v>
      </c>
      <c r="B170" s="53" t="s">
        <v>1027</v>
      </c>
      <c r="C170" s="66" t="s">
        <v>311</v>
      </c>
      <c r="D170" s="67">
        <v>0</v>
      </c>
      <c r="E170" s="53" t="s">
        <v>312</v>
      </c>
      <c r="F170" s="50"/>
      <c r="G170" s="50"/>
      <c r="H170" s="51"/>
      <c r="I170" s="50" t="s">
        <v>1028</v>
      </c>
      <c r="J170" s="54" t="s">
        <v>73</v>
      </c>
      <c r="K170" s="58" t="s">
        <v>312</v>
      </c>
      <c r="L170" s="58" t="s">
        <v>1029</v>
      </c>
      <c r="M170" s="58"/>
      <c r="N170" s="58"/>
      <c r="O170" s="54"/>
      <c r="P170" s="56" t="s">
        <v>76</v>
      </c>
      <c r="Q170" s="58" t="s">
        <v>1030</v>
      </c>
      <c r="R170" s="54"/>
      <c r="S170" s="54"/>
      <c r="T170" s="54"/>
      <c r="U170" s="56"/>
      <c r="V170" s="57">
        <v>0.19</v>
      </c>
      <c r="W170" s="68"/>
      <c r="X170" s="54"/>
      <c r="Y170" s="54"/>
      <c r="Z170" s="54"/>
      <c r="AA170" s="56"/>
      <c r="AB170" s="57"/>
      <c r="AC170" s="54">
        <v>2</v>
      </c>
      <c r="AD170" s="69">
        <f>SUM(AE170:AK170)</f>
        <v>2</v>
      </c>
      <c r="AE170" s="66"/>
      <c r="AF170" s="66">
        <v>1</v>
      </c>
      <c r="AG170" s="66">
        <v>1</v>
      </c>
      <c r="AH170" s="66"/>
      <c r="AI170" s="66"/>
      <c r="AJ170" s="66"/>
      <c r="AK170" s="66"/>
      <c r="AL170" s="54">
        <f>IF((AC170-SUM(AE170:AK170))&lt;0,0,AC170-SUM(AE170:AK170))</f>
        <v>0</v>
      </c>
      <c r="AM170" s="69">
        <f>SUM(AN170:AT170)</f>
        <v>2</v>
      </c>
      <c r="AN170" s="60"/>
      <c r="AO170" s="52">
        <v>1</v>
      </c>
      <c r="AP170" s="52">
        <v>1</v>
      </c>
      <c r="AQ170" s="52"/>
      <c r="AR170" s="52"/>
      <c r="AS170" s="52"/>
      <c r="AT170" s="61"/>
      <c r="AU170" s="66">
        <f>MAX(0,$AM170-$AC170-$AW170)</f>
        <v>0</v>
      </c>
      <c r="AV170" s="66"/>
      <c r="AW170" s="66"/>
      <c r="AX170" s="65">
        <v>0</v>
      </c>
      <c r="AY170" s="65">
        <f>IF(AND($AU170&gt;0,ISNUMBER($AX170)),$AU170*$AX170,0)</f>
        <v>0</v>
      </c>
      <c r="AZ170" s="46"/>
      <c r="BA170" s="52"/>
      <c r="BB170" s="52"/>
      <c r="BC170" s="52"/>
      <c r="BD170" s="52"/>
      <c r="BE170" s="52"/>
      <c r="BF170" s="52"/>
    </row>
    <row r="171" spans="1:58" ht="15" customHeight="1">
      <c r="A171" s="46" t="s">
        <v>1031</v>
      </c>
      <c r="B171" s="53" t="s">
        <v>1032</v>
      </c>
      <c r="C171" s="66" t="s">
        <v>311</v>
      </c>
      <c r="D171" s="67">
        <v>0</v>
      </c>
      <c r="E171" s="53" t="s">
        <v>312</v>
      </c>
      <c r="F171" s="50"/>
      <c r="G171" s="50"/>
      <c r="H171" s="51"/>
      <c r="I171" s="50" t="s">
        <v>1033</v>
      </c>
      <c r="J171" s="54" t="s">
        <v>73</v>
      </c>
      <c r="K171" s="58" t="s">
        <v>312</v>
      </c>
      <c r="L171" s="58" t="s">
        <v>1034</v>
      </c>
      <c r="M171" s="58"/>
      <c r="N171" s="58"/>
      <c r="O171" s="54"/>
      <c r="P171" s="56" t="s">
        <v>86</v>
      </c>
      <c r="Q171" s="58" t="s">
        <v>1035</v>
      </c>
      <c r="R171" s="54"/>
      <c r="S171" s="54"/>
      <c r="T171" s="54"/>
      <c r="U171" s="54"/>
      <c r="V171" s="57">
        <v>0.19</v>
      </c>
      <c r="W171" s="68"/>
      <c r="X171" s="54"/>
      <c r="Y171" s="54"/>
      <c r="Z171" s="54"/>
      <c r="AA171" s="54"/>
      <c r="AB171" s="57"/>
      <c r="AC171" s="54">
        <v>2</v>
      </c>
      <c r="AD171" s="69">
        <f>SUM(AE171:AK171)</f>
        <v>2</v>
      </c>
      <c r="AE171" s="66"/>
      <c r="AF171" s="66"/>
      <c r="AG171" s="66">
        <v>1</v>
      </c>
      <c r="AH171" s="66"/>
      <c r="AI171" s="66">
        <v>1</v>
      </c>
      <c r="AJ171" s="66"/>
      <c r="AK171" s="66"/>
      <c r="AL171" s="54">
        <f>IF((AC171-SUM(AE171:AK171))&lt;0,0,AC171-SUM(AE171:AK171))</f>
        <v>0</v>
      </c>
      <c r="AM171" s="69">
        <f>SUM(AN171:AT171)</f>
        <v>1</v>
      </c>
      <c r="AN171" s="60"/>
      <c r="AO171" s="52"/>
      <c r="AP171" s="52"/>
      <c r="AQ171" s="52"/>
      <c r="AR171" s="52">
        <v>1</v>
      </c>
      <c r="AS171" s="52"/>
      <c r="AT171" s="61"/>
      <c r="AU171" s="66">
        <f>MAX(0,$AM171-$AC171-$AW171)</f>
        <v>0</v>
      </c>
      <c r="AV171" s="66"/>
      <c r="AW171" s="66"/>
      <c r="AX171" s="65">
        <v>0</v>
      </c>
      <c r="AY171" s="65">
        <f>IF(AND($AU171&gt;0,ISNUMBER($AX171)),$AU171*$AX171,0)</f>
        <v>0</v>
      </c>
      <c r="AZ171" s="46"/>
      <c r="BA171" s="52"/>
      <c r="BB171" s="52" t="s">
        <v>442</v>
      </c>
      <c r="BC171" s="52"/>
      <c r="BD171" s="52"/>
      <c r="BE171" s="52"/>
      <c r="BF171" s="52"/>
    </row>
    <row r="172" spans="1:58" ht="15" customHeight="1">
      <c r="A172" s="46" t="s">
        <v>1036</v>
      </c>
      <c r="B172" s="53" t="s">
        <v>1037</v>
      </c>
      <c r="C172" s="66" t="s">
        <v>80</v>
      </c>
      <c r="D172" s="67">
        <v>2</v>
      </c>
      <c r="E172" s="53" t="s">
        <v>189</v>
      </c>
      <c r="F172" s="50"/>
      <c r="G172" s="50"/>
      <c r="H172" s="51"/>
      <c r="I172" s="50" t="s">
        <v>1038</v>
      </c>
      <c r="J172" s="54" t="s">
        <v>73</v>
      </c>
      <c r="K172" s="53" t="s">
        <v>92</v>
      </c>
      <c r="L172" s="53" t="s">
        <v>1039</v>
      </c>
      <c r="M172" s="53" t="s">
        <v>1040</v>
      </c>
      <c r="N172" s="53"/>
      <c r="O172" s="54"/>
      <c r="P172" s="56" t="s">
        <v>76</v>
      </c>
      <c r="Q172" s="53" t="s">
        <v>633</v>
      </c>
      <c r="R172" s="74" t="s">
        <v>1041</v>
      </c>
      <c r="S172" s="74">
        <v>1</v>
      </c>
      <c r="T172" s="74">
        <v>0</v>
      </c>
      <c r="U172" s="56"/>
      <c r="V172" s="57">
        <v>0.16</v>
      </c>
      <c r="W172" s="68"/>
      <c r="X172" s="50"/>
      <c r="Y172" s="50"/>
      <c r="Z172" s="50"/>
      <c r="AA172" s="56"/>
      <c r="AB172" s="57"/>
      <c r="AC172" s="54">
        <v>2</v>
      </c>
      <c r="AD172" s="69">
        <f>SUM(AE172:AK172)</f>
        <v>2</v>
      </c>
      <c r="AE172" s="66"/>
      <c r="AF172" s="66"/>
      <c r="AG172" s="66">
        <v>1</v>
      </c>
      <c r="AH172" s="66"/>
      <c r="AI172" s="66"/>
      <c r="AJ172" s="66"/>
      <c r="AK172" s="66">
        <v>1</v>
      </c>
      <c r="AL172" s="54">
        <f>IF((AC172-SUM(AE172:AK172))&lt;0,0,AC172-SUM(AE172:AK172))</f>
        <v>0</v>
      </c>
      <c r="AM172" s="69">
        <f>SUM(AN172:AT172)</f>
        <v>0</v>
      </c>
      <c r="AN172" s="60"/>
      <c r="AO172" s="52"/>
      <c r="AP172" s="52"/>
      <c r="AQ172" s="52"/>
      <c r="AR172" s="52"/>
      <c r="AS172" s="52"/>
      <c r="AT172" s="61"/>
      <c r="AU172" s="66">
        <f>MAX(0,$AM172-$AC172-$AW172)</f>
        <v>0</v>
      </c>
      <c r="AV172" s="66"/>
      <c r="AW172" s="66"/>
      <c r="AX172" s="65">
        <v>0</v>
      </c>
      <c r="AY172" s="65">
        <f>IF(AND($AU172&gt;0,ISNUMBER($AX172)),$AU172*$AX172,0)</f>
        <v>0</v>
      </c>
      <c r="AZ172" s="46"/>
      <c r="BA172" s="52"/>
      <c r="BB172" s="52" t="s">
        <v>433</v>
      </c>
      <c r="BC172" s="52"/>
      <c r="BD172" s="52"/>
      <c r="BE172" s="52"/>
      <c r="BF172" s="52" t="s">
        <v>107</v>
      </c>
    </row>
    <row r="173" spans="1:58" ht="15" customHeight="1">
      <c r="A173" s="46" t="s">
        <v>1042</v>
      </c>
      <c r="B173" s="53" t="s">
        <v>1043</v>
      </c>
      <c r="C173" s="66" t="s">
        <v>311</v>
      </c>
      <c r="D173" s="67">
        <v>0</v>
      </c>
      <c r="E173" s="53" t="s">
        <v>312</v>
      </c>
      <c r="F173" s="50"/>
      <c r="G173" s="50"/>
      <c r="H173" s="51" t="s">
        <v>1044</v>
      </c>
      <c r="I173" s="50" t="s">
        <v>1045</v>
      </c>
      <c r="J173" s="54" t="s">
        <v>73</v>
      </c>
      <c r="K173" s="58" t="s">
        <v>312</v>
      </c>
      <c r="L173" s="58" t="s">
        <v>1046</v>
      </c>
      <c r="M173" s="58"/>
      <c r="N173" s="58"/>
      <c r="O173" s="54"/>
      <c r="P173" s="56" t="s">
        <v>76</v>
      </c>
      <c r="Q173" s="58" t="s">
        <v>833</v>
      </c>
      <c r="R173" s="54"/>
      <c r="S173" s="54"/>
      <c r="T173" s="54"/>
      <c r="U173" s="56"/>
      <c r="V173" s="57">
        <v>0.12</v>
      </c>
      <c r="W173" s="68"/>
      <c r="X173" s="54"/>
      <c r="Y173" s="54"/>
      <c r="Z173" s="54"/>
      <c r="AA173" s="56"/>
      <c r="AB173" s="57"/>
      <c r="AC173" s="54">
        <v>2</v>
      </c>
      <c r="AD173" s="69">
        <f>SUM(AE173:AK173)</f>
        <v>2</v>
      </c>
      <c r="AE173" s="66"/>
      <c r="AF173" s="66"/>
      <c r="AG173" s="66">
        <v>1</v>
      </c>
      <c r="AH173" s="66">
        <v>1</v>
      </c>
      <c r="AI173" s="66"/>
      <c r="AJ173" s="66"/>
      <c r="AK173" s="66"/>
      <c r="AL173" s="54">
        <f>IF((AC173-SUM(AE173:AK173))&lt;0,0,AC173-SUM(AE173:AK173))</f>
        <v>0</v>
      </c>
      <c r="AM173" s="69">
        <f>SUM(AN173:AT173)</f>
        <v>2</v>
      </c>
      <c r="AN173" s="60"/>
      <c r="AO173" s="52"/>
      <c r="AP173" s="52">
        <v>1</v>
      </c>
      <c r="AQ173" s="52">
        <v>1</v>
      </c>
      <c r="AR173" s="52"/>
      <c r="AS173" s="52"/>
      <c r="AT173" s="61"/>
      <c r="AU173" s="66">
        <f>MAX(0,$AM173-$AC173-$AW173)</f>
        <v>0</v>
      </c>
      <c r="AV173" s="66"/>
      <c r="AW173" s="66"/>
      <c r="AX173" s="65">
        <v>0</v>
      </c>
      <c r="AY173" s="65">
        <f>IF(AND($AU173&gt;0,ISNUMBER($AX173)),$AU173*$AX173,0)</f>
        <v>0</v>
      </c>
      <c r="AZ173" s="46"/>
      <c r="BA173" s="52"/>
      <c r="BB173" s="52"/>
      <c r="BC173" s="52"/>
      <c r="BD173" s="52"/>
      <c r="BE173" s="52"/>
      <c r="BF173" s="52"/>
    </row>
    <row r="174" spans="1:58" ht="15" customHeight="1">
      <c r="A174" s="46" t="s">
        <v>1047</v>
      </c>
      <c r="B174" s="53" t="s">
        <v>1048</v>
      </c>
      <c r="C174" s="66" t="s">
        <v>311</v>
      </c>
      <c r="D174" s="67">
        <v>0</v>
      </c>
      <c r="E174" s="53" t="s">
        <v>312</v>
      </c>
      <c r="F174" s="50"/>
      <c r="G174" s="50"/>
      <c r="H174" s="51" t="s">
        <v>1044</v>
      </c>
      <c r="I174" s="50" t="s">
        <v>1049</v>
      </c>
      <c r="J174" s="54" t="s">
        <v>73</v>
      </c>
      <c r="K174" s="58" t="s">
        <v>312</v>
      </c>
      <c r="L174" s="58" t="s">
        <v>1050</v>
      </c>
      <c r="M174" s="58"/>
      <c r="N174" s="58"/>
      <c r="O174" s="54"/>
      <c r="P174" s="56" t="s">
        <v>76</v>
      </c>
      <c r="Q174" s="58" t="s">
        <v>482</v>
      </c>
      <c r="R174" s="54"/>
      <c r="S174" s="54"/>
      <c r="T174" s="54"/>
      <c r="U174" s="56"/>
      <c r="V174" s="57">
        <v>0.12</v>
      </c>
      <c r="W174" s="68"/>
      <c r="X174" s="54"/>
      <c r="Y174" s="54"/>
      <c r="Z174" s="54"/>
      <c r="AA174" s="56"/>
      <c r="AB174" s="57"/>
      <c r="AC174" s="54">
        <v>2</v>
      </c>
      <c r="AD174" s="69">
        <f>SUM(AE174:AK174)</f>
        <v>2</v>
      </c>
      <c r="AE174" s="66"/>
      <c r="AF174" s="66">
        <v>1</v>
      </c>
      <c r="AG174" s="66">
        <v>1</v>
      </c>
      <c r="AH174" s="66"/>
      <c r="AI174" s="66"/>
      <c r="AJ174" s="66"/>
      <c r="AK174" s="66"/>
      <c r="AL174" s="54">
        <f>IF((AC174-SUM(AE174:AK174))&lt;0,0,AC174-SUM(AE174:AK174))</f>
        <v>0</v>
      </c>
      <c r="AM174" s="69">
        <f>SUM(AN174:AT174)</f>
        <v>2</v>
      </c>
      <c r="AN174" s="60"/>
      <c r="AO174" s="52">
        <v>1</v>
      </c>
      <c r="AP174" s="52">
        <v>1</v>
      </c>
      <c r="AQ174" s="52"/>
      <c r="AR174" s="52"/>
      <c r="AS174" s="52"/>
      <c r="AT174" s="61"/>
      <c r="AU174" s="66">
        <f>MAX(0,$AM174-$AC174-$AW174)</f>
        <v>0</v>
      </c>
      <c r="AV174" s="66"/>
      <c r="AW174" s="66"/>
      <c r="AX174" s="65">
        <v>0</v>
      </c>
      <c r="AY174" s="65">
        <f>IF(AND($AU174&gt;0,ISNUMBER($AX174)),$AU174*$AX174,0)</f>
        <v>0</v>
      </c>
      <c r="AZ174" s="46"/>
      <c r="BA174" s="52"/>
      <c r="BB174" s="52"/>
      <c r="BC174" s="52"/>
      <c r="BD174" s="52"/>
      <c r="BE174" s="52"/>
      <c r="BF174" s="52"/>
    </row>
    <row r="175" spans="1:58" ht="15" customHeight="1">
      <c r="A175" s="46" t="s">
        <v>1051</v>
      </c>
      <c r="B175" s="53" t="s">
        <v>1052</v>
      </c>
      <c r="C175" s="66" t="s">
        <v>101</v>
      </c>
      <c r="D175" s="67">
        <v>4</v>
      </c>
      <c r="E175" s="53" t="s">
        <v>71</v>
      </c>
      <c r="F175" s="50"/>
      <c r="G175" s="50"/>
      <c r="H175" s="51"/>
      <c r="I175" s="50" t="s">
        <v>1053</v>
      </c>
      <c r="J175" s="54" t="s">
        <v>73</v>
      </c>
      <c r="K175" s="58" t="s">
        <v>135</v>
      </c>
      <c r="L175" s="58" t="s">
        <v>1054</v>
      </c>
      <c r="M175" s="58"/>
      <c r="N175" s="58"/>
      <c r="O175" s="54"/>
      <c r="P175" s="56" t="s">
        <v>185</v>
      </c>
      <c r="Q175" s="58" t="s">
        <v>633</v>
      </c>
      <c r="R175" s="74" t="s">
        <v>1055</v>
      </c>
      <c r="S175" s="74">
        <v>1</v>
      </c>
      <c r="T175" s="74">
        <v>0</v>
      </c>
      <c r="U175" s="56"/>
      <c r="V175" s="57">
        <v>0.12</v>
      </c>
      <c r="W175" s="68"/>
      <c r="X175" s="50"/>
      <c r="Y175" s="50"/>
      <c r="Z175" s="50"/>
      <c r="AA175" s="56"/>
      <c r="AB175" s="57"/>
      <c r="AC175" s="54">
        <v>2</v>
      </c>
      <c r="AD175" s="69">
        <f>SUM(AE175:AK175)</f>
        <v>1</v>
      </c>
      <c r="AE175" s="66"/>
      <c r="AF175" s="66"/>
      <c r="AG175" s="66">
        <v>1</v>
      </c>
      <c r="AH175" s="66"/>
      <c r="AI175" s="66"/>
      <c r="AJ175" s="66"/>
      <c r="AK175" s="66"/>
      <c r="AL175" s="54">
        <f>IF((AC175-SUM(AE175:AK175))&lt;0,0,AC175-SUM(AE175:AK175))</f>
        <v>1</v>
      </c>
      <c r="AM175" s="69">
        <f>SUM(AN175:AT175)</f>
        <v>1</v>
      </c>
      <c r="AN175" s="60"/>
      <c r="AO175" s="52"/>
      <c r="AP175" s="52">
        <v>1</v>
      </c>
      <c r="AQ175" s="52"/>
      <c r="AR175" s="52"/>
      <c r="AS175" s="52"/>
      <c r="AT175" s="61"/>
      <c r="AU175" s="66">
        <f>MAX(0,$AM175-$AC175-$AW175)</f>
        <v>0</v>
      </c>
      <c r="AV175" s="66"/>
      <c r="AW175" s="66"/>
      <c r="AX175" s="65">
        <v>0</v>
      </c>
      <c r="AY175" s="65">
        <f>IF(AND($AU175&gt;0,ISNUMBER($AX175)),$AU175*$AX175,0)</f>
        <v>0</v>
      </c>
      <c r="AZ175" s="46"/>
      <c r="BA175" s="52"/>
      <c r="BB175" s="52"/>
      <c r="BC175" s="52"/>
      <c r="BD175" s="52"/>
      <c r="BE175" s="52"/>
      <c r="BF175" s="52"/>
    </row>
    <row r="176" spans="1:58" ht="15" customHeight="1">
      <c r="A176" s="46" t="s">
        <v>1056</v>
      </c>
      <c r="B176" s="53" t="s">
        <v>1057</v>
      </c>
      <c r="C176" s="66" t="s">
        <v>118</v>
      </c>
      <c r="D176" s="67">
        <v>3</v>
      </c>
      <c r="E176" s="53" t="s">
        <v>110</v>
      </c>
      <c r="F176" s="50">
        <v>3</v>
      </c>
      <c r="G176" s="50">
        <v>3</v>
      </c>
      <c r="H176" s="51" t="s">
        <v>1058</v>
      </c>
      <c r="I176" s="50" t="s">
        <v>1059</v>
      </c>
      <c r="J176" s="54" t="s">
        <v>73</v>
      </c>
      <c r="K176" s="58" t="s">
        <v>152</v>
      </c>
      <c r="L176" s="58" t="s">
        <v>1060</v>
      </c>
      <c r="M176" s="58" t="s">
        <v>1061</v>
      </c>
      <c r="N176" s="58" t="s">
        <v>1062</v>
      </c>
      <c r="O176" s="56">
        <v>1342</v>
      </c>
      <c r="P176" s="56" t="s">
        <v>86</v>
      </c>
      <c r="Q176" s="58" t="s">
        <v>1063</v>
      </c>
      <c r="R176" s="50"/>
      <c r="S176" s="50"/>
      <c r="T176" s="50"/>
      <c r="U176" s="56"/>
      <c r="V176" s="57"/>
      <c r="W176" s="56"/>
      <c r="X176" s="50"/>
      <c r="Y176" s="50"/>
      <c r="Z176" s="50"/>
      <c r="AA176" s="56"/>
      <c r="AB176" s="57"/>
      <c r="AC176" s="54">
        <v>2</v>
      </c>
      <c r="AD176" s="69">
        <f>SUM(AE176:AK176)</f>
        <v>2</v>
      </c>
      <c r="AE176" s="66"/>
      <c r="AF176" s="66"/>
      <c r="AG176" s="66">
        <v>1</v>
      </c>
      <c r="AH176" s="66">
        <v>1</v>
      </c>
      <c r="AI176" s="66"/>
      <c r="AJ176" s="66"/>
      <c r="AK176" s="66"/>
      <c r="AL176" s="54">
        <f>IF((AC176-SUM(AE176:AK176))&lt;0,0,AC176-SUM(AE176:AK176))</f>
        <v>0</v>
      </c>
      <c r="AM176" s="69">
        <f>SUM(AN176:AT176)</f>
        <v>2</v>
      </c>
      <c r="AN176" s="60"/>
      <c r="AO176" s="52"/>
      <c r="AP176" s="52">
        <v>1</v>
      </c>
      <c r="AQ176" s="52">
        <v>1</v>
      </c>
      <c r="AR176" s="52"/>
      <c r="AS176" s="52"/>
      <c r="AT176" s="61"/>
      <c r="AU176" s="66">
        <f>MAX(0,$AM176-$AC176-$AW176)</f>
        <v>0</v>
      </c>
      <c r="AV176" s="66"/>
      <c r="AW176" s="66"/>
      <c r="AX176" s="65">
        <v>0</v>
      </c>
      <c r="AY176" s="65">
        <f>IF(AND($AU176&gt;0,ISNUMBER($AX176)),$AU176*$AX176,0)</f>
        <v>0</v>
      </c>
      <c r="AZ176" s="46"/>
      <c r="BA176" s="52"/>
      <c r="BB176" s="52"/>
      <c r="BC176" s="52"/>
      <c r="BD176" s="52"/>
      <c r="BE176" s="52"/>
      <c r="BF176" s="52"/>
    </row>
    <row r="177" spans="1:58" ht="15" customHeight="1">
      <c r="A177" s="46" t="s">
        <v>1064</v>
      </c>
      <c r="B177" s="53" t="s">
        <v>1065</v>
      </c>
      <c r="C177" s="66" t="s">
        <v>311</v>
      </c>
      <c r="D177" s="67">
        <v>0</v>
      </c>
      <c r="E177" s="53" t="s">
        <v>312</v>
      </c>
      <c r="F177" s="50"/>
      <c r="G177" s="50"/>
      <c r="H177" s="51" t="s">
        <v>1044</v>
      </c>
      <c r="I177" s="50" t="s">
        <v>1066</v>
      </c>
      <c r="J177" s="54" t="s">
        <v>73</v>
      </c>
      <c r="K177" s="58" t="s">
        <v>312</v>
      </c>
      <c r="L177" s="58" t="s">
        <v>1067</v>
      </c>
      <c r="M177" s="58"/>
      <c r="N177" s="58"/>
      <c r="O177" s="54"/>
      <c r="P177" s="56" t="s">
        <v>76</v>
      </c>
      <c r="Q177" s="58" t="s">
        <v>833</v>
      </c>
      <c r="R177" s="54"/>
      <c r="S177" s="54"/>
      <c r="T177" s="54"/>
      <c r="U177" s="56"/>
      <c r="V177" s="57"/>
      <c r="W177" s="56"/>
      <c r="X177" s="54"/>
      <c r="Y177" s="54"/>
      <c r="Z177" s="54"/>
      <c r="AA177" s="56"/>
      <c r="AB177" s="57"/>
      <c r="AC177" s="54">
        <v>2</v>
      </c>
      <c r="AD177" s="69">
        <f>SUM(AE177:AK177)</f>
        <v>2</v>
      </c>
      <c r="AE177" s="66"/>
      <c r="AF177" s="66">
        <v>1</v>
      </c>
      <c r="AG177" s="66">
        <v>1</v>
      </c>
      <c r="AH177" s="66"/>
      <c r="AI177" s="66"/>
      <c r="AJ177" s="66"/>
      <c r="AK177" s="66"/>
      <c r="AL177" s="54">
        <f>IF((AC177-SUM(AE177:AK177))&lt;0,0,AC177-SUM(AE177:AK177))</f>
        <v>0</v>
      </c>
      <c r="AM177" s="69">
        <f>SUM(AN177:AT177)</f>
        <v>2</v>
      </c>
      <c r="AN177" s="60"/>
      <c r="AO177" s="52">
        <v>1</v>
      </c>
      <c r="AP177" s="52">
        <v>1</v>
      </c>
      <c r="AQ177" s="52"/>
      <c r="AR177" s="52"/>
      <c r="AS177" s="52"/>
      <c r="AT177" s="61"/>
      <c r="AU177" s="66">
        <f>MAX(0,$AM177-$AC177-$AW177)</f>
        <v>0</v>
      </c>
      <c r="AV177" s="66"/>
      <c r="AW177" s="66"/>
      <c r="AX177" s="65">
        <v>0</v>
      </c>
      <c r="AY177" s="65">
        <f>IF(AND($AU177&gt;0,ISNUMBER($AX177)),$AU177*$AX177,0)</f>
        <v>0</v>
      </c>
      <c r="AZ177" s="46"/>
      <c r="BA177" s="52"/>
      <c r="BB177" s="52"/>
      <c r="BC177" s="52"/>
      <c r="BD177" s="52"/>
      <c r="BE177" s="52"/>
      <c r="BF177" s="52"/>
    </row>
    <row r="178" spans="1:58" ht="15" customHeight="1">
      <c r="A178" s="46" t="s">
        <v>1068</v>
      </c>
      <c r="B178" s="53" t="s">
        <v>1069</v>
      </c>
      <c r="C178" s="66" t="s">
        <v>311</v>
      </c>
      <c r="D178" s="67">
        <v>0</v>
      </c>
      <c r="E178" s="53" t="s">
        <v>312</v>
      </c>
      <c r="F178" s="50"/>
      <c r="G178" s="50"/>
      <c r="H178" s="51"/>
      <c r="I178" s="50" t="s">
        <v>1066</v>
      </c>
      <c r="J178" s="54" t="s">
        <v>73</v>
      </c>
      <c r="K178" s="58" t="s">
        <v>312</v>
      </c>
      <c r="L178" s="58" t="s">
        <v>1067</v>
      </c>
      <c r="M178" s="58"/>
      <c r="N178" s="58"/>
      <c r="O178" s="54"/>
      <c r="P178" s="56" t="s">
        <v>76</v>
      </c>
      <c r="Q178" s="58" t="s">
        <v>1070</v>
      </c>
      <c r="R178" s="54"/>
      <c r="S178" s="54"/>
      <c r="T178" s="54"/>
      <c r="U178" s="56"/>
      <c r="V178" s="57"/>
      <c r="W178" s="56"/>
      <c r="X178" s="54"/>
      <c r="Y178" s="54"/>
      <c r="Z178" s="54"/>
      <c r="AA178" s="56"/>
      <c r="AB178" s="57"/>
      <c r="AC178" s="54">
        <v>2</v>
      </c>
      <c r="AD178" s="69">
        <f>SUM(AE178:AK178)</f>
        <v>2</v>
      </c>
      <c r="AE178" s="66"/>
      <c r="AF178" s="66">
        <v>1</v>
      </c>
      <c r="AG178" s="66">
        <v>1</v>
      </c>
      <c r="AH178" s="66"/>
      <c r="AI178" s="66"/>
      <c r="AJ178" s="66"/>
      <c r="AK178" s="66"/>
      <c r="AL178" s="54">
        <f>IF((AC178-SUM(AE178:AK178))&lt;0,0,AC178-SUM(AE178:AK178))</f>
        <v>0</v>
      </c>
      <c r="AM178" s="69">
        <f>SUM(AN178:AT178)</f>
        <v>2</v>
      </c>
      <c r="AN178" s="60"/>
      <c r="AO178" s="52">
        <v>1</v>
      </c>
      <c r="AP178" s="52">
        <v>1</v>
      </c>
      <c r="AQ178" s="52"/>
      <c r="AR178" s="52"/>
      <c r="AS178" s="52"/>
      <c r="AT178" s="61"/>
      <c r="AU178" s="66">
        <f>MAX(0,$AM178-$AC178-$AW178)</f>
        <v>0</v>
      </c>
      <c r="AV178" s="66"/>
      <c r="AW178" s="66"/>
      <c r="AX178" s="65">
        <v>0</v>
      </c>
      <c r="AY178" s="65">
        <f>IF(AND($AU178&gt;0,ISNUMBER($AX178)),$AU178*$AX178,0)</f>
        <v>0</v>
      </c>
      <c r="AZ178" s="46"/>
      <c r="BA178" s="52"/>
      <c r="BB178" s="52"/>
      <c r="BC178" s="52"/>
      <c r="BD178" s="52"/>
      <c r="BE178" s="52"/>
      <c r="BF178" s="52"/>
    </row>
    <row r="179" spans="1:58" ht="15" customHeight="1">
      <c r="A179" s="46" t="s">
        <v>1071</v>
      </c>
      <c r="B179" s="53" t="s">
        <v>1072</v>
      </c>
      <c r="C179" s="66" t="s">
        <v>118</v>
      </c>
      <c r="D179" s="67">
        <v>1</v>
      </c>
      <c r="E179" s="53" t="s">
        <v>189</v>
      </c>
      <c r="F179" s="50"/>
      <c r="G179" s="50"/>
      <c r="H179" s="51"/>
      <c r="I179" s="50" t="s">
        <v>1073</v>
      </c>
      <c r="J179" s="54" t="s">
        <v>196</v>
      </c>
      <c r="K179" s="58" t="s">
        <v>135</v>
      </c>
      <c r="L179" s="58" t="s">
        <v>1074</v>
      </c>
      <c r="M179" s="58" t="s">
        <v>1075</v>
      </c>
      <c r="N179" s="58"/>
      <c r="O179" s="54"/>
      <c r="P179" s="56" t="s">
        <v>185</v>
      </c>
      <c r="Q179" s="58" t="s">
        <v>452</v>
      </c>
      <c r="R179" s="54"/>
      <c r="S179" s="54"/>
      <c r="T179" s="54"/>
      <c r="U179" s="54"/>
      <c r="V179" s="57">
        <v>1.56</v>
      </c>
      <c r="W179" s="68"/>
      <c r="X179" s="54"/>
      <c r="Y179" s="54"/>
      <c r="Z179" s="54"/>
      <c r="AA179" s="54"/>
      <c r="AB179" s="57"/>
      <c r="AC179" s="54">
        <v>2</v>
      </c>
      <c r="AD179" s="69">
        <f>SUM(AE179:AK179)</f>
        <v>2</v>
      </c>
      <c r="AE179" s="66">
        <v>1</v>
      </c>
      <c r="AF179" s="66"/>
      <c r="AG179" s="66"/>
      <c r="AH179" s="66"/>
      <c r="AI179" s="66">
        <v>1</v>
      </c>
      <c r="AJ179" s="66"/>
      <c r="AK179" s="66"/>
      <c r="AL179" s="54">
        <f>IF((AC179-SUM(AE179:AK179))&lt;0,0,AC179-SUM(AE179:AK179))</f>
        <v>0</v>
      </c>
      <c r="AM179" s="69">
        <f>SUM(AN179:AT179)</f>
        <v>2</v>
      </c>
      <c r="AN179" s="60">
        <v>1</v>
      </c>
      <c r="AO179" s="52"/>
      <c r="AP179" s="52"/>
      <c r="AQ179" s="52"/>
      <c r="AR179" s="52">
        <v>1</v>
      </c>
      <c r="AS179" s="52"/>
      <c r="AT179" s="61"/>
      <c r="AU179" s="66">
        <f>MAX(0,$AM179-$AC179-$AW179)</f>
        <v>0</v>
      </c>
      <c r="AV179" s="66"/>
      <c r="AW179" s="66"/>
      <c r="AX179" s="65">
        <v>0</v>
      </c>
      <c r="AY179" s="65">
        <f>IF(AND($AU179&gt;0,ISNUMBER($AX179)),$AU179*$AX179,0)</f>
        <v>0</v>
      </c>
      <c r="AZ179" s="46"/>
      <c r="BA179" s="52"/>
      <c r="BB179" s="52"/>
      <c r="BC179" s="52"/>
      <c r="BD179" s="52"/>
      <c r="BE179" s="52"/>
      <c r="BF179" s="52"/>
    </row>
    <row r="180" spans="1:58" ht="15" customHeight="1">
      <c r="A180" s="46" t="s">
        <v>1084</v>
      </c>
      <c r="B180" s="53" t="s">
        <v>1085</v>
      </c>
      <c r="C180" s="66" t="s">
        <v>118</v>
      </c>
      <c r="D180" s="67">
        <v>2</v>
      </c>
      <c r="E180" s="53" t="s">
        <v>81</v>
      </c>
      <c r="F180" s="50">
        <v>2</v>
      </c>
      <c r="G180" s="50">
        <v>1</v>
      </c>
      <c r="H180" s="51" t="s">
        <v>1086</v>
      </c>
      <c r="I180" s="50" t="s">
        <v>1087</v>
      </c>
      <c r="J180" s="54" t="s">
        <v>73</v>
      </c>
      <c r="K180" s="58" t="s">
        <v>254</v>
      </c>
      <c r="L180" s="58" t="s">
        <v>995</v>
      </c>
      <c r="M180" s="58" t="s">
        <v>1088</v>
      </c>
      <c r="N180" s="58"/>
      <c r="O180" s="54"/>
      <c r="P180" s="56" t="s">
        <v>86</v>
      </c>
      <c r="Q180" s="58" t="s">
        <v>1089</v>
      </c>
      <c r="R180" s="54"/>
      <c r="S180" s="54"/>
      <c r="T180" s="54"/>
      <c r="U180" s="54"/>
      <c r="V180" s="57">
        <v>0.41</v>
      </c>
      <c r="W180" s="68"/>
      <c r="X180" s="54"/>
      <c r="Y180" s="54"/>
      <c r="Z180" s="54"/>
      <c r="AA180" s="54"/>
      <c r="AB180" s="57"/>
      <c r="AC180" s="54">
        <v>2</v>
      </c>
      <c r="AD180" s="69">
        <f>SUM(AE180:AK180)</f>
        <v>1</v>
      </c>
      <c r="AE180" s="66">
        <v>1</v>
      </c>
      <c r="AF180" s="66"/>
      <c r="AG180" s="66"/>
      <c r="AH180" s="66"/>
      <c r="AI180" s="66"/>
      <c r="AJ180" s="66"/>
      <c r="AK180" s="66"/>
      <c r="AL180" s="54">
        <f>IF((AC180-SUM(AE180:AK180))&lt;0,0,AC180-SUM(AE180:AK180))</f>
        <v>1</v>
      </c>
      <c r="AM180" s="69">
        <f>SUM(AN180:AT180)</f>
        <v>1</v>
      </c>
      <c r="AN180" s="60">
        <v>1</v>
      </c>
      <c r="AO180" s="52"/>
      <c r="AP180" s="52"/>
      <c r="AQ180" s="52"/>
      <c r="AR180" s="52"/>
      <c r="AS180" s="52"/>
      <c r="AT180" s="61"/>
      <c r="AU180" s="66">
        <f>MAX(0,$AM180-$AC180-$AW180)</f>
        <v>0</v>
      </c>
      <c r="AV180" s="66"/>
      <c r="AW180" s="66"/>
      <c r="AX180" s="65">
        <v>0</v>
      </c>
      <c r="AY180" s="65">
        <f>IF(AND($AU180&gt;0,ISNUMBER($AX180)),$AU180*$AX180,0)</f>
        <v>0</v>
      </c>
      <c r="AZ180" s="46"/>
      <c r="BA180" s="52"/>
      <c r="BB180" s="52"/>
      <c r="BC180" s="52"/>
      <c r="BD180" s="52"/>
      <c r="BE180" s="52"/>
      <c r="BF180" s="52"/>
    </row>
    <row r="181" spans="1:58" ht="15" customHeight="1">
      <c r="A181" s="46" t="s">
        <v>1090</v>
      </c>
      <c r="B181" s="53" t="s">
        <v>1091</v>
      </c>
      <c r="C181" s="66" t="s">
        <v>118</v>
      </c>
      <c r="D181" s="67">
        <v>3</v>
      </c>
      <c r="E181" s="53" t="s">
        <v>71</v>
      </c>
      <c r="F181" s="50"/>
      <c r="G181" s="50"/>
      <c r="H181" s="51"/>
      <c r="I181" s="50" t="s">
        <v>1092</v>
      </c>
      <c r="J181" s="54" t="s">
        <v>73</v>
      </c>
      <c r="K181" s="58" t="s">
        <v>474</v>
      </c>
      <c r="L181" s="58" t="s">
        <v>1093</v>
      </c>
      <c r="M181" s="58" t="s">
        <v>1094</v>
      </c>
      <c r="N181" s="58" t="s">
        <v>1095</v>
      </c>
      <c r="O181" s="54"/>
      <c r="P181" s="56" t="s">
        <v>86</v>
      </c>
      <c r="Q181" s="58" t="s">
        <v>415</v>
      </c>
      <c r="R181" s="54"/>
      <c r="S181" s="54"/>
      <c r="T181" s="54"/>
      <c r="U181" s="54"/>
      <c r="V181" s="57">
        <v>0.39</v>
      </c>
      <c r="W181" s="68"/>
      <c r="X181" s="54"/>
      <c r="Y181" s="54"/>
      <c r="Z181" s="54"/>
      <c r="AA181" s="54"/>
      <c r="AB181" s="57"/>
      <c r="AC181" s="54">
        <v>2</v>
      </c>
      <c r="AD181" s="69">
        <f>SUM(AE181:AK181)</f>
        <v>1</v>
      </c>
      <c r="AE181" s="66">
        <v>1</v>
      </c>
      <c r="AF181" s="66"/>
      <c r="AG181" s="66"/>
      <c r="AH181" s="66"/>
      <c r="AI181" s="66"/>
      <c r="AJ181" s="66"/>
      <c r="AK181" s="66"/>
      <c r="AL181" s="54">
        <f>IF((AC181-SUM(AE181:AK181))&lt;0,0,AC181-SUM(AE181:AK181))</f>
        <v>1</v>
      </c>
      <c r="AM181" s="69">
        <f>SUM(AN181:AT181)</f>
        <v>1</v>
      </c>
      <c r="AN181" s="60">
        <v>1</v>
      </c>
      <c r="AO181" s="52"/>
      <c r="AP181" s="52"/>
      <c r="AQ181" s="52"/>
      <c r="AR181" s="52"/>
      <c r="AS181" s="52"/>
      <c r="AT181" s="61"/>
      <c r="AU181" s="66">
        <f>MAX(0,$AM181-$AC181-$AW181)</f>
        <v>0</v>
      </c>
      <c r="AV181" s="66"/>
      <c r="AW181" s="66"/>
      <c r="AX181" s="65">
        <v>0</v>
      </c>
      <c r="AY181" s="65">
        <f>IF(AND($AU181&gt;0,ISNUMBER($AX181)),$AU181*$AX181,0)</f>
        <v>0</v>
      </c>
      <c r="AZ181" s="46"/>
      <c r="BA181" s="52"/>
      <c r="BB181" s="52"/>
      <c r="BC181" s="52"/>
      <c r="BD181" s="52"/>
      <c r="BE181" s="52"/>
      <c r="BF181" s="52"/>
    </row>
    <row r="182" spans="1:58" ht="15" customHeight="1">
      <c r="A182" s="46" t="s">
        <v>1096</v>
      </c>
      <c r="B182" s="53" t="s">
        <v>1097</v>
      </c>
      <c r="C182" s="66" t="s">
        <v>70</v>
      </c>
      <c r="D182" s="67">
        <v>1</v>
      </c>
      <c r="E182" s="53" t="s">
        <v>71</v>
      </c>
      <c r="F182" s="50"/>
      <c r="G182" s="50"/>
      <c r="H182" s="51"/>
      <c r="I182" s="50" t="s">
        <v>1098</v>
      </c>
      <c r="J182" s="54" t="s">
        <v>73</v>
      </c>
      <c r="K182" s="58" t="s">
        <v>1099</v>
      </c>
      <c r="L182" s="58" t="s">
        <v>1100</v>
      </c>
      <c r="M182" s="58" t="s">
        <v>1101</v>
      </c>
      <c r="N182" s="58"/>
      <c r="O182" s="54"/>
      <c r="P182" s="56" t="s">
        <v>76</v>
      </c>
      <c r="Q182" s="58" t="s">
        <v>1102</v>
      </c>
      <c r="R182" s="54"/>
      <c r="S182" s="54"/>
      <c r="T182" s="54"/>
      <c r="U182" s="54"/>
      <c r="V182" s="57">
        <v>0.37</v>
      </c>
      <c r="W182" s="68"/>
      <c r="X182" s="54"/>
      <c r="Y182" s="54"/>
      <c r="Z182" s="54"/>
      <c r="AA182" s="54"/>
      <c r="AB182" s="57"/>
      <c r="AC182" s="54">
        <v>2</v>
      </c>
      <c r="AD182" s="69">
        <f>SUM(AE182:AK182)</f>
        <v>1</v>
      </c>
      <c r="AE182" s="66">
        <v>1</v>
      </c>
      <c r="AF182" s="66"/>
      <c r="AG182" s="66"/>
      <c r="AH182" s="66"/>
      <c r="AI182" s="66"/>
      <c r="AJ182" s="66"/>
      <c r="AK182" s="66"/>
      <c r="AL182" s="54">
        <f>IF((AC182-SUM(AE182:AK182))&lt;0,0,AC182-SUM(AE182:AK182))</f>
        <v>1</v>
      </c>
      <c r="AM182" s="69">
        <f>SUM(AN182:AT182)</f>
        <v>1</v>
      </c>
      <c r="AN182" s="60">
        <v>1</v>
      </c>
      <c r="AO182" s="52"/>
      <c r="AP182" s="52"/>
      <c r="AQ182" s="52"/>
      <c r="AR182" s="52"/>
      <c r="AS182" s="52"/>
      <c r="AT182" s="61"/>
      <c r="AU182" s="66">
        <f>MAX(0,$AM182-$AC182-$AW182)</f>
        <v>0</v>
      </c>
      <c r="AV182" s="66"/>
      <c r="AW182" s="66"/>
      <c r="AX182" s="65">
        <v>0</v>
      </c>
      <c r="AY182" s="65">
        <f>IF(AND($AU182&gt;0,ISNUMBER($AX182)),$AU182*$AX182,0)</f>
        <v>0</v>
      </c>
      <c r="AZ182" s="52"/>
      <c r="BA182" s="52"/>
      <c r="BB182" s="52"/>
      <c r="BC182" s="52"/>
      <c r="BD182" s="52"/>
      <c r="BE182" s="52"/>
      <c r="BF182" s="52"/>
    </row>
    <row r="183" spans="1:58" ht="15" customHeight="1">
      <c r="A183" s="46" t="s">
        <v>1110</v>
      </c>
      <c r="B183" s="53" t="s">
        <v>1111</v>
      </c>
      <c r="C183" s="66" t="s">
        <v>118</v>
      </c>
      <c r="D183" s="67">
        <v>6</v>
      </c>
      <c r="E183" s="53" t="s">
        <v>81</v>
      </c>
      <c r="F183" s="50">
        <v>6</v>
      </c>
      <c r="G183" s="50">
        <v>6</v>
      </c>
      <c r="H183" s="51" t="s">
        <v>240</v>
      </c>
      <c r="I183" s="50" t="s">
        <v>1112</v>
      </c>
      <c r="J183" s="54" t="s">
        <v>196</v>
      </c>
      <c r="K183" s="58" t="s">
        <v>474</v>
      </c>
      <c r="L183" s="58" t="s">
        <v>1113</v>
      </c>
      <c r="M183" s="58" t="s">
        <v>1114</v>
      </c>
      <c r="N183" s="58"/>
      <c r="O183" s="54"/>
      <c r="P183" s="56" t="s">
        <v>114</v>
      </c>
      <c r="Q183" s="58" t="s">
        <v>1115</v>
      </c>
      <c r="R183" s="54"/>
      <c r="S183" s="54"/>
      <c r="T183" s="54"/>
      <c r="U183" s="54"/>
      <c r="V183" s="57">
        <v>0.32</v>
      </c>
      <c r="W183" s="68"/>
      <c r="X183" s="54"/>
      <c r="Y183" s="54"/>
      <c r="Z183" s="54"/>
      <c r="AA183" s="54"/>
      <c r="AB183" s="57"/>
      <c r="AC183" s="54">
        <v>2</v>
      </c>
      <c r="AD183" s="69">
        <f>SUM(AE183:AK183)</f>
        <v>1</v>
      </c>
      <c r="AE183" s="66">
        <v>1</v>
      </c>
      <c r="AF183" s="66"/>
      <c r="AG183" s="66"/>
      <c r="AH183" s="66"/>
      <c r="AI183" s="66"/>
      <c r="AJ183" s="66"/>
      <c r="AK183" s="66"/>
      <c r="AL183" s="54">
        <f>IF((AC183-SUM(AE183:AK183))&lt;0,0,AC183-SUM(AE183:AK183))</f>
        <v>1</v>
      </c>
      <c r="AM183" s="69">
        <f>SUM(AN183:AT183)</f>
        <v>1</v>
      </c>
      <c r="AN183" s="60">
        <v>1</v>
      </c>
      <c r="AO183" s="52"/>
      <c r="AP183" s="52"/>
      <c r="AQ183" s="52"/>
      <c r="AR183" s="52"/>
      <c r="AS183" s="52"/>
      <c r="AT183" s="61"/>
      <c r="AU183" s="66">
        <f>MAX(0,$AM183-$AC183-$AW183)</f>
        <v>0</v>
      </c>
      <c r="AV183" s="66"/>
      <c r="AW183" s="66"/>
      <c r="AX183" s="65">
        <v>0</v>
      </c>
      <c r="AY183" s="65">
        <f>IF(AND($AU183&gt;0,ISNUMBER($AX183)),$AU183*$AX183,0)</f>
        <v>0</v>
      </c>
      <c r="AZ183" s="46"/>
      <c r="BA183" s="52"/>
      <c r="BB183" s="52"/>
      <c r="BC183" s="52"/>
      <c r="BD183" s="52"/>
      <c r="BE183" s="52"/>
      <c r="BF183" s="52"/>
    </row>
    <row r="184" spans="1:58" ht="15" customHeight="1">
      <c r="A184" s="46" t="s">
        <v>1116</v>
      </c>
      <c r="B184" s="47" t="s">
        <v>1117</v>
      </c>
      <c r="C184" s="48" t="s">
        <v>311</v>
      </c>
      <c r="D184" s="49">
        <v>0</v>
      </c>
      <c r="E184" s="47" t="s">
        <v>312</v>
      </c>
      <c r="F184" s="50"/>
      <c r="G184" s="50"/>
      <c r="H184" s="51"/>
      <c r="I184" s="50" t="s">
        <v>1118</v>
      </c>
      <c r="J184" s="52" t="s">
        <v>73</v>
      </c>
      <c r="K184" s="47" t="s">
        <v>312</v>
      </c>
      <c r="L184" s="53" t="s">
        <v>746</v>
      </c>
      <c r="M184" s="53" t="s">
        <v>747</v>
      </c>
      <c r="N184" s="53" t="s">
        <v>1119</v>
      </c>
      <c r="O184" s="54"/>
      <c r="P184" s="55" t="s">
        <v>76</v>
      </c>
      <c r="Q184" s="47" t="s">
        <v>633</v>
      </c>
      <c r="R184" s="75" t="s">
        <v>1120</v>
      </c>
      <c r="S184" s="75">
        <v>2</v>
      </c>
      <c r="T184" s="75">
        <v>0</v>
      </c>
      <c r="U184" s="56"/>
      <c r="V184" s="57">
        <v>0.16</v>
      </c>
      <c r="W184" s="68"/>
      <c r="X184" s="46"/>
      <c r="Y184" s="46"/>
      <c r="Z184" s="46"/>
      <c r="AA184" s="56"/>
      <c r="AB184" s="57"/>
      <c r="AC184" s="54">
        <v>2</v>
      </c>
      <c r="AD184" s="69">
        <f>SUM(AE184:AK184)</f>
        <v>1</v>
      </c>
      <c r="AE184" s="66">
        <v>1</v>
      </c>
      <c r="AF184" s="66"/>
      <c r="AG184" s="66"/>
      <c r="AH184" s="66"/>
      <c r="AI184" s="66"/>
      <c r="AJ184" s="66"/>
      <c r="AK184" s="66"/>
      <c r="AL184" s="54">
        <f>IF((AC184-SUM(AE184:AK184))&lt;0,0,AC184-SUM(AE184:AK184))</f>
        <v>1</v>
      </c>
      <c r="AM184" s="69">
        <f>SUM(AN184:AT184)</f>
        <v>1</v>
      </c>
      <c r="AN184" s="60">
        <v>1</v>
      </c>
      <c r="AO184" s="52"/>
      <c r="AP184" s="52"/>
      <c r="AQ184" s="52"/>
      <c r="AR184" s="52"/>
      <c r="AS184" s="52"/>
      <c r="AT184" s="61"/>
      <c r="AU184" s="66">
        <f>MAX(0,$AM184-$AC184-$AW184)</f>
        <v>0</v>
      </c>
      <c r="AV184" s="48"/>
      <c r="AW184" s="48"/>
      <c r="AX184" s="65">
        <v>0</v>
      </c>
      <c r="AY184" s="65">
        <f>IF(AND($AU184&gt;0,ISNUMBER($AX184)),$AU184*$AX184,0)</f>
        <v>0</v>
      </c>
      <c r="AZ184" s="46"/>
      <c r="BA184" s="52"/>
      <c r="BB184" s="52"/>
      <c r="BC184" s="52"/>
      <c r="BD184" s="52"/>
      <c r="BE184" s="52"/>
      <c r="BF184" s="52"/>
    </row>
    <row r="185" spans="1:58" ht="15" customHeight="1">
      <c r="A185" s="46" t="s">
        <v>1121</v>
      </c>
      <c r="B185" s="53" t="s">
        <v>1122</v>
      </c>
      <c r="C185" s="66" t="s">
        <v>118</v>
      </c>
      <c r="D185" s="67">
        <v>1</v>
      </c>
      <c r="E185" s="53" t="s">
        <v>81</v>
      </c>
      <c r="F185" s="50">
        <v>1</v>
      </c>
      <c r="G185" s="50">
        <v>1</v>
      </c>
      <c r="H185" s="51" t="s">
        <v>1123</v>
      </c>
      <c r="I185" s="50" t="s">
        <v>1124</v>
      </c>
      <c r="J185" s="54" t="s">
        <v>73</v>
      </c>
      <c r="K185" s="58" t="s">
        <v>104</v>
      </c>
      <c r="L185" s="58" t="s">
        <v>1125</v>
      </c>
      <c r="M185" s="58" t="s">
        <v>1126</v>
      </c>
      <c r="N185" s="58"/>
      <c r="O185" s="54"/>
      <c r="P185" s="56" t="s">
        <v>86</v>
      </c>
      <c r="Q185" s="58" t="s">
        <v>1127</v>
      </c>
      <c r="R185" s="74" t="s">
        <v>1128</v>
      </c>
      <c r="S185" s="74">
        <v>1</v>
      </c>
      <c r="T185" s="74">
        <v>0</v>
      </c>
      <c r="U185" s="56" t="s">
        <v>1129</v>
      </c>
      <c r="V185" s="57">
        <v>17.39</v>
      </c>
      <c r="W185" s="68"/>
      <c r="X185" s="50"/>
      <c r="Y185" s="54">
        <v>1</v>
      </c>
      <c r="Z185" s="54">
        <v>0</v>
      </c>
      <c r="AA185" s="56" t="s">
        <v>1130</v>
      </c>
      <c r="AB185" s="57">
        <v>1.41</v>
      </c>
      <c r="AC185" s="54">
        <v>2</v>
      </c>
      <c r="AD185" s="69">
        <f>SUM(AE185:AK185)</f>
        <v>1</v>
      </c>
      <c r="AE185" s="66"/>
      <c r="AF185" s="66"/>
      <c r="AG185" s="66"/>
      <c r="AH185" s="66"/>
      <c r="AI185" s="66">
        <v>1</v>
      </c>
      <c r="AJ185" s="66"/>
      <c r="AK185" s="66"/>
      <c r="AL185" s="54">
        <f>IF((AC185-SUM(AE185:AK185))&lt;0,0,AC185-SUM(AE185:AK185))</f>
        <v>1</v>
      </c>
      <c r="AM185" s="69">
        <f>SUM(AN185:AT185)</f>
        <v>2</v>
      </c>
      <c r="AN185" s="60">
        <v>1</v>
      </c>
      <c r="AO185" s="52"/>
      <c r="AP185" s="52"/>
      <c r="AQ185" s="52"/>
      <c r="AR185" s="52">
        <v>1</v>
      </c>
      <c r="AS185" s="52"/>
      <c r="AT185" s="61"/>
      <c r="AU185" s="66">
        <f>MAX(0,$AM185-$AC185-$AW185)</f>
        <v>0</v>
      </c>
      <c r="AV185" s="66"/>
      <c r="AW185" s="66"/>
      <c r="AX185" s="65">
        <v>0</v>
      </c>
      <c r="AY185" s="65">
        <f>IF(AND($AU185&gt;0,ISNUMBER($AX185)),$AU185*$AX185,0)</f>
        <v>0</v>
      </c>
      <c r="AZ185" s="46"/>
      <c r="BA185" s="52"/>
      <c r="BB185" s="52"/>
      <c r="BC185" s="52"/>
      <c r="BD185" s="52"/>
      <c r="BE185" s="52"/>
      <c r="BF185" s="52"/>
    </row>
    <row r="186" spans="1:58" ht="15" customHeight="1">
      <c r="A186" s="46" t="s">
        <v>1131</v>
      </c>
      <c r="B186" s="53" t="s">
        <v>1132</v>
      </c>
      <c r="C186" s="66" t="s">
        <v>70</v>
      </c>
      <c r="D186" s="67">
        <v>5</v>
      </c>
      <c r="E186" s="53" t="s">
        <v>81</v>
      </c>
      <c r="F186" s="50">
        <v>5</v>
      </c>
      <c r="G186" s="50">
        <v>5</v>
      </c>
      <c r="H186" s="51" t="s">
        <v>936</v>
      </c>
      <c r="I186" s="50" t="s">
        <v>1133</v>
      </c>
      <c r="J186" s="54" t="s">
        <v>73</v>
      </c>
      <c r="K186" s="53" t="s">
        <v>129</v>
      </c>
      <c r="L186" s="53" t="s">
        <v>1134</v>
      </c>
      <c r="M186" s="53" t="s">
        <v>136</v>
      </c>
      <c r="N186" s="53"/>
      <c r="O186" s="54"/>
      <c r="P186" s="56" t="s">
        <v>86</v>
      </c>
      <c r="Q186" s="53" t="s">
        <v>691</v>
      </c>
      <c r="R186" s="50" t="s">
        <v>1135</v>
      </c>
      <c r="S186" s="50">
        <v>2</v>
      </c>
      <c r="T186" s="50">
        <v>0</v>
      </c>
      <c r="U186" s="56" t="s">
        <v>848</v>
      </c>
      <c r="V186" s="57">
        <v>11.87</v>
      </c>
      <c r="W186" s="56"/>
      <c r="X186" s="50"/>
      <c r="Y186" s="50"/>
      <c r="Z186" s="50"/>
      <c r="AA186" s="56"/>
      <c r="AB186" s="57"/>
      <c r="AC186" s="54">
        <v>2</v>
      </c>
      <c r="AD186" s="69">
        <f>SUM(AE186:AK186)</f>
        <v>0</v>
      </c>
      <c r="AE186" s="66"/>
      <c r="AF186" s="66"/>
      <c r="AG186" s="66"/>
      <c r="AH186" s="66"/>
      <c r="AI186" s="66"/>
      <c r="AJ186" s="66"/>
      <c r="AK186" s="66"/>
      <c r="AL186" s="54">
        <f>IF((AC186-SUM(AE186:AK186))&lt;0,0,AC186-SUM(AE186:AK186))</f>
        <v>2</v>
      </c>
      <c r="AM186" s="69">
        <f>SUM(AN186:AT186)</f>
        <v>0</v>
      </c>
      <c r="AN186" s="60"/>
      <c r="AO186" s="52"/>
      <c r="AP186" s="52"/>
      <c r="AQ186" s="52"/>
      <c r="AR186" s="52"/>
      <c r="AS186" s="52"/>
      <c r="AT186" s="61"/>
      <c r="AU186" s="66">
        <f>MAX(0,$AM186-$AC186-$AW186)</f>
        <v>0</v>
      </c>
      <c r="AV186" s="66"/>
      <c r="AW186" s="66"/>
      <c r="AX186" s="65">
        <v>0</v>
      </c>
      <c r="AY186" s="65">
        <f>IF(AND($AU186&gt;0,ISNUMBER($AX186)),$AU186*$AX186,0)</f>
        <v>0</v>
      </c>
      <c r="AZ186" s="46"/>
      <c r="BA186" s="52"/>
      <c r="BB186" s="52"/>
      <c r="BC186" s="52"/>
      <c r="BD186" s="52"/>
      <c r="BE186" s="52"/>
      <c r="BF186" s="52"/>
    </row>
    <row r="187" spans="1:58" ht="15" customHeight="1">
      <c r="A187" s="46" t="s">
        <v>1136</v>
      </c>
      <c r="B187" s="53" t="s">
        <v>1137</v>
      </c>
      <c r="C187" s="66" t="s">
        <v>311</v>
      </c>
      <c r="D187" s="67">
        <v>0</v>
      </c>
      <c r="E187" s="53" t="s">
        <v>312</v>
      </c>
      <c r="F187" s="50"/>
      <c r="G187" s="50"/>
      <c r="H187" s="51"/>
      <c r="I187" s="50" t="s">
        <v>1138</v>
      </c>
      <c r="J187" s="54" t="s">
        <v>73</v>
      </c>
      <c r="K187" s="53" t="s">
        <v>312</v>
      </c>
      <c r="L187" s="53" t="s">
        <v>740</v>
      </c>
      <c r="M187" s="53" t="s">
        <v>1139</v>
      </c>
      <c r="N187" s="53"/>
      <c r="O187" s="54"/>
      <c r="P187" s="56" t="s">
        <v>86</v>
      </c>
      <c r="Q187" s="53" t="s">
        <v>691</v>
      </c>
      <c r="R187" s="50" t="s">
        <v>1140</v>
      </c>
      <c r="S187" s="50">
        <v>1</v>
      </c>
      <c r="T187" s="50">
        <v>0</v>
      </c>
      <c r="U187" s="56" t="s">
        <v>1141</v>
      </c>
      <c r="V187" s="57">
        <v>8.1999999999999993</v>
      </c>
      <c r="W187" s="56"/>
      <c r="X187" s="50"/>
      <c r="Y187" s="50">
        <v>1</v>
      </c>
      <c r="Z187" s="50">
        <v>0</v>
      </c>
      <c r="AA187" s="56" t="s">
        <v>1142</v>
      </c>
      <c r="AB187" s="57">
        <v>12.29</v>
      </c>
      <c r="AC187" s="54">
        <v>2</v>
      </c>
      <c r="AD187" s="69">
        <f>SUM(AE187:AK187)</f>
        <v>0</v>
      </c>
      <c r="AE187" s="66"/>
      <c r="AF187" s="66"/>
      <c r="AG187" s="66"/>
      <c r="AH187" s="66"/>
      <c r="AI187" s="66"/>
      <c r="AJ187" s="66"/>
      <c r="AK187" s="66"/>
      <c r="AL187" s="54">
        <f>IF((AC187-SUM(AE187:AK187))&lt;0,0,AC187-SUM(AE187:AK187))</f>
        <v>2</v>
      </c>
      <c r="AM187" s="69">
        <f>SUM(AN187:AT187)</f>
        <v>0</v>
      </c>
      <c r="AN187" s="60"/>
      <c r="AO187" s="52"/>
      <c r="AP187" s="52"/>
      <c r="AQ187" s="52"/>
      <c r="AR187" s="52"/>
      <c r="AS187" s="52"/>
      <c r="AT187" s="61"/>
      <c r="AU187" s="66">
        <f>MAX(0,$AM187-$AC187-$AW187)</f>
        <v>0</v>
      </c>
      <c r="AV187" s="66"/>
      <c r="AW187" s="66"/>
      <c r="AX187" s="65">
        <v>0</v>
      </c>
      <c r="AY187" s="65">
        <f>IF(AND($AU187&gt;0,ISNUMBER($AX187)),$AU187*$AX187,0)</f>
        <v>0</v>
      </c>
      <c r="AZ187" s="46"/>
      <c r="BA187" s="52"/>
      <c r="BB187" s="52"/>
      <c r="BC187" s="52"/>
      <c r="BD187" s="52"/>
      <c r="BE187" s="52"/>
      <c r="BF187" s="52"/>
    </row>
    <row r="188" spans="1:58" ht="15" customHeight="1">
      <c r="A188" s="46" t="s">
        <v>1143</v>
      </c>
      <c r="B188" s="53" t="s">
        <v>1144</v>
      </c>
      <c r="C188" s="66" t="s">
        <v>232</v>
      </c>
      <c r="D188" s="67">
        <v>1</v>
      </c>
      <c r="E188" s="53" t="s">
        <v>233</v>
      </c>
      <c r="F188" s="50"/>
      <c r="G188" s="50"/>
      <c r="H188" s="51" t="s">
        <v>519</v>
      </c>
      <c r="I188" s="50" t="s">
        <v>1145</v>
      </c>
      <c r="J188" s="54" t="s">
        <v>196</v>
      </c>
      <c r="K188" s="58" t="s">
        <v>92</v>
      </c>
      <c r="L188" s="58" t="s">
        <v>1146</v>
      </c>
      <c r="M188" s="58" t="s">
        <v>1147</v>
      </c>
      <c r="N188" s="58"/>
      <c r="O188" s="54"/>
      <c r="P188" s="56" t="s">
        <v>86</v>
      </c>
      <c r="Q188" s="58" t="s">
        <v>1148</v>
      </c>
      <c r="R188" s="54"/>
      <c r="S188" s="54"/>
      <c r="T188" s="54"/>
      <c r="U188" s="54"/>
      <c r="V188" s="57">
        <v>4.9400000000000004</v>
      </c>
      <c r="W188" s="68"/>
      <c r="X188" s="54"/>
      <c r="Y188" s="54"/>
      <c r="Z188" s="54"/>
      <c r="AA188" s="54"/>
      <c r="AB188" s="57"/>
      <c r="AC188" s="54">
        <v>2</v>
      </c>
      <c r="AD188" s="69">
        <f>SUM(AE188:AK188)</f>
        <v>2</v>
      </c>
      <c r="AE188" s="66"/>
      <c r="AF188" s="66"/>
      <c r="AG188" s="66"/>
      <c r="AH188" s="66"/>
      <c r="AI188" s="66">
        <v>1</v>
      </c>
      <c r="AJ188" s="66">
        <v>1</v>
      </c>
      <c r="AK188" s="66"/>
      <c r="AL188" s="54">
        <f>IF((AC188-SUM(AE188:AK188))&lt;0,0,AC188-SUM(AE188:AK188))</f>
        <v>0</v>
      </c>
      <c r="AM188" s="69">
        <f>SUM(AN188:AT188)</f>
        <v>2</v>
      </c>
      <c r="AN188" s="60"/>
      <c r="AO188" s="52"/>
      <c r="AP188" s="52"/>
      <c r="AQ188" s="52"/>
      <c r="AR188" s="52">
        <v>1</v>
      </c>
      <c r="AS188" s="52">
        <v>1</v>
      </c>
      <c r="AT188" s="61"/>
      <c r="AU188" s="66">
        <f>MAX(0,$AM188-$AC188-$AW188)</f>
        <v>0</v>
      </c>
      <c r="AV188" s="66"/>
      <c r="AW188" s="66"/>
      <c r="AX188" s="65">
        <v>0</v>
      </c>
      <c r="AY188" s="65">
        <f>IF(AND($AU188&gt;0,ISNUMBER($AX188)),$AU188*$AX188,0)</f>
        <v>0</v>
      </c>
      <c r="AZ188" s="46"/>
      <c r="BA188" s="52"/>
      <c r="BB188" s="52"/>
      <c r="BC188" s="52"/>
      <c r="BD188" s="52"/>
      <c r="BE188" s="52"/>
      <c r="BF188" s="52"/>
    </row>
    <row r="189" spans="1:58" ht="15" customHeight="1">
      <c r="A189" s="46" t="s">
        <v>1149</v>
      </c>
      <c r="B189" s="53" t="s">
        <v>1150</v>
      </c>
      <c r="C189" s="66" t="s">
        <v>311</v>
      </c>
      <c r="D189" s="67">
        <v>0</v>
      </c>
      <c r="E189" s="53" t="s">
        <v>312</v>
      </c>
      <c r="F189" s="50"/>
      <c r="G189" s="50"/>
      <c r="H189" s="51"/>
      <c r="I189" s="50" t="s">
        <v>1151</v>
      </c>
      <c r="J189" s="54" t="s">
        <v>73</v>
      </c>
      <c r="K189" s="58" t="s">
        <v>312</v>
      </c>
      <c r="L189" s="58" t="s">
        <v>1152</v>
      </c>
      <c r="M189" s="58" t="s">
        <v>1153</v>
      </c>
      <c r="N189" s="58"/>
      <c r="O189" s="54"/>
      <c r="P189" s="56" t="s">
        <v>185</v>
      </c>
      <c r="Q189" s="58" t="s">
        <v>1035</v>
      </c>
      <c r="R189" s="54"/>
      <c r="S189" s="54"/>
      <c r="T189" s="54"/>
      <c r="U189" s="54"/>
      <c r="V189" s="57">
        <v>4.26</v>
      </c>
      <c r="W189" s="68"/>
      <c r="X189" s="54"/>
      <c r="Y189" s="54"/>
      <c r="Z189" s="54"/>
      <c r="AA189" s="54"/>
      <c r="AB189" s="57"/>
      <c r="AC189" s="54">
        <v>2</v>
      </c>
      <c r="AD189" s="69">
        <f>SUM(AE189:AK189)</f>
        <v>2</v>
      </c>
      <c r="AE189" s="66"/>
      <c r="AF189" s="66">
        <v>1</v>
      </c>
      <c r="AG189" s="66"/>
      <c r="AH189" s="66"/>
      <c r="AI189" s="66"/>
      <c r="AJ189" s="66">
        <v>1</v>
      </c>
      <c r="AK189" s="66"/>
      <c r="AL189" s="54">
        <f>IF((AC189-SUM(AE189:AK189))&lt;0,0,AC189-SUM(AE189:AK189))</f>
        <v>0</v>
      </c>
      <c r="AM189" s="69">
        <f>SUM(AN189:AT189)</f>
        <v>2</v>
      </c>
      <c r="AN189" s="60"/>
      <c r="AO189" s="52">
        <v>1</v>
      </c>
      <c r="AP189" s="52"/>
      <c r="AQ189" s="52"/>
      <c r="AR189" s="52"/>
      <c r="AS189" s="52">
        <v>1</v>
      </c>
      <c r="AT189" s="61"/>
      <c r="AU189" s="66">
        <f>MAX(0,$AM189-$AC189-$AW189)</f>
        <v>0</v>
      </c>
      <c r="AV189" s="66"/>
      <c r="AW189" s="66"/>
      <c r="AX189" s="65">
        <v>0</v>
      </c>
      <c r="AY189" s="65">
        <f>IF(AND($AU189&gt;0,ISNUMBER($AX189)),$AU189*$AX189,0)</f>
        <v>0</v>
      </c>
      <c r="AZ189" s="46"/>
      <c r="BA189" s="52"/>
      <c r="BB189" s="52"/>
      <c r="BC189" s="52"/>
      <c r="BD189" s="52"/>
      <c r="BE189" s="52"/>
      <c r="BF189" s="52"/>
    </row>
    <row r="190" spans="1:58" ht="15" customHeight="1">
      <c r="A190" s="46" t="s">
        <v>1154</v>
      </c>
      <c r="B190" s="53" t="s">
        <v>1155</v>
      </c>
      <c r="C190" s="66" t="s">
        <v>118</v>
      </c>
      <c r="D190" s="67">
        <v>3</v>
      </c>
      <c r="E190" s="53" t="s">
        <v>81</v>
      </c>
      <c r="F190" s="50">
        <v>2</v>
      </c>
      <c r="G190" s="50">
        <v>3</v>
      </c>
      <c r="H190" s="51" t="s">
        <v>1156</v>
      </c>
      <c r="I190" s="50" t="s">
        <v>1157</v>
      </c>
      <c r="J190" s="54" t="s">
        <v>73</v>
      </c>
      <c r="K190" s="58" t="s">
        <v>92</v>
      </c>
      <c r="L190" s="58" t="s">
        <v>1158</v>
      </c>
      <c r="M190" s="58" t="s">
        <v>995</v>
      </c>
      <c r="N190" s="58"/>
      <c r="O190" s="54"/>
      <c r="P190" s="56" t="s">
        <v>86</v>
      </c>
      <c r="Q190" s="58" t="s">
        <v>1159</v>
      </c>
      <c r="R190" s="50"/>
      <c r="S190" s="50"/>
      <c r="T190" s="50"/>
      <c r="U190" s="50"/>
      <c r="V190" s="57">
        <v>3.09</v>
      </c>
      <c r="W190" s="68"/>
      <c r="X190" s="50"/>
      <c r="Y190" s="50"/>
      <c r="Z190" s="50"/>
      <c r="AA190" s="50"/>
      <c r="AB190" s="57"/>
      <c r="AC190" s="54">
        <v>2</v>
      </c>
      <c r="AD190" s="69">
        <f>SUM(AE190:AK190)</f>
        <v>2</v>
      </c>
      <c r="AE190" s="66"/>
      <c r="AF190" s="66"/>
      <c r="AG190" s="66"/>
      <c r="AH190" s="66">
        <v>1</v>
      </c>
      <c r="AI190" s="66">
        <v>1</v>
      </c>
      <c r="AJ190" s="66"/>
      <c r="AK190" s="66"/>
      <c r="AL190" s="54">
        <f>IF((AC190-SUM(AE190:AK190))&lt;0,0,AC190-SUM(AE190:AK190))</f>
        <v>0</v>
      </c>
      <c r="AM190" s="69">
        <f>SUM(AN190:AT190)</f>
        <v>2</v>
      </c>
      <c r="AN190" s="60"/>
      <c r="AO190" s="52"/>
      <c r="AP190" s="52"/>
      <c r="AQ190" s="52">
        <v>1</v>
      </c>
      <c r="AR190" s="52">
        <v>1</v>
      </c>
      <c r="AS190" s="52"/>
      <c r="AT190" s="61"/>
      <c r="AU190" s="66">
        <f>MAX(0,$AM190-$AC190-$AW190)</f>
        <v>0</v>
      </c>
      <c r="AV190" s="66"/>
      <c r="AW190" s="66"/>
      <c r="AX190" s="65">
        <v>0</v>
      </c>
      <c r="AY190" s="65">
        <f>IF(AND($AU190&gt;0,ISNUMBER($AX190)),$AU190*$AX190,0)</f>
        <v>0</v>
      </c>
      <c r="AZ190" s="46"/>
      <c r="BA190" s="52"/>
      <c r="BB190" s="52"/>
      <c r="BC190" s="52"/>
      <c r="BD190" s="52"/>
      <c r="BE190" s="52"/>
      <c r="BF190" s="52"/>
    </row>
    <row r="191" spans="1:58" ht="15" customHeight="1">
      <c r="A191" s="46" t="s">
        <v>1160</v>
      </c>
      <c r="B191" s="53" t="s">
        <v>1161</v>
      </c>
      <c r="C191" s="66" t="s">
        <v>70</v>
      </c>
      <c r="D191" s="67">
        <v>4</v>
      </c>
      <c r="E191" s="53" t="s">
        <v>110</v>
      </c>
      <c r="F191" s="50">
        <v>3</v>
      </c>
      <c r="G191" s="50">
        <v>3</v>
      </c>
      <c r="H191" s="51" t="s">
        <v>318</v>
      </c>
      <c r="I191" s="50" t="s">
        <v>1162</v>
      </c>
      <c r="J191" s="54" t="s">
        <v>73</v>
      </c>
      <c r="K191" s="58" t="s">
        <v>1163</v>
      </c>
      <c r="L191" s="58" t="s">
        <v>1164</v>
      </c>
      <c r="M191" s="58"/>
      <c r="N191" s="58"/>
      <c r="O191" s="56">
        <v>5</v>
      </c>
      <c r="P191" s="56" t="s">
        <v>86</v>
      </c>
      <c r="Q191" s="58" t="s">
        <v>1165</v>
      </c>
      <c r="R191" s="50"/>
      <c r="S191" s="50"/>
      <c r="T191" s="50"/>
      <c r="U191" s="56"/>
      <c r="V191" s="57">
        <v>2.73</v>
      </c>
      <c r="W191" s="68"/>
      <c r="X191" s="50"/>
      <c r="Y191" s="50"/>
      <c r="Z191" s="50"/>
      <c r="AA191" s="56"/>
      <c r="AB191" s="57"/>
      <c r="AC191" s="54">
        <v>2</v>
      </c>
      <c r="AD191" s="69">
        <f>SUM(AE191:AK191)</f>
        <v>1</v>
      </c>
      <c r="AE191" s="66"/>
      <c r="AF191" s="66"/>
      <c r="AG191" s="66"/>
      <c r="AH191" s="66"/>
      <c r="AI191" s="66"/>
      <c r="AJ191" s="66">
        <v>1</v>
      </c>
      <c r="AK191" s="66"/>
      <c r="AL191" s="54">
        <f>IF((AC191-SUM(AE191:AK191))&lt;0,0,AC191-SUM(AE191:AK191))</f>
        <v>1</v>
      </c>
      <c r="AM191" s="69">
        <f>SUM(AN191:AT191)</f>
        <v>1</v>
      </c>
      <c r="AN191" s="60"/>
      <c r="AO191" s="52"/>
      <c r="AP191" s="52"/>
      <c r="AQ191" s="52"/>
      <c r="AR191" s="52"/>
      <c r="AS191" s="52">
        <v>1</v>
      </c>
      <c r="AT191" s="61"/>
      <c r="AU191" s="66">
        <f>MAX(0,$AM191-$AC191-$AW191)</f>
        <v>0</v>
      </c>
      <c r="AV191" s="66"/>
      <c r="AW191" s="66"/>
      <c r="AX191" s="65">
        <v>0</v>
      </c>
      <c r="AY191" s="65">
        <f>IF(AND($AU191&gt;0,ISNUMBER($AX191)),$AU191*$AX191,0)</f>
        <v>0</v>
      </c>
      <c r="AZ191" s="46"/>
      <c r="BA191" s="52"/>
      <c r="BB191" s="52"/>
      <c r="BC191" s="52"/>
      <c r="BD191" s="52"/>
      <c r="BE191" s="52"/>
      <c r="BF191" s="52"/>
    </row>
    <row r="192" spans="1:58" ht="15" customHeight="1">
      <c r="A192" s="46" t="s">
        <v>1166</v>
      </c>
      <c r="B192" s="53" t="s">
        <v>1167</v>
      </c>
      <c r="C192" s="66" t="s">
        <v>70</v>
      </c>
      <c r="D192" s="67">
        <v>1</v>
      </c>
      <c r="E192" s="53" t="s">
        <v>71</v>
      </c>
      <c r="F192" s="50"/>
      <c r="G192" s="50"/>
      <c r="H192" s="51"/>
      <c r="I192" s="50" t="s">
        <v>1168</v>
      </c>
      <c r="J192" s="54" t="s">
        <v>73</v>
      </c>
      <c r="K192" s="53" t="s">
        <v>864</v>
      </c>
      <c r="L192" s="53" t="s">
        <v>1169</v>
      </c>
      <c r="M192" s="53" t="s">
        <v>590</v>
      </c>
      <c r="N192" s="53"/>
      <c r="O192" s="54"/>
      <c r="P192" s="56" t="s">
        <v>76</v>
      </c>
      <c r="Q192" s="53" t="s">
        <v>691</v>
      </c>
      <c r="R192" s="50" t="s">
        <v>1170</v>
      </c>
      <c r="S192" s="50">
        <v>2</v>
      </c>
      <c r="T192" s="50">
        <v>0</v>
      </c>
      <c r="U192" s="56" t="s">
        <v>1171</v>
      </c>
      <c r="V192" s="57">
        <v>1.99</v>
      </c>
      <c r="W192" s="56"/>
      <c r="X192" s="50"/>
      <c r="Y192" s="50"/>
      <c r="Z192" s="50"/>
      <c r="AA192" s="56"/>
      <c r="AB192" s="57"/>
      <c r="AC192" s="54">
        <v>2</v>
      </c>
      <c r="AD192" s="69">
        <f>SUM(AE192:AK192)</f>
        <v>0</v>
      </c>
      <c r="AE192" s="66"/>
      <c r="AF192" s="66"/>
      <c r="AG192" s="66"/>
      <c r="AH192" s="66"/>
      <c r="AI192" s="66"/>
      <c r="AJ192" s="66"/>
      <c r="AK192" s="66"/>
      <c r="AL192" s="54">
        <f>IF((AC192-SUM(AE192:AK192))&lt;0,0,AC192-SUM(AE192:AK192))</f>
        <v>2</v>
      </c>
      <c r="AM192" s="69">
        <f>SUM(AN192:AT192)</f>
        <v>0</v>
      </c>
      <c r="AN192" s="60"/>
      <c r="AO192" s="52"/>
      <c r="AP192" s="52"/>
      <c r="AQ192" s="52"/>
      <c r="AR192" s="52"/>
      <c r="AS192" s="52"/>
      <c r="AT192" s="61"/>
      <c r="AU192" s="66">
        <f>MAX(0,$AM192-$AC192-$AW192)</f>
        <v>0</v>
      </c>
      <c r="AV192" s="66"/>
      <c r="AW192" s="66"/>
      <c r="AX192" s="65">
        <v>0</v>
      </c>
      <c r="AY192" s="65">
        <f>IF(AND($AU192&gt;0,ISNUMBER($AX192)),$AU192*$AX192,0)</f>
        <v>0</v>
      </c>
      <c r="AZ192" s="46"/>
      <c r="BA192" s="52"/>
      <c r="BB192" s="52"/>
      <c r="BC192" s="52"/>
      <c r="BD192" s="52"/>
      <c r="BE192" s="52"/>
      <c r="BF192" s="52"/>
    </row>
    <row r="193" spans="1:58" ht="15" customHeight="1">
      <c r="A193" s="46" t="s">
        <v>1172</v>
      </c>
      <c r="B193" s="53" t="s">
        <v>1173</v>
      </c>
      <c r="C193" s="66" t="s">
        <v>70</v>
      </c>
      <c r="D193" s="67">
        <v>3</v>
      </c>
      <c r="E193" s="53" t="s">
        <v>81</v>
      </c>
      <c r="F193" s="50">
        <v>2</v>
      </c>
      <c r="G193" s="50">
        <v>3</v>
      </c>
      <c r="H193" s="51" t="s">
        <v>1174</v>
      </c>
      <c r="I193" s="50" t="s">
        <v>1175</v>
      </c>
      <c r="J193" s="54" t="s">
        <v>73</v>
      </c>
      <c r="K193" s="53" t="s">
        <v>1099</v>
      </c>
      <c r="L193" s="53" t="s">
        <v>1176</v>
      </c>
      <c r="M193" s="53" t="s">
        <v>1177</v>
      </c>
      <c r="N193" s="53"/>
      <c r="O193" s="54"/>
      <c r="P193" s="56" t="s">
        <v>76</v>
      </c>
      <c r="Q193" s="53" t="s">
        <v>691</v>
      </c>
      <c r="R193" s="50" t="s">
        <v>1178</v>
      </c>
      <c r="S193" s="50">
        <v>2</v>
      </c>
      <c r="T193" s="50">
        <v>0</v>
      </c>
      <c r="U193" s="56" t="s">
        <v>1179</v>
      </c>
      <c r="V193" s="57">
        <v>1.99</v>
      </c>
      <c r="W193" s="56"/>
      <c r="X193" s="50"/>
      <c r="Y193" s="50"/>
      <c r="Z193" s="50"/>
      <c r="AA193" s="56"/>
      <c r="AB193" s="57"/>
      <c r="AC193" s="54">
        <v>2</v>
      </c>
      <c r="AD193" s="69">
        <f>SUM(AE193:AK193)</f>
        <v>0</v>
      </c>
      <c r="AE193" s="66"/>
      <c r="AF193" s="66"/>
      <c r="AG193" s="66"/>
      <c r="AH193" s="66"/>
      <c r="AI193" s="66"/>
      <c r="AJ193" s="66"/>
      <c r="AK193" s="66"/>
      <c r="AL193" s="54">
        <f>IF((AC193-SUM(AE193:AK193))&lt;0,0,AC193-SUM(AE193:AK193))</f>
        <v>2</v>
      </c>
      <c r="AM193" s="69">
        <f>SUM(AN193:AT193)</f>
        <v>0</v>
      </c>
      <c r="AN193" s="60"/>
      <c r="AO193" s="52"/>
      <c r="AP193" s="52"/>
      <c r="AQ193" s="52"/>
      <c r="AR193" s="52"/>
      <c r="AS193" s="52"/>
      <c r="AT193" s="61"/>
      <c r="AU193" s="66">
        <f>MAX(0,$AM193-$AC193-$AW193)</f>
        <v>0</v>
      </c>
      <c r="AV193" s="66"/>
      <c r="AW193" s="66"/>
      <c r="AX193" s="65">
        <v>0</v>
      </c>
      <c r="AY193" s="65">
        <f>IF(AND($AU193&gt;0,ISNUMBER($AX193)),$AU193*$AX193,0)</f>
        <v>0</v>
      </c>
      <c r="AZ193" s="46"/>
      <c r="BA193" s="52"/>
      <c r="BB193" s="52"/>
      <c r="BC193" s="52"/>
      <c r="BD193" s="52"/>
      <c r="BE193" s="52"/>
      <c r="BF193" s="52"/>
    </row>
    <row r="194" spans="1:58" ht="15" customHeight="1">
      <c r="A194" s="46" t="s">
        <v>1180</v>
      </c>
      <c r="B194" s="53" t="s">
        <v>1181</v>
      </c>
      <c r="C194" s="66" t="s">
        <v>109</v>
      </c>
      <c r="D194" s="67">
        <v>1</v>
      </c>
      <c r="E194" s="53" t="s">
        <v>81</v>
      </c>
      <c r="F194" s="50">
        <v>1</v>
      </c>
      <c r="G194" s="50">
        <v>1</v>
      </c>
      <c r="H194" s="51" t="s">
        <v>1182</v>
      </c>
      <c r="I194" s="50" t="s">
        <v>1183</v>
      </c>
      <c r="J194" s="54" t="s">
        <v>73</v>
      </c>
      <c r="K194" s="53" t="s">
        <v>121</v>
      </c>
      <c r="L194" s="53" t="s">
        <v>1184</v>
      </c>
      <c r="M194" s="53" t="s">
        <v>1185</v>
      </c>
      <c r="N194" s="53"/>
      <c r="O194" s="54"/>
      <c r="P194" s="56" t="s">
        <v>76</v>
      </c>
      <c r="Q194" s="53" t="s">
        <v>691</v>
      </c>
      <c r="R194" s="50" t="s">
        <v>1186</v>
      </c>
      <c r="S194" s="50">
        <v>2</v>
      </c>
      <c r="T194" s="50">
        <v>0</v>
      </c>
      <c r="U194" s="56" t="s">
        <v>1187</v>
      </c>
      <c r="V194" s="57">
        <v>1.99</v>
      </c>
      <c r="W194" s="56"/>
      <c r="X194" s="50"/>
      <c r="Y194" s="50"/>
      <c r="Z194" s="50"/>
      <c r="AA194" s="56"/>
      <c r="AB194" s="57"/>
      <c r="AC194" s="54">
        <v>2</v>
      </c>
      <c r="AD194" s="69">
        <f>SUM(AE194:AK194)</f>
        <v>0</v>
      </c>
      <c r="AE194" s="66"/>
      <c r="AF194" s="66"/>
      <c r="AG194" s="66"/>
      <c r="AH194" s="66"/>
      <c r="AI194" s="66"/>
      <c r="AJ194" s="66"/>
      <c r="AK194" s="66"/>
      <c r="AL194" s="54">
        <f>IF((AC194-SUM(AE194:AK194))&lt;0,0,AC194-SUM(AE194:AK194))</f>
        <v>2</v>
      </c>
      <c r="AM194" s="69">
        <f>SUM(AN194:AT194)</f>
        <v>0</v>
      </c>
      <c r="AN194" s="60"/>
      <c r="AO194" s="52"/>
      <c r="AP194" s="52"/>
      <c r="AQ194" s="52"/>
      <c r="AR194" s="52"/>
      <c r="AS194" s="52"/>
      <c r="AT194" s="61"/>
      <c r="AU194" s="66">
        <f>MAX(0,$AM194-$AC194-$AW194)</f>
        <v>0</v>
      </c>
      <c r="AV194" s="66"/>
      <c r="AW194" s="66"/>
      <c r="AX194" s="65">
        <v>0</v>
      </c>
      <c r="AY194" s="65">
        <f>IF(AND($AU194&gt;0,ISNUMBER($AX194)),$AU194*$AX194,0)</f>
        <v>0</v>
      </c>
      <c r="AZ194" s="46"/>
      <c r="BA194" s="52"/>
      <c r="BB194" s="52"/>
      <c r="BC194" s="52"/>
      <c r="BD194" s="52"/>
      <c r="BE194" s="52"/>
      <c r="BF194" s="52"/>
    </row>
    <row r="195" spans="1:58" ht="15" customHeight="1">
      <c r="A195" s="46" t="s">
        <v>1188</v>
      </c>
      <c r="B195" s="53" t="s">
        <v>1189</v>
      </c>
      <c r="C195" s="66" t="s">
        <v>181</v>
      </c>
      <c r="D195" s="67">
        <v>3</v>
      </c>
      <c r="E195" s="53" t="s">
        <v>71</v>
      </c>
      <c r="F195" s="50"/>
      <c r="G195" s="50"/>
      <c r="H195" s="51"/>
      <c r="I195" s="50" t="s">
        <v>1190</v>
      </c>
      <c r="J195" s="54" t="s">
        <v>73</v>
      </c>
      <c r="K195" s="53" t="s">
        <v>92</v>
      </c>
      <c r="L195" s="53" t="s">
        <v>403</v>
      </c>
      <c r="M195" s="53" t="s">
        <v>1191</v>
      </c>
      <c r="N195" s="53"/>
      <c r="O195" s="54"/>
      <c r="P195" s="56" t="s">
        <v>76</v>
      </c>
      <c r="Q195" s="53" t="s">
        <v>691</v>
      </c>
      <c r="R195" s="50" t="s">
        <v>1192</v>
      </c>
      <c r="S195" s="50">
        <v>2</v>
      </c>
      <c r="T195" s="50">
        <v>0</v>
      </c>
      <c r="U195" s="56" t="s">
        <v>1193</v>
      </c>
      <c r="V195" s="57">
        <v>1.98</v>
      </c>
      <c r="W195" s="56"/>
      <c r="X195" s="50"/>
      <c r="Y195" s="50"/>
      <c r="Z195" s="50"/>
      <c r="AA195" s="56"/>
      <c r="AB195" s="57"/>
      <c r="AC195" s="54">
        <v>2</v>
      </c>
      <c r="AD195" s="69">
        <f>SUM(AE195:AK195)</f>
        <v>0</v>
      </c>
      <c r="AE195" s="66"/>
      <c r="AF195" s="66"/>
      <c r="AG195" s="66"/>
      <c r="AH195" s="66"/>
      <c r="AI195" s="66"/>
      <c r="AJ195" s="66"/>
      <c r="AK195" s="66"/>
      <c r="AL195" s="54">
        <f>IF((AC195-SUM(AE195:AK195))&lt;0,0,AC195-SUM(AE195:AK195))</f>
        <v>2</v>
      </c>
      <c r="AM195" s="69">
        <f>SUM(AN195:AT195)</f>
        <v>0</v>
      </c>
      <c r="AN195" s="60"/>
      <c r="AO195" s="52"/>
      <c r="AP195" s="52"/>
      <c r="AQ195" s="52"/>
      <c r="AR195" s="52"/>
      <c r="AS195" s="52"/>
      <c r="AT195" s="61"/>
      <c r="AU195" s="66">
        <f>MAX(0,$AM195-$AC195-$AW195)</f>
        <v>0</v>
      </c>
      <c r="AV195" s="66"/>
      <c r="AW195" s="66"/>
      <c r="AX195" s="65">
        <v>0</v>
      </c>
      <c r="AY195" s="65">
        <f>IF(AND($AU195&gt;0,ISNUMBER($AX195)),$AU195*$AX195,0)</f>
        <v>0</v>
      </c>
      <c r="AZ195" s="46"/>
      <c r="BA195" s="52"/>
      <c r="BB195" s="52"/>
      <c r="BC195" s="52"/>
      <c r="BD195" s="52"/>
      <c r="BE195" s="52"/>
      <c r="BF195" s="52"/>
    </row>
    <row r="196" spans="1:58" ht="15" customHeight="1">
      <c r="A196" s="46" t="s">
        <v>1194</v>
      </c>
      <c r="B196" s="53" t="s">
        <v>1195</v>
      </c>
      <c r="C196" s="66" t="s">
        <v>118</v>
      </c>
      <c r="D196" s="67">
        <v>4</v>
      </c>
      <c r="E196" s="53" t="s">
        <v>110</v>
      </c>
      <c r="F196" s="50">
        <v>2</v>
      </c>
      <c r="G196" s="50">
        <v>3</v>
      </c>
      <c r="H196" s="51" t="s">
        <v>1196</v>
      </c>
      <c r="I196" s="50" t="s">
        <v>1197</v>
      </c>
      <c r="J196" s="54" t="s">
        <v>73</v>
      </c>
      <c r="K196" s="53" t="s">
        <v>170</v>
      </c>
      <c r="L196" s="53" t="s">
        <v>1198</v>
      </c>
      <c r="M196" s="53" t="s">
        <v>1199</v>
      </c>
      <c r="N196" s="53"/>
      <c r="O196" s="56">
        <v>3853</v>
      </c>
      <c r="P196" s="56" t="s">
        <v>185</v>
      </c>
      <c r="Q196" s="53" t="s">
        <v>691</v>
      </c>
      <c r="R196" s="50" t="s">
        <v>1200</v>
      </c>
      <c r="S196" s="50">
        <v>2</v>
      </c>
      <c r="T196" s="50">
        <v>0</v>
      </c>
      <c r="U196" s="56" t="s">
        <v>1201</v>
      </c>
      <c r="V196" s="57">
        <v>1.94</v>
      </c>
      <c r="W196" s="56"/>
      <c r="X196" s="50"/>
      <c r="Y196" s="50"/>
      <c r="Z196" s="50"/>
      <c r="AA196" s="56"/>
      <c r="AB196" s="57"/>
      <c r="AC196" s="54">
        <v>2</v>
      </c>
      <c r="AD196" s="69">
        <f>SUM(AE196:AK196)</f>
        <v>0</v>
      </c>
      <c r="AE196" s="66"/>
      <c r="AF196" s="66"/>
      <c r="AG196" s="66"/>
      <c r="AH196" s="66"/>
      <c r="AI196" s="66"/>
      <c r="AJ196" s="66"/>
      <c r="AK196" s="66"/>
      <c r="AL196" s="54">
        <f>IF((AC196-SUM(AE196:AK196))&lt;0,0,AC196-SUM(AE196:AK196))</f>
        <v>2</v>
      </c>
      <c r="AM196" s="69">
        <f>SUM(AN196:AT196)</f>
        <v>0</v>
      </c>
      <c r="AN196" s="60"/>
      <c r="AO196" s="52"/>
      <c r="AP196" s="52"/>
      <c r="AQ196" s="52"/>
      <c r="AR196" s="52"/>
      <c r="AS196" s="52"/>
      <c r="AT196" s="61"/>
      <c r="AU196" s="66">
        <f>MAX(0,$AM196-$AC196-$AW196)</f>
        <v>0</v>
      </c>
      <c r="AV196" s="66"/>
      <c r="AW196" s="66"/>
      <c r="AX196" s="65">
        <v>0</v>
      </c>
      <c r="AY196" s="65">
        <f>IF(AND($AU196&gt;0,ISNUMBER($AX196)),$AU196*$AX196,0)</f>
        <v>0</v>
      </c>
      <c r="AZ196" s="46"/>
      <c r="BA196" s="52"/>
      <c r="BB196" s="52"/>
      <c r="BC196" s="52"/>
      <c r="BD196" s="52"/>
      <c r="BE196" s="52"/>
      <c r="BF196" s="52"/>
    </row>
    <row r="197" spans="1:58" ht="15" customHeight="1">
      <c r="A197" s="46" t="s">
        <v>1202</v>
      </c>
      <c r="B197" s="53" t="s">
        <v>1203</v>
      </c>
      <c r="C197" s="66" t="s">
        <v>80</v>
      </c>
      <c r="D197" s="67">
        <v>1</v>
      </c>
      <c r="E197" s="53" t="s">
        <v>110</v>
      </c>
      <c r="F197" s="50">
        <v>1</v>
      </c>
      <c r="G197" s="50">
        <v>1</v>
      </c>
      <c r="H197" s="51" t="s">
        <v>1204</v>
      </c>
      <c r="I197" s="50" t="s">
        <v>1205</v>
      </c>
      <c r="J197" s="54" t="s">
        <v>73</v>
      </c>
      <c r="K197" s="53" t="s">
        <v>74</v>
      </c>
      <c r="L197" s="53" t="s">
        <v>85</v>
      </c>
      <c r="M197" s="53" t="s">
        <v>1206</v>
      </c>
      <c r="N197" s="53"/>
      <c r="O197" s="56">
        <v>4889</v>
      </c>
      <c r="P197" s="56" t="s">
        <v>185</v>
      </c>
      <c r="Q197" s="53" t="s">
        <v>691</v>
      </c>
      <c r="R197" s="50" t="s">
        <v>1207</v>
      </c>
      <c r="S197" s="50">
        <v>2</v>
      </c>
      <c r="T197" s="50">
        <v>0</v>
      </c>
      <c r="U197" s="56" t="s">
        <v>1201</v>
      </c>
      <c r="V197" s="57">
        <v>1.74</v>
      </c>
      <c r="W197" s="56"/>
      <c r="X197" s="50"/>
      <c r="Y197" s="50"/>
      <c r="Z197" s="50"/>
      <c r="AA197" s="56"/>
      <c r="AB197" s="57"/>
      <c r="AC197" s="54">
        <v>2</v>
      </c>
      <c r="AD197" s="69">
        <f>SUM(AE197:AK197)</f>
        <v>0</v>
      </c>
      <c r="AE197" s="66"/>
      <c r="AF197" s="66"/>
      <c r="AG197" s="66"/>
      <c r="AH197" s="66"/>
      <c r="AI197" s="66"/>
      <c r="AJ197" s="66"/>
      <c r="AK197" s="66"/>
      <c r="AL197" s="54">
        <f>IF((AC197-SUM(AE197:AK197))&lt;0,0,AC197-SUM(AE197:AK197))</f>
        <v>2</v>
      </c>
      <c r="AM197" s="69">
        <f>SUM(AN197:AT197)</f>
        <v>0</v>
      </c>
      <c r="AN197" s="60"/>
      <c r="AO197" s="52"/>
      <c r="AP197" s="52"/>
      <c r="AQ197" s="52"/>
      <c r="AR197" s="52"/>
      <c r="AS197" s="52"/>
      <c r="AT197" s="61"/>
      <c r="AU197" s="66">
        <f>MAX(0,$AM197-$AC197-$AW197)</f>
        <v>0</v>
      </c>
      <c r="AV197" s="66"/>
      <c r="AW197" s="66"/>
      <c r="AX197" s="65">
        <v>0</v>
      </c>
      <c r="AY197" s="65">
        <f>IF(AND($AU197&gt;0,ISNUMBER($AX197)),$AU197*$AX197,0)</f>
        <v>0</v>
      </c>
      <c r="AZ197" s="46"/>
      <c r="BA197" s="52"/>
      <c r="BB197" s="52"/>
      <c r="BC197" s="52"/>
      <c r="BD197" s="52"/>
      <c r="BE197" s="52"/>
      <c r="BF197" s="52"/>
    </row>
    <row r="198" spans="1:58" ht="15" customHeight="1">
      <c r="A198" s="46" t="s">
        <v>1208</v>
      </c>
      <c r="B198" s="53" t="s">
        <v>1209</v>
      </c>
      <c r="C198" s="66" t="s">
        <v>181</v>
      </c>
      <c r="D198" s="67">
        <v>3</v>
      </c>
      <c r="E198" s="53" t="s">
        <v>110</v>
      </c>
      <c r="F198" s="50">
        <v>2</v>
      </c>
      <c r="G198" s="50">
        <v>1</v>
      </c>
      <c r="H198" s="51" t="s">
        <v>1210</v>
      </c>
      <c r="I198" s="50" t="s">
        <v>1211</v>
      </c>
      <c r="J198" s="54" t="s">
        <v>73</v>
      </c>
      <c r="K198" s="53" t="s">
        <v>386</v>
      </c>
      <c r="L198" s="53" t="s">
        <v>1212</v>
      </c>
      <c r="M198" s="53" t="s">
        <v>1213</v>
      </c>
      <c r="N198" s="53"/>
      <c r="O198" s="56">
        <v>2652</v>
      </c>
      <c r="P198" s="56" t="s">
        <v>185</v>
      </c>
      <c r="Q198" s="53" t="s">
        <v>691</v>
      </c>
      <c r="R198" s="50" t="s">
        <v>1214</v>
      </c>
      <c r="S198" s="50">
        <v>2</v>
      </c>
      <c r="T198" s="50">
        <v>1</v>
      </c>
      <c r="U198" s="56" t="s">
        <v>1215</v>
      </c>
      <c r="V198" s="57">
        <v>1.69</v>
      </c>
      <c r="W198" s="56"/>
      <c r="X198" s="50"/>
      <c r="Y198" s="50"/>
      <c r="Z198" s="50"/>
      <c r="AA198" s="56"/>
      <c r="AB198" s="57"/>
      <c r="AC198" s="54">
        <v>2</v>
      </c>
      <c r="AD198" s="69">
        <f>SUM(AE198:AK198)</f>
        <v>0</v>
      </c>
      <c r="AE198" s="66"/>
      <c r="AF198" s="66"/>
      <c r="AG198" s="66"/>
      <c r="AH198" s="66"/>
      <c r="AI198" s="66"/>
      <c r="AJ198" s="66"/>
      <c r="AK198" s="66"/>
      <c r="AL198" s="54">
        <f>IF((AC198-SUM(AE198:AK198))&lt;0,0,AC198-SUM(AE198:AK198))</f>
        <v>2</v>
      </c>
      <c r="AM198" s="69">
        <f>SUM(AN198:AT198)</f>
        <v>0</v>
      </c>
      <c r="AN198" s="60"/>
      <c r="AO198" s="52"/>
      <c r="AP198" s="52"/>
      <c r="AQ198" s="52"/>
      <c r="AR198" s="52"/>
      <c r="AS198" s="52"/>
      <c r="AT198" s="61"/>
      <c r="AU198" s="66">
        <f>MAX(0,$AM198-$AC198-$AW198)</f>
        <v>0</v>
      </c>
      <c r="AV198" s="66"/>
      <c r="AW198" s="66"/>
      <c r="AX198" s="65">
        <v>0</v>
      </c>
      <c r="AY198" s="65">
        <f>IF(AND($AU198&gt;0,ISNUMBER($AX198)),$AU198*$AX198,0)</f>
        <v>0</v>
      </c>
      <c r="AZ198" s="46"/>
      <c r="BA198" s="52"/>
      <c r="BB198" s="52"/>
      <c r="BC198" s="52"/>
      <c r="BD198" s="52"/>
      <c r="BE198" s="52"/>
      <c r="BF198" s="52"/>
    </row>
    <row r="199" spans="1:58" ht="15" customHeight="1">
      <c r="A199" s="46" t="s">
        <v>1216</v>
      </c>
      <c r="B199" s="53" t="s">
        <v>1217</v>
      </c>
      <c r="C199" s="66" t="s">
        <v>181</v>
      </c>
      <c r="D199" s="67">
        <v>3</v>
      </c>
      <c r="E199" s="53" t="s">
        <v>110</v>
      </c>
      <c r="F199" s="50">
        <v>-2</v>
      </c>
      <c r="G199" s="50">
        <v>4</v>
      </c>
      <c r="H199" s="51" t="s">
        <v>182</v>
      </c>
      <c r="I199" s="50" t="s">
        <v>1218</v>
      </c>
      <c r="J199" s="54" t="s">
        <v>73</v>
      </c>
      <c r="K199" s="53" t="s">
        <v>676</v>
      </c>
      <c r="L199" s="53" t="s">
        <v>1219</v>
      </c>
      <c r="M199" s="53" t="s">
        <v>1220</v>
      </c>
      <c r="N199" s="53"/>
      <c r="O199" s="56">
        <v>2486</v>
      </c>
      <c r="P199" s="56" t="s">
        <v>185</v>
      </c>
      <c r="Q199" s="53" t="s">
        <v>691</v>
      </c>
      <c r="R199" s="50" t="s">
        <v>1221</v>
      </c>
      <c r="S199" s="50">
        <v>2</v>
      </c>
      <c r="T199" s="50">
        <v>0</v>
      </c>
      <c r="U199" s="56" t="s">
        <v>1222</v>
      </c>
      <c r="V199" s="57">
        <v>1.58</v>
      </c>
      <c r="W199" s="56"/>
      <c r="X199" s="50"/>
      <c r="Y199" s="50"/>
      <c r="Z199" s="50"/>
      <c r="AA199" s="56"/>
      <c r="AB199" s="57"/>
      <c r="AC199" s="54">
        <v>2</v>
      </c>
      <c r="AD199" s="69">
        <f>SUM(AE199:AK199)</f>
        <v>0</v>
      </c>
      <c r="AE199" s="66"/>
      <c r="AF199" s="66"/>
      <c r="AG199" s="66"/>
      <c r="AH199" s="66"/>
      <c r="AI199" s="66"/>
      <c r="AJ199" s="66"/>
      <c r="AK199" s="66"/>
      <c r="AL199" s="54">
        <f>IF((AC199-SUM(AE199:AK199))&lt;0,0,AC199-SUM(AE199:AK199))</f>
        <v>2</v>
      </c>
      <c r="AM199" s="69">
        <f>SUM(AN199:AT199)</f>
        <v>0</v>
      </c>
      <c r="AN199" s="60"/>
      <c r="AO199" s="52"/>
      <c r="AP199" s="52"/>
      <c r="AQ199" s="52"/>
      <c r="AR199" s="52"/>
      <c r="AS199" s="52"/>
      <c r="AT199" s="61"/>
      <c r="AU199" s="66">
        <f>MAX(0,$AM199-$AC199-$AW199)</f>
        <v>0</v>
      </c>
      <c r="AV199" s="66"/>
      <c r="AW199" s="66"/>
      <c r="AX199" s="65">
        <v>0</v>
      </c>
      <c r="AY199" s="65">
        <f>IF(AND($AU199&gt;0,ISNUMBER($AX199)),$AU199*$AX199,0)</f>
        <v>0</v>
      </c>
      <c r="AZ199" s="46"/>
      <c r="BA199" s="52"/>
      <c r="BB199" s="52"/>
      <c r="BC199" s="52"/>
      <c r="BD199" s="52"/>
      <c r="BE199" s="52"/>
      <c r="BF199" s="52"/>
    </row>
    <row r="200" spans="1:58" ht="15" customHeight="1">
      <c r="A200" s="46" t="s">
        <v>1223</v>
      </c>
      <c r="B200" s="53" t="s">
        <v>1224</v>
      </c>
      <c r="C200" s="66" t="s">
        <v>101</v>
      </c>
      <c r="D200" s="67">
        <v>4</v>
      </c>
      <c r="E200" s="53" t="s">
        <v>110</v>
      </c>
      <c r="F200" s="50">
        <v>2</v>
      </c>
      <c r="G200" s="50">
        <v>2</v>
      </c>
      <c r="H200" s="51" t="s">
        <v>830</v>
      </c>
      <c r="I200" s="50" t="s">
        <v>1225</v>
      </c>
      <c r="J200" s="54" t="s">
        <v>73</v>
      </c>
      <c r="K200" s="53" t="s">
        <v>129</v>
      </c>
      <c r="L200" s="53" t="s">
        <v>1226</v>
      </c>
      <c r="M200" s="53" t="s">
        <v>1227</v>
      </c>
      <c r="N200" s="53"/>
      <c r="O200" s="56">
        <v>4482</v>
      </c>
      <c r="P200" s="56" t="s">
        <v>185</v>
      </c>
      <c r="Q200" s="53" t="s">
        <v>691</v>
      </c>
      <c r="R200" s="50" t="s">
        <v>1228</v>
      </c>
      <c r="S200" s="50">
        <v>2</v>
      </c>
      <c r="T200" s="50">
        <v>1</v>
      </c>
      <c r="U200" s="56" t="s">
        <v>1229</v>
      </c>
      <c r="V200" s="57">
        <v>1.55</v>
      </c>
      <c r="W200" s="56"/>
      <c r="X200" s="50"/>
      <c r="Y200" s="50"/>
      <c r="Z200" s="50"/>
      <c r="AA200" s="56"/>
      <c r="AB200" s="57"/>
      <c r="AC200" s="54">
        <v>2</v>
      </c>
      <c r="AD200" s="69">
        <f>SUM(AE200:AK200)</f>
        <v>0</v>
      </c>
      <c r="AE200" s="66"/>
      <c r="AF200" s="66"/>
      <c r="AG200" s="66"/>
      <c r="AH200" s="66"/>
      <c r="AI200" s="66"/>
      <c r="AJ200" s="66"/>
      <c r="AK200" s="66"/>
      <c r="AL200" s="54">
        <f>IF((AC200-SUM(AE200:AK200))&lt;0,0,AC200-SUM(AE200:AK200))</f>
        <v>2</v>
      </c>
      <c r="AM200" s="69">
        <f>SUM(AN200:AT200)</f>
        <v>0</v>
      </c>
      <c r="AN200" s="60"/>
      <c r="AO200" s="52"/>
      <c r="AP200" s="52"/>
      <c r="AQ200" s="52"/>
      <c r="AR200" s="52"/>
      <c r="AS200" s="52"/>
      <c r="AT200" s="61"/>
      <c r="AU200" s="66">
        <f>MAX(0,$AM200-$AC200-$AW200)</f>
        <v>0</v>
      </c>
      <c r="AV200" s="66"/>
      <c r="AW200" s="66"/>
      <c r="AX200" s="65">
        <v>0</v>
      </c>
      <c r="AY200" s="65">
        <f>IF(AND($AU200&gt;0,ISNUMBER($AX200)),$AU200*$AX200,0)</f>
        <v>0</v>
      </c>
      <c r="AZ200" s="46"/>
      <c r="BA200" s="52"/>
      <c r="BB200" s="52"/>
      <c r="BC200" s="52"/>
      <c r="BD200" s="52"/>
      <c r="BE200" s="52"/>
      <c r="BF200" s="52"/>
    </row>
    <row r="201" spans="1:58" ht="15" customHeight="1">
      <c r="A201" s="46" t="s">
        <v>1230</v>
      </c>
      <c r="B201" s="53" t="s">
        <v>1231</v>
      </c>
      <c r="C201" s="66" t="s">
        <v>70</v>
      </c>
      <c r="D201" s="67">
        <v>3</v>
      </c>
      <c r="E201" s="53" t="s">
        <v>81</v>
      </c>
      <c r="F201" s="50">
        <v>2</v>
      </c>
      <c r="G201" s="50">
        <v>3</v>
      </c>
      <c r="H201" s="51" t="s">
        <v>1232</v>
      </c>
      <c r="I201" s="50" t="s">
        <v>1233</v>
      </c>
      <c r="J201" s="54" t="s">
        <v>73</v>
      </c>
      <c r="K201" s="58" t="s">
        <v>129</v>
      </c>
      <c r="L201" s="58" t="s">
        <v>1234</v>
      </c>
      <c r="M201" s="58"/>
      <c r="N201" s="58"/>
      <c r="O201" s="54"/>
      <c r="P201" s="56" t="s">
        <v>86</v>
      </c>
      <c r="Q201" s="58" t="s">
        <v>1089</v>
      </c>
      <c r="R201" s="50"/>
      <c r="S201" s="50"/>
      <c r="T201" s="50"/>
      <c r="U201" s="56"/>
      <c r="V201" s="57">
        <v>1.41</v>
      </c>
      <c r="W201" s="68"/>
      <c r="X201" s="50"/>
      <c r="Y201" s="50"/>
      <c r="Z201" s="50"/>
      <c r="AA201" s="56"/>
      <c r="AB201" s="57"/>
      <c r="AC201" s="54">
        <v>2</v>
      </c>
      <c r="AD201" s="69">
        <f>SUM(AE201:AK201)</f>
        <v>1</v>
      </c>
      <c r="AE201" s="66"/>
      <c r="AF201" s="66"/>
      <c r="AG201" s="66"/>
      <c r="AH201" s="66"/>
      <c r="AI201" s="66"/>
      <c r="AJ201" s="66">
        <v>1</v>
      </c>
      <c r="AK201" s="66"/>
      <c r="AL201" s="54">
        <f>IF((AC201-SUM(AE201:AK201))&lt;0,0,AC201-SUM(AE201:AK201))</f>
        <v>1</v>
      </c>
      <c r="AM201" s="69">
        <f>SUM(AN201:AT201)</f>
        <v>1</v>
      </c>
      <c r="AN201" s="60"/>
      <c r="AO201" s="52"/>
      <c r="AP201" s="52"/>
      <c r="AQ201" s="52"/>
      <c r="AR201" s="52"/>
      <c r="AS201" s="52">
        <v>1</v>
      </c>
      <c r="AT201" s="61"/>
      <c r="AU201" s="66">
        <f>MAX(0,$AM201-$AC201-$AW201)</f>
        <v>0</v>
      </c>
      <c r="AV201" s="66"/>
      <c r="AW201" s="66"/>
      <c r="AX201" s="65">
        <v>0</v>
      </c>
      <c r="AY201" s="65">
        <f>IF(AND($AU201&gt;0,ISNUMBER($AX201)),$AU201*$AX201,0)</f>
        <v>0</v>
      </c>
      <c r="AZ201" s="46"/>
      <c r="BA201" s="52"/>
      <c r="BB201" s="52"/>
      <c r="BC201" s="52"/>
      <c r="BD201" s="52"/>
      <c r="BE201" s="52"/>
      <c r="BF201" s="52"/>
    </row>
    <row r="202" spans="1:58" ht="15" customHeight="1">
      <c r="A202" s="46" t="s">
        <v>1235</v>
      </c>
      <c r="B202" s="53" t="s">
        <v>1236</v>
      </c>
      <c r="C202" s="66" t="s">
        <v>109</v>
      </c>
      <c r="D202" s="67">
        <v>1</v>
      </c>
      <c r="E202" s="53" t="s">
        <v>81</v>
      </c>
      <c r="F202" s="50">
        <v>1</v>
      </c>
      <c r="G202" s="50">
        <v>1</v>
      </c>
      <c r="H202" s="51" t="s">
        <v>1237</v>
      </c>
      <c r="I202" s="50" t="s">
        <v>1238</v>
      </c>
      <c r="J202" s="54" t="s">
        <v>73</v>
      </c>
      <c r="K202" s="53" t="s">
        <v>676</v>
      </c>
      <c r="L202" s="53" t="s">
        <v>1239</v>
      </c>
      <c r="M202" s="53" t="s">
        <v>1240</v>
      </c>
      <c r="N202" s="53"/>
      <c r="O202" s="54"/>
      <c r="P202" s="56" t="s">
        <v>76</v>
      </c>
      <c r="Q202" s="53" t="s">
        <v>691</v>
      </c>
      <c r="R202" s="50" t="s">
        <v>446</v>
      </c>
      <c r="S202" s="50">
        <v>2</v>
      </c>
      <c r="T202" s="50">
        <v>0</v>
      </c>
      <c r="U202" s="56" t="s">
        <v>1229</v>
      </c>
      <c r="V202" s="57">
        <v>1.21</v>
      </c>
      <c r="W202" s="56"/>
      <c r="X202" s="50"/>
      <c r="Y202" s="50"/>
      <c r="Z202" s="50"/>
      <c r="AA202" s="56"/>
      <c r="AB202" s="57"/>
      <c r="AC202" s="54">
        <v>2</v>
      </c>
      <c r="AD202" s="69">
        <f>SUM(AE202:AK202)</f>
        <v>0</v>
      </c>
      <c r="AE202" s="66"/>
      <c r="AF202" s="66"/>
      <c r="AG202" s="66"/>
      <c r="AH202" s="66"/>
      <c r="AI202" s="66"/>
      <c r="AJ202" s="66"/>
      <c r="AK202" s="66"/>
      <c r="AL202" s="54">
        <f>IF((AC202-SUM(AE202:AK202))&lt;0,0,AC202-SUM(AE202:AK202))</f>
        <v>2</v>
      </c>
      <c r="AM202" s="69">
        <f>SUM(AN202:AT202)</f>
        <v>0</v>
      </c>
      <c r="AN202" s="60"/>
      <c r="AO202" s="52"/>
      <c r="AP202" s="52"/>
      <c r="AQ202" s="52"/>
      <c r="AR202" s="52"/>
      <c r="AS202" s="52"/>
      <c r="AT202" s="61"/>
      <c r="AU202" s="66">
        <f>MAX(0,$AM202-$AC202-$AW202)</f>
        <v>0</v>
      </c>
      <c r="AV202" s="66"/>
      <c r="AW202" s="66"/>
      <c r="AX202" s="65">
        <v>0</v>
      </c>
      <c r="AY202" s="65">
        <f>IF(AND($AU202&gt;0,ISNUMBER($AX202)),$AU202*$AX202,0)</f>
        <v>0</v>
      </c>
      <c r="AZ202" s="46"/>
      <c r="BA202" s="52"/>
      <c r="BB202" s="52"/>
      <c r="BC202" s="52"/>
      <c r="BD202" s="52"/>
      <c r="BE202" s="52"/>
      <c r="BF202" s="52"/>
    </row>
    <row r="203" spans="1:58" ht="15" customHeight="1">
      <c r="A203" s="46" t="s">
        <v>1241</v>
      </c>
      <c r="B203" s="53" t="s">
        <v>1242</v>
      </c>
      <c r="C203" s="66" t="s">
        <v>109</v>
      </c>
      <c r="D203" s="67">
        <v>4</v>
      </c>
      <c r="E203" s="53" t="s">
        <v>81</v>
      </c>
      <c r="F203" s="50">
        <v>3</v>
      </c>
      <c r="G203" s="50">
        <v>3</v>
      </c>
      <c r="H203" s="51" t="s">
        <v>1243</v>
      </c>
      <c r="I203" s="50" t="s">
        <v>1244</v>
      </c>
      <c r="J203" s="54" t="s">
        <v>73</v>
      </c>
      <c r="K203" s="53" t="s">
        <v>386</v>
      </c>
      <c r="L203" s="53" t="s">
        <v>1177</v>
      </c>
      <c r="M203" s="53" t="s">
        <v>1245</v>
      </c>
      <c r="N203" s="53"/>
      <c r="O203" s="54"/>
      <c r="P203" s="56" t="s">
        <v>76</v>
      </c>
      <c r="Q203" s="53" t="s">
        <v>691</v>
      </c>
      <c r="R203" s="50" t="s">
        <v>1246</v>
      </c>
      <c r="S203" s="50">
        <v>2</v>
      </c>
      <c r="T203" s="50">
        <v>0</v>
      </c>
      <c r="U203" s="56" t="s">
        <v>1247</v>
      </c>
      <c r="V203" s="57">
        <v>1.19</v>
      </c>
      <c r="W203" s="56"/>
      <c r="X203" s="50"/>
      <c r="Y203" s="50"/>
      <c r="Z203" s="50"/>
      <c r="AA203" s="56"/>
      <c r="AB203" s="57"/>
      <c r="AC203" s="54">
        <v>2</v>
      </c>
      <c r="AD203" s="69">
        <f>SUM(AE203:AK203)</f>
        <v>0</v>
      </c>
      <c r="AE203" s="66"/>
      <c r="AF203" s="66"/>
      <c r="AG203" s="66"/>
      <c r="AH203" s="66"/>
      <c r="AI203" s="66"/>
      <c r="AJ203" s="66"/>
      <c r="AK203" s="66"/>
      <c r="AL203" s="54">
        <f>IF((AC203-SUM(AE203:AK203))&lt;0,0,AC203-SUM(AE203:AK203))</f>
        <v>2</v>
      </c>
      <c r="AM203" s="69">
        <f>SUM(AN203:AT203)</f>
        <v>0</v>
      </c>
      <c r="AN203" s="60"/>
      <c r="AO203" s="52"/>
      <c r="AP203" s="52"/>
      <c r="AQ203" s="52"/>
      <c r="AR203" s="52"/>
      <c r="AS203" s="52"/>
      <c r="AT203" s="61"/>
      <c r="AU203" s="66">
        <f>MAX(0,$AM203-$AC203-$AW203)</f>
        <v>0</v>
      </c>
      <c r="AV203" s="66"/>
      <c r="AW203" s="66"/>
      <c r="AX203" s="65">
        <v>0</v>
      </c>
      <c r="AY203" s="65">
        <f>IF(AND($AU203&gt;0,ISNUMBER($AX203)),$AU203*$AX203,0)</f>
        <v>0</v>
      </c>
      <c r="AZ203" s="46"/>
      <c r="BA203" s="52"/>
      <c r="BB203" s="52"/>
      <c r="BC203" s="52"/>
      <c r="BD203" s="52"/>
      <c r="BE203" s="52"/>
      <c r="BF203" s="52"/>
    </row>
    <row r="204" spans="1:58" ht="15" customHeight="1">
      <c r="A204" s="46" t="s">
        <v>1248</v>
      </c>
      <c r="B204" s="53" t="s">
        <v>1249</v>
      </c>
      <c r="C204" s="66" t="s">
        <v>118</v>
      </c>
      <c r="D204" s="67">
        <v>2</v>
      </c>
      <c r="E204" s="53" t="s">
        <v>110</v>
      </c>
      <c r="F204" s="50">
        <v>1</v>
      </c>
      <c r="G204" s="50">
        <v>1</v>
      </c>
      <c r="H204" s="51" t="s">
        <v>119</v>
      </c>
      <c r="I204" s="50" t="s">
        <v>1250</v>
      </c>
      <c r="J204" s="54" t="s">
        <v>73</v>
      </c>
      <c r="K204" s="53" t="s">
        <v>254</v>
      </c>
      <c r="L204" s="53" t="s">
        <v>85</v>
      </c>
      <c r="M204" s="53" t="s">
        <v>1251</v>
      </c>
      <c r="N204" s="53"/>
      <c r="O204" s="56">
        <v>6607</v>
      </c>
      <c r="P204" s="56" t="s">
        <v>185</v>
      </c>
      <c r="Q204" s="53" t="s">
        <v>691</v>
      </c>
      <c r="R204" s="50" t="s">
        <v>1252</v>
      </c>
      <c r="S204" s="50">
        <v>2</v>
      </c>
      <c r="T204" s="50">
        <v>0</v>
      </c>
      <c r="U204" s="56" t="s">
        <v>1253</v>
      </c>
      <c r="V204" s="57">
        <v>1.19</v>
      </c>
      <c r="W204" s="56"/>
      <c r="X204" s="50"/>
      <c r="Y204" s="50"/>
      <c r="Z204" s="50"/>
      <c r="AA204" s="56"/>
      <c r="AB204" s="57"/>
      <c r="AC204" s="54">
        <v>2</v>
      </c>
      <c r="AD204" s="69">
        <f>SUM(AE204:AK204)</f>
        <v>0</v>
      </c>
      <c r="AE204" s="66"/>
      <c r="AF204" s="66"/>
      <c r="AG204" s="66"/>
      <c r="AH204" s="66"/>
      <c r="AI204" s="66"/>
      <c r="AJ204" s="66"/>
      <c r="AK204" s="66"/>
      <c r="AL204" s="54">
        <f>IF((AC204-SUM(AE204:AK204))&lt;0,0,AC204-SUM(AE204:AK204))</f>
        <v>2</v>
      </c>
      <c r="AM204" s="69">
        <f>SUM(AN204:AT204)</f>
        <v>0</v>
      </c>
      <c r="AN204" s="60"/>
      <c r="AO204" s="52"/>
      <c r="AP204" s="52"/>
      <c r="AQ204" s="52"/>
      <c r="AR204" s="52"/>
      <c r="AS204" s="52"/>
      <c r="AT204" s="61"/>
      <c r="AU204" s="66">
        <f>MAX(0,$AM204-$AC204-$AW204)</f>
        <v>0</v>
      </c>
      <c r="AV204" s="66"/>
      <c r="AW204" s="66"/>
      <c r="AX204" s="65">
        <v>0</v>
      </c>
      <c r="AY204" s="65">
        <f>IF(AND($AU204&gt;0,ISNUMBER($AX204)),$AU204*$AX204,0)</f>
        <v>0</v>
      </c>
      <c r="AZ204" s="46"/>
      <c r="BA204" s="52"/>
      <c r="BB204" s="52"/>
      <c r="BC204" s="52"/>
      <c r="BD204" s="52"/>
      <c r="BE204" s="52"/>
      <c r="BF204" s="52"/>
    </row>
    <row r="205" spans="1:58" ht="15" customHeight="1">
      <c r="A205" s="46" t="s">
        <v>1254</v>
      </c>
      <c r="B205" s="53" t="s">
        <v>1255</v>
      </c>
      <c r="C205" s="66" t="s">
        <v>109</v>
      </c>
      <c r="D205" s="67">
        <v>2</v>
      </c>
      <c r="E205" s="53" t="s">
        <v>384</v>
      </c>
      <c r="F205" s="50"/>
      <c r="G205" s="50"/>
      <c r="H205" s="51" t="s">
        <v>1256</v>
      </c>
      <c r="I205" s="50" t="s">
        <v>1257</v>
      </c>
      <c r="J205" s="54" t="s">
        <v>73</v>
      </c>
      <c r="K205" s="53" t="s">
        <v>254</v>
      </c>
      <c r="L205" s="53" t="s">
        <v>1258</v>
      </c>
      <c r="M205" s="53" t="s">
        <v>1259</v>
      </c>
      <c r="N205" s="53" t="s">
        <v>85</v>
      </c>
      <c r="O205" s="54"/>
      <c r="P205" s="56" t="s">
        <v>76</v>
      </c>
      <c r="Q205" s="53" t="s">
        <v>691</v>
      </c>
      <c r="R205" s="50" t="s">
        <v>1260</v>
      </c>
      <c r="S205" s="50">
        <v>2</v>
      </c>
      <c r="T205" s="50">
        <v>0</v>
      </c>
      <c r="U205" s="56" t="s">
        <v>1261</v>
      </c>
      <c r="V205" s="57">
        <v>1.1499999999999999</v>
      </c>
      <c r="W205" s="56"/>
      <c r="X205" s="50"/>
      <c r="Y205" s="50"/>
      <c r="Z205" s="50"/>
      <c r="AA205" s="56"/>
      <c r="AB205" s="57"/>
      <c r="AC205" s="54">
        <v>2</v>
      </c>
      <c r="AD205" s="69">
        <f>SUM(AE205:AK205)</f>
        <v>0</v>
      </c>
      <c r="AE205" s="66"/>
      <c r="AF205" s="66"/>
      <c r="AG205" s="66"/>
      <c r="AH205" s="66"/>
      <c r="AI205" s="66"/>
      <c r="AJ205" s="66"/>
      <c r="AK205" s="66"/>
      <c r="AL205" s="54">
        <f>IF((AC205-SUM(AE205:AK205))&lt;0,0,AC205-SUM(AE205:AK205))</f>
        <v>2</v>
      </c>
      <c r="AM205" s="69">
        <f>SUM(AN205:AT205)</f>
        <v>0</v>
      </c>
      <c r="AN205" s="60"/>
      <c r="AO205" s="52"/>
      <c r="AP205" s="52"/>
      <c r="AQ205" s="52"/>
      <c r="AR205" s="52"/>
      <c r="AS205" s="52"/>
      <c r="AT205" s="61"/>
      <c r="AU205" s="66">
        <f>MAX(0,$AM205-$AC205-$AW205)</f>
        <v>0</v>
      </c>
      <c r="AV205" s="66"/>
      <c r="AW205" s="66"/>
      <c r="AX205" s="65">
        <v>0</v>
      </c>
      <c r="AY205" s="65">
        <f>IF(AND($AU205&gt;0,ISNUMBER($AX205)),$AU205*$AX205,0)</f>
        <v>0</v>
      </c>
      <c r="AZ205" s="46"/>
      <c r="BA205" s="52"/>
      <c r="BB205" s="52"/>
      <c r="BC205" s="52"/>
      <c r="BD205" s="52"/>
      <c r="BE205" s="52"/>
      <c r="BF205" s="52"/>
    </row>
    <row r="206" spans="1:58" ht="15" customHeight="1">
      <c r="A206" s="46" t="s">
        <v>1262</v>
      </c>
      <c r="B206" s="53" t="s">
        <v>1263</v>
      </c>
      <c r="C206" s="66" t="s">
        <v>232</v>
      </c>
      <c r="D206" s="67">
        <v>3</v>
      </c>
      <c r="E206" s="53" t="s">
        <v>531</v>
      </c>
      <c r="F206" s="50">
        <v>3</v>
      </c>
      <c r="G206" s="50">
        <v>2</v>
      </c>
      <c r="H206" s="51" t="s">
        <v>1264</v>
      </c>
      <c r="I206" s="50" t="s">
        <v>1265</v>
      </c>
      <c r="J206" s="54" t="s">
        <v>73</v>
      </c>
      <c r="K206" s="53" t="s">
        <v>152</v>
      </c>
      <c r="L206" s="53" t="s">
        <v>1266</v>
      </c>
      <c r="M206" s="53" t="s">
        <v>1267</v>
      </c>
      <c r="N206" s="53"/>
      <c r="O206" s="54"/>
      <c r="P206" s="56" t="s">
        <v>76</v>
      </c>
      <c r="Q206" s="53" t="s">
        <v>691</v>
      </c>
      <c r="R206" s="50" t="s">
        <v>1268</v>
      </c>
      <c r="S206" s="50">
        <v>2</v>
      </c>
      <c r="T206" s="50">
        <v>0</v>
      </c>
      <c r="U206" s="56" t="s">
        <v>1269</v>
      </c>
      <c r="V206" s="57">
        <v>1.08</v>
      </c>
      <c r="W206" s="56"/>
      <c r="X206" s="50"/>
      <c r="Y206" s="50"/>
      <c r="Z206" s="50"/>
      <c r="AA206" s="56"/>
      <c r="AB206" s="57"/>
      <c r="AC206" s="54">
        <v>2</v>
      </c>
      <c r="AD206" s="69">
        <f>SUM(AE206:AK206)</f>
        <v>0</v>
      </c>
      <c r="AE206" s="66"/>
      <c r="AF206" s="66"/>
      <c r="AG206" s="66"/>
      <c r="AH206" s="66"/>
      <c r="AI206" s="66"/>
      <c r="AJ206" s="66"/>
      <c r="AK206" s="66"/>
      <c r="AL206" s="54">
        <f>IF((AC206-SUM(AE206:AK206))&lt;0,0,AC206-SUM(AE206:AK206))</f>
        <v>2</v>
      </c>
      <c r="AM206" s="69">
        <f>SUM(AN206:AT206)</f>
        <v>0</v>
      </c>
      <c r="AN206" s="60"/>
      <c r="AO206" s="52"/>
      <c r="AP206" s="52"/>
      <c r="AQ206" s="52"/>
      <c r="AR206" s="52"/>
      <c r="AS206" s="52"/>
      <c r="AT206" s="61"/>
      <c r="AU206" s="66">
        <f>MAX(0,$AM206-$AC206-$AW206)</f>
        <v>0</v>
      </c>
      <c r="AV206" s="66"/>
      <c r="AW206" s="66"/>
      <c r="AX206" s="65">
        <v>0</v>
      </c>
      <c r="AY206" s="65">
        <f>IF(AND($AU206&gt;0,ISNUMBER($AX206)),$AU206*$AX206,0)</f>
        <v>0</v>
      </c>
      <c r="AZ206" s="46"/>
      <c r="BA206" s="52"/>
      <c r="BB206" s="52"/>
      <c r="BC206" s="52"/>
      <c r="BD206" s="52"/>
      <c r="BE206" s="52"/>
      <c r="BF206" s="52"/>
    </row>
    <row r="207" spans="1:58" ht="15" customHeight="1">
      <c r="A207" s="46" t="s">
        <v>1270</v>
      </c>
      <c r="B207" s="53" t="s">
        <v>1271</v>
      </c>
      <c r="C207" s="66" t="s">
        <v>311</v>
      </c>
      <c r="D207" s="67">
        <v>0</v>
      </c>
      <c r="E207" s="53" t="s">
        <v>312</v>
      </c>
      <c r="F207" s="50"/>
      <c r="G207" s="50"/>
      <c r="H207" s="51"/>
      <c r="I207" s="50" t="s">
        <v>1272</v>
      </c>
      <c r="J207" s="54" t="s">
        <v>73</v>
      </c>
      <c r="K207" s="53" t="s">
        <v>312</v>
      </c>
      <c r="L207" s="53" t="s">
        <v>740</v>
      </c>
      <c r="M207" s="53" t="s">
        <v>1273</v>
      </c>
      <c r="N207" s="53" t="s">
        <v>1274</v>
      </c>
      <c r="O207" s="54"/>
      <c r="P207" s="56" t="s">
        <v>185</v>
      </c>
      <c r="Q207" s="53" t="s">
        <v>691</v>
      </c>
      <c r="R207" s="50" t="s">
        <v>1275</v>
      </c>
      <c r="S207" s="50">
        <v>2</v>
      </c>
      <c r="T207" s="50">
        <v>1</v>
      </c>
      <c r="U207" s="56" t="s">
        <v>1276</v>
      </c>
      <c r="V207" s="57">
        <v>1.06</v>
      </c>
      <c r="W207" s="56"/>
      <c r="X207" s="50"/>
      <c r="Y207" s="50"/>
      <c r="Z207" s="50"/>
      <c r="AA207" s="56"/>
      <c r="AB207" s="57"/>
      <c r="AC207" s="54">
        <v>2</v>
      </c>
      <c r="AD207" s="69">
        <f>SUM(AE207:AK207)</f>
        <v>0</v>
      </c>
      <c r="AE207" s="66"/>
      <c r="AF207" s="66"/>
      <c r="AG207" s="66"/>
      <c r="AH207" s="66"/>
      <c r="AI207" s="66"/>
      <c r="AJ207" s="66"/>
      <c r="AK207" s="66"/>
      <c r="AL207" s="54">
        <f>IF((AC207-SUM(AE207:AK207))&lt;0,0,AC207-SUM(AE207:AK207))</f>
        <v>2</v>
      </c>
      <c r="AM207" s="69">
        <f>SUM(AN207:AT207)</f>
        <v>0</v>
      </c>
      <c r="AN207" s="60"/>
      <c r="AO207" s="52"/>
      <c r="AP207" s="52"/>
      <c r="AQ207" s="52"/>
      <c r="AR207" s="52"/>
      <c r="AS207" s="52"/>
      <c r="AT207" s="61"/>
      <c r="AU207" s="66">
        <f>MAX(0,$AM207-$AC207-$AW207)</f>
        <v>0</v>
      </c>
      <c r="AV207" s="66"/>
      <c r="AW207" s="66"/>
      <c r="AX207" s="65">
        <v>0</v>
      </c>
      <c r="AY207" s="65">
        <f>IF(AND($AU207&gt;0,ISNUMBER($AX207)),$AU207*$AX207,0)</f>
        <v>0</v>
      </c>
      <c r="AZ207" s="46"/>
      <c r="BA207" s="52"/>
      <c r="BB207" s="52"/>
      <c r="BC207" s="52"/>
      <c r="BD207" s="52"/>
      <c r="BE207" s="52"/>
      <c r="BF207" s="52"/>
    </row>
    <row r="208" spans="1:58" ht="15" customHeight="1">
      <c r="A208" s="46" t="s">
        <v>1277</v>
      </c>
      <c r="B208" s="53" t="s">
        <v>1278</v>
      </c>
      <c r="C208" s="66" t="s">
        <v>80</v>
      </c>
      <c r="D208" s="67">
        <v>2</v>
      </c>
      <c r="E208" s="53" t="s">
        <v>110</v>
      </c>
      <c r="F208" s="50">
        <v>2</v>
      </c>
      <c r="G208" s="50">
        <v>2</v>
      </c>
      <c r="H208" s="51" t="s">
        <v>1279</v>
      </c>
      <c r="I208" s="50" t="s">
        <v>1280</v>
      </c>
      <c r="J208" s="54" t="s">
        <v>73</v>
      </c>
      <c r="K208" s="53" t="s">
        <v>92</v>
      </c>
      <c r="L208" s="53" t="s">
        <v>1281</v>
      </c>
      <c r="M208" s="53"/>
      <c r="N208" s="53"/>
      <c r="O208" s="56">
        <v>5850</v>
      </c>
      <c r="P208" s="56" t="s">
        <v>185</v>
      </c>
      <c r="Q208" s="53" t="s">
        <v>691</v>
      </c>
      <c r="R208" s="50" t="s">
        <v>1282</v>
      </c>
      <c r="S208" s="50">
        <v>2</v>
      </c>
      <c r="T208" s="50">
        <v>1</v>
      </c>
      <c r="U208" s="56" t="s">
        <v>1283</v>
      </c>
      <c r="V208" s="57">
        <v>1.03</v>
      </c>
      <c r="W208" s="56"/>
      <c r="X208" s="50"/>
      <c r="Y208" s="50"/>
      <c r="Z208" s="50"/>
      <c r="AA208" s="56"/>
      <c r="AB208" s="57"/>
      <c r="AC208" s="54">
        <v>2</v>
      </c>
      <c r="AD208" s="69">
        <f>SUM(AE208:AK208)</f>
        <v>0</v>
      </c>
      <c r="AE208" s="66"/>
      <c r="AF208" s="66"/>
      <c r="AG208" s="66"/>
      <c r="AH208" s="66"/>
      <c r="AI208" s="66"/>
      <c r="AJ208" s="66"/>
      <c r="AK208" s="66"/>
      <c r="AL208" s="54">
        <f>IF((AC208-SUM(AE208:AK208))&lt;0,0,AC208-SUM(AE208:AK208))</f>
        <v>2</v>
      </c>
      <c r="AM208" s="69">
        <f>SUM(AN208:AT208)</f>
        <v>0</v>
      </c>
      <c r="AN208" s="60"/>
      <c r="AO208" s="52"/>
      <c r="AP208" s="52"/>
      <c r="AQ208" s="52"/>
      <c r="AR208" s="52"/>
      <c r="AS208" s="52"/>
      <c r="AT208" s="61"/>
      <c r="AU208" s="66">
        <f>MAX(0,$AM208-$AC208-$AW208)</f>
        <v>0</v>
      </c>
      <c r="AV208" s="66"/>
      <c r="AW208" s="66"/>
      <c r="AX208" s="65">
        <v>0</v>
      </c>
      <c r="AY208" s="65">
        <f>IF(AND($AU208&gt;0,ISNUMBER($AX208)),$AU208*$AX208,0)</f>
        <v>0</v>
      </c>
      <c r="AZ208" s="46"/>
      <c r="BA208" s="52"/>
      <c r="BB208" s="52"/>
      <c r="BC208" s="52"/>
      <c r="BD208" s="52"/>
      <c r="BE208" s="52"/>
      <c r="BF208" s="52"/>
    </row>
    <row r="209" spans="1:58" ht="15" customHeight="1">
      <c r="A209" s="46" t="s">
        <v>1284</v>
      </c>
      <c r="B209" s="53" t="s">
        <v>1285</v>
      </c>
      <c r="C209" s="66" t="s">
        <v>232</v>
      </c>
      <c r="D209" s="67">
        <v>1</v>
      </c>
      <c r="E209" s="53" t="s">
        <v>233</v>
      </c>
      <c r="F209" s="50"/>
      <c r="G209" s="50"/>
      <c r="H209" s="51"/>
      <c r="I209" s="50" t="s">
        <v>1286</v>
      </c>
      <c r="J209" s="54" t="s">
        <v>73</v>
      </c>
      <c r="K209" s="53" t="s">
        <v>74</v>
      </c>
      <c r="L209" s="53" t="s">
        <v>1287</v>
      </c>
      <c r="M209" s="53" t="s">
        <v>1288</v>
      </c>
      <c r="N209" s="53"/>
      <c r="O209" s="54"/>
      <c r="P209" s="56" t="s">
        <v>185</v>
      </c>
      <c r="Q209" s="53" t="s">
        <v>691</v>
      </c>
      <c r="R209" s="50" t="s">
        <v>1289</v>
      </c>
      <c r="S209" s="50">
        <v>2</v>
      </c>
      <c r="T209" s="50">
        <v>0</v>
      </c>
      <c r="U209" s="56" t="s">
        <v>1290</v>
      </c>
      <c r="V209" s="57">
        <v>1.01</v>
      </c>
      <c r="W209" s="56"/>
      <c r="X209" s="50"/>
      <c r="Y209" s="50"/>
      <c r="Z209" s="50"/>
      <c r="AA209" s="56"/>
      <c r="AB209" s="57"/>
      <c r="AC209" s="54">
        <v>2</v>
      </c>
      <c r="AD209" s="69">
        <f>SUM(AE209:AK209)</f>
        <v>0</v>
      </c>
      <c r="AE209" s="66"/>
      <c r="AF209" s="66"/>
      <c r="AG209" s="66"/>
      <c r="AH209" s="66"/>
      <c r="AI209" s="66"/>
      <c r="AJ209" s="66"/>
      <c r="AK209" s="66"/>
      <c r="AL209" s="54">
        <f>IF((AC209-SUM(AE209:AK209))&lt;0,0,AC209-SUM(AE209:AK209))</f>
        <v>2</v>
      </c>
      <c r="AM209" s="69">
        <f>SUM(AN209:AT209)</f>
        <v>0</v>
      </c>
      <c r="AN209" s="60"/>
      <c r="AO209" s="52"/>
      <c r="AP209" s="52"/>
      <c r="AQ209" s="52"/>
      <c r="AR209" s="52"/>
      <c r="AS209" s="52"/>
      <c r="AT209" s="61"/>
      <c r="AU209" s="66">
        <f>MAX(0,$AM209-$AC209-$AW209)</f>
        <v>0</v>
      </c>
      <c r="AV209" s="66"/>
      <c r="AW209" s="66"/>
      <c r="AX209" s="65">
        <v>0</v>
      </c>
      <c r="AY209" s="65">
        <f>IF(AND($AU209&gt;0,ISNUMBER($AX209)),$AU209*$AX209,0)</f>
        <v>0</v>
      </c>
      <c r="AZ209" s="46"/>
      <c r="BA209" s="52"/>
      <c r="BB209" s="52"/>
      <c r="BC209" s="52"/>
      <c r="BD209" s="52"/>
      <c r="BE209" s="52"/>
      <c r="BF209" s="52"/>
    </row>
    <row r="210" spans="1:58" ht="15" customHeight="1">
      <c r="A210" s="46" t="s">
        <v>1291</v>
      </c>
      <c r="B210" s="53" t="s">
        <v>1292</v>
      </c>
      <c r="C210" s="66" t="s">
        <v>232</v>
      </c>
      <c r="D210" s="67">
        <v>3</v>
      </c>
      <c r="E210" s="53" t="s">
        <v>531</v>
      </c>
      <c r="F210" s="50">
        <v>2</v>
      </c>
      <c r="G210" s="50">
        <v>5</v>
      </c>
      <c r="H210" s="51" t="s">
        <v>465</v>
      </c>
      <c r="I210" s="50" t="s">
        <v>1293</v>
      </c>
      <c r="J210" s="54" t="s">
        <v>73</v>
      </c>
      <c r="K210" s="58" t="s">
        <v>170</v>
      </c>
      <c r="L210" s="58" t="s">
        <v>1294</v>
      </c>
      <c r="M210" s="58" t="s">
        <v>1295</v>
      </c>
      <c r="N210" s="58"/>
      <c r="O210" s="54"/>
      <c r="P210" s="56" t="s">
        <v>86</v>
      </c>
      <c r="Q210" s="58" t="s">
        <v>208</v>
      </c>
      <c r="R210" s="50"/>
      <c r="S210" s="50"/>
      <c r="T210" s="50"/>
      <c r="U210" s="56"/>
      <c r="V210" s="57">
        <v>1.01</v>
      </c>
      <c r="W210" s="68"/>
      <c r="X210" s="50"/>
      <c r="Y210" s="50"/>
      <c r="Z210" s="50"/>
      <c r="AA210" s="56"/>
      <c r="AB210" s="57"/>
      <c r="AC210" s="54">
        <v>2</v>
      </c>
      <c r="AD210" s="69">
        <f>SUM(AE210:AK210)</f>
        <v>1</v>
      </c>
      <c r="AE210" s="66"/>
      <c r="AF210" s="66"/>
      <c r="AG210" s="66"/>
      <c r="AH210" s="66">
        <v>1</v>
      </c>
      <c r="AI210" s="66"/>
      <c r="AJ210" s="66"/>
      <c r="AK210" s="66"/>
      <c r="AL210" s="54">
        <f>IF((AC210-SUM(AE210:AK210))&lt;0,0,AC210-SUM(AE210:AK210))</f>
        <v>1</v>
      </c>
      <c r="AM210" s="69">
        <f>SUM(AN210:AT210)</f>
        <v>1</v>
      </c>
      <c r="AN210" s="60"/>
      <c r="AO210" s="52"/>
      <c r="AP210" s="52"/>
      <c r="AQ210" s="52">
        <v>1</v>
      </c>
      <c r="AR210" s="52"/>
      <c r="AS210" s="52"/>
      <c r="AT210" s="61"/>
      <c r="AU210" s="66">
        <f>MAX(0,$AM210-$AC210-$AW210)</f>
        <v>0</v>
      </c>
      <c r="AV210" s="66"/>
      <c r="AW210" s="66"/>
      <c r="AX210" s="65">
        <v>0</v>
      </c>
      <c r="AY210" s="65">
        <f>IF(AND($AU210&gt;0,ISNUMBER($AX210)),$AU210*$AX210,0)</f>
        <v>0</v>
      </c>
      <c r="AZ210" s="46"/>
      <c r="BA210" s="52"/>
      <c r="BB210" s="52"/>
      <c r="BC210" s="52"/>
      <c r="BD210" s="52"/>
      <c r="BE210" s="52"/>
      <c r="BF210" s="52"/>
    </row>
    <row r="211" spans="1:58" ht="15" customHeight="1">
      <c r="A211" s="46" t="s">
        <v>1296</v>
      </c>
      <c r="B211" s="53" t="s">
        <v>1297</v>
      </c>
      <c r="C211" s="66" t="s">
        <v>109</v>
      </c>
      <c r="D211" s="67">
        <v>2</v>
      </c>
      <c r="E211" s="53" t="s">
        <v>189</v>
      </c>
      <c r="F211" s="50"/>
      <c r="G211" s="50"/>
      <c r="H211" s="51"/>
      <c r="I211" s="50" t="s">
        <v>1298</v>
      </c>
      <c r="J211" s="54" t="s">
        <v>73</v>
      </c>
      <c r="K211" s="53" t="s">
        <v>254</v>
      </c>
      <c r="L211" s="53" t="s">
        <v>1299</v>
      </c>
      <c r="M211" s="53" t="s">
        <v>1300</v>
      </c>
      <c r="N211" s="53" t="s">
        <v>1301</v>
      </c>
      <c r="O211" s="54"/>
      <c r="P211" s="56" t="s">
        <v>185</v>
      </c>
      <c r="Q211" s="53" t="s">
        <v>691</v>
      </c>
      <c r="R211" s="50" t="s">
        <v>1302</v>
      </c>
      <c r="S211" s="50">
        <v>2</v>
      </c>
      <c r="T211" s="50">
        <v>0</v>
      </c>
      <c r="U211" s="56" t="s">
        <v>780</v>
      </c>
      <c r="V211" s="57">
        <v>0.98</v>
      </c>
      <c r="W211" s="56"/>
      <c r="X211" s="50"/>
      <c r="Y211" s="50"/>
      <c r="Z211" s="50"/>
      <c r="AA211" s="56"/>
      <c r="AB211" s="57"/>
      <c r="AC211" s="54">
        <v>2</v>
      </c>
      <c r="AD211" s="69">
        <f>SUM(AE211:AK211)</f>
        <v>0</v>
      </c>
      <c r="AE211" s="66"/>
      <c r="AF211" s="66"/>
      <c r="AG211" s="66"/>
      <c r="AH211" s="66"/>
      <c r="AI211" s="66"/>
      <c r="AJ211" s="66"/>
      <c r="AK211" s="66"/>
      <c r="AL211" s="54">
        <f>IF((AC211-SUM(AE211:AK211))&lt;0,0,AC211-SUM(AE211:AK211))</f>
        <v>2</v>
      </c>
      <c r="AM211" s="69">
        <f>SUM(AN211:AT211)</f>
        <v>0</v>
      </c>
      <c r="AN211" s="60"/>
      <c r="AO211" s="52"/>
      <c r="AP211" s="52"/>
      <c r="AQ211" s="52"/>
      <c r="AR211" s="52"/>
      <c r="AS211" s="52"/>
      <c r="AT211" s="61"/>
      <c r="AU211" s="66">
        <f>MAX(0,$AM211-$AC211-$AW211)</f>
        <v>0</v>
      </c>
      <c r="AV211" s="66"/>
      <c r="AW211" s="66"/>
      <c r="AX211" s="65">
        <v>0</v>
      </c>
      <c r="AY211" s="65">
        <f>IF(AND($AU211&gt;0,ISNUMBER($AX211)),$AU211*$AX211,0)</f>
        <v>0</v>
      </c>
      <c r="AZ211" s="46"/>
      <c r="BA211" s="52"/>
      <c r="BB211" s="52"/>
      <c r="BC211" s="52"/>
      <c r="BD211" s="52"/>
      <c r="BE211" s="52"/>
      <c r="BF211" s="52"/>
    </row>
    <row r="212" spans="1:58" ht="15" customHeight="1">
      <c r="A212" s="46" t="s">
        <v>1303</v>
      </c>
      <c r="B212" s="53" t="s">
        <v>1304</v>
      </c>
      <c r="C212" s="66" t="s">
        <v>80</v>
      </c>
      <c r="D212" s="67">
        <v>4</v>
      </c>
      <c r="E212" s="53" t="s">
        <v>384</v>
      </c>
      <c r="F212" s="50"/>
      <c r="G212" s="50"/>
      <c r="H212" s="51"/>
      <c r="I212" s="50" t="s">
        <v>1305</v>
      </c>
      <c r="J212" s="54" t="s">
        <v>73</v>
      </c>
      <c r="K212" s="53" t="s">
        <v>135</v>
      </c>
      <c r="L212" s="53" t="s">
        <v>1306</v>
      </c>
      <c r="M212" s="53" t="s">
        <v>1307</v>
      </c>
      <c r="N212" s="53"/>
      <c r="O212" s="54"/>
      <c r="P212" s="56" t="s">
        <v>185</v>
      </c>
      <c r="Q212" s="53" t="s">
        <v>691</v>
      </c>
      <c r="R212" s="50" t="s">
        <v>1308</v>
      </c>
      <c r="S212" s="50">
        <v>2</v>
      </c>
      <c r="T212" s="50">
        <v>1</v>
      </c>
      <c r="U212" s="56" t="s">
        <v>635</v>
      </c>
      <c r="V212" s="57">
        <v>0.96</v>
      </c>
      <c r="W212" s="56"/>
      <c r="X212" s="50"/>
      <c r="Y212" s="50"/>
      <c r="Z212" s="50"/>
      <c r="AA212" s="56"/>
      <c r="AB212" s="57"/>
      <c r="AC212" s="54">
        <v>2</v>
      </c>
      <c r="AD212" s="69">
        <f>SUM(AE212:AK212)</f>
        <v>0</v>
      </c>
      <c r="AE212" s="66"/>
      <c r="AF212" s="66"/>
      <c r="AG212" s="66"/>
      <c r="AH212" s="66"/>
      <c r="AI212" s="66"/>
      <c r="AJ212" s="66"/>
      <c r="AK212" s="66"/>
      <c r="AL212" s="54">
        <f>IF((AC212-SUM(AE212:AK212))&lt;0,0,AC212-SUM(AE212:AK212))</f>
        <v>2</v>
      </c>
      <c r="AM212" s="69">
        <f>SUM(AN212:AT212)</f>
        <v>0</v>
      </c>
      <c r="AN212" s="60"/>
      <c r="AO212" s="52"/>
      <c r="AP212" s="52"/>
      <c r="AQ212" s="52"/>
      <c r="AR212" s="52"/>
      <c r="AS212" s="52"/>
      <c r="AT212" s="61"/>
      <c r="AU212" s="66">
        <f>MAX(0,$AM212-$AC212-$AW212)</f>
        <v>0</v>
      </c>
      <c r="AV212" s="66"/>
      <c r="AW212" s="66"/>
      <c r="AX212" s="65">
        <v>0</v>
      </c>
      <c r="AY212" s="65">
        <f>IF(AND($AU212&gt;0,ISNUMBER($AX212)),$AU212*$AX212,0)</f>
        <v>0</v>
      </c>
      <c r="AZ212" s="46"/>
      <c r="BA212" s="52"/>
      <c r="BB212" s="52"/>
      <c r="BC212" s="52"/>
      <c r="BD212" s="52"/>
      <c r="BE212" s="52"/>
      <c r="BF212" s="52"/>
    </row>
    <row r="213" spans="1:58" ht="15" customHeight="1">
      <c r="A213" s="46" t="s">
        <v>1309</v>
      </c>
      <c r="B213" s="53" t="s">
        <v>1310</v>
      </c>
      <c r="C213" s="66" t="s">
        <v>109</v>
      </c>
      <c r="D213" s="67">
        <v>2</v>
      </c>
      <c r="E213" s="53" t="s">
        <v>189</v>
      </c>
      <c r="F213" s="50"/>
      <c r="G213" s="50"/>
      <c r="H213" s="51"/>
      <c r="I213" s="50" t="s">
        <v>1311</v>
      </c>
      <c r="J213" s="54" t="s">
        <v>73</v>
      </c>
      <c r="K213" s="53" t="s">
        <v>98</v>
      </c>
      <c r="L213" s="53" t="s">
        <v>1312</v>
      </c>
      <c r="M213" s="53" t="s">
        <v>1313</v>
      </c>
      <c r="N213" s="53" t="s">
        <v>1314</v>
      </c>
      <c r="O213" s="54"/>
      <c r="P213" s="56" t="s">
        <v>185</v>
      </c>
      <c r="Q213" s="53" t="s">
        <v>691</v>
      </c>
      <c r="R213" s="50" t="s">
        <v>1315</v>
      </c>
      <c r="S213" s="50">
        <v>2</v>
      </c>
      <c r="T213" s="50">
        <v>0</v>
      </c>
      <c r="U213" s="56" t="s">
        <v>1261</v>
      </c>
      <c r="V213" s="57">
        <v>0.82</v>
      </c>
      <c r="W213" s="56"/>
      <c r="X213" s="50"/>
      <c r="Y213" s="50"/>
      <c r="Z213" s="50"/>
      <c r="AA213" s="56"/>
      <c r="AB213" s="57"/>
      <c r="AC213" s="54">
        <v>2</v>
      </c>
      <c r="AD213" s="69">
        <f>SUM(AE213:AK213)</f>
        <v>0</v>
      </c>
      <c r="AE213" s="66"/>
      <c r="AF213" s="66"/>
      <c r="AG213" s="66"/>
      <c r="AH213" s="66"/>
      <c r="AI213" s="66"/>
      <c r="AJ213" s="66"/>
      <c r="AK213" s="66"/>
      <c r="AL213" s="54">
        <f>IF((AC213-SUM(AE213:AK213))&lt;0,0,AC213-SUM(AE213:AK213))</f>
        <v>2</v>
      </c>
      <c r="AM213" s="69">
        <f>SUM(AN213:AT213)</f>
        <v>0</v>
      </c>
      <c r="AN213" s="60"/>
      <c r="AO213" s="52"/>
      <c r="AP213" s="52"/>
      <c r="AQ213" s="52"/>
      <c r="AR213" s="52"/>
      <c r="AS213" s="52"/>
      <c r="AT213" s="61"/>
      <c r="AU213" s="66">
        <f>MAX(0,$AM213-$AC213-$AW213)</f>
        <v>0</v>
      </c>
      <c r="AV213" s="66"/>
      <c r="AW213" s="66"/>
      <c r="AX213" s="65">
        <v>0</v>
      </c>
      <c r="AY213" s="65">
        <f>IF(AND($AU213&gt;0,ISNUMBER($AX213)),$AU213*$AX213,0)</f>
        <v>0</v>
      </c>
      <c r="AZ213" s="46"/>
      <c r="BA213" s="52"/>
      <c r="BB213" s="52"/>
      <c r="BC213" s="52"/>
      <c r="BD213" s="52"/>
      <c r="BE213" s="52"/>
      <c r="BF213" s="52"/>
    </row>
    <row r="214" spans="1:58" ht="15" customHeight="1">
      <c r="A214" s="46" t="s">
        <v>1316</v>
      </c>
      <c r="B214" s="53" t="s">
        <v>1317</v>
      </c>
      <c r="C214" s="66" t="s">
        <v>311</v>
      </c>
      <c r="D214" s="67">
        <v>0</v>
      </c>
      <c r="E214" s="53" t="s">
        <v>312</v>
      </c>
      <c r="F214" s="50"/>
      <c r="G214" s="50"/>
      <c r="H214" s="51"/>
      <c r="I214" s="50" t="s">
        <v>1318</v>
      </c>
      <c r="J214" s="54" t="s">
        <v>73</v>
      </c>
      <c r="K214" s="53" t="s">
        <v>312</v>
      </c>
      <c r="L214" s="53" t="s">
        <v>1319</v>
      </c>
      <c r="M214" s="53" t="s">
        <v>1320</v>
      </c>
      <c r="N214" s="53"/>
      <c r="O214" s="54"/>
      <c r="P214" s="56" t="s">
        <v>312</v>
      </c>
      <c r="Q214" s="53" t="s">
        <v>691</v>
      </c>
      <c r="R214" s="50" t="s">
        <v>1321</v>
      </c>
      <c r="S214" s="50">
        <v>2</v>
      </c>
      <c r="T214" s="50">
        <v>0</v>
      </c>
      <c r="U214" s="56" t="s">
        <v>1322</v>
      </c>
      <c r="V214" s="57">
        <v>0.72</v>
      </c>
      <c r="W214" s="56"/>
      <c r="X214" s="50"/>
      <c r="Y214" s="50"/>
      <c r="Z214" s="50"/>
      <c r="AA214" s="56"/>
      <c r="AB214" s="57"/>
      <c r="AC214" s="54">
        <v>2</v>
      </c>
      <c r="AD214" s="69">
        <f>SUM(AE214:AK214)</f>
        <v>0</v>
      </c>
      <c r="AE214" s="66"/>
      <c r="AF214" s="66"/>
      <c r="AG214" s="66"/>
      <c r="AH214" s="66"/>
      <c r="AI214" s="66"/>
      <c r="AJ214" s="66"/>
      <c r="AK214" s="66"/>
      <c r="AL214" s="54">
        <f>IF((AC214-SUM(AE214:AK214))&lt;0,0,AC214-SUM(AE214:AK214))</f>
        <v>2</v>
      </c>
      <c r="AM214" s="69">
        <f>SUM(AN214:AT214)</f>
        <v>0</v>
      </c>
      <c r="AN214" s="60"/>
      <c r="AO214" s="52"/>
      <c r="AP214" s="52"/>
      <c r="AQ214" s="52"/>
      <c r="AR214" s="52"/>
      <c r="AS214" s="52"/>
      <c r="AT214" s="61"/>
      <c r="AU214" s="66">
        <f>MAX(0,$AM214-$AC214-$AW214)</f>
        <v>0</v>
      </c>
      <c r="AV214" s="66"/>
      <c r="AW214" s="66"/>
      <c r="AX214" s="65">
        <v>0</v>
      </c>
      <c r="AY214" s="65">
        <f>IF(AND($AU214&gt;0,ISNUMBER($AX214)),$AU214*$AX214,0)</f>
        <v>0</v>
      </c>
      <c r="AZ214" s="46"/>
      <c r="BA214" s="52"/>
      <c r="BB214" s="52"/>
      <c r="BC214" s="52"/>
      <c r="BD214" s="52"/>
      <c r="BE214" s="52"/>
      <c r="BF214" s="52"/>
    </row>
    <row r="215" spans="1:58" ht="15" customHeight="1">
      <c r="A215" s="46" t="s">
        <v>1323</v>
      </c>
      <c r="B215" s="53" t="s">
        <v>1324</v>
      </c>
      <c r="C215" s="66" t="s">
        <v>311</v>
      </c>
      <c r="D215" s="67">
        <v>0</v>
      </c>
      <c r="E215" s="53" t="s">
        <v>312</v>
      </c>
      <c r="F215" s="50"/>
      <c r="G215" s="50"/>
      <c r="H215" s="51"/>
      <c r="I215" s="50" t="s">
        <v>1325</v>
      </c>
      <c r="J215" s="54" t="s">
        <v>73</v>
      </c>
      <c r="K215" s="53" t="s">
        <v>312</v>
      </c>
      <c r="L215" s="53" t="s">
        <v>746</v>
      </c>
      <c r="M215" s="53" t="s">
        <v>1320</v>
      </c>
      <c r="N215" s="53"/>
      <c r="O215" s="54"/>
      <c r="P215" s="56" t="s">
        <v>312</v>
      </c>
      <c r="Q215" s="53" t="s">
        <v>691</v>
      </c>
      <c r="R215" s="50" t="s">
        <v>1326</v>
      </c>
      <c r="S215" s="50">
        <v>2</v>
      </c>
      <c r="T215" s="50">
        <v>0</v>
      </c>
      <c r="U215" s="56" t="s">
        <v>750</v>
      </c>
      <c r="V215" s="57">
        <v>0.72</v>
      </c>
      <c r="W215" s="56"/>
      <c r="X215" s="50"/>
      <c r="Y215" s="50"/>
      <c r="Z215" s="50"/>
      <c r="AA215" s="56"/>
      <c r="AB215" s="57"/>
      <c r="AC215" s="54">
        <v>2</v>
      </c>
      <c r="AD215" s="69">
        <f>SUM(AE215:AK215)</f>
        <v>0</v>
      </c>
      <c r="AE215" s="66"/>
      <c r="AF215" s="66"/>
      <c r="AG215" s="66"/>
      <c r="AH215" s="66"/>
      <c r="AI215" s="66"/>
      <c r="AJ215" s="66"/>
      <c r="AK215" s="66"/>
      <c r="AL215" s="54">
        <f>IF((AC215-SUM(AE215:AK215))&lt;0,0,AC215-SUM(AE215:AK215))</f>
        <v>2</v>
      </c>
      <c r="AM215" s="69">
        <f>SUM(AN215:AT215)</f>
        <v>0</v>
      </c>
      <c r="AN215" s="60"/>
      <c r="AO215" s="52"/>
      <c r="AP215" s="52"/>
      <c r="AQ215" s="52"/>
      <c r="AR215" s="52"/>
      <c r="AS215" s="52"/>
      <c r="AT215" s="61"/>
      <c r="AU215" s="66">
        <f>MAX(0,$AM215-$AC215-$AW215)</f>
        <v>0</v>
      </c>
      <c r="AV215" s="66"/>
      <c r="AW215" s="66"/>
      <c r="AX215" s="65">
        <v>0</v>
      </c>
      <c r="AY215" s="65">
        <f>IF(AND($AU215&gt;0,ISNUMBER($AX215)),$AU215*$AX215,0)</f>
        <v>0</v>
      </c>
      <c r="AZ215" s="46"/>
      <c r="BA215" s="52"/>
      <c r="BB215" s="52"/>
      <c r="BC215" s="52"/>
      <c r="BD215" s="52"/>
      <c r="BE215" s="52"/>
      <c r="BF215" s="52"/>
    </row>
    <row r="216" spans="1:58" ht="15" customHeight="1">
      <c r="A216" s="46" t="s">
        <v>1327</v>
      </c>
      <c r="B216" s="53" t="s">
        <v>1328</v>
      </c>
      <c r="C216" s="66" t="s">
        <v>181</v>
      </c>
      <c r="D216" s="67">
        <v>6</v>
      </c>
      <c r="E216" s="53" t="s">
        <v>81</v>
      </c>
      <c r="F216" s="50">
        <v>6</v>
      </c>
      <c r="G216" s="50">
        <v>4</v>
      </c>
      <c r="H216" s="51" t="s">
        <v>775</v>
      </c>
      <c r="I216" s="50" t="s">
        <v>1329</v>
      </c>
      <c r="J216" s="54" t="s">
        <v>73</v>
      </c>
      <c r="K216" s="53" t="s">
        <v>676</v>
      </c>
      <c r="L216" s="53" t="s">
        <v>778</v>
      </c>
      <c r="M216" s="53" t="s">
        <v>1330</v>
      </c>
      <c r="N216" s="53" t="s">
        <v>825</v>
      </c>
      <c r="O216" s="54"/>
      <c r="P216" s="56" t="s">
        <v>76</v>
      </c>
      <c r="Q216" s="53" t="s">
        <v>691</v>
      </c>
      <c r="R216" s="50" t="s">
        <v>1331</v>
      </c>
      <c r="S216" s="50">
        <v>2</v>
      </c>
      <c r="T216" s="50">
        <v>0</v>
      </c>
      <c r="U216" s="56" t="s">
        <v>1332</v>
      </c>
      <c r="V216" s="57">
        <v>0.66</v>
      </c>
      <c r="W216" s="56"/>
      <c r="X216" s="50"/>
      <c r="Y216" s="50"/>
      <c r="Z216" s="50"/>
      <c r="AA216" s="56"/>
      <c r="AB216" s="57"/>
      <c r="AC216" s="54">
        <v>2</v>
      </c>
      <c r="AD216" s="69">
        <f>SUM(AE216:AK216)</f>
        <v>0</v>
      </c>
      <c r="AE216" s="66"/>
      <c r="AF216" s="66"/>
      <c r="AG216" s="66"/>
      <c r="AH216" s="66"/>
      <c r="AI216" s="66"/>
      <c r="AJ216" s="66"/>
      <c r="AK216" s="66"/>
      <c r="AL216" s="54">
        <f>IF((AC216-SUM(AE216:AK216))&lt;0,0,AC216-SUM(AE216:AK216))</f>
        <v>2</v>
      </c>
      <c r="AM216" s="69">
        <f>SUM(AN216:AT216)</f>
        <v>0</v>
      </c>
      <c r="AN216" s="60"/>
      <c r="AO216" s="52"/>
      <c r="AP216" s="52"/>
      <c r="AQ216" s="52"/>
      <c r="AR216" s="52"/>
      <c r="AS216" s="52"/>
      <c r="AT216" s="61"/>
      <c r="AU216" s="66">
        <f>MAX(0,$AM216-$AC216-$AW216)</f>
        <v>0</v>
      </c>
      <c r="AV216" s="66"/>
      <c r="AW216" s="66"/>
      <c r="AX216" s="65">
        <v>0</v>
      </c>
      <c r="AY216" s="65">
        <f>IF(AND($AU216&gt;0,ISNUMBER($AX216)),$AU216*$AX216,0)</f>
        <v>0</v>
      </c>
      <c r="AZ216" s="46"/>
      <c r="BA216" s="52"/>
      <c r="BB216" s="52"/>
      <c r="BC216" s="52"/>
      <c r="BD216" s="52"/>
      <c r="BE216" s="52"/>
      <c r="BF216" s="52"/>
    </row>
    <row r="217" spans="1:58" ht="15" customHeight="1">
      <c r="A217" s="46" t="s">
        <v>1333</v>
      </c>
      <c r="B217" s="53" t="s">
        <v>1334</v>
      </c>
      <c r="C217" s="66" t="s">
        <v>101</v>
      </c>
      <c r="D217" s="67">
        <v>9</v>
      </c>
      <c r="E217" s="53" t="s">
        <v>110</v>
      </c>
      <c r="F217" s="50">
        <v>8</v>
      </c>
      <c r="G217" s="50">
        <v>8</v>
      </c>
      <c r="H217" s="51" t="s">
        <v>836</v>
      </c>
      <c r="I217" s="50" t="s">
        <v>1335</v>
      </c>
      <c r="J217" s="54" t="s">
        <v>73</v>
      </c>
      <c r="K217" s="53" t="s">
        <v>170</v>
      </c>
      <c r="L217" s="53" t="s">
        <v>1336</v>
      </c>
      <c r="M217" s="53" t="s">
        <v>1337</v>
      </c>
      <c r="N217" s="53"/>
      <c r="O217" s="56">
        <v>3905</v>
      </c>
      <c r="P217" s="56" t="s">
        <v>185</v>
      </c>
      <c r="Q217" s="53" t="s">
        <v>691</v>
      </c>
      <c r="R217" s="50" t="s">
        <v>1338</v>
      </c>
      <c r="S217" s="50">
        <v>2</v>
      </c>
      <c r="T217" s="50">
        <v>0</v>
      </c>
      <c r="U217" s="56" t="s">
        <v>842</v>
      </c>
      <c r="V217" s="57">
        <v>0.57999999999999996</v>
      </c>
      <c r="W217" s="56"/>
      <c r="X217" s="50"/>
      <c r="Y217" s="50"/>
      <c r="Z217" s="50"/>
      <c r="AA217" s="56"/>
      <c r="AB217" s="57"/>
      <c r="AC217" s="54">
        <v>2</v>
      </c>
      <c r="AD217" s="69">
        <f>SUM(AE217:AK217)</f>
        <v>0</v>
      </c>
      <c r="AE217" s="66"/>
      <c r="AF217" s="66"/>
      <c r="AG217" s="66"/>
      <c r="AH217" s="66"/>
      <c r="AI217" s="66"/>
      <c r="AJ217" s="66"/>
      <c r="AK217" s="66"/>
      <c r="AL217" s="54">
        <f>IF((AC217-SUM(AE217:AK217))&lt;0,0,AC217-SUM(AE217:AK217))</f>
        <v>2</v>
      </c>
      <c r="AM217" s="69">
        <f>SUM(AN217:AT217)</f>
        <v>0</v>
      </c>
      <c r="AN217" s="60"/>
      <c r="AO217" s="52"/>
      <c r="AP217" s="52"/>
      <c r="AQ217" s="52"/>
      <c r="AR217" s="52"/>
      <c r="AS217" s="52"/>
      <c r="AT217" s="61"/>
      <c r="AU217" s="66">
        <f>MAX(0,$AM217-$AC217-$AW217)</f>
        <v>0</v>
      </c>
      <c r="AV217" s="66"/>
      <c r="AW217" s="66"/>
      <c r="AX217" s="65">
        <v>0</v>
      </c>
      <c r="AY217" s="65">
        <f>IF(AND($AU217&gt;0,ISNUMBER($AX217)),$AU217*$AX217,0)</f>
        <v>0</v>
      </c>
      <c r="AZ217" s="46"/>
      <c r="BA217" s="52"/>
      <c r="BB217" s="52"/>
      <c r="BC217" s="52"/>
      <c r="BD217" s="52"/>
      <c r="BE217" s="52"/>
      <c r="BF217" s="52"/>
    </row>
    <row r="218" spans="1:58" ht="15" customHeight="1">
      <c r="A218" s="46" t="s">
        <v>1339</v>
      </c>
      <c r="B218" s="53" t="s">
        <v>1340</v>
      </c>
      <c r="C218" s="66" t="s">
        <v>118</v>
      </c>
      <c r="D218" s="67">
        <v>5</v>
      </c>
      <c r="E218" s="53" t="s">
        <v>71</v>
      </c>
      <c r="F218" s="50"/>
      <c r="G218" s="50"/>
      <c r="H218" s="51"/>
      <c r="I218" s="50" t="s">
        <v>1341</v>
      </c>
      <c r="J218" s="54" t="s">
        <v>73</v>
      </c>
      <c r="K218" s="58" t="s">
        <v>424</v>
      </c>
      <c r="L218" s="58" t="s">
        <v>1342</v>
      </c>
      <c r="M218" s="58"/>
      <c r="N218" s="58"/>
      <c r="O218" s="54"/>
      <c r="P218" s="56" t="s">
        <v>86</v>
      </c>
      <c r="Q218" s="58" t="s">
        <v>1343</v>
      </c>
      <c r="R218" s="50"/>
      <c r="S218" s="50"/>
      <c r="T218" s="50"/>
      <c r="U218" s="56"/>
      <c r="V218" s="57">
        <v>0.54</v>
      </c>
      <c r="W218" s="68"/>
      <c r="X218" s="50"/>
      <c r="Y218" s="50"/>
      <c r="Z218" s="50"/>
      <c r="AA218" s="56"/>
      <c r="AB218" s="57"/>
      <c r="AC218" s="54">
        <v>2</v>
      </c>
      <c r="AD218" s="69">
        <f>SUM(AE218:AK218)</f>
        <v>1</v>
      </c>
      <c r="AE218" s="66"/>
      <c r="AF218" s="66"/>
      <c r="AG218" s="66"/>
      <c r="AH218" s="66">
        <v>1</v>
      </c>
      <c r="AI218" s="66"/>
      <c r="AJ218" s="66"/>
      <c r="AK218" s="66"/>
      <c r="AL218" s="54">
        <f>IF((AC218-SUM(AE218:AK218))&lt;0,0,AC218-SUM(AE218:AK218))</f>
        <v>1</v>
      </c>
      <c r="AM218" s="69">
        <f>SUM(AN218:AT218)</f>
        <v>1</v>
      </c>
      <c r="AN218" s="60"/>
      <c r="AO218" s="52"/>
      <c r="AP218" s="52"/>
      <c r="AQ218" s="52">
        <v>1</v>
      </c>
      <c r="AR218" s="52"/>
      <c r="AS218" s="52"/>
      <c r="AT218" s="61"/>
      <c r="AU218" s="66">
        <f>MAX(0,$AM218-$AC218-$AW218)</f>
        <v>0</v>
      </c>
      <c r="AV218" s="66"/>
      <c r="AW218" s="66"/>
      <c r="AX218" s="65">
        <v>0</v>
      </c>
      <c r="AY218" s="65">
        <f>IF(AND($AU218&gt;0,ISNUMBER($AX218)),$AU218*$AX218,0)</f>
        <v>0</v>
      </c>
      <c r="AZ218" s="46"/>
      <c r="BA218" s="52"/>
      <c r="BB218" s="52"/>
      <c r="BC218" s="52"/>
      <c r="BD218" s="52"/>
      <c r="BE218" s="52"/>
      <c r="BF218" s="52"/>
    </row>
    <row r="219" spans="1:58" ht="15" customHeight="1">
      <c r="A219" s="46" t="s">
        <v>1344</v>
      </c>
      <c r="B219" s="53" t="s">
        <v>1345</v>
      </c>
      <c r="C219" s="66" t="s">
        <v>181</v>
      </c>
      <c r="D219" s="67">
        <v>3</v>
      </c>
      <c r="E219" s="53" t="s">
        <v>81</v>
      </c>
      <c r="F219" s="50">
        <v>2</v>
      </c>
      <c r="G219" s="50">
        <v>2</v>
      </c>
      <c r="H219" s="51" t="s">
        <v>1346</v>
      </c>
      <c r="I219" s="50" t="s">
        <v>1347</v>
      </c>
      <c r="J219" s="54" t="s">
        <v>73</v>
      </c>
      <c r="K219" s="58" t="s">
        <v>129</v>
      </c>
      <c r="L219" s="58" t="s">
        <v>1348</v>
      </c>
      <c r="M219" s="58"/>
      <c r="N219" s="58"/>
      <c r="O219" s="54"/>
      <c r="P219" s="56" t="s">
        <v>185</v>
      </c>
      <c r="Q219" s="58" t="s">
        <v>466</v>
      </c>
      <c r="R219" s="50"/>
      <c r="S219" s="50"/>
      <c r="T219" s="50"/>
      <c r="U219" s="56"/>
      <c r="V219" s="57">
        <v>0.5</v>
      </c>
      <c r="W219" s="68"/>
      <c r="X219" s="50"/>
      <c r="Y219" s="50"/>
      <c r="Z219" s="50"/>
      <c r="AA219" s="56"/>
      <c r="AB219" s="57"/>
      <c r="AC219" s="54">
        <v>2</v>
      </c>
      <c r="AD219" s="69">
        <f>SUM(AE219:AK219)</f>
        <v>2</v>
      </c>
      <c r="AE219" s="66"/>
      <c r="AF219" s="66"/>
      <c r="AG219" s="66"/>
      <c r="AH219" s="66"/>
      <c r="AI219" s="66">
        <v>1</v>
      </c>
      <c r="AJ219" s="66"/>
      <c r="AK219" s="66">
        <v>1</v>
      </c>
      <c r="AL219" s="54">
        <f>IF((AC219-SUM(AE219:AK219))&lt;0,0,AC219-SUM(AE219:AK219))</f>
        <v>0</v>
      </c>
      <c r="AM219" s="69">
        <f>SUM(AN219:AT219)</f>
        <v>1</v>
      </c>
      <c r="AN219" s="60"/>
      <c r="AO219" s="52"/>
      <c r="AP219" s="52"/>
      <c r="AQ219" s="52"/>
      <c r="AR219" s="52">
        <v>1</v>
      </c>
      <c r="AS219" s="52"/>
      <c r="AT219" s="61"/>
      <c r="AU219" s="66">
        <f>MAX(0,$AM219-$AC219-$AW219)</f>
        <v>0</v>
      </c>
      <c r="AV219" s="66"/>
      <c r="AW219" s="66"/>
      <c r="AX219" s="65">
        <v>0</v>
      </c>
      <c r="AY219" s="65">
        <f>IF(AND($AU219&gt;0,ISNUMBER($AX219)),$AU219*$AX219,0)</f>
        <v>0</v>
      </c>
      <c r="AZ219" s="46"/>
      <c r="BA219" s="52"/>
      <c r="BB219" s="52"/>
      <c r="BC219" s="52"/>
      <c r="BD219" s="52"/>
      <c r="BE219" s="52"/>
      <c r="BF219" s="52" t="s">
        <v>142</v>
      </c>
    </row>
    <row r="220" spans="1:58" ht="15" customHeight="1">
      <c r="A220" s="46" t="s">
        <v>1349</v>
      </c>
      <c r="B220" s="53" t="s">
        <v>1350</v>
      </c>
      <c r="C220" s="66" t="s">
        <v>109</v>
      </c>
      <c r="D220" s="67">
        <v>3</v>
      </c>
      <c r="E220" s="53" t="s">
        <v>189</v>
      </c>
      <c r="F220" s="50"/>
      <c r="G220" s="50"/>
      <c r="H220" s="51"/>
      <c r="I220" s="50" t="s">
        <v>1351</v>
      </c>
      <c r="J220" s="54" t="s">
        <v>73</v>
      </c>
      <c r="K220" s="53" t="s">
        <v>864</v>
      </c>
      <c r="L220" s="53" t="s">
        <v>1352</v>
      </c>
      <c r="M220" s="53" t="s">
        <v>1353</v>
      </c>
      <c r="N220" s="53"/>
      <c r="O220" s="54"/>
      <c r="P220" s="56" t="s">
        <v>76</v>
      </c>
      <c r="Q220" s="53" t="s">
        <v>691</v>
      </c>
      <c r="R220" s="50" t="s">
        <v>1354</v>
      </c>
      <c r="S220" s="50">
        <v>2</v>
      </c>
      <c r="T220" s="50">
        <v>0</v>
      </c>
      <c r="U220" s="56" t="s">
        <v>805</v>
      </c>
      <c r="V220" s="57">
        <v>0.49</v>
      </c>
      <c r="W220" s="56"/>
      <c r="X220" s="50"/>
      <c r="Y220" s="50"/>
      <c r="Z220" s="50"/>
      <c r="AA220" s="56"/>
      <c r="AB220" s="57"/>
      <c r="AC220" s="54">
        <v>2</v>
      </c>
      <c r="AD220" s="69">
        <f>SUM(AE220:AK220)</f>
        <v>0</v>
      </c>
      <c r="AE220" s="66"/>
      <c r="AF220" s="66"/>
      <c r="AG220" s="66"/>
      <c r="AH220" s="66"/>
      <c r="AI220" s="66"/>
      <c r="AJ220" s="66"/>
      <c r="AK220" s="66"/>
      <c r="AL220" s="54">
        <f>IF((AC220-SUM(AE220:AK220))&lt;0,0,AC220-SUM(AE220:AK220))</f>
        <v>2</v>
      </c>
      <c r="AM220" s="69">
        <f>SUM(AN220:AT220)</f>
        <v>0</v>
      </c>
      <c r="AN220" s="60"/>
      <c r="AO220" s="52"/>
      <c r="AP220" s="52"/>
      <c r="AQ220" s="52"/>
      <c r="AR220" s="52"/>
      <c r="AS220" s="52"/>
      <c r="AT220" s="61"/>
      <c r="AU220" s="66">
        <f>MAX(0,$AM220-$AC220-$AW220)</f>
        <v>0</v>
      </c>
      <c r="AV220" s="66"/>
      <c r="AW220" s="66"/>
      <c r="AX220" s="65">
        <v>0</v>
      </c>
      <c r="AY220" s="65">
        <f>IF(AND($AU220&gt;0,ISNUMBER($AX220)),$AU220*$AX220,0)</f>
        <v>0</v>
      </c>
      <c r="AZ220" s="46"/>
      <c r="BA220" s="52"/>
      <c r="BB220" s="52"/>
      <c r="BC220" s="52"/>
      <c r="BD220" s="52"/>
      <c r="BE220" s="52"/>
      <c r="BF220" s="52"/>
    </row>
    <row r="221" spans="1:58" ht="15" customHeight="1">
      <c r="A221" s="46" t="s">
        <v>1355</v>
      </c>
      <c r="B221" s="53" t="s">
        <v>1356</v>
      </c>
      <c r="C221" s="66" t="s">
        <v>311</v>
      </c>
      <c r="D221" s="67">
        <v>0</v>
      </c>
      <c r="E221" s="53" t="s">
        <v>312</v>
      </c>
      <c r="F221" s="50"/>
      <c r="G221" s="50"/>
      <c r="H221" s="51"/>
      <c r="I221" s="50" t="s">
        <v>1357</v>
      </c>
      <c r="J221" s="54" t="s">
        <v>73</v>
      </c>
      <c r="K221" s="58" t="s">
        <v>312</v>
      </c>
      <c r="L221" s="58" t="s">
        <v>1358</v>
      </c>
      <c r="M221" s="58" t="s">
        <v>1359</v>
      </c>
      <c r="N221" s="58"/>
      <c r="O221" s="54"/>
      <c r="P221" s="56" t="s">
        <v>86</v>
      </c>
      <c r="Q221" s="58" t="s">
        <v>1360</v>
      </c>
      <c r="R221" s="50"/>
      <c r="S221" s="50"/>
      <c r="T221" s="50"/>
      <c r="U221" s="50"/>
      <c r="V221" s="57">
        <v>0.38</v>
      </c>
      <c r="W221" s="68"/>
      <c r="X221" s="50"/>
      <c r="Y221" s="50"/>
      <c r="Z221" s="50"/>
      <c r="AA221" s="50"/>
      <c r="AB221" s="57"/>
      <c r="AC221" s="54">
        <v>2</v>
      </c>
      <c r="AD221" s="69">
        <f>SUM(AE221:AK221)</f>
        <v>2</v>
      </c>
      <c r="AE221" s="66"/>
      <c r="AF221" s="66"/>
      <c r="AG221" s="66"/>
      <c r="AH221" s="66">
        <v>1</v>
      </c>
      <c r="AI221" s="66">
        <v>1</v>
      </c>
      <c r="AJ221" s="66"/>
      <c r="AK221" s="66"/>
      <c r="AL221" s="54">
        <f>IF((AC221-SUM(AE221:AK221))&lt;0,0,AC221-SUM(AE221:AK221))</f>
        <v>0</v>
      </c>
      <c r="AM221" s="69">
        <f>SUM(AN221:AT221)</f>
        <v>2</v>
      </c>
      <c r="AN221" s="60"/>
      <c r="AO221" s="52"/>
      <c r="AP221" s="52"/>
      <c r="AQ221" s="52">
        <v>1</v>
      </c>
      <c r="AR221" s="52">
        <v>1</v>
      </c>
      <c r="AS221" s="52"/>
      <c r="AT221" s="61"/>
      <c r="AU221" s="66">
        <f>MAX(0,$AM221-$AC221-$AW221)</f>
        <v>0</v>
      </c>
      <c r="AV221" s="66"/>
      <c r="AW221" s="66"/>
      <c r="AX221" s="65">
        <v>0</v>
      </c>
      <c r="AY221" s="65">
        <f>IF(AND($AU221&gt;0,ISNUMBER($AX221)),$AU221*$AX221,0)</f>
        <v>0</v>
      </c>
      <c r="AZ221" s="46"/>
      <c r="BA221" s="52"/>
      <c r="BB221" s="52"/>
      <c r="BC221" s="52"/>
      <c r="BD221" s="52"/>
      <c r="BE221" s="52"/>
      <c r="BF221" s="52"/>
    </row>
    <row r="222" spans="1:58" ht="15" customHeight="1">
      <c r="A222" s="46" t="s">
        <v>1361</v>
      </c>
      <c r="B222" s="53" t="s">
        <v>1362</v>
      </c>
      <c r="C222" s="66" t="s">
        <v>232</v>
      </c>
      <c r="D222" s="67">
        <v>2</v>
      </c>
      <c r="E222" s="53" t="s">
        <v>233</v>
      </c>
      <c r="F222" s="50"/>
      <c r="G222" s="50"/>
      <c r="H222" s="51"/>
      <c r="I222" s="50" t="s">
        <v>1363</v>
      </c>
      <c r="J222" s="54" t="s">
        <v>73</v>
      </c>
      <c r="K222" s="53" t="s">
        <v>235</v>
      </c>
      <c r="L222" s="53" t="s">
        <v>1364</v>
      </c>
      <c r="M222" s="53"/>
      <c r="N222" s="53"/>
      <c r="O222" s="54"/>
      <c r="P222" s="56" t="s">
        <v>76</v>
      </c>
      <c r="Q222" s="53" t="s">
        <v>1365</v>
      </c>
      <c r="R222" s="50"/>
      <c r="S222" s="50"/>
      <c r="T222" s="50"/>
      <c r="U222" s="50"/>
      <c r="V222" s="57">
        <v>0.38</v>
      </c>
      <c r="W222" s="68"/>
      <c r="X222" s="50"/>
      <c r="Y222" s="50"/>
      <c r="Z222" s="50"/>
      <c r="AA222" s="50"/>
      <c r="AB222" s="57"/>
      <c r="AC222" s="54">
        <v>2</v>
      </c>
      <c r="AD222" s="69">
        <f>SUM(AE222:AK222)</f>
        <v>2</v>
      </c>
      <c r="AE222" s="66"/>
      <c r="AF222" s="66"/>
      <c r="AG222" s="66"/>
      <c r="AH222" s="66">
        <v>1</v>
      </c>
      <c r="AI222" s="66">
        <v>1</v>
      </c>
      <c r="AJ222" s="66"/>
      <c r="AK222" s="66"/>
      <c r="AL222" s="54">
        <f>IF((AC222-SUM(AE222:AK222))&lt;0,0,AC222-SUM(AE222:AK222))</f>
        <v>0</v>
      </c>
      <c r="AM222" s="69">
        <f>SUM(AN222:AT222)</f>
        <v>2</v>
      </c>
      <c r="AN222" s="60"/>
      <c r="AO222" s="52"/>
      <c r="AP222" s="52"/>
      <c r="AQ222" s="52">
        <v>1</v>
      </c>
      <c r="AR222" s="52">
        <v>1</v>
      </c>
      <c r="AS222" s="52"/>
      <c r="AT222" s="61"/>
      <c r="AU222" s="66">
        <f>MAX(0,$AM222-$AC222-$AW222)</f>
        <v>0</v>
      </c>
      <c r="AV222" s="66"/>
      <c r="AW222" s="66"/>
      <c r="AX222" s="65">
        <v>0</v>
      </c>
      <c r="AY222" s="65">
        <f>IF(AND($AU222&gt;0,ISNUMBER($AX222)),$AU222*$AX222,0)</f>
        <v>0</v>
      </c>
      <c r="AZ222" s="46"/>
      <c r="BA222" s="52"/>
      <c r="BB222" s="52"/>
      <c r="BC222" s="52"/>
      <c r="BD222" s="52"/>
      <c r="BE222" s="52"/>
      <c r="BF222" s="52"/>
    </row>
    <row r="223" spans="1:58" ht="15" customHeight="1">
      <c r="A223" s="46" t="s">
        <v>1366</v>
      </c>
      <c r="B223" s="53" t="s">
        <v>1367</v>
      </c>
      <c r="C223" s="66" t="s">
        <v>232</v>
      </c>
      <c r="D223" s="67">
        <v>2</v>
      </c>
      <c r="E223" s="53" t="s">
        <v>531</v>
      </c>
      <c r="F223" s="50">
        <v>0</v>
      </c>
      <c r="G223" s="50">
        <v>4</v>
      </c>
      <c r="H223" s="51" t="s">
        <v>1368</v>
      </c>
      <c r="I223" s="50" t="s">
        <v>1369</v>
      </c>
      <c r="J223" s="54" t="s">
        <v>73</v>
      </c>
      <c r="K223" s="53" t="s">
        <v>135</v>
      </c>
      <c r="L223" s="53" t="s">
        <v>1370</v>
      </c>
      <c r="M223" s="53"/>
      <c r="N223" s="53"/>
      <c r="O223" s="54"/>
      <c r="P223" s="56" t="s">
        <v>76</v>
      </c>
      <c r="Q223" s="53" t="s">
        <v>691</v>
      </c>
      <c r="R223" s="50" t="s">
        <v>1371</v>
      </c>
      <c r="S223" s="50">
        <v>2</v>
      </c>
      <c r="T223" s="50">
        <v>0</v>
      </c>
      <c r="U223" s="56" t="s">
        <v>1372</v>
      </c>
      <c r="V223" s="57">
        <v>0.37</v>
      </c>
      <c r="W223" s="56"/>
      <c r="X223" s="50"/>
      <c r="Y223" s="50"/>
      <c r="Z223" s="50"/>
      <c r="AA223" s="56"/>
      <c r="AB223" s="57"/>
      <c r="AC223" s="54">
        <v>2</v>
      </c>
      <c r="AD223" s="69">
        <f>SUM(AE223:AK223)</f>
        <v>0</v>
      </c>
      <c r="AE223" s="66"/>
      <c r="AF223" s="66"/>
      <c r="AG223" s="66"/>
      <c r="AH223" s="66"/>
      <c r="AI223" s="66"/>
      <c r="AJ223" s="66"/>
      <c r="AK223" s="66"/>
      <c r="AL223" s="54">
        <f>IF((AC223-SUM(AE223:AK223))&lt;0,0,AC223-SUM(AE223:AK223))</f>
        <v>2</v>
      </c>
      <c r="AM223" s="69">
        <f>SUM(AN223:AT223)</f>
        <v>0</v>
      </c>
      <c r="AN223" s="60"/>
      <c r="AO223" s="52"/>
      <c r="AP223" s="52"/>
      <c r="AQ223" s="52"/>
      <c r="AR223" s="52"/>
      <c r="AS223" s="52"/>
      <c r="AT223" s="61"/>
      <c r="AU223" s="66">
        <f>MAX(0,$AM223-$AC223-$AW223)</f>
        <v>0</v>
      </c>
      <c r="AV223" s="66"/>
      <c r="AW223" s="66"/>
      <c r="AX223" s="65">
        <v>0</v>
      </c>
      <c r="AY223" s="65">
        <f>IF(AND($AU223&gt;0,ISNUMBER($AX223)),$AU223*$AX223,0)</f>
        <v>0</v>
      </c>
      <c r="AZ223" s="46"/>
      <c r="BA223" s="52"/>
      <c r="BB223" s="52"/>
      <c r="BC223" s="52"/>
      <c r="BD223" s="52"/>
      <c r="BE223" s="52"/>
      <c r="BF223" s="52"/>
    </row>
    <row r="224" spans="1:58" ht="15" customHeight="1">
      <c r="A224" s="46" t="s">
        <v>1373</v>
      </c>
      <c r="B224" s="53" t="s">
        <v>1374</v>
      </c>
      <c r="C224" s="66" t="s">
        <v>109</v>
      </c>
      <c r="D224" s="67">
        <v>5</v>
      </c>
      <c r="E224" s="53" t="s">
        <v>110</v>
      </c>
      <c r="F224" s="50">
        <v>4</v>
      </c>
      <c r="G224" s="50">
        <v>4</v>
      </c>
      <c r="H224" s="51" t="s">
        <v>1375</v>
      </c>
      <c r="I224" s="50" t="s">
        <v>1376</v>
      </c>
      <c r="J224" s="54" t="s">
        <v>73</v>
      </c>
      <c r="K224" s="58" t="s">
        <v>202</v>
      </c>
      <c r="L224" s="58" t="s">
        <v>1377</v>
      </c>
      <c r="M224" s="58" t="s">
        <v>1378</v>
      </c>
      <c r="N224" s="58"/>
      <c r="O224" s="56">
        <v>756</v>
      </c>
      <c r="P224" s="56" t="s">
        <v>86</v>
      </c>
      <c r="Q224" s="58" t="s">
        <v>1379</v>
      </c>
      <c r="R224" s="54"/>
      <c r="S224" s="54"/>
      <c r="T224" s="54"/>
      <c r="U224" s="56"/>
      <c r="V224" s="57">
        <v>0.33</v>
      </c>
      <c r="W224" s="68"/>
      <c r="X224" s="54"/>
      <c r="Y224" s="54"/>
      <c r="Z224" s="54"/>
      <c r="AA224" s="56"/>
      <c r="AB224" s="57"/>
      <c r="AC224" s="54">
        <v>2</v>
      </c>
      <c r="AD224" s="69">
        <f>SUM(AE224:AK224)</f>
        <v>1</v>
      </c>
      <c r="AE224" s="66"/>
      <c r="AF224" s="66">
        <v>1</v>
      </c>
      <c r="AG224" s="66"/>
      <c r="AH224" s="66"/>
      <c r="AI224" s="66"/>
      <c r="AJ224" s="66"/>
      <c r="AK224" s="66"/>
      <c r="AL224" s="54">
        <f>IF((AC224-SUM(AE224:AK224))&lt;0,0,AC224-SUM(AE224:AK224))</f>
        <v>1</v>
      </c>
      <c r="AM224" s="69">
        <f>SUM(AN224:AT224)</f>
        <v>1</v>
      </c>
      <c r="AN224" s="60"/>
      <c r="AO224" s="52">
        <v>1</v>
      </c>
      <c r="AP224" s="52"/>
      <c r="AQ224" s="52"/>
      <c r="AR224" s="52"/>
      <c r="AS224" s="52"/>
      <c r="AT224" s="61"/>
      <c r="AU224" s="66">
        <f>MAX(0,$AM224-$AC224-$AW224)</f>
        <v>0</v>
      </c>
      <c r="AV224" s="66"/>
      <c r="AW224" s="66"/>
      <c r="AX224" s="65">
        <v>0</v>
      </c>
      <c r="AY224" s="65">
        <f>IF(AND($AU224&gt;0,ISNUMBER($AX224)),$AU224*$AX224,0)</f>
        <v>0</v>
      </c>
      <c r="AZ224" s="46"/>
      <c r="BA224" s="52"/>
      <c r="BB224" s="52"/>
      <c r="BC224" s="52"/>
      <c r="BD224" s="52"/>
      <c r="BE224" s="52"/>
      <c r="BF224" s="52"/>
    </row>
    <row r="225" spans="1:58" ht="15" customHeight="1">
      <c r="A225" s="46" t="s">
        <v>1380</v>
      </c>
      <c r="B225" s="53" t="s">
        <v>1381</v>
      </c>
      <c r="C225" s="66" t="s">
        <v>232</v>
      </c>
      <c r="D225" s="67">
        <v>1</v>
      </c>
      <c r="E225" s="53" t="s">
        <v>233</v>
      </c>
      <c r="F225" s="50"/>
      <c r="G225" s="50"/>
      <c r="H225" s="51"/>
      <c r="I225" s="50" t="s">
        <v>1382</v>
      </c>
      <c r="J225" s="54" t="s">
        <v>73</v>
      </c>
      <c r="K225" s="58" t="s">
        <v>121</v>
      </c>
      <c r="L225" s="58" t="s">
        <v>1383</v>
      </c>
      <c r="M225" s="58" t="s">
        <v>1384</v>
      </c>
      <c r="N225" s="58"/>
      <c r="O225" s="54"/>
      <c r="P225" s="56" t="s">
        <v>185</v>
      </c>
      <c r="Q225" s="58" t="s">
        <v>669</v>
      </c>
      <c r="R225" s="74" t="s">
        <v>1385</v>
      </c>
      <c r="S225" s="74">
        <v>1</v>
      </c>
      <c r="T225" s="74">
        <v>0</v>
      </c>
      <c r="U225" s="56"/>
      <c r="V225" s="57">
        <v>0.31</v>
      </c>
      <c r="W225" s="68"/>
      <c r="X225" s="50"/>
      <c r="Y225" s="50"/>
      <c r="Z225" s="50"/>
      <c r="AA225" s="56"/>
      <c r="AB225" s="57"/>
      <c r="AC225" s="54">
        <v>2</v>
      </c>
      <c r="AD225" s="69">
        <f>SUM(AE225:AK225)</f>
        <v>0</v>
      </c>
      <c r="AE225" s="66"/>
      <c r="AF225" s="66"/>
      <c r="AG225" s="66"/>
      <c r="AH225" s="66"/>
      <c r="AI225" s="66"/>
      <c r="AJ225" s="66"/>
      <c r="AK225" s="66"/>
      <c r="AL225" s="54">
        <f>IF((AC225-SUM(AE225:AK225))&lt;0,0,AC225-SUM(AE225:AK225))</f>
        <v>2</v>
      </c>
      <c r="AM225" s="69">
        <f>SUM(AN225:AT225)</f>
        <v>0</v>
      </c>
      <c r="AN225" s="60"/>
      <c r="AO225" s="52"/>
      <c r="AP225" s="52"/>
      <c r="AQ225" s="52"/>
      <c r="AR225" s="52"/>
      <c r="AS225" s="52"/>
      <c r="AT225" s="61"/>
      <c r="AU225" s="66">
        <f>MAX(0,$AM225-$AC225-$AW225)</f>
        <v>0</v>
      </c>
      <c r="AV225" s="66"/>
      <c r="AW225" s="66"/>
      <c r="AX225" s="65">
        <v>0</v>
      </c>
      <c r="AY225" s="65">
        <f>IF(AND($AU225&gt;0,ISNUMBER($AX225)),$AU225*$AX225,0)</f>
        <v>0</v>
      </c>
      <c r="AZ225" s="46"/>
      <c r="BA225" s="52"/>
      <c r="BB225" s="52"/>
      <c r="BC225" s="52"/>
      <c r="BD225" s="52"/>
      <c r="BE225" s="52"/>
      <c r="BF225" s="52"/>
    </row>
    <row r="226" spans="1:58" ht="15" customHeight="1">
      <c r="A226" s="46" t="s">
        <v>1386</v>
      </c>
      <c r="B226" s="53" t="s">
        <v>1387</v>
      </c>
      <c r="C226" s="66" t="s">
        <v>232</v>
      </c>
      <c r="D226" s="67">
        <v>6</v>
      </c>
      <c r="E226" s="53" t="s">
        <v>81</v>
      </c>
      <c r="F226" s="50">
        <v>6</v>
      </c>
      <c r="G226" s="50">
        <v>6</v>
      </c>
      <c r="H226" s="51" t="s">
        <v>1388</v>
      </c>
      <c r="I226" s="50" t="s">
        <v>1389</v>
      </c>
      <c r="J226" s="54" t="s">
        <v>73</v>
      </c>
      <c r="K226" s="58" t="s">
        <v>170</v>
      </c>
      <c r="L226" s="58" t="s">
        <v>1390</v>
      </c>
      <c r="M226" s="58" t="s">
        <v>1391</v>
      </c>
      <c r="N226" s="58" t="s">
        <v>1392</v>
      </c>
      <c r="O226" s="54"/>
      <c r="P226" s="56" t="s">
        <v>185</v>
      </c>
      <c r="Q226" s="58" t="s">
        <v>627</v>
      </c>
      <c r="R226" s="50"/>
      <c r="S226" s="50"/>
      <c r="T226" s="50"/>
      <c r="U226" s="56"/>
      <c r="V226" s="57">
        <v>0.3</v>
      </c>
      <c r="W226" s="68"/>
      <c r="X226" s="50"/>
      <c r="Y226" s="50"/>
      <c r="Z226" s="50"/>
      <c r="AA226" s="56"/>
      <c r="AB226" s="57"/>
      <c r="AC226" s="54">
        <v>2</v>
      </c>
      <c r="AD226" s="69">
        <f>SUM(AE226:AK226)</f>
        <v>0</v>
      </c>
      <c r="AE226" s="66"/>
      <c r="AF226" s="66"/>
      <c r="AG226" s="66"/>
      <c r="AH226" s="66"/>
      <c r="AI226" s="66"/>
      <c r="AJ226" s="66"/>
      <c r="AK226" s="66"/>
      <c r="AL226" s="54">
        <f>IF((AC226-SUM(AE226:AK226))&lt;0,0,AC226-SUM(AE226:AK226))</f>
        <v>2</v>
      </c>
      <c r="AM226" s="69">
        <f>SUM(AN226:AT226)</f>
        <v>0</v>
      </c>
      <c r="AN226" s="60"/>
      <c r="AO226" s="52"/>
      <c r="AP226" s="52"/>
      <c r="AQ226" s="52"/>
      <c r="AR226" s="52"/>
      <c r="AS226" s="52"/>
      <c r="AT226" s="61"/>
      <c r="AU226" s="66">
        <f>MAX(0,$AM226-$AC226-$AW226)</f>
        <v>0</v>
      </c>
      <c r="AV226" s="66"/>
      <c r="AW226" s="66"/>
      <c r="AX226" s="65">
        <v>0</v>
      </c>
      <c r="AY226" s="65">
        <f>IF(AND($AU226&gt;0,ISNUMBER($AX226)),$AU226*$AX226,0)</f>
        <v>0</v>
      </c>
      <c r="AZ226" s="46"/>
      <c r="BA226" s="52"/>
      <c r="BB226" s="52"/>
      <c r="BC226" s="52"/>
      <c r="BD226" s="52"/>
      <c r="BE226" s="52"/>
      <c r="BF226" s="52"/>
    </row>
    <row r="227" spans="1:58" ht="15" customHeight="1">
      <c r="A227" s="46" t="s">
        <v>1393</v>
      </c>
      <c r="B227" s="53" t="s">
        <v>1394</v>
      </c>
      <c r="C227" s="66" t="s">
        <v>80</v>
      </c>
      <c r="D227" s="67">
        <v>3</v>
      </c>
      <c r="E227" s="53" t="s">
        <v>81</v>
      </c>
      <c r="F227" s="50">
        <v>3</v>
      </c>
      <c r="G227" s="50">
        <v>2</v>
      </c>
      <c r="H227" s="51" t="s">
        <v>1395</v>
      </c>
      <c r="I227" s="50" t="s">
        <v>1396</v>
      </c>
      <c r="J227" s="54" t="s">
        <v>73</v>
      </c>
      <c r="K227" s="53" t="s">
        <v>676</v>
      </c>
      <c r="L227" s="53" t="s">
        <v>85</v>
      </c>
      <c r="M227" s="53" t="s">
        <v>1397</v>
      </c>
      <c r="N227" s="53"/>
      <c r="O227" s="54"/>
      <c r="P227" s="56" t="s">
        <v>76</v>
      </c>
      <c r="Q227" s="53" t="s">
        <v>691</v>
      </c>
      <c r="R227" s="50" t="s">
        <v>1398</v>
      </c>
      <c r="S227" s="50">
        <v>2</v>
      </c>
      <c r="T227" s="50">
        <v>0</v>
      </c>
      <c r="U227" s="56" t="s">
        <v>1399</v>
      </c>
      <c r="V227" s="57">
        <v>0.3</v>
      </c>
      <c r="W227" s="56"/>
      <c r="X227" s="50"/>
      <c r="Y227" s="50"/>
      <c r="Z227" s="50"/>
      <c r="AA227" s="56"/>
      <c r="AB227" s="57"/>
      <c r="AC227" s="54">
        <v>2</v>
      </c>
      <c r="AD227" s="69">
        <f>SUM(AE227:AK227)</f>
        <v>0</v>
      </c>
      <c r="AE227" s="66"/>
      <c r="AF227" s="66"/>
      <c r="AG227" s="66"/>
      <c r="AH227" s="66"/>
      <c r="AI227" s="66"/>
      <c r="AJ227" s="66"/>
      <c r="AK227" s="66"/>
      <c r="AL227" s="54">
        <f>IF((AC227-SUM(AE227:AK227))&lt;0,0,AC227-SUM(AE227:AK227))</f>
        <v>2</v>
      </c>
      <c r="AM227" s="69">
        <f>SUM(AN227:AT227)</f>
        <v>0</v>
      </c>
      <c r="AN227" s="60"/>
      <c r="AO227" s="52"/>
      <c r="AP227" s="52"/>
      <c r="AQ227" s="52"/>
      <c r="AR227" s="52"/>
      <c r="AS227" s="52"/>
      <c r="AT227" s="61"/>
      <c r="AU227" s="66">
        <f>MAX(0,$AM227-$AC227-$AW227)</f>
        <v>0</v>
      </c>
      <c r="AV227" s="66"/>
      <c r="AW227" s="66"/>
      <c r="AX227" s="65">
        <v>0</v>
      </c>
      <c r="AY227" s="65">
        <f>IF(AND($AU227&gt;0,ISNUMBER($AX227)),$AU227*$AX227,0)</f>
        <v>0</v>
      </c>
      <c r="AZ227" s="46"/>
      <c r="BA227" s="52"/>
      <c r="BB227" s="52"/>
      <c r="BC227" s="52"/>
      <c r="BD227" s="52"/>
      <c r="BE227" s="52"/>
      <c r="BF227" s="52"/>
    </row>
    <row r="228" spans="1:58" ht="15" customHeight="1">
      <c r="A228" s="46" t="s">
        <v>1400</v>
      </c>
      <c r="B228" s="53" t="s">
        <v>1401</v>
      </c>
      <c r="C228" s="66" t="s">
        <v>118</v>
      </c>
      <c r="D228" s="67">
        <v>8</v>
      </c>
      <c r="E228" s="53" t="s">
        <v>110</v>
      </c>
      <c r="F228" s="50">
        <v>4</v>
      </c>
      <c r="G228" s="50">
        <v>8</v>
      </c>
      <c r="H228" s="51" t="s">
        <v>836</v>
      </c>
      <c r="I228" s="50" t="s">
        <v>1402</v>
      </c>
      <c r="J228" s="54" t="s">
        <v>73</v>
      </c>
      <c r="K228" s="58" t="s">
        <v>170</v>
      </c>
      <c r="L228" s="58" t="s">
        <v>1403</v>
      </c>
      <c r="M228" s="58" t="s">
        <v>1404</v>
      </c>
      <c r="N228" s="58"/>
      <c r="O228" s="56">
        <v>2068</v>
      </c>
      <c r="P228" s="56" t="s">
        <v>86</v>
      </c>
      <c r="Q228" s="58" t="s">
        <v>1405</v>
      </c>
      <c r="R228" s="50"/>
      <c r="S228" s="50"/>
      <c r="T228" s="50"/>
      <c r="U228" s="56"/>
      <c r="V228" s="57">
        <v>0.28999999999999998</v>
      </c>
      <c r="W228" s="68"/>
      <c r="X228" s="50"/>
      <c r="Y228" s="50"/>
      <c r="Z228" s="50"/>
      <c r="AA228" s="56"/>
      <c r="AB228" s="57"/>
      <c r="AC228" s="54">
        <v>2</v>
      </c>
      <c r="AD228" s="69">
        <f>SUM(AE228:AK228)</f>
        <v>1</v>
      </c>
      <c r="AE228" s="66"/>
      <c r="AF228" s="66"/>
      <c r="AG228" s="66"/>
      <c r="AH228" s="66">
        <v>1</v>
      </c>
      <c r="AI228" s="66"/>
      <c r="AJ228" s="66"/>
      <c r="AK228" s="66"/>
      <c r="AL228" s="54">
        <f>IF((AC228-SUM(AE228:AK228))&lt;0,0,AC228-SUM(AE228:AK228))</f>
        <v>1</v>
      </c>
      <c r="AM228" s="69">
        <f>SUM(AN228:AT228)</f>
        <v>1</v>
      </c>
      <c r="AN228" s="60"/>
      <c r="AO228" s="52"/>
      <c r="AP228" s="52"/>
      <c r="AQ228" s="52">
        <v>1</v>
      </c>
      <c r="AR228" s="52"/>
      <c r="AS228" s="52"/>
      <c r="AT228" s="61"/>
      <c r="AU228" s="66">
        <f>MAX(0,$AM228-$AC228-$AW228)</f>
        <v>0</v>
      </c>
      <c r="AV228" s="66"/>
      <c r="AW228" s="66"/>
      <c r="AX228" s="65">
        <v>0</v>
      </c>
      <c r="AY228" s="65">
        <f>IF(AND($AU228&gt;0,ISNUMBER($AX228)),$AU228*$AX228,0)</f>
        <v>0</v>
      </c>
      <c r="AZ228" s="46"/>
      <c r="BA228" s="52"/>
      <c r="BB228" s="52"/>
      <c r="BC228" s="52"/>
      <c r="BD228" s="52"/>
      <c r="BE228" s="52"/>
      <c r="BF228" s="52"/>
    </row>
    <row r="229" spans="1:58" ht="15" customHeight="1">
      <c r="A229" s="46" t="s">
        <v>1406</v>
      </c>
      <c r="B229" s="53" t="s">
        <v>1407</v>
      </c>
      <c r="C229" s="66" t="s">
        <v>118</v>
      </c>
      <c r="D229" s="67">
        <v>5</v>
      </c>
      <c r="E229" s="53" t="s">
        <v>71</v>
      </c>
      <c r="F229" s="50"/>
      <c r="G229" s="50"/>
      <c r="H229" s="51"/>
      <c r="I229" s="50" t="s">
        <v>1408</v>
      </c>
      <c r="J229" s="54" t="s">
        <v>73</v>
      </c>
      <c r="K229" s="58" t="s">
        <v>424</v>
      </c>
      <c r="L229" s="58" t="s">
        <v>1409</v>
      </c>
      <c r="M229" s="58"/>
      <c r="N229" s="58"/>
      <c r="O229" s="54"/>
      <c r="P229" s="56" t="s">
        <v>86</v>
      </c>
      <c r="Q229" s="58" t="s">
        <v>1410</v>
      </c>
      <c r="R229" s="50"/>
      <c r="S229" s="50"/>
      <c r="T229" s="50"/>
      <c r="U229" s="50"/>
      <c r="V229" s="57">
        <v>0.28000000000000003</v>
      </c>
      <c r="W229" s="68"/>
      <c r="X229" s="50"/>
      <c r="Y229" s="50"/>
      <c r="Z229" s="50"/>
      <c r="AA229" s="50"/>
      <c r="AB229" s="57"/>
      <c r="AC229" s="54">
        <v>2</v>
      </c>
      <c r="AD229" s="69">
        <f>SUM(AE229:AK229)</f>
        <v>2</v>
      </c>
      <c r="AE229" s="66"/>
      <c r="AF229" s="66">
        <v>1</v>
      </c>
      <c r="AG229" s="66"/>
      <c r="AH229" s="66">
        <v>1</v>
      </c>
      <c r="AI229" s="66"/>
      <c r="AJ229" s="66"/>
      <c r="AK229" s="66"/>
      <c r="AL229" s="54">
        <f>IF((AC229-SUM(AE229:AK229))&lt;0,0,AC229-SUM(AE229:AK229))</f>
        <v>0</v>
      </c>
      <c r="AM229" s="69">
        <f>SUM(AN229:AT229)</f>
        <v>2</v>
      </c>
      <c r="AN229" s="60"/>
      <c r="AO229" s="52">
        <v>1</v>
      </c>
      <c r="AP229" s="52"/>
      <c r="AQ229" s="52">
        <v>1</v>
      </c>
      <c r="AR229" s="52"/>
      <c r="AS229" s="52"/>
      <c r="AT229" s="61"/>
      <c r="AU229" s="66">
        <f>MAX(0,$AM229-$AC229-$AW229)</f>
        <v>0</v>
      </c>
      <c r="AV229" s="66"/>
      <c r="AW229" s="66"/>
      <c r="AX229" s="65">
        <v>0</v>
      </c>
      <c r="AY229" s="65">
        <f>IF(AND($AU229&gt;0,ISNUMBER($AX229)),$AU229*$AX229,0)</f>
        <v>0</v>
      </c>
      <c r="AZ229" s="46"/>
      <c r="BA229" s="52"/>
      <c r="BB229" s="52"/>
      <c r="BC229" s="52"/>
      <c r="BD229" s="52"/>
      <c r="BE229" s="52"/>
      <c r="BF229" s="52"/>
    </row>
    <row r="230" spans="1:58" ht="15" customHeight="1">
      <c r="A230" s="46" t="s">
        <v>1411</v>
      </c>
      <c r="B230" s="53" t="s">
        <v>1412</v>
      </c>
      <c r="C230" s="66" t="s">
        <v>181</v>
      </c>
      <c r="D230" s="67">
        <v>2</v>
      </c>
      <c r="E230" s="53" t="s">
        <v>81</v>
      </c>
      <c r="F230" s="50">
        <v>2</v>
      </c>
      <c r="G230" s="50">
        <v>1</v>
      </c>
      <c r="H230" s="51" t="s">
        <v>1346</v>
      </c>
      <c r="I230" s="50" t="s">
        <v>1413</v>
      </c>
      <c r="J230" s="54" t="s">
        <v>73</v>
      </c>
      <c r="K230" s="58" t="s">
        <v>135</v>
      </c>
      <c r="L230" s="58" t="s">
        <v>1414</v>
      </c>
      <c r="M230" s="58" t="s">
        <v>1415</v>
      </c>
      <c r="N230" s="58"/>
      <c r="O230" s="54"/>
      <c r="P230" s="56" t="s">
        <v>185</v>
      </c>
      <c r="Q230" s="58" t="s">
        <v>928</v>
      </c>
      <c r="R230" s="50"/>
      <c r="S230" s="50"/>
      <c r="T230" s="50"/>
      <c r="U230" s="56"/>
      <c r="V230" s="57">
        <v>0.28000000000000003</v>
      </c>
      <c r="W230" s="68"/>
      <c r="X230" s="50"/>
      <c r="Y230" s="50"/>
      <c r="Z230" s="50"/>
      <c r="AA230" s="56"/>
      <c r="AB230" s="57"/>
      <c r="AC230" s="54">
        <v>2</v>
      </c>
      <c r="AD230" s="69">
        <f>SUM(AE230:AK230)</f>
        <v>1</v>
      </c>
      <c r="AE230" s="66"/>
      <c r="AF230" s="66"/>
      <c r="AG230" s="66"/>
      <c r="AH230" s="66"/>
      <c r="AI230" s="66"/>
      <c r="AJ230" s="66"/>
      <c r="AK230" s="66">
        <v>1</v>
      </c>
      <c r="AL230" s="54">
        <f>IF((AC230-SUM(AE230:AK230))&lt;0,0,AC230-SUM(AE230:AK230))</f>
        <v>1</v>
      </c>
      <c r="AM230" s="69">
        <f>SUM(AN230:AT230)</f>
        <v>0</v>
      </c>
      <c r="AN230" s="60"/>
      <c r="AO230" s="52"/>
      <c r="AP230" s="52"/>
      <c r="AQ230" s="52"/>
      <c r="AR230" s="52"/>
      <c r="AS230" s="52"/>
      <c r="AT230" s="61"/>
      <c r="AU230" s="66">
        <f>MAX(0,$AM230-$AC230-$AW230)</f>
        <v>0</v>
      </c>
      <c r="AV230" s="66"/>
      <c r="AW230" s="66"/>
      <c r="AX230" s="65">
        <v>0</v>
      </c>
      <c r="AY230" s="65">
        <f>IF(AND($AU230&gt;0,ISNUMBER($AX230)),$AU230*$AX230,0)</f>
        <v>0</v>
      </c>
      <c r="AZ230" s="46"/>
      <c r="BA230" s="52"/>
      <c r="BB230" s="52"/>
      <c r="BC230" s="52"/>
      <c r="BD230" s="52"/>
      <c r="BE230" s="52"/>
      <c r="BF230" s="52" t="s">
        <v>352</v>
      </c>
    </row>
    <row r="231" spans="1:58" ht="15" customHeight="1">
      <c r="A231" s="46" t="s">
        <v>1416</v>
      </c>
      <c r="B231" s="53" t="s">
        <v>1417</v>
      </c>
      <c r="C231" s="66" t="s">
        <v>311</v>
      </c>
      <c r="D231" s="67">
        <v>0</v>
      </c>
      <c r="E231" s="53" t="s">
        <v>312</v>
      </c>
      <c r="F231" s="50"/>
      <c r="G231" s="50"/>
      <c r="H231" s="51"/>
      <c r="I231" s="50" t="s">
        <v>668</v>
      </c>
      <c r="J231" s="54" t="s">
        <v>73</v>
      </c>
      <c r="K231" s="58" t="s">
        <v>312</v>
      </c>
      <c r="L231" s="58" t="s">
        <v>456</v>
      </c>
      <c r="M231" s="58"/>
      <c r="N231" s="58"/>
      <c r="O231" s="54"/>
      <c r="P231" s="56" t="s">
        <v>76</v>
      </c>
      <c r="Q231" s="58" t="s">
        <v>606</v>
      </c>
      <c r="R231" s="54"/>
      <c r="S231" s="54"/>
      <c r="T231" s="54"/>
      <c r="U231" s="54"/>
      <c r="V231" s="57">
        <v>0.27</v>
      </c>
      <c r="W231" s="68"/>
      <c r="X231" s="54"/>
      <c r="Y231" s="54"/>
      <c r="Z231" s="54"/>
      <c r="AA231" s="54"/>
      <c r="AB231" s="57"/>
      <c r="AC231" s="54">
        <v>2</v>
      </c>
      <c r="AD231" s="69">
        <f>SUM(AE231:AK231)</f>
        <v>1</v>
      </c>
      <c r="AE231" s="66"/>
      <c r="AF231" s="66">
        <v>1</v>
      </c>
      <c r="AG231" s="66"/>
      <c r="AH231" s="66"/>
      <c r="AI231" s="66"/>
      <c r="AJ231" s="66"/>
      <c r="AK231" s="66"/>
      <c r="AL231" s="54">
        <f>IF((AC231-SUM(AE231:AK231))&lt;0,0,AC231-SUM(AE231:AK231))</f>
        <v>1</v>
      </c>
      <c r="AM231" s="69">
        <f>SUM(AN231:AT231)</f>
        <v>0</v>
      </c>
      <c r="AN231" s="60"/>
      <c r="AO231" s="52"/>
      <c r="AP231" s="52"/>
      <c r="AQ231" s="52"/>
      <c r="AR231" s="52"/>
      <c r="AS231" s="52"/>
      <c r="AT231" s="61"/>
      <c r="AU231" s="66">
        <f>MAX(0,$AM231-$AC231-$AW231)</f>
        <v>0</v>
      </c>
      <c r="AV231" s="66"/>
      <c r="AW231" s="66"/>
      <c r="AX231" s="65">
        <v>0</v>
      </c>
      <c r="AY231" s="65">
        <f>IF(AND($AU231&gt;0,ISNUMBER($AX231)),$AU231*$AX231,0)</f>
        <v>0</v>
      </c>
      <c r="AZ231" s="46"/>
      <c r="BA231" s="52" t="s">
        <v>369</v>
      </c>
      <c r="BB231" s="52"/>
      <c r="BC231" s="52"/>
      <c r="BD231" s="52"/>
      <c r="BE231" s="52"/>
      <c r="BF231" s="52"/>
    </row>
    <row r="232" spans="1:58" ht="15" customHeight="1">
      <c r="A232" s="46" t="s">
        <v>1418</v>
      </c>
      <c r="B232" s="53" t="s">
        <v>1419</v>
      </c>
      <c r="C232" s="66" t="s">
        <v>80</v>
      </c>
      <c r="D232" s="67">
        <v>5</v>
      </c>
      <c r="E232" s="53" t="s">
        <v>189</v>
      </c>
      <c r="F232" s="50"/>
      <c r="G232" s="50"/>
      <c r="H232" s="51"/>
      <c r="I232" s="50" t="s">
        <v>1420</v>
      </c>
      <c r="J232" s="54" t="s">
        <v>73</v>
      </c>
      <c r="K232" s="58" t="s">
        <v>92</v>
      </c>
      <c r="L232" s="58" t="s">
        <v>1421</v>
      </c>
      <c r="M232" s="58" t="s">
        <v>1422</v>
      </c>
      <c r="N232" s="58"/>
      <c r="O232" s="54"/>
      <c r="P232" s="56" t="s">
        <v>76</v>
      </c>
      <c r="Q232" s="58" t="s">
        <v>669</v>
      </c>
      <c r="R232" s="50"/>
      <c r="S232" s="50"/>
      <c r="T232" s="50"/>
      <c r="U232" s="56"/>
      <c r="V232" s="57">
        <v>0.26</v>
      </c>
      <c r="W232" s="68"/>
      <c r="X232" s="50"/>
      <c r="Y232" s="50"/>
      <c r="Z232" s="50"/>
      <c r="AA232" s="56"/>
      <c r="AB232" s="57"/>
      <c r="AC232" s="54">
        <v>2</v>
      </c>
      <c r="AD232" s="69">
        <f>SUM(AE232:AK232)</f>
        <v>1</v>
      </c>
      <c r="AE232" s="66"/>
      <c r="AF232" s="66"/>
      <c r="AG232" s="66"/>
      <c r="AH232" s="66"/>
      <c r="AI232" s="66"/>
      <c r="AJ232" s="66"/>
      <c r="AK232" s="66">
        <v>1</v>
      </c>
      <c r="AL232" s="54">
        <f>IF((AC232-SUM(AE232:AK232))&lt;0,0,AC232-SUM(AE232:AK232))</f>
        <v>1</v>
      </c>
      <c r="AM232" s="69">
        <f>SUM(AN232:AT232)</f>
        <v>0</v>
      </c>
      <c r="AN232" s="60"/>
      <c r="AO232" s="52"/>
      <c r="AP232" s="52"/>
      <c r="AQ232" s="52"/>
      <c r="AR232" s="52"/>
      <c r="AS232" s="52"/>
      <c r="AT232" s="61"/>
      <c r="AU232" s="66">
        <f>MAX(0,$AM232-$AC232-$AW232)</f>
        <v>0</v>
      </c>
      <c r="AV232" s="66"/>
      <c r="AW232" s="66"/>
      <c r="AX232" s="65">
        <v>0</v>
      </c>
      <c r="AY232" s="65">
        <f>IF(AND($AU232&gt;0,ISNUMBER($AX232)),$AU232*$AX232,0)</f>
        <v>0</v>
      </c>
      <c r="AZ232" s="46"/>
      <c r="BA232" s="52"/>
      <c r="BB232" s="52"/>
      <c r="BC232" s="52"/>
      <c r="BD232" s="52"/>
      <c r="BE232" s="52"/>
      <c r="BF232" s="52" t="s">
        <v>364</v>
      </c>
    </row>
    <row r="233" spans="1:58" ht="15" customHeight="1">
      <c r="A233" s="46" t="s">
        <v>1423</v>
      </c>
      <c r="B233" s="53" t="s">
        <v>1424</v>
      </c>
      <c r="C233" s="66" t="s">
        <v>70</v>
      </c>
      <c r="D233" s="67">
        <v>2</v>
      </c>
      <c r="E233" s="53" t="s">
        <v>71</v>
      </c>
      <c r="F233" s="50"/>
      <c r="G233" s="50"/>
      <c r="H233" s="51"/>
      <c r="I233" s="50" t="s">
        <v>1425</v>
      </c>
      <c r="J233" s="54" t="s">
        <v>73</v>
      </c>
      <c r="K233" s="58" t="s">
        <v>129</v>
      </c>
      <c r="L233" s="58" t="s">
        <v>1426</v>
      </c>
      <c r="M233" s="58"/>
      <c r="N233" s="58"/>
      <c r="O233" s="54"/>
      <c r="P233" s="56" t="s">
        <v>76</v>
      </c>
      <c r="Q233" s="58" t="s">
        <v>1165</v>
      </c>
      <c r="R233" s="50"/>
      <c r="S233" s="50"/>
      <c r="T233" s="50"/>
      <c r="U233" s="56"/>
      <c r="V233" s="57">
        <v>0.26</v>
      </c>
      <c r="W233" s="68"/>
      <c r="X233" s="50"/>
      <c r="Y233" s="50"/>
      <c r="Z233" s="50"/>
      <c r="AA233" s="56"/>
      <c r="AB233" s="57"/>
      <c r="AC233" s="54">
        <v>2</v>
      </c>
      <c r="AD233" s="69">
        <f>SUM(AE233:AK233)</f>
        <v>1</v>
      </c>
      <c r="AE233" s="66"/>
      <c r="AF233" s="66"/>
      <c r="AG233" s="66"/>
      <c r="AH233" s="66"/>
      <c r="AI233" s="66"/>
      <c r="AJ233" s="66">
        <v>1</v>
      </c>
      <c r="AK233" s="66"/>
      <c r="AL233" s="54">
        <f>IF((AC233-SUM(AE233:AK233))&lt;0,0,AC233-SUM(AE233:AK233))</f>
        <v>1</v>
      </c>
      <c r="AM233" s="69">
        <f>SUM(AN233:AT233)</f>
        <v>1</v>
      </c>
      <c r="AN233" s="60"/>
      <c r="AO233" s="52"/>
      <c r="AP233" s="52"/>
      <c r="AQ233" s="52"/>
      <c r="AR233" s="52"/>
      <c r="AS233" s="52">
        <v>1</v>
      </c>
      <c r="AT233" s="61"/>
      <c r="AU233" s="66">
        <f>MAX(0,$AM233-$AC233-$AW233)</f>
        <v>0</v>
      </c>
      <c r="AV233" s="66"/>
      <c r="AW233" s="66"/>
      <c r="AX233" s="65">
        <v>0</v>
      </c>
      <c r="AY233" s="65">
        <f>IF(AND($AU233&gt;0,ISNUMBER($AX233)),$AU233*$AX233,0)</f>
        <v>0</v>
      </c>
      <c r="AZ233" s="46"/>
      <c r="BA233" s="52"/>
      <c r="BB233" s="52"/>
      <c r="BC233" s="52"/>
      <c r="BD233" s="52"/>
      <c r="BE233" s="52"/>
      <c r="BF233" s="52"/>
    </row>
    <row r="234" spans="1:58" ht="15" customHeight="1">
      <c r="A234" s="46" t="s">
        <v>1427</v>
      </c>
      <c r="B234" s="53" t="s">
        <v>1428</v>
      </c>
      <c r="C234" s="66" t="s">
        <v>80</v>
      </c>
      <c r="D234" s="67">
        <v>1</v>
      </c>
      <c r="E234" s="53" t="s">
        <v>189</v>
      </c>
      <c r="F234" s="50"/>
      <c r="G234" s="50"/>
      <c r="H234" s="51"/>
      <c r="I234" s="50" t="s">
        <v>1429</v>
      </c>
      <c r="J234" s="54" t="s">
        <v>73</v>
      </c>
      <c r="K234" s="53" t="s">
        <v>864</v>
      </c>
      <c r="L234" s="53" t="s">
        <v>1430</v>
      </c>
      <c r="M234" s="53" t="s">
        <v>1431</v>
      </c>
      <c r="N234" s="53"/>
      <c r="O234" s="54"/>
      <c r="P234" s="56" t="s">
        <v>185</v>
      </c>
      <c r="Q234" s="53" t="s">
        <v>691</v>
      </c>
      <c r="R234" s="50" t="s">
        <v>1432</v>
      </c>
      <c r="S234" s="50">
        <v>2</v>
      </c>
      <c r="T234" s="50">
        <v>0</v>
      </c>
      <c r="U234" s="56" t="s">
        <v>1433</v>
      </c>
      <c r="V234" s="57">
        <v>0.25</v>
      </c>
      <c r="W234" s="56"/>
      <c r="X234" s="50"/>
      <c r="Y234" s="50"/>
      <c r="Z234" s="50"/>
      <c r="AA234" s="56"/>
      <c r="AB234" s="57"/>
      <c r="AC234" s="54">
        <v>2</v>
      </c>
      <c r="AD234" s="69">
        <f>SUM(AE234:AK234)</f>
        <v>0</v>
      </c>
      <c r="AE234" s="66"/>
      <c r="AF234" s="66"/>
      <c r="AG234" s="66"/>
      <c r="AH234" s="66"/>
      <c r="AI234" s="66"/>
      <c r="AJ234" s="66"/>
      <c r="AK234" s="66"/>
      <c r="AL234" s="54">
        <f>IF((AC234-SUM(AE234:AK234))&lt;0,0,AC234-SUM(AE234:AK234))</f>
        <v>2</v>
      </c>
      <c r="AM234" s="69">
        <f>SUM(AN234:AT234)</f>
        <v>0</v>
      </c>
      <c r="AN234" s="60"/>
      <c r="AO234" s="52"/>
      <c r="AP234" s="52"/>
      <c r="AQ234" s="52"/>
      <c r="AR234" s="52"/>
      <c r="AS234" s="52"/>
      <c r="AT234" s="61"/>
      <c r="AU234" s="66">
        <f>MAX(0,$AM234-$AC234-$AW234)</f>
        <v>0</v>
      </c>
      <c r="AV234" s="66"/>
      <c r="AW234" s="66"/>
      <c r="AX234" s="65">
        <v>0</v>
      </c>
      <c r="AY234" s="65">
        <f>IF(AND($AU234&gt;0,ISNUMBER($AX234)),$AU234*$AX234,0)</f>
        <v>0</v>
      </c>
      <c r="AZ234" s="46"/>
      <c r="BA234" s="52"/>
      <c r="BB234" s="52"/>
      <c r="BC234" s="52"/>
      <c r="BD234" s="52"/>
      <c r="BE234" s="52"/>
      <c r="BF234" s="52"/>
    </row>
    <row r="235" spans="1:58" ht="15" customHeight="1">
      <c r="A235" s="46" t="s">
        <v>1434</v>
      </c>
      <c r="B235" s="53" t="s">
        <v>1435</v>
      </c>
      <c r="C235" s="66" t="s">
        <v>181</v>
      </c>
      <c r="D235" s="67">
        <v>3</v>
      </c>
      <c r="E235" s="53" t="s">
        <v>81</v>
      </c>
      <c r="F235" s="50">
        <v>2</v>
      </c>
      <c r="G235" s="50">
        <v>2</v>
      </c>
      <c r="H235" s="51" t="s">
        <v>1436</v>
      </c>
      <c r="I235" s="50" t="s">
        <v>1437</v>
      </c>
      <c r="J235" s="54" t="s">
        <v>73</v>
      </c>
      <c r="K235" s="58" t="s">
        <v>74</v>
      </c>
      <c r="L235" s="58" t="s">
        <v>995</v>
      </c>
      <c r="M235" s="58" t="s">
        <v>1438</v>
      </c>
      <c r="N235" s="58"/>
      <c r="O235" s="54"/>
      <c r="P235" s="55" t="s">
        <v>76</v>
      </c>
      <c r="Q235" s="58" t="s">
        <v>633</v>
      </c>
      <c r="R235" s="74" t="s">
        <v>1170</v>
      </c>
      <c r="S235" s="74">
        <v>1</v>
      </c>
      <c r="T235" s="74">
        <v>1</v>
      </c>
      <c r="U235" s="56"/>
      <c r="V235" s="57">
        <v>0.24</v>
      </c>
      <c r="W235" s="68"/>
      <c r="X235" s="46"/>
      <c r="Y235" s="50"/>
      <c r="Z235" s="50"/>
      <c r="AA235" s="56"/>
      <c r="AB235" s="57"/>
      <c r="AC235" s="54">
        <v>2</v>
      </c>
      <c r="AD235" s="69">
        <f>SUM(AE235:AK235)</f>
        <v>1</v>
      </c>
      <c r="AE235" s="66"/>
      <c r="AF235" s="66"/>
      <c r="AG235" s="66"/>
      <c r="AH235" s="66"/>
      <c r="AI235" s="66"/>
      <c r="AJ235" s="66"/>
      <c r="AK235" s="66">
        <v>1</v>
      </c>
      <c r="AL235" s="54">
        <f>IF((AC235-SUM(AE235:AK235))&lt;0,0,AC235-SUM(AE235:AK235))</f>
        <v>1</v>
      </c>
      <c r="AM235" s="69">
        <f>SUM(AN235:AT235)</f>
        <v>0</v>
      </c>
      <c r="AN235" s="60"/>
      <c r="AO235" s="52"/>
      <c r="AP235" s="52"/>
      <c r="AQ235" s="52"/>
      <c r="AR235" s="52"/>
      <c r="AS235" s="52"/>
      <c r="AT235" s="61"/>
      <c r="AU235" s="66">
        <f>MAX(0,$AM235-$AC235-$AW235)</f>
        <v>0</v>
      </c>
      <c r="AV235" s="66"/>
      <c r="AW235" s="66"/>
      <c r="AX235" s="65">
        <v>0</v>
      </c>
      <c r="AY235" s="65">
        <f>IF(AND($AU235&gt;0,ISNUMBER($AX235)),$AU235*$AX235,0)</f>
        <v>0</v>
      </c>
      <c r="AZ235" s="46"/>
      <c r="BA235" s="52"/>
      <c r="BB235" s="52"/>
      <c r="BC235" s="52"/>
      <c r="BD235" s="52"/>
      <c r="BE235" s="52"/>
      <c r="BF235" s="52" t="s">
        <v>1439</v>
      </c>
    </row>
    <row r="236" spans="1:58" ht="15" customHeight="1">
      <c r="A236" s="46" t="s">
        <v>1440</v>
      </c>
      <c r="B236" s="53" t="s">
        <v>1441</v>
      </c>
      <c r="C236" s="66" t="s">
        <v>181</v>
      </c>
      <c r="D236" s="67">
        <v>2</v>
      </c>
      <c r="E236" s="53" t="s">
        <v>189</v>
      </c>
      <c r="F236" s="50"/>
      <c r="G236" s="50"/>
      <c r="H236" s="51"/>
      <c r="I236" s="50" t="s">
        <v>1442</v>
      </c>
      <c r="J236" s="54" t="s">
        <v>73</v>
      </c>
      <c r="K236" s="58" t="s">
        <v>135</v>
      </c>
      <c r="L236" s="58" t="s">
        <v>1443</v>
      </c>
      <c r="M236" s="58" t="s">
        <v>1444</v>
      </c>
      <c r="N236" s="58"/>
      <c r="O236" s="54"/>
      <c r="P236" s="56" t="s">
        <v>76</v>
      </c>
      <c r="Q236" s="58" t="s">
        <v>452</v>
      </c>
      <c r="R236" s="50"/>
      <c r="S236" s="50"/>
      <c r="T236" s="50"/>
      <c r="U236" s="56"/>
      <c r="V236" s="57">
        <v>0.24</v>
      </c>
      <c r="W236" s="68"/>
      <c r="X236" s="50"/>
      <c r="Y236" s="50"/>
      <c r="Z236" s="50"/>
      <c r="AA236" s="56"/>
      <c r="AB236" s="57"/>
      <c r="AC236" s="54">
        <v>2</v>
      </c>
      <c r="AD236" s="69">
        <f>SUM(AE236:AK236)</f>
        <v>2</v>
      </c>
      <c r="AE236" s="66"/>
      <c r="AF236" s="66"/>
      <c r="AG236" s="66"/>
      <c r="AH236" s="66"/>
      <c r="AI236" s="66">
        <v>1</v>
      </c>
      <c r="AJ236" s="66"/>
      <c r="AK236" s="66">
        <v>1</v>
      </c>
      <c r="AL236" s="54">
        <f>IF((AC236-SUM(AE236:AK236))&lt;0,0,AC236-SUM(AE236:AK236))</f>
        <v>0</v>
      </c>
      <c r="AM236" s="69">
        <f>SUM(AN236:AT236)</f>
        <v>1</v>
      </c>
      <c r="AN236" s="60"/>
      <c r="AO236" s="52"/>
      <c r="AP236" s="52"/>
      <c r="AQ236" s="52"/>
      <c r="AR236" s="52"/>
      <c r="AS236" s="52"/>
      <c r="AT236" s="61">
        <v>1</v>
      </c>
      <c r="AU236" s="66">
        <f>MAX(0,$AM236-$AC236-$AW236)</f>
        <v>0</v>
      </c>
      <c r="AV236" s="66"/>
      <c r="AW236" s="66"/>
      <c r="AX236" s="65">
        <v>0</v>
      </c>
      <c r="AY236" s="65">
        <f>IF(AND($AU236&gt;0,ISNUMBER($AX236)),$AU236*$AX236,0)</f>
        <v>0</v>
      </c>
      <c r="AZ236" s="46"/>
      <c r="BA236" s="52"/>
      <c r="BB236" s="52"/>
      <c r="BC236" s="52"/>
      <c r="BD236" s="52" t="s">
        <v>621</v>
      </c>
      <c r="BE236" s="52"/>
      <c r="BF236" s="52"/>
    </row>
    <row r="237" spans="1:58" ht="15" customHeight="1">
      <c r="A237" s="46" t="s">
        <v>1445</v>
      </c>
      <c r="B237" s="53" t="s">
        <v>1446</v>
      </c>
      <c r="C237" s="66" t="s">
        <v>232</v>
      </c>
      <c r="D237" s="67">
        <v>2</v>
      </c>
      <c r="E237" s="53" t="s">
        <v>233</v>
      </c>
      <c r="F237" s="50"/>
      <c r="G237" s="50"/>
      <c r="H237" s="51"/>
      <c r="I237" s="50" t="s">
        <v>1447</v>
      </c>
      <c r="J237" s="54" t="s">
        <v>73</v>
      </c>
      <c r="K237" s="58" t="s">
        <v>235</v>
      </c>
      <c r="L237" s="58" t="s">
        <v>1448</v>
      </c>
      <c r="M237" s="58" t="s">
        <v>430</v>
      </c>
      <c r="N237" s="58"/>
      <c r="O237" s="54"/>
      <c r="P237" s="56" t="s">
        <v>76</v>
      </c>
      <c r="Q237" s="58" t="s">
        <v>466</v>
      </c>
      <c r="R237" s="50"/>
      <c r="S237" s="50"/>
      <c r="T237" s="50"/>
      <c r="U237" s="56"/>
      <c r="V237" s="57">
        <v>0.23</v>
      </c>
      <c r="W237" s="68"/>
      <c r="X237" s="50"/>
      <c r="Y237" s="50"/>
      <c r="Z237" s="50"/>
      <c r="AA237" s="56"/>
      <c r="AB237" s="57"/>
      <c r="AC237" s="54">
        <v>2</v>
      </c>
      <c r="AD237" s="69">
        <f>SUM(AE237:AK237)</f>
        <v>2</v>
      </c>
      <c r="AE237" s="66"/>
      <c r="AF237" s="66"/>
      <c r="AG237" s="66"/>
      <c r="AH237" s="66">
        <v>1</v>
      </c>
      <c r="AI237" s="66"/>
      <c r="AJ237" s="66"/>
      <c r="AK237" s="66">
        <v>1</v>
      </c>
      <c r="AL237" s="54">
        <f>IF((AC237-SUM(AE237:AK237))&lt;0,0,AC237-SUM(AE237:AK237))</f>
        <v>0</v>
      </c>
      <c r="AM237" s="69">
        <f>SUM(AN237:AT237)</f>
        <v>1</v>
      </c>
      <c r="AN237" s="60"/>
      <c r="AO237" s="52"/>
      <c r="AP237" s="52"/>
      <c r="AQ237" s="52"/>
      <c r="AR237" s="52"/>
      <c r="AS237" s="52"/>
      <c r="AT237" s="61">
        <v>1</v>
      </c>
      <c r="AU237" s="66">
        <f>MAX(0,$AM237-$AC237-$AW237)</f>
        <v>0</v>
      </c>
      <c r="AV237" s="66"/>
      <c r="AW237" s="66"/>
      <c r="AX237" s="65">
        <v>0</v>
      </c>
      <c r="AY237" s="65">
        <f>IF(AND($AU237&gt;0,ISNUMBER($AX237)),$AU237*$AX237,0)</f>
        <v>0</v>
      </c>
      <c r="AZ237" s="46"/>
      <c r="BA237" s="52"/>
      <c r="BB237" s="52"/>
      <c r="BC237" s="52" t="s">
        <v>467</v>
      </c>
      <c r="BD237" s="52"/>
      <c r="BE237" s="52"/>
      <c r="BF237" s="52"/>
    </row>
    <row r="238" spans="1:58" ht="15" customHeight="1">
      <c r="A238" s="46" t="s">
        <v>1449</v>
      </c>
      <c r="B238" s="53" t="s">
        <v>1450</v>
      </c>
      <c r="C238" s="66" t="s">
        <v>311</v>
      </c>
      <c r="D238" s="67">
        <v>0</v>
      </c>
      <c r="E238" s="53" t="s">
        <v>312</v>
      </c>
      <c r="F238" s="50"/>
      <c r="G238" s="50"/>
      <c r="H238" s="51"/>
      <c r="I238" s="50" t="s">
        <v>1451</v>
      </c>
      <c r="J238" s="54" t="s">
        <v>73</v>
      </c>
      <c r="K238" s="58" t="s">
        <v>312</v>
      </c>
      <c r="L238" s="58" t="s">
        <v>1014</v>
      </c>
      <c r="M238" s="58" t="s">
        <v>747</v>
      </c>
      <c r="N238" s="58" t="s">
        <v>1452</v>
      </c>
      <c r="O238" s="54"/>
      <c r="P238" s="56" t="s">
        <v>76</v>
      </c>
      <c r="Q238" s="58" t="s">
        <v>1030</v>
      </c>
      <c r="R238" s="54"/>
      <c r="S238" s="54"/>
      <c r="T238" s="54"/>
      <c r="U238" s="54"/>
      <c r="V238" s="57">
        <v>0.22</v>
      </c>
      <c r="W238" s="68"/>
      <c r="X238" s="54"/>
      <c r="Y238" s="54"/>
      <c r="Z238" s="54"/>
      <c r="AA238" s="54"/>
      <c r="AB238" s="57"/>
      <c r="AC238" s="54">
        <v>2</v>
      </c>
      <c r="AD238" s="69">
        <f>SUM(AE238:AK238)</f>
        <v>2</v>
      </c>
      <c r="AE238" s="66"/>
      <c r="AF238" s="66">
        <v>1</v>
      </c>
      <c r="AG238" s="66"/>
      <c r="AH238" s="66">
        <v>1</v>
      </c>
      <c r="AI238" s="66"/>
      <c r="AJ238" s="66"/>
      <c r="AK238" s="66"/>
      <c r="AL238" s="54">
        <f>IF((AC238-SUM(AE238:AK238))&lt;0,0,AC238-SUM(AE238:AK238))</f>
        <v>0</v>
      </c>
      <c r="AM238" s="69">
        <f>SUM(AN238:AT238)</f>
        <v>2</v>
      </c>
      <c r="AN238" s="60"/>
      <c r="AO238" s="52">
        <v>1</v>
      </c>
      <c r="AP238" s="52"/>
      <c r="AQ238" s="52">
        <v>1</v>
      </c>
      <c r="AR238" s="52"/>
      <c r="AS238" s="52"/>
      <c r="AT238" s="61"/>
      <c r="AU238" s="66">
        <f>MAX(0,$AM238-$AC238-$AW238)</f>
        <v>0</v>
      </c>
      <c r="AV238" s="66"/>
      <c r="AW238" s="66"/>
      <c r="AX238" s="65">
        <v>0</v>
      </c>
      <c r="AY238" s="65">
        <f>IF(AND($AU238&gt;0,ISNUMBER($AX238)),$AU238*$AX238,0)</f>
        <v>0</v>
      </c>
      <c r="AZ238" s="46"/>
      <c r="BA238" s="52"/>
      <c r="BB238" s="52"/>
      <c r="BC238" s="52"/>
      <c r="BD238" s="52"/>
      <c r="BE238" s="52"/>
      <c r="BF238" s="52"/>
    </row>
    <row r="239" spans="1:58" ht="15" customHeight="1">
      <c r="A239" s="46" t="s">
        <v>1453</v>
      </c>
      <c r="B239" s="53" t="s">
        <v>1454</v>
      </c>
      <c r="C239" s="66" t="s">
        <v>118</v>
      </c>
      <c r="D239" s="67">
        <v>7</v>
      </c>
      <c r="E239" s="53" t="s">
        <v>81</v>
      </c>
      <c r="F239" s="50">
        <v>3</v>
      </c>
      <c r="G239" s="50">
        <v>3</v>
      </c>
      <c r="H239" s="51" t="s">
        <v>1019</v>
      </c>
      <c r="I239" s="50" t="s">
        <v>1455</v>
      </c>
      <c r="J239" s="54" t="s">
        <v>73</v>
      </c>
      <c r="K239" s="58" t="s">
        <v>129</v>
      </c>
      <c r="L239" s="58" t="s">
        <v>1456</v>
      </c>
      <c r="M239" s="58" t="s">
        <v>1457</v>
      </c>
      <c r="N239" s="58"/>
      <c r="O239" s="54"/>
      <c r="P239" s="56" t="s">
        <v>185</v>
      </c>
      <c r="Q239" s="58" t="s">
        <v>669</v>
      </c>
      <c r="R239" s="74" t="s">
        <v>1458</v>
      </c>
      <c r="S239" s="74">
        <v>1</v>
      </c>
      <c r="T239" s="74">
        <v>1</v>
      </c>
      <c r="U239" s="56" t="s">
        <v>1222</v>
      </c>
      <c r="V239" s="57">
        <v>0.22</v>
      </c>
      <c r="W239" s="68"/>
      <c r="X239" s="50"/>
      <c r="Y239" s="50"/>
      <c r="Z239" s="50"/>
      <c r="AA239" s="56"/>
      <c r="AB239" s="57"/>
      <c r="AC239" s="54">
        <v>2</v>
      </c>
      <c r="AD239" s="69">
        <f>SUM(AE239:AK239)</f>
        <v>1</v>
      </c>
      <c r="AE239" s="66"/>
      <c r="AF239" s="66"/>
      <c r="AG239" s="66"/>
      <c r="AH239" s="66"/>
      <c r="AI239" s="66">
        <v>1</v>
      </c>
      <c r="AJ239" s="66"/>
      <c r="AK239" s="66"/>
      <c r="AL239" s="54">
        <f>IF((AC239-SUM(AE239:AK239))&lt;0,0,AC239-SUM(AE239:AK239))</f>
        <v>1</v>
      </c>
      <c r="AM239" s="69">
        <f>SUM(AN239:AT239)</f>
        <v>0</v>
      </c>
      <c r="AN239" s="60"/>
      <c r="AO239" s="52"/>
      <c r="AP239" s="52"/>
      <c r="AQ239" s="52"/>
      <c r="AR239" s="52"/>
      <c r="AS239" s="52"/>
      <c r="AT239" s="61"/>
      <c r="AU239" s="66">
        <f>MAX(0,$AM239-$AC239-$AW239)</f>
        <v>0</v>
      </c>
      <c r="AV239" s="66"/>
      <c r="AW239" s="66"/>
      <c r="AX239" s="65">
        <v>0</v>
      </c>
      <c r="AY239" s="65">
        <f>IF(AND($AU239&gt;0,ISNUMBER($AX239)),$AU239*$AX239,0)</f>
        <v>0</v>
      </c>
      <c r="AZ239" s="46"/>
      <c r="BA239" s="52"/>
      <c r="BB239" s="52"/>
      <c r="BC239" s="52"/>
      <c r="BD239" s="52" t="s">
        <v>612</v>
      </c>
      <c r="BE239" s="52"/>
      <c r="BF239" s="52"/>
    </row>
    <row r="240" spans="1:58" ht="15" customHeight="1">
      <c r="A240" s="46" t="s">
        <v>1459</v>
      </c>
      <c r="B240" s="53" t="s">
        <v>1460</v>
      </c>
      <c r="C240" s="66" t="s">
        <v>118</v>
      </c>
      <c r="D240" s="67">
        <v>3</v>
      </c>
      <c r="E240" s="53" t="s">
        <v>110</v>
      </c>
      <c r="F240" s="50">
        <v>3</v>
      </c>
      <c r="G240" s="50">
        <v>3</v>
      </c>
      <c r="H240" s="51" t="s">
        <v>1461</v>
      </c>
      <c r="I240" s="50" t="s">
        <v>1462</v>
      </c>
      <c r="J240" s="54" t="s">
        <v>73</v>
      </c>
      <c r="K240" s="53" t="s">
        <v>676</v>
      </c>
      <c r="L240" s="53" t="s">
        <v>1463</v>
      </c>
      <c r="M240" s="53" t="s">
        <v>1464</v>
      </c>
      <c r="N240" s="53"/>
      <c r="O240" s="56">
        <v>6602</v>
      </c>
      <c r="P240" s="55" t="s">
        <v>76</v>
      </c>
      <c r="Q240" s="53" t="s">
        <v>633</v>
      </c>
      <c r="R240" s="74" t="s">
        <v>1465</v>
      </c>
      <c r="S240" s="74">
        <v>1</v>
      </c>
      <c r="T240" s="74">
        <v>1</v>
      </c>
      <c r="U240" s="56" t="s">
        <v>1466</v>
      </c>
      <c r="V240" s="57">
        <v>0.22</v>
      </c>
      <c r="W240" s="68"/>
      <c r="X240" s="46"/>
      <c r="Y240" s="50"/>
      <c r="Z240" s="50"/>
      <c r="AA240" s="56"/>
      <c r="AB240" s="57"/>
      <c r="AC240" s="54">
        <v>2</v>
      </c>
      <c r="AD240" s="69">
        <f>SUM(AE240:AK240)</f>
        <v>0</v>
      </c>
      <c r="AE240" s="66"/>
      <c r="AF240" s="66"/>
      <c r="AG240" s="66"/>
      <c r="AH240" s="66"/>
      <c r="AI240" s="66"/>
      <c r="AJ240" s="66"/>
      <c r="AK240" s="66"/>
      <c r="AL240" s="54">
        <f>IF((AC240-SUM(AE240:AK240))&lt;0,0,AC240-SUM(AE240:AK240))</f>
        <v>2</v>
      </c>
      <c r="AM240" s="69">
        <f>SUM(AN240:AT240)</f>
        <v>0</v>
      </c>
      <c r="AN240" s="60"/>
      <c r="AO240" s="52"/>
      <c r="AP240" s="52"/>
      <c r="AQ240" s="52"/>
      <c r="AR240" s="52"/>
      <c r="AS240" s="52"/>
      <c r="AT240" s="61"/>
      <c r="AU240" s="66">
        <f>MAX(0,$AM240-$AC240-$AW240)</f>
        <v>0</v>
      </c>
      <c r="AV240" s="66"/>
      <c r="AW240" s="66"/>
      <c r="AX240" s="65">
        <v>0</v>
      </c>
      <c r="AY240" s="65">
        <f>IF(AND($AU240&gt;0,ISNUMBER($AX240)),$AU240*$AX240,0)</f>
        <v>0</v>
      </c>
      <c r="AZ240" s="46"/>
      <c r="BA240" s="52"/>
      <c r="BB240" s="52"/>
      <c r="BC240" s="52"/>
      <c r="BD240" s="52"/>
      <c r="BE240" s="52"/>
      <c r="BF240" s="52"/>
    </row>
    <row r="241" spans="1:58" ht="15" customHeight="1">
      <c r="A241" s="46" t="s">
        <v>1467</v>
      </c>
      <c r="B241" s="53" t="s">
        <v>1468</v>
      </c>
      <c r="C241" s="66" t="s">
        <v>181</v>
      </c>
      <c r="D241" s="67">
        <v>5</v>
      </c>
      <c r="E241" s="53" t="s">
        <v>81</v>
      </c>
      <c r="F241" s="50">
        <v>4</v>
      </c>
      <c r="G241" s="50">
        <v>2</v>
      </c>
      <c r="H241" s="51" t="s">
        <v>1469</v>
      </c>
      <c r="I241" s="50" t="s">
        <v>1470</v>
      </c>
      <c r="J241" s="54" t="s">
        <v>73</v>
      </c>
      <c r="K241" s="53" t="s">
        <v>676</v>
      </c>
      <c r="L241" s="53" t="s">
        <v>113</v>
      </c>
      <c r="M241" s="53" t="s">
        <v>1471</v>
      </c>
      <c r="N241" s="53"/>
      <c r="O241" s="54"/>
      <c r="P241" s="56" t="s">
        <v>185</v>
      </c>
      <c r="Q241" s="53" t="s">
        <v>633</v>
      </c>
      <c r="R241" s="74" t="s">
        <v>1472</v>
      </c>
      <c r="S241" s="74">
        <v>1</v>
      </c>
      <c r="T241" s="74">
        <v>0</v>
      </c>
      <c r="U241" s="56" t="s">
        <v>665</v>
      </c>
      <c r="V241" s="57">
        <v>0.22</v>
      </c>
      <c r="W241" s="68"/>
      <c r="X241" s="56"/>
      <c r="Y241" s="54">
        <v>1</v>
      </c>
      <c r="Z241" s="54">
        <v>1</v>
      </c>
      <c r="AA241" s="56" t="s">
        <v>665</v>
      </c>
      <c r="AB241" s="57">
        <v>0.28000000000000003</v>
      </c>
      <c r="AC241" s="54">
        <v>2</v>
      </c>
      <c r="AD241" s="69">
        <f>SUM(AE241:AK241)</f>
        <v>0</v>
      </c>
      <c r="AE241" s="66"/>
      <c r="AF241" s="66"/>
      <c r="AG241" s="66"/>
      <c r="AH241" s="66"/>
      <c r="AI241" s="66"/>
      <c r="AJ241" s="66"/>
      <c r="AK241" s="66"/>
      <c r="AL241" s="54">
        <f>IF((AC241-SUM(AE241:AK241))&lt;0,0,AC241-SUM(AE241:AK241))</f>
        <v>2</v>
      </c>
      <c r="AM241" s="69">
        <f>SUM(AN241:AT241)</f>
        <v>0</v>
      </c>
      <c r="AN241" s="60"/>
      <c r="AO241" s="52"/>
      <c r="AP241" s="52"/>
      <c r="AQ241" s="52"/>
      <c r="AR241" s="52"/>
      <c r="AS241" s="52"/>
      <c r="AT241" s="61"/>
      <c r="AU241" s="66">
        <f>MAX(0,$AM241-$AC241-$AW241)</f>
        <v>0</v>
      </c>
      <c r="AV241" s="66"/>
      <c r="AW241" s="66"/>
      <c r="AX241" s="65">
        <v>0</v>
      </c>
      <c r="AY241" s="65">
        <f>IF(AND($AU241&gt;0,ISNUMBER($AX241)),$AU241*$AX241,0)</f>
        <v>0</v>
      </c>
      <c r="AZ241" s="46"/>
      <c r="BA241" s="52"/>
      <c r="BB241" s="52"/>
      <c r="BC241" s="52"/>
      <c r="BD241" s="52"/>
      <c r="BE241" s="52"/>
      <c r="BF241" s="52"/>
    </row>
    <row r="242" spans="1:58" ht="15" customHeight="1">
      <c r="A242" s="46" t="s">
        <v>1473</v>
      </c>
      <c r="B242" s="53" t="s">
        <v>1474</v>
      </c>
      <c r="C242" s="66" t="s">
        <v>109</v>
      </c>
      <c r="D242" s="67">
        <v>3</v>
      </c>
      <c r="E242" s="53" t="s">
        <v>81</v>
      </c>
      <c r="F242" s="50">
        <v>4</v>
      </c>
      <c r="G242" s="50">
        <v>2</v>
      </c>
      <c r="H242" s="51" t="s">
        <v>150</v>
      </c>
      <c r="I242" s="50" t="s">
        <v>1475</v>
      </c>
      <c r="J242" s="54" t="s">
        <v>73</v>
      </c>
      <c r="K242" s="58" t="s">
        <v>676</v>
      </c>
      <c r="L242" s="58" t="s">
        <v>1476</v>
      </c>
      <c r="M242" s="58" t="s">
        <v>1477</v>
      </c>
      <c r="N242" s="58"/>
      <c r="O242" s="54"/>
      <c r="P242" s="56" t="s">
        <v>76</v>
      </c>
      <c r="Q242" s="58" t="s">
        <v>669</v>
      </c>
      <c r="R242" s="50"/>
      <c r="S242" s="50"/>
      <c r="T242" s="50"/>
      <c r="U242" s="56"/>
      <c r="V242" s="57">
        <v>0.22</v>
      </c>
      <c r="W242" s="68"/>
      <c r="X242" s="50"/>
      <c r="Y242" s="50"/>
      <c r="Z242" s="50"/>
      <c r="AA242" s="56"/>
      <c r="AB242" s="57"/>
      <c r="AC242" s="54">
        <v>2</v>
      </c>
      <c r="AD242" s="69">
        <f>SUM(AE242:AK242)</f>
        <v>0</v>
      </c>
      <c r="AE242" s="66"/>
      <c r="AF242" s="66"/>
      <c r="AG242" s="66"/>
      <c r="AH242" s="66"/>
      <c r="AI242" s="66"/>
      <c r="AJ242" s="66"/>
      <c r="AK242" s="66"/>
      <c r="AL242" s="54">
        <f>IF((AC242-SUM(AE242:AK242))&lt;0,0,AC242-SUM(AE242:AK242))</f>
        <v>2</v>
      </c>
      <c r="AM242" s="69">
        <f>SUM(AN242:AT242)</f>
        <v>0</v>
      </c>
      <c r="AN242" s="60"/>
      <c r="AO242" s="52"/>
      <c r="AP242" s="52"/>
      <c r="AQ242" s="52"/>
      <c r="AR242" s="52"/>
      <c r="AS242" s="52"/>
      <c r="AT242" s="61"/>
      <c r="AU242" s="66">
        <f>MAX(0,$AM242-$AC242-$AW242)</f>
        <v>0</v>
      </c>
      <c r="AV242" s="66"/>
      <c r="AW242" s="66"/>
      <c r="AX242" s="65">
        <v>0</v>
      </c>
      <c r="AY242" s="65">
        <f>IF(AND($AU242&gt;0,ISNUMBER($AX242)),$AU242*$AX242,0)</f>
        <v>0</v>
      </c>
      <c r="AZ242" s="46"/>
      <c r="BA242" s="52"/>
      <c r="BB242" s="52"/>
      <c r="BC242" s="52"/>
      <c r="BD242" s="52"/>
      <c r="BE242" s="52"/>
      <c r="BF242" s="52"/>
    </row>
    <row r="243" spans="1:58" ht="15" customHeight="1">
      <c r="A243" s="46" t="s">
        <v>1478</v>
      </c>
      <c r="B243" s="53" t="s">
        <v>1479</v>
      </c>
      <c r="C243" s="66" t="s">
        <v>80</v>
      </c>
      <c r="D243" s="67">
        <v>2</v>
      </c>
      <c r="E243" s="53" t="s">
        <v>81</v>
      </c>
      <c r="F243" s="50">
        <v>1</v>
      </c>
      <c r="G243" s="50">
        <v>2</v>
      </c>
      <c r="H243" s="51" t="s">
        <v>96</v>
      </c>
      <c r="I243" s="50" t="s">
        <v>1480</v>
      </c>
      <c r="J243" s="54" t="s">
        <v>73</v>
      </c>
      <c r="K243" s="58" t="s">
        <v>864</v>
      </c>
      <c r="L243" s="58" t="s">
        <v>1481</v>
      </c>
      <c r="M243" s="58"/>
      <c r="N243" s="58"/>
      <c r="O243" s="54"/>
      <c r="P243" s="56" t="s">
        <v>185</v>
      </c>
      <c r="Q243" s="58" t="s">
        <v>669</v>
      </c>
      <c r="R243" s="74" t="s">
        <v>1482</v>
      </c>
      <c r="S243" s="74">
        <v>1</v>
      </c>
      <c r="T243" s="74">
        <v>0</v>
      </c>
      <c r="U243" s="56" t="s">
        <v>1483</v>
      </c>
      <c r="V243" s="57">
        <v>0.21</v>
      </c>
      <c r="W243" s="68"/>
      <c r="X243" s="50"/>
      <c r="Y243" s="50"/>
      <c r="Z243" s="50"/>
      <c r="AA243" s="56"/>
      <c r="AB243" s="57"/>
      <c r="AC243" s="54">
        <v>2</v>
      </c>
      <c r="AD243" s="69">
        <f>SUM(AE243:AK243)</f>
        <v>1</v>
      </c>
      <c r="AE243" s="66"/>
      <c r="AF243" s="66"/>
      <c r="AG243" s="66"/>
      <c r="AH243" s="66"/>
      <c r="AI243" s="66"/>
      <c r="AJ243" s="66"/>
      <c r="AK243" s="66">
        <v>1</v>
      </c>
      <c r="AL243" s="54">
        <f>IF((AC243-SUM(AE243:AK243))&lt;0,0,AC243-SUM(AE243:AK243))</f>
        <v>1</v>
      </c>
      <c r="AM243" s="69">
        <f>SUM(AN243:AT243)</f>
        <v>1</v>
      </c>
      <c r="AN243" s="60"/>
      <c r="AO243" s="52"/>
      <c r="AP243" s="52"/>
      <c r="AQ243" s="52"/>
      <c r="AR243" s="52"/>
      <c r="AS243" s="52"/>
      <c r="AT243" s="61">
        <v>1</v>
      </c>
      <c r="AU243" s="66">
        <f>MAX(0,$AM243-$AC243-$AW243)</f>
        <v>0</v>
      </c>
      <c r="AV243" s="66"/>
      <c r="AW243" s="66"/>
      <c r="AX243" s="65">
        <v>0</v>
      </c>
      <c r="AY243" s="65">
        <f>IF(AND($AU243&gt;0,ISNUMBER($AX243)),$AU243*$AX243,0)</f>
        <v>0</v>
      </c>
      <c r="AZ243" s="46"/>
      <c r="BA243" s="52"/>
      <c r="BB243" s="52"/>
      <c r="BC243" s="52"/>
      <c r="BD243" s="52"/>
      <c r="BE243" s="52"/>
      <c r="BF243" s="52"/>
    </row>
    <row r="244" spans="1:58" ht="15" customHeight="1">
      <c r="A244" s="46" t="s">
        <v>1484</v>
      </c>
      <c r="B244" s="53" t="s">
        <v>1485</v>
      </c>
      <c r="C244" s="66" t="s">
        <v>118</v>
      </c>
      <c r="D244" s="67">
        <v>2</v>
      </c>
      <c r="E244" s="53" t="s">
        <v>189</v>
      </c>
      <c r="F244" s="50"/>
      <c r="G244" s="50"/>
      <c r="H244" s="51"/>
      <c r="I244" s="50" t="s">
        <v>1486</v>
      </c>
      <c r="J244" s="54" t="s">
        <v>73</v>
      </c>
      <c r="K244" s="58" t="s">
        <v>864</v>
      </c>
      <c r="L244" s="58" t="s">
        <v>1487</v>
      </c>
      <c r="M244" s="58" t="s">
        <v>1488</v>
      </c>
      <c r="N244" s="58"/>
      <c r="O244" s="54"/>
      <c r="P244" s="56" t="s">
        <v>76</v>
      </c>
      <c r="Q244" s="58" t="s">
        <v>669</v>
      </c>
      <c r="R244" s="50"/>
      <c r="S244" s="50"/>
      <c r="T244" s="50"/>
      <c r="U244" s="56"/>
      <c r="V244" s="57">
        <v>0.21</v>
      </c>
      <c r="W244" s="68"/>
      <c r="X244" s="50"/>
      <c r="Y244" s="50"/>
      <c r="Z244" s="50"/>
      <c r="AA244" s="56"/>
      <c r="AB244" s="57"/>
      <c r="AC244" s="54">
        <v>2</v>
      </c>
      <c r="AD244" s="69">
        <f>SUM(AE244:AK244)</f>
        <v>0</v>
      </c>
      <c r="AE244" s="66"/>
      <c r="AF244" s="66"/>
      <c r="AG244" s="66"/>
      <c r="AH244" s="66"/>
      <c r="AI244" s="66"/>
      <c r="AJ244" s="66"/>
      <c r="AK244" s="66"/>
      <c r="AL244" s="54">
        <f>IF((AC244-SUM(AE244:AK244))&lt;0,0,AC244-SUM(AE244:AK244))</f>
        <v>2</v>
      </c>
      <c r="AM244" s="69">
        <f>SUM(AN244:AT244)</f>
        <v>0</v>
      </c>
      <c r="AN244" s="60"/>
      <c r="AO244" s="52"/>
      <c r="AP244" s="52"/>
      <c r="AQ244" s="52"/>
      <c r="AR244" s="52"/>
      <c r="AS244" s="52"/>
      <c r="AT244" s="61"/>
      <c r="AU244" s="66">
        <f>MAX(0,$AM244-$AC244-$AW244)</f>
        <v>0</v>
      </c>
      <c r="AV244" s="66"/>
      <c r="AW244" s="66"/>
      <c r="AX244" s="65">
        <v>0</v>
      </c>
      <c r="AY244" s="65">
        <f>IF(AND($AU244&gt;0,ISNUMBER($AX244)),$AU244*$AX244,0)</f>
        <v>0</v>
      </c>
      <c r="AZ244" s="46"/>
      <c r="BA244" s="52"/>
      <c r="BB244" s="52"/>
      <c r="BC244" s="52"/>
      <c r="BD244" s="52"/>
      <c r="BE244" s="52"/>
      <c r="BF244" s="52"/>
    </row>
    <row r="245" spans="1:58" ht="15" customHeight="1">
      <c r="A245" s="46" t="s">
        <v>1489</v>
      </c>
      <c r="B245" s="47" t="s">
        <v>1490</v>
      </c>
      <c r="C245" s="48" t="s">
        <v>70</v>
      </c>
      <c r="D245" s="49">
        <v>4</v>
      </c>
      <c r="E245" s="47" t="s">
        <v>110</v>
      </c>
      <c r="F245" s="50">
        <v>4</v>
      </c>
      <c r="G245" s="50">
        <v>4</v>
      </c>
      <c r="H245" s="51" t="s">
        <v>1491</v>
      </c>
      <c r="I245" s="50" t="s">
        <v>1492</v>
      </c>
      <c r="J245" s="52" t="s">
        <v>73</v>
      </c>
      <c r="K245" s="47" t="s">
        <v>1493</v>
      </c>
      <c r="L245" s="53" t="s">
        <v>1494</v>
      </c>
      <c r="M245" s="53" t="s">
        <v>1495</v>
      </c>
      <c r="N245" s="53"/>
      <c r="O245" s="56">
        <v>1379</v>
      </c>
      <c r="P245" s="55" t="s">
        <v>185</v>
      </c>
      <c r="Q245" s="47" t="s">
        <v>645</v>
      </c>
      <c r="R245" s="75" t="s">
        <v>1496</v>
      </c>
      <c r="S245" s="75">
        <v>2</v>
      </c>
      <c r="T245" s="75">
        <v>0</v>
      </c>
      <c r="U245" s="56" t="s">
        <v>1497</v>
      </c>
      <c r="V245" s="57">
        <v>0.21</v>
      </c>
      <c r="W245" s="68"/>
      <c r="X245" s="46"/>
      <c r="Y245" s="46"/>
      <c r="Z245" s="46"/>
      <c r="AA245" s="56"/>
      <c r="AB245" s="57"/>
      <c r="AC245" s="54">
        <v>2</v>
      </c>
      <c r="AD245" s="69">
        <f>SUM(AE245:AK245)</f>
        <v>0</v>
      </c>
      <c r="AE245" s="66"/>
      <c r="AF245" s="66"/>
      <c r="AG245" s="66"/>
      <c r="AH245" s="66"/>
      <c r="AI245" s="66"/>
      <c r="AJ245" s="66"/>
      <c r="AK245" s="66"/>
      <c r="AL245" s="54">
        <f>IF((AC245-SUM(AE245:AK245))&lt;0,0,AC245-SUM(AE245:AK245))</f>
        <v>2</v>
      </c>
      <c r="AM245" s="69">
        <f>SUM(AN245:AT245)</f>
        <v>0</v>
      </c>
      <c r="AN245" s="60"/>
      <c r="AO245" s="52"/>
      <c r="AP245" s="52"/>
      <c r="AQ245" s="52"/>
      <c r="AR245" s="52"/>
      <c r="AS245" s="52"/>
      <c r="AT245" s="61"/>
      <c r="AU245" s="66">
        <f>MAX(0,$AM245-$AC245-$AW245)</f>
        <v>0</v>
      </c>
      <c r="AV245" s="48"/>
      <c r="AW245" s="48"/>
      <c r="AX245" s="65">
        <v>0</v>
      </c>
      <c r="AY245" s="65">
        <f>IF(AND($AU245&gt;0,ISNUMBER($AX245)),$AU245*$AX245,0)</f>
        <v>0</v>
      </c>
      <c r="AZ245" s="46"/>
      <c r="BA245" s="52"/>
      <c r="BB245" s="52"/>
      <c r="BC245" s="52"/>
      <c r="BD245" s="52"/>
      <c r="BE245" s="52"/>
      <c r="BF245" s="52"/>
    </row>
    <row r="246" spans="1:58" ht="15" customHeight="1">
      <c r="A246" s="46" t="s">
        <v>1498</v>
      </c>
      <c r="B246" s="53" t="s">
        <v>1499</v>
      </c>
      <c r="C246" s="66" t="s">
        <v>181</v>
      </c>
      <c r="D246" s="67">
        <v>4</v>
      </c>
      <c r="E246" s="53" t="s">
        <v>81</v>
      </c>
      <c r="F246" s="50">
        <v>2</v>
      </c>
      <c r="G246" s="50">
        <v>3</v>
      </c>
      <c r="H246" s="51" t="s">
        <v>1500</v>
      </c>
      <c r="I246" s="50" t="s">
        <v>1501</v>
      </c>
      <c r="J246" s="54" t="s">
        <v>73</v>
      </c>
      <c r="K246" s="58" t="s">
        <v>135</v>
      </c>
      <c r="L246" s="58" t="s">
        <v>1502</v>
      </c>
      <c r="M246" s="58" t="s">
        <v>1503</v>
      </c>
      <c r="N246" s="58"/>
      <c r="O246" s="54"/>
      <c r="P246" s="56" t="s">
        <v>185</v>
      </c>
      <c r="Q246" s="58" t="s">
        <v>669</v>
      </c>
      <c r="R246" s="50"/>
      <c r="S246" s="50"/>
      <c r="T246" s="50"/>
      <c r="U246" s="56"/>
      <c r="V246" s="57">
        <v>0.21</v>
      </c>
      <c r="W246" s="68"/>
      <c r="X246" s="50"/>
      <c r="Y246" s="50"/>
      <c r="Z246" s="50"/>
      <c r="AA246" s="56"/>
      <c r="AB246" s="57"/>
      <c r="AC246" s="54">
        <v>2</v>
      </c>
      <c r="AD246" s="69">
        <f>SUM(AE246:AK246)</f>
        <v>2</v>
      </c>
      <c r="AE246" s="66"/>
      <c r="AF246" s="66"/>
      <c r="AG246" s="66"/>
      <c r="AH246" s="66"/>
      <c r="AI246" s="66">
        <v>1</v>
      </c>
      <c r="AJ246" s="66"/>
      <c r="AK246" s="66">
        <v>1</v>
      </c>
      <c r="AL246" s="54">
        <f>IF((AC246-SUM(AE246:AK246))&lt;0,0,AC246-SUM(AE246:AK246))</f>
        <v>0</v>
      </c>
      <c r="AM246" s="69">
        <f>SUM(AN246:AT246)</f>
        <v>2</v>
      </c>
      <c r="AN246" s="60"/>
      <c r="AO246" s="52"/>
      <c r="AP246" s="52"/>
      <c r="AQ246" s="52"/>
      <c r="AR246" s="52">
        <v>1</v>
      </c>
      <c r="AS246" s="52"/>
      <c r="AT246" s="61">
        <v>1</v>
      </c>
      <c r="AU246" s="66">
        <f>MAX(0,$AM246-$AC246-$AW246)</f>
        <v>0</v>
      </c>
      <c r="AV246" s="66"/>
      <c r="AW246" s="66"/>
      <c r="AX246" s="65">
        <v>0</v>
      </c>
      <c r="AY246" s="65">
        <f>IF(AND($AU246&gt;0,ISNUMBER($AX246)),$AU246*$AX246,0)</f>
        <v>0</v>
      </c>
      <c r="AZ246" s="46"/>
      <c r="BA246" s="52"/>
      <c r="BB246" s="52"/>
      <c r="BC246" s="52"/>
      <c r="BD246" s="52"/>
      <c r="BE246" s="52"/>
      <c r="BF246" s="52"/>
    </row>
    <row r="247" spans="1:58" ht="15" customHeight="1">
      <c r="A247" s="46" t="s">
        <v>1504</v>
      </c>
      <c r="B247" s="53" t="s">
        <v>1505</v>
      </c>
      <c r="C247" s="66" t="s">
        <v>109</v>
      </c>
      <c r="D247" s="67">
        <v>3</v>
      </c>
      <c r="E247" s="53" t="s">
        <v>81</v>
      </c>
      <c r="F247" s="50">
        <v>1</v>
      </c>
      <c r="G247" s="50">
        <v>1</v>
      </c>
      <c r="H247" s="51" t="s">
        <v>674</v>
      </c>
      <c r="I247" s="50" t="s">
        <v>1506</v>
      </c>
      <c r="J247" s="54" t="s">
        <v>73</v>
      </c>
      <c r="K247" s="53" t="s">
        <v>129</v>
      </c>
      <c r="L247" s="53" t="s">
        <v>1507</v>
      </c>
      <c r="M247" s="53"/>
      <c r="N247" s="53"/>
      <c r="O247" s="54"/>
      <c r="P247" s="56" t="s">
        <v>185</v>
      </c>
      <c r="Q247" s="53" t="s">
        <v>633</v>
      </c>
      <c r="R247" s="50"/>
      <c r="S247" s="50"/>
      <c r="T247" s="50"/>
      <c r="U247" s="56"/>
      <c r="V247" s="57">
        <v>0.21</v>
      </c>
      <c r="W247" s="68"/>
      <c r="X247" s="50"/>
      <c r="Y247" s="50"/>
      <c r="Z247" s="50"/>
      <c r="AA247" s="56"/>
      <c r="AB247" s="57"/>
      <c r="AC247" s="54">
        <v>2</v>
      </c>
      <c r="AD247" s="69">
        <f>SUM(AE247:AK247)</f>
        <v>0</v>
      </c>
      <c r="AE247" s="66"/>
      <c r="AF247" s="66"/>
      <c r="AG247" s="66"/>
      <c r="AH247" s="66"/>
      <c r="AI247" s="66"/>
      <c r="AJ247" s="66"/>
      <c r="AK247" s="66"/>
      <c r="AL247" s="54">
        <f>IF((AC247-SUM(AE247:AK247))&lt;0,0,AC247-SUM(AE247:AK247))</f>
        <v>2</v>
      </c>
      <c r="AM247" s="69">
        <f>SUM(AN247:AT247)</f>
        <v>0</v>
      </c>
      <c r="AN247" s="60"/>
      <c r="AO247" s="52"/>
      <c r="AP247" s="52"/>
      <c r="AQ247" s="52"/>
      <c r="AR247" s="52"/>
      <c r="AS247" s="52"/>
      <c r="AT247" s="61"/>
      <c r="AU247" s="66">
        <f>MAX(0,$AM247-$AC247-$AW247)</f>
        <v>0</v>
      </c>
      <c r="AV247" s="66"/>
      <c r="AW247" s="66"/>
      <c r="AX247" s="65">
        <v>0</v>
      </c>
      <c r="AY247" s="65">
        <f>IF(AND($AU247&gt;0,ISNUMBER($AX247)),$AU247*$AX247,0)</f>
        <v>0</v>
      </c>
      <c r="AZ247" s="46"/>
      <c r="BA247" s="52"/>
      <c r="BB247" s="52"/>
      <c r="BC247" s="52"/>
      <c r="BD247" s="52"/>
      <c r="BE247" s="52"/>
      <c r="BF247" s="52"/>
    </row>
    <row r="248" spans="1:58" ht="15" customHeight="1">
      <c r="A248" s="46" t="s">
        <v>1508</v>
      </c>
      <c r="B248" s="53" t="s">
        <v>1509</v>
      </c>
      <c r="C248" s="66" t="s">
        <v>101</v>
      </c>
      <c r="D248" s="67">
        <v>1</v>
      </c>
      <c r="E248" s="53" t="s">
        <v>81</v>
      </c>
      <c r="F248" s="50">
        <v>0</v>
      </c>
      <c r="G248" s="50">
        <v>3</v>
      </c>
      <c r="H248" s="51" t="s">
        <v>162</v>
      </c>
      <c r="I248" s="50" t="s">
        <v>1510</v>
      </c>
      <c r="J248" s="54" t="s">
        <v>73</v>
      </c>
      <c r="K248" s="58" t="s">
        <v>164</v>
      </c>
      <c r="L248" s="58" t="s">
        <v>1511</v>
      </c>
      <c r="M248" s="58" t="s">
        <v>1512</v>
      </c>
      <c r="N248" s="58"/>
      <c r="O248" s="54"/>
      <c r="P248" s="56" t="s">
        <v>76</v>
      </c>
      <c r="Q248" s="58" t="s">
        <v>492</v>
      </c>
      <c r="R248" s="50"/>
      <c r="S248" s="50"/>
      <c r="T248" s="50"/>
      <c r="U248" s="56"/>
      <c r="V248" s="57">
        <v>0.2</v>
      </c>
      <c r="W248" s="68"/>
      <c r="X248" s="50"/>
      <c r="Y248" s="50"/>
      <c r="Z248" s="50"/>
      <c r="AA248" s="56"/>
      <c r="AB248" s="57"/>
      <c r="AC248" s="54">
        <v>2</v>
      </c>
      <c r="AD248" s="69">
        <f>SUM(AE248:AK248)</f>
        <v>1</v>
      </c>
      <c r="AE248" s="66"/>
      <c r="AF248" s="66"/>
      <c r="AG248" s="66"/>
      <c r="AH248" s="66">
        <v>1</v>
      </c>
      <c r="AI248" s="66"/>
      <c r="AJ248" s="66"/>
      <c r="AK248" s="66"/>
      <c r="AL248" s="54">
        <f>IF((AC248-SUM(AE248:AK248))&lt;0,0,AC248-SUM(AE248:AK248))</f>
        <v>1</v>
      </c>
      <c r="AM248" s="69">
        <f>SUM(AN248:AT248)</f>
        <v>1</v>
      </c>
      <c r="AN248" s="60"/>
      <c r="AO248" s="52"/>
      <c r="AP248" s="52"/>
      <c r="AQ248" s="52">
        <v>1</v>
      </c>
      <c r="AR248" s="52"/>
      <c r="AS248" s="52"/>
      <c r="AT248" s="61"/>
      <c r="AU248" s="66">
        <f>MAX(0,$AM248-$AC248-$AW248)</f>
        <v>0</v>
      </c>
      <c r="AV248" s="66"/>
      <c r="AW248" s="66"/>
      <c r="AX248" s="65">
        <v>0</v>
      </c>
      <c r="AY248" s="65">
        <f>IF(AND($AU248&gt;0,ISNUMBER($AX248)),$AU248*$AX248,0)</f>
        <v>0</v>
      </c>
      <c r="AZ248" s="46"/>
      <c r="BA248" s="52"/>
      <c r="BB248" s="52"/>
      <c r="BC248" s="52"/>
      <c r="BD248" s="52"/>
      <c r="BE248" s="52"/>
      <c r="BF248" s="52"/>
    </row>
    <row r="249" spans="1:58" ht="15" customHeight="1">
      <c r="A249" s="46" t="s">
        <v>1513</v>
      </c>
      <c r="B249" s="53" t="s">
        <v>1514</v>
      </c>
      <c r="C249" s="66" t="s">
        <v>181</v>
      </c>
      <c r="D249" s="67">
        <v>3</v>
      </c>
      <c r="E249" s="53" t="s">
        <v>189</v>
      </c>
      <c r="F249" s="50"/>
      <c r="G249" s="50"/>
      <c r="H249" s="51"/>
      <c r="I249" s="50" t="s">
        <v>1515</v>
      </c>
      <c r="J249" s="54" t="s">
        <v>73</v>
      </c>
      <c r="K249" s="58" t="s">
        <v>135</v>
      </c>
      <c r="L249" s="58" t="s">
        <v>1516</v>
      </c>
      <c r="M249" s="58"/>
      <c r="N249" s="58"/>
      <c r="O249" s="54"/>
      <c r="P249" s="56" t="s">
        <v>76</v>
      </c>
      <c r="Q249" s="58" t="s">
        <v>669</v>
      </c>
      <c r="R249" s="50"/>
      <c r="S249" s="50"/>
      <c r="T249" s="50"/>
      <c r="U249" s="50"/>
      <c r="V249" s="57">
        <v>0.2</v>
      </c>
      <c r="W249" s="68"/>
      <c r="X249" s="50"/>
      <c r="Y249" s="50"/>
      <c r="Z249" s="50"/>
      <c r="AA249" s="50"/>
      <c r="AB249" s="57"/>
      <c r="AC249" s="54">
        <v>2</v>
      </c>
      <c r="AD249" s="69">
        <f>SUM(AE249:AK249)</f>
        <v>2</v>
      </c>
      <c r="AE249" s="66"/>
      <c r="AF249" s="66"/>
      <c r="AG249" s="66"/>
      <c r="AH249" s="66"/>
      <c r="AI249" s="66">
        <v>1</v>
      </c>
      <c r="AJ249" s="66"/>
      <c r="AK249" s="66">
        <v>1</v>
      </c>
      <c r="AL249" s="54">
        <f>IF((AC249-SUM(AE249:AK249))&lt;0,0,AC249-SUM(AE249:AK249))</f>
        <v>0</v>
      </c>
      <c r="AM249" s="69">
        <f>SUM(AN249:AT249)</f>
        <v>0</v>
      </c>
      <c r="AN249" s="60"/>
      <c r="AO249" s="52"/>
      <c r="AP249" s="52"/>
      <c r="AQ249" s="52"/>
      <c r="AR249" s="52"/>
      <c r="AS249" s="52"/>
      <c r="AT249" s="61"/>
      <c r="AU249" s="66">
        <f>MAX(0,$AM249-$AC249-$AW249)</f>
        <v>0</v>
      </c>
      <c r="AV249" s="66"/>
      <c r="AW249" s="66"/>
      <c r="AX249" s="65">
        <v>0</v>
      </c>
      <c r="AY249" s="65">
        <f>IF(AND($AU249&gt;0,ISNUMBER($AX249)),$AU249*$AX249,0)</f>
        <v>0</v>
      </c>
      <c r="AZ249" s="46"/>
      <c r="BA249" s="52"/>
      <c r="BB249" s="52"/>
      <c r="BC249" s="52"/>
      <c r="BD249" s="52" t="s">
        <v>421</v>
      </c>
      <c r="BE249" s="52"/>
      <c r="BF249" s="52" t="s">
        <v>1517</v>
      </c>
    </row>
    <row r="250" spans="1:58" ht="15" customHeight="1">
      <c r="A250" s="46" t="s">
        <v>1518</v>
      </c>
      <c r="B250" s="47" t="s">
        <v>1519</v>
      </c>
      <c r="C250" s="48" t="s">
        <v>118</v>
      </c>
      <c r="D250" s="49">
        <v>1</v>
      </c>
      <c r="E250" s="47" t="s">
        <v>81</v>
      </c>
      <c r="F250" s="50">
        <v>1</v>
      </c>
      <c r="G250" s="50">
        <v>2</v>
      </c>
      <c r="H250" s="51" t="s">
        <v>1520</v>
      </c>
      <c r="I250" s="50" t="s">
        <v>1521</v>
      </c>
      <c r="J250" s="52" t="s">
        <v>73</v>
      </c>
      <c r="K250" s="47" t="s">
        <v>129</v>
      </c>
      <c r="L250" s="53" t="s">
        <v>1522</v>
      </c>
      <c r="M250" s="53"/>
      <c r="N250" s="53"/>
      <c r="O250" s="54"/>
      <c r="P250" s="55" t="s">
        <v>76</v>
      </c>
      <c r="Q250" s="47" t="s">
        <v>669</v>
      </c>
      <c r="R250" s="75" t="s">
        <v>1523</v>
      </c>
      <c r="S250" s="75">
        <v>2</v>
      </c>
      <c r="T250" s="75">
        <v>0</v>
      </c>
      <c r="U250" s="56" t="s">
        <v>1524</v>
      </c>
      <c r="V250" s="57">
        <v>0.2</v>
      </c>
      <c r="W250" s="68"/>
      <c r="X250" s="46"/>
      <c r="Y250" s="46"/>
      <c r="Z250" s="46"/>
      <c r="AA250" s="56"/>
      <c r="AB250" s="57"/>
      <c r="AC250" s="54">
        <v>2</v>
      </c>
      <c r="AD250" s="69">
        <f>SUM(AE250:AK250)</f>
        <v>0</v>
      </c>
      <c r="AE250" s="66"/>
      <c r="AF250" s="66"/>
      <c r="AG250" s="66"/>
      <c r="AH250" s="66"/>
      <c r="AI250" s="66"/>
      <c r="AJ250" s="66"/>
      <c r="AK250" s="66"/>
      <c r="AL250" s="54">
        <f>IF((AC250-SUM(AE250:AK250))&lt;0,0,AC250-SUM(AE250:AK250))</f>
        <v>2</v>
      </c>
      <c r="AM250" s="69">
        <f>SUM(AN250:AT250)</f>
        <v>0</v>
      </c>
      <c r="AN250" s="60"/>
      <c r="AO250" s="52"/>
      <c r="AP250" s="52"/>
      <c r="AQ250" s="52"/>
      <c r="AR250" s="52"/>
      <c r="AS250" s="52"/>
      <c r="AT250" s="61"/>
      <c r="AU250" s="66">
        <f>MAX(0,$AM250-$AC250-$AW250)</f>
        <v>0</v>
      </c>
      <c r="AV250" s="48"/>
      <c r="AW250" s="48"/>
      <c r="AX250" s="65">
        <v>0</v>
      </c>
      <c r="AY250" s="65">
        <f>IF(AND($AU250&gt;0,ISNUMBER($AX250)),$AU250*$AX250,0)</f>
        <v>0</v>
      </c>
      <c r="AZ250" s="46"/>
      <c r="BA250" s="52"/>
      <c r="BB250" s="52"/>
      <c r="BC250" s="52"/>
      <c r="BD250" s="52"/>
      <c r="BE250" s="52"/>
      <c r="BF250" s="52"/>
    </row>
    <row r="251" spans="1:58" ht="15" customHeight="1">
      <c r="A251" s="46" t="s">
        <v>1525</v>
      </c>
      <c r="B251" s="53" t="s">
        <v>1526</v>
      </c>
      <c r="C251" s="66" t="s">
        <v>70</v>
      </c>
      <c r="D251" s="67">
        <v>3</v>
      </c>
      <c r="E251" s="53" t="s">
        <v>110</v>
      </c>
      <c r="F251" s="50">
        <v>5</v>
      </c>
      <c r="G251" s="50">
        <v>3</v>
      </c>
      <c r="H251" s="51" t="s">
        <v>1461</v>
      </c>
      <c r="I251" s="50" t="s">
        <v>1527</v>
      </c>
      <c r="J251" s="54" t="s">
        <v>73</v>
      </c>
      <c r="K251" s="53" t="s">
        <v>676</v>
      </c>
      <c r="L251" s="53" t="s">
        <v>1528</v>
      </c>
      <c r="M251" s="53" t="s">
        <v>1464</v>
      </c>
      <c r="N251" s="53"/>
      <c r="O251" s="56">
        <v>5849</v>
      </c>
      <c r="P251" s="56" t="s">
        <v>185</v>
      </c>
      <c r="Q251" s="53" t="s">
        <v>633</v>
      </c>
      <c r="R251" s="74" t="s">
        <v>1529</v>
      </c>
      <c r="S251" s="74">
        <v>1</v>
      </c>
      <c r="T251" s="74">
        <v>0</v>
      </c>
      <c r="U251" s="56" t="s">
        <v>1530</v>
      </c>
      <c r="V251" s="57">
        <v>0.2</v>
      </c>
      <c r="W251" s="68"/>
      <c r="X251" s="50"/>
      <c r="Y251" s="50"/>
      <c r="Z251" s="50"/>
      <c r="AA251" s="56"/>
      <c r="AB251" s="57"/>
      <c r="AC251" s="54">
        <v>2</v>
      </c>
      <c r="AD251" s="69">
        <f>SUM(AE251:AK251)</f>
        <v>0</v>
      </c>
      <c r="AE251" s="66"/>
      <c r="AF251" s="66"/>
      <c r="AG251" s="66"/>
      <c r="AH251" s="66"/>
      <c r="AI251" s="66"/>
      <c r="AJ251" s="66"/>
      <c r="AK251" s="66"/>
      <c r="AL251" s="54">
        <f>IF((AC251-SUM(AE251:AK251))&lt;0,0,AC251-SUM(AE251:AK251))</f>
        <v>2</v>
      </c>
      <c r="AM251" s="69">
        <f>SUM(AN251:AT251)</f>
        <v>0</v>
      </c>
      <c r="AN251" s="60"/>
      <c r="AO251" s="52"/>
      <c r="AP251" s="52"/>
      <c r="AQ251" s="52"/>
      <c r="AR251" s="52"/>
      <c r="AS251" s="52"/>
      <c r="AT251" s="61"/>
      <c r="AU251" s="66">
        <f>MAX(0,$AM251-$AC251-$AW251)</f>
        <v>0</v>
      </c>
      <c r="AV251" s="66"/>
      <c r="AW251" s="66"/>
      <c r="AX251" s="65">
        <v>0</v>
      </c>
      <c r="AY251" s="65">
        <f>IF(AND($AU251&gt;0,ISNUMBER($AX251)),$AU251*$AX251,0)</f>
        <v>0</v>
      </c>
      <c r="AZ251" s="46"/>
      <c r="BA251" s="52"/>
      <c r="BB251" s="52"/>
      <c r="BC251" s="52"/>
      <c r="BD251" s="52"/>
      <c r="BE251" s="52"/>
      <c r="BF251" s="52"/>
    </row>
    <row r="252" spans="1:58" ht="15" customHeight="1">
      <c r="A252" s="46" t="s">
        <v>1531</v>
      </c>
      <c r="B252" s="53" t="s">
        <v>1532</v>
      </c>
      <c r="C252" s="66" t="s">
        <v>232</v>
      </c>
      <c r="D252" s="67">
        <v>2</v>
      </c>
      <c r="E252" s="53" t="s">
        <v>233</v>
      </c>
      <c r="F252" s="50"/>
      <c r="G252" s="50"/>
      <c r="H252" s="51" t="s">
        <v>519</v>
      </c>
      <c r="I252" s="50" t="s">
        <v>1533</v>
      </c>
      <c r="J252" s="54" t="s">
        <v>73</v>
      </c>
      <c r="K252" s="58" t="s">
        <v>864</v>
      </c>
      <c r="L252" s="58" t="s">
        <v>1534</v>
      </c>
      <c r="M252" s="58" t="s">
        <v>1535</v>
      </c>
      <c r="N252" s="58"/>
      <c r="O252" s="54"/>
      <c r="P252" s="56" t="s">
        <v>185</v>
      </c>
      <c r="Q252" s="58" t="s">
        <v>633</v>
      </c>
      <c r="R252" s="74" t="s">
        <v>1536</v>
      </c>
      <c r="S252" s="74">
        <v>1</v>
      </c>
      <c r="T252" s="74">
        <v>0</v>
      </c>
      <c r="U252" s="56"/>
      <c r="V252" s="57">
        <v>0.18</v>
      </c>
      <c r="W252" s="68"/>
      <c r="X252" s="50"/>
      <c r="Y252" s="50"/>
      <c r="Z252" s="50"/>
      <c r="AA252" s="56"/>
      <c r="AB252" s="57"/>
      <c r="AC252" s="54">
        <v>2</v>
      </c>
      <c r="AD252" s="69">
        <f>SUM(AE252:AK252)</f>
        <v>1</v>
      </c>
      <c r="AE252" s="66"/>
      <c r="AF252" s="66"/>
      <c r="AG252" s="66"/>
      <c r="AH252" s="66"/>
      <c r="AI252" s="66"/>
      <c r="AJ252" s="66">
        <v>1</v>
      </c>
      <c r="AK252" s="66"/>
      <c r="AL252" s="54">
        <f>IF((AC252-SUM(AE252:AK252))&lt;0,0,AC252-SUM(AE252:AK252))</f>
        <v>1</v>
      </c>
      <c r="AM252" s="69">
        <f>SUM(AN252:AT252)</f>
        <v>0</v>
      </c>
      <c r="AN252" s="60"/>
      <c r="AO252" s="52"/>
      <c r="AP252" s="52"/>
      <c r="AQ252" s="52"/>
      <c r="AR252" s="52"/>
      <c r="AS252" s="52"/>
      <c r="AT252" s="61"/>
      <c r="AU252" s="66">
        <f>MAX(0,$AM252-$AC252-$AW252)</f>
        <v>0</v>
      </c>
      <c r="AV252" s="66"/>
      <c r="AW252" s="66"/>
      <c r="AX252" s="65">
        <v>0</v>
      </c>
      <c r="AY252" s="65">
        <f>IF(AND($AU252&gt;0,ISNUMBER($AX252)),$AU252*$AX252,0)</f>
        <v>0</v>
      </c>
      <c r="AZ252" s="46"/>
      <c r="BA252" s="52"/>
      <c r="BB252" s="52"/>
      <c r="BC252" s="52"/>
      <c r="BD252" s="52"/>
      <c r="BE252" s="52" t="s">
        <v>503</v>
      </c>
      <c r="BF252" s="52"/>
    </row>
    <row r="253" spans="1:58" ht="15" customHeight="1">
      <c r="A253" s="46" t="s">
        <v>1537</v>
      </c>
      <c r="B253" s="53" t="s">
        <v>1538</v>
      </c>
      <c r="C253" s="66" t="s">
        <v>118</v>
      </c>
      <c r="D253" s="67">
        <v>3</v>
      </c>
      <c r="E253" s="53" t="s">
        <v>189</v>
      </c>
      <c r="F253" s="50"/>
      <c r="G253" s="50"/>
      <c r="H253" s="51"/>
      <c r="I253" s="50" t="s">
        <v>1539</v>
      </c>
      <c r="J253" s="54" t="s">
        <v>73</v>
      </c>
      <c r="K253" s="58" t="s">
        <v>254</v>
      </c>
      <c r="L253" s="58" t="s">
        <v>551</v>
      </c>
      <c r="M253" s="58" t="s">
        <v>1540</v>
      </c>
      <c r="N253" s="58"/>
      <c r="O253" s="54"/>
      <c r="P253" s="56" t="s">
        <v>76</v>
      </c>
      <c r="Q253" s="58" t="s">
        <v>833</v>
      </c>
      <c r="R253" s="50"/>
      <c r="S253" s="50"/>
      <c r="T253" s="50"/>
      <c r="U253" s="50"/>
      <c r="V253" s="57">
        <v>0.18</v>
      </c>
      <c r="W253" s="68"/>
      <c r="X253" s="50"/>
      <c r="Y253" s="50"/>
      <c r="Z253" s="50"/>
      <c r="AA253" s="50"/>
      <c r="AB253" s="57"/>
      <c r="AC253" s="54">
        <v>2</v>
      </c>
      <c r="AD253" s="69">
        <f>SUM(AE253:AK253)</f>
        <v>1</v>
      </c>
      <c r="AE253" s="66"/>
      <c r="AF253" s="66"/>
      <c r="AG253" s="66"/>
      <c r="AH253" s="66"/>
      <c r="AI253" s="66">
        <v>1</v>
      </c>
      <c r="AJ253" s="66"/>
      <c r="AK253" s="66"/>
      <c r="AL253" s="54">
        <f>IF((AC253-SUM(AE253:AK253))&lt;0,0,AC253-SUM(AE253:AK253))</f>
        <v>1</v>
      </c>
      <c r="AM253" s="69">
        <f>SUM(AN253:AT253)</f>
        <v>0</v>
      </c>
      <c r="AN253" s="60"/>
      <c r="AO253" s="52"/>
      <c r="AP253" s="52"/>
      <c r="AQ253" s="52"/>
      <c r="AR253" s="52"/>
      <c r="AS253" s="52"/>
      <c r="AT253" s="61"/>
      <c r="AU253" s="66">
        <f>MAX(0,$AM253-$AC253-$AW253)</f>
        <v>0</v>
      </c>
      <c r="AV253" s="66"/>
      <c r="AW253" s="66"/>
      <c r="AX253" s="65">
        <v>0</v>
      </c>
      <c r="AY253" s="65">
        <f>IF(AND($AU253&gt;0,ISNUMBER($AX253)),$AU253*$AX253,0)</f>
        <v>0</v>
      </c>
      <c r="AZ253" s="46"/>
      <c r="BA253" s="52"/>
      <c r="BB253" s="52"/>
      <c r="BC253" s="52"/>
      <c r="BD253" s="52" t="s">
        <v>378</v>
      </c>
      <c r="BE253" s="52"/>
      <c r="BF253" s="52"/>
    </row>
    <row r="254" spans="1:58" ht="15" customHeight="1">
      <c r="A254" s="46" t="s">
        <v>1541</v>
      </c>
      <c r="B254" s="53" t="s">
        <v>1542</v>
      </c>
      <c r="C254" s="66" t="s">
        <v>181</v>
      </c>
      <c r="D254" s="67">
        <v>3</v>
      </c>
      <c r="E254" s="53" t="s">
        <v>81</v>
      </c>
      <c r="F254" s="50">
        <v>4</v>
      </c>
      <c r="G254" s="50">
        <v>4</v>
      </c>
      <c r="H254" s="51" t="s">
        <v>1543</v>
      </c>
      <c r="I254" s="50" t="s">
        <v>1544</v>
      </c>
      <c r="J254" s="54" t="s">
        <v>73</v>
      </c>
      <c r="K254" s="58" t="s">
        <v>661</v>
      </c>
      <c r="L254" s="58" t="s">
        <v>1545</v>
      </c>
      <c r="M254" s="58" t="s">
        <v>1546</v>
      </c>
      <c r="N254" s="58"/>
      <c r="O254" s="54"/>
      <c r="P254" s="56" t="s">
        <v>76</v>
      </c>
      <c r="Q254" s="58" t="s">
        <v>669</v>
      </c>
      <c r="R254" s="74" t="s">
        <v>1547</v>
      </c>
      <c r="S254" s="74">
        <v>1</v>
      </c>
      <c r="T254" s="74">
        <v>0</v>
      </c>
      <c r="U254" s="56"/>
      <c r="V254" s="57">
        <v>0.17</v>
      </c>
      <c r="W254" s="68"/>
      <c r="X254" s="50"/>
      <c r="Y254" s="50"/>
      <c r="Z254" s="50"/>
      <c r="AA254" s="56"/>
      <c r="AB254" s="57"/>
      <c r="AC254" s="54">
        <v>2</v>
      </c>
      <c r="AD254" s="69">
        <f>SUM(AE254:AK254)</f>
        <v>0</v>
      </c>
      <c r="AE254" s="66"/>
      <c r="AF254" s="66"/>
      <c r="AG254" s="66"/>
      <c r="AH254" s="66"/>
      <c r="AI254" s="66"/>
      <c r="AJ254" s="66"/>
      <c r="AK254" s="66"/>
      <c r="AL254" s="54">
        <f>IF((AC254-SUM(AE254:AK254))&lt;0,0,AC254-SUM(AE254:AK254))</f>
        <v>2</v>
      </c>
      <c r="AM254" s="69">
        <f>SUM(AN254:AT254)</f>
        <v>0</v>
      </c>
      <c r="AN254" s="60"/>
      <c r="AO254" s="52"/>
      <c r="AP254" s="52"/>
      <c r="AQ254" s="52"/>
      <c r="AR254" s="52"/>
      <c r="AS254" s="52"/>
      <c r="AT254" s="61"/>
      <c r="AU254" s="66">
        <f>MAX(0,$AM254-$AC254-$AW254)</f>
        <v>0</v>
      </c>
      <c r="AV254" s="66"/>
      <c r="AW254" s="66"/>
      <c r="AX254" s="65">
        <v>0</v>
      </c>
      <c r="AY254" s="65">
        <f>IF(AND($AU254&gt;0,ISNUMBER($AX254)),$AU254*$AX254,0)</f>
        <v>0</v>
      </c>
      <c r="AZ254" s="46"/>
      <c r="BA254" s="52"/>
      <c r="BB254" s="52"/>
      <c r="BC254" s="52"/>
      <c r="BD254" s="52"/>
      <c r="BE254" s="52"/>
      <c r="BF254" s="52"/>
    </row>
    <row r="255" spans="1:58" ht="15" customHeight="1">
      <c r="A255" s="46" t="s">
        <v>1548</v>
      </c>
      <c r="B255" s="47" t="s">
        <v>1549</v>
      </c>
      <c r="C255" s="48" t="s">
        <v>101</v>
      </c>
      <c r="D255" s="49">
        <v>3</v>
      </c>
      <c r="E255" s="47" t="s">
        <v>81</v>
      </c>
      <c r="F255" s="50">
        <v>4</v>
      </c>
      <c r="G255" s="50">
        <v>2</v>
      </c>
      <c r="H255" s="51" t="s">
        <v>1550</v>
      </c>
      <c r="I255" s="50" t="s">
        <v>1551</v>
      </c>
      <c r="J255" s="52" t="s">
        <v>73</v>
      </c>
      <c r="K255" s="47" t="s">
        <v>121</v>
      </c>
      <c r="L255" s="53" t="s">
        <v>1552</v>
      </c>
      <c r="M255" s="53" t="s">
        <v>1553</v>
      </c>
      <c r="N255" s="53"/>
      <c r="O255" s="54"/>
      <c r="P255" s="55" t="s">
        <v>76</v>
      </c>
      <c r="Q255" s="47" t="s">
        <v>645</v>
      </c>
      <c r="R255" s="75" t="s">
        <v>1554</v>
      </c>
      <c r="S255" s="75">
        <v>2</v>
      </c>
      <c r="T255" s="75">
        <v>0</v>
      </c>
      <c r="U255" s="56" t="s">
        <v>1555</v>
      </c>
      <c r="V255" s="57">
        <v>0.17</v>
      </c>
      <c r="W255" s="68"/>
      <c r="X255" s="46"/>
      <c r="Y255" s="46"/>
      <c r="Z255" s="46"/>
      <c r="AA255" s="56"/>
      <c r="AB255" s="57"/>
      <c r="AC255" s="54">
        <v>2</v>
      </c>
      <c r="AD255" s="69">
        <f>SUM(AE255:AK255)</f>
        <v>0</v>
      </c>
      <c r="AE255" s="66"/>
      <c r="AF255" s="66"/>
      <c r="AG255" s="66"/>
      <c r="AH255" s="66"/>
      <c r="AI255" s="66"/>
      <c r="AJ255" s="66"/>
      <c r="AK255" s="66"/>
      <c r="AL255" s="54">
        <f>IF((AC255-SUM(AE255:AK255))&lt;0,0,AC255-SUM(AE255:AK255))</f>
        <v>2</v>
      </c>
      <c r="AM255" s="69">
        <f>SUM(AN255:AT255)</f>
        <v>0</v>
      </c>
      <c r="AN255" s="60"/>
      <c r="AO255" s="52"/>
      <c r="AP255" s="52"/>
      <c r="AQ255" s="52"/>
      <c r="AR255" s="52"/>
      <c r="AS255" s="52"/>
      <c r="AT255" s="61"/>
      <c r="AU255" s="66">
        <f>MAX(0,$AM255-$AC255-$AW255)</f>
        <v>0</v>
      </c>
      <c r="AV255" s="48"/>
      <c r="AW255" s="48"/>
      <c r="AX255" s="65">
        <v>0</v>
      </c>
      <c r="AY255" s="65">
        <f>IF(AND($AU255&gt;0,ISNUMBER($AX255)),$AU255*$AX255,0)</f>
        <v>0</v>
      </c>
      <c r="AZ255" s="46"/>
      <c r="BA255" s="52"/>
      <c r="BB255" s="52"/>
      <c r="BC255" s="52"/>
      <c r="BD255" s="52"/>
      <c r="BE255" s="52"/>
      <c r="BF255" s="52"/>
    </row>
    <row r="256" spans="1:58" ht="15" customHeight="1">
      <c r="A256" s="46" t="s">
        <v>1556</v>
      </c>
      <c r="B256" s="53" t="s">
        <v>1557</v>
      </c>
      <c r="C256" s="66" t="s">
        <v>109</v>
      </c>
      <c r="D256" s="67">
        <v>2</v>
      </c>
      <c r="E256" s="53" t="s">
        <v>110</v>
      </c>
      <c r="F256" s="50">
        <v>2</v>
      </c>
      <c r="G256" s="50">
        <v>3</v>
      </c>
      <c r="H256" s="51" t="s">
        <v>1558</v>
      </c>
      <c r="I256" s="50" t="s">
        <v>1559</v>
      </c>
      <c r="J256" s="54" t="s">
        <v>73</v>
      </c>
      <c r="K256" s="58" t="s">
        <v>550</v>
      </c>
      <c r="L256" s="58" t="s">
        <v>1560</v>
      </c>
      <c r="M256" s="58" t="s">
        <v>1561</v>
      </c>
      <c r="N256" s="58" t="s">
        <v>1562</v>
      </c>
      <c r="O256" s="56">
        <v>2417</v>
      </c>
      <c r="P256" s="55" t="s">
        <v>185</v>
      </c>
      <c r="Q256" s="58" t="s">
        <v>645</v>
      </c>
      <c r="R256" s="74" t="s">
        <v>1563</v>
      </c>
      <c r="S256" s="74">
        <v>1</v>
      </c>
      <c r="T256" s="74">
        <v>0</v>
      </c>
      <c r="U256" s="56" t="s">
        <v>1564</v>
      </c>
      <c r="V256" s="57">
        <v>0.17</v>
      </c>
      <c r="W256" s="68"/>
      <c r="X256" s="46"/>
      <c r="Y256" s="54"/>
      <c r="Z256" s="54"/>
      <c r="AA256" s="56"/>
      <c r="AB256" s="57"/>
      <c r="AC256" s="54">
        <v>2</v>
      </c>
      <c r="AD256" s="69">
        <f>SUM(AE256:AK256)</f>
        <v>0</v>
      </c>
      <c r="AE256" s="66"/>
      <c r="AF256" s="66"/>
      <c r="AG256" s="66"/>
      <c r="AH256" s="66"/>
      <c r="AI256" s="66"/>
      <c r="AJ256" s="66"/>
      <c r="AK256" s="66"/>
      <c r="AL256" s="54">
        <f>IF((AC256-SUM(AE256:AK256))&lt;0,0,AC256-SUM(AE256:AK256))</f>
        <v>2</v>
      </c>
      <c r="AM256" s="69">
        <f>SUM(AN256:AT256)</f>
        <v>0</v>
      </c>
      <c r="AN256" s="60"/>
      <c r="AO256" s="52"/>
      <c r="AP256" s="52"/>
      <c r="AQ256" s="52"/>
      <c r="AR256" s="52"/>
      <c r="AS256" s="52"/>
      <c r="AT256" s="61"/>
      <c r="AU256" s="66">
        <f>MAX(0,$AM256-$AC256-$AW256)</f>
        <v>0</v>
      </c>
      <c r="AV256" s="66"/>
      <c r="AW256" s="66"/>
      <c r="AX256" s="65">
        <v>0</v>
      </c>
      <c r="AY256" s="65">
        <f>IF(AND($AU256&gt;0,ISNUMBER($AX256)),$AU256*$AX256,0)</f>
        <v>0</v>
      </c>
      <c r="AZ256" s="46"/>
      <c r="BA256" s="52"/>
      <c r="BB256" s="52"/>
      <c r="BC256" s="52"/>
      <c r="BD256" s="52"/>
      <c r="BE256" s="52"/>
      <c r="BF256" s="52"/>
    </row>
    <row r="257" spans="1:58" ht="15" customHeight="1">
      <c r="A257" s="46" t="s">
        <v>1565</v>
      </c>
      <c r="B257" s="53" t="s">
        <v>1566</v>
      </c>
      <c r="C257" s="66" t="s">
        <v>101</v>
      </c>
      <c r="D257" s="67">
        <v>2</v>
      </c>
      <c r="E257" s="53" t="s">
        <v>81</v>
      </c>
      <c r="F257" s="50">
        <v>3</v>
      </c>
      <c r="G257" s="50">
        <v>1</v>
      </c>
      <c r="H257" s="51" t="s">
        <v>879</v>
      </c>
      <c r="I257" s="50" t="s">
        <v>1567</v>
      </c>
      <c r="J257" s="54" t="s">
        <v>73</v>
      </c>
      <c r="K257" s="58" t="s">
        <v>74</v>
      </c>
      <c r="L257" s="58" t="s">
        <v>1568</v>
      </c>
      <c r="M257" s="58"/>
      <c r="N257" s="58"/>
      <c r="O257" s="54"/>
      <c r="P257" s="56" t="s">
        <v>76</v>
      </c>
      <c r="Q257" s="58" t="s">
        <v>669</v>
      </c>
      <c r="R257" s="74" t="s">
        <v>1569</v>
      </c>
      <c r="S257" s="74">
        <v>1</v>
      </c>
      <c r="T257" s="74">
        <v>0</v>
      </c>
      <c r="U257" s="56"/>
      <c r="V257" s="57">
        <v>0.16</v>
      </c>
      <c r="W257" s="68"/>
      <c r="X257" s="50"/>
      <c r="Y257" s="50"/>
      <c r="Z257" s="50"/>
      <c r="AA257" s="56"/>
      <c r="AB257" s="57"/>
      <c r="AC257" s="54">
        <v>2</v>
      </c>
      <c r="AD257" s="69">
        <f>SUM(AE257:AK257)</f>
        <v>2</v>
      </c>
      <c r="AE257" s="66"/>
      <c r="AF257" s="66">
        <v>1</v>
      </c>
      <c r="AG257" s="66"/>
      <c r="AH257" s="66"/>
      <c r="AI257" s="66"/>
      <c r="AJ257" s="66"/>
      <c r="AK257" s="66">
        <v>1</v>
      </c>
      <c r="AL257" s="54">
        <f>IF((AC257-SUM(AE257:AK257))&lt;0,0,AC257-SUM(AE257:AK257))</f>
        <v>0</v>
      </c>
      <c r="AM257" s="69">
        <f>SUM(AN257:AT257)</f>
        <v>1</v>
      </c>
      <c r="AN257" s="60"/>
      <c r="AO257" s="52"/>
      <c r="AP257" s="52"/>
      <c r="AQ257" s="52"/>
      <c r="AR257" s="52"/>
      <c r="AS257" s="52"/>
      <c r="AT257" s="61">
        <v>1</v>
      </c>
      <c r="AU257" s="66">
        <f>MAX(0,$AM257-$AC257-$AW257)</f>
        <v>0</v>
      </c>
      <c r="AV257" s="66"/>
      <c r="AW257" s="66"/>
      <c r="AX257" s="65">
        <v>0</v>
      </c>
      <c r="AY257" s="65">
        <f>IF(AND($AU257&gt;0,ISNUMBER($AX257)),$AU257*$AX257,0)</f>
        <v>0</v>
      </c>
      <c r="AZ257" s="46"/>
      <c r="BA257" s="52" t="s">
        <v>289</v>
      </c>
      <c r="BB257" s="52"/>
      <c r="BC257" s="52"/>
      <c r="BD257" s="52"/>
      <c r="BE257" s="52"/>
      <c r="BF257" s="52"/>
    </row>
    <row r="258" spans="1:58" ht="15" customHeight="1">
      <c r="A258" s="46" t="s">
        <v>1570</v>
      </c>
      <c r="B258" s="53" t="s">
        <v>1571</v>
      </c>
      <c r="C258" s="66" t="s">
        <v>70</v>
      </c>
      <c r="D258" s="67">
        <v>6</v>
      </c>
      <c r="E258" s="53" t="s">
        <v>81</v>
      </c>
      <c r="F258" s="50">
        <v>6</v>
      </c>
      <c r="G258" s="50">
        <v>5</v>
      </c>
      <c r="H258" s="51" t="s">
        <v>1572</v>
      </c>
      <c r="I258" s="50" t="s">
        <v>1573</v>
      </c>
      <c r="J258" s="54" t="s">
        <v>73</v>
      </c>
      <c r="K258" s="58" t="s">
        <v>74</v>
      </c>
      <c r="L258" s="58" t="s">
        <v>1574</v>
      </c>
      <c r="M258" s="58" t="s">
        <v>1575</v>
      </c>
      <c r="N258" s="58"/>
      <c r="O258" s="54"/>
      <c r="P258" s="56" t="s">
        <v>76</v>
      </c>
      <c r="Q258" s="58" t="s">
        <v>669</v>
      </c>
      <c r="R258" s="50"/>
      <c r="S258" s="50"/>
      <c r="T258" s="50"/>
      <c r="U258" s="56"/>
      <c r="V258" s="57">
        <v>0.16</v>
      </c>
      <c r="W258" s="68"/>
      <c r="X258" s="50"/>
      <c r="Y258" s="50"/>
      <c r="Z258" s="50"/>
      <c r="AA258" s="56"/>
      <c r="AB258" s="57"/>
      <c r="AC258" s="54">
        <v>2</v>
      </c>
      <c r="AD258" s="69">
        <f>SUM(AE258:AK258)</f>
        <v>0</v>
      </c>
      <c r="AE258" s="66"/>
      <c r="AF258" s="66"/>
      <c r="AG258" s="66"/>
      <c r="AH258" s="66"/>
      <c r="AI258" s="66"/>
      <c r="AJ258" s="66"/>
      <c r="AK258" s="66"/>
      <c r="AL258" s="54">
        <f>IF((AC258-SUM(AE258:AK258))&lt;0,0,AC258-SUM(AE258:AK258))</f>
        <v>2</v>
      </c>
      <c r="AM258" s="69">
        <f>SUM(AN258:AT258)</f>
        <v>0</v>
      </c>
      <c r="AN258" s="60"/>
      <c r="AO258" s="52"/>
      <c r="AP258" s="52"/>
      <c r="AQ258" s="52"/>
      <c r="AR258" s="52"/>
      <c r="AS258" s="52"/>
      <c r="AT258" s="61"/>
      <c r="AU258" s="66">
        <f>MAX(0,$AM258-$AC258-$AW258)</f>
        <v>0</v>
      </c>
      <c r="AV258" s="66"/>
      <c r="AW258" s="66"/>
      <c r="AX258" s="65">
        <v>0</v>
      </c>
      <c r="AY258" s="65">
        <f>IF(AND($AU258&gt;0,ISNUMBER($AX258)),$AU258*$AX258,0)</f>
        <v>0</v>
      </c>
      <c r="AZ258" s="46"/>
      <c r="BA258" s="52"/>
      <c r="BB258" s="52"/>
      <c r="BC258" s="52"/>
      <c r="BD258" s="52"/>
      <c r="BE258" s="52"/>
      <c r="BF258" s="52"/>
    </row>
    <row r="259" spans="1:58" ht="15" customHeight="1">
      <c r="A259" s="46" t="s">
        <v>1576</v>
      </c>
      <c r="B259" s="53" t="s">
        <v>1577</v>
      </c>
      <c r="C259" s="66" t="s">
        <v>118</v>
      </c>
      <c r="D259" s="67">
        <v>2</v>
      </c>
      <c r="E259" s="53" t="s">
        <v>81</v>
      </c>
      <c r="F259" s="50">
        <v>4</v>
      </c>
      <c r="G259" s="50">
        <v>4</v>
      </c>
      <c r="H259" s="51" t="s">
        <v>1578</v>
      </c>
      <c r="I259" s="50" t="s">
        <v>1579</v>
      </c>
      <c r="J259" s="54" t="s">
        <v>73</v>
      </c>
      <c r="K259" s="58" t="s">
        <v>254</v>
      </c>
      <c r="L259" s="58" t="s">
        <v>1580</v>
      </c>
      <c r="M259" s="58" t="s">
        <v>1581</v>
      </c>
      <c r="N259" s="58"/>
      <c r="O259" s="54"/>
      <c r="P259" s="56" t="s">
        <v>185</v>
      </c>
      <c r="Q259" s="58" t="s">
        <v>669</v>
      </c>
      <c r="R259" s="74" t="s">
        <v>1582</v>
      </c>
      <c r="S259" s="74">
        <v>1</v>
      </c>
      <c r="T259" s="74">
        <v>0</v>
      </c>
      <c r="U259" s="56" t="s">
        <v>1583</v>
      </c>
      <c r="V259" s="57">
        <v>0.16</v>
      </c>
      <c r="W259" s="68"/>
      <c r="X259" s="50"/>
      <c r="Y259" s="50"/>
      <c r="Z259" s="50"/>
      <c r="AA259" s="56"/>
      <c r="AB259" s="57"/>
      <c r="AC259" s="54">
        <v>2</v>
      </c>
      <c r="AD259" s="69">
        <f>SUM(AE259:AK259)</f>
        <v>0</v>
      </c>
      <c r="AE259" s="66"/>
      <c r="AF259" s="66"/>
      <c r="AG259" s="66"/>
      <c r="AH259" s="66"/>
      <c r="AI259" s="66"/>
      <c r="AJ259" s="66"/>
      <c r="AK259" s="66"/>
      <c r="AL259" s="54">
        <f>IF((AC259-SUM(AE259:AK259))&lt;0,0,AC259-SUM(AE259:AK259))</f>
        <v>2</v>
      </c>
      <c r="AM259" s="69">
        <f>SUM(AN259:AT259)</f>
        <v>0</v>
      </c>
      <c r="AN259" s="60"/>
      <c r="AO259" s="52"/>
      <c r="AP259" s="52"/>
      <c r="AQ259" s="52"/>
      <c r="AR259" s="52"/>
      <c r="AS259" s="52"/>
      <c r="AT259" s="61"/>
      <c r="AU259" s="66">
        <f>MAX(0,$AM259-$AC259-$AW259)</f>
        <v>0</v>
      </c>
      <c r="AV259" s="66"/>
      <c r="AW259" s="66"/>
      <c r="AX259" s="65">
        <v>0</v>
      </c>
      <c r="AY259" s="65">
        <f>IF(AND($AU259&gt;0,ISNUMBER($AX259)),$AU259*$AX259,0)</f>
        <v>0</v>
      </c>
      <c r="AZ259" s="46"/>
      <c r="BA259" s="52"/>
      <c r="BB259" s="52"/>
      <c r="BC259" s="52"/>
      <c r="BD259" s="52"/>
      <c r="BE259" s="52"/>
      <c r="BF259" s="52"/>
    </row>
    <row r="260" spans="1:58" ht="15" customHeight="1">
      <c r="A260" s="46" t="s">
        <v>1584</v>
      </c>
      <c r="B260" s="53" t="s">
        <v>1585</v>
      </c>
      <c r="C260" s="66" t="s">
        <v>80</v>
      </c>
      <c r="D260" s="67">
        <v>4</v>
      </c>
      <c r="E260" s="53" t="s">
        <v>71</v>
      </c>
      <c r="F260" s="50"/>
      <c r="G260" s="50"/>
      <c r="H260" s="51"/>
      <c r="I260" s="50" t="s">
        <v>1586</v>
      </c>
      <c r="J260" s="54" t="s">
        <v>73</v>
      </c>
      <c r="K260" s="58" t="s">
        <v>135</v>
      </c>
      <c r="L260" s="58" t="s">
        <v>1587</v>
      </c>
      <c r="M260" s="58" t="s">
        <v>1588</v>
      </c>
      <c r="N260" s="58"/>
      <c r="O260" s="54"/>
      <c r="P260" s="56" t="s">
        <v>76</v>
      </c>
      <c r="Q260" s="58" t="s">
        <v>669</v>
      </c>
      <c r="R260" s="74" t="s">
        <v>1589</v>
      </c>
      <c r="S260" s="74">
        <v>1</v>
      </c>
      <c r="T260" s="74">
        <v>0</v>
      </c>
      <c r="U260" s="56"/>
      <c r="V260" s="57">
        <v>0.16</v>
      </c>
      <c r="W260" s="68"/>
      <c r="X260" s="50"/>
      <c r="Y260" s="50"/>
      <c r="Z260" s="50"/>
      <c r="AA260" s="56"/>
      <c r="AB260" s="57"/>
      <c r="AC260" s="54">
        <v>2</v>
      </c>
      <c r="AD260" s="69">
        <f>SUM(AE260:AK260)</f>
        <v>0</v>
      </c>
      <c r="AE260" s="66"/>
      <c r="AF260" s="66"/>
      <c r="AG260" s="66"/>
      <c r="AH260" s="66"/>
      <c r="AI260" s="66"/>
      <c r="AJ260" s="66"/>
      <c r="AK260" s="66"/>
      <c r="AL260" s="54">
        <f>IF((AC260-SUM(AE260:AK260))&lt;0,0,AC260-SUM(AE260:AK260))</f>
        <v>2</v>
      </c>
      <c r="AM260" s="69">
        <f>SUM(AN260:AT260)</f>
        <v>0</v>
      </c>
      <c r="AN260" s="60"/>
      <c r="AO260" s="52"/>
      <c r="AP260" s="52"/>
      <c r="AQ260" s="52"/>
      <c r="AR260" s="52"/>
      <c r="AS260" s="52"/>
      <c r="AT260" s="61"/>
      <c r="AU260" s="66">
        <f>MAX(0,$AM260-$AC260-$AW260)</f>
        <v>0</v>
      </c>
      <c r="AV260" s="66"/>
      <c r="AW260" s="66"/>
      <c r="AX260" s="65">
        <v>0</v>
      </c>
      <c r="AY260" s="65">
        <f>IF(AND($AU260&gt;0,ISNUMBER($AX260)),$AU260*$AX260,0)</f>
        <v>0</v>
      </c>
      <c r="AZ260" s="46"/>
      <c r="BA260" s="52"/>
      <c r="BB260" s="52"/>
      <c r="BC260" s="52"/>
      <c r="BD260" s="52"/>
      <c r="BE260" s="52"/>
      <c r="BF260" s="52"/>
    </row>
    <row r="261" spans="1:58" ht="15" customHeight="1">
      <c r="A261" s="46" t="s">
        <v>1590</v>
      </c>
      <c r="B261" s="53" t="s">
        <v>1591</v>
      </c>
      <c r="C261" s="66" t="s">
        <v>109</v>
      </c>
      <c r="D261" s="67">
        <v>2</v>
      </c>
      <c r="E261" s="53" t="s">
        <v>81</v>
      </c>
      <c r="F261" s="50">
        <v>2</v>
      </c>
      <c r="G261" s="50">
        <v>1</v>
      </c>
      <c r="H261" s="51" t="s">
        <v>1592</v>
      </c>
      <c r="I261" s="50" t="s">
        <v>1593</v>
      </c>
      <c r="J261" s="54" t="s">
        <v>73</v>
      </c>
      <c r="K261" s="58" t="s">
        <v>129</v>
      </c>
      <c r="L261" s="58" t="s">
        <v>1594</v>
      </c>
      <c r="M261" s="58"/>
      <c r="N261" s="58"/>
      <c r="O261" s="54"/>
      <c r="P261" s="55" t="s">
        <v>76</v>
      </c>
      <c r="Q261" s="58" t="s">
        <v>729</v>
      </c>
      <c r="R261" s="74" t="s">
        <v>1595</v>
      </c>
      <c r="S261" s="74">
        <v>1</v>
      </c>
      <c r="T261" s="74">
        <v>1</v>
      </c>
      <c r="U261" s="56" t="s">
        <v>1596</v>
      </c>
      <c r="V261" s="57">
        <v>0.16</v>
      </c>
      <c r="W261" s="68"/>
      <c r="X261" s="46"/>
      <c r="Y261" s="50"/>
      <c r="Z261" s="50"/>
      <c r="AA261" s="56"/>
      <c r="AB261" s="57"/>
      <c r="AC261" s="54">
        <v>2</v>
      </c>
      <c r="AD261" s="69">
        <f>SUM(AE261:AK261)</f>
        <v>0</v>
      </c>
      <c r="AE261" s="66"/>
      <c r="AF261" s="66"/>
      <c r="AG261" s="66"/>
      <c r="AH261" s="66"/>
      <c r="AI261" s="66"/>
      <c r="AJ261" s="66"/>
      <c r="AK261" s="66"/>
      <c r="AL261" s="54">
        <f>IF((AC261-SUM(AE261:AK261))&lt;0,0,AC261-SUM(AE261:AK261))</f>
        <v>2</v>
      </c>
      <c r="AM261" s="69">
        <f>SUM(AN261:AT261)</f>
        <v>0</v>
      </c>
      <c r="AN261" s="60"/>
      <c r="AO261" s="52"/>
      <c r="AP261" s="52"/>
      <c r="AQ261" s="52"/>
      <c r="AR261" s="52"/>
      <c r="AS261" s="52"/>
      <c r="AT261" s="61"/>
      <c r="AU261" s="66">
        <f>MAX(0,$AM261-$AC261-$AW261)</f>
        <v>0</v>
      </c>
      <c r="AV261" s="66"/>
      <c r="AW261" s="66"/>
      <c r="AX261" s="65">
        <v>0</v>
      </c>
      <c r="AY261" s="65">
        <f>IF(AND($AU261&gt;0,ISNUMBER($AX261)),$AU261*$AX261,0)</f>
        <v>0</v>
      </c>
      <c r="AZ261" s="46"/>
      <c r="BA261" s="52"/>
      <c r="BB261" s="52"/>
      <c r="BC261" s="52"/>
      <c r="BD261" s="52"/>
      <c r="BE261" s="52"/>
      <c r="BF261" s="52"/>
    </row>
    <row r="262" spans="1:58" ht="15" customHeight="1">
      <c r="A262" s="46" t="s">
        <v>1597</v>
      </c>
      <c r="B262" s="53" t="s">
        <v>1598</v>
      </c>
      <c r="C262" s="66" t="s">
        <v>181</v>
      </c>
      <c r="D262" s="67">
        <v>4</v>
      </c>
      <c r="E262" s="53" t="s">
        <v>110</v>
      </c>
      <c r="F262" s="50">
        <v>4</v>
      </c>
      <c r="G262" s="50">
        <v>3</v>
      </c>
      <c r="H262" s="51" t="s">
        <v>1599</v>
      </c>
      <c r="I262" s="50" t="s">
        <v>1600</v>
      </c>
      <c r="J262" s="54" t="s">
        <v>73</v>
      </c>
      <c r="K262" s="53" t="s">
        <v>676</v>
      </c>
      <c r="L262" s="53" t="s">
        <v>778</v>
      </c>
      <c r="M262" s="53" t="s">
        <v>1601</v>
      </c>
      <c r="N262" s="53"/>
      <c r="O262" s="56">
        <v>5694</v>
      </c>
      <c r="P262" s="56" t="s">
        <v>76</v>
      </c>
      <c r="Q262" s="53" t="s">
        <v>633</v>
      </c>
      <c r="R262" s="74" t="s">
        <v>1602</v>
      </c>
      <c r="S262" s="74">
        <v>1</v>
      </c>
      <c r="T262" s="74">
        <v>0</v>
      </c>
      <c r="U262" s="56"/>
      <c r="V262" s="57">
        <v>0.15</v>
      </c>
      <c r="W262" s="68"/>
      <c r="X262" s="50"/>
      <c r="Y262" s="50"/>
      <c r="Z262" s="50"/>
      <c r="AA262" s="56"/>
      <c r="AB262" s="57"/>
      <c r="AC262" s="54">
        <v>2</v>
      </c>
      <c r="AD262" s="69">
        <f>SUM(AE262:AK262)</f>
        <v>0</v>
      </c>
      <c r="AE262" s="66"/>
      <c r="AF262" s="66"/>
      <c r="AG262" s="66"/>
      <c r="AH262" s="66"/>
      <c r="AI262" s="66"/>
      <c r="AJ262" s="66"/>
      <c r="AK262" s="66"/>
      <c r="AL262" s="54">
        <f>IF((AC262-SUM(AE262:AK262))&lt;0,0,AC262-SUM(AE262:AK262))</f>
        <v>2</v>
      </c>
      <c r="AM262" s="69">
        <f>SUM(AN262:AT262)</f>
        <v>0</v>
      </c>
      <c r="AN262" s="60"/>
      <c r="AO262" s="52"/>
      <c r="AP262" s="52"/>
      <c r="AQ262" s="52"/>
      <c r="AR262" s="52"/>
      <c r="AS262" s="52"/>
      <c r="AT262" s="61"/>
      <c r="AU262" s="66">
        <f>MAX(0,$AM262-$AC262-$AW262)</f>
        <v>0</v>
      </c>
      <c r="AV262" s="66"/>
      <c r="AW262" s="66"/>
      <c r="AX262" s="65">
        <v>0</v>
      </c>
      <c r="AY262" s="65">
        <f>IF(AND($AU262&gt;0,ISNUMBER($AX262)),$AU262*$AX262,0)</f>
        <v>0</v>
      </c>
      <c r="AZ262" s="46"/>
      <c r="BA262" s="52"/>
      <c r="BB262" s="52"/>
      <c r="BC262" s="52"/>
      <c r="BD262" s="52"/>
      <c r="BE262" s="52"/>
      <c r="BF262" s="52"/>
    </row>
    <row r="263" spans="1:58" ht="15" customHeight="1">
      <c r="A263" s="46" t="s">
        <v>1603</v>
      </c>
      <c r="B263" s="53" t="s">
        <v>1604</v>
      </c>
      <c r="C263" s="66" t="s">
        <v>70</v>
      </c>
      <c r="D263" s="67">
        <v>3</v>
      </c>
      <c r="E263" s="53" t="s">
        <v>189</v>
      </c>
      <c r="F263" s="50"/>
      <c r="G263" s="50"/>
      <c r="H263" s="51"/>
      <c r="I263" s="50" t="s">
        <v>1605</v>
      </c>
      <c r="J263" s="54" t="s">
        <v>73</v>
      </c>
      <c r="K263" s="58" t="s">
        <v>386</v>
      </c>
      <c r="L263" s="58" t="s">
        <v>1606</v>
      </c>
      <c r="M263" s="58" t="s">
        <v>1607</v>
      </c>
      <c r="N263" s="58"/>
      <c r="O263" s="54"/>
      <c r="P263" s="56" t="s">
        <v>76</v>
      </c>
      <c r="Q263" s="58" t="s">
        <v>669</v>
      </c>
      <c r="R263" s="74" t="s">
        <v>1608</v>
      </c>
      <c r="S263" s="74">
        <v>1</v>
      </c>
      <c r="T263" s="74">
        <v>0</v>
      </c>
      <c r="U263" s="50" t="s">
        <v>1609</v>
      </c>
      <c r="V263" s="57">
        <v>0.14000000000000001</v>
      </c>
      <c r="W263" s="68"/>
      <c r="X263" s="50"/>
      <c r="Y263" s="50"/>
      <c r="Z263" s="50"/>
      <c r="AA263" s="50"/>
      <c r="AB263" s="57"/>
      <c r="AC263" s="54">
        <v>2</v>
      </c>
      <c r="AD263" s="69">
        <f>SUM(AE263:AK263)</f>
        <v>0</v>
      </c>
      <c r="AE263" s="66"/>
      <c r="AF263" s="66"/>
      <c r="AG263" s="66"/>
      <c r="AH263" s="66"/>
      <c r="AI263" s="66"/>
      <c r="AJ263" s="66"/>
      <c r="AK263" s="66"/>
      <c r="AL263" s="54">
        <f>IF((AC263-SUM(AE263:AK263))&lt;0,0,AC263-SUM(AE263:AK263))</f>
        <v>2</v>
      </c>
      <c r="AM263" s="69">
        <f>SUM(AN263:AT263)</f>
        <v>0</v>
      </c>
      <c r="AN263" s="60"/>
      <c r="AO263" s="52"/>
      <c r="AP263" s="52"/>
      <c r="AQ263" s="52"/>
      <c r="AR263" s="52"/>
      <c r="AS263" s="52"/>
      <c r="AT263" s="61"/>
      <c r="AU263" s="66">
        <f>MAX(0,$AM263-$AC263-$AW263)</f>
        <v>0</v>
      </c>
      <c r="AV263" s="66"/>
      <c r="AW263" s="66"/>
      <c r="AX263" s="65">
        <v>0</v>
      </c>
      <c r="AY263" s="65">
        <f>IF(AND($AU263&gt;0,ISNUMBER($AX263)),$AU263*$AX263,0)</f>
        <v>0</v>
      </c>
      <c r="AZ263" s="46"/>
      <c r="BA263" s="52"/>
      <c r="BB263" s="52"/>
      <c r="BC263" s="52"/>
      <c r="BD263" s="52"/>
      <c r="BE263" s="52"/>
      <c r="BF263" s="52"/>
    </row>
    <row r="264" spans="1:58" ht="15" customHeight="1">
      <c r="A264" s="46" t="s">
        <v>1610</v>
      </c>
      <c r="B264" s="53" t="s">
        <v>1611</v>
      </c>
      <c r="C264" s="66" t="s">
        <v>70</v>
      </c>
      <c r="D264" s="67">
        <v>3</v>
      </c>
      <c r="E264" s="53" t="s">
        <v>81</v>
      </c>
      <c r="F264" s="50">
        <v>3</v>
      </c>
      <c r="G264" s="50">
        <v>2</v>
      </c>
      <c r="H264" s="51" t="s">
        <v>1174</v>
      </c>
      <c r="I264" s="50" t="s">
        <v>1612</v>
      </c>
      <c r="J264" s="54" t="s">
        <v>73</v>
      </c>
      <c r="K264" s="58" t="s">
        <v>386</v>
      </c>
      <c r="L264" s="58" t="s">
        <v>1613</v>
      </c>
      <c r="M264" s="58"/>
      <c r="N264" s="58"/>
      <c r="O264" s="54"/>
      <c r="P264" s="56" t="s">
        <v>76</v>
      </c>
      <c r="Q264" s="58" t="s">
        <v>669</v>
      </c>
      <c r="R264" s="50"/>
      <c r="S264" s="50"/>
      <c r="T264" s="50"/>
      <c r="U264" s="56"/>
      <c r="V264" s="57">
        <v>0.14000000000000001</v>
      </c>
      <c r="W264" s="68"/>
      <c r="X264" s="50"/>
      <c r="Y264" s="50"/>
      <c r="Z264" s="50"/>
      <c r="AA264" s="56"/>
      <c r="AB264" s="57"/>
      <c r="AC264" s="54">
        <v>2</v>
      </c>
      <c r="AD264" s="69">
        <f>SUM(AE264:AK264)</f>
        <v>0</v>
      </c>
      <c r="AE264" s="66"/>
      <c r="AF264" s="66"/>
      <c r="AG264" s="66"/>
      <c r="AH264" s="66"/>
      <c r="AI264" s="66"/>
      <c r="AJ264" s="66"/>
      <c r="AK264" s="66"/>
      <c r="AL264" s="54">
        <f>IF((AC264-SUM(AE264:AK264))&lt;0,0,AC264-SUM(AE264:AK264))</f>
        <v>2</v>
      </c>
      <c r="AM264" s="69">
        <f>SUM(AN264:AT264)</f>
        <v>0</v>
      </c>
      <c r="AN264" s="60"/>
      <c r="AO264" s="52"/>
      <c r="AP264" s="52"/>
      <c r="AQ264" s="52"/>
      <c r="AR264" s="52"/>
      <c r="AS264" s="52"/>
      <c r="AT264" s="61"/>
      <c r="AU264" s="66">
        <f>MAX(0,$AM264-$AC264-$AW264)</f>
        <v>0</v>
      </c>
      <c r="AV264" s="66"/>
      <c r="AW264" s="66"/>
      <c r="AX264" s="65">
        <v>0</v>
      </c>
      <c r="AY264" s="65">
        <f>IF(AND($AU264&gt;0,ISNUMBER($AX264)),$AU264*$AX264,0)</f>
        <v>0</v>
      </c>
      <c r="AZ264" s="46"/>
      <c r="BA264" s="52"/>
      <c r="BB264" s="52"/>
      <c r="BC264" s="52"/>
      <c r="BD264" s="52"/>
      <c r="BE264" s="52"/>
      <c r="BF264" s="52"/>
    </row>
    <row r="265" spans="1:58" ht="15" customHeight="1">
      <c r="A265" s="46" t="s">
        <v>1614</v>
      </c>
      <c r="B265" s="53" t="s">
        <v>1615</v>
      </c>
      <c r="C265" s="66" t="s">
        <v>232</v>
      </c>
      <c r="D265" s="67">
        <v>2</v>
      </c>
      <c r="E265" s="53" t="s">
        <v>81</v>
      </c>
      <c r="F265" s="50">
        <v>1</v>
      </c>
      <c r="G265" s="50">
        <v>2</v>
      </c>
      <c r="H265" s="51" t="s">
        <v>957</v>
      </c>
      <c r="I265" s="50" t="s">
        <v>1616</v>
      </c>
      <c r="J265" s="54" t="s">
        <v>73</v>
      </c>
      <c r="K265" s="53" t="s">
        <v>74</v>
      </c>
      <c r="L265" s="53" t="s">
        <v>1617</v>
      </c>
      <c r="M265" s="53" t="s">
        <v>136</v>
      </c>
      <c r="N265" s="53"/>
      <c r="O265" s="54"/>
      <c r="P265" s="56" t="s">
        <v>76</v>
      </c>
      <c r="Q265" s="53" t="s">
        <v>633</v>
      </c>
      <c r="R265" s="74" t="s">
        <v>1618</v>
      </c>
      <c r="S265" s="74">
        <v>1</v>
      </c>
      <c r="T265" s="74">
        <v>0</v>
      </c>
      <c r="U265" s="56"/>
      <c r="V265" s="57">
        <v>0.14000000000000001</v>
      </c>
      <c r="W265" s="68"/>
      <c r="X265" s="50"/>
      <c r="Y265" s="50"/>
      <c r="Z265" s="50"/>
      <c r="AA265" s="56"/>
      <c r="AB265" s="57"/>
      <c r="AC265" s="54">
        <v>2</v>
      </c>
      <c r="AD265" s="69">
        <f>SUM(AE265:AK265)</f>
        <v>2</v>
      </c>
      <c r="AE265" s="66"/>
      <c r="AF265" s="66"/>
      <c r="AG265" s="66"/>
      <c r="AH265" s="66">
        <v>1</v>
      </c>
      <c r="AI265" s="66">
        <v>1</v>
      </c>
      <c r="AJ265" s="66"/>
      <c r="AK265" s="66"/>
      <c r="AL265" s="54">
        <f>IF((AC265-SUM(AE265:AK265))&lt;0,0,AC265-SUM(AE265:AK265))</f>
        <v>0</v>
      </c>
      <c r="AM265" s="69">
        <f>SUM(AN265:AT265)</f>
        <v>0</v>
      </c>
      <c r="AN265" s="60"/>
      <c r="AO265" s="52"/>
      <c r="AP265" s="52"/>
      <c r="AQ265" s="52"/>
      <c r="AR265" s="52"/>
      <c r="AS265" s="52"/>
      <c r="AT265" s="61"/>
      <c r="AU265" s="66">
        <f>MAX(0,$AM265-$AC265-$AW265)</f>
        <v>0</v>
      </c>
      <c r="AV265" s="66"/>
      <c r="AW265" s="66"/>
      <c r="AX265" s="65">
        <v>0</v>
      </c>
      <c r="AY265" s="65">
        <f>IF(AND($AU265&gt;0,ISNUMBER($AX265)),$AU265*$AX265,0)</f>
        <v>0</v>
      </c>
      <c r="AZ265" s="46"/>
      <c r="BA265" s="52"/>
      <c r="BB265" s="52"/>
      <c r="BC265" s="52" t="s">
        <v>160</v>
      </c>
      <c r="BD265" s="52" t="s">
        <v>264</v>
      </c>
      <c r="BE265" s="52"/>
      <c r="BF265" s="52"/>
    </row>
    <row r="266" spans="1:58" ht="15" customHeight="1">
      <c r="A266" s="46" t="s">
        <v>1619</v>
      </c>
      <c r="B266" s="53" t="s">
        <v>1620</v>
      </c>
      <c r="C266" s="66" t="s">
        <v>118</v>
      </c>
      <c r="D266" s="67">
        <v>1</v>
      </c>
      <c r="E266" s="53" t="s">
        <v>71</v>
      </c>
      <c r="F266" s="50"/>
      <c r="G266" s="50"/>
      <c r="H266" s="51"/>
      <c r="I266" s="50" t="s">
        <v>1621</v>
      </c>
      <c r="J266" s="54" t="s">
        <v>73</v>
      </c>
      <c r="K266" s="53" t="s">
        <v>661</v>
      </c>
      <c r="L266" s="53" t="s">
        <v>1622</v>
      </c>
      <c r="M266" s="53" t="s">
        <v>1623</v>
      </c>
      <c r="N266" s="53"/>
      <c r="O266" s="54"/>
      <c r="P266" s="56" t="s">
        <v>76</v>
      </c>
      <c r="Q266" s="53" t="s">
        <v>633</v>
      </c>
      <c r="R266" s="50"/>
      <c r="S266" s="50"/>
      <c r="T266" s="50"/>
      <c r="U266" s="56"/>
      <c r="V266" s="57">
        <v>0.14000000000000001</v>
      </c>
      <c r="W266" s="68"/>
      <c r="X266" s="50"/>
      <c r="Y266" s="50"/>
      <c r="Z266" s="50"/>
      <c r="AA266" s="56"/>
      <c r="AB266" s="57"/>
      <c r="AC266" s="54">
        <v>2</v>
      </c>
      <c r="AD266" s="69">
        <f>SUM(AE266:AK266)</f>
        <v>0</v>
      </c>
      <c r="AE266" s="66"/>
      <c r="AF266" s="66"/>
      <c r="AG266" s="66"/>
      <c r="AH266" s="66"/>
      <c r="AI266" s="66"/>
      <c r="AJ266" s="66"/>
      <c r="AK266" s="66"/>
      <c r="AL266" s="54">
        <f>IF((AC266-SUM(AE266:AK266))&lt;0,0,AC266-SUM(AE266:AK266))</f>
        <v>2</v>
      </c>
      <c r="AM266" s="69">
        <f>SUM(AN266:AT266)</f>
        <v>0</v>
      </c>
      <c r="AN266" s="60"/>
      <c r="AO266" s="52"/>
      <c r="AP266" s="52"/>
      <c r="AQ266" s="52"/>
      <c r="AR266" s="52"/>
      <c r="AS266" s="52"/>
      <c r="AT266" s="61"/>
      <c r="AU266" s="66">
        <f>MAX(0,$AM266-$AC266-$AW266)</f>
        <v>0</v>
      </c>
      <c r="AV266" s="66"/>
      <c r="AW266" s="66"/>
      <c r="AX266" s="65">
        <v>0</v>
      </c>
      <c r="AY266" s="65">
        <f>IF(AND($AU266&gt;0,ISNUMBER($AX266)),$AU266*$AX266,0)</f>
        <v>0</v>
      </c>
      <c r="AZ266" s="46"/>
      <c r="BA266" s="52"/>
      <c r="BB266" s="52"/>
      <c r="BC266" s="52"/>
      <c r="BD266" s="52"/>
      <c r="BE266" s="52"/>
      <c r="BF266" s="52"/>
    </row>
    <row r="267" spans="1:58" ht="15" customHeight="1">
      <c r="A267" s="46" t="s">
        <v>1624</v>
      </c>
      <c r="B267" s="53" t="s">
        <v>1625</v>
      </c>
      <c r="C267" s="66" t="s">
        <v>181</v>
      </c>
      <c r="D267" s="67">
        <v>2</v>
      </c>
      <c r="E267" s="53" t="s">
        <v>81</v>
      </c>
      <c r="F267" s="50">
        <v>1</v>
      </c>
      <c r="G267" s="50">
        <v>1</v>
      </c>
      <c r="H267" s="51" t="s">
        <v>1626</v>
      </c>
      <c r="I267" s="50" t="s">
        <v>1627</v>
      </c>
      <c r="J267" s="54" t="s">
        <v>73</v>
      </c>
      <c r="K267" s="58" t="s">
        <v>1099</v>
      </c>
      <c r="L267" s="58" t="s">
        <v>1628</v>
      </c>
      <c r="M267" s="58"/>
      <c r="N267" s="58"/>
      <c r="O267" s="54"/>
      <c r="P267" s="56" t="s">
        <v>76</v>
      </c>
      <c r="Q267" s="58" t="s">
        <v>633</v>
      </c>
      <c r="R267" s="74" t="s">
        <v>1629</v>
      </c>
      <c r="S267" s="74">
        <v>1</v>
      </c>
      <c r="T267" s="74">
        <v>0</v>
      </c>
      <c r="U267" s="56" t="s">
        <v>1630</v>
      </c>
      <c r="V267" s="57">
        <v>0.14000000000000001</v>
      </c>
      <c r="W267" s="68"/>
      <c r="X267" s="50"/>
      <c r="Y267" s="50"/>
      <c r="Z267" s="50"/>
      <c r="AA267" s="56"/>
      <c r="AB267" s="57"/>
      <c r="AC267" s="54">
        <v>2</v>
      </c>
      <c r="AD267" s="69">
        <f>SUM(AE267:AK267)</f>
        <v>0</v>
      </c>
      <c r="AE267" s="66"/>
      <c r="AF267" s="66"/>
      <c r="AG267" s="66"/>
      <c r="AH267" s="66"/>
      <c r="AI267" s="66"/>
      <c r="AJ267" s="66"/>
      <c r="AK267" s="66"/>
      <c r="AL267" s="54">
        <f>IF((AC267-SUM(AE267:AK267))&lt;0,0,AC267-SUM(AE267:AK267))</f>
        <v>2</v>
      </c>
      <c r="AM267" s="69">
        <f>SUM(AN267:AT267)</f>
        <v>0</v>
      </c>
      <c r="AN267" s="60"/>
      <c r="AO267" s="52"/>
      <c r="AP267" s="52"/>
      <c r="AQ267" s="52"/>
      <c r="AR267" s="52"/>
      <c r="AS267" s="52"/>
      <c r="AT267" s="61"/>
      <c r="AU267" s="66">
        <f>MAX(0,$AM267-$AC267-$AW267)</f>
        <v>0</v>
      </c>
      <c r="AV267" s="66"/>
      <c r="AW267" s="66"/>
      <c r="AX267" s="65">
        <v>0</v>
      </c>
      <c r="AY267" s="65">
        <f>IF(AND($AU267&gt;0,ISNUMBER($AX267)),$AU267*$AX267,0)</f>
        <v>0</v>
      </c>
      <c r="AZ267" s="46"/>
      <c r="BA267" s="52"/>
      <c r="BB267" s="52"/>
      <c r="BC267" s="52"/>
      <c r="BD267" s="52"/>
      <c r="BE267" s="52"/>
      <c r="BF267" s="52"/>
    </row>
    <row r="268" spans="1:58" ht="15" customHeight="1">
      <c r="A268" s="46" t="s">
        <v>1631</v>
      </c>
      <c r="B268" s="53" t="s">
        <v>1632</v>
      </c>
      <c r="C268" s="66" t="s">
        <v>118</v>
      </c>
      <c r="D268" s="67">
        <v>3</v>
      </c>
      <c r="E268" s="53" t="s">
        <v>81</v>
      </c>
      <c r="F268" s="50">
        <v>3</v>
      </c>
      <c r="G268" s="50">
        <v>2</v>
      </c>
      <c r="H268" s="51" t="s">
        <v>1633</v>
      </c>
      <c r="I268" s="50" t="s">
        <v>1634</v>
      </c>
      <c r="J268" s="54" t="s">
        <v>73</v>
      </c>
      <c r="K268" s="58" t="s">
        <v>474</v>
      </c>
      <c r="L268" s="58" t="s">
        <v>1635</v>
      </c>
      <c r="M268" s="58" t="s">
        <v>1636</v>
      </c>
      <c r="N268" s="58"/>
      <c r="O268" s="54"/>
      <c r="P268" s="56" t="s">
        <v>185</v>
      </c>
      <c r="Q268" s="58" t="s">
        <v>669</v>
      </c>
      <c r="R268" s="50"/>
      <c r="S268" s="50"/>
      <c r="T268" s="50"/>
      <c r="U268" s="56"/>
      <c r="V268" s="57">
        <v>0.14000000000000001</v>
      </c>
      <c r="W268" s="68"/>
      <c r="X268" s="50"/>
      <c r="Y268" s="50"/>
      <c r="Z268" s="50"/>
      <c r="AA268" s="56"/>
      <c r="AB268" s="57"/>
      <c r="AC268" s="54">
        <v>2</v>
      </c>
      <c r="AD268" s="69">
        <f>SUM(AE268:AK268)</f>
        <v>0</v>
      </c>
      <c r="AE268" s="66"/>
      <c r="AF268" s="66"/>
      <c r="AG268" s="66"/>
      <c r="AH268" s="66"/>
      <c r="AI268" s="66"/>
      <c r="AJ268" s="66"/>
      <c r="AK268" s="66"/>
      <c r="AL268" s="54">
        <f>IF((AC268-SUM(AE268:AK268))&lt;0,0,AC268-SUM(AE268:AK268))</f>
        <v>2</v>
      </c>
      <c r="AM268" s="69">
        <f>SUM(AN268:AT268)</f>
        <v>0</v>
      </c>
      <c r="AN268" s="60"/>
      <c r="AO268" s="52"/>
      <c r="AP268" s="52"/>
      <c r="AQ268" s="52"/>
      <c r="AR268" s="52"/>
      <c r="AS268" s="52"/>
      <c r="AT268" s="61"/>
      <c r="AU268" s="66">
        <f>MAX(0,$AM268-$AC268-$AW268)</f>
        <v>0</v>
      </c>
      <c r="AV268" s="66"/>
      <c r="AW268" s="66"/>
      <c r="AX268" s="65">
        <v>0</v>
      </c>
      <c r="AY268" s="65">
        <f>IF(AND($AU268&gt;0,ISNUMBER($AX268)),$AU268*$AX268,0)</f>
        <v>0</v>
      </c>
      <c r="AZ268" s="46"/>
      <c r="BA268" s="52"/>
      <c r="BB268" s="52"/>
      <c r="BC268" s="52"/>
      <c r="BD268" s="52"/>
      <c r="BE268" s="52"/>
      <c r="BF268" s="52"/>
    </row>
    <row r="269" spans="1:58" ht="15" customHeight="1">
      <c r="A269" s="46" t="s">
        <v>1637</v>
      </c>
      <c r="B269" s="53" t="s">
        <v>1638</v>
      </c>
      <c r="C269" s="66" t="s">
        <v>80</v>
      </c>
      <c r="D269" s="67">
        <v>4</v>
      </c>
      <c r="E269" s="53" t="s">
        <v>189</v>
      </c>
      <c r="F269" s="50"/>
      <c r="G269" s="50"/>
      <c r="H269" s="51"/>
      <c r="I269" s="50" t="s">
        <v>1639</v>
      </c>
      <c r="J269" s="54" t="s">
        <v>73</v>
      </c>
      <c r="K269" s="53" t="s">
        <v>135</v>
      </c>
      <c r="L269" s="53" t="s">
        <v>1640</v>
      </c>
      <c r="M269" s="53" t="s">
        <v>1641</v>
      </c>
      <c r="N269" s="53"/>
      <c r="O269" s="54"/>
      <c r="P269" s="55" t="s">
        <v>76</v>
      </c>
      <c r="Q269" s="53" t="s">
        <v>633</v>
      </c>
      <c r="R269" s="74" t="s">
        <v>1642</v>
      </c>
      <c r="S269" s="74">
        <v>1</v>
      </c>
      <c r="T269" s="74">
        <v>1</v>
      </c>
      <c r="U269" s="56" t="s">
        <v>1130</v>
      </c>
      <c r="V269" s="57">
        <v>0.14000000000000001</v>
      </c>
      <c r="W269" s="68"/>
      <c r="X269" s="46"/>
      <c r="Y269" s="50"/>
      <c r="Z269" s="50"/>
      <c r="AA269" s="56"/>
      <c r="AB269" s="57"/>
      <c r="AC269" s="54">
        <v>2</v>
      </c>
      <c r="AD269" s="69">
        <f>SUM(AE269:AK269)</f>
        <v>0</v>
      </c>
      <c r="AE269" s="66"/>
      <c r="AF269" s="66"/>
      <c r="AG269" s="66"/>
      <c r="AH269" s="66"/>
      <c r="AI269" s="66"/>
      <c r="AJ269" s="66"/>
      <c r="AK269" s="66"/>
      <c r="AL269" s="54">
        <f>IF((AC269-SUM(AE269:AK269))&lt;0,0,AC269-SUM(AE269:AK269))</f>
        <v>2</v>
      </c>
      <c r="AM269" s="69">
        <f>SUM(AN269:AT269)</f>
        <v>0</v>
      </c>
      <c r="AN269" s="60"/>
      <c r="AO269" s="52"/>
      <c r="AP269" s="52"/>
      <c r="AQ269" s="52"/>
      <c r="AR269" s="52"/>
      <c r="AS269" s="52"/>
      <c r="AT269" s="61"/>
      <c r="AU269" s="66">
        <f>MAX(0,$AM269-$AC269-$AW269)</f>
        <v>0</v>
      </c>
      <c r="AV269" s="66"/>
      <c r="AW269" s="66"/>
      <c r="AX269" s="65">
        <v>0</v>
      </c>
      <c r="AY269" s="65">
        <f>IF(AND($AU269&gt;0,ISNUMBER($AX269)),$AU269*$AX269,0)</f>
        <v>0</v>
      </c>
      <c r="AZ269" s="46"/>
      <c r="BA269" s="52"/>
      <c r="BB269" s="52"/>
      <c r="BC269" s="52"/>
      <c r="BD269" s="52"/>
      <c r="BE269" s="52"/>
      <c r="BF269" s="52"/>
    </row>
    <row r="270" spans="1:58" ht="15" customHeight="1">
      <c r="A270" s="46" t="s">
        <v>1643</v>
      </c>
      <c r="B270" s="53" t="s">
        <v>1644</v>
      </c>
      <c r="C270" s="66" t="s">
        <v>80</v>
      </c>
      <c r="D270" s="67">
        <v>3</v>
      </c>
      <c r="E270" s="53" t="s">
        <v>384</v>
      </c>
      <c r="F270" s="50"/>
      <c r="G270" s="50"/>
      <c r="H270" s="51" t="s">
        <v>1256</v>
      </c>
      <c r="I270" s="50" t="s">
        <v>1645</v>
      </c>
      <c r="J270" s="54" t="s">
        <v>73</v>
      </c>
      <c r="K270" s="53" t="s">
        <v>135</v>
      </c>
      <c r="L270" s="53" t="s">
        <v>1646</v>
      </c>
      <c r="M270" s="53" t="s">
        <v>1647</v>
      </c>
      <c r="N270" s="53" t="s">
        <v>1648</v>
      </c>
      <c r="O270" s="54"/>
      <c r="P270" s="56" t="s">
        <v>76</v>
      </c>
      <c r="Q270" s="53" t="s">
        <v>633</v>
      </c>
      <c r="R270" s="50"/>
      <c r="S270" s="50"/>
      <c r="T270" s="50"/>
      <c r="U270" s="56"/>
      <c r="V270" s="57">
        <v>0.14000000000000001</v>
      </c>
      <c r="W270" s="68"/>
      <c r="X270" s="50"/>
      <c r="Y270" s="50"/>
      <c r="Z270" s="50"/>
      <c r="AA270" s="56"/>
      <c r="AB270" s="57"/>
      <c r="AC270" s="54">
        <v>2</v>
      </c>
      <c r="AD270" s="69">
        <f>SUM(AE270:AK270)</f>
        <v>1</v>
      </c>
      <c r="AE270" s="66"/>
      <c r="AF270" s="66"/>
      <c r="AG270" s="66"/>
      <c r="AH270" s="66"/>
      <c r="AI270" s="66"/>
      <c r="AJ270" s="66"/>
      <c r="AK270" s="66">
        <v>1</v>
      </c>
      <c r="AL270" s="54">
        <f>IF((AC270-SUM(AE270:AK270))&lt;0,0,AC270-SUM(AE270:AK270))</f>
        <v>1</v>
      </c>
      <c r="AM270" s="69">
        <f>SUM(AN270:AT270)</f>
        <v>0</v>
      </c>
      <c r="AN270" s="60"/>
      <c r="AO270" s="52"/>
      <c r="AP270" s="52"/>
      <c r="AQ270" s="52"/>
      <c r="AR270" s="52"/>
      <c r="AS270" s="52"/>
      <c r="AT270" s="61"/>
      <c r="AU270" s="66">
        <f>MAX(0,$AM270-$AC270-$AW270)</f>
        <v>0</v>
      </c>
      <c r="AV270" s="66"/>
      <c r="AW270" s="66"/>
      <c r="AX270" s="65">
        <v>0</v>
      </c>
      <c r="AY270" s="65">
        <f>IF(AND($AU270&gt;0,ISNUMBER($AX270)),$AU270*$AX270,0)</f>
        <v>0</v>
      </c>
      <c r="AZ270" s="46"/>
      <c r="BA270" s="52"/>
      <c r="BB270" s="52"/>
      <c r="BC270" s="52"/>
      <c r="BD270" s="52"/>
      <c r="BE270" s="52"/>
      <c r="BF270" s="52" t="s">
        <v>361</v>
      </c>
    </row>
    <row r="271" spans="1:58" ht="15" customHeight="1">
      <c r="A271" s="46" t="s">
        <v>1649</v>
      </c>
      <c r="B271" s="53" t="s">
        <v>1650</v>
      </c>
      <c r="C271" s="66" t="s">
        <v>118</v>
      </c>
      <c r="D271" s="67">
        <v>6</v>
      </c>
      <c r="E271" s="53" t="s">
        <v>81</v>
      </c>
      <c r="F271" s="50">
        <v>5</v>
      </c>
      <c r="G271" s="50">
        <v>6</v>
      </c>
      <c r="H271" s="51" t="s">
        <v>1651</v>
      </c>
      <c r="I271" s="50" t="s">
        <v>1652</v>
      </c>
      <c r="J271" s="54" t="s">
        <v>73</v>
      </c>
      <c r="K271" s="58" t="s">
        <v>676</v>
      </c>
      <c r="L271" s="58" t="s">
        <v>1653</v>
      </c>
      <c r="M271" s="58" t="s">
        <v>1654</v>
      </c>
      <c r="N271" s="58"/>
      <c r="O271" s="54"/>
      <c r="P271" s="56" t="s">
        <v>76</v>
      </c>
      <c r="Q271" s="58" t="s">
        <v>669</v>
      </c>
      <c r="R271" s="50"/>
      <c r="S271" s="50"/>
      <c r="T271" s="50"/>
      <c r="U271" s="56"/>
      <c r="V271" s="57">
        <v>0.14000000000000001</v>
      </c>
      <c r="W271" s="68"/>
      <c r="X271" s="50"/>
      <c r="Y271" s="50"/>
      <c r="Z271" s="50"/>
      <c r="AA271" s="56"/>
      <c r="AB271" s="57"/>
      <c r="AC271" s="54">
        <v>2</v>
      </c>
      <c r="AD271" s="69">
        <f>SUM(AE271:AK271)</f>
        <v>0</v>
      </c>
      <c r="AE271" s="66"/>
      <c r="AF271" s="66"/>
      <c r="AG271" s="66"/>
      <c r="AH271" s="66"/>
      <c r="AI271" s="66"/>
      <c r="AJ271" s="66"/>
      <c r="AK271" s="66"/>
      <c r="AL271" s="54">
        <f>IF((AC271-SUM(AE271:AK271))&lt;0,0,AC271-SUM(AE271:AK271))</f>
        <v>2</v>
      </c>
      <c r="AM271" s="69">
        <f>SUM(AN271:AT271)</f>
        <v>0</v>
      </c>
      <c r="AN271" s="60"/>
      <c r="AO271" s="52"/>
      <c r="AP271" s="52"/>
      <c r="AQ271" s="52"/>
      <c r="AR271" s="52"/>
      <c r="AS271" s="52"/>
      <c r="AT271" s="61"/>
      <c r="AU271" s="66">
        <f>MAX(0,$AM271-$AC271-$AW271)</f>
        <v>0</v>
      </c>
      <c r="AV271" s="66"/>
      <c r="AW271" s="66"/>
      <c r="AX271" s="65">
        <v>0</v>
      </c>
      <c r="AY271" s="65">
        <f>IF(AND($AU271&gt;0,ISNUMBER($AX271)),$AU271*$AX271,0)</f>
        <v>0</v>
      </c>
      <c r="AZ271" s="46"/>
      <c r="BA271" s="52"/>
      <c r="BB271" s="52"/>
      <c r="BC271" s="52"/>
      <c r="BD271" s="52"/>
      <c r="BE271" s="52"/>
      <c r="BF271" s="52"/>
    </row>
    <row r="272" spans="1:58" ht="15" customHeight="1">
      <c r="A272" s="46" t="s">
        <v>1655</v>
      </c>
      <c r="B272" s="47" t="s">
        <v>1656</v>
      </c>
      <c r="C272" s="48" t="s">
        <v>80</v>
      </c>
      <c r="D272" s="49">
        <v>6</v>
      </c>
      <c r="E272" s="47" t="s">
        <v>81</v>
      </c>
      <c r="F272" s="50">
        <v>6</v>
      </c>
      <c r="G272" s="50">
        <v>5</v>
      </c>
      <c r="H272" s="51" t="s">
        <v>1657</v>
      </c>
      <c r="I272" s="50" t="s">
        <v>1658</v>
      </c>
      <c r="J272" s="52" t="s">
        <v>73</v>
      </c>
      <c r="K272" s="47" t="s">
        <v>202</v>
      </c>
      <c r="L272" s="53" t="s">
        <v>1659</v>
      </c>
      <c r="M272" s="53" t="s">
        <v>1660</v>
      </c>
      <c r="N272" s="53"/>
      <c r="O272" s="54"/>
      <c r="P272" s="55" t="s">
        <v>185</v>
      </c>
      <c r="Q272" s="47" t="s">
        <v>633</v>
      </c>
      <c r="R272" s="75" t="s">
        <v>1661</v>
      </c>
      <c r="S272" s="75">
        <v>2</v>
      </c>
      <c r="T272" s="75">
        <v>0</v>
      </c>
      <c r="U272" s="56" t="s">
        <v>1662</v>
      </c>
      <c r="V272" s="57">
        <v>0.13</v>
      </c>
      <c r="W272" s="68"/>
      <c r="X272" s="46"/>
      <c r="Y272" s="46"/>
      <c r="Z272" s="46"/>
      <c r="AA272" s="56"/>
      <c r="AB272" s="57"/>
      <c r="AC272" s="54">
        <v>2</v>
      </c>
      <c r="AD272" s="69">
        <f>SUM(AE272:AK272)</f>
        <v>1</v>
      </c>
      <c r="AE272" s="66"/>
      <c r="AF272" s="66">
        <v>1</v>
      </c>
      <c r="AG272" s="66"/>
      <c r="AH272" s="66"/>
      <c r="AI272" s="66"/>
      <c r="AJ272" s="66"/>
      <c r="AK272" s="66"/>
      <c r="AL272" s="54">
        <f>IF((AC272-SUM(AE272:AK272))&lt;0,0,AC272-SUM(AE272:AK272))</f>
        <v>1</v>
      </c>
      <c r="AM272" s="69">
        <f>SUM(AN272:AT272)</f>
        <v>0</v>
      </c>
      <c r="AN272" s="60"/>
      <c r="AO272" s="52"/>
      <c r="AP272" s="52"/>
      <c r="AQ272" s="52"/>
      <c r="AR272" s="52"/>
      <c r="AS272" s="52"/>
      <c r="AT272" s="61"/>
      <c r="AU272" s="66">
        <f>MAX(0,$AM272-$AC272-$AW272)</f>
        <v>0</v>
      </c>
      <c r="AV272" s="48"/>
      <c r="AW272" s="48"/>
      <c r="AX272" s="65">
        <v>0</v>
      </c>
      <c r="AY272" s="65">
        <f>IF(AND($AU272&gt;0,ISNUMBER($AX272)),$AU272*$AX272,0)</f>
        <v>0</v>
      </c>
      <c r="AZ272" s="46"/>
      <c r="BA272" s="52" t="s">
        <v>1663</v>
      </c>
      <c r="BB272" s="52"/>
      <c r="BC272" s="52"/>
      <c r="BD272" s="52"/>
      <c r="BE272" s="52"/>
      <c r="BF272" s="52"/>
    </row>
    <row r="273" spans="1:58" ht="15" customHeight="1">
      <c r="A273" s="46" t="s">
        <v>1664</v>
      </c>
      <c r="B273" s="53" t="s">
        <v>1665</v>
      </c>
      <c r="C273" s="66" t="s">
        <v>109</v>
      </c>
      <c r="D273" s="67">
        <v>3</v>
      </c>
      <c r="E273" s="53" t="s">
        <v>81</v>
      </c>
      <c r="F273" s="50">
        <v>3</v>
      </c>
      <c r="G273" s="50">
        <v>2</v>
      </c>
      <c r="H273" s="51" t="s">
        <v>1174</v>
      </c>
      <c r="I273" s="50" t="s">
        <v>1666</v>
      </c>
      <c r="J273" s="54" t="s">
        <v>73</v>
      </c>
      <c r="K273" s="53" t="s">
        <v>1099</v>
      </c>
      <c r="L273" s="53" t="s">
        <v>1667</v>
      </c>
      <c r="M273" s="53"/>
      <c r="N273" s="53"/>
      <c r="O273" s="54"/>
      <c r="P273" s="56" t="s">
        <v>76</v>
      </c>
      <c r="Q273" s="53" t="s">
        <v>669</v>
      </c>
      <c r="R273" s="74" t="s">
        <v>1668</v>
      </c>
      <c r="S273" s="74">
        <v>1</v>
      </c>
      <c r="T273" s="74">
        <v>0</v>
      </c>
      <c r="U273" s="56"/>
      <c r="V273" s="57">
        <v>0.13</v>
      </c>
      <c r="W273" s="68"/>
      <c r="X273" s="50"/>
      <c r="Y273" s="50"/>
      <c r="Z273" s="50"/>
      <c r="AA273" s="56"/>
      <c r="AB273" s="57"/>
      <c r="AC273" s="54">
        <v>2</v>
      </c>
      <c r="AD273" s="69">
        <f>SUM(AE273:AK273)</f>
        <v>0</v>
      </c>
      <c r="AE273" s="66"/>
      <c r="AF273" s="66"/>
      <c r="AG273" s="66"/>
      <c r="AH273" s="66"/>
      <c r="AI273" s="66"/>
      <c r="AJ273" s="66"/>
      <c r="AK273" s="66"/>
      <c r="AL273" s="54">
        <f>IF((AC273-SUM(AE273:AK273))&lt;0,0,AC273-SUM(AE273:AK273))</f>
        <v>2</v>
      </c>
      <c r="AM273" s="69">
        <f>SUM(AN273:AT273)</f>
        <v>0</v>
      </c>
      <c r="AN273" s="60"/>
      <c r="AO273" s="52"/>
      <c r="AP273" s="52"/>
      <c r="AQ273" s="52"/>
      <c r="AR273" s="52"/>
      <c r="AS273" s="52"/>
      <c r="AT273" s="61"/>
      <c r="AU273" s="66">
        <f>MAX(0,$AM273-$AC273-$AW273)</f>
        <v>0</v>
      </c>
      <c r="AV273" s="66"/>
      <c r="AW273" s="66"/>
      <c r="AX273" s="65">
        <v>0</v>
      </c>
      <c r="AY273" s="65">
        <f>IF(AND($AU273&gt;0,ISNUMBER($AX273)),$AU273*$AX273,0)</f>
        <v>0</v>
      </c>
      <c r="AZ273" s="46"/>
      <c r="BA273" s="52"/>
      <c r="BB273" s="52"/>
      <c r="BC273" s="52"/>
      <c r="BD273" s="52"/>
      <c r="BE273" s="52"/>
      <c r="BF273" s="52"/>
    </row>
    <row r="274" spans="1:58" ht="15" customHeight="1">
      <c r="A274" s="46" t="s">
        <v>1669</v>
      </c>
      <c r="B274" s="53" t="s">
        <v>1670</v>
      </c>
      <c r="C274" s="66" t="s">
        <v>109</v>
      </c>
      <c r="D274" s="67">
        <v>5</v>
      </c>
      <c r="E274" s="53" t="s">
        <v>81</v>
      </c>
      <c r="F274" s="50">
        <v>2</v>
      </c>
      <c r="G274" s="50">
        <v>2</v>
      </c>
      <c r="H274" s="51" t="s">
        <v>1671</v>
      </c>
      <c r="I274" s="50" t="s">
        <v>1672</v>
      </c>
      <c r="J274" s="54" t="s">
        <v>73</v>
      </c>
      <c r="K274" s="53" t="s">
        <v>129</v>
      </c>
      <c r="L274" s="53" t="s">
        <v>1673</v>
      </c>
      <c r="M274" s="53" t="s">
        <v>1674</v>
      </c>
      <c r="N274" s="53" t="s">
        <v>1675</v>
      </c>
      <c r="O274" s="54"/>
      <c r="P274" s="56" t="s">
        <v>76</v>
      </c>
      <c r="Q274" s="53" t="s">
        <v>669</v>
      </c>
      <c r="R274" s="74" t="s">
        <v>1676</v>
      </c>
      <c r="S274" s="74">
        <v>1</v>
      </c>
      <c r="T274" s="74">
        <v>0</v>
      </c>
      <c r="U274" s="56"/>
      <c r="V274" s="57">
        <v>0.13</v>
      </c>
      <c r="W274" s="68"/>
      <c r="X274" s="50"/>
      <c r="Y274" s="50"/>
      <c r="Z274" s="50"/>
      <c r="AA274" s="56"/>
      <c r="AB274" s="57"/>
      <c r="AC274" s="54">
        <v>2</v>
      </c>
      <c r="AD274" s="69">
        <f>SUM(AE274:AK274)</f>
        <v>0</v>
      </c>
      <c r="AE274" s="66"/>
      <c r="AF274" s="66"/>
      <c r="AG274" s="66"/>
      <c r="AH274" s="66"/>
      <c r="AI274" s="66"/>
      <c r="AJ274" s="66"/>
      <c r="AK274" s="66"/>
      <c r="AL274" s="54">
        <f>IF((AC274-SUM(AE274:AK274))&lt;0,0,AC274-SUM(AE274:AK274))</f>
        <v>2</v>
      </c>
      <c r="AM274" s="69">
        <f>SUM(AN274:AT274)</f>
        <v>0</v>
      </c>
      <c r="AN274" s="60"/>
      <c r="AO274" s="52"/>
      <c r="AP274" s="52"/>
      <c r="AQ274" s="52"/>
      <c r="AR274" s="52"/>
      <c r="AS274" s="52"/>
      <c r="AT274" s="61"/>
      <c r="AU274" s="66">
        <f>MAX(0,$AM274-$AC274-$AW274)</f>
        <v>0</v>
      </c>
      <c r="AV274" s="66"/>
      <c r="AW274" s="66"/>
      <c r="AX274" s="65">
        <v>0</v>
      </c>
      <c r="AY274" s="65">
        <f>IF(AND($AU274&gt;0,ISNUMBER($AX274)),$AU274*$AX274,0)</f>
        <v>0</v>
      </c>
      <c r="AZ274" s="46"/>
      <c r="BA274" s="52"/>
      <c r="BB274" s="52"/>
      <c r="BC274" s="52"/>
      <c r="BD274" s="52"/>
      <c r="BE274" s="52"/>
      <c r="BF274" s="52"/>
    </row>
    <row r="275" spans="1:58" ht="15" customHeight="1">
      <c r="A275" s="46" t="s">
        <v>1677</v>
      </c>
      <c r="B275" s="53" t="s">
        <v>1678</v>
      </c>
      <c r="C275" s="66" t="s">
        <v>109</v>
      </c>
      <c r="D275" s="67">
        <v>3</v>
      </c>
      <c r="E275" s="53" t="s">
        <v>81</v>
      </c>
      <c r="F275" s="50">
        <v>2</v>
      </c>
      <c r="G275" s="50">
        <v>2</v>
      </c>
      <c r="H275" s="51" t="s">
        <v>1657</v>
      </c>
      <c r="I275" s="50" t="s">
        <v>1679</v>
      </c>
      <c r="J275" s="54" t="s">
        <v>73</v>
      </c>
      <c r="K275" s="53" t="s">
        <v>129</v>
      </c>
      <c r="L275" s="53" t="s">
        <v>1680</v>
      </c>
      <c r="M275" s="53" t="s">
        <v>130</v>
      </c>
      <c r="N275" s="53"/>
      <c r="O275" s="54"/>
      <c r="P275" s="56" t="s">
        <v>76</v>
      </c>
      <c r="Q275" s="53" t="s">
        <v>633</v>
      </c>
      <c r="R275" s="74" t="s">
        <v>1608</v>
      </c>
      <c r="S275" s="74">
        <v>1</v>
      </c>
      <c r="T275" s="74">
        <v>0</v>
      </c>
      <c r="U275" s="56"/>
      <c r="V275" s="57">
        <v>0.13</v>
      </c>
      <c r="W275" s="68"/>
      <c r="X275" s="50"/>
      <c r="Y275" s="50"/>
      <c r="Z275" s="50"/>
      <c r="AA275" s="56"/>
      <c r="AB275" s="57"/>
      <c r="AC275" s="54">
        <v>2</v>
      </c>
      <c r="AD275" s="69">
        <f>SUM(AE275:AK275)</f>
        <v>0</v>
      </c>
      <c r="AE275" s="66"/>
      <c r="AF275" s="66"/>
      <c r="AG275" s="66"/>
      <c r="AH275" s="66"/>
      <c r="AI275" s="66"/>
      <c r="AJ275" s="66"/>
      <c r="AK275" s="66"/>
      <c r="AL275" s="54">
        <f>IF((AC275-SUM(AE275:AK275))&lt;0,0,AC275-SUM(AE275:AK275))</f>
        <v>2</v>
      </c>
      <c r="AM275" s="69">
        <f>SUM(AN275:AT275)</f>
        <v>0</v>
      </c>
      <c r="AN275" s="60"/>
      <c r="AO275" s="52"/>
      <c r="AP275" s="52"/>
      <c r="AQ275" s="52"/>
      <c r="AR275" s="52"/>
      <c r="AS275" s="52"/>
      <c r="AT275" s="61"/>
      <c r="AU275" s="66">
        <f>MAX(0,$AM275-$AC275-$AW275)</f>
        <v>0</v>
      </c>
      <c r="AV275" s="66"/>
      <c r="AW275" s="66"/>
      <c r="AX275" s="65">
        <v>0</v>
      </c>
      <c r="AY275" s="65">
        <f>IF(AND($AU275&gt;0,ISNUMBER($AX275)),$AU275*$AX275,0)</f>
        <v>0</v>
      </c>
      <c r="AZ275" s="46"/>
      <c r="BA275" s="52"/>
      <c r="BB275" s="52"/>
      <c r="BC275" s="52"/>
      <c r="BD275" s="52"/>
      <c r="BE275" s="52"/>
      <c r="BF275" s="52"/>
    </row>
    <row r="276" spans="1:58" ht="15" customHeight="1">
      <c r="A276" s="46" t="s">
        <v>1681</v>
      </c>
      <c r="B276" s="53" t="s">
        <v>1682</v>
      </c>
      <c r="C276" s="66" t="s">
        <v>70</v>
      </c>
      <c r="D276" s="67">
        <v>5</v>
      </c>
      <c r="E276" s="53" t="s">
        <v>81</v>
      </c>
      <c r="F276" s="50">
        <v>4</v>
      </c>
      <c r="G276" s="50">
        <v>5</v>
      </c>
      <c r="H276" s="51" t="s">
        <v>1683</v>
      </c>
      <c r="I276" s="50" t="s">
        <v>1684</v>
      </c>
      <c r="J276" s="54" t="s">
        <v>73</v>
      </c>
      <c r="K276" s="53" t="s">
        <v>676</v>
      </c>
      <c r="L276" s="53" t="s">
        <v>1685</v>
      </c>
      <c r="M276" s="53" t="s">
        <v>1686</v>
      </c>
      <c r="N276" s="53"/>
      <c r="O276" s="54"/>
      <c r="P276" s="56" t="s">
        <v>76</v>
      </c>
      <c r="Q276" s="53" t="s">
        <v>633</v>
      </c>
      <c r="R276" s="74" t="s">
        <v>1687</v>
      </c>
      <c r="S276" s="74">
        <v>1</v>
      </c>
      <c r="T276" s="74">
        <v>0</v>
      </c>
      <c r="U276" s="56"/>
      <c r="V276" s="57">
        <v>0.13</v>
      </c>
      <c r="W276" s="68"/>
      <c r="X276" s="50"/>
      <c r="Y276" s="50"/>
      <c r="Z276" s="50"/>
      <c r="AA276" s="56"/>
      <c r="AB276" s="57"/>
      <c r="AC276" s="54">
        <v>2</v>
      </c>
      <c r="AD276" s="69">
        <f>SUM(AE276:AK276)</f>
        <v>0</v>
      </c>
      <c r="AE276" s="66"/>
      <c r="AF276" s="66"/>
      <c r="AG276" s="66"/>
      <c r="AH276" s="66"/>
      <c r="AI276" s="66"/>
      <c r="AJ276" s="66"/>
      <c r="AK276" s="66"/>
      <c r="AL276" s="54">
        <f>IF((AC276-SUM(AE276:AK276))&lt;0,0,AC276-SUM(AE276:AK276))</f>
        <v>2</v>
      </c>
      <c r="AM276" s="69">
        <f>SUM(AN276:AT276)</f>
        <v>0</v>
      </c>
      <c r="AN276" s="60"/>
      <c r="AO276" s="52"/>
      <c r="AP276" s="52"/>
      <c r="AQ276" s="52"/>
      <c r="AR276" s="52"/>
      <c r="AS276" s="52"/>
      <c r="AT276" s="61"/>
      <c r="AU276" s="66">
        <f>MAX(0,$AM276-$AC276-$AW276)</f>
        <v>0</v>
      </c>
      <c r="AV276" s="66"/>
      <c r="AW276" s="66"/>
      <c r="AX276" s="65">
        <v>0</v>
      </c>
      <c r="AY276" s="65">
        <f>IF(AND($AU276&gt;0,ISNUMBER($AX276)),$AU276*$AX276,0)</f>
        <v>0</v>
      </c>
      <c r="AZ276" s="46"/>
      <c r="BA276" s="52"/>
      <c r="BB276" s="52"/>
      <c r="BC276" s="52"/>
      <c r="BD276" s="52"/>
      <c r="BE276" s="52"/>
      <c r="BF276" s="52"/>
    </row>
    <row r="277" spans="1:58" ht="15" customHeight="1">
      <c r="A277" s="46" t="s">
        <v>1688</v>
      </c>
      <c r="B277" s="53" t="s">
        <v>1689</v>
      </c>
      <c r="C277" s="66" t="s">
        <v>109</v>
      </c>
      <c r="D277" s="67">
        <v>3</v>
      </c>
      <c r="E277" s="53" t="s">
        <v>81</v>
      </c>
      <c r="F277" s="50">
        <v>5</v>
      </c>
      <c r="G277" s="50">
        <v>4</v>
      </c>
      <c r="H277" s="51" t="s">
        <v>1543</v>
      </c>
      <c r="I277" s="50" t="s">
        <v>1690</v>
      </c>
      <c r="J277" s="54" t="s">
        <v>73</v>
      </c>
      <c r="K277" s="58" t="s">
        <v>676</v>
      </c>
      <c r="L277" s="58" t="s">
        <v>1691</v>
      </c>
      <c r="M277" s="58"/>
      <c r="N277" s="58"/>
      <c r="O277" s="54"/>
      <c r="P277" s="56" t="s">
        <v>76</v>
      </c>
      <c r="Q277" s="58" t="s">
        <v>669</v>
      </c>
      <c r="R277" s="50"/>
      <c r="S277" s="50"/>
      <c r="T277" s="50"/>
      <c r="U277" s="56"/>
      <c r="V277" s="57">
        <v>0.13</v>
      </c>
      <c r="W277" s="68"/>
      <c r="X277" s="50"/>
      <c r="Y277" s="50"/>
      <c r="Z277" s="50"/>
      <c r="AA277" s="56"/>
      <c r="AB277" s="57"/>
      <c r="AC277" s="54">
        <v>2</v>
      </c>
      <c r="AD277" s="69">
        <f>SUM(AE277:AK277)</f>
        <v>0</v>
      </c>
      <c r="AE277" s="66"/>
      <c r="AF277" s="66"/>
      <c r="AG277" s="66"/>
      <c r="AH277" s="66"/>
      <c r="AI277" s="66"/>
      <c r="AJ277" s="66"/>
      <c r="AK277" s="66"/>
      <c r="AL277" s="54">
        <f>IF((AC277-SUM(AE277:AK277))&lt;0,0,AC277-SUM(AE277:AK277))</f>
        <v>2</v>
      </c>
      <c r="AM277" s="69">
        <f>SUM(AN277:AT277)</f>
        <v>0</v>
      </c>
      <c r="AN277" s="60"/>
      <c r="AO277" s="52"/>
      <c r="AP277" s="52"/>
      <c r="AQ277" s="52"/>
      <c r="AR277" s="52"/>
      <c r="AS277" s="52"/>
      <c r="AT277" s="61"/>
      <c r="AU277" s="66">
        <f>MAX(0,$AM277-$AC277-$AW277)</f>
        <v>0</v>
      </c>
      <c r="AV277" s="66"/>
      <c r="AW277" s="66"/>
      <c r="AX277" s="65">
        <v>0</v>
      </c>
      <c r="AY277" s="65">
        <f>IF(AND($AU277&gt;0,ISNUMBER($AX277)),$AU277*$AX277,0)</f>
        <v>0</v>
      </c>
      <c r="AZ277" s="46"/>
      <c r="BA277" s="52"/>
      <c r="BB277" s="52"/>
      <c r="BC277" s="52"/>
      <c r="BD277" s="52"/>
      <c r="BE277" s="52"/>
      <c r="BF277" s="52"/>
    </row>
    <row r="278" spans="1:58" ht="15" customHeight="1">
      <c r="A278" s="46" t="s">
        <v>1692</v>
      </c>
      <c r="B278" s="53" t="s">
        <v>1693</v>
      </c>
      <c r="C278" s="66" t="s">
        <v>70</v>
      </c>
      <c r="D278" s="67">
        <v>1</v>
      </c>
      <c r="E278" s="53" t="s">
        <v>71</v>
      </c>
      <c r="F278" s="50"/>
      <c r="G278" s="50"/>
      <c r="H278" s="51"/>
      <c r="I278" s="50" t="s">
        <v>1694</v>
      </c>
      <c r="J278" s="54" t="s">
        <v>73</v>
      </c>
      <c r="K278" s="53" t="s">
        <v>129</v>
      </c>
      <c r="L278" s="53" t="s">
        <v>1695</v>
      </c>
      <c r="M278" s="53" t="s">
        <v>1696</v>
      </c>
      <c r="N278" s="53"/>
      <c r="O278" s="54"/>
      <c r="P278" s="56" t="s">
        <v>76</v>
      </c>
      <c r="Q278" s="53" t="s">
        <v>633</v>
      </c>
      <c r="R278" s="74" t="s">
        <v>1697</v>
      </c>
      <c r="S278" s="74">
        <v>1</v>
      </c>
      <c r="T278" s="74">
        <v>0</v>
      </c>
      <c r="U278" s="56" t="s">
        <v>1698</v>
      </c>
      <c r="V278" s="57">
        <v>0.12</v>
      </c>
      <c r="W278" s="68"/>
      <c r="X278" s="50"/>
      <c r="Y278" s="50"/>
      <c r="Z278" s="50"/>
      <c r="AA278" s="56"/>
      <c r="AB278" s="57"/>
      <c r="AC278" s="54">
        <v>2</v>
      </c>
      <c r="AD278" s="69">
        <f>SUM(AE278:AK278)</f>
        <v>1</v>
      </c>
      <c r="AE278" s="66"/>
      <c r="AF278" s="66"/>
      <c r="AG278" s="66"/>
      <c r="AH278" s="66"/>
      <c r="AI278" s="66"/>
      <c r="AJ278" s="66">
        <v>1</v>
      </c>
      <c r="AK278" s="66"/>
      <c r="AL278" s="54">
        <f>IF((AC278-SUM(AE278:AK278))&lt;0,0,AC278-SUM(AE278:AK278))</f>
        <v>1</v>
      </c>
      <c r="AM278" s="69">
        <f>SUM(AN278:AT278)</f>
        <v>1</v>
      </c>
      <c r="AN278" s="60"/>
      <c r="AO278" s="52"/>
      <c r="AP278" s="52"/>
      <c r="AQ278" s="52"/>
      <c r="AR278" s="52"/>
      <c r="AS278" s="52">
        <v>1</v>
      </c>
      <c r="AT278" s="61"/>
      <c r="AU278" s="66">
        <f>MAX(0,$AM278-$AC278-$AW278)</f>
        <v>0</v>
      </c>
      <c r="AV278" s="66"/>
      <c r="AW278" s="66"/>
      <c r="AX278" s="65">
        <v>0</v>
      </c>
      <c r="AY278" s="65">
        <f>IF(AND($AU278&gt;0,ISNUMBER($AX278)),$AU278*$AX278,0)</f>
        <v>0</v>
      </c>
      <c r="AZ278" s="52"/>
      <c r="BA278" s="52"/>
      <c r="BB278" s="52"/>
      <c r="BC278" s="52"/>
      <c r="BD278" s="52"/>
      <c r="BE278" s="52"/>
      <c r="BF278" s="52"/>
    </row>
    <row r="279" spans="1:58" ht="15" customHeight="1">
      <c r="A279" s="46" t="s">
        <v>1699</v>
      </c>
      <c r="B279" s="47" t="s">
        <v>1700</v>
      </c>
      <c r="C279" s="48" t="s">
        <v>181</v>
      </c>
      <c r="D279" s="49">
        <v>3</v>
      </c>
      <c r="E279" s="47" t="s">
        <v>81</v>
      </c>
      <c r="F279" s="50">
        <v>3</v>
      </c>
      <c r="G279" s="50">
        <v>2</v>
      </c>
      <c r="H279" s="51" t="s">
        <v>1701</v>
      </c>
      <c r="I279" s="50" t="s">
        <v>1702</v>
      </c>
      <c r="J279" s="52" t="s">
        <v>73</v>
      </c>
      <c r="K279" s="47" t="s">
        <v>676</v>
      </c>
      <c r="L279" s="53" t="s">
        <v>1703</v>
      </c>
      <c r="M279" s="53" t="s">
        <v>1704</v>
      </c>
      <c r="N279" s="53"/>
      <c r="O279" s="54"/>
      <c r="P279" s="55" t="s">
        <v>76</v>
      </c>
      <c r="Q279" s="47" t="s">
        <v>645</v>
      </c>
      <c r="R279" s="75" t="s">
        <v>1705</v>
      </c>
      <c r="S279" s="75">
        <v>2</v>
      </c>
      <c r="T279" s="75">
        <v>0</v>
      </c>
      <c r="U279" s="56" t="s">
        <v>1497</v>
      </c>
      <c r="V279" s="57">
        <v>0.12</v>
      </c>
      <c r="W279" s="68"/>
      <c r="X279" s="46"/>
      <c r="Y279" s="46"/>
      <c r="Z279" s="46"/>
      <c r="AA279" s="56"/>
      <c r="AB279" s="57"/>
      <c r="AC279" s="54">
        <v>2</v>
      </c>
      <c r="AD279" s="69">
        <f>SUM(AE279:AK279)</f>
        <v>0</v>
      </c>
      <c r="AE279" s="66"/>
      <c r="AF279" s="66"/>
      <c r="AG279" s="66"/>
      <c r="AH279" s="66"/>
      <c r="AI279" s="66"/>
      <c r="AJ279" s="66"/>
      <c r="AK279" s="66"/>
      <c r="AL279" s="54">
        <f>IF((AC279-SUM(AE279:AK279))&lt;0,0,AC279-SUM(AE279:AK279))</f>
        <v>2</v>
      </c>
      <c r="AM279" s="69">
        <f>SUM(AN279:AT279)</f>
        <v>0</v>
      </c>
      <c r="AN279" s="60"/>
      <c r="AO279" s="52"/>
      <c r="AP279" s="52"/>
      <c r="AQ279" s="52"/>
      <c r="AR279" s="52"/>
      <c r="AS279" s="52"/>
      <c r="AT279" s="61"/>
      <c r="AU279" s="66">
        <f>MAX(0,$AM279-$AC279-$AW279)</f>
        <v>0</v>
      </c>
      <c r="AV279" s="48"/>
      <c r="AW279" s="48"/>
      <c r="AX279" s="65">
        <v>0</v>
      </c>
      <c r="AY279" s="65">
        <f>IF(AND($AU279&gt;0,ISNUMBER($AX279)),$AU279*$AX279,0)</f>
        <v>0</v>
      </c>
      <c r="AZ279" s="46"/>
      <c r="BA279" s="52"/>
      <c r="BB279" s="52"/>
      <c r="BC279" s="52"/>
      <c r="BD279" s="52"/>
      <c r="BE279" s="52"/>
      <c r="BF279" s="52"/>
    </row>
    <row r="280" spans="1:58" ht="15" customHeight="1">
      <c r="A280" s="46" t="s">
        <v>1706</v>
      </c>
      <c r="B280" s="47" t="s">
        <v>1707</v>
      </c>
      <c r="C280" s="48" t="s">
        <v>118</v>
      </c>
      <c r="D280" s="49">
        <v>3</v>
      </c>
      <c r="E280" s="47" t="s">
        <v>81</v>
      </c>
      <c r="F280" s="50">
        <v>2</v>
      </c>
      <c r="G280" s="50">
        <v>2</v>
      </c>
      <c r="H280" s="51" t="s">
        <v>1436</v>
      </c>
      <c r="I280" s="50" t="s">
        <v>1708</v>
      </c>
      <c r="J280" s="52" t="s">
        <v>73</v>
      </c>
      <c r="K280" s="47" t="s">
        <v>676</v>
      </c>
      <c r="L280" s="53" t="s">
        <v>1709</v>
      </c>
      <c r="M280" s="53" t="s">
        <v>1710</v>
      </c>
      <c r="N280" s="53"/>
      <c r="O280" s="54"/>
      <c r="P280" s="55" t="s">
        <v>76</v>
      </c>
      <c r="Q280" s="47" t="s">
        <v>633</v>
      </c>
      <c r="R280" s="75" t="s">
        <v>1711</v>
      </c>
      <c r="S280" s="75">
        <v>2</v>
      </c>
      <c r="T280" s="75">
        <v>0</v>
      </c>
      <c r="U280" s="56" t="s">
        <v>1712</v>
      </c>
      <c r="V280" s="57">
        <v>0.12</v>
      </c>
      <c r="W280" s="68"/>
      <c r="X280" s="46"/>
      <c r="Y280" s="46"/>
      <c r="Z280" s="46"/>
      <c r="AA280" s="56"/>
      <c r="AB280" s="57"/>
      <c r="AC280" s="54">
        <v>2</v>
      </c>
      <c r="AD280" s="69">
        <f>SUM(AE280:AK280)</f>
        <v>0</v>
      </c>
      <c r="AE280" s="66"/>
      <c r="AF280" s="66"/>
      <c r="AG280" s="66"/>
      <c r="AH280" s="66"/>
      <c r="AI280" s="66"/>
      <c r="AJ280" s="66"/>
      <c r="AK280" s="66"/>
      <c r="AL280" s="54">
        <f>IF((AC280-SUM(AE280:AK280))&lt;0,0,AC280-SUM(AE280:AK280))</f>
        <v>2</v>
      </c>
      <c r="AM280" s="69">
        <f>SUM(AN280:AT280)</f>
        <v>0</v>
      </c>
      <c r="AN280" s="60"/>
      <c r="AO280" s="52"/>
      <c r="AP280" s="52"/>
      <c r="AQ280" s="52"/>
      <c r="AR280" s="52"/>
      <c r="AS280" s="52"/>
      <c r="AT280" s="61"/>
      <c r="AU280" s="66">
        <f>MAX(0,$AM280-$AC280-$AW280)</f>
        <v>0</v>
      </c>
      <c r="AV280" s="48"/>
      <c r="AW280" s="48"/>
      <c r="AX280" s="65">
        <v>0</v>
      </c>
      <c r="AY280" s="65">
        <f>IF(AND($AU280&gt;0,ISNUMBER($AX280)),$AU280*$AX280,0)</f>
        <v>0</v>
      </c>
      <c r="AZ280" s="46"/>
      <c r="BA280" s="52"/>
      <c r="BB280" s="52"/>
      <c r="BC280" s="52"/>
      <c r="BD280" s="52"/>
      <c r="BE280" s="52"/>
      <c r="BF280" s="52"/>
    </row>
    <row r="281" spans="1:58" ht="15" customHeight="1">
      <c r="A281" s="46" t="s">
        <v>1713</v>
      </c>
      <c r="B281" s="47" t="s">
        <v>1714</v>
      </c>
      <c r="C281" s="48" t="s">
        <v>70</v>
      </c>
      <c r="D281" s="49">
        <v>2</v>
      </c>
      <c r="E281" s="47" t="s">
        <v>71</v>
      </c>
      <c r="F281" s="50"/>
      <c r="G281" s="50"/>
      <c r="H281" s="51"/>
      <c r="I281" s="50" t="s">
        <v>1715</v>
      </c>
      <c r="J281" s="52" t="s">
        <v>73</v>
      </c>
      <c r="K281" s="47" t="s">
        <v>386</v>
      </c>
      <c r="L281" s="53" t="s">
        <v>1716</v>
      </c>
      <c r="M281" s="53" t="s">
        <v>1717</v>
      </c>
      <c r="N281" s="53"/>
      <c r="O281" s="54"/>
      <c r="P281" s="55" t="s">
        <v>76</v>
      </c>
      <c r="Q281" s="47" t="s">
        <v>645</v>
      </c>
      <c r="R281" s="75" t="s">
        <v>1718</v>
      </c>
      <c r="S281" s="75">
        <v>2</v>
      </c>
      <c r="T281" s="75">
        <v>0</v>
      </c>
      <c r="U281" s="56" t="s">
        <v>1555</v>
      </c>
      <c r="V281" s="57">
        <v>0.11</v>
      </c>
      <c r="W281" s="68"/>
      <c r="X281" s="46"/>
      <c r="Y281" s="46"/>
      <c r="Z281" s="46"/>
      <c r="AA281" s="56"/>
      <c r="AB281" s="57"/>
      <c r="AC281" s="54">
        <v>2</v>
      </c>
      <c r="AD281" s="69">
        <f>SUM(AE281:AK281)</f>
        <v>0</v>
      </c>
      <c r="AE281" s="66"/>
      <c r="AF281" s="66"/>
      <c r="AG281" s="66"/>
      <c r="AH281" s="66"/>
      <c r="AI281" s="66"/>
      <c r="AJ281" s="66"/>
      <c r="AK281" s="66"/>
      <c r="AL281" s="54">
        <f>IF((AC281-SUM(AE281:AK281))&lt;0,0,AC281-SUM(AE281:AK281))</f>
        <v>2</v>
      </c>
      <c r="AM281" s="69">
        <f>SUM(AN281:AT281)</f>
        <v>0</v>
      </c>
      <c r="AN281" s="60"/>
      <c r="AO281" s="52"/>
      <c r="AP281" s="52"/>
      <c r="AQ281" s="52"/>
      <c r="AR281" s="52"/>
      <c r="AS281" s="52"/>
      <c r="AT281" s="61"/>
      <c r="AU281" s="66">
        <f>MAX(0,$AM281-$AC281-$AW281)</f>
        <v>0</v>
      </c>
      <c r="AV281" s="48"/>
      <c r="AW281" s="48"/>
      <c r="AX281" s="65">
        <v>0</v>
      </c>
      <c r="AY281" s="65">
        <f>IF(AND($AU281&gt;0,ISNUMBER($AX281)),$AU281*$AX281,0)</f>
        <v>0</v>
      </c>
      <c r="AZ281" s="46"/>
      <c r="BA281" s="52"/>
      <c r="BB281" s="52"/>
      <c r="BC281" s="52"/>
      <c r="BD281" s="52"/>
      <c r="BE281" s="52"/>
      <c r="BF281" s="52"/>
    </row>
    <row r="282" spans="1:58" ht="15" customHeight="1">
      <c r="A282" s="46" t="s">
        <v>1719</v>
      </c>
      <c r="B282" s="53" t="s">
        <v>1720</v>
      </c>
      <c r="C282" s="66" t="s">
        <v>70</v>
      </c>
      <c r="D282" s="67">
        <v>2</v>
      </c>
      <c r="E282" s="53" t="s">
        <v>110</v>
      </c>
      <c r="F282" s="50">
        <v>1</v>
      </c>
      <c r="G282" s="50">
        <v>3</v>
      </c>
      <c r="H282" s="51" t="s">
        <v>1683</v>
      </c>
      <c r="I282" s="50" t="s">
        <v>1721</v>
      </c>
      <c r="J282" s="54" t="s">
        <v>73</v>
      </c>
      <c r="K282" s="53" t="s">
        <v>1099</v>
      </c>
      <c r="L282" s="53" t="s">
        <v>1722</v>
      </c>
      <c r="M282" s="53" t="s">
        <v>1723</v>
      </c>
      <c r="N282" s="53" t="s">
        <v>1464</v>
      </c>
      <c r="O282" s="56">
        <v>6219</v>
      </c>
      <c r="P282" s="56" t="s">
        <v>76</v>
      </c>
      <c r="Q282" s="53" t="s">
        <v>633</v>
      </c>
      <c r="R282" s="74" t="s">
        <v>1724</v>
      </c>
      <c r="S282" s="74">
        <v>1</v>
      </c>
      <c r="T282" s="74">
        <v>0</v>
      </c>
      <c r="U282" s="56"/>
      <c r="V282" s="57">
        <v>0.11</v>
      </c>
      <c r="W282" s="68"/>
      <c r="X282" s="50"/>
      <c r="Y282" s="50"/>
      <c r="Z282" s="50"/>
      <c r="AA282" s="56"/>
      <c r="AB282" s="57"/>
      <c r="AC282" s="54">
        <v>2</v>
      </c>
      <c r="AD282" s="69">
        <f>SUM(AE282:AK282)</f>
        <v>0</v>
      </c>
      <c r="AE282" s="66"/>
      <c r="AF282" s="66"/>
      <c r="AG282" s="66"/>
      <c r="AH282" s="66"/>
      <c r="AI282" s="66"/>
      <c r="AJ282" s="66"/>
      <c r="AK282" s="66"/>
      <c r="AL282" s="54">
        <f>IF((AC282-SUM(AE282:AK282))&lt;0,0,AC282-SUM(AE282:AK282))</f>
        <v>2</v>
      </c>
      <c r="AM282" s="69">
        <f>SUM(AN282:AT282)</f>
        <v>0</v>
      </c>
      <c r="AN282" s="60"/>
      <c r="AO282" s="52"/>
      <c r="AP282" s="52"/>
      <c r="AQ282" s="52"/>
      <c r="AR282" s="52"/>
      <c r="AS282" s="52"/>
      <c r="AT282" s="61"/>
      <c r="AU282" s="66">
        <f>MAX(0,$AM282-$AC282-$AW282)</f>
        <v>0</v>
      </c>
      <c r="AV282" s="66"/>
      <c r="AW282" s="66"/>
      <c r="AX282" s="65">
        <v>0</v>
      </c>
      <c r="AY282" s="65">
        <f>IF(AND($AU282&gt;0,ISNUMBER($AX282)),$AU282*$AX282,0)</f>
        <v>0</v>
      </c>
      <c r="AZ282" s="46"/>
      <c r="BA282" s="52"/>
      <c r="BB282" s="52"/>
      <c r="BC282" s="52"/>
      <c r="BD282" s="52"/>
      <c r="BE282" s="52"/>
      <c r="BF282" s="52"/>
    </row>
    <row r="283" spans="1:58" ht="15" customHeight="1">
      <c r="A283" s="46" t="s">
        <v>1725</v>
      </c>
      <c r="B283" s="47" t="s">
        <v>1726</v>
      </c>
      <c r="C283" s="48" t="s">
        <v>118</v>
      </c>
      <c r="D283" s="49">
        <v>3</v>
      </c>
      <c r="E283" s="47" t="s">
        <v>189</v>
      </c>
      <c r="F283" s="50"/>
      <c r="G283" s="50"/>
      <c r="H283" s="51"/>
      <c r="I283" s="50" t="s">
        <v>1727</v>
      </c>
      <c r="J283" s="52" t="s">
        <v>73</v>
      </c>
      <c r="K283" s="47" t="s">
        <v>135</v>
      </c>
      <c r="L283" s="53" t="s">
        <v>1728</v>
      </c>
      <c r="M283" s="53"/>
      <c r="N283" s="53"/>
      <c r="O283" s="54"/>
      <c r="P283" s="55" t="s">
        <v>185</v>
      </c>
      <c r="Q283" s="47" t="s">
        <v>645</v>
      </c>
      <c r="R283" s="75" t="s">
        <v>946</v>
      </c>
      <c r="S283" s="75">
        <v>2</v>
      </c>
      <c r="T283" s="75">
        <v>0</v>
      </c>
      <c r="U283" s="56" t="s">
        <v>772</v>
      </c>
      <c r="V283" s="57">
        <v>0.11</v>
      </c>
      <c r="W283" s="68"/>
      <c r="X283" s="46"/>
      <c r="Y283" s="46"/>
      <c r="Z283" s="46"/>
      <c r="AA283" s="56"/>
      <c r="AB283" s="57"/>
      <c r="AC283" s="54">
        <v>2</v>
      </c>
      <c r="AD283" s="69">
        <f>SUM(AE283:AK283)</f>
        <v>0</v>
      </c>
      <c r="AE283" s="66"/>
      <c r="AF283" s="66"/>
      <c r="AG283" s="66"/>
      <c r="AH283" s="66"/>
      <c r="AI283" s="66"/>
      <c r="AJ283" s="66"/>
      <c r="AK283" s="66"/>
      <c r="AL283" s="54">
        <f>IF((AC283-SUM(AE283:AK283))&lt;0,0,AC283-SUM(AE283:AK283))</f>
        <v>2</v>
      </c>
      <c r="AM283" s="69">
        <f>SUM(AN283:AT283)</f>
        <v>0</v>
      </c>
      <c r="AN283" s="60"/>
      <c r="AO283" s="52"/>
      <c r="AP283" s="52"/>
      <c r="AQ283" s="52"/>
      <c r="AR283" s="52"/>
      <c r="AS283" s="52"/>
      <c r="AT283" s="61"/>
      <c r="AU283" s="66">
        <f>MAX(0,$AM283-$AC283-$AW283)</f>
        <v>0</v>
      </c>
      <c r="AV283" s="48"/>
      <c r="AW283" s="48"/>
      <c r="AX283" s="65">
        <v>0</v>
      </c>
      <c r="AY283" s="65">
        <f>IF(AND($AU283&gt;0,ISNUMBER($AX283)),$AU283*$AX283,0)</f>
        <v>0</v>
      </c>
      <c r="AZ283" s="46"/>
      <c r="BA283" s="52"/>
      <c r="BB283" s="52"/>
      <c r="BC283" s="52"/>
      <c r="BD283" s="52"/>
      <c r="BE283" s="52"/>
      <c r="BF283" s="52"/>
    </row>
    <row r="284" spans="1:58" ht="15" customHeight="1">
      <c r="A284" s="46" t="s">
        <v>1729</v>
      </c>
      <c r="B284" s="53" t="s">
        <v>1730</v>
      </c>
      <c r="C284" s="66" t="s">
        <v>118</v>
      </c>
      <c r="D284" s="67">
        <v>5</v>
      </c>
      <c r="E284" s="53" t="s">
        <v>189</v>
      </c>
      <c r="F284" s="50"/>
      <c r="G284" s="50"/>
      <c r="H284" s="51"/>
      <c r="I284" s="50" t="s">
        <v>1731</v>
      </c>
      <c r="J284" s="54" t="s">
        <v>73</v>
      </c>
      <c r="K284" s="53" t="s">
        <v>135</v>
      </c>
      <c r="L284" s="53" t="s">
        <v>1732</v>
      </c>
      <c r="M284" s="53" t="s">
        <v>1733</v>
      </c>
      <c r="N284" s="53"/>
      <c r="O284" s="54"/>
      <c r="P284" s="56" t="s">
        <v>76</v>
      </c>
      <c r="Q284" s="53" t="s">
        <v>633</v>
      </c>
      <c r="R284" s="74" t="s">
        <v>1734</v>
      </c>
      <c r="S284" s="74">
        <v>1</v>
      </c>
      <c r="T284" s="74">
        <v>0</v>
      </c>
      <c r="U284" s="56"/>
      <c r="V284" s="57">
        <v>0.1</v>
      </c>
      <c r="W284" s="68"/>
      <c r="X284" s="50"/>
      <c r="Y284" s="50"/>
      <c r="Z284" s="50"/>
      <c r="AA284" s="56"/>
      <c r="AB284" s="57"/>
      <c r="AC284" s="54">
        <v>2</v>
      </c>
      <c r="AD284" s="69">
        <f>SUM(AE284:AK284)</f>
        <v>0</v>
      </c>
      <c r="AE284" s="66"/>
      <c r="AF284" s="66"/>
      <c r="AG284" s="66"/>
      <c r="AH284" s="66"/>
      <c r="AI284" s="66"/>
      <c r="AJ284" s="66"/>
      <c r="AK284" s="66"/>
      <c r="AL284" s="54">
        <f>IF((AC284-SUM(AE284:AK284))&lt;0,0,AC284-SUM(AE284:AK284))</f>
        <v>2</v>
      </c>
      <c r="AM284" s="69">
        <f>SUM(AN284:AT284)</f>
        <v>0</v>
      </c>
      <c r="AN284" s="60"/>
      <c r="AO284" s="52"/>
      <c r="AP284" s="52"/>
      <c r="AQ284" s="52"/>
      <c r="AR284" s="52"/>
      <c r="AS284" s="52"/>
      <c r="AT284" s="61"/>
      <c r="AU284" s="66">
        <f>MAX(0,$AM284-$AC284-$AW284)</f>
        <v>0</v>
      </c>
      <c r="AV284" s="66"/>
      <c r="AW284" s="66"/>
      <c r="AX284" s="65">
        <v>0</v>
      </c>
      <c r="AY284" s="65">
        <f>IF(AND($AU284&gt;0,ISNUMBER($AX284)),$AU284*$AX284,0)</f>
        <v>0</v>
      </c>
      <c r="AZ284" s="46"/>
      <c r="BA284" s="52"/>
      <c r="BB284" s="52"/>
      <c r="BC284" s="52"/>
      <c r="BD284" s="52"/>
      <c r="BE284" s="52"/>
      <c r="BF284" s="52"/>
    </row>
    <row r="285" spans="1:58" ht="15" customHeight="1">
      <c r="A285" s="46" t="s">
        <v>1735</v>
      </c>
      <c r="B285" s="47" t="s">
        <v>1736</v>
      </c>
      <c r="C285" s="48" t="s">
        <v>118</v>
      </c>
      <c r="D285" s="49">
        <v>4</v>
      </c>
      <c r="E285" s="47" t="s">
        <v>81</v>
      </c>
      <c r="F285" s="50">
        <v>3</v>
      </c>
      <c r="G285" s="50">
        <v>3</v>
      </c>
      <c r="H285" s="51" t="s">
        <v>1737</v>
      </c>
      <c r="I285" s="50" t="s">
        <v>1738</v>
      </c>
      <c r="J285" s="52" t="s">
        <v>73</v>
      </c>
      <c r="K285" s="47" t="s">
        <v>129</v>
      </c>
      <c r="L285" s="53" t="s">
        <v>1739</v>
      </c>
      <c r="M285" s="53" t="s">
        <v>1740</v>
      </c>
      <c r="N285" s="53"/>
      <c r="O285" s="54"/>
      <c r="P285" s="55" t="s">
        <v>76</v>
      </c>
      <c r="Q285" s="47" t="s">
        <v>645</v>
      </c>
      <c r="R285" s="75" t="s">
        <v>1741</v>
      </c>
      <c r="S285" s="75">
        <v>2</v>
      </c>
      <c r="T285" s="75">
        <v>0</v>
      </c>
      <c r="U285" s="56" t="s">
        <v>1742</v>
      </c>
      <c r="V285" s="57">
        <v>0.09</v>
      </c>
      <c r="W285" s="68"/>
      <c r="X285" s="46"/>
      <c r="Y285" s="46"/>
      <c r="Z285" s="46"/>
      <c r="AA285" s="56"/>
      <c r="AB285" s="57"/>
      <c r="AC285" s="54">
        <v>2</v>
      </c>
      <c r="AD285" s="69">
        <f>SUM(AE285:AK285)</f>
        <v>0</v>
      </c>
      <c r="AE285" s="66"/>
      <c r="AF285" s="66"/>
      <c r="AG285" s="66"/>
      <c r="AH285" s="66"/>
      <c r="AI285" s="66"/>
      <c r="AJ285" s="66"/>
      <c r="AK285" s="66"/>
      <c r="AL285" s="54">
        <f>IF((AC285-SUM(AE285:AK285))&lt;0,0,AC285-SUM(AE285:AK285))</f>
        <v>2</v>
      </c>
      <c r="AM285" s="69">
        <f>SUM(AN285:AT285)</f>
        <v>0</v>
      </c>
      <c r="AN285" s="60"/>
      <c r="AO285" s="52"/>
      <c r="AP285" s="52"/>
      <c r="AQ285" s="52"/>
      <c r="AR285" s="52"/>
      <c r="AS285" s="52"/>
      <c r="AT285" s="61"/>
      <c r="AU285" s="66">
        <f>MAX(0,$AM285-$AC285-$AW285)</f>
        <v>0</v>
      </c>
      <c r="AV285" s="48"/>
      <c r="AW285" s="48"/>
      <c r="AX285" s="65">
        <v>0</v>
      </c>
      <c r="AY285" s="65">
        <f>IF(AND($AU285&gt;0,ISNUMBER($AX285)),$AU285*$AX285,0)</f>
        <v>0</v>
      </c>
      <c r="AZ285" s="46"/>
      <c r="BA285" s="52"/>
      <c r="BB285" s="52"/>
      <c r="BC285" s="52"/>
      <c r="BD285" s="52"/>
      <c r="BE285" s="52"/>
      <c r="BF285" s="52"/>
    </row>
    <row r="286" spans="1:58" ht="15" customHeight="1">
      <c r="A286" s="46" t="s">
        <v>1743</v>
      </c>
      <c r="B286" s="53" t="s">
        <v>1744</v>
      </c>
      <c r="C286" s="66" t="s">
        <v>109</v>
      </c>
      <c r="D286" s="67">
        <v>2</v>
      </c>
      <c r="E286" s="53" t="s">
        <v>81</v>
      </c>
      <c r="F286" s="50">
        <v>2</v>
      </c>
      <c r="G286" s="50">
        <v>3</v>
      </c>
      <c r="H286" s="51" t="s">
        <v>1745</v>
      </c>
      <c r="I286" s="50" t="s">
        <v>1746</v>
      </c>
      <c r="J286" s="54" t="s">
        <v>73</v>
      </c>
      <c r="K286" s="58" t="s">
        <v>676</v>
      </c>
      <c r="L286" s="58" t="s">
        <v>1747</v>
      </c>
      <c r="M286" s="58" t="s">
        <v>1748</v>
      </c>
      <c r="N286" s="58"/>
      <c r="O286" s="54"/>
      <c r="P286" s="56" t="s">
        <v>76</v>
      </c>
      <c r="Q286" s="58" t="s">
        <v>729</v>
      </c>
      <c r="R286" s="50"/>
      <c r="S286" s="50"/>
      <c r="T286" s="50"/>
      <c r="U286" s="56"/>
      <c r="V286" s="57">
        <v>0.09</v>
      </c>
      <c r="W286" s="68"/>
      <c r="X286" s="50"/>
      <c r="Y286" s="50"/>
      <c r="Z286" s="50"/>
      <c r="AA286" s="56"/>
      <c r="AB286" s="57"/>
      <c r="AC286" s="54">
        <v>2</v>
      </c>
      <c r="AD286" s="69">
        <f>SUM(AE286:AK286)</f>
        <v>0</v>
      </c>
      <c r="AE286" s="66"/>
      <c r="AF286" s="66"/>
      <c r="AG286" s="66"/>
      <c r="AH286" s="66"/>
      <c r="AI286" s="66"/>
      <c r="AJ286" s="66"/>
      <c r="AK286" s="66"/>
      <c r="AL286" s="54">
        <f>IF((AC286-SUM(AE286:AK286))&lt;0,0,AC286-SUM(AE286:AK286))</f>
        <v>2</v>
      </c>
      <c r="AM286" s="69">
        <f>SUM(AN286:AT286)</f>
        <v>0</v>
      </c>
      <c r="AN286" s="60"/>
      <c r="AO286" s="52"/>
      <c r="AP286" s="52"/>
      <c r="AQ286" s="52"/>
      <c r="AR286" s="52"/>
      <c r="AS286" s="52"/>
      <c r="AT286" s="61"/>
      <c r="AU286" s="66">
        <f>MAX(0,$AM286-$AC286-$AW286)</f>
        <v>0</v>
      </c>
      <c r="AV286" s="66"/>
      <c r="AW286" s="66"/>
      <c r="AX286" s="65">
        <v>0</v>
      </c>
      <c r="AY286" s="65">
        <f>IF(AND($AU286&gt;0,ISNUMBER($AX286)),$AU286*$AX286,0)</f>
        <v>0</v>
      </c>
      <c r="AZ286" s="46"/>
      <c r="BA286" s="52"/>
      <c r="BB286" s="52"/>
      <c r="BC286" s="52"/>
      <c r="BD286" s="52"/>
      <c r="BE286" s="52"/>
      <c r="BF286" s="52"/>
    </row>
    <row r="287" spans="1:58" ht="15" customHeight="1">
      <c r="A287" s="46" t="s">
        <v>1749</v>
      </c>
      <c r="B287" s="53" t="s">
        <v>1750</v>
      </c>
      <c r="C287" s="66" t="s">
        <v>80</v>
      </c>
      <c r="D287" s="67">
        <v>5</v>
      </c>
      <c r="E287" s="53" t="s">
        <v>81</v>
      </c>
      <c r="F287" s="50">
        <v>3</v>
      </c>
      <c r="G287" s="50">
        <v>5</v>
      </c>
      <c r="H287" s="51" t="s">
        <v>1019</v>
      </c>
      <c r="I287" s="50" t="s">
        <v>1751</v>
      </c>
      <c r="J287" s="54" t="s">
        <v>73</v>
      </c>
      <c r="K287" s="58" t="s">
        <v>1752</v>
      </c>
      <c r="L287" s="58" t="s">
        <v>1753</v>
      </c>
      <c r="M287" s="58" t="s">
        <v>1754</v>
      </c>
      <c r="N287" s="58"/>
      <c r="O287" s="54"/>
      <c r="P287" s="56" t="s">
        <v>76</v>
      </c>
      <c r="Q287" s="58" t="s">
        <v>669</v>
      </c>
      <c r="R287" s="74" t="s">
        <v>1705</v>
      </c>
      <c r="S287" s="74">
        <v>1</v>
      </c>
      <c r="T287" s="74">
        <v>0</v>
      </c>
      <c r="U287" s="56" t="s">
        <v>1269</v>
      </c>
      <c r="V287" s="57">
        <v>0.08</v>
      </c>
      <c r="W287" s="68"/>
      <c r="X287" s="50"/>
      <c r="Y287" s="50"/>
      <c r="Z287" s="50"/>
      <c r="AA287" s="56"/>
      <c r="AB287" s="57"/>
      <c r="AC287" s="54">
        <v>2</v>
      </c>
      <c r="AD287" s="69">
        <f>SUM(AE287:AK287)</f>
        <v>1</v>
      </c>
      <c r="AE287" s="66"/>
      <c r="AF287" s="66"/>
      <c r="AG287" s="66"/>
      <c r="AH287" s="66"/>
      <c r="AI287" s="66"/>
      <c r="AJ287" s="66"/>
      <c r="AK287" s="66">
        <v>1</v>
      </c>
      <c r="AL287" s="54">
        <f>IF((AC287-SUM(AE287:AK287))&lt;0,0,AC287-SUM(AE287:AK287))</f>
        <v>1</v>
      </c>
      <c r="AM287" s="69">
        <f>SUM(AN287:AT287)</f>
        <v>0</v>
      </c>
      <c r="AN287" s="60"/>
      <c r="AO287" s="52"/>
      <c r="AP287" s="52"/>
      <c r="AQ287" s="52"/>
      <c r="AR287" s="52"/>
      <c r="AS287" s="52"/>
      <c r="AT287" s="61"/>
      <c r="AU287" s="66">
        <f>MAX(0,$AM287-$AC287-$AW287)</f>
        <v>0</v>
      </c>
      <c r="AV287" s="66"/>
      <c r="AW287" s="66"/>
      <c r="AX287" s="65">
        <v>0</v>
      </c>
      <c r="AY287" s="65">
        <f>IF(AND($AU287&gt;0,ISNUMBER($AX287)),$AU287*$AX287,0)</f>
        <v>0</v>
      </c>
      <c r="AZ287" s="46"/>
      <c r="BA287" s="52"/>
      <c r="BB287" s="52"/>
      <c r="BC287" s="52"/>
      <c r="BD287" s="52"/>
      <c r="BE287" s="52"/>
      <c r="BF287" s="52" t="s">
        <v>1755</v>
      </c>
    </row>
    <row r="288" spans="1:58" ht="15" customHeight="1">
      <c r="A288" s="46" t="s">
        <v>1756</v>
      </c>
      <c r="B288" s="47" t="s">
        <v>1757</v>
      </c>
      <c r="C288" s="48" t="s">
        <v>109</v>
      </c>
      <c r="D288" s="49">
        <v>3</v>
      </c>
      <c r="E288" s="47" t="s">
        <v>81</v>
      </c>
      <c r="F288" s="50">
        <v>3</v>
      </c>
      <c r="G288" s="50">
        <v>3</v>
      </c>
      <c r="H288" s="51" t="s">
        <v>1758</v>
      </c>
      <c r="I288" s="50" t="s">
        <v>1759</v>
      </c>
      <c r="J288" s="52" t="s">
        <v>73</v>
      </c>
      <c r="K288" s="47" t="s">
        <v>74</v>
      </c>
      <c r="L288" s="53" t="s">
        <v>1760</v>
      </c>
      <c r="M288" s="53" t="s">
        <v>1761</v>
      </c>
      <c r="N288" s="53"/>
      <c r="O288" s="54"/>
      <c r="P288" s="55" t="s">
        <v>76</v>
      </c>
      <c r="Q288" s="47" t="s">
        <v>645</v>
      </c>
      <c r="R288" s="75" t="s">
        <v>1762</v>
      </c>
      <c r="S288" s="75">
        <v>2</v>
      </c>
      <c r="T288" s="75">
        <v>0</v>
      </c>
      <c r="U288" s="56" t="s">
        <v>772</v>
      </c>
      <c r="V288" s="57">
        <v>7.0000000000000007E-2</v>
      </c>
      <c r="W288" s="68"/>
      <c r="X288" s="46"/>
      <c r="Y288" s="46"/>
      <c r="Z288" s="46"/>
      <c r="AA288" s="56"/>
      <c r="AB288" s="57"/>
      <c r="AC288" s="54">
        <v>2</v>
      </c>
      <c r="AD288" s="69">
        <f>SUM(AE288:AK288)</f>
        <v>0</v>
      </c>
      <c r="AE288" s="66"/>
      <c r="AF288" s="66"/>
      <c r="AG288" s="66"/>
      <c r="AH288" s="66"/>
      <c r="AI288" s="66"/>
      <c r="AJ288" s="66"/>
      <c r="AK288" s="66"/>
      <c r="AL288" s="54">
        <f>IF((AC288-SUM(AE288:AK288))&lt;0,0,AC288-SUM(AE288:AK288))</f>
        <v>2</v>
      </c>
      <c r="AM288" s="69">
        <f>SUM(AN288:AT288)</f>
        <v>0</v>
      </c>
      <c r="AN288" s="60"/>
      <c r="AO288" s="52"/>
      <c r="AP288" s="52"/>
      <c r="AQ288" s="52"/>
      <c r="AR288" s="52"/>
      <c r="AS288" s="52"/>
      <c r="AT288" s="61"/>
      <c r="AU288" s="66">
        <f>MAX(0,$AM288-$AC288-$AW288)</f>
        <v>0</v>
      </c>
      <c r="AV288" s="48"/>
      <c r="AW288" s="48"/>
      <c r="AX288" s="65">
        <v>0</v>
      </c>
      <c r="AY288" s="65">
        <f>IF(AND($AU288&gt;0,ISNUMBER($AX288)),$AU288*$AX288,0)</f>
        <v>0</v>
      </c>
      <c r="AZ288" s="46"/>
      <c r="BA288" s="52"/>
      <c r="BB288" s="52"/>
      <c r="BC288" s="52"/>
      <c r="BD288" s="52"/>
      <c r="BE288" s="52"/>
      <c r="BF288" s="52"/>
    </row>
    <row r="289" spans="1:58" ht="15" customHeight="1">
      <c r="A289" s="46" t="s">
        <v>1763</v>
      </c>
      <c r="B289" s="53" t="s">
        <v>1764</v>
      </c>
      <c r="C289" s="66" t="s">
        <v>80</v>
      </c>
      <c r="D289" s="67">
        <v>3</v>
      </c>
      <c r="E289" s="53" t="s">
        <v>81</v>
      </c>
      <c r="F289" s="50">
        <v>2</v>
      </c>
      <c r="G289" s="50">
        <v>1</v>
      </c>
      <c r="H289" s="51" t="s">
        <v>1765</v>
      </c>
      <c r="I289" s="50" t="s">
        <v>1766</v>
      </c>
      <c r="J289" s="54" t="s">
        <v>73</v>
      </c>
      <c r="K289" s="53" t="s">
        <v>152</v>
      </c>
      <c r="L289" s="53" t="s">
        <v>1767</v>
      </c>
      <c r="M289" s="53"/>
      <c r="N289" s="53"/>
      <c r="O289" s="54"/>
      <c r="P289" s="56" t="s">
        <v>76</v>
      </c>
      <c r="Q289" s="53" t="s">
        <v>691</v>
      </c>
      <c r="R289" s="50" t="s">
        <v>1768</v>
      </c>
      <c r="S289" s="50">
        <v>2</v>
      </c>
      <c r="T289" s="50">
        <v>1</v>
      </c>
      <c r="U289" s="56" t="s">
        <v>1290</v>
      </c>
      <c r="V289" s="57"/>
      <c r="W289" s="56"/>
      <c r="X289" s="50"/>
      <c r="Y289" s="50"/>
      <c r="Z289" s="50"/>
      <c r="AA289" s="56"/>
      <c r="AB289" s="57"/>
      <c r="AC289" s="54">
        <v>2</v>
      </c>
      <c r="AD289" s="69">
        <f>SUM(AE289:AK289)</f>
        <v>0</v>
      </c>
      <c r="AE289" s="66"/>
      <c r="AF289" s="66"/>
      <c r="AG289" s="66"/>
      <c r="AH289" s="66"/>
      <c r="AI289" s="66"/>
      <c r="AJ289" s="66"/>
      <c r="AK289" s="66"/>
      <c r="AL289" s="54">
        <f>IF((AC289-SUM(AE289:AK289))&lt;0,0,AC289-SUM(AE289:AK289))</f>
        <v>2</v>
      </c>
      <c r="AM289" s="69">
        <f>SUM(AN289:AT289)</f>
        <v>0</v>
      </c>
      <c r="AN289" s="60"/>
      <c r="AO289" s="52"/>
      <c r="AP289" s="52"/>
      <c r="AQ289" s="52"/>
      <c r="AR289" s="52"/>
      <c r="AS289" s="52"/>
      <c r="AT289" s="61"/>
      <c r="AU289" s="66">
        <f>MAX(0,$AM289-$AC289-$AW289)</f>
        <v>0</v>
      </c>
      <c r="AV289" s="66"/>
      <c r="AW289" s="66"/>
      <c r="AX289" s="65">
        <v>0</v>
      </c>
      <c r="AY289" s="65">
        <f>IF(AND($AU289&gt;0,ISNUMBER($AX289)),$AU289*$AX289,0)</f>
        <v>0</v>
      </c>
      <c r="AZ289" s="46"/>
      <c r="BA289" s="52"/>
      <c r="BB289" s="52"/>
      <c r="BC289" s="52"/>
      <c r="BD289" s="52"/>
      <c r="BE289" s="52"/>
      <c r="BF289" s="52"/>
    </row>
    <row r="290" spans="1:58" ht="15" customHeight="1">
      <c r="A290" s="46" t="s">
        <v>1777</v>
      </c>
      <c r="B290" s="53" t="s">
        <v>1778</v>
      </c>
      <c r="C290" s="66" t="s">
        <v>232</v>
      </c>
      <c r="D290" s="67">
        <v>2</v>
      </c>
      <c r="E290" s="53" t="s">
        <v>531</v>
      </c>
      <c r="F290" s="50">
        <v>2</v>
      </c>
      <c r="G290" s="50">
        <v>2</v>
      </c>
      <c r="H290" s="51" t="s">
        <v>1779</v>
      </c>
      <c r="I290" s="50" t="s">
        <v>1780</v>
      </c>
      <c r="J290" s="54" t="s">
        <v>73</v>
      </c>
      <c r="K290" s="53" t="s">
        <v>1781</v>
      </c>
      <c r="L290" s="53" t="s">
        <v>1782</v>
      </c>
      <c r="M290" s="53" t="s">
        <v>1783</v>
      </c>
      <c r="N290" s="53"/>
      <c r="O290" s="54"/>
      <c r="P290" s="56" t="s">
        <v>76</v>
      </c>
      <c r="Q290" s="53" t="s">
        <v>691</v>
      </c>
      <c r="R290" s="50" t="s">
        <v>1784</v>
      </c>
      <c r="S290" s="50">
        <v>2</v>
      </c>
      <c r="T290" s="50">
        <v>0</v>
      </c>
      <c r="U290" s="56" t="s">
        <v>1785</v>
      </c>
      <c r="V290" s="57"/>
      <c r="W290" s="56"/>
      <c r="X290" s="50"/>
      <c r="Y290" s="50"/>
      <c r="Z290" s="50"/>
      <c r="AA290" s="56"/>
      <c r="AB290" s="57"/>
      <c r="AC290" s="54">
        <v>2</v>
      </c>
      <c r="AD290" s="69">
        <f>SUM(AE290:AK290)</f>
        <v>0</v>
      </c>
      <c r="AE290" s="66"/>
      <c r="AF290" s="66"/>
      <c r="AG290" s="66"/>
      <c r="AH290" s="66"/>
      <c r="AI290" s="66"/>
      <c r="AJ290" s="66"/>
      <c r="AK290" s="66"/>
      <c r="AL290" s="54">
        <f>IF((AC290-SUM(AE290:AK290))&lt;0,0,AC290-SUM(AE290:AK290))</f>
        <v>2</v>
      </c>
      <c r="AM290" s="69">
        <f>SUM(AN290:AT290)</f>
        <v>0</v>
      </c>
      <c r="AN290" s="60"/>
      <c r="AO290" s="52"/>
      <c r="AP290" s="52"/>
      <c r="AQ290" s="52"/>
      <c r="AR290" s="52"/>
      <c r="AS290" s="52"/>
      <c r="AT290" s="61"/>
      <c r="AU290" s="66">
        <f>MAX(0,$AM290-$AC290-$AW290)</f>
        <v>0</v>
      </c>
      <c r="AV290" s="66"/>
      <c r="AW290" s="66"/>
      <c r="AX290" s="65">
        <v>0</v>
      </c>
      <c r="AY290" s="65">
        <f>IF(AND($AU290&gt;0,ISNUMBER($AX290)),$AU290*$AX290,0)</f>
        <v>0</v>
      </c>
      <c r="AZ290" s="46"/>
      <c r="BA290" s="52"/>
      <c r="BB290" s="52"/>
      <c r="BC290" s="52"/>
      <c r="BD290" s="52"/>
      <c r="BE290" s="52"/>
      <c r="BF290" s="52"/>
    </row>
    <row r="291" spans="1:58" ht="15" customHeight="1">
      <c r="A291" s="46" t="s">
        <v>1786</v>
      </c>
      <c r="B291" s="53" t="s">
        <v>1787</v>
      </c>
      <c r="C291" s="66" t="s">
        <v>109</v>
      </c>
      <c r="D291" s="67">
        <v>0</v>
      </c>
      <c r="E291" s="53" t="s">
        <v>312</v>
      </c>
      <c r="F291" s="50"/>
      <c r="G291" s="50"/>
      <c r="H291" s="51"/>
      <c r="I291" s="50" t="s">
        <v>1788</v>
      </c>
      <c r="J291" s="54" t="s">
        <v>73</v>
      </c>
      <c r="K291" s="58" t="s">
        <v>312</v>
      </c>
      <c r="L291" s="58" t="s">
        <v>1789</v>
      </c>
      <c r="M291" s="58"/>
      <c r="N291" s="58"/>
      <c r="O291" s="54"/>
      <c r="P291" s="56" t="s">
        <v>185</v>
      </c>
      <c r="Q291" s="58" t="s">
        <v>1070</v>
      </c>
      <c r="R291" s="54"/>
      <c r="S291" s="54"/>
      <c r="T291" s="54"/>
      <c r="U291" s="56"/>
      <c r="V291" s="57"/>
      <c r="W291" s="56"/>
      <c r="X291" s="54"/>
      <c r="Y291" s="54"/>
      <c r="Z291" s="54"/>
      <c r="AA291" s="56"/>
      <c r="AB291" s="57"/>
      <c r="AC291" s="54">
        <v>2</v>
      </c>
      <c r="AD291" s="69">
        <f>SUM(AE291:AK291)</f>
        <v>1</v>
      </c>
      <c r="AE291" s="66"/>
      <c r="AF291" s="66"/>
      <c r="AG291" s="66"/>
      <c r="AH291" s="66">
        <v>1</v>
      </c>
      <c r="AI291" s="66"/>
      <c r="AJ291" s="66"/>
      <c r="AK291" s="66"/>
      <c r="AL291" s="54">
        <f>IF((AC291-SUM(AE291:AK291))&lt;0,0,AC291-SUM(AE291:AK291))</f>
        <v>1</v>
      </c>
      <c r="AM291" s="69">
        <f>SUM(AN291:AT291)</f>
        <v>1</v>
      </c>
      <c r="AN291" s="60"/>
      <c r="AO291" s="52"/>
      <c r="AP291" s="52"/>
      <c r="AQ291" s="52">
        <v>1</v>
      </c>
      <c r="AR291" s="52"/>
      <c r="AS291" s="52"/>
      <c r="AT291" s="61"/>
      <c r="AU291" s="66">
        <f>MAX(0,$AM291-$AC291-$AW291)</f>
        <v>0</v>
      </c>
      <c r="AV291" s="66"/>
      <c r="AW291" s="66"/>
      <c r="AX291" s="65">
        <v>0</v>
      </c>
      <c r="AY291" s="65">
        <f>IF(AND($AU291&gt;0,ISNUMBER($AX291)),$AU291*$AX291,0)</f>
        <v>0</v>
      </c>
      <c r="AZ291" s="46"/>
      <c r="BA291" s="52"/>
      <c r="BB291" s="52"/>
      <c r="BC291" s="52"/>
      <c r="BD291" s="52"/>
      <c r="BE291" s="52"/>
      <c r="BF291" s="52"/>
    </row>
    <row r="292" spans="1:58" ht="15" customHeight="1">
      <c r="A292" s="46" t="s">
        <v>1790</v>
      </c>
      <c r="B292" s="53" t="s">
        <v>1791</v>
      </c>
      <c r="C292" s="66" t="s">
        <v>311</v>
      </c>
      <c r="D292" s="67">
        <v>0</v>
      </c>
      <c r="E292" s="53" t="s">
        <v>312</v>
      </c>
      <c r="F292" s="50"/>
      <c r="G292" s="50"/>
      <c r="H292" s="51" t="s">
        <v>1044</v>
      </c>
      <c r="I292" s="50" t="s">
        <v>1788</v>
      </c>
      <c r="J292" s="54" t="s">
        <v>73</v>
      </c>
      <c r="K292" s="58" t="s">
        <v>312</v>
      </c>
      <c r="L292" s="58" t="s">
        <v>1789</v>
      </c>
      <c r="M292" s="58"/>
      <c r="N292" s="58"/>
      <c r="O292" s="54"/>
      <c r="P292" s="56" t="s">
        <v>76</v>
      </c>
      <c r="Q292" s="58" t="s">
        <v>833</v>
      </c>
      <c r="R292" s="54"/>
      <c r="S292" s="54"/>
      <c r="T292" s="54"/>
      <c r="U292" s="56"/>
      <c r="V292" s="57"/>
      <c r="W292" s="56"/>
      <c r="X292" s="54"/>
      <c r="Y292" s="54"/>
      <c r="Z292" s="54"/>
      <c r="AA292" s="56"/>
      <c r="AB292" s="57"/>
      <c r="AC292" s="54">
        <v>2</v>
      </c>
      <c r="AD292" s="69">
        <f>SUM(AE292:AK292)</f>
        <v>2</v>
      </c>
      <c r="AE292" s="66"/>
      <c r="AF292" s="66">
        <v>1</v>
      </c>
      <c r="AG292" s="66"/>
      <c r="AH292" s="66">
        <v>1</v>
      </c>
      <c r="AI292" s="66"/>
      <c r="AJ292" s="66"/>
      <c r="AK292" s="66"/>
      <c r="AL292" s="54">
        <f>IF((AC292-SUM(AE292:AK292))&lt;0,0,AC292-SUM(AE292:AK292))</f>
        <v>0</v>
      </c>
      <c r="AM292" s="69">
        <f>SUM(AN292:AT292)</f>
        <v>2</v>
      </c>
      <c r="AN292" s="60"/>
      <c r="AO292" s="52">
        <v>1</v>
      </c>
      <c r="AP292" s="52"/>
      <c r="AQ292" s="52">
        <v>1</v>
      </c>
      <c r="AR292" s="52"/>
      <c r="AS292" s="52"/>
      <c r="AT292" s="61"/>
      <c r="AU292" s="66">
        <f>MAX(0,$AM292-$AC292-$AW292)</f>
        <v>0</v>
      </c>
      <c r="AV292" s="66"/>
      <c r="AW292" s="66"/>
      <c r="AX292" s="65">
        <v>0</v>
      </c>
      <c r="AY292" s="65">
        <f>IF(AND($AU292&gt;0,ISNUMBER($AX292)),$AU292*$AX292,0)</f>
        <v>0</v>
      </c>
      <c r="AZ292" s="46"/>
      <c r="BA292" s="52"/>
      <c r="BB292" s="52"/>
      <c r="BC292" s="52"/>
      <c r="BD292" s="52"/>
      <c r="BE292" s="52"/>
      <c r="BF292" s="52"/>
    </row>
    <row r="293" spans="1:58" ht="15" customHeight="1">
      <c r="A293" s="46" t="s">
        <v>1792</v>
      </c>
      <c r="B293" s="53" t="s">
        <v>1793</v>
      </c>
      <c r="C293" s="66" t="s">
        <v>118</v>
      </c>
      <c r="D293" s="67">
        <v>3</v>
      </c>
      <c r="E293" s="53" t="s">
        <v>81</v>
      </c>
      <c r="F293" s="50">
        <v>2</v>
      </c>
      <c r="G293" s="50">
        <v>3</v>
      </c>
      <c r="H293" s="51" t="s">
        <v>1794</v>
      </c>
      <c r="I293" s="50" t="s">
        <v>1795</v>
      </c>
      <c r="J293" s="54" t="s">
        <v>73</v>
      </c>
      <c r="K293" s="53" t="s">
        <v>84</v>
      </c>
      <c r="L293" s="53" t="s">
        <v>1796</v>
      </c>
      <c r="M293" s="53" t="s">
        <v>136</v>
      </c>
      <c r="N293" s="53"/>
      <c r="O293" s="54"/>
      <c r="P293" s="56" t="s">
        <v>76</v>
      </c>
      <c r="Q293" s="53" t="s">
        <v>691</v>
      </c>
      <c r="R293" s="50" t="s">
        <v>1797</v>
      </c>
      <c r="S293" s="50">
        <v>2</v>
      </c>
      <c r="T293" s="50">
        <v>0</v>
      </c>
      <c r="U293" s="56" t="s">
        <v>842</v>
      </c>
      <c r="V293" s="57"/>
      <c r="W293" s="56"/>
      <c r="X293" s="50"/>
      <c r="Y293" s="50"/>
      <c r="Z293" s="50"/>
      <c r="AA293" s="56"/>
      <c r="AB293" s="57"/>
      <c r="AC293" s="54">
        <v>2</v>
      </c>
      <c r="AD293" s="69">
        <f>SUM(AE293:AK293)</f>
        <v>0</v>
      </c>
      <c r="AE293" s="66"/>
      <c r="AF293" s="66"/>
      <c r="AG293" s="66"/>
      <c r="AH293" s="66"/>
      <c r="AI293" s="66"/>
      <c r="AJ293" s="66"/>
      <c r="AK293" s="66"/>
      <c r="AL293" s="54">
        <f>IF((AC293-SUM(AE293:AK293))&lt;0,0,AC293-SUM(AE293:AK293))</f>
        <v>2</v>
      </c>
      <c r="AM293" s="69">
        <f>SUM(AN293:AT293)</f>
        <v>0</v>
      </c>
      <c r="AN293" s="60"/>
      <c r="AO293" s="52"/>
      <c r="AP293" s="52"/>
      <c r="AQ293" s="52"/>
      <c r="AR293" s="52"/>
      <c r="AS293" s="52"/>
      <c r="AT293" s="61"/>
      <c r="AU293" s="66">
        <f>MAX(0,$AM293-$AC293-$AW293)</f>
        <v>0</v>
      </c>
      <c r="AV293" s="66"/>
      <c r="AW293" s="66"/>
      <c r="AX293" s="65">
        <v>0</v>
      </c>
      <c r="AY293" s="65">
        <f>IF(AND($AU293&gt;0,ISNUMBER($AX293)),$AU293*$AX293,0)</f>
        <v>0</v>
      </c>
      <c r="AZ293" s="46"/>
      <c r="BA293" s="52"/>
      <c r="BB293" s="52"/>
      <c r="BC293" s="52"/>
      <c r="BD293" s="52"/>
      <c r="BE293" s="52"/>
      <c r="BF293" s="52"/>
    </row>
    <row r="294" spans="1:58" ht="15" customHeight="1">
      <c r="A294" s="46" t="s">
        <v>1798</v>
      </c>
      <c r="B294" s="53" t="s">
        <v>1799</v>
      </c>
      <c r="C294" s="66" t="s">
        <v>118</v>
      </c>
      <c r="D294" s="67">
        <v>2</v>
      </c>
      <c r="E294" s="53" t="s">
        <v>81</v>
      </c>
      <c r="F294" s="50">
        <v>2</v>
      </c>
      <c r="G294" s="50">
        <v>2</v>
      </c>
      <c r="H294" s="51" t="s">
        <v>1800</v>
      </c>
      <c r="I294" s="50" t="s">
        <v>1801</v>
      </c>
      <c r="J294" s="54" t="s">
        <v>73</v>
      </c>
      <c r="K294" s="53" t="s">
        <v>84</v>
      </c>
      <c r="L294" s="53" t="s">
        <v>1802</v>
      </c>
      <c r="M294" s="53"/>
      <c r="N294" s="53"/>
      <c r="O294" s="54"/>
      <c r="P294" s="56" t="s">
        <v>76</v>
      </c>
      <c r="Q294" s="53" t="s">
        <v>633</v>
      </c>
      <c r="R294" s="50"/>
      <c r="S294" s="50"/>
      <c r="T294" s="50"/>
      <c r="U294" s="56"/>
      <c r="V294" s="57"/>
      <c r="W294" s="56"/>
      <c r="X294" s="50"/>
      <c r="Y294" s="50"/>
      <c r="Z294" s="50"/>
      <c r="AA294" s="56"/>
      <c r="AB294" s="57"/>
      <c r="AC294" s="54">
        <v>2</v>
      </c>
      <c r="AD294" s="69">
        <f>SUM(AE294:AK294)</f>
        <v>0</v>
      </c>
      <c r="AE294" s="66"/>
      <c r="AF294" s="66"/>
      <c r="AG294" s="66"/>
      <c r="AH294" s="66"/>
      <c r="AI294" s="66"/>
      <c r="AJ294" s="66"/>
      <c r="AK294" s="66"/>
      <c r="AL294" s="54">
        <f>IF((AC294-SUM(AE294:AK294))&lt;0,0,AC294-SUM(AE294:AK294))</f>
        <v>2</v>
      </c>
      <c r="AM294" s="69">
        <f>SUM(AN294:AT294)</f>
        <v>0</v>
      </c>
      <c r="AN294" s="60"/>
      <c r="AO294" s="52"/>
      <c r="AP294" s="52"/>
      <c r="AQ294" s="52"/>
      <c r="AR294" s="52"/>
      <c r="AS294" s="52"/>
      <c r="AT294" s="61"/>
      <c r="AU294" s="66">
        <f>MAX(0,$AM294-$AC294-$AW294)</f>
        <v>0</v>
      </c>
      <c r="AV294" s="66"/>
      <c r="AW294" s="66"/>
      <c r="AX294" s="65">
        <v>0</v>
      </c>
      <c r="AY294" s="65">
        <f>IF(AND($AU294&gt;0,ISNUMBER($AX294)),$AU294*$AX294,0)</f>
        <v>0</v>
      </c>
      <c r="AZ294" s="46"/>
      <c r="BA294" s="52"/>
      <c r="BB294" s="52"/>
      <c r="BC294" s="52"/>
      <c r="BD294" s="52"/>
      <c r="BE294" s="52"/>
      <c r="BF294" s="52"/>
    </row>
    <row r="295" spans="1:58" ht="15" customHeight="1">
      <c r="A295" s="46" t="s">
        <v>1803</v>
      </c>
      <c r="B295" s="53" t="s">
        <v>1804</v>
      </c>
      <c r="C295" s="66" t="s">
        <v>101</v>
      </c>
      <c r="D295" s="67">
        <v>2</v>
      </c>
      <c r="E295" s="53" t="s">
        <v>189</v>
      </c>
      <c r="F295" s="50"/>
      <c r="G295" s="50"/>
      <c r="H295" s="51"/>
      <c r="I295" s="50" t="s">
        <v>1805</v>
      </c>
      <c r="J295" s="54" t="s">
        <v>73</v>
      </c>
      <c r="K295" s="53" t="s">
        <v>135</v>
      </c>
      <c r="L295" s="53" t="s">
        <v>1806</v>
      </c>
      <c r="M295" s="53" t="s">
        <v>1807</v>
      </c>
      <c r="N295" s="53"/>
      <c r="O295" s="54"/>
      <c r="P295" s="56" t="s">
        <v>76</v>
      </c>
      <c r="Q295" s="53" t="s">
        <v>691</v>
      </c>
      <c r="R295" s="50" t="s">
        <v>859</v>
      </c>
      <c r="S295" s="50">
        <v>2</v>
      </c>
      <c r="T295" s="50">
        <v>0</v>
      </c>
      <c r="U295" s="56" t="s">
        <v>1808</v>
      </c>
      <c r="V295" s="57"/>
      <c r="W295" s="56"/>
      <c r="X295" s="50"/>
      <c r="Y295" s="50"/>
      <c r="Z295" s="50"/>
      <c r="AA295" s="56"/>
      <c r="AB295" s="57"/>
      <c r="AC295" s="54">
        <v>2</v>
      </c>
      <c r="AD295" s="69">
        <f>SUM(AE295:AK295)</f>
        <v>0</v>
      </c>
      <c r="AE295" s="66"/>
      <c r="AF295" s="66"/>
      <c r="AG295" s="66"/>
      <c r="AH295" s="66"/>
      <c r="AI295" s="66"/>
      <c r="AJ295" s="66"/>
      <c r="AK295" s="66"/>
      <c r="AL295" s="54">
        <f>IF((AC295-SUM(AE295:AK295))&lt;0,0,AC295-SUM(AE295:AK295))</f>
        <v>2</v>
      </c>
      <c r="AM295" s="69">
        <f>SUM(AN295:AT295)</f>
        <v>0</v>
      </c>
      <c r="AN295" s="60"/>
      <c r="AO295" s="52"/>
      <c r="AP295" s="52"/>
      <c r="AQ295" s="52"/>
      <c r="AR295" s="52"/>
      <c r="AS295" s="52"/>
      <c r="AT295" s="61"/>
      <c r="AU295" s="66">
        <f>MAX(0,$AM295-$AC295-$AW295)</f>
        <v>0</v>
      </c>
      <c r="AV295" s="66"/>
      <c r="AW295" s="66"/>
      <c r="AX295" s="65">
        <v>0</v>
      </c>
      <c r="AY295" s="65">
        <f>IF(AND($AU295&gt;0,ISNUMBER($AX295)),$AU295*$AX295,0)</f>
        <v>0</v>
      </c>
      <c r="AZ295" s="46"/>
      <c r="BA295" s="52"/>
      <c r="BB295" s="52"/>
      <c r="BC295" s="52"/>
      <c r="BD295" s="52"/>
      <c r="BE295" s="52"/>
      <c r="BF295" s="52"/>
    </row>
    <row r="296" spans="1:58" ht="15" customHeight="1">
      <c r="A296" s="46" t="s">
        <v>1809</v>
      </c>
      <c r="B296" s="53" t="s">
        <v>1810</v>
      </c>
      <c r="C296" s="66" t="s">
        <v>181</v>
      </c>
      <c r="D296" s="67">
        <v>1</v>
      </c>
      <c r="E296" s="53" t="s">
        <v>71</v>
      </c>
      <c r="F296" s="50"/>
      <c r="G296" s="50"/>
      <c r="H296" s="51"/>
      <c r="I296" s="50" t="s">
        <v>1811</v>
      </c>
      <c r="J296" s="54" t="s">
        <v>73</v>
      </c>
      <c r="K296" s="53" t="s">
        <v>135</v>
      </c>
      <c r="L296" s="53" t="s">
        <v>1812</v>
      </c>
      <c r="M296" s="53" t="s">
        <v>1813</v>
      </c>
      <c r="N296" s="53"/>
      <c r="O296" s="54"/>
      <c r="P296" s="56" t="s">
        <v>76</v>
      </c>
      <c r="Q296" s="53" t="s">
        <v>633</v>
      </c>
      <c r="R296" s="50"/>
      <c r="S296" s="50"/>
      <c r="T296" s="50"/>
      <c r="U296" s="56"/>
      <c r="V296" s="57"/>
      <c r="W296" s="56"/>
      <c r="X296" s="50"/>
      <c r="Y296" s="50"/>
      <c r="Z296" s="50"/>
      <c r="AA296" s="56"/>
      <c r="AB296" s="57"/>
      <c r="AC296" s="54">
        <v>2</v>
      </c>
      <c r="AD296" s="69">
        <f>SUM(AE296:AK296)</f>
        <v>1</v>
      </c>
      <c r="AE296" s="66"/>
      <c r="AF296" s="66"/>
      <c r="AG296" s="66"/>
      <c r="AH296" s="66"/>
      <c r="AI296" s="66"/>
      <c r="AJ296" s="66"/>
      <c r="AK296" s="66">
        <v>1</v>
      </c>
      <c r="AL296" s="54">
        <f>IF((AC296-SUM(AE296:AK296))&lt;0,0,AC296-SUM(AE296:AK296))</f>
        <v>1</v>
      </c>
      <c r="AM296" s="69">
        <f>SUM(AN296:AT296)</f>
        <v>1</v>
      </c>
      <c r="AN296" s="60"/>
      <c r="AO296" s="52"/>
      <c r="AP296" s="52"/>
      <c r="AQ296" s="52"/>
      <c r="AR296" s="52"/>
      <c r="AS296" s="52"/>
      <c r="AT296" s="61">
        <v>1</v>
      </c>
      <c r="AU296" s="66">
        <f>MAX(0,$AM296-$AC296-$AW296)</f>
        <v>0</v>
      </c>
      <c r="AV296" s="66"/>
      <c r="AW296" s="66"/>
      <c r="AX296" s="65">
        <v>0</v>
      </c>
      <c r="AY296" s="65">
        <f>IF(AND($AU296&gt;0,ISNUMBER($AX296)),$AU296*$AX296,0)</f>
        <v>0</v>
      </c>
      <c r="AZ296" s="46"/>
      <c r="BA296" s="52"/>
      <c r="BB296" s="52"/>
      <c r="BC296" s="52"/>
      <c r="BD296" s="52"/>
      <c r="BE296" s="52"/>
      <c r="BF296" s="52"/>
    </row>
    <row r="297" spans="1:58" ht="15" customHeight="1">
      <c r="A297" s="46" t="s">
        <v>1814</v>
      </c>
      <c r="B297" s="53" t="s">
        <v>1815</v>
      </c>
      <c r="C297" s="66" t="s">
        <v>101</v>
      </c>
      <c r="D297" s="67">
        <v>2</v>
      </c>
      <c r="E297" s="53" t="s">
        <v>189</v>
      </c>
      <c r="F297" s="50"/>
      <c r="G297" s="50"/>
      <c r="H297" s="51"/>
      <c r="I297" s="50" t="s">
        <v>1816</v>
      </c>
      <c r="J297" s="54" t="s">
        <v>73</v>
      </c>
      <c r="K297" s="53" t="s">
        <v>135</v>
      </c>
      <c r="L297" s="53" t="s">
        <v>1817</v>
      </c>
      <c r="M297" s="53"/>
      <c r="N297" s="53"/>
      <c r="O297" s="54"/>
      <c r="P297" s="56" t="s">
        <v>76</v>
      </c>
      <c r="Q297" s="53" t="s">
        <v>633</v>
      </c>
      <c r="R297" s="50"/>
      <c r="S297" s="50"/>
      <c r="T297" s="50"/>
      <c r="U297" s="56"/>
      <c r="V297" s="57"/>
      <c r="W297" s="56"/>
      <c r="X297" s="50"/>
      <c r="Y297" s="50"/>
      <c r="Z297" s="50"/>
      <c r="AA297" s="56"/>
      <c r="AB297" s="57"/>
      <c r="AC297" s="54">
        <v>2</v>
      </c>
      <c r="AD297" s="69">
        <f>SUM(AE297:AK297)</f>
        <v>0</v>
      </c>
      <c r="AE297" s="66"/>
      <c r="AF297" s="66"/>
      <c r="AG297" s="66"/>
      <c r="AH297" s="66"/>
      <c r="AI297" s="66"/>
      <c r="AJ297" s="66"/>
      <c r="AK297" s="66"/>
      <c r="AL297" s="54">
        <f>IF((AC297-SUM(AE297:AK297))&lt;0,0,AC297-SUM(AE297:AK297))</f>
        <v>2</v>
      </c>
      <c r="AM297" s="69">
        <f>SUM(AN297:AT297)</f>
        <v>0</v>
      </c>
      <c r="AN297" s="60"/>
      <c r="AO297" s="52"/>
      <c r="AP297" s="52"/>
      <c r="AQ297" s="52"/>
      <c r="AR297" s="52"/>
      <c r="AS297" s="52"/>
      <c r="AT297" s="61"/>
      <c r="AU297" s="66">
        <f>MAX(0,$AM297-$AC297-$AW297)</f>
        <v>0</v>
      </c>
      <c r="AV297" s="66"/>
      <c r="AW297" s="66"/>
      <c r="AX297" s="65">
        <v>0</v>
      </c>
      <c r="AY297" s="65">
        <f>IF(AND($AU297&gt;0,ISNUMBER($AX297)),$AU297*$AX297,0)</f>
        <v>0</v>
      </c>
      <c r="AZ297" s="46"/>
      <c r="BA297" s="52"/>
      <c r="BB297" s="52"/>
      <c r="BC297" s="52"/>
      <c r="BD297" s="52"/>
      <c r="BE297" s="52"/>
      <c r="BF297" s="52"/>
    </row>
    <row r="298" spans="1:58" ht="15" customHeight="1">
      <c r="A298" s="46" t="s">
        <v>1818</v>
      </c>
      <c r="B298" s="53" t="s">
        <v>1819</v>
      </c>
      <c r="C298" s="66" t="s">
        <v>70</v>
      </c>
      <c r="D298" s="67">
        <v>4</v>
      </c>
      <c r="E298" s="53" t="s">
        <v>81</v>
      </c>
      <c r="F298" s="50">
        <v>3</v>
      </c>
      <c r="G298" s="50">
        <v>1</v>
      </c>
      <c r="H298" s="51" t="s">
        <v>1820</v>
      </c>
      <c r="I298" s="50" t="s">
        <v>1821</v>
      </c>
      <c r="J298" s="54" t="s">
        <v>73</v>
      </c>
      <c r="K298" s="53" t="s">
        <v>129</v>
      </c>
      <c r="L298" s="53" t="s">
        <v>1822</v>
      </c>
      <c r="M298" s="53" t="s">
        <v>1823</v>
      </c>
      <c r="N298" s="53"/>
      <c r="O298" s="54"/>
      <c r="P298" s="56" t="s">
        <v>76</v>
      </c>
      <c r="Q298" s="53" t="s">
        <v>691</v>
      </c>
      <c r="R298" s="50" t="s">
        <v>1824</v>
      </c>
      <c r="S298" s="50">
        <v>2</v>
      </c>
      <c r="T298" s="50">
        <v>0</v>
      </c>
      <c r="U298" s="56" t="s">
        <v>1825</v>
      </c>
      <c r="V298" s="57"/>
      <c r="W298" s="56"/>
      <c r="X298" s="50"/>
      <c r="Y298" s="50"/>
      <c r="Z298" s="50"/>
      <c r="AA298" s="56"/>
      <c r="AB298" s="57"/>
      <c r="AC298" s="54">
        <v>2</v>
      </c>
      <c r="AD298" s="69">
        <f>SUM(AE298:AK298)</f>
        <v>0</v>
      </c>
      <c r="AE298" s="66"/>
      <c r="AF298" s="66"/>
      <c r="AG298" s="66"/>
      <c r="AH298" s="66"/>
      <c r="AI298" s="66"/>
      <c r="AJ298" s="66"/>
      <c r="AK298" s="66"/>
      <c r="AL298" s="54">
        <f>IF((AC298-SUM(AE298:AK298))&lt;0,0,AC298-SUM(AE298:AK298))</f>
        <v>2</v>
      </c>
      <c r="AM298" s="69">
        <f>SUM(AN298:AT298)</f>
        <v>0</v>
      </c>
      <c r="AN298" s="60"/>
      <c r="AO298" s="52"/>
      <c r="AP298" s="52"/>
      <c r="AQ298" s="52"/>
      <c r="AR298" s="52"/>
      <c r="AS298" s="52"/>
      <c r="AT298" s="61"/>
      <c r="AU298" s="66">
        <f>MAX(0,$AM298-$AC298-$AW298)</f>
        <v>0</v>
      </c>
      <c r="AV298" s="66"/>
      <c r="AW298" s="66"/>
      <c r="AX298" s="65">
        <v>0</v>
      </c>
      <c r="AY298" s="65">
        <f>IF(AND($AU298&gt;0,ISNUMBER($AX298)),$AU298*$AX298,0)</f>
        <v>0</v>
      </c>
      <c r="AZ298" s="46"/>
      <c r="BA298" s="52"/>
      <c r="BB298" s="52"/>
      <c r="BC298" s="52"/>
      <c r="BD298" s="52"/>
      <c r="BE298" s="52"/>
      <c r="BF298" s="52"/>
    </row>
    <row r="299" spans="1:58" ht="15" customHeight="1">
      <c r="A299" s="46" t="s">
        <v>1826</v>
      </c>
      <c r="B299" s="53" t="s">
        <v>1827</v>
      </c>
      <c r="C299" s="66" t="s">
        <v>80</v>
      </c>
      <c r="D299" s="67">
        <v>2</v>
      </c>
      <c r="E299" s="53" t="s">
        <v>81</v>
      </c>
      <c r="F299" s="50">
        <v>2</v>
      </c>
      <c r="G299" s="50">
        <v>1</v>
      </c>
      <c r="H299" s="51" t="s">
        <v>205</v>
      </c>
      <c r="I299" s="50" t="s">
        <v>1828</v>
      </c>
      <c r="J299" s="54" t="s">
        <v>73</v>
      </c>
      <c r="K299" s="53" t="s">
        <v>676</v>
      </c>
      <c r="L299" s="53" t="s">
        <v>1829</v>
      </c>
      <c r="M299" s="53" t="s">
        <v>1830</v>
      </c>
      <c r="N299" s="53"/>
      <c r="O299" s="54"/>
      <c r="P299" s="56" t="s">
        <v>76</v>
      </c>
      <c r="Q299" s="53" t="s">
        <v>691</v>
      </c>
      <c r="R299" s="50" t="s">
        <v>1831</v>
      </c>
      <c r="S299" s="50">
        <v>2</v>
      </c>
      <c r="T299" s="50">
        <v>0</v>
      </c>
      <c r="U299" s="56" t="s">
        <v>1832</v>
      </c>
      <c r="V299" s="57"/>
      <c r="W299" s="56"/>
      <c r="X299" s="50"/>
      <c r="Y299" s="50"/>
      <c r="Z299" s="50"/>
      <c r="AA299" s="56"/>
      <c r="AB299" s="57"/>
      <c r="AC299" s="54">
        <v>2</v>
      </c>
      <c r="AD299" s="69">
        <f>SUM(AE299:AK299)</f>
        <v>0</v>
      </c>
      <c r="AE299" s="66"/>
      <c r="AF299" s="66"/>
      <c r="AG299" s="66"/>
      <c r="AH299" s="66"/>
      <c r="AI299" s="66"/>
      <c r="AJ299" s="66"/>
      <c r="AK299" s="66"/>
      <c r="AL299" s="54">
        <f>IF((AC299-SUM(AE299:AK299))&lt;0,0,AC299-SUM(AE299:AK299))</f>
        <v>2</v>
      </c>
      <c r="AM299" s="69">
        <f>SUM(AN299:AT299)</f>
        <v>0</v>
      </c>
      <c r="AN299" s="60"/>
      <c r="AO299" s="52"/>
      <c r="AP299" s="52"/>
      <c r="AQ299" s="52"/>
      <c r="AR299" s="52"/>
      <c r="AS299" s="52"/>
      <c r="AT299" s="61"/>
      <c r="AU299" s="66">
        <f>MAX(0,$AM299-$AC299-$AW299)</f>
        <v>0</v>
      </c>
      <c r="AV299" s="66"/>
      <c r="AW299" s="66"/>
      <c r="AX299" s="65">
        <v>0</v>
      </c>
      <c r="AY299" s="65">
        <f>IF(AND($AU299&gt;0,ISNUMBER($AX299)),$AU299*$AX299,0)</f>
        <v>0</v>
      </c>
      <c r="AZ299" s="46"/>
      <c r="BA299" s="52"/>
      <c r="BB299" s="52"/>
      <c r="BC299" s="52"/>
      <c r="BD299" s="52"/>
      <c r="BE299" s="52"/>
      <c r="BF299" s="52"/>
    </row>
    <row r="300" spans="1:58" ht="15" customHeight="1">
      <c r="A300" s="46" t="s">
        <v>1833</v>
      </c>
      <c r="B300" s="53" t="s">
        <v>1834</v>
      </c>
      <c r="C300" s="66" t="s">
        <v>118</v>
      </c>
      <c r="D300" s="67">
        <v>2</v>
      </c>
      <c r="E300" s="53" t="s">
        <v>81</v>
      </c>
      <c r="F300" s="50">
        <v>3</v>
      </c>
      <c r="G300" s="50">
        <v>1</v>
      </c>
      <c r="H300" s="51" t="s">
        <v>1835</v>
      </c>
      <c r="I300" s="50" t="s">
        <v>1836</v>
      </c>
      <c r="J300" s="54" t="s">
        <v>73</v>
      </c>
      <c r="K300" s="53" t="s">
        <v>676</v>
      </c>
      <c r="L300" s="53" t="s">
        <v>1837</v>
      </c>
      <c r="M300" s="53" t="s">
        <v>1838</v>
      </c>
      <c r="N300" s="53"/>
      <c r="O300" s="54"/>
      <c r="P300" s="56" t="s">
        <v>76</v>
      </c>
      <c r="Q300" s="53" t="s">
        <v>691</v>
      </c>
      <c r="R300" s="50" t="s">
        <v>1839</v>
      </c>
      <c r="S300" s="50">
        <v>2</v>
      </c>
      <c r="T300" s="50">
        <v>0</v>
      </c>
      <c r="U300" s="56" t="s">
        <v>1840</v>
      </c>
      <c r="V300" s="57"/>
      <c r="W300" s="56"/>
      <c r="X300" s="50"/>
      <c r="Y300" s="50"/>
      <c r="Z300" s="50"/>
      <c r="AA300" s="56"/>
      <c r="AB300" s="57"/>
      <c r="AC300" s="54">
        <v>2</v>
      </c>
      <c r="AD300" s="69">
        <f>SUM(AE300:AK300)</f>
        <v>0</v>
      </c>
      <c r="AE300" s="66"/>
      <c r="AF300" s="66"/>
      <c r="AG300" s="66"/>
      <c r="AH300" s="66"/>
      <c r="AI300" s="66"/>
      <c r="AJ300" s="66"/>
      <c r="AK300" s="66"/>
      <c r="AL300" s="54">
        <f>IF((AC300-SUM(AE300:AK300))&lt;0,0,AC300-SUM(AE300:AK300))</f>
        <v>2</v>
      </c>
      <c r="AM300" s="69">
        <f>SUM(AN300:AT300)</f>
        <v>0</v>
      </c>
      <c r="AN300" s="60"/>
      <c r="AO300" s="52"/>
      <c r="AP300" s="52"/>
      <c r="AQ300" s="52"/>
      <c r="AR300" s="52"/>
      <c r="AS300" s="52"/>
      <c r="AT300" s="61"/>
      <c r="AU300" s="66">
        <f>MAX(0,$AM300-$AC300-$AW300)</f>
        <v>0</v>
      </c>
      <c r="AV300" s="66"/>
      <c r="AW300" s="66"/>
      <c r="AX300" s="65">
        <v>0</v>
      </c>
      <c r="AY300" s="65">
        <f>IF(AND($AU300&gt;0,ISNUMBER($AX300)),$AU300*$AX300,0)</f>
        <v>0</v>
      </c>
      <c r="AZ300" s="46"/>
      <c r="BA300" s="52"/>
      <c r="BB300" s="52"/>
      <c r="BC300" s="52"/>
      <c r="BD300" s="52"/>
      <c r="BE300" s="52"/>
      <c r="BF300" s="52"/>
    </row>
    <row r="301" spans="1:58" ht="15" customHeight="1">
      <c r="A301" s="46" t="s">
        <v>1841</v>
      </c>
      <c r="B301" s="53" t="s">
        <v>1842</v>
      </c>
      <c r="C301" s="66" t="s">
        <v>118</v>
      </c>
      <c r="D301" s="67">
        <v>5</v>
      </c>
      <c r="E301" s="53" t="s">
        <v>81</v>
      </c>
      <c r="F301" s="50" t="s">
        <v>126</v>
      </c>
      <c r="G301" s="50">
        <v>5</v>
      </c>
      <c r="H301" s="51" t="s">
        <v>1232</v>
      </c>
      <c r="I301" s="50" t="s">
        <v>1843</v>
      </c>
      <c r="J301" s="54" t="s">
        <v>73</v>
      </c>
      <c r="K301" s="53" t="s">
        <v>676</v>
      </c>
      <c r="L301" s="53" t="s">
        <v>1844</v>
      </c>
      <c r="M301" s="53" t="s">
        <v>1680</v>
      </c>
      <c r="N301" s="53"/>
      <c r="O301" s="54"/>
      <c r="P301" s="56" t="s">
        <v>76</v>
      </c>
      <c r="Q301" s="53" t="s">
        <v>633</v>
      </c>
      <c r="R301" s="50"/>
      <c r="S301" s="50"/>
      <c r="T301" s="50"/>
      <c r="U301" s="56"/>
      <c r="V301" s="57"/>
      <c r="W301" s="56"/>
      <c r="X301" s="50"/>
      <c r="Y301" s="50"/>
      <c r="Z301" s="50"/>
      <c r="AA301" s="56"/>
      <c r="AB301" s="57"/>
      <c r="AC301" s="54">
        <v>2</v>
      </c>
      <c r="AD301" s="69">
        <f>SUM(AE301:AK301)</f>
        <v>0</v>
      </c>
      <c r="AE301" s="66"/>
      <c r="AF301" s="66"/>
      <c r="AG301" s="66"/>
      <c r="AH301" s="66"/>
      <c r="AI301" s="66"/>
      <c r="AJ301" s="66"/>
      <c r="AK301" s="66"/>
      <c r="AL301" s="54">
        <f>IF((AC301-SUM(AE301:AK301))&lt;0,0,AC301-SUM(AE301:AK301))</f>
        <v>2</v>
      </c>
      <c r="AM301" s="69">
        <f>SUM(AN301:AT301)</f>
        <v>0</v>
      </c>
      <c r="AN301" s="60"/>
      <c r="AO301" s="52"/>
      <c r="AP301" s="52"/>
      <c r="AQ301" s="52"/>
      <c r="AR301" s="52"/>
      <c r="AS301" s="52"/>
      <c r="AT301" s="61"/>
      <c r="AU301" s="66">
        <f>MAX(0,$AM301-$AC301-$AW301)</f>
        <v>0</v>
      </c>
      <c r="AV301" s="66"/>
      <c r="AW301" s="66"/>
      <c r="AX301" s="65">
        <v>0</v>
      </c>
      <c r="AY301" s="65">
        <f>IF(AND($AU301&gt;0,ISNUMBER($AX301)),$AU301*$AX301,0)</f>
        <v>0</v>
      </c>
      <c r="AZ301" s="46"/>
      <c r="BA301" s="52"/>
      <c r="BB301" s="52"/>
      <c r="BC301" s="52"/>
      <c r="BD301" s="52"/>
      <c r="BE301" s="52"/>
      <c r="BF301" s="52"/>
    </row>
    <row r="302" spans="1:58" ht="15" customHeight="1">
      <c r="A302" s="46" t="s">
        <v>1859</v>
      </c>
      <c r="B302" s="53" t="s">
        <v>1860</v>
      </c>
      <c r="C302" s="66" t="s">
        <v>109</v>
      </c>
      <c r="D302" s="67">
        <v>4</v>
      </c>
      <c r="E302" s="53" t="s">
        <v>110</v>
      </c>
      <c r="F302" s="50">
        <v>4</v>
      </c>
      <c r="G302" s="50">
        <v>4</v>
      </c>
      <c r="H302" s="51" t="s">
        <v>1861</v>
      </c>
      <c r="I302" s="50" t="s">
        <v>1862</v>
      </c>
      <c r="J302" s="54" t="s">
        <v>73</v>
      </c>
      <c r="K302" s="58" t="s">
        <v>1163</v>
      </c>
      <c r="L302" s="58" t="s">
        <v>1863</v>
      </c>
      <c r="M302" s="58" t="s">
        <v>1864</v>
      </c>
      <c r="N302" s="58" t="s">
        <v>1503</v>
      </c>
      <c r="O302" s="56">
        <v>4</v>
      </c>
      <c r="P302" s="56" t="s">
        <v>114</v>
      </c>
      <c r="Q302" s="58" t="s">
        <v>1865</v>
      </c>
      <c r="R302" s="50"/>
      <c r="S302" s="50"/>
      <c r="T302" s="50">
        <v>1</v>
      </c>
      <c r="U302" s="50"/>
      <c r="V302" s="57">
        <v>27.97</v>
      </c>
      <c r="W302" s="68"/>
      <c r="X302" s="50"/>
      <c r="Y302" s="50"/>
      <c r="Z302" s="50"/>
      <c r="AA302" s="50"/>
      <c r="AB302" s="57"/>
      <c r="AC302" s="54">
        <v>1</v>
      </c>
      <c r="AD302" s="69">
        <f>SUM(AE302:AK302)</f>
        <v>1</v>
      </c>
      <c r="AE302" s="66"/>
      <c r="AF302" s="66"/>
      <c r="AG302" s="66">
        <v>1</v>
      </c>
      <c r="AH302" s="66"/>
      <c r="AI302" s="66"/>
      <c r="AJ302" s="66"/>
      <c r="AK302" s="66"/>
      <c r="AL302" s="54">
        <f>IF((AC302-SUM(AE302:AK302))&lt;0,0,AC302-SUM(AE302:AK302))</f>
        <v>0</v>
      </c>
      <c r="AM302" s="69">
        <f>SUM(AN302:AT302)</f>
        <v>1</v>
      </c>
      <c r="AN302" s="60"/>
      <c r="AO302" s="52"/>
      <c r="AP302" s="52">
        <v>1</v>
      </c>
      <c r="AQ302" s="52"/>
      <c r="AR302" s="52"/>
      <c r="AS302" s="52"/>
      <c r="AT302" s="61"/>
      <c r="AU302" s="66">
        <f>MAX(0,$AM302-$AC302-$AW302)</f>
        <v>0</v>
      </c>
      <c r="AV302" s="66"/>
      <c r="AW302" s="66"/>
      <c r="AX302" s="65">
        <v>0</v>
      </c>
      <c r="AY302" s="65">
        <f>IF(AND($AU302&gt;0,ISNUMBER($AX302)),$AU302*$AX302,0)</f>
        <v>0</v>
      </c>
      <c r="AZ302" s="46"/>
      <c r="BA302" s="52"/>
      <c r="BB302" s="52"/>
      <c r="BC302" s="52"/>
      <c r="BD302" s="52"/>
      <c r="BE302" s="52"/>
      <c r="BF302" s="52"/>
    </row>
    <row r="303" spans="1:58" ht="15" customHeight="1">
      <c r="A303" s="46" t="s">
        <v>1866</v>
      </c>
      <c r="B303" s="53" t="s">
        <v>1867</v>
      </c>
      <c r="C303" s="66" t="s">
        <v>80</v>
      </c>
      <c r="D303" s="67">
        <v>3</v>
      </c>
      <c r="E303" s="53" t="s">
        <v>233</v>
      </c>
      <c r="F303" s="50"/>
      <c r="G303" s="50"/>
      <c r="H303" s="51"/>
      <c r="I303" s="50" t="s">
        <v>1868</v>
      </c>
      <c r="J303" s="54" t="s">
        <v>196</v>
      </c>
      <c r="K303" s="58" t="s">
        <v>344</v>
      </c>
      <c r="L303" s="58" t="s">
        <v>1869</v>
      </c>
      <c r="M303" s="58"/>
      <c r="N303" s="58"/>
      <c r="O303" s="54"/>
      <c r="P303" s="56" t="s">
        <v>114</v>
      </c>
      <c r="Q303" s="58" t="s">
        <v>1870</v>
      </c>
      <c r="R303" s="50"/>
      <c r="S303" s="50"/>
      <c r="T303" s="50"/>
      <c r="U303" s="50"/>
      <c r="V303" s="57">
        <v>23.83</v>
      </c>
      <c r="W303" s="68"/>
      <c r="X303" s="50"/>
      <c r="Y303" s="50"/>
      <c r="Z303" s="50"/>
      <c r="AA303" s="50"/>
      <c r="AB303" s="57"/>
      <c r="AC303" s="54">
        <v>1</v>
      </c>
      <c r="AD303" s="69">
        <f>SUM(AE303:AK303)</f>
        <v>1</v>
      </c>
      <c r="AE303" s="66"/>
      <c r="AF303" s="66"/>
      <c r="AG303" s="66">
        <v>1</v>
      </c>
      <c r="AH303" s="66"/>
      <c r="AI303" s="66"/>
      <c r="AJ303" s="66"/>
      <c r="AK303" s="66"/>
      <c r="AL303" s="54">
        <f>IF((AC303-SUM(AE303:AK303))&lt;0,0,AC303-SUM(AE303:AK303))</f>
        <v>0</v>
      </c>
      <c r="AM303" s="69">
        <f>SUM(AN303:AT303)</f>
        <v>1</v>
      </c>
      <c r="AN303" s="60"/>
      <c r="AO303" s="52"/>
      <c r="AP303" s="52">
        <v>1</v>
      </c>
      <c r="AQ303" s="52"/>
      <c r="AR303" s="52"/>
      <c r="AS303" s="52"/>
      <c r="AT303" s="61"/>
      <c r="AU303" s="66">
        <f>MAX(0,$AM303-$AC303-$AW303)</f>
        <v>0</v>
      </c>
      <c r="AV303" s="66"/>
      <c r="AW303" s="66"/>
      <c r="AX303" s="65">
        <v>0</v>
      </c>
      <c r="AY303" s="65">
        <f>IF(AND($AU303&gt;0,ISNUMBER($AX303)),$AU303*$AX303,0)</f>
        <v>0</v>
      </c>
      <c r="AZ303" s="46"/>
      <c r="BA303" s="52"/>
      <c r="BB303" s="52"/>
      <c r="BC303" s="52"/>
      <c r="BD303" s="52"/>
      <c r="BE303" s="52"/>
      <c r="BF303" s="52"/>
    </row>
    <row r="304" spans="1:58" ht="15" customHeight="1">
      <c r="A304" s="46" t="s">
        <v>1871</v>
      </c>
      <c r="B304" s="53" t="s">
        <v>1872</v>
      </c>
      <c r="C304" s="66" t="s">
        <v>101</v>
      </c>
      <c r="D304" s="67">
        <v>2</v>
      </c>
      <c r="E304" s="53" t="s">
        <v>384</v>
      </c>
      <c r="F304" s="50"/>
      <c r="G304" s="50"/>
      <c r="H304" s="51" t="s">
        <v>1873</v>
      </c>
      <c r="I304" s="50" t="s">
        <v>1874</v>
      </c>
      <c r="J304" s="54" t="s">
        <v>196</v>
      </c>
      <c r="K304" s="58" t="s">
        <v>661</v>
      </c>
      <c r="L304" s="58" t="s">
        <v>1875</v>
      </c>
      <c r="M304" s="58" t="s">
        <v>1876</v>
      </c>
      <c r="N304" s="58" t="s">
        <v>1877</v>
      </c>
      <c r="O304" s="54"/>
      <c r="P304" s="56" t="s">
        <v>86</v>
      </c>
      <c r="Q304" s="58" t="s">
        <v>1878</v>
      </c>
      <c r="R304" s="50"/>
      <c r="S304" s="50"/>
      <c r="T304" s="50"/>
      <c r="U304" s="50"/>
      <c r="V304" s="57">
        <v>10.91</v>
      </c>
      <c r="W304" s="68"/>
      <c r="X304" s="50"/>
      <c r="Y304" s="50"/>
      <c r="Z304" s="50"/>
      <c r="AA304" s="50"/>
      <c r="AB304" s="57"/>
      <c r="AC304" s="54">
        <v>1</v>
      </c>
      <c r="AD304" s="69">
        <f>SUM(AE304:AK304)</f>
        <v>1</v>
      </c>
      <c r="AE304" s="66"/>
      <c r="AF304" s="66"/>
      <c r="AG304" s="66">
        <v>1</v>
      </c>
      <c r="AH304" s="66"/>
      <c r="AI304" s="66"/>
      <c r="AJ304" s="66"/>
      <c r="AK304" s="66"/>
      <c r="AL304" s="54">
        <f>IF((AC304-SUM(AE304:AK304))&lt;0,0,AC304-SUM(AE304:AK304))</f>
        <v>0</v>
      </c>
      <c r="AM304" s="69">
        <f>SUM(AN304:AT304)</f>
        <v>1</v>
      </c>
      <c r="AN304" s="60"/>
      <c r="AO304" s="52"/>
      <c r="AP304" s="52">
        <v>1</v>
      </c>
      <c r="AQ304" s="52"/>
      <c r="AR304" s="52"/>
      <c r="AS304" s="52"/>
      <c r="AT304" s="61"/>
      <c r="AU304" s="66">
        <f>MAX(0,$AM304-$AC304-$AW304)</f>
        <v>0</v>
      </c>
      <c r="AV304" s="66"/>
      <c r="AW304" s="66"/>
      <c r="AX304" s="65">
        <v>0</v>
      </c>
      <c r="AY304" s="65">
        <f>IF(AND($AU304&gt;0,ISNUMBER($AX304)),$AU304*$AX304,0)</f>
        <v>0</v>
      </c>
      <c r="AZ304" s="46"/>
      <c r="BA304" s="52"/>
      <c r="BB304" s="52"/>
      <c r="BC304" s="52"/>
      <c r="BD304" s="52"/>
      <c r="BE304" s="52"/>
      <c r="BF304" s="52"/>
    </row>
    <row r="305" spans="1:58" ht="15" customHeight="1">
      <c r="A305" s="46" t="s">
        <v>1879</v>
      </c>
      <c r="B305" s="47" t="s">
        <v>1880</v>
      </c>
      <c r="C305" s="48" t="s">
        <v>101</v>
      </c>
      <c r="D305" s="49">
        <v>5</v>
      </c>
      <c r="E305" s="47" t="s">
        <v>71</v>
      </c>
      <c r="F305" s="50"/>
      <c r="G305" s="50"/>
      <c r="H305" s="51" t="s">
        <v>724</v>
      </c>
      <c r="I305" s="50" t="s">
        <v>1881</v>
      </c>
      <c r="J305" s="52" t="s">
        <v>73</v>
      </c>
      <c r="K305" s="47" t="s">
        <v>661</v>
      </c>
      <c r="L305" s="53" t="s">
        <v>1882</v>
      </c>
      <c r="M305" s="53" t="s">
        <v>1883</v>
      </c>
      <c r="N305" s="53"/>
      <c r="O305" s="54"/>
      <c r="P305" s="55" t="s">
        <v>114</v>
      </c>
      <c r="Q305" s="47" t="s">
        <v>645</v>
      </c>
      <c r="R305" s="75" t="s">
        <v>1884</v>
      </c>
      <c r="S305" s="75">
        <v>1</v>
      </c>
      <c r="T305" s="75">
        <v>0</v>
      </c>
      <c r="U305" s="56" t="s">
        <v>1840</v>
      </c>
      <c r="V305" s="57">
        <v>8.82</v>
      </c>
      <c r="W305" s="68"/>
      <c r="X305" s="46"/>
      <c r="Y305" s="46"/>
      <c r="Z305" s="46"/>
      <c r="AA305" s="56"/>
      <c r="AB305" s="57"/>
      <c r="AC305" s="54">
        <v>1</v>
      </c>
      <c r="AD305" s="69">
        <f>SUM(AE305:AK305)</f>
        <v>1</v>
      </c>
      <c r="AE305" s="66"/>
      <c r="AF305" s="66"/>
      <c r="AG305" s="66">
        <v>1</v>
      </c>
      <c r="AH305" s="66"/>
      <c r="AI305" s="66"/>
      <c r="AJ305" s="66"/>
      <c r="AK305" s="66"/>
      <c r="AL305" s="54">
        <f>IF((AC305-SUM(AE305:AK305))&lt;0,0,AC305-SUM(AE305:AK305))</f>
        <v>0</v>
      </c>
      <c r="AM305" s="69">
        <f>SUM(AN305:AT305)</f>
        <v>1</v>
      </c>
      <c r="AN305" s="60"/>
      <c r="AO305" s="52"/>
      <c r="AP305" s="52">
        <v>1</v>
      </c>
      <c r="AQ305" s="52"/>
      <c r="AR305" s="52"/>
      <c r="AS305" s="52"/>
      <c r="AT305" s="61"/>
      <c r="AU305" s="66">
        <f>MAX(0,$AM305-$AC305-$AW305)</f>
        <v>0</v>
      </c>
      <c r="AV305" s="48"/>
      <c r="AW305" s="48"/>
      <c r="AX305" s="65">
        <v>0</v>
      </c>
      <c r="AY305" s="65">
        <f>IF(AND($AU305&gt;0,ISNUMBER($AX305)),$AU305*$AX305,0)</f>
        <v>0</v>
      </c>
      <c r="AZ305" s="46"/>
      <c r="BA305" s="52"/>
      <c r="BB305" s="52"/>
      <c r="BC305" s="52"/>
      <c r="BD305" s="52"/>
      <c r="BE305" s="52"/>
      <c r="BF305" s="52"/>
    </row>
    <row r="306" spans="1:58" ht="15" customHeight="1">
      <c r="A306" s="46" t="s">
        <v>1885</v>
      </c>
      <c r="B306" s="53" t="s">
        <v>1886</v>
      </c>
      <c r="C306" s="66" t="s">
        <v>101</v>
      </c>
      <c r="D306" s="67">
        <v>3</v>
      </c>
      <c r="E306" s="53" t="s">
        <v>384</v>
      </c>
      <c r="F306" s="50"/>
      <c r="G306" s="50"/>
      <c r="H306" s="51"/>
      <c r="I306" s="50" t="s">
        <v>1887</v>
      </c>
      <c r="J306" s="54" t="s">
        <v>196</v>
      </c>
      <c r="K306" s="58" t="s">
        <v>661</v>
      </c>
      <c r="L306" s="58" t="s">
        <v>1888</v>
      </c>
      <c r="M306" s="58"/>
      <c r="N306" s="58"/>
      <c r="O306" s="54"/>
      <c r="P306" s="56" t="s">
        <v>86</v>
      </c>
      <c r="Q306" s="58" t="s">
        <v>1889</v>
      </c>
      <c r="R306" s="50"/>
      <c r="S306" s="50"/>
      <c r="T306" s="50"/>
      <c r="U306" s="50"/>
      <c r="V306" s="57">
        <v>8.09</v>
      </c>
      <c r="W306" s="68"/>
      <c r="X306" s="50"/>
      <c r="Y306" s="50"/>
      <c r="Z306" s="50"/>
      <c r="AA306" s="50"/>
      <c r="AB306" s="57"/>
      <c r="AC306" s="54">
        <v>1</v>
      </c>
      <c r="AD306" s="69">
        <f>SUM(AE306:AK306)</f>
        <v>1</v>
      </c>
      <c r="AE306" s="66"/>
      <c r="AF306" s="66"/>
      <c r="AG306" s="66">
        <v>1</v>
      </c>
      <c r="AH306" s="66"/>
      <c r="AI306" s="66"/>
      <c r="AJ306" s="66"/>
      <c r="AK306" s="66"/>
      <c r="AL306" s="54">
        <f>IF((AC306-SUM(AE306:AK306))&lt;0,0,AC306-SUM(AE306:AK306))</f>
        <v>0</v>
      </c>
      <c r="AM306" s="69">
        <f>SUM(AN306:AT306)</f>
        <v>1</v>
      </c>
      <c r="AN306" s="60"/>
      <c r="AO306" s="52"/>
      <c r="AP306" s="52">
        <v>1</v>
      </c>
      <c r="AQ306" s="52"/>
      <c r="AR306" s="52"/>
      <c r="AS306" s="52"/>
      <c r="AT306" s="61"/>
      <c r="AU306" s="66">
        <f>MAX(0,$AM306-$AC306-$AW306)</f>
        <v>0</v>
      </c>
      <c r="AV306" s="66"/>
      <c r="AW306" s="66"/>
      <c r="AX306" s="65">
        <v>0</v>
      </c>
      <c r="AY306" s="65">
        <f>IF(AND($AU306&gt;0,ISNUMBER($AX306)),$AU306*$AX306,0)</f>
        <v>0</v>
      </c>
      <c r="AZ306" s="46"/>
      <c r="BA306" s="52"/>
      <c r="BB306" s="52"/>
      <c r="BC306" s="52"/>
      <c r="BD306" s="52"/>
      <c r="BE306" s="52"/>
      <c r="BF306" s="52"/>
    </row>
    <row r="307" spans="1:58" ht="15" customHeight="1">
      <c r="A307" s="46" t="s">
        <v>1890</v>
      </c>
      <c r="B307" s="53" t="s">
        <v>1891</v>
      </c>
      <c r="C307" s="66" t="s">
        <v>232</v>
      </c>
      <c r="D307" s="67">
        <v>3</v>
      </c>
      <c r="E307" s="53" t="s">
        <v>984</v>
      </c>
      <c r="F307" s="50"/>
      <c r="G307" s="50"/>
      <c r="H307" s="51" t="s">
        <v>519</v>
      </c>
      <c r="I307" s="50" t="s">
        <v>1892</v>
      </c>
      <c r="J307" s="54" t="s">
        <v>73</v>
      </c>
      <c r="K307" s="58" t="s">
        <v>104</v>
      </c>
      <c r="L307" s="58" t="s">
        <v>1893</v>
      </c>
      <c r="M307" s="58" t="s">
        <v>986</v>
      </c>
      <c r="N307" s="58" t="s">
        <v>1894</v>
      </c>
      <c r="O307" s="54"/>
      <c r="P307" s="56" t="s">
        <v>86</v>
      </c>
      <c r="Q307" s="58" t="s">
        <v>299</v>
      </c>
      <c r="R307" s="50"/>
      <c r="S307" s="50"/>
      <c r="T307" s="50"/>
      <c r="U307" s="50"/>
      <c r="V307" s="57">
        <v>5.73</v>
      </c>
      <c r="W307" s="68"/>
      <c r="X307" s="50"/>
      <c r="Y307" s="50"/>
      <c r="Z307" s="50"/>
      <c r="AA307" s="50"/>
      <c r="AB307" s="57"/>
      <c r="AC307" s="54">
        <v>1</v>
      </c>
      <c r="AD307" s="69">
        <f>SUM(AE307:AK307)</f>
        <v>1</v>
      </c>
      <c r="AE307" s="66"/>
      <c r="AF307" s="66"/>
      <c r="AG307" s="66">
        <v>1</v>
      </c>
      <c r="AH307" s="66"/>
      <c r="AI307" s="66"/>
      <c r="AJ307" s="66"/>
      <c r="AK307" s="66"/>
      <c r="AL307" s="54">
        <f>IF((AC307-SUM(AE307:AK307))&lt;0,0,AC307-SUM(AE307:AK307))</f>
        <v>0</v>
      </c>
      <c r="AM307" s="69">
        <f>SUM(AN307:AT307)</f>
        <v>1</v>
      </c>
      <c r="AN307" s="60"/>
      <c r="AO307" s="52"/>
      <c r="AP307" s="52">
        <v>1</v>
      </c>
      <c r="AQ307" s="52"/>
      <c r="AR307" s="52"/>
      <c r="AS307" s="52"/>
      <c r="AT307" s="61"/>
      <c r="AU307" s="66">
        <f>MAX(0,$AM307-$AC307-$AW307)</f>
        <v>0</v>
      </c>
      <c r="AV307" s="66"/>
      <c r="AW307" s="66"/>
      <c r="AX307" s="65">
        <v>0</v>
      </c>
      <c r="AY307" s="65">
        <f>IF(AND($AU307&gt;0,ISNUMBER($AX307)),$AU307*$AX307,0)</f>
        <v>0</v>
      </c>
      <c r="AZ307" s="46"/>
      <c r="BA307" s="52"/>
      <c r="BB307" s="52"/>
      <c r="BC307" s="52"/>
      <c r="BD307" s="52"/>
      <c r="BE307" s="52"/>
      <c r="BF307" s="52"/>
    </row>
    <row r="308" spans="1:58" ht="15" customHeight="1">
      <c r="A308" s="46" t="s">
        <v>1895</v>
      </c>
      <c r="B308" s="53" t="s">
        <v>1896</v>
      </c>
      <c r="C308" s="66" t="s">
        <v>80</v>
      </c>
      <c r="D308" s="67">
        <v>5</v>
      </c>
      <c r="E308" s="53" t="s">
        <v>384</v>
      </c>
      <c r="F308" s="50"/>
      <c r="G308" s="50"/>
      <c r="H308" s="51"/>
      <c r="I308" s="50" t="s">
        <v>1897</v>
      </c>
      <c r="J308" s="54" t="s">
        <v>73</v>
      </c>
      <c r="K308" s="58" t="s">
        <v>344</v>
      </c>
      <c r="L308" s="58" t="s">
        <v>1898</v>
      </c>
      <c r="M308" s="58"/>
      <c r="N308" s="58"/>
      <c r="O308" s="54"/>
      <c r="P308" s="56" t="s">
        <v>86</v>
      </c>
      <c r="Q308" s="58" t="s">
        <v>616</v>
      </c>
      <c r="R308" s="50"/>
      <c r="S308" s="50"/>
      <c r="T308" s="50"/>
      <c r="U308" s="50"/>
      <c r="V308" s="57">
        <v>5.71</v>
      </c>
      <c r="W308" s="68"/>
      <c r="X308" s="50"/>
      <c r="Y308" s="50"/>
      <c r="Z308" s="50"/>
      <c r="AA308" s="50"/>
      <c r="AB308" s="57"/>
      <c r="AC308" s="54">
        <v>1</v>
      </c>
      <c r="AD308" s="69">
        <f>SUM(AE308:AK308)</f>
        <v>1</v>
      </c>
      <c r="AE308" s="66"/>
      <c r="AF308" s="66"/>
      <c r="AG308" s="66">
        <v>1</v>
      </c>
      <c r="AH308" s="66"/>
      <c r="AI308" s="66"/>
      <c r="AJ308" s="66"/>
      <c r="AK308" s="66"/>
      <c r="AL308" s="54">
        <f>IF((AC308-SUM(AE308:AK308))&lt;0,0,AC308-SUM(AE308:AK308))</f>
        <v>0</v>
      </c>
      <c r="AM308" s="69">
        <f>SUM(AN308:AT308)</f>
        <v>1</v>
      </c>
      <c r="AN308" s="60"/>
      <c r="AO308" s="52"/>
      <c r="AP308" s="52">
        <v>1</v>
      </c>
      <c r="AQ308" s="52"/>
      <c r="AR308" s="52"/>
      <c r="AS308" s="52"/>
      <c r="AT308" s="61"/>
      <c r="AU308" s="66">
        <f>MAX(0,$AM308-$AC308-$AW308)</f>
        <v>0</v>
      </c>
      <c r="AV308" s="66"/>
      <c r="AW308" s="66"/>
      <c r="AX308" s="65">
        <v>0</v>
      </c>
      <c r="AY308" s="65">
        <f>IF(AND($AU308&gt;0,ISNUMBER($AX308)),$AU308*$AX308,0)</f>
        <v>0</v>
      </c>
      <c r="AZ308" s="46"/>
      <c r="BA308" s="52"/>
      <c r="BB308" s="52"/>
      <c r="BC308" s="52"/>
      <c r="BD308" s="52"/>
      <c r="BE308" s="52"/>
      <c r="BF308" s="52"/>
    </row>
    <row r="309" spans="1:58" ht="15" customHeight="1">
      <c r="A309" s="46" t="s">
        <v>1899</v>
      </c>
      <c r="B309" s="53" t="s">
        <v>1900</v>
      </c>
      <c r="C309" s="66" t="s">
        <v>80</v>
      </c>
      <c r="D309" s="67">
        <v>3</v>
      </c>
      <c r="E309" s="53" t="s">
        <v>81</v>
      </c>
      <c r="F309" s="50">
        <v>2</v>
      </c>
      <c r="G309" s="50">
        <v>2</v>
      </c>
      <c r="H309" s="51" t="s">
        <v>205</v>
      </c>
      <c r="I309" s="50" t="s">
        <v>1901</v>
      </c>
      <c r="J309" s="54" t="s">
        <v>73</v>
      </c>
      <c r="K309" s="58" t="s">
        <v>344</v>
      </c>
      <c r="L309" s="58" t="s">
        <v>1902</v>
      </c>
      <c r="M309" s="58"/>
      <c r="N309" s="58"/>
      <c r="O309" s="54"/>
      <c r="P309" s="56" t="s">
        <v>185</v>
      </c>
      <c r="Q309" s="58" t="s">
        <v>462</v>
      </c>
      <c r="R309" s="50"/>
      <c r="S309" s="50"/>
      <c r="T309" s="50"/>
      <c r="U309" s="50"/>
      <c r="V309" s="57">
        <v>3.3</v>
      </c>
      <c r="W309" s="68"/>
      <c r="X309" s="50"/>
      <c r="Y309" s="50"/>
      <c r="Z309" s="50"/>
      <c r="AA309" s="50"/>
      <c r="AB309" s="57"/>
      <c r="AC309" s="54">
        <v>1</v>
      </c>
      <c r="AD309" s="69">
        <f>SUM(AE309:AK309)</f>
        <v>1</v>
      </c>
      <c r="AE309" s="66"/>
      <c r="AF309" s="66"/>
      <c r="AG309" s="66">
        <v>1</v>
      </c>
      <c r="AH309" s="66"/>
      <c r="AI309" s="66"/>
      <c r="AJ309" s="66"/>
      <c r="AK309" s="66"/>
      <c r="AL309" s="54">
        <f>IF((AC309-SUM(AE309:AK309))&lt;0,0,AC309-SUM(AE309:AK309))</f>
        <v>0</v>
      </c>
      <c r="AM309" s="69">
        <f>SUM(AN309:AT309)</f>
        <v>1</v>
      </c>
      <c r="AN309" s="60"/>
      <c r="AO309" s="52"/>
      <c r="AP309" s="52">
        <v>1</v>
      </c>
      <c r="AQ309" s="52"/>
      <c r="AR309" s="52"/>
      <c r="AS309" s="52"/>
      <c r="AT309" s="61"/>
      <c r="AU309" s="66">
        <f>MAX(0,$AM309-$AC309-$AW309)</f>
        <v>0</v>
      </c>
      <c r="AV309" s="66"/>
      <c r="AW309" s="66"/>
      <c r="AX309" s="65">
        <v>0</v>
      </c>
      <c r="AY309" s="65">
        <f>IF(AND($AU309&gt;0,ISNUMBER($AX309)),$AU309*$AX309,0)</f>
        <v>0</v>
      </c>
      <c r="AZ309" s="46"/>
      <c r="BA309" s="52"/>
      <c r="BB309" s="52"/>
      <c r="BC309" s="52"/>
      <c r="BD309" s="52"/>
      <c r="BE309" s="52"/>
      <c r="BF309" s="52"/>
    </row>
    <row r="310" spans="1:58" ht="15" customHeight="1">
      <c r="A310" s="46" t="s">
        <v>1903</v>
      </c>
      <c r="B310" s="53" t="s">
        <v>1904</v>
      </c>
      <c r="C310" s="66" t="s">
        <v>109</v>
      </c>
      <c r="D310" s="67">
        <v>3</v>
      </c>
      <c r="E310" s="53" t="s">
        <v>110</v>
      </c>
      <c r="F310" s="50">
        <v>3</v>
      </c>
      <c r="G310" s="50">
        <v>3</v>
      </c>
      <c r="H310" s="51" t="s">
        <v>1771</v>
      </c>
      <c r="I310" s="50" t="s">
        <v>1905</v>
      </c>
      <c r="J310" s="54" t="s">
        <v>73</v>
      </c>
      <c r="K310" s="58" t="s">
        <v>344</v>
      </c>
      <c r="L310" s="58" t="s">
        <v>1906</v>
      </c>
      <c r="M310" s="58" t="s">
        <v>1907</v>
      </c>
      <c r="N310" s="58"/>
      <c r="O310" s="56">
        <v>58</v>
      </c>
      <c r="P310" s="56" t="s">
        <v>114</v>
      </c>
      <c r="Q310" s="58" t="s">
        <v>1908</v>
      </c>
      <c r="R310" s="50"/>
      <c r="S310" s="50"/>
      <c r="T310" s="50"/>
      <c r="U310" s="50"/>
      <c r="V310" s="57">
        <v>2.64</v>
      </c>
      <c r="W310" s="68"/>
      <c r="X310" s="50"/>
      <c r="Y310" s="50"/>
      <c r="Z310" s="50"/>
      <c r="AA310" s="50"/>
      <c r="AB310" s="57"/>
      <c r="AC310" s="54">
        <v>1</v>
      </c>
      <c r="AD310" s="69">
        <f>SUM(AE310:AK310)</f>
        <v>1</v>
      </c>
      <c r="AE310" s="66"/>
      <c r="AF310" s="66"/>
      <c r="AG310" s="66">
        <v>1</v>
      </c>
      <c r="AH310" s="66"/>
      <c r="AI310" s="66"/>
      <c r="AJ310" s="66"/>
      <c r="AK310" s="66"/>
      <c r="AL310" s="54">
        <f>IF((AC310-SUM(AE310:AK310))&lt;0,0,AC310-SUM(AE310:AK310))</f>
        <v>0</v>
      </c>
      <c r="AM310" s="69">
        <f>SUM(AN310:AT310)</f>
        <v>1</v>
      </c>
      <c r="AN310" s="60"/>
      <c r="AO310" s="52"/>
      <c r="AP310" s="52">
        <v>1</v>
      </c>
      <c r="AQ310" s="52"/>
      <c r="AR310" s="52"/>
      <c r="AS310" s="52"/>
      <c r="AT310" s="61"/>
      <c r="AU310" s="66">
        <f>MAX(0,$AM310-$AC310-$AW310)</f>
        <v>0</v>
      </c>
      <c r="AV310" s="66"/>
      <c r="AW310" s="66"/>
      <c r="AX310" s="65">
        <v>0</v>
      </c>
      <c r="AY310" s="65">
        <f>IF(AND($AU310&gt;0,ISNUMBER($AX310)),$AU310*$AX310,0)</f>
        <v>0</v>
      </c>
      <c r="AZ310" s="46"/>
      <c r="BA310" s="52"/>
      <c r="BB310" s="52"/>
      <c r="BC310" s="52"/>
      <c r="BD310" s="52"/>
      <c r="BE310" s="52"/>
      <c r="BF310" s="52"/>
    </row>
    <row r="311" spans="1:58" ht="15" customHeight="1">
      <c r="A311" s="46" t="s">
        <v>1909</v>
      </c>
      <c r="B311" s="53" t="s">
        <v>1910</v>
      </c>
      <c r="C311" s="66" t="s">
        <v>311</v>
      </c>
      <c r="D311" s="67">
        <v>0</v>
      </c>
      <c r="E311" s="53" t="s">
        <v>312</v>
      </c>
      <c r="F311" s="50"/>
      <c r="G311" s="50"/>
      <c r="H311" s="51"/>
      <c r="I311" s="50" t="s">
        <v>1911</v>
      </c>
      <c r="J311" s="54" t="s">
        <v>73</v>
      </c>
      <c r="K311" s="58" t="s">
        <v>344</v>
      </c>
      <c r="L311" s="58" t="s">
        <v>740</v>
      </c>
      <c r="M311" s="58" t="s">
        <v>1912</v>
      </c>
      <c r="N311" s="58"/>
      <c r="O311" s="54"/>
      <c r="P311" s="56" t="s">
        <v>86</v>
      </c>
      <c r="Q311" s="58" t="s">
        <v>462</v>
      </c>
      <c r="R311" s="50"/>
      <c r="S311" s="50"/>
      <c r="T311" s="50"/>
      <c r="U311" s="50"/>
      <c r="V311" s="57">
        <v>2.39</v>
      </c>
      <c r="W311" s="68"/>
      <c r="X311" s="50"/>
      <c r="Y311" s="50"/>
      <c r="Z311" s="50"/>
      <c r="AA311" s="50"/>
      <c r="AB311" s="57"/>
      <c r="AC311" s="54">
        <v>1</v>
      </c>
      <c r="AD311" s="69">
        <f>SUM(AE311:AK311)</f>
        <v>1</v>
      </c>
      <c r="AE311" s="66"/>
      <c r="AF311" s="66"/>
      <c r="AG311" s="66">
        <v>1</v>
      </c>
      <c r="AH311" s="66"/>
      <c r="AI311" s="66"/>
      <c r="AJ311" s="66"/>
      <c r="AK311" s="66"/>
      <c r="AL311" s="54">
        <f>IF((AC311-SUM(AE311:AK311))&lt;0,0,AC311-SUM(AE311:AK311))</f>
        <v>0</v>
      </c>
      <c r="AM311" s="69">
        <f>SUM(AN311:AT311)</f>
        <v>1</v>
      </c>
      <c r="AN311" s="60"/>
      <c r="AO311" s="52"/>
      <c r="AP311" s="52">
        <v>1</v>
      </c>
      <c r="AQ311" s="52"/>
      <c r="AR311" s="52"/>
      <c r="AS311" s="52"/>
      <c r="AT311" s="61"/>
      <c r="AU311" s="66">
        <f>MAX(0,$AM311-$AC311-$AW311)</f>
        <v>0</v>
      </c>
      <c r="AV311" s="66"/>
      <c r="AW311" s="66"/>
      <c r="AX311" s="65">
        <v>0</v>
      </c>
      <c r="AY311" s="65">
        <f>IF(AND($AU311&gt;0,ISNUMBER($AX311)),$AU311*$AX311,0)</f>
        <v>0</v>
      </c>
      <c r="AZ311" s="46"/>
      <c r="BA311" s="52"/>
      <c r="BB311" s="52"/>
      <c r="BC311" s="52"/>
      <c r="BD311" s="52"/>
      <c r="BE311" s="52"/>
      <c r="BF311" s="52"/>
    </row>
    <row r="312" spans="1:58" ht="15" customHeight="1">
      <c r="A312" s="46" t="s">
        <v>1913</v>
      </c>
      <c r="B312" s="47" t="s">
        <v>1914</v>
      </c>
      <c r="C312" s="48" t="s">
        <v>80</v>
      </c>
      <c r="D312" s="49">
        <v>2</v>
      </c>
      <c r="E312" s="47" t="s">
        <v>71</v>
      </c>
      <c r="F312" s="50"/>
      <c r="G312" s="50"/>
      <c r="H312" s="51"/>
      <c r="I312" s="50" t="s">
        <v>1915</v>
      </c>
      <c r="J312" s="52" t="s">
        <v>73</v>
      </c>
      <c r="K312" s="47" t="s">
        <v>74</v>
      </c>
      <c r="L312" s="53" t="s">
        <v>1916</v>
      </c>
      <c r="M312" s="53" t="s">
        <v>1917</v>
      </c>
      <c r="N312" s="53"/>
      <c r="O312" s="54"/>
      <c r="P312" s="55" t="s">
        <v>185</v>
      </c>
      <c r="Q312" s="47" t="s">
        <v>645</v>
      </c>
      <c r="R312" s="75" t="s">
        <v>1482</v>
      </c>
      <c r="S312" s="75">
        <v>1</v>
      </c>
      <c r="T312" s="75">
        <v>0</v>
      </c>
      <c r="U312" s="56" t="s">
        <v>1918</v>
      </c>
      <c r="V312" s="57">
        <v>1.89</v>
      </c>
      <c r="W312" s="68"/>
      <c r="X312" s="46"/>
      <c r="Y312" s="46"/>
      <c r="Z312" s="46"/>
      <c r="AA312" s="56"/>
      <c r="AB312" s="57"/>
      <c r="AC312" s="54">
        <v>1</v>
      </c>
      <c r="AD312" s="69">
        <f>SUM(AE312:AK312)</f>
        <v>1</v>
      </c>
      <c r="AE312" s="66"/>
      <c r="AF312" s="66"/>
      <c r="AG312" s="66">
        <v>1</v>
      </c>
      <c r="AH312" s="66"/>
      <c r="AI312" s="66"/>
      <c r="AJ312" s="66"/>
      <c r="AK312" s="66"/>
      <c r="AL312" s="54">
        <f>IF((AC312-SUM(AE312:AK312))&lt;0,0,AC312-SUM(AE312:AK312))</f>
        <v>0</v>
      </c>
      <c r="AM312" s="69">
        <f>SUM(AN312:AT312)</f>
        <v>1</v>
      </c>
      <c r="AN312" s="60"/>
      <c r="AO312" s="52"/>
      <c r="AP312" s="52">
        <v>1</v>
      </c>
      <c r="AQ312" s="52"/>
      <c r="AR312" s="52"/>
      <c r="AS312" s="52"/>
      <c r="AT312" s="61"/>
      <c r="AU312" s="66">
        <f>MAX(0,$AM312-$AC312-$AW312)</f>
        <v>0</v>
      </c>
      <c r="AV312" s="48"/>
      <c r="AW312" s="48"/>
      <c r="AX312" s="65">
        <v>0</v>
      </c>
      <c r="AY312" s="65">
        <f>IF(AND($AU312&gt;0,ISNUMBER($AX312)),$AU312*$AX312,0)</f>
        <v>0</v>
      </c>
      <c r="AZ312" s="46"/>
      <c r="BA312" s="52"/>
      <c r="BB312" s="52"/>
      <c r="BC312" s="52"/>
      <c r="BD312" s="52"/>
      <c r="BE312" s="52"/>
      <c r="BF312" s="52"/>
    </row>
    <row r="313" spans="1:58" ht="15" customHeight="1">
      <c r="A313" s="46" t="s">
        <v>1919</v>
      </c>
      <c r="B313" s="53" t="s">
        <v>1920</v>
      </c>
      <c r="C313" s="66" t="s">
        <v>109</v>
      </c>
      <c r="D313" s="67">
        <v>3</v>
      </c>
      <c r="E313" s="53" t="s">
        <v>189</v>
      </c>
      <c r="F313" s="50"/>
      <c r="G313" s="50"/>
      <c r="H313" s="51"/>
      <c r="I313" s="50" t="s">
        <v>1921</v>
      </c>
      <c r="J313" s="54" t="s">
        <v>196</v>
      </c>
      <c r="K313" s="58" t="s">
        <v>135</v>
      </c>
      <c r="L313" s="58" t="s">
        <v>1922</v>
      </c>
      <c r="M313" s="58" t="s">
        <v>1923</v>
      </c>
      <c r="N313" s="58"/>
      <c r="O313" s="54"/>
      <c r="P313" s="56" t="s">
        <v>86</v>
      </c>
      <c r="Q313" s="58" t="s">
        <v>1924</v>
      </c>
      <c r="R313" s="50"/>
      <c r="S313" s="50"/>
      <c r="T313" s="50"/>
      <c r="U313" s="50"/>
      <c r="V313" s="57">
        <v>1.54</v>
      </c>
      <c r="W313" s="68"/>
      <c r="X313" s="50"/>
      <c r="Y313" s="50"/>
      <c r="Z313" s="50"/>
      <c r="AA313" s="50"/>
      <c r="AB313" s="57"/>
      <c r="AC313" s="54">
        <v>1</v>
      </c>
      <c r="AD313" s="69">
        <f>SUM(AE313:AK313)</f>
        <v>1</v>
      </c>
      <c r="AE313" s="66"/>
      <c r="AF313" s="66"/>
      <c r="AG313" s="66">
        <v>1</v>
      </c>
      <c r="AH313" s="66"/>
      <c r="AI313" s="66"/>
      <c r="AJ313" s="66"/>
      <c r="AK313" s="66"/>
      <c r="AL313" s="54">
        <f>IF((AC313-SUM(AE313:AK313))&lt;0,0,AC313-SUM(AE313:AK313))</f>
        <v>0</v>
      </c>
      <c r="AM313" s="69">
        <f>SUM(AN313:AT313)</f>
        <v>1</v>
      </c>
      <c r="AN313" s="60"/>
      <c r="AO313" s="52"/>
      <c r="AP313" s="52">
        <v>1</v>
      </c>
      <c r="AQ313" s="52"/>
      <c r="AR313" s="52"/>
      <c r="AS313" s="52"/>
      <c r="AT313" s="61"/>
      <c r="AU313" s="66">
        <f>MAX(0,$AM313-$AC313-$AW313)</f>
        <v>0</v>
      </c>
      <c r="AV313" s="66"/>
      <c r="AW313" s="66"/>
      <c r="AX313" s="65">
        <v>0</v>
      </c>
      <c r="AY313" s="65">
        <f>IF(AND($AU313&gt;0,ISNUMBER($AX313)),$AU313*$AX313,0)</f>
        <v>0</v>
      </c>
      <c r="AZ313" s="46"/>
      <c r="BA313" s="52"/>
      <c r="BB313" s="52"/>
      <c r="BC313" s="52"/>
      <c r="BD313" s="52"/>
      <c r="BE313" s="52"/>
      <c r="BF313" s="52"/>
    </row>
    <row r="314" spans="1:58" ht="15" customHeight="1">
      <c r="A314" s="46" t="s">
        <v>1925</v>
      </c>
      <c r="B314" s="53" t="s">
        <v>1926</v>
      </c>
      <c r="C314" s="66" t="s">
        <v>80</v>
      </c>
      <c r="D314" s="67">
        <v>4</v>
      </c>
      <c r="E314" s="53" t="s">
        <v>110</v>
      </c>
      <c r="F314" s="50">
        <v>3</v>
      </c>
      <c r="G314" s="50">
        <v>5</v>
      </c>
      <c r="H314" s="51" t="s">
        <v>532</v>
      </c>
      <c r="I314" s="50" t="s">
        <v>1927</v>
      </c>
      <c r="J314" s="54" t="s">
        <v>73</v>
      </c>
      <c r="K314" s="58" t="s">
        <v>344</v>
      </c>
      <c r="L314" s="58" t="s">
        <v>1928</v>
      </c>
      <c r="M314" s="58" t="s">
        <v>1929</v>
      </c>
      <c r="N314" s="58" t="s">
        <v>995</v>
      </c>
      <c r="O314" s="56">
        <v>992</v>
      </c>
      <c r="P314" s="56" t="s">
        <v>114</v>
      </c>
      <c r="Q314" s="58" t="s">
        <v>1870</v>
      </c>
      <c r="R314" s="50"/>
      <c r="S314" s="50"/>
      <c r="T314" s="50"/>
      <c r="U314" s="50"/>
      <c r="V314" s="57">
        <v>1.23</v>
      </c>
      <c r="W314" s="68"/>
      <c r="X314" s="50"/>
      <c r="Y314" s="50"/>
      <c r="Z314" s="50"/>
      <c r="AA314" s="50"/>
      <c r="AB314" s="57"/>
      <c r="AC314" s="54">
        <v>1</v>
      </c>
      <c r="AD314" s="69">
        <f>SUM(AE314:AK314)</f>
        <v>1</v>
      </c>
      <c r="AE314" s="66"/>
      <c r="AF314" s="66"/>
      <c r="AG314" s="66">
        <v>1</v>
      </c>
      <c r="AH314" s="66"/>
      <c r="AI314" s="66"/>
      <c r="AJ314" s="66"/>
      <c r="AK314" s="66"/>
      <c r="AL314" s="54">
        <f>IF((AC314-SUM(AE314:AK314))&lt;0,0,AC314-SUM(AE314:AK314))</f>
        <v>0</v>
      </c>
      <c r="AM314" s="69">
        <f>SUM(AN314:AT314)</f>
        <v>1</v>
      </c>
      <c r="AN314" s="60"/>
      <c r="AO314" s="52"/>
      <c r="AP314" s="52">
        <v>1</v>
      </c>
      <c r="AQ314" s="52"/>
      <c r="AR314" s="52"/>
      <c r="AS314" s="52"/>
      <c r="AT314" s="61"/>
      <c r="AU314" s="66">
        <f>MAX(0,$AM314-$AC314-$AW314)</f>
        <v>0</v>
      </c>
      <c r="AV314" s="66"/>
      <c r="AW314" s="66"/>
      <c r="AX314" s="65">
        <v>0</v>
      </c>
      <c r="AY314" s="65">
        <f>IF(AND($AU314&gt;0,ISNUMBER($AX314)),$AU314*$AX314,0)</f>
        <v>0</v>
      </c>
      <c r="AZ314" s="46"/>
      <c r="BA314" s="52"/>
      <c r="BB314" s="52"/>
      <c r="BC314" s="52"/>
      <c r="BD314" s="52"/>
      <c r="BE314" s="52"/>
      <c r="BF314" s="52"/>
    </row>
    <row r="315" spans="1:58" ht="15" customHeight="1">
      <c r="A315" s="46" t="s">
        <v>1930</v>
      </c>
      <c r="B315" s="53" t="s">
        <v>1931</v>
      </c>
      <c r="C315" s="66" t="s">
        <v>311</v>
      </c>
      <c r="D315" s="67">
        <v>0</v>
      </c>
      <c r="E315" s="53" t="s">
        <v>312</v>
      </c>
      <c r="F315" s="50"/>
      <c r="G315" s="50"/>
      <c r="H315" s="51"/>
      <c r="I315" s="50" t="s">
        <v>1932</v>
      </c>
      <c r="J315" s="54" t="s">
        <v>73</v>
      </c>
      <c r="K315" s="58" t="s">
        <v>312</v>
      </c>
      <c r="L315" s="58" t="s">
        <v>1933</v>
      </c>
      <c r="M315" s="58" t="s">
        <v>1934</v>
      </c>
      <c r="N315" s="58"/>
      <c r="O315" s="54"/>
      <c r="P315" s="56" t="s">
        <v>86</v>
      </c>
      <c r="Q315" s="58" t="s">
        <v>1016</v>
      </c>
      <c r="R315" s="50"/>
      <c r="S315" s="50"/>
      <c r="T315" s="50"/>
      <c r="U315" s="50"/>
      <c r="V315" s="57">
        <v>1.2</v>
      </c>
      <c r="W315" s="68"/>
      <c r="X315" s="50"/>
      <c r="Y315" s="50"/>
      <c r="Z315" s="50"/>
      <c r="AA315" s="50"/>
      <c r="AB315" s="57"/>
      <c r="AC315" s="54">
        <v>1</v>
      </c>
      <c r="AD315" s="69">
        <f>SUM(AE315:AK315)</f>
        <v>1</v>
      </c>
      <c r="AE315" s="66"/>
      <c r="AF315" s="66"/>
      <c r="AG315" s="66">
        <v>1</v>
      </c>
      <c r="AH315" s="66"/>
      <c r="AI315" s="66"/>
      <c r="AJ315" s="66"/>
      <c r="AK315" s="66"/>
      <c r="AL315" s="54">
        <f>IF((AC315-SUM(AE315:AK315))&lt;0,0,AC315-SUM(AE315:AK315))</f>
        <v>0</v>
      </c>
      <c r="AM315" s="69">
        <f>SUM(AN315:AT315)</f>
        <v>1</v>
      </c>
      <c r="AN315" s="60"/>
      <c r="AO315" s="52"/>
      <c r="AP315" s="52">
        <v>1</v>
      </c>
      <c r="AQ315" s="52"/>
      <c r="AR315" s="52"/>
      <c r="AS315" s="52"/>
      <c r="AT315" s="61"/>
      <c r="AU315" s="66">
        <f>MAX(0,$AM315-$AC315-$AW315)</f>
        <v>0</v>
      </c>
      <c r="AV315" s="66"/>
      <c r="AW315" s="66"/>
      <c r="AX315" s="65">
        <v>0</v>
      </c>
      <c r="AY315" s="65">
        <f>IF(AND($AU315&gt;0,ISNUMBER($AX315)),$AU315*$AX315,0)</f>
        <v>0</v>
      </c>
      <c r="AZ315" s="46"/>
      <c r="BA315" s="52"/>
      <c r="BB315" s="52"/>
      <c r="BC315" s="52"/>
      <c r="BD315" s="52"/>
      <c r="BE315" s="52"/>
      <c r="BF315" s="52"/>
    </row>
    <row r="316" spans="1:58" ht="15" customHeight="1">
      <c r="A316" s="46" t="s">
        <v>1935</v>
      </c>
      <c r="B316" s="53" t="s">
        <v>1936</v>
      </c>
      <c r="C316" s="66" t="s">
        <v>232</v>
      </c>
      <c r="D316" s="67">
        <v>2</v>
      </c>
      <c r="E316" s="53" t="s">
        <v>233</v>
      </c>
      <c r="F316" s="50"/>
      <c r="G316" s="50"/>
      <c r="H316" s="51"/>
      <c r="I316" s="50" t="s">
        <v>1937</v>
      </c>
      <c r="J316" s="54" t="s">
        <v>73</v>
      </c>
      <c r="K316" s="58" t="s">
        <v>344</v>
      </c>
      <c r="L316" s="58" t="s">
        <v>1938</v>
      </c>
      <c r="M316" s="58"/>
      <c r="N316" s="58"/>
      <c r="O316" s="54"/>
      <c r="P316" s="56" t="s">
        <v>185</v>
      </c>
      <c r="Q316" s="58" t="s">
        <v>616</v>
      </c>
      <c r="R316" s="50"/>
      <c r="S316" s="50"/>
      <c r="T316" s="50"/>
      <c r="U316" s="50"/>
      <c r="V316" s="57">
        <v>1.1000000000000001</v>
      </c>
      <c r="W316" s="68"/>
      <c r="X316" s="50"/>
      <c r="Y316" s="50"/>
      <c r="Z316" s="50"/>
      <c r="AA316" s="50"/>
      <c r="AB316" s="57"/>
      <c r="AC316" s="54">
        <v>1</v>
      </c>
      <c r="AD316" s="69">
        <f>SUM(AE316:AK316)</f>
        <v>1</v>
      </c>
      <c r="AE316" s="66"/>
      <c r="AF316" s="66"/>
      <c r="AG316" s="66">
        <v>1</v>
      </c>
      <c r="AH316" s="66"/>
      <c r="AI316" s="66"/>
      <c r="AJ316" s="66"/>
      <c r="AK316" s="66"/>
      <c r="AL316" s="54">
        <f>IF((AC316-SUM(AE316:AK316))&lt;0,0,AC316-SUM(AE316:AK316))</f>
        <v>0</v>
      </c>
      <c r="AM316" s="69">
        <f>SUM(AN316:AT316)</f>
        <v>1</v>
      </c>
      <c r="AN316" s="60"/>
      <c r="AO316" s="52"/>
      <c r="AP316" s="52">
        <v>1</v>
      </c>
      <c r="AQ316" s="52"/>
      <c r="AR316" s="52"/>
      <c r="AS316" s="52"/>
      <c r="AT316" s="61"/>
      <c r="AU316" s="66">
        <f>MAX(0,$AM316-$AC316-$AW316)</f>
        <v>0</v>
      </c>
      <c r="AV316" s="66"/>
      <c r="AW316" s="66"/>
      <c r="AX316" s="65">
        <v>0</v>
      </c>
      <c r="AY316" s="65">
        <f>IF(AND($AU316&gt;0,ISNUMBER($AX316)),$AU316*$AX316,0)</f>
        <v>0</v>
      </c>
      <c r="AZ316" s="46"/>
      <c r="BA316" s="52"/>
      <c r="BB316" s="52"/>
      <c r="BC316" s="52"/>
      <c r="BD316" s="52"/>
      <c r="BE316" s="52"/>
      <c r="BF316" s="52"/>
    </row>
    <row r="317" spans="1:58" ht="15" customHeight="1">
      <c r="A317" s="46" t="s">
        <v>1939</v>
      </c>
      <c r="B317" s="53" t="s">
        <v>1940</v>
      </c>
      <c r="C317" s="66" t="s">
        <v>232</v>
      </c>
      <c r="D317" s="67">
        <v>3</v>
      </c>
      <c r="E317" s="53" t="s">
        <v>233</v>
      </c>
      <c r="F317" s="50"/>
      <c r="G317" s="50"/>
      <c r="H317" s="51"/>
      <c r="I317" s="50" t="s">
        <v>1941</v>
      </c>
      <c r="J317" s="54" t="s">
        <v>196</v>
      </c>
      <c r="K317" s="58" t="s">
        <v>235</v>
      </c>
      <c r="L317" s="58" t="s">
        <v>1942</v>
      </c>
      <c r="M317" s="58" t="s">
        <v>1943</v>
      </c>
      <c r="N317" s="58"/>
      <c r="O317" s="54"/>
      <c r="P317" s="56" t="s">
        <v>86</v>
      </c>
      <c r="Q317" s="58" t="s">
        <v>833</v>
      </c>
      <c r="R317" s="50"/>
      <c r="S317" s="50"/>
      <c r="T317" s="50"/>
      <c r="U317" s="50"/>
      <c r="V317" s="57">
        <v>0.87</v>
      </c>
      <c r="W317" s="68"/>
      <c r="X317" s="50"/>
      <c r="Y317" s="50"/>
      <c r="Z317" s="50"/>
      <c r="AA317" s="50"/>
      <c r="AB317" s="57"/>
      <c r="AC317" s="54">
        <v>1</v>
      </c>
      <c r="AD317" s="69">
        <f>SUM(AE317:AK317)</f>
        <v>1</v>
      </c>
      <c r="AE317" s="66"/>
      <c r="AF317" s="66"/>
      <c r="AG317" s="66">
        <v>1</v>
      </c>
      <c r="AH317" s="66"/>
      <c r="AI317" s="66"/>
      <c r="AJ317" s="66"/>
      <c r="AK317" s="66"/>
      <c r="AL317" s="54">
        <f>IF((AC317-SUM(AE317:AK317))&lt;0,0,AC317-SUM(AE317:AK317))</f>
        <v>0</v>
      </c>
      <c r="AM317" s="69">
        <f>SUM(AN317:AT317)</f>
        <v>1</v>
      </c>
      <c r="AN317" s="60"/>
      <c r="AO317" s="52"/>
      <c r="AP317" s="52">
        <v>1</v>
      </c>
      <c r="AQ317" s="52"/>
      <c r="AR317" s="52"/>
      <c r="AS317" s="52"/>
      <c r="AT317" s="61"/>
      <c r="AU317" s="66">
        <f>MAX(0,$AM317-$AC317-$AW317)</f>
        <v>0</v>
      </c>
      <c r="AV317" s="66"/>
      <c r="AW317" s="66"/>
      <c r="AX317" s="65">
        <v>0</v>
      </c>
      <c r="AY317" s="65">
        <f>IF(AND($AU317&gt;0,ISNUMBER($AX317)),$AU317*$AX317,0)</f>
        <v>0</v>
      </c>
      <c r="AZ317" s="46"/>
      <c r="BA317" s="52"/>
      <c r="BB317" s="52"/>
      <c r="BC317" s="52"/>
      <c r="BD317" s="52"/>
      <c r="BE317" s="52"/>
      <c r="BF317" s="52"/>
    </row>
    <row r="318" spans="1:58" ht="15" customHeight="1">
      <c r="A318" s="46" t="s">
        <v>1944</v>
      </c>
      <c r="B318" s="53" t="s">
        <v>1945</v>
      </c>
      <c r="C318" s="66" t="s">
        <v>232</v>
      </c>
      <c r="D318" s="67">
        <v>3</v>
      </c>
      <c r="E318" s="53" t="s">
        <v>233</v>
      </c>
      <c r="F318" s="50"/>
      <c r="G318" s="50"/>
      <c r="H318" s="51"/>
      <c r="I318" s="50" t="s">
        <v>1946</v>
      </c>
      <c r="J318" s="54" t="s">
        <v>73</v>
      </c>
      <c r="K318" s="58" t="s">
        <v>235</v>
      </c>
      <c r="L318" s="58" t="s">
        <v>1448</v>
      </c>
      <c r="M318" s="58" t="s">
        <v>1947</v>
      </c>
      <c r="N318" s="58" t="s">
        <v>1948</v>
      </c>
      <c r="O318" s="54"/>
      <c r="P318" s="56" t="s">
        <v>86</v>
      </c>
      <c r="Q318" s="58" t="s">
        <v>1949</v>
      </c>
      <c r="R318" s="50"/>
      <c r="S318" s="50"/>
      <c r="T318" s="50"/>
      <c r="U318" s="50"/>
      <c r="V318" s="57">
        <v>0.66</v>
      </c>
      <c r="W318" s="68"/>
      <c r="X318" s="50"/>
      <c r="Y318" s="50"/>
      <c r="Z318" s="50"/>
      <c r="AA318" s="50"/>
      <c r="AB318" s="57"/>
      <c r="AC318" s="54">
        <v>1</v>
      </c>
      <c r="AD318" s="69">
        <f>SUM(AE318:AK318)</f>
        <v>1</v>
      </c>
      <c r="AE318" s="66"/>
      <c r="AF318" s="66"/>
      <c r="AG318" s="66">
        <v>1</v>
      </c>
      <c r="AH318" s="66"/>
      <c r="AI318" s="66"/>
      <c r="AJ318" s="66"/>
      <c r="AK318" s="66"/>
      <c r="AL318" s="54">
        <f>IF((AC318-SUM(AE318:AK318))&lt;0,0,AC318-SUM(AE318:AK318))</f>
        <v>0</v>
      </c>
      <c r="AM318" s="69">
        <f>SUM(AN318:AT318)</f>
        <v>0</v>
      </c>
      <c r="AN318" s="60"/>
      <c r="AO318" s="52"/>
      <c r="AP318" s="52"/>
      <c r="AQ318" s="52"/>
      <c r="AR318" s="52"/>
      <c r="AS318" s="52"/>
      <c r="AT318" s="61"/>
      <c r="AU318" s="66">
        <f>MAX(0,$AM318-$AC318-$AW318)</f>
        <v>0</v>
      </c>
      <c r="AV318" s="66"/>
      <c r="AW318" s="66"/>
      <c r="AX318" s="65">
        <v>0</v>
      </c>
      <c r="AY318" s="65">
        <f>IF(AND($AU318&gt;0,ISNUMBER($AX318)),$AU318*$AX318,0)</f>
        <v>0</v>
      </c>
      <c r="AZ318" s="46"/>
      <c r="BA318" s="52"/>
      <c r="BB318" s="52" t="s">
        <v>230</v>
      </c>
      <c r="BC318" s="52"/>
      <c r="BD318" s="52"/>
      <c r="BE318" s="52"/>
      <c r="BF318" s="52"/>
    </row>
    <row r="319" spans="1:58" ht="15" customHeight="1">
      <c r="A319" s="46" t="s">
        <v>1950</v>
      </c>
      <c r="B319" s="53" t="s">
        <v>1951</v>
      </c>
      <c r="C319" s="66" t="s">
        <v>181</v>
      </c>
      <c r="D319" s="67">
        <v>2</v>
      </c>
      <c r="E319" s="53" t="s">
        <v>189</v>
      </c>
      <c r="F319" s="50"/>
      <c r="G319" s="50"/>
      <c r="H319" s="51"/>
      <c r="I319" s="50" t="s">
        <v>1952</v>
      </c>
      <c r="J319" s="54" t="s">
        <v>73</v>
      </c>
      <c r="K319" s="58" t="s">
        <v>135</v>
      </c>
      <c r="L319" s="58" t="s">
        <v>1953</v>
      </c>
      <c r="M319" s="58"/>
      <c r="N319" s="58"/>
      <c r="O319" s="54"/>
      <c r="P319" s="56" t="s">
        <v>185</v>
      </c>
      <c r="Q319" s="58" t="s">
        <v>536</v>
      </c>
      <c r="R319" s="50"/>
      <c r="S319" s="50"/>
      <c r="T319" s="50"/>
      <c r="U319" s="50"/>
      <c r="V319" s="57">
        <v>0.62</v>
      </c>
      <c r="W319" s="68"/>
      <c r="X319" s="50"/>
      <c r="Y319" s="50"/>
      <c r="Z319" s="50"/>
      <c r="AA319" s="50"/>
      <c r="AB319" s="57"/>
      <c r="AC319" s="54">
        <v>1</v>
      </c>
      <c r="AD319" s="69">
        <f>SUM(AE319:AK319)</f>
        <v>1</v>
      </c>
      <c r="AE319" s="66"/>
      <c r="AF319" s="66"/>
      <c r="AG319" s="66">
        <v>1</v>
      </c>
      <c r="AH319" s="66"/>
      <c r="AI319" s="66"/>
      <c r="AJ319" s="66"/>
      <c r="AK319" s="66"/>
      <c r="AL319" s="54">
        <f>IF((AC319-SUM(AE319:AK319))&lt;0,0,AC319-SUM(AE319:AK319))</f>
        <v>0</v>
      </c>
      <c r="AM319" s="69">
        <f>SUM(AN319:AT319)</f>
        <v>1</v>
      </c>
      <c r="AN319" s="60"/>
      <c r="AO319" s="52"/>
      <c r="AP319" s="52">
        <v>1</v>
      </c>
      <c r="AQ319" s="52"/>
      <c r="AR319" s="52"/>
      <c r="AS319" s="52"/>
      <c r="AT319" s="61"/>
      <c r="AU319" s="66">
        <f>MAX(0,$AM319-$AC319-$AW319)</f>
        <v>0</v>
      </c>
      <c r="AV319" s="66"/>
      <c r="AW319" s="66"/>
      <c r="AX319" s="65">
        <v>0</v>
      </c>
      <c r="AY319" s="65">
        <f>IF(AND($AU319&gt;0,ISNUMBER($AX319)),$AU319*$AX319,0)</f>
        <v>0</v>
      </c>
      <c r="AZ319" s="46"/>
      <c r="BA319" s="52"/>
      <c r="BB319" s="52"/>
      <c r="BC319" s="52"/>
      <c r="BD319" s="52"/>
      <c r="BE319" s="52"/>
      <c r="BF319" s="52"/>
    </row>
    <row r="320" spans="1:58" ht="15" customHeight="1">
      <c r="A320" s="46" t="s">
        <v>1954</v>
      </c>
      <c r="B320" s="53" t="s">
        <v>1955</v>
      </c>
      <c r="C320" s="66" t="s">
        <v>109</v>
      </c>
      <c r="D320" s="67">
        <v>3</v>
      </c>
      <c r="E320" s="53" t="s">
        <v>81</v>
      </c>
      <c r="F320" s="50">
        <v>2</v>
      </c>
      <c r="G320" s="50">
        <v>1</v>
      </c>
      <c r="H320" s="51" t="s">
        <v>1956</v>
      </c>
      <c r="I320" s="50" t="s">
        <v>1957</v>
      </c>
      <c r="J320" s="54" t="s">
        <v>73</v>
      </c>
      <c r="K320" s="58" t="s">
        <v>726</v>
      </c>
      <c r="L320" s="58" t="s">
        <v>1958</v>
      </c>
      <c r="M320" s="58"/>
      <c r="N320" s="58"/>
      <c r="O320" s="54"/>
      <c r="P320" s="56" t="s">
        <v>86</v>
      </c>
      <c r="Q320" s="58" t="s">
        <v>492</v>
      </c>
      <c r="R320" s="50"/>
      <c r="S320" s="50"/>
      <c r="T320" s="50"/>
      <c r="U320" s="50"/>
      <c r="V320" s="57">
        <v>0.43</v>
      </c>
      <c r="W320" s="68"/>
      <c r="X320" s="50"/>
      <c r="Y320" s="50"/>
      <c r="Z320" s="50"/>
      <c r="AA320" s="50"/>
      <c r="AB320" s="57"/>
      <c r="AC320" s="54">
        <v>1</v>
      </c>
      <c r="AD320" s="69">
        <f>SUM(AE320:AK320)</f>
        <v>1</v>
      </c>
      <c r="AE320" s="66"/>
      <c r="AF320" s="66"/>
      <c r="AG320" s="66">
        <v>1</v>
      </c>
      <c r="AH320" s="66"/>
      <c r="AI320" s="66"/>
      <c r="AJ320" s="66"/>
      <c r="AK320" s="66"/>
      <c r="AL320" s="54">
        <f>IF((AC320-SUM(AE320:AK320))&lt;0,0,AC320-SUM(AE320:AK320))</f>
        <v>0</v>
      </c>
      <c r="AM320" s="69">
        <f>SUM(AN320:AT320)</f>
        <v>1</v>
      </c>
      <c r="AN320" s="60"/>
      <c r="AO320" s="52"/>
      <c r="AP320" s="52">
        <v>1</v>
      </c>
      <c r="AQ320" s="52"/>
      <c r="AR320" s="52"/>
      <c r="AS320" s="52"/>
      <c r="AT320" s="61"/>
      <c r="AU320" s="66">
        <f>MAX(0,$AM320-$AC320-$AW320)</f>
        <v>0</v>
      </c>
      <c r="AV320" s="66"/>
      <c r="AW320" s="66"/>
      <c r="AX320" s="65">
        <v>0</v>
      </c>
      <c r="AY320" s="65">
        <f>IF(AND($AU320&gt;0,ISNUMBER($AX320)),$AU320*$AX320,0)</f>
        <v>0</v>
      </c>
      <c r="AZ320" s="46"/>
      <c r="BA320" s="52"/>
      <c r="BB320" s="52"/>
      <c r="BC320" s="52"/>
      <c r="BD320" s="52"/>
      <c r="BE320" s="52"/>
      <c r="BF320" s="52"/>
    </row>
    <row r="321" spans="1:58" ht="15" customHeight="1">
      <c r="A321" s="46" t="s">
        <v>1959</v>
      </c>
      <c r="B321" s="53" t="s">
        <v>1960</v>
      </c>
      <c r="C321" s="66" t="s">
        <v>311</v>
      </c>
      <c r="D321" s="67">
        <v>0</v>
      </c>
      <c r="E321" s="53" t="s">
        <v>312</v>
      </c>
      <c r="F321" s="50"/>
      <c r="G321" s="50"/>
      <c r="H321" s="51"/>
      <c r="I321" s="50" t="s">
        <v>1961</v>
      </c>
      <c r="J321" s="54" t="s">
        <v>73</v>
      </c>
      <c r="K321" s="58" t="s">
        <v>312</v>
      </c>
      <c r="L321" s="58" t="s">
        <v>1962</v>
      </c>
      <c r="M321" s="58" t="s">
        <v>747</v>
      </c>
      <c r="N321" s="58"/>
      <c r="O321" s="54"/>
      <c r="P321" s="56" t="s">
        <v>185</v>
      </c>
      <c r="Q321" s="58" t="s">
        <v>1963</v>
      </c>
      <c r="R321" s="50"/>
      <c r="S321" s="50"/>
      <c r="T321" s="50"/>
      <c r="U321" s="50"/>
      <c r="V321" s="57">
        <v>0.42</v>
      </c>
      <c r="W321" s="68"/>
      <c r="X321" s="50"/>
      <c r="Y321" s="50"/>
      <c r="Z321" s="50"/>
      <c r="AA321" s="50"/>
      <c r="AB321" s="57"/>
      <c r="AC321" s="54">
        <v>1</v>
      </c>
      <c r="AD321" s="69">
        <f>SUM(AE321:AK321)</f>
        <v>1</v>
      </c>
      <c r="AE321" s="66"/>
      <c r="AF321" s="66"/>
      <c r="AG321" s="66">
        <v>1</v>
      </c>
      <c r="AH321" s="66"/>
      <c r="AI321" s="66"/>
      <c r="AJ321" s="66"/>
      <c r="AK321" s="66"/>
      <c r="AL321" s="54">
        <f>IF((AC321-SUM(AE321:AK321))&lt;0,0,AC321-SUM(AE321:AK321))</f>
        <v>0</v>
      </c>
      <c r="AM321" s="69">
        <f>SUM(AN321:AT321)</f>
        <v>1</v>
      </c>
      <c r="AN321" s="60"/>
      <c r="AO321" s="52"/>
      <c r="AP321" s="52">
        <v>1</v>
      </c>
      <c r="AQ321" s="52"/>
      <c r="AR321" s="52"/>
      <c r="AS321" s="52"/>
      <c r="AT321" s="61"/>
      <c r="AU321" s="66">
        <f>MAX(0,$AM321-$AC321-$AW321)</f>
        <v>0</v>
      </c>
      <c r="AV321" s="66"/>
      <c r="AW321" s="66"/>
      <c r="AX321" s="65">
        <v>0</v>
      </c>
      <c r="AY321" s="65">
        <f>IF(AND($AU321&gt;0,ISNUMBER($AX321)),$AU321*$AX321,0)</f>
        <v>0</v>
      </c>
      <c r="AZ321" s="46"/>
      <c r="BA321" s="52"/>
      <c r="BB321" s="52"/>
      <c r="BC321" s="52"/>
      <c r="BD321" s="52"/>
      <c r="BE321" s="52"/>
      <c r="BF321" s="52"/>
    </row>
    <row r="322" spans="1:58" ht="15" customHeight="1">
      <c r="A322" s="46" t="s">
        <v>1964</v>
      </c>
      <c r="B322" s="53" t="s">
        <v>1965</v>
      </c>
      <c r="C322" s="66" t="s">
        <v>232</v>
      </c>
      <c r="D322" s="67">
        <v>3</v>
      </c>
      <c r="E322" s="53" t="s">
        <v>233</v>
      </c>
      <c r="F322" s="50"/>
      <c r="G322" s="50"/>
      <c r="H322" s="51"/>
      <c r="I322" s="50" t="s">
        <v>1966</v>
      </c>
      <c r="J322" s="54" t="s">
        <v>73</v>
      </c>
      <c r="K322" s="58" t="s">
        <v>235</v>
      </c>
      <c r="L322" s="58" t="s">
        <v>1967</v>
      </c>
      <c r="M322" s="58" t="s">
        <v>1968</v>
      </c>
      <c r="N322" s="58" t="s">
        <v>1969</v>
      </c>
      <c r="O322" s="54"/>
      <c r="P322" s="56" t="s">
        <v>86</v>
      </c>
      <c r="Q322" s="58" t="s">
        <v>1970</v>
      </c>
      <c r="R322" s="50"/>
      <c r="S322" s="50"/>
      <c r="T322" s="50"/>
      <c r="U322" s="50"/>
      <c r="V322" s="57">
        <v>0.4</v>
      </c>
      <c r="W322" s="68"/>
      <c r="X322" s="50"/>
      <c r="Y322" s="50"/>
      <c r="Z322" s="50"/>
      <c r="AA322" s="50"/>
      <c r="AB322" s="57"/>
      <c r="AC322" s="54">
        <v>1</v>
      </c>
      <c r="AD322" s="69">
        <f>SUM(AE322:AK322)</f>
        <v>1</v>
      </c>
      <c r="AE322" s="66"/>
      <c r="AF322" s="66"/>
      <c r="AG322" s="66">
        <v>1</v>
      </c>
      <c r="AH322" s="66"/>
      <c r="AI322" s="66"/>
      <c r="AJ322" s="66"/>
      <c r="AK322" s="66"/>
      <c r="AL322" s="54">
        <f>IF((AC322-SUM(AE322:AK322))&lt;0,0,AC322-SUM(AE322:AK322))</f>
        <v>0</v>
      </c>
      <c r="AM322" s="69">
        <f>SUM(AN322:AT322)</f>
        <v>0</v>
      </c>
      <c r="AN322" s="60"/>
      <c r="AO322" s="52"/>
      <c r="AP322" s="52"/>
      <c r="AQ322" s="52"/>
      <c r="AR322" s="52"/>
      <c r="AS322" s="52"/>
      <c r="AT322" s="61"/>
      <c r="AU322" s="66">
        <f>MAX(0,$AM322-$AC322-$AW322)</f>
        <v>0</v>
      </c>
      <c r="AV322" s="66"/>
      <c r="AW322" s="66"/>
      <c r="AX322" s="65">
        <v>0</v>
      </c>
      <c r="AY322" s="65">
        <f>IF(AND($AU322&gt;0,ISNUMBER($AX322)),$AU322*$AX322,0)</f>
        <v>0</v>
      </c>
      <c r="AZ322" s="46"/>
      <c r="BA322" s="52"/>
      <c r="BB322" s="52" t="s">
        <v>438</v>
      </c>
      <c r="BC322" s="52"/>
      <c r="BD322" s="52"/>
      <c r="BE322" s="52"/>
      <c r="BF322" s="52"/>
    </row>
    <row r="323" spans="1:58" ht="15" customHeight="1">
      <c r="A323" s="46" t="s">
        <v>1971</v>
      </c>
      <c r="B323" s="53" t="s">
        <v>1972</v>
      </c>
      <c r="C323" s="66" t="s">
        <v>232</v>
      </c>
      <c r="D323" s="67">
        <v>2</v>
      </c>
      <c r="E323" s="53" t="s">
        <v>233</v>
      </c>
      <c r="F323" s="50"/>
      <c r="G323" s="50"/>
      <c r="H323" s="51"/>
      <c r="I323" s="50" t="s">
        <v>1973</v>
      </c>
      <c r="J323" s="54" t="s">
        <v>73</v>
      </c>
      <c r="K323" s="58" t="s">
        <v>235</v>
      </c>
      <c r="L323" s="58" t="s">
        <v>1974</v>
      </c>
      <c r="M323" s="53"/>
      <c r="N323" s="53"/>
      <c r="O323" s="54"/>
      <c r="P323" s="56" t="s">
        <v>185</v>
      </c>
      <c r="Q323" s="58" t="s">
        <v>1006</v>
      </c>
      <c r="R323" s="50"/>
      <c r="S323" s="50"/>
      <c r="T323" s="50"/>
      <c r="U323" s="50"/>
      <c r="V323" s="57">
        <v>0.38</v>
      </c>
      <c r="W323" s="68"/>
      <c r="X323" s="50"/>
      <c r="Y323" s="50"/>
      <c r="Z323" s="50"/>
      <c r="AA323" s="50"/>
      <c r="AB323" s="57"/>
      <c r="AC323" s="54">
        <v>1</v>
      </c>
      <c r="AD323" s="69">
        <f>SUM(AE323:AK323)</f>
        <v>1</v>
      </c>
      <c r="AE323" s="66"/>
      <c r="AF323" s="66"/>
      <c r="AG323" s="66">
        <v>1</v>
      </c>
      <c r="AH323" s="66"/>
      <c r="AI323" s="66"/>
      <c r="AJ323" s="66"/>
      <c r="AK323" s="66"/>
      <c r="AL323" s="54">
        <f>IF((AC323-SUM(AE323:AK323))&lt;0,0,AC323-SUM(AE323:AK323))</f>
        <v>0</v>
      </c>
      <c r="AM323" s="69">
        <f>SUM(AN323:AT323)</f>
        <v>1</v>
      </c>
      <c r="AN323" s="60"/>
      <c r="AO323" s="52"/>
      <c r="AP323" s="52">
        <v>1</v>
      </c>
      <c r="AQ323" s="52"/>
      <c r="AR323" s="52"/>
      <c r="AS323" s="52"/>
      <c r="AT323" s="61"/>
      <c r="AU323" s="66">
        <f>MAX(0,$AM323-$AC323-$AW323)</f>
        <v>0</v>
      </c>
      <c r="AV323" s="66"/>
      <c r="AW323" s="66"/>
      <c r="AX323" s="65">
        <v>0</v>
      </c>
      <c r="AY323" s="65">
        <f>IF(AND($AU323&gt;0,ISNUMBER($AX323)),$AU323*$AX323,0)</f>
        <v>0</v>
      </c>
      <c r="AZ323" s="46"/>
      <c r="BA323" s="52"/>
      <c r="BB323" s="52"/>
      <c r="BC323" s="52"/>
      <c r="BD323" s="52"/>
      <c r="BE323" s="52"/>
      <c r="BF323" s="52"/>
    </row>
    <row r="324" spans="1:58" ht="15" customHeight="1">
      <c r="A324" s="46" t="s">
        <v>1975</v>
      </c>
      <c r="B324" s="53" t="s">
        <v>1976</v>
      </c>
      <c r="C324" s="66" t="s">
        <v>118</v>
      </c>
      <c r="D324" s="67">
        <v>2</v>
      </c>
      <c r="E324" s="53" t="s">
        <v>81</v>
      </c>
      <c r="F324" s="50">
        <v>1</v>
      </c>
      <c r="G324" s="50">
        <v>1</v>
      </c>
      <c r="H324" s="51" t="s">
        <v>1977</v>
      </c>
      <c r="I324" s="50" t="s">
        <v>1978</v>
      </c>
      <c r="J324" s="54" t="s">
        <v>73</v>
      </c>
      <c r="K324" s="58" t="s">
        <v>344</v>
      </c>
      <c r="L324" s="58" t="s">
        <v>1979</v>
      </c>
      <c r="M324" s="58" t="s">
        <v>995</v>
      </c>
      <c r="N324" s="58"/>
      <c r="O324" s="54"/>
      <c r="P324" s="56" t="s">
        <v>185</v>
      </c>
      <c r="Q324" s="58" t="s">
        <v>462</v>
      </c>
      <c r="R324" s="50"/>
      <c r="S324" s="50"/>
      <c r="T324" s="50"/>
      <c r="U324" s="50"/>
      <c r="V324" s="57">
        <v>0.37</v>
      </c>
      <c r="W324" s="68"/>
      <c r="X324" s="50"/>
      <c r="Y324" s="50"/>
      <c r="Z324" s="50"/>
      <c r="AA324" s="50"/>
      <c r="AB324" s="57"/>
      <c r="AC324" s="54">
        <v>1</v>
      </c>
      <c r="AD324" s="69">
        <f>SUM(AE324:AK324)</f>
        <v>1</v>
      </c>
      <c r="AE324" s="66"/>
      <c r="AF324" s="66"/>
      <c r="AG324" s="66">
        <v>1</v>
      </c>
      <c r="AH324" s="66"/>
      <c r="AI324" s="66"/>
      <c r="AJ324" s="66"/>
      <c r="AK324" s="66"/>
      <c r="AL324" s="54">
        <f>IF((AC324-SUM(AE324:AK324))&lt;0,0,AC324-SUM(AE324:AK324))</f>
        <v>0</v>
      </c>
      <c r="AM324" s="69">
        <f>SUM(AN324:AT324)</f>
        <v>1</v>
      </c>
      <c r="AN324" s="60"/>
      <c r="AO324" s="52"/>
      <c r="AP324" s="52">
        <v>1</v>
      </c>
      <c r="AQ324" s="52"/>
      <c r="AR324" s="52"/>
      <c r="AS324" s="52"/>
      <c r="AT324" s="61"/>
      <c r="AU324" s="66">
        <f>MAX(0,$AM324-$AC324-$AW324)</f>
        <v>0</v>
      </c>
      <c r="AV324" s="66"/>
      <c r="AW324" s="66"/>
      <c r="AX324" s="65">
        <v>0</v>
      </c>
      <c r="AY324" s="65">
        <f>IF(AND($AU324&gt;0,ISNUMBER($AX324)),$AU324*$AX324,0)</f>
        <v>0</v>
      </c>
      <c r="AZ324" s="46"/>
      <c r="BA324" s="52"/>
      <c r="BB324" s="52"/>
      <c r="BC324" s="52"/>
      <c r="BD324" s="52"/>
      <c r="BE324" s="52"/>
      <c r="BF324" s="52"/>
    </row>
    <row r="325" spans="1:58" ht="15" customHeight="1">
      <c r="A325" s="46" t="s">
        <v>1980</v>
      </c>
      <c r="B325" s="53" t="s">
        <v>1981</v>
      </c>
      <c r="C325" s="66" t="s">
        <v>311</v>
      </c>
      <c r="D325" s="67">
        <v>0</v>
      </c>
      <c r="E325" s="53" t="s">
        <v>312</v>
      </c>
      <c r="F325" s="50"/>
      <c r="G325" s="50"/>
      <c r="H325" s="51"/>
      <c r="I325" s="50" t="s">
        <v>1982</v>
      </c>
      <c r="J325" s="54" t="s">
        <v>196</v>
      </c>
      <c r="K325" s="58" t="s">
        <v>312</v>
      </c>
      <c r="L325" s="58" t="s">
        <v>1983</v>
      </c>
      <c r="M325" s="58" t="s">
        <v>1153</v>
      </c>
      <c r="N325" s="58" t="s">
        <v>1984</v>
      </c>
      <c r="O325" s="54"/>
      <c r="P325" s="56" t="s">
        <v>86</v>
      </c>
      <c r="Q325" s="58" t="s">
        <v>1127</v>
      </c>
      <c r="R325" s="50"/>
      <c r="S325" s="50"/>
      <c r="T325" s="50"/>
      <c r="U325" s="56"/>
      <c r="V325" s="57">
        <v>0.36</v>
      </c>
      <c r="W325" s="68"/>
      <c r="X325" s="50"/>
      <c r="Y325" s="50"/>
      <c r="Z325" s="50"/>
      <c r="AA325" s="56"/>
      <c r="AB325" s="57"/>
      <c r="AC325" s="54">
        <v>1</v>
      </c>
      <c r="AD325" s="69">
        <f>SUM(AE325:AK325)</f>
        <v>1</v>
      </c>
      <c r="AE325" s="66"/>
      <c r="AF325" s="66"/>
      <c r="AG325" s="66">
        <v>1</v>
      </c>
      <c r="AH325" s="66"/>
      <c r="AI325" s="66"/>
      <c r="AJ325" s="66"/>
      <c r="AK325" s="66"/>
      <c r="AL325" s="54">
        <f>IF((AC325-SUM(AE325:AK325))&lt;0,0,AC325-SUM(AE325:AK325))</f>
        <v>0</v>
      </c>
      <c r="AM325" s="69">
        <f>SUM(AN325:AT325)</f>
        <v>0</v>
      </c>
      <c r="AN325" s="60"/>
      <c r="AO325" s="52"/>
      <c r="AP325" s="52"/>
      <c r="AQ325" s="52"/>
      <c r="AR325" s="52"/>
      <c r="AS325" s="52"/>
      <c r="AT325" s="61"/>
      <c r="AU325" s="66">
        <f>MAX(0,$AM325-$AC325-$AW325)</f>
        <v>0</v>
      </c>
      <c r="AV325" s="66"/>
      <c r="AW325" s="66"/>
      <c r="AX325" s="65">
        <v>0</v>
      </c>
      <c r="AY325" s="65">
        <f>IF(AND($AU325&gt;0,ISNUMBER($AX325)),$AU325*$AX325,0)</f>
        <v>0</v>
      </c>
      <c r="AZ325" s="46"/>
      <c r="BA325" s="52"/>
      <c r="BB325" s="52" t="s">
        <v>416</v>
      </c>
      <c r="BC325" s="52"/>
      <c r="BD325" s="52"/>
      <c r="BE325" s="52"/>
      <c r="BF325" s="52"/>
    </row>
    <row r="326" spans="1:58" ht="15" customHeight="1">
      <c r="A326" s="46" t="s">
        <v>1985</v>
      </c>
      <c r="B326" s="53" t="s">
        <v>1986</v>
      </c>
      <c r="C326" s="66" t="s">
        <v>101</v>
      </c>
      <c r="D326" s="67">
        <v>3</v>
      </c>
      <c r="E326" s="53" t="s">
        <v>189</v>
      </c>
      <c r="F326" s="50"/>
      <c r="G326" s="50"/>
      <c r="H326" s="51"/>
      <c r="I326" s="50" t="s">
        <v>1987</v>
      </c>
      <c r="J326" s="54" t="s">
        <v>73</v>
      </c>
      <c r="K326" s="58" t="s">
        <v>254</v>
      </c>
      <c r="L326" s="58" t="s">
        <v>1988</v>
      </c>
      <c r="M326" s="58" t="s">
        <v>1989</v>
      </c>
      <c r="N326" s="58"/>
      <c r="O326" s="54"/>
      <c r="P326" s="56" t="s">
        <v>185</v>
      </c>
      <c r="Q326" s="58" t="s">
        <v>874</v>
      </c>
      <c r="R326" s="50"/>
      <c r="S326" s="50"/>
      <c r="T326" s="50"/>
      <c r="U326" s="56"/>
      <c r="V326" s="57">
        <v>0.35</v>
      </c>
      <c r="W326" s="68"/>
      <c r="X326" s="50"/>
      <c r="Y326" s="50"/>
      <c r="Z326" s="50"/>
      <c r="AA326" s="56"/>
      <c r="AB326" s="57"/>
      <c r="AC326" s="54">
        <v>1</v>
      </c>
      <c r="AD326" s="69">
        <f>SUM(AE326:AK326)</f>
        <v>1</v>
      </c>
      <c r="AE326" s="66"/>
      <c r="AF326" s="66"/>
      <c r="AG326" s="66">
        <v>1</v>
      </c>
      <c r="AH326" s="66"/>
      <c r="AI326" s="66"/>
      <c r="AJ326" s="66"/>
      <c r="AK326" s="66"/>
      <c r="AL326" s="54">
        <f>IF((AC326-SUM(AE326:AK326))&lt;0,0,AC326-SUM(AE326:AK326))</f>
        <v>0</v>
      </c>
      <c r="AM326" s="69">
        <f>SUM(AN326:AT326)</f>
        <v>1</v>
      </c>
      <c r="AN326" s="60"/>
      <c r="AO326" s="52"/>
      <c r="AP326" s="52">
        <v>1</v>
      </c>
      <c r="AQ326" s="52"/>
      <c r="AR326" s="52"/>
      <c r="AS326" s="52"/>
      <c r="AT326" s="61"/>
      <c r="AU326" s="66">
        <f>MAX(0,$AM326-$AC326-$AW326)</f>
        <v>0</v>
      </c>
      <c r="AV326" s="66"/>
      <c r="AW326" s="66"/>
      <c r="AX326" s="65">
        <v>0</v>
      </c>
      <c r="AY326" s="65">
        <f>IF(AND($AU326&gt;0,ISNUMBER($AX326)),$AU326*$AX326,0)</f>
        <v>0</v>
      </c>
      <c r="AZ326" s="46"/>
      <c r="BA326" s="52"/>
      <c r="BB326" s="52"/>
      <c r="BC326" s="52"/>
      <c r="BD326" s="52"/>
      <c r="BE326" s="52"/>
      <c r="BF326" s="52"/>
    </row>
    <row r="327" spans="1:58" ht="15" customHeight="1">
      <c r="A327" s="46" t="s">
        <v>1990</v>
      </c>
      <c r="B327" s="53" t="s">
        <v>1991</v>
      </c>
      <c r="C327" s="66" t="s">
        <v>80</v>
      </c>
      <c r="D327" s="67">
        <v>4</v>
      </c>
      <c r="E327" s="53" t="s">
        <v>189</v>
      </c>
      <c r="F327" s="50"/>
      <c r="G327" s="50"/>
      <c r="H327" s="51"/>
      <c r="I327" s="50" t="s">
        <v>1992</v>
      </c>
      <c r="J327" s="54" t="s">
        <v>73</v>
      </c>
      <c r="K327" s="58" t="s">
        <v>98</v>
      </c>
      <c r="L327" s="58" t="s">
        <v>1993</v>
      </c>
      <c r="M327" s="58"/>
      <c r="N327" s="58"/>
      <c r="O327" s="54"/>
      <c r="P327" s="56" t="s">
        <v>76</v>
      </c>
      <c r="Q327" s="58" t="s">
        <v>536</v>
      </c>
      <c r="R327" s="50"/>
      <c r="S327" s="50"/>
      <c r="T327" s="50"/>
      <c r="U327" s="50"/>
      <c r="V327" s="57">
        <v>0.34</v>
      </c>
      <c r="W327" s="68"/>
      <c r="X327" s="50"/>
      <c r="Y327" s="50"/>
      <c r="Z327" s="50"/>
      <c r="AA327" s="50"/>
      <c r="AB327" s="57"/>
      <c r="AC327" s="54">
        <v>1</v>
      </c>
      <c r="AD327" s="69">
        <f>SUM(AE327:AK327)</f>
        <v>1</v>
      </c>
      <c r="AE327" s="66"/>
      <c r="AF327" s="66"/>
      <c r="AG327" s="66">
        <v>1</v>
      </c>
      <c r="AH327" s="66"/>
      <c r="AI327" s="66"/>
      <c r="AJ327" s="66"/>
      <c r="AK327" s="66"/>
      <c r="AL327" s="54">
        <f>IF((AC327-SUM(AE327:AK327))&lt;0,0,AC327-SUM(AE327:AK327))</f>
        <v>0</v>
      </c>
      <c r="AM327" s="69">
        <f>SUM(AN327:AT327)</f>
        <v>1</v>
      </c>
      <c r="AN327" s="60"/>
      <c r="AO327" s="52"/>
      <c r="AP327" s="52">
        <v>1</v>
      </c>
      <c r="AQ327" s="52"/>
      <c r="AR327" s="52"/>
      <c r="AS327" s="52"/>
      <c r="AT327" s="61"/>
      <c r="AU327" s="66">
        <f>MAX(0,$AM327-$AC327-$AW327)</f>
        <v>0</v>
      </c>
      <c r="AV327" s="66"/>
      <c r="AW327" s="66"/>
      <c r="AX327" s="65">
        <v>0</v>
      </c>
      <c r="AY327" s="65">
        <f>IF(AND($AU327&gt;0,ISNUMBER($AX327)),$AU327*$AX327,0)</f>
        <v>0</v>
      </c>
      <c r="AZ327" s="46"/>
      <c r="BA327" s="52"/>
      <c r="BB327" s="52"/>
      <c r="BC327" s="52"/>
      <c r="BD327" s="52"/>
      <c r="BE327" s="52"/>
      <c r="BF327" s="52"/>
    </row>
    <row r="328" spans="1:58" ht="15" customHeight="1">
      <c r="A328" s="46" t="s">
        <v>1994</v>
      </c>
      <c r="B328" s="53" t="s">
        <v>1995</v>
      </c>
      <c r="C328" s="66" t="s">
        <v>80</v>
      </c>
      <c r="D328" s="67">
        <v>5</v>
      </c>
      <c r="E328" s="53" t="s">
        <v>81</v>
      </c>
      <c r="F328" s="50">
        <v>2</v>
      </c>
      <c r="G328" s="50">
        <v>2</v>
      </c>
      <c r="H328" s="51" t="s">
        <v>1019</v>
      </c>
      <c r="I328" s="50" t="s">
        <v>1996</v>
      </c>
      <c r="J328" s="54" t="s">
        <v>73</v>
      </c>
      <c r="K328" s="58" t="s">
        <v>92</v>
      </c>
      <c r="L328" s="58" t="s">
        <v>1997</v>
      </c>
      <c r="M328" s="58" t="s">
        <v>1998</v>
      </c>
      <c r="N328" s="58" t="s">
        <v>995</v>
      </c>
      <c r="O328" s="54"/>
      <c r="P328" s="56" t="s">
        <v>185</v>
      </c>
      <c r="Q328" s="58" t="s">
        <v>426</v>
      </c>
      <c r="R328" s="50"/>
      <c r="S328" s="50"/>
      <c r="T328" s="50"/>
      <c r="U328" s="50"/>
      <c r="V328" s="57">
        <v>0.33</v>
      </c>
      <c r="W328" s="68"/>
      <c r="X328" s="50"/>
      <c r="Y328" s="50"/>
      <c r="Z328" s="50"/>
      <c r="AA328" s="50"/>
      <c r="AB328" s="57"/>
      <c r="AC328" s="54">
        <v>1</v>
      </c>
      <c r="AD328" s="69">
        <f>SUM(AE328:AK328)</f>
        <v>1</v>
      </c>
      <c r="AE328" s="66"/>
      <c r="AF328" s="66"/>
      <c r="AG328" s="66">
        <v>1</v>
      </c>
      <c r="AH328" s="66"/>
      <c r="AI328" s="66"/>
      <c r="AJ328" s="66"/>
      <c r="AK328" s="66"/>
      <c r="AL328" s="54">
        <f>IF((AC328-SUM(AE328:AK328))&lt;0,0,AC328-SUM(AE328:AK328))</f>
        <v>0</v>
      </c>
      <c r="AM328" s="69">
        <f>SUM(AN328:AT328)</f>
        <v>1</v>
      </c>
      <c r="AN328" s="60"/>
      <c r="AO328" s="52">
        <v>1</v>
      </c>
      <c r="AP328" s="52"/>
      <c r="AQ328" s="52"/>
      <c r="AR328" s="52"/>
      <c r="AS328" s="52"/>
      <c r="AT328" s="61"/>
      <c r="AU328" s="66">
        <f>MAX(0,$AM328-$AC328-$AW328)</f>
        <v>0</v>
      </c>
      <c r="AV328" s="66"/>
      <c r="AW328" s="66"/>
      <c r="AX328" s="65">
        <v>0</v>
      </c>
      <c r="AY328" s="65">
        <f>IF(AND($AU328&gt;0,ISNUMBER($AX328)),$AU328*$AX328,0)</f>
        <v>0</v>
      </c>
      <c r="AZ328" s="46"/>
      <c r="BA328" s="52"/>
      <c r="BB328" s="52" t="s">
        <v>341</v>
      </c>
      <c r="BC328" s="52"/>
      <c r="BD328" s="52"/>
      <c r="BE328" s="52"/>
      <c r="BF328" s="52"/>
    </row>
    <row r="329" spans="1:58" ht="15" customHeight="1">
      <c r="A329" s="46" t="s">
        <v>1999</v>
      </c>
      <c r="B329" s="47" t="s">
        <v>2000</v>
      </c>
      <c r="C329" s="48" t="s">
        <v>118</v>
      </c>
      <c r="D329" s="49">
        <v>2</v>
      </c>
      <c r="E329" s="47" t="s">
        <v>189</v>
      </c>
      <c r="F329" s="50"/>
      <c r="G329" s="50"/>
      <c r="H329" s="51"/>
      <c r="I329" s="50" t="s">
        <v>2001</v>
      </c>
      <c r="J329" s="52" t="s">
        <v>73</v>
      </c>
      <c r="K329" s="47" t="s">
        <v>254</v>
      </c>
      <c r="L329" s="53" t="s">
        <v>2002</v>
      </c>
      <c r="M329" s="53" t="s">
        <v>2003</v>
      </c>
      <c r="N329" s="53"/>
      <c r="O329" s="54"/>
      <c r="P329" s="55" t="s">
        <v>185</v>
      </c>
      <c r="Q329" s="47" t="s">
        <v>2004</v>
      </c>
      <c r="R329" s="75" t="s">
        <v>2005</v>
      </c>
      <c r="S329" s="75">
        <v>1</v>
      </c>
      <c r="T329" s="75">
        <v>0</v>
      </c>
      <c r="U329" s="56" t="s">
        <v>2006</v>
      </c>
      <c r="V329" s="57">
        <v>0.32</v>
      </c>
      <c r="W329" s="68"/>
      <c r="X329" s="46"/>
      <c r="Y329" s="46"/>
      <c r="Z329" s="46"/>
      <c r="AA329" s="56"/>
      <c r="AB329" s="57"/>
      <c r="AC329" s="54">
        <v>1</v>
      </c>
      <c r="AD329" s="69">
        <f>SUM(AE329:AK329)</f>
        <v>1</v>
      </c>
      <c r="AE329" s="66"/>
      <c r="AF329" s="66"/>
      <c r="AG329" s="66">
        <v>1</v>
      </c>
      <c r="AH329" s="66"/>
      <c r="AI329" s="66"/>
      <c r="AJ329" s="66"/>
      <c r="AK329" s="66"/>
      <c r="AL329" s="54">
        <f>IF((AC329-SUM(AE329:AK329))&lt;0,0,AC329-SUM(AE329:AK329))</f>
        <v>0</v>
      </c>
      <c r="AM329" s="69">
        <f>SUM(AN329:AT329)</f>
        <v>1</v>
      </c>
      <c r="AN329" s="60"/>
      <c r="AO329" s="52"/>
      <c r="AP329" s="52">
        <v>1</v>
      </c>
      <c r="AQ329" s="52"/>
      <c r="AR329" s="52"/>
      <c r="AS329" s="52"/>
      <c r="AT329" s="61"/>
      <c r="AU329" s="66">
        <f>MAX(0,$AM329-$AC329-$AW329)</f>
        <v>0</v>
      </c>
      <c r="AV329" s="48"/>
      <c r="AW329" s="48"/>
      <c r="AX329" s="65">
        <v>0</v>
      </c>
      <c r="AY329" s="65">
        <f>IF(AND($AU329&gt;0,ISNUMBER($AX329)),$AU329*$AX329,0)</f>
        <v>0</v>
      </c>
      <c r="AZ329" s="46"/>
      <c r="BA329" s="52"/>
      <c r="BB329" s="52"/>
      <c r="BC329" s="52"/>
      <c r="BD329" s="52"/>
      <c r="BE329" s="52"/>
      <c r="BF329" s="52"/>
    </row>
    <row r="330" spans="1:58" ht="15" customHeight="1">
      <c r="A330" s="46" t="s">
        <v>2007</v>
      </c>
      <c r="B330" s="53" t="s">
        <v>2008</v>
      </c>
      <c r="C330" s="66" t="s">
        <v>181</v>
      </c>
      <c r="D330" s="67">
        <v>2</v>
      </c>
      <c r="E330" s="53" t="s">
        <v>189</v>
      </c>
      <c r="F330" s="50"/>
      <c r="G330" s="50"/>
      <c r="H330" s="51"/>
      <c r="I330" s="50" t="s">
        <v>2009</v>
      </c>
      <c r="J330" s="54" t="s">
        <v>73</v>
      </c>
      <c r="K330" s="58" t="s">
        <v>135</v>
      </c>
      <c r="L330" s="58" t="s">
        <v>2010</v>
      </c>
      <c r="M330" s="58" t="s">
        <v>2011</v>
      </c>
      <c r="N330" s="58"/>
      <c r="O330" s="54"/>
      <c r="P330" s="56" t="s">
        <v>185</v>
      </c>
      <c r="Q330" s="58" t="s">
        <v>405</v>
      </c>
      <c r="R330" s="50"/>
      <c r="S330" s="50"/>
      <c r="T330" s="50"/>
      <c r="U330" s="50"/>
      <c r="V330" s="57">
        <v>0.32</v>
      </c>
      <c r="W330" s="68"/>
      <c r="X330" s="50"/>
      <c r="Y330" s="50"/>
      <c r="Z330" s="50"/>
      <c r="AA330" s="50"/>
      <c r="AB330" s="57"/>
      <c r="AC330" s="54">
        <v>1</v>
      </c>
      <c r="AD330" s="69">
        <f>SUM(AE330:AK330)</f>
        <v>1</v>
      </c>
      <c r="AE330" s="66"/>
      <c r="AF330" s="66"/>
      <c r="AG330" s="66">
        <v>1</v>
      </c>
      <c r="AH330" s="66"/>
      <c r="AI330" s="66"/>
      <c r="AJ330" s="66"/>
      <c r="AK330" s="66"/>
      <c r="AL330" s="54">
        <f>IF((AC330-SUM(AE330:AK330))&lt;0,0,AC330-SUM(AE330:AK330))</f>
        <v>0</v>
      </c>
      <c r="AM330" s="69">
        <f>SUM(AN330:AT330)</f>
        <v>1</v>
      </c>
      <c r="AN330" s="60"/>
      <c r="AO330" s="52"/>
      <c r="AP330" s="52">
        <v>1</v>
      </c>
      <c r="AQ330" s="52"/>
      <c r="AR330" s="52"/>
      <c r="AS330" s="52"/>
      <c r="AT330" s="61"/>
      <c r="AU330" s="66">
        <f>MAX(0,$AM330-$AC330-$AW330)</f>
        <v>0</v>
      </c>
      <c r="AV330" s="66"/>
      <c r="AW330" s="66"/>
      <c r="AX330" s="65">
        <v>0</v>
      </c>
      <c r="AY330" s="65">
        <f>IF(AND($AU330&gt;0,ISNUMBER($AX330)),$AU330*$AX330,0)</f>
        <v>0</v>
      </c>
      <c r="AZ330" s="46"/>
      <c r="BA330" s="52"/>
      <c r="BB330" s="52"/>
      <c r="BC330" s="52"/>
      <c r="BD330" s="52"/>
      <c r="BE330" s="52"/>
      <c r="BF330" s="52"/>
    </row>
    <row r="331" spans="1:58" ht="15" customHeight="1">
      <c r="A331" s="46" t="s">
        <v>2012</v>
      </c>
      <c r="B331" s="47" t="s">
        <v>2013</v>
      </c>
      <c r="C331" s="48" t="s">
        <v>109</v>
      </c>
      <c r="D331" s="49">
        <v>4</v>
      </c>
      <c r="E331" s="47" t="s">
        <v>110</v>
      </c>
      <c r="F331" s="50">
        <v>1</v>
      </c>
      <c r="G331" s="50">
        <v>4</v>
      </c>
      <c r="H331" s="51" t="s">
        <v>2014</v>
      </c>
      <c r="I331" s="50" t="s">
        <v>2015</v>
      </c>
      <c r="J331" s="52" t="s">
        <v>73</v>
      </c>
      <c r="K331" s="47" t="s">
        <v>550</v>
      </c>
      <c r="L331" s="53" t="s">
        <v>2016</v>
      </c>
      <c r="M331" s="53" t="s">
        <v>2017</v>
      </c>
      <c r="N331" s="53" t="s">
        <v>2018</v>
      </c>
      <c r="O331" s="56">
        <v>1083</v>
      </c>
      <c r="P331" s="56" t="s">
        <v>86</v>
      </c>
      <c r="Q331" s="47" t="s">
        <v>645</v>
      </c>
      <c r="R331" s="75" t="s">
        <v>2019</v>
      </c>
      <c r="S331" s="75">
        <v>1</v>
      </c>
      <c r="T331" s="75">
        <v>0</v>
      </c>
      <c r="U331" s="56" t="s">
        <v>2020</v>
      </c>
      <c r="V331" s="57">
        <v>0.32</v>
      </c>
      <c r="W331" s="68"/>
      <c r="X331" s="50"/>
      <c r="Y331" s="46"/>
      <c r="Z331" s="46"/>
      <c r="AA331" s="56"/>
      <c r="AB331" s="57"/>
      <c r="AC331" s="54">
        <v>1</v>
      </c>
      <c r="AD331" s="69">
        <f>SUM(AE331:AK331)</f>
        <v>1</v>
      </c>
      <c r="AE331" s="66"/>
      <c r="AF331" s="66"/>
      <c r="AG331" s="66">
        <v>1</v>
      </c>
      <c r="AH331" s="66"/>
      <c r="AI331" s="66"/>
      <c r="AJ331" s="66"/>
      <c r="AK331" s="66"/>
      <c r="AL331" s="54">
        <f>IF((AC331-SUM(AE331:AK331))&lt;0,0,AC331-SUM(AE331:AK331))</f>
        <v>0</v>
      </c>
      <c r="AM331" s="69">
        <f>SUM(AN331:AT331)</f>
        <v>1</v>
      </c>
      <c r="AN331" s="60"/>
      <c r="AO331" s="52"/>
      <c r="AP331" s="52">
        <v>1</v>
      </c>
      <c r="AQ331" s="52"/>
      <c r="AR331" s="52"/>
      <c r="AS331" s="52"/>
      <c r="AT331" s="61"/>
      <c r="AU331" s="66">
        <f>MAX(0,$AM331-$AC331-$AW331)</f>
        <v>0</v>
      </c>
      <c r="AV331" s="48"/>
      <c r="AW331" s="48"/>
      <c r="AX331" s="65">
        <v>0</v>
      </c>
      <c r="AY331" s="65">
        <f>IF(AND($AU331&gt;0,ISNUMBER($AX331)),$AU331*$AX331,0)</f>
        <v>0</v>
      </c>
      <c r="AZ331" s="46"/>
      <c r="BA331" s="52"/>
      <c r="BB331" s="52"/>
      <c r="BC331" s="52"/>
      <c r="BD331" s="52"/>
      <c r="BE331" s="52"/>
      <c r="BF331" s="52"/>
    </row>
    <row r="332" spans="1:58" ht="15" customHeight="1">
      <c r="A332" s="46" t="s">
        <v>2021</v>
      </c>
      <c r="B332" s="53" t="s">
        <v>2022</v>
      </c>
      <c r="C332" s="66" t="s">
        <v>232</v>
      </c>
      <c r="D332" s="67">
        <v>2</v>
      </c>
      <c r="E332" s="53" t="s">
        <v>233</v>
      </c>
      <c r="F332" s="50"/>
      <c r="G332" s="50"/>
      <c r="H332" s="51" t="s">
        <v>2023</v>
      </c>
      <c r="I332" s="50" t="s">
        <v>2024</v>
      </c>
      <c r="J332" s="54" t="s">
        <v>73</v>
      </c>
      <c r="K332" s="58" t="s">
        <v>92</v>
      </c>
      <c r="L332" s="58" t="s">
        <v>2025</v>
      </c>
      <c r="M332" s="58" t="s">
        <v>2026</v>
      </c>
      <c r="N332" s="58"/>
      <c r="O332" s="54"/>
      <c r="P332" s="56" t="s">
        <v>86</v>
      </c>
      <c r="Q332" s="58" t="s">
        <v>229</v>
      </c>
      <c r="R332" s="50"/>
      <c r="S332" s="50"/>
      <c r="T332" s="50"/>
      <c r="U332" s="50"/>
      <c r="V332" s="57">
        <v>0.28999999999999998</v>
      </c>
      <c r="W332" s="68"/>
      <c r="X332" s="50"/>
      <c r="Y332" s="50"/>
      <c r="Z332" s="50"/>
      <c r="AA332" s="50"/>
      <c r="AB332" s="57"/>
      <c r="AC332" s="54">
        <v>1</v>
      </c>
      <c r="AD332" s="69">
        <f>SUM(AE332:AK332)</f>
        <v>1</v>
      </c>
      <c r="AE332" s="66"/>
      <c r="AF332" s="66"/>
      <c r="AG332" s="66">
        <v>1</v>
      </c>
      <c r="AH332" s="66"/>
      <c r="AI332" s="66"/>
      <c r="AJ332" s="66"/>
      <c r="AK332" s="66"/>
      <c r="AL332" s="54">
        <f>IF((AC332-SUM(AE332:AK332))&lt;0,0,AC332-SUM(AE332:AK332))</f>
        <v>0</v>
      </c>
      <c r="AM332" s="69">
        <f>SUM(AN332:AT332)</f>
        <v>0</v>
      </c>
      <c r="AN332" s="60"/>
      <c r="AO332" s="52"/>
      <c r="AP332" s="52"/>
      <c r="AQ332" s="52"/>
      <c r="AR332" s="52"/>
      <c r="AS332" s="52"/>
      <c r="AT332" s="61"/>
      <c r="AU332" s="66">
        <f>MAX(0,$AM332-$AC332-$AW332)</f>
        <v>0</v>
      </c>
      <c r="AV332" s="66"/>
      <c r="AW332" s="66"/>
      <c r="AX332" s="65">
        <v>0</v>
      </c>
      <c r="AY332" s="65">
        <f>IF(AND($AU332&gt;0,ISNUMBER($AX332)),$AU332*$AX332,0)</f>
        <v>0</v>
      </c>
      <c r="AZ332" s="46"/>
      <c r="BA332" s="52"/>
      <c r="BB332" s="52" t="s">
        <v>607</v>
      </c>
      <c r="BC332" s="52"/>
      <c r="BD332" s="52"/>
      <c r="BE332" s="52"/>
      <c r="BF332" s="52"/>
    </row>
    <row r="333" spans="1:58" ht="15" customHeight="1">
      <c r="A333" s="46" t="s">
        <v>2027</v>
      </c>
      <c r="B333" s="53" t="s">
        <v>2028</v>
      </c>
      <c r="C333" s="66" t="s">
        <v>118</v>
      </c>
      <c r="D333" s="67">
        <v>5</v>
      </c>
      <c r="E333" s="53" t="s">
        <v>81</v>
      </c>
      <c r="F333" s="50">
        <v>3</v>
      </c>
      <c r="G333" s="50">
        <v>4</v>
      </c>
      <c r="H333" s="51" t="s">
        <v>936</v>
      </c>
      <c r="I333" s="50" t="s">
        <v>2029</v>
      </c>
      <c r="J333" s="54" t="s">
        <v>73</v>
      </c>
      <c r="K333" s="58" t="s">
        <v>474</v>
      </c>
      <c r="L333" s="58" t="s">
        <v>2030</v>
      </c>
      <c r="M333" s="58" t="s">
        <v>2031</v>
      </c>
      <c r="N333" s="58"/>
      <c r="O333" s="54"/>
      <c r="P333" s="56" t="s">
        <v>86</v>
      </c>
      <c r="Q333" s="58" t="s">
        <v>299</v>
      </c>
      <c r="R333" s="50"/>
      <c r="S333" s="50"/>
      <c r="T333" s="50"/>
      <c r="U333" s="50"/>
      <c r="V333" s="57">
        <v>0.28999999999999998</v>
      </c>
      <c r="W333" s="68"/>
      <c r="X333" s="50"/>
      <c r="Y333" s="50"/>
      <c r="Z333" s="50"/>
      <c r="AA333" s="50"/>
      <c r="AB333" s="57"/>
      <c r="AC333" s="54">
        <v>1</v>
      </c>
      <c r="AD333" s="69">
        <f>SUM(AE333:AK333)</f>
        <v>1</v>
      </c>
      <c r="AE333" s="66"/>
      <c r="AF333" s="66"/>
      <c r="AG333" s="66">
        <v>1</v>
      </c>
      <c r="AH333" s="66"/>
      <c r="AI333" s="66"/>
      <c r="AJ333" s="66"/>
      <c r="AK333" s="66"/>
      <c r="AL333" s="54">
        <f>IF((AC333-SUM(AE333:AK333))&lt;0,0,AC333-SUM(AE333:AK333))</f>
        <v>0</v>
      </c>
      <c r="AM333" s="69">
        <f>SUM(AN333:AT333)</f>
        <v>1</v>
      </c>
      <c r="AN333" s="60"/>
      <c r="AO333" s="52"/>
      <c r="AP333" s="52">
        <v>1</v>
      </c>
      <c r="AQ333" s="52"/>
      <c r="AR333" s="52"/>
      <c r="AS333" s="52"/>
      <c r="AT333" s="61"/>
      <c r="AU333" s="66">
        <f>MAX(0,$AM333-$AC333-$AW333)</f>
        <v>0</v>
      </c>
      <c r="AV333" s="66"/>
      <c r="AW333" s="66"/>
      <c r="AX333" s="65">
        <v>0</v>
      </c>
      <c r="AY333" s="65">
        <f>IF(AND($AU333&gt;0,ISNUMBER($AX333)),$AU333*$AX333,0)</f>
        <v>0</v>
      </c>
      <c r="AZ333" s="46"/>
      <c r="BA333" s="52"/>
      <c r="BB333" s="52"/>
      <c r="BC333" s="52"/>
      <c r="BD333" s="52"/>
      <c r="BE333" s="52"/>
      <c r="BF333" s="52"/>
    </row>
    <row r="334" spans="1:58" ht="15" customHeight="1">
      <c r="A334" s="46" t="s">
        <v>2032</v>
      </c>
      <c r="B334" s="53" t="s">
        <v>2033</v>
      </c>
      <c r="C334" s="66" t="s">
        <v>80</v>
      </c>
      <c r="D334" s="67">
        <v>5</v>
      </c>
      <c r="E334" s="53" t="s">
        <v>81</v>
      </c>
      <c r="F334" s="50">
        <v>3</v>
      </c>
      <c r="G334" s="50">
        <v>3</v>
      </c>
      <c r="H334" s="51" t="s">
        <v>2034</v>
      </c>
      <c r="I334" s="50" t="s">
        <v>2035</v>
      </c>
      <c r="J334" s="54" t="s">
        <v>73</v>
      </c>
      <c r="K334" s="58" t="s">
        <v>344</v>
      </c>
      <c r="L334" s="58" t="s">
        <v>2036</v>
      </c>
      <c r="M334" s="58"/>
      <c r="N334" s="58"/>
      <c r="O334" s="54"/>
      <c r="P334" s="56" t="s">
        <v>86</v>
      </c>
      <c r="Q334" s="58" t="s">
        <v>1865</v>
      </c>
      <c r="R334" s="50"/>
      <c r="S334" s="50"/>
      <c r="T334" s="50"/>
      <c r="U334" s="50"/>
      <c r="V334" s="57">
        <v>0.28000000000000003</v>
      </c>
      <c r="W334" s="68"/>
      <c r="X334" s="50"/>
      <c r="Y334" s="50"/>
      <c r="Z334" s="50"/>
      <c r="AA334" s="50"/>
      <c r="AB334" s="57"/>
      <c r="AC334" s="54">
        <v>1</v>
      </c>
      <c r="AD334" s="69">
        <f>SUM(AE334:AK334)</f>
        <v>1</v>
      </c>
      <c r="AE334" s="66"/>
      <c r="AF334" s="66"/>
      <c r="AG334" s="66">
        <v>1</v>
      </c>
      <c r="AH334" s="66"/>
      <c r="AI334" s="66"/>
      <c r="AJ334" s="66"/>
      <c r="AK334" s="66"/>
      <c r="AL334" s="54">
        <f>IF((AC334-SUM(AE334:AK334))&lt;0,0,AC334-SUM(AE334:AK334))</f>
        <v>0</v>
      </c>
      <c r="AM334" s="69">
        <f>SUM(AN334:AT334)</f>
        <v>1</v>
      </c>
      <c r="AN334" s="60"/>
      <c r="AO334" s="52"/>
      <c r="AP334" s="52">
        <v>1</v>
      </c>
      <c r="AQ334" s="52"/>
      <c r="AR334" s="52"/>
      <c r="AS334" s="52"/>
      <c r="AT334" s="61"/>
      <c r="AU334" s="66">
        <f>MAX(0,$AM334-$AC334-$AW334)</f>
        <v>0</v>
      </c>
      <c r="AV334" s="66"/>
      <c r="AW334" s="66"/>
      <c r="AX334" s="65">
        <v>0</v>
      </c>
      <c r="AY334" s="65">
        <f>IF(AND($AU334&gt;0,ISNUMBER($AX334)),$AU334*$AX334,0)</f>
        <v>0</v>
      </c>
      <c r="AZ334" s="46"/>
      <c r="BA334" s="52"/>
      <c r="BB334" s="52"/>
      <c r="BC334" s="52"/>
      <c r="BD334" s="52"/>
      <c r="BE334" s="52"/>
      <c r="BF334" s="52"/>
    </row>
    <row r="335" spans="1:58" ht="15" customHeight="1">
      <c r="A335" s="46" t="s">
        <v>2037</v>
      </c>
      <c r="B335" s="53" t="s">
        <v>2038</v>
      </c>
      <c r="C335" s="66" t="s">
        <v>181</v>
      </c>
      <c r="D335" s="67">
        <v>4</v>
      </c>
      <c r="E335" s="53" t="s">
        <v>189</v>
      </c>
      <c r="F335" s="50"/>
      <c r="G335" s="50"/>
      <c r="H335" s="51"/>
      <c r="I335" s="50" t="s">
        <v>2039</v>
      </c>
      <c r="J335" s="54" t="s">
        <v>73</v>
      </c>
      <c r="K335" s="58" t="s">
        <v>135</v>
      </c>
      <c r="L335" s="58" t="s">
        <v>2040</v>
      </c>
      <c r="M335" s="58" t="s">
        <v>2041</v>
      </c>
      <c r="N335" s="58"/>
      <c r="O335" s="54"/>
      <c r="P335" s="56" t="s">
        <v>86</v>
      </c>
      <c r="Q335" s="58" t="s">
        <v>208</v>
      </c>
      <c r="R335" s="50"/>
      <c r="S335" s="50"/>
      <c r="T335" s="50"/>
      <c r="U335" s="50"/>
      <c r="V335" s="57">
        <v>0.28000000000000003</v>
      </c>
      <c r="W335" s="68"/>
      <c r="X335" s="50"/>
      <c r="Y335" s="50"/>
      <c r="Z335" s="50"/>
      <c r="AA335" s="50"/>
      <c r="AB335" s="57"/>
      <c r="AC335" s="54">
        <v>1</v>
      </c>
      <c r="AD335" s="69">
        <f>SUM(AE335:AK335)</f>
        <v>1</v>
      </c>
      <c r="AE335" s="66"/>
      <c r="AF335" s="66"/>
      <c r="AG335" s="66">
        <v>1</v>
      </c>
      <c r="AH335" s="66"/>
      <c r="AI335" s="66"/>
      <c r="AJ335" s="66"/>
      <c r="AK335" s="66"/>
      <c r="AL335" s="54">
        <f>IF((AC335-SUM(AE335:AK335))&lt;0,0,AC335-SUM(AE335:AK335))</f>
        <v>0</v>
      </c>
      <c r="AM335" s="69">
        <f>SUM(AN335:AT335)</f>
        <v>1</v>
      </c>
      <c r="AN335" s="60"/>
      <c r="AO335" s="52"/>
      <c r="AP335" s="52">
        <v>1</v>
      </c>
      <c r="AQ335" s="52"/>
      <c r="AR335" s="52"/>
      <c r="AS335" s="52"/>
      <c r="AT335" s="61"/>
      <c r="AU335" s="66">
        <f>MAX(0,$AM335-$AC335-$AW335)</f>
        <v>0</v>
      </c>
      <c r="AV335" s="66"/>
      <c r="AW335" s="66"/>
      <c r="AX335" s="65">
        <v>0</v>
      </c>
      <c r="AY335" s="65">
        <f>IF(AND($AU335&gt;0,ISNUMBER($AX335)),$AU335*$AX335,0)</f>
        <v>0</v>
      </c>
      <c r="AZ335" s="46"/>
      <c r="BA335" s="52"/>
      <c r="BB335" s="52"/>
      <c r="BC335" s="52"/>
      <c r="BD335" s="52"/>
      <c r="BE335" s="52"/>
      <c r="BF335" s="52"/>
    </row>
    <row r="336" spans="1:58" ht="15" customHeight="1">
      <c r="A336" s="46" t="s">
        <v>2042</v>
      </c>
      <c r="B336" s="53" t="s">
        <v>2043</v>
      </c>
      <c r="C336" s="66" t="s">
        <v>118</v>
      </c>
      <c r="D336" s="67">
        <v>6</v>
      </c>
      <c r="E336" s="53" t="s">
        <v>81</v>
      </c>
      <c r="F336" s="50">
        <v>5</v>
      </c>
      <c r="G336" s="50">
        <v>5</v>
      </c>
      <c r="H336" s="51" t="s">
        <v>936</v>
      </c>
      <c r="I336" s="50" t="s">
        <v>2044</v>
      </c>
      <c r="J336" s="54" t="s">
        <v>73</v>
      </c>
      <c r="K336" s="58" t="s">
        <v>135</v>
      </c>
      <c r="L336" s="58" t="s">
        <v>2045</v>
      </c>
      <c r="M336" s="58" t="s">
        <v>995</v>
      </c>
      <c r="N336" s="58" t="s">
        <v>2046</v>
      </c>
      <c r="O336" s="54"/>
      <c r="P336" s="56" t="s">
        <v>86</v>
      </c>
      <c r="Q336" s="58" t="s">
        <v>131</v>
      </c>
      <c r="R336" s="50"/>
      <c r="S336" s="50"/>
      <c r="T336" s="50"/>
      <c r="U336" s="56"/>
      <c r="V336" s="57">
        <v>0.28000000000000003</v>
      </c>
      <c r="W336" s="68"/>
      <c r="X336" s="50"/>
      <c r="Y336" s="50"/>
      <c r="Z336" s="50"/>
      <c r="AA336" s="56"/>
      <c r="AB336" s="57"/>
      <c r="AC336" s="54">
        <v>1</v>
      </c>
      <c r="AD336" s="69">
        <f>SUM(AE336:AK336)</f>
        <v>1</v>
      </c>
      <c r="AE336" s="66"/>
      <c r="AF336" s="66"/>
      <c r="AG336" s="66">
        <v>1</v>
      </c>
      <c r="AH336" s="66"/>
      <c r="AI336" s="66"/>
      <c r="AJ336" s="66"/>
      <c r="AK336" s="66"/>
      <c r="AL336" s="54">
        <f>IF((AC336-SUM(AE336:AK336))&lt;0,0,AC336-SUM(AE336:AK336))</f>
        <v>0</v>
      </c>
      <c r="AM336" s="69">
        <f>SUM(AN336:AT336)</f>
        <v>1</v>
      </c>
      <c r="AN336" s="60"/>
      <c r="AO336" s="52"/>
      <c r="AP336" s="52">
        <v>1</v>
      </c>
      <c r="AQ336" s="52"/>
      <c r="AR336" s="52"/>
      <c r="AS336" s="52"/>
      <c r="AT336" s="61"/>
      <c r="AU336" s="66">
        <f>MAX(0,$AM336-$AC336-$AW336)</f>
        <v>0</v>
      </c>
      <c r="AV336" s="66"/>
      <c r="AW336" s="66"/>
      <c r="AX336" s="65">
        <v>0</v>
      </c>
      <c r="AY336" s="65">
        <f>IF(AND($AU336&gt;0,ISNUMBER($AX336)),$AU336*$AX336,0)</f>
        <v>0</v>
      </c>
      <c r="AZ336" s="46"/>
      <c r="BA336" s="52"/>
      <c r="BB336" s="52"/>
      <c r="BC336" s="52"/>
      <c r="BD336" s="52"/>
      <c r="BE336" s="52"/>
      <c r="BF336" s="52"/>
    </row>
    <row r="337" spans="1:58" ht="15" customHeight="1">
      <c r="A337" s="46" t="s">
        <v>2047</v>
      </c>
      <c r="B337" s="53" t="s">
        <v>2048</v>
      </c>
      <c r="C337" s="66" t="s">
        <v>181</v>
      </c>
      <c r="D337" s="67">
        <v>3</v>
      </c>
      <c r="E337" s="53" t="s">
        <v>71</v>
      </c>
      <c r="F337" s="50"/>
      <c r="G337" s="50"/>
      <c r="H337" s="51"/>
      <c r="I337" s="50" t="s">
        <v>2049</v>
      </c>
      <c r="J337" s="54" t="s">
        <v>73</v>
      </c>
      <c r="K337" s="58" t="s">
        <v>92</v>
      </c>
      <c r="L337" s="58" t="s">
        <v>2050</v>
      </c>
      <c r="M337" s="58"/>
      <c r="N337" s="58"/>
      <c r="O337" s="54"/>
      <c r="P337" s="56" t="s">
        <v>86</v>
      </c>
      <c r="Q337" s="58" t="s">
        <v>2051</v>
      </c>
      <c r="R337" s="50"/>
      <c r="S337" s="50"/>
      <c r="T337" s="50"/>
      <c r="U337" s="50"/>
      <c r="V337" s="57">
        <v>0.27</v>
      </c>
      <c r="W337" s="68"/>
      <c r="X337" s="50"/>
      <c r="Y337" s="50"/>
      <c r="Z337" s="50"/>
      <c r="AA337" s="50"/>
      <c r="AB337" s="57"/>
      <c r="AC337" s="54">
        <v>1</v>
      </c>
      <c r="AD337" s="69">
        <f>SUM(AE337:AK337)</f>
        <v>1</v>
      </c>
      <c r="AE337" s="66"/>
      <c r="AF337" s="66"/>
      <c r="AG337" s="66">
        <v>1</v>
      </c>
      <c r="AH337" s="66"/>
      <c r="AI337" s="66"/>
      <c r="AJ337" s="66"/>
      <c r="AK337" s="66"/>
      <c r="AL337" s="54">
        <f>IF((AC337-SUM(AE337:AK337))&lt;0,0,AC337-SUM(AE337:AK337))</f>
        <v>0</v>
      </c>
      <c r="AM337" s="69">
        <f>SUM(AN337:AT337)</f>
        <v>0</v>
      </c>
      <c r="AN337" s="60"/>
      <c r="AO337" s="52"/>
      <c r="AP337" s="52"/>
      <c r="AQ337" s="52"/>
      <c r="AR337" s="52"/>
      <c r="AS337" s="52"/>
      <c r="AT337" s="61"/>
      <c r="AU337" s="66">
        <f>MAX(0,$AM337-$AC337-$AW337)</f>
        <v>0</v>
      </c>
      <c r="AV337" s="66"/>
      <c r="AW337" s="66"/>
      <c r="AX337" s="65">
        <v>0</v>
      </c>
      <c r="AY337" s="65">
        <f>IF(AND($AU337&gt;0,ISNUMBER($AX337)),$AU337*$AX337,0)</f>
        <v>0</v>
      </c>
      <c r="AZ337" s="46"/>
      <c r="BA337" s="52"/>
      <c r="BB337" s="52" t="s">
        <v>561</v>
      </c>
      <c r="BC337" s="52"/>
      <c r="BD337" s="52"/>
      <c r="BE337" s="52"/>
      <c r="BF337" s="52"/>
    </row>
    <row r="338" spans="1:58" ht="15" customHeight="1">
      <c r="A338" s="46" t="s">
        <v>2052</v>
      </c>
      <c r="B338" s="53" t="s">
        <v>2053</v>
      </c>
      <c r="C338" s="66" t="s">
        <v>109</v>
      </c>
      <c r="D338" s="67">
        <v>2</v>
      </c>
      <c r="E338" s="53" t="s">
        <v>81</v>
      </c>
      <c r="F338" s="50">
        <v>1</v>
      </c>
      <c r="G338" s="50">
        <v>1</v>
      </c>
      <c r="H338" s="51" t="s">
        <v>2054</v>
      </c>
      <c r="I338" s="50" t="s">
        <v>2055</v>
      </c>
      <c r="J338" s="54" t="s">
        <v>73</v>
      </c>
      <c r="K338" s="58" t="s">
        <v>344</v>
      </c>
      <c r="L338" s="58" t="s">
        <v>2056</v>
      </c>
      <c r="M338" s="58" t="s">
        <v>2057</v>
      </c>
      <c r="N338" s="58"/>
      <c r="O338" s="54"/>
      <c r="P338" s="56" t="s">
        <v>185</v>
      </c>
      <c r="Q338" s="58" t="s">
        <v>462</v>
      </c>
      <c r="R338" s="50"/>
      <c r="S338" s="50"/>
      <c r="T338" s="50"/>
      <c r="U338" s="50"/>
      <c r="V338" s="57">
        <v>0.27</v>
      </c>
      <c r="W338" s="68"/>
      <c r="X338" s="50"/>
      <c r="Y338" s="50"/>
      <c r="Z338" s="50"/>
      <c r="AA338" s="50"/>
      <c r="AB338" s="57"/>
      <c r="AC338" s="54">
        <v>1</v>
      </c>
      <c r="AD338" s="69">
        <f>SUM(AE338:AK338)</f>
        <v>1</v>
      </c>
      <c r="AE338" s="66"/>
      <c r="AF338" s="66"/>
      <c r="AG338" s="66">
        <v>1</v>
      </c>
      <c r="AH338" s="66"/>
      <c r="AI338" s="66"/>
      <c r="AJ338" s="66"/>
      <c r="AK338" s="66"/>
      <c r="AL338" s="54">
        <f>IF((AC338-SUM(AE338:AK338))&lt;0,0,AC338-SUM(AE338:AK338))</f>
        <v>0</v>
      </c>
      <c r="AM338" s="69">
        <f>SUM(AN338:AT338)</f>
        <v>1</v>
      </c>
      <c r="AN338" s="60"/>
      <c r="AO338" s="52"/>
      <c r="AP338" s="52">
        <v>1</v>
      </c>
      <c r="AQ338" s="52"/>
      <c r="AR338" s="52"/>
      <c r="AS338" s="52"/>
      <c r="AT338" s="61"/>
      <c r="AU338" s="66">
        <f>MAX(0,$AM338-$AC338-$AW338)</f>
        <v>0</v>
      </c>
      <c r="AV338" s="66"/>
      <c r="AW338" s="66"/>
      <c r="AX338" s="65">
        <v>0</v>
      </c>
      <c r="AY338" s="65">
        <f>IF(AND($AU338&gt;0,ISNUMBER($AX338)),$AU338*$AX338,0)</f>
        <v>0</v>
      </c>
      <c r="AZ338" s="46"/>
      <c r="BA338" s="52"/>
      <c r="BB338" s="52"/>
      <c r="BC338" s="52"/>
      <c r="BD338" s="52"/>
      <c r="BE338" s="52"/>
      <c r="BF338" s="52"/>
    </row>
    <row r="339" spans="1:58" ht="15" customHeight="1">
      <c r="A339" s="46" t="s">
        <v>2058</v>
      </c>
      <c r="B339" s="53" t="s">
        <v>2059</v>
      </c>
      <c r="C339" s="66" t="s">
        <v>80</v>
      </c>
      <c r="D339" s="67">
        <v>4</v>
      </c>
      <c r="E339" s="53" t="s">
        <v>71</v>
      </c>
      <c r="F339" s="50"/>
      <c r="G339" s="50"/>
      <c r="H339" s="51"/>
      <c r="I339" s="50" t="s">
        <v>2060</v>
      </c>
      <c r="J339" s="54" t="s">
        <v>73</v>
      </c>
      <c r="K339" s="58" t="s">
        <v>344</v>
      </c>
      <c r="L339" s="58" t="s">
        <v>2061</v>
      </c>
      <c r="M339" s="58" t="s">
        <v>2062</v>
      </c>
      <c r="N339" s="58"/>
      <c r="O339" s="54"/>
      <c r="P339" s="56" t="s">
        <v>185</v>
      </c>
      <c r="Q339" s="58" t="s">
        <v>516</v>
      </c>
      <c r="R339" s="50"/>
      <c r="S339" s="50"/>
      <c r="T339" s="50"/>
      <c r="U339" s="50"/>
      <c r="V339" s="57">
        <v>0.27</v>
      </c>
      <c r="W339" s="68"/>
      <c r="X339" s="50"/>
      <c r="Y339" s="50"/>
      <c r="Z339" s="50"/>
      <c r="AA339" s="50"/>
      <c r="AB339" s="57"/>
      <c r="AC339" s="54">
        <v>1</v>
      </c>
      <c r="AD339" s="69">
        <f>SUM(AE339:AK339)</f>
        <v>1</v>
      </c>
      <c r="AE339" s="66"/>
      <c r="AF339" s="66"/>
      <c r="AG339" s="66">
        <v>1</v>
      </c>
      <c r="AH339" s="66"/>
      <c r="AI339" s="66"/>
      <c r="AJ339" s="66"/>
      <c r="AK339" s="66"/>
      <c r="AL339" s="54">
        <f>IF((AC339-SUM(AE339:AK339))&lt;0,0,AC339-SUM(AE339:AK339))</f>
        <v>0</v>
      </c>
      <c r="AM339" s="69">
        <f>SUM(AN339:AT339)</f>
        <v>1</v>
      </c>
      <c r="AN339" s="60"/>
      <c r="AO339" s="52"/>
      <c r="AP339" s="52">
        <v>1</v>
      </c>
      <c r="AQ339" s="52"/>
      <c r="AR339" s="52"/>
      <c r="AS339" s="52"/>
      <c r="AT339" s="61"/>
      <c r="AU339" s="66">
        <f>MAX(0,$AM339-$AC339-$AW339)</f>
        <v>0</v>
      </c>
      <c r="AV339" s="66"/>
      <c r="AW339" s="66"/>
      <c r="AX339" s="65">
        <v>0</v>
      </c>
      <c r="AY339" s="65">
        <f>IF(AND($AU339&gt;0,ISNUMBER($AX339)),$AU339*$AX339,0)</f>
        <v>0</v>
      </c>
      <c r="AZ339" s="46"/>
      <c r="BA339" s="52"/>
      <c r="BB339" s="52"/>
      <c r="BC339" s="52"/>
      <c r="BD339" s="52"/>
      <c r="BE339" s="52"/>
      <c r="BF339" s="52"/>
    </row>
    <row r="340" spans="1:58" ht="15" customHeight="1">
      <c r="A340" s="46" t="s">
        <v>2063</v>
      </c>
      <c r="B340" s="53" t="s">
        <v>2064</v>
      </c>
      <c r="C340" s="66" t="s">
        <v>109</v>
      </c>
      <c r="D340" s="67">
        <v>3</v>
      </c>
      <c r="E340" s="53" t="s">
        <v>81</v>
      </c>
      <c r="F340" s="50">
        <v>2</v>
      </c>
      <c r="G340" s="50">
        <v>3</v>
      </c>
      <c r="H340" s="51" t="s">
        <v>90</v>
      </c>
      <c r="I340" s="50" t="s">
        <v>2065</v>
      </c>
      <c r="J340" s="54" t="s">
        <v>73</v>
      </c>
      <c r="K340" s="58" t="s">
        <v>92</v>
      </c>
      <c r="L340" s="58" t="s">
        <v>2066</v>
      </c>
      <c r="M340" s="58"/>
      <c r="N340" s="58"/>
      <c r="O340" s="54"/>
      <c r="P340" s="56" t="s">
        <v>185</v>
      </c>
      <c r="Q340" s="58" t="s">
        <v>669</v>
      </c>
      <c r="R340" s="50"/>
      <c r="S340" s="50"/>
      <c r="T340" s="50"/>
      <c r="U340" s="56"/>
      <c r="V340" s="57">
        <v>0.26</v>
      </c>
      <c r="W340" s="68"/>
      <c r="X340" s="50"/>
      <c r="Y340" s="50"/>
      <c r="Z340" s="50"/>
      <c r="AA340" s="56"/>
      <c r="AB340" s="57"/>
      <c r="AC340" s="54">
        <v>1</v>
      </c>
      <c r="AD340" s="69">
        <f>SUM(AE340:AK340)</f>
        <v>1</v>
      </c>
      <c r="AE340" s="66"/>
      <c r="AF340" s="66"/>
      <c r="AG340" s="66">
        <v>1</v>
      </c>
      <c r="AH340" s="66"/>
      <c r="AI340" s="66"/>
      <c r="AJ340" s="66"/>
      <c r="AK340" s="66"/>
      <c r="AL340" s="54">
        <f>IF((AC340-SUM(AE340:AK340))&lt;0,0,AC340-SUM(AE340:AK340))</f>
        <v>0</v>
      </c>
      <c r="AM340" s="69">
        <f>SUM(AN340:AT340)</f>
        <v>0</v>
      </c>
      <c r="AN340" s="60"/>
      <c r="AO340" s="52"/>
      <c r="AP340" s="52"/>
      <c r="AQ340" s="52"/>
      <c r="AR340" s="52"/>
      <c r="AS340" s="52"/>
      <c r="AT340" s="61"/>
      <c r="AU340" s="66">
        <f>MAX(0,$AM340-$AC340-$AW340)</f>
        <v>0</v>
      </c>
      <c r="AV340" s="66"/>
      <c r="AW340" s="66"/>
      <c r="AX340" s="65">
        <v>0</v>
      </c>
      <c r="AY340" s="65">
        <f>IF(AND($AU340&gt;0,ISNUMBER($AX340)),$AU340*$AX340,0)</f>
        <v>0</v>
      </c>
      <c r="AZ340" s="46"/>
      <c r="BA340" s="52"/>
      <c r="BB340" s="52" t="s">
        <v>203</v>
      </c>
      <c r="BC340" s="52"/>
      <c r="BD340" s="52"/>
      <c r="BE340" s="52"/>
      <c r="BF340" s="52"/>
    </row>
    <row r="341" spans="1:58" ht="15" customHeight="1">
      <c r="A341" s="46" t="s">
        <v>2067</v>
      </c>
      <c r="B341" s="53" t="s">
        <v>2068</v>
      </c>
      <c r="C341" s="66" t="s">
        <v>232</v>
      </c>
      <c r="D341" s="67">
        <v>0</v>
      </c>
      <c r="E341" s="53" t="s">
        <v>233</v>
      </c>
      <c r="F341" s="50"/>
      <c r="G341" s="50"/>
      <c r="H341" s="51"/>
      <c r="I341" s="50" t="s">
        <v>2069</v>
      </c>
      <c r="J341" s="54" t="s">
        <v>73</v>
      </c>
      <c r="K341" s="58" t="s">
        <v>235</v>
      </c>
      <c r="L341" s="58" t="s">
        <v>2070</v>
      </c>
      <c r="M341" s="58" t="s">
        <v>2071</v>
      </c>
      <c r="N341" s="58"/>
      <c r="O341" s="54"/>
      <c r="P341" s="56" t="s">
        <v>185</v>
      </c>
      <c r="Q341" s="58" t="s">
        <v>907</v>
      </c>
      <c r="R341" s="50"/>
      <c r="S341" s="50"/>
      <c r="T341" s="50"/>
      <c r="U341" s="50"/>
      <c r="V341" s="57">
        <v>0.26</v>
      </c>
      <c r="W341" s="68"/>
      <c r="X341" s="50"/>
      <c r="Y341" s="50"/>
      <c r="Z341" s="50"/>
      <c r="AA341" s="50"/>
      <c r="AB341" s="57"/>
      <c r="AC341" s="54">
        <v>1</v>
      </c>
      <c r="AD341" s="69">
        <f>SUM(AE341:AK341)</f>
        <v>1</v>
      </c>
      <c r="AE341" s="66"/>
      <c r="AF341" s="66"/>
      <c r="AG341" s="66">
        <v>1</v>
      </c>
      <c r="AH341" s="66"/>
      <c r="AI341" s="66"/>
      <c r="AJ341" s="66"/>
      <c r="AK341" s="66"/>
      <c r="AL341" s="54">
        <f>IF((AC341-SUM(AE341:AK341))&lt;0,0,AC341-SUM(AE341:AK341))</f>
        <v>0</v>
      </c>
      <c r="AM341" s="69">
        <f>SUM(AN341:AT341)</f>
        <v>1</v>
      </c>
      <c r="AN341" s="60"/>
      <c r="AO341" s="52"/>
      <c r="AP341" s="52">
        <v>1</v>
      </c>
      <c r="AQ341" s="52"/>
      <c r="AR341" s="52"/>
      <c r="AS341" s="52"/>
      <c r="AT341" s="61"/>
      <c r="AU341" s="66">
        <f>MAX(0,$AM341-$AC341-$AW341)</f>
        <v>0</v>
      </c>
      <c r="AV341" s="66"/>
      <c r="AW341" s="66"/>
      <c r="AX341" s="65">
        <v>0</v>
      </c>
      <c r="AY341" s="65">
        <f>IF(AND($AU341&gt;0,ISNUMBER($AX341)),$AU341*$AX341,0)</f>
        <v>0</v>
      </c>
      <c r="AZ341" s="46"/>
      <c r="BA341" s="52"/>
      <c r="BB341" s="52"/>
      <c r="BC341" s="52"/>
      <c r="BD341" s="52"/>
      <c r="BE341" s="52"/>
      <c r="BF341" s="52"/>
    </row>
    <row r="342" spans="1:58" ht="15" customHeight="1">
      <c r="A342" s="46" t="s">
        <v>2072</v>
      </c>
      <c r="B342" s="53" t="s">
        <v>2073</v>
      </c>
      <c r="C342" s="66" t="s">
        <v>80</v>
      </c>
      <c r="D342" s="67">
        <v>2</v>
      </c>
      <c r="E342" s="53" t="s">
        <v>81</v>
      </c>
      <c r="F342" s="50">
        <v>1</v>
      </c>
      <c r="G342" s="50">
        <v>1</v>
      </c>
      <c r="H342" s="51" t="s">
        <v>2074</v>
      </c>
      <c r="I342" s="50" t="s">
        <v>2075</v>
      </c>
      <c r="J342" s="54" t="s">
        <v>73</v>
      </c>
      <c r="K342" s="58" t="s">
        <v>344</v>
      </c>
      <c r="L342" s="58" t="s">
        <v>2076</v>
      </c>
      <c r="M342" s="58" t="s">
        <v>995</v>
      </c>
      <c r="N342" s="58"/>
      <c r="O342" s="54"/>
      <c r="P342" s="56" t="s">
        <v>185</v>
      </c>
      <c r="Q342" s="58" t="s">
        <v>616</v>
      </c>
      <c r="R342" s="50"/>
      <c r="S342" s="50"/>
      <c r="T342" s="50"/>
      <c r="U342" s="50"/>
      <c r="V342" s="57">
        <v>0.25</v>
      </c>
      <c r="W342" s="68"/>
      <c r="X342" s="50"/>
      <c r="Y342" s="50"/>
      <c r="Z342" s="50"/>
      <c r="AA342" s="50"/>
      <c r="AB342" s="57"/>
      <c r="AC342" s="54">
        <v>1</v>
      </c>
      <c r="AD342" s="69">
        <f>SUM(AE342:AK342)</f>
        <v>1</v>
      </c>
      <c r="AE342" s="66"/>
      <c r="AF342" s="66"/>
      <c r="AG342" s="66">
        <v>1</v>
      </c>
      <c r="AH342" s="66"/>
      <c r="AI342" s="66"/>
      <c r="AJ342" s="66"/>
      <c r="AK342" s="66"/>
      <c r="AL342" s="54">
        <f>IF((AC342-SUM(AE342:AK342))&lt;0,0,AC342-SUM(AE342:AK342))</f>
        <v>0</v>
      </c>
      <c r="AM342" s="69">
        <f>SUM(AN342:AT342)</f>
        <v>1</v>
      </c>
      <c r="AN342" s="60"/>
      <c r="AO342" s="52"/>
      <c r="AP342" s="52">
        <v>1</v>
      </c>
      <c r="AQ342" s="52"/>
      <c r="AR342" s="52"/>
      <c r="AS342" s="52"/>
      <c r="AT342" s="61"/>
      <c r="AU342" s="66">
        <f>MAX(0,$AM342-$AC342-$AW342)</f>
        <v>0</v>
      </c>
      <c r="AV342" s="66"/>
      <c r="AW342" s="66"/>
      <c r="AX342" s="65">
        <v>0</v>
      </c>
      <c r="AY342" s="65">
        <f>IF(AND($AU342&gt;0,ISNUMBER($AX342)),$AU342*$AX342,0)</f>
        <v>0</v>
      </c>
      <c r="AZ342" s="46"/>
      <c r="BA342" s="52"/>
      <c r="BB342" s="52"/>
      <c r="BC342" s="52"/>
      <c r="BD342" s="52"/>
      <c r="BE342" s="52"/>
      <c r="BF342" s="52"/>
    </row>
    <row r="343" spans="1:58" ht="15" customHeight="1">
      <c r="A343" s="46" t="s">
        <v>2077</v>
      </c>
      <c r="B343" s="53" t="s">
        <v>2078</v>
      </c>
      <c r="C343" s="66" t="s">
        <v>311</v>
      </c>
      <c r="D343" s="67">
        <v>0</v>
      </c>
      <c r="E343" s="53" t="s">
        <v>312</v>
      </c>
      <c r="F343" s="50"/>
      <c r="G343" s="50"/>
      <c r="H343" s="51"/>
      <c r="I343" s="50" t="s">
        <v>2079</v>
      </c>
      <c r="J343" s="54" t="s">
        <v>73</v>
      </c>
      <c r="K343" s="58" t="s">
        <v>312</v>
      </c>
      <c r="L343" s="58" t="s">
        <v>1319</v>
      </c>
      <c r="M343" s="58" t="s">
        <v>2080</v>
      </c>
      <c r="N343" s="58"/>
      <c r="O343" s="54"/>
      <c r="P343" s="56" t="s">
        <v>86</v>
      </c>
      <c r="Q343" s="58" t="s">
        <v>2081</v>
      </c>
      <c r="R343" s="54"/>
      <c r="S343" s="54"/>
      <c r="T343" s="54"/>
      <c r="U343" s="54"/>
      <c r="V343" s="57">
        <v>0.24</v>
      </c>
      <c r="W343" s="68"/>
      <c r="X343" s="54"/>
      <c r="Y343" s="54"/>
      <c r="Z343" s="54"/>
      <c r="AA343" s="54"/>
      <c r="AB343" s="57"/>
      <c r="AC343" s="54">
        <v>1</v>
      </c>
      <c r="AD343" s="69">
        <f>SUM(AE343:AK343)</f>
        <v>1</v>
      </c>
      <c r="AE343" s="66"/>
      <c r="AF343" s="66"/>
      <c r="AG343" s="66">
        <v>1</v>
      </c>
      <c r="AH343" s="66"/>
      <c r="AI343" s="66"/>
      <c r="AJ343" s="66"/>
      <c r="AK343" s="66"/>
      <c r="AL343" s="54">
        <f>IF((AC343-SUM(AE343:AK343))&lt;0,0,AC343-SUM(AE343:AK343))</f>
        <v>0</v>
      </c>
      <c r="AM343" s="69">
        <f>SUM(AN343:AT343)</f>
        <v>1</v>
      </c>
      <c r="AN343" s="60"/>
      <c r="AO343" s="52"/>
      <c r="AP343" s="52">
        <v>1</v>
      </c>
      <c r="AQ343" s="52"/>
      <c r="AR343" s="52"/>
      <c r="AS343" s="52"/>
      <c r="AT343" s="61"/>
      <c r="AU343" s="66">
        <f>MAX(0,$AM343-$AC343-$AW343)</f>
        <v>0</v>
      </c>
      <c r="AV343" s="66"/>
      <c r="AW343" s="66"/>
      <c r="AX343" s="65">
        <v>0</v>
      </c>
      <c r="AY343" s="65">
        <f>IF(AND($AU343&gt;0,ISNUMBER($AX343)),$AU343*$AX343,0)</f>
        <v>0</v>
      </c>
      <c r="AZ343" s="46"/>
      <c r="BA343" s="52"/>
      <c r="BB343" s="52"/>
      <c r="BC343" s="52"/>
      <c r="BD343" s="52"/>
      <c r="BE343" s="52"/>
      <c r="BF343" s="52"/>
    </row>
    <row r="344" spans="1:58" ht="15" customHeight="1">
      <c r="A344" s="46" t="s">
        <v>2082</v>
      </c>
      <c r="B344" s="53" t="s">
        <v>2083</v>
      </c>
      <c r="C344" s="66" t="s">
        <v>232</v>
      </c>
      <c r="D344" s="67">
        <v>0</v>
      </c>
      <c r="E344" s="53" t="s">
        <v>233</v>
      </c>
      <c r="F344" s="50"/>
      <c r="G344" s="50"/>
      <c r="H344" s="51"/>
      <c r="I344" s="50" t="s">
        <v>2084</v>
      </c>
      <c r="J344" s="54" t="s">
        <v>73</v>
      </c>
      <c r="K344" s="58" t="s">
        <v>235</v>
      </c>
      <c r="L344" s="58" t="s">
        <v>2085</v>
      </c>
      <c r="M344" s="58" t="s">
        <v>2086</v>
      </c>
      <c r="N344" s="58"/>
      <c r="O344" s="54"/>
      <c r="P344" s="56" t="s">
        <v>86</v>
      </c>
      <c r="Q344" s="58" t="s">
        <v>2081</v>
      </c>
      <c r="R344" s="50"/>
      <c r="S344" s="50"/>
      <c r="T344" s="50"/>
      <c r="U344" s="50"/>
      <c r="V344" s="57">
        <v>0.24</v>
      </c>
      <c r="W344" s="68"/>
      <c r="X344" s="50"/>
      <c r="Y344" s="50"/>
      <c r="Z344" s="50"/>
      <c r="AA344" s="50"/>
      <c r="AB344" s="57"/>
      <c r="AC344" s="54">
        <v>1</v>
      </c>
      <c r="AD344" s="69">
        <f>SUM(AE344:AK344)</f>
        <v>1</v>
      </c>
      <c r="AE344" s="66"/>
      <c r="AF344" s="66"/>
      <c r="AG344" s="66">
        <v>1</v>
      </c>
      <c r="AH344" s="66"/>
      <c r="AI344" s="66"/>
      <c r="AJ344" s="66"/>
      <c r="AK344" s="66"/>
      <c r="AL344" s="54">
        <f>IF((AC344-SUM(AE344:AK344))&lt;0,0,AC344-SUM(AE344:AK344))</f>
        <v>0</v>
      </c>
      <c r="AM344" s="69">
        <f>SUM(AN344:AT344)</f>
        <v>1</v>
      </c>
      <c r="AN344" s="60"/>
      <c r="AO344" s="52"/>
      <c r="AP344" s="52">
        <v>1</v>
      </c>
      <c r="AQ344" s="52"/>
      <c r="AR344" s="52"/>
      <c r="AS344" s="52"/>
      <c r="AT344" s="61"/>
      <c r="AU344" s="66">
        <f>MAX(0,$AM344-$AC344-$AW344)</f>
        <v>0</v>
      </c>
      <c r="AV344" s="66"/>
      <c r="AW344" s="66"/>
      <c r="AX344" s="65">
        <v>0</v>
      </c>
      <c r="AY344" s="65">
        <f>IF(AND($AU344&gt;0,ISNUMBER($AX344)),$AU344*$AX344,0)</f>
        <v>0</v>
      </c>
      <c r="AZ344" s="46"/>
      <c r="BA344" s="52"/>
      <c r="BB344" s="52"/>
      <c r="BC344" s="52"/>
      <c r="BD344" s="52"/>
      <c r="BE344" s="52"/>
      <c r="BF344" s="52"/>
    </row>
    <row r="345" spans="1:58" ht="15" customHeight="1">
      <c r="A345" s="46" t="s">
        <v>2087</v>
      </c>
      <c r="B345" s="53" t="s">
        <v>2088</v>
      </c>
      <c r="C345" s="66" t="s">
        <v>80</v>
      </c>
      <c r="D345" s="67">
        <v>2</v>
      </c>
      <c r="E345" s="53" t="s">
        <v>81</v>
      </c>
      <c r="F345" s="50">
        <v>2</v>
      </c>
      <c r="G345" s="50">
        <v>1</v>
      </c>
      <c r="H345" s="51" t="s">
        <v>90</v>
      </c>
      <c r="I345" s="50" t="s">
        <v>2089</v>
      </c>
      <c r="J345" s="54" t="s">
        <v>73</v>
      </c>
      <c r="K345" s="58" t="s">
        <v>74</v>
      </c>
      <c r="L345" s="58" t="s">
        <v>2090</v>
      </c>
      <c r="M345" s="58"/>
      <c r="N345" s="58"/>
      <c r="O345" s="54"/>
      <c r="P345" s="56" t="s">
        <v>185</v>
      </c>
      <c r="Q345" s="58" t="s">
        <v>669</v>
      </c>
      <c r="R345" s="74" t="s">
        <v>2091</v>
      </c>
      <c r="S345" s="74">
        <v>1</v>
      </c>
      <c r="T345" s="74">
        <v>0</v>
      </c>
      <c r="U345" s="56"/>
      <c r="V345" s="57">
        <v>0.21</v>
      </c>
      <c r="W345" s="68"/>
      <c r="X345" s="50"/>
      <c r="Y345" s="50"/>
      <c r="Z345" s="50"/>
      <c r="AA345" s="56"/>
      <c r="AB345" s="57"/>
      <c r="AC345" s="54">
        <v>1</v>
      </c>
      <c r="AD345" s="69">
        <f>SUM(AE345:AK345)</f>
        <v>1</v>
      </c>
      <c r="AE345" s="66"/>
      <c r="AF345" s="66"/>
      <c r="AG345" s="66">
        <v>1</v>
      </c>
      <c r="AH345" s="66"/>
      <c r="AI345" s="66"/>
      <c r="AJ345" s="66"/>
      <c r="AK345" s="66"/>
      <c r="AL345" s="54">
        <f>IF((AC345-SUM(AE345:AK345))&lt;0,0,AC345-SUM(AE345:AK345))</f>
        <v>0</v>
      </c>
      <c r="AM345" s="69">
        <f>SUM(AN345:AT345)</f>
        <v>0</v>
      </c>
      <c r="AN345" s="60"/>
      <c r="AO345" s="52"/>
      <c r="AP345" s="52"/>
      <c r="AQ345" s="52"/>
      <c r="AR345" s="52"/>
      <c r="AS345" s="52"/>
      <c r="AT345" s="61"/>
      <c r="AU345" s="66">
        <f>MAX(0,$AM345-$AC345-$AW345)</f>
        <v>0</v>
      </c>
      <c r="AV345" s="66"/>
      <c r="AW345" s="66"/>
      <c r="AX345" s="65">
        <v>0</v>
      </c>
      <c r="AY345" s="65">
        <f>IF(AND($AU345&gt;0,ISNUMBER($AX345)),$AU345*$AX345,0)</f>
        <v>0</v>
      </c>
      <c r="AZ345" s="46"/>
      <c r="BA345" s="52"/>
      <c r="BB345" s="52" t="s">
        <v>537</v>
      </c>
      <c r="BC345" s="52"/>
      <c r="BD345" s="52"/>
      <c r="BE345" s="52"/>
      <c r="BF345" s="52"/>
    </row>
    <row r="346" spans="1:58" ht="15" customHeight="1">
      <c r="A346" s="46" t="s">
        <v>2092</v>
      </c>
      <c r="B346" s="53" t="s">
        <v>2093</v>
      </c>
      <c r="C346" s="66" t="s">
        <v>311</v>
      </c>
      <c r="D346" s="67">
        <v>0</v>
      </c>
      <c r="E346" s="53" t="s">
        <v>312</v>
      </c>
      <c r="F346" s="50"/>
      <c r="G346" s="50"/>
      <c r="H346" s="51"/>
      <c r="I346" s="50" t="s">
        <v>2094</v>
      </c>
      <c r="J346" s="54" t="s">
        <v>73</v>
      </c>
      <c r="K346" s="58" t="s">
        <v>312</v>
      </c>
      <c r="L346" s="58" t="s">
        <v>1933</v>
      </c>
      <c r="M346" s="58" t="s">
        <v>1452</v>
      </c>
      <c r="N346" s="58"/>
      <c r="O346" s="54"/>
      <c r="P346" s="56" t="s">
        <v>76</v>
      </c>
      <c r="Q346" s="58" t="s">
        <v>1030</v>
      </c>
      <c r="R346" s="50"/>
      <c r="S346" s="50"/>
      <c r="T346" s="50"/>
      <c r="U346" s="50"/>
      <c r="V346" s="57">
        <v>0.2</v>
      </c>
      <c r="W346" s="68"/>
      <c r="X346" s="50"/>
      <c r="Y346" s="50"/>
      <c r="Z346" s="50"/>
      <c r="AA346" s="50"/>
      <c r="AB346" s="57"/>
      <c r="AC346" s="54">
        <v>1</v>
      </c>
      <c r="AD346" s="69">
        <f>SUM(AE346:AK346)</f>
        <v>1</v>
      </c>
      <c r="AE346" s="66"/>
      <c r="AF346" s="66"/>
      <c r="AG346" s="66">
        <v>1</v>
      </c>
      <c r="AH346" s="66"/>
      <c r="AI346" s="66"/>
      <c r="AJ346" s="66"/>
      <c r="AK346" s="66"/>
      <c r="AL346" s="54">
        <f>IF((AC346-SUM(AE346:AK346))&lt;0,0,AC346-SUM(AE346:AK346))</f>
        <v>0</v>
      </c>
      <c r="AM346" s="69">
        <f>SUM(AN346:AT346)</f>
        <v>1</v>
      </c>
      <c r="AN346" s="60"/>
      <c r="AO346" s="52"/>
      <c r="AP346" s="52">
        <v>1</v>
      </c>
      <c r="AQ346" s="52"/>
      <c r="AR346" s="52"/>
      <c r="AS346" s="52"/>
      <c r="AT346" s="61"/>
      <c r="AU346" s="66">
        <f>MAX(0,$AM346-$AC346-$AW346)</f>
        <v>0</v>
      </c>
      <c r="AV346" s="66"/>
      <c r="AW346" s="66"/>
      <c r="AX346" s="65">
        <v>0</v>
      </c>
      <c r="AY346" s="65">
        <f>IF(AND($AU346&gt;0,ISNUMBER($AX346)),$AU346*$AX346,0)</f>
        <v>0</v>
      </c>
      <c r="AZ346" s="46"/>
      <c r="BA346" s="52"/>
      <c r="BB346" s="52"/>
      <c r="BC346" s="52"/>
      <c r="BD346" s="52"/>
      <c r="BE346" s="52"/>
      <c r="BF346" s="52"/>
    </row>
    <row r="347" spans="1:58" ht="15" customHeight="1">
      <c r="A347" s="46" t="s">
        <v>2095</v>
      </c>
      <c r="B347" s="53" t="s">
        <v>2096</v>
      </c>
      <c r="C347" s="66" t="s">
        <v>101</v>
      </c>
      <c r="D347" s="67">
        <v>5</v>
      </c>
      <c r="E347" s="53" t="s">
        <v>81</v>
      </c>
      <c r="F347" s="50">
        <v>4</v>
      </c>
      <c r="G347" s="50">
        <v>3</v>
      </c>
      <c r="H347" s="51" t="s">
        <v>2097</v>
      </c>
      <c r="I347" s="50" t="s">
        <v>2098</v>
      </c>
      <c r="J347" s="54" t="s">
        <v>73</v>
      </c>
      <c r="K347" s="58" t="s">
        <v>344</v>
      </c>
      <c r="L347" s="58" t="s">
        <v>2099</v>
      </c>
      <c r="M347" s="58"/>
      <c r="N347" s="58"/>
      <c r="O347" s="54"/>
      <c r="P347" s="56" t="s">
        <v>185</v>
      </c>
      <c r="Q347" s="58" t="s">
        <v>536</v>
      </c>
      <c r="R347" s="50"/>
      <c r="S347" s="50"/>
      <c r="T347" s="50"/>
      <c r="U347" s="50"/>
      <c r="V347" s="57">
        <v>0.2</v>
      </c>
      <c r="W347" s="68"/>
      <c r="X347" s="50"/>
      <c r="Y347" s="50"/>
      <c r="Z347" s="50"/>
      <c r="AA347" s="50"/>
      <c r="AB347" s="57"/>
      <c r="AC347" s="54">
        <v>1</v>
      </c>
      <c r="AD347" s="69">
        <f>SUM(AE347:AK347)</f>
        <v>1</v>
      </c>
      <c r="AE347" s="66"/>
      <c r="AF347" s="66"/>
      <c r="AG347" s="66">
        <v>1</v>
      </c>
      <c r="AH347" s="66"/>
      <c r="AI347" s="66"/>
      <c r="AJ347" s="66"/>
      <c r="AK347" s="66"/>
      <c r="AL347" s="54">
        <f>IF((AC347-SUM(AE347:AK347))&lt;0,0,AC347-SUM(AE347:AK347))</f>
        <v>0</v>
      </c>
      <c r="AM347" s="69">
        <f>SUM(AN347:AT347)</f>
        <v>1</v>
      </c>
      <c r="AN347" s="60"/>
      <c r="AO347" s="52"/>
      <c r="AP347" s="52">
        <v>1</v>
      </c>
      <c r="AQ347" s="52"/>
      <c r="AR347" s="52"/>
      <c r="AS347" s="52"/>
      <c r="AT347" s="61"/>
      <c r="AU347" s="66">
        <f>MAX(0,$AM347-$AC347-$AW347)</f>
        <v>0</v>
      </c>
      <c r="AV347" s="66"/>
      <c r="AW347" s="66"/>
      <c r="AX347" s="65">
        <v>0</v>
      </c>
      <c r="AY347" s="65">
        <f>IF(AND($AU347&gt;0,ISNUMBER($AX347)),$AU347*$AX347,0)</f>
        <v>0</v>
      </c>
      <c r="AZ347" s="46"/>
      <c r="BA347" s="52"/>
      <c r="BB347" s="52"/>
      <c r="BC347" s="52"/>
      <c r="BD347" s="52"/>
      <c r="BE347" s="52"/>
      <c r="BF347" s="52"/>
    </row>
    <row r="348" spans="1:58" ht="15" customHeight="1">
      <c r="A348" s="46" t="s">
        <v>2100</v>
      </c>
      <c r="B348" s="47" t="s">
        <v>2101</v>
      </c>
      <c r="C348" s="48" t="s">
        <v>101</v>
      </c>
      <c r="D348" s="49">
        <v>2</v>
      </c>
      <c r="E348" s="47" t="s">
        <v>189</v>
      </c>
      <c r="F348" s="50"/>
      <c r="G348" s="50"/>
      <c r="H348" s="51"/>
      <c r="I348" s="50" t="s">
        <v>2102</v>
      </c>
      <c r="J348" s="52" t="s">
        <v>73</v>
      </c>
      <c r="K348" s="47" t="s">
        <v>135</v>
      </c>
      <c r="L348" s="53" t="s">
        <v>2103</v>
      </c>
      <c r="M348" s="53" t="s">
        <v>2104</v>
      </c>
      <c r="N348" s="53"/>
      <c r="O348" s="54"/>
      <c r="P348" s="55" t="s">
        <v>76</v>
      </c>
      <c r="Q348" s="47" t="s">
        <v>633</v>
      </c>
      <c r="R348" s="75" t="s">
        <v>2105</v>
      </c>
      <c r="S348" s="75">
        <v>1</v>
      </c>
      <c r="T348" s="75">
        <v>0</v>
      </c>
      <c r="U348" s="56"/>
      <c r="V348" s="57">
        <v>0.19</v>
      </c>
      <c r="W348" s="68"/>
      <c r="X348" s="46"/>
      <c r="Y348" s="46"/>
      <c r="Z348" s="46"/>
      <c r="AA348" s="56"/>
      <c r="AB348" s="57"/>
      <c r="AC348" s="54">
        <v>1</v>
      </c>
      <c r="AD348" s="69">
        <f>SUM(AE348:AK348)</f>
        <v>1</v>
      </c>
      <c r="AE348" s="66"/>
      <c r="AF348" s="66"/>
      <c r="AG348" s="66">
        <v>1</v>
      </c>
      <c r="AH348" s="66"/>
      <c r="AI348" s="66"/>
      <c r="AJ348" s="66"/>
      <c r="AK348" s="66"/>
      <c r="AL348" s="54">
        <f>IF((AC348-SUM(AE348:AK348))&lt;0,0,AC348-SUM(AE348:AK348))</f>
        <v>0</v>
      </c>
      <c r="AM348" s="69">
        <f>SUM(AN348:AT348)</f>
        <v>1</v>
      </c>
      <c r="AN348" s="60"/>
      <c r="AO348" s="52"/>
      <c r="AP348" s="52">
        <v>1</v>
      </c>
      <c r="AQ348" s="52"/>
      <c r="AR348" s="52"/>
      <c r="AS348" s="52"/>
      <c r="AT348" s="61"/>
      <c r="AU348" s="66">
        <f>MAX(0,$AM348-$AC348-$AW348)</f>
        <v>0</v>
      </c>
      <c r="AV348" s="48"/>
      <c r="AW348" s="48"/>
      <c r="AX348" s="65">
        <v>0</v>
      </c>
      <c r="AY348" s="65">
        <f>IF(AND($AU348&gt;0,ISNUMBER($AX348)),$AU348*$AX348,0)</f>
        <v>0</v>
      </c>
      <c r="AZ348" s="46"/>
      <c r="BA348" s="52"/>
      <c r="BB348" s="52"/>
      <c r="BC348" s="52"/>
      <c r="BD348" s="52"/>
      <c r="BE348" s="52"/>
      <c r="BF348" s="52"/>
    </row>
    <row r="349" spans="1:58" ht="15" customHeight="1">
      <c r="A349" s="46" t="s">
        <v>2106</v>
      </c>
      <c r="B349" s="53" t="s">
        <v>2107</v>
      </c>
      <c r="C349" s="66" t="s">
        <v>109</v>
      </c>
      <c r="D349" s="67">
        <v>3</v>
      </c>
      <c r="E349" s="53" t="s">
        <v>189</v>
      </c>
      <c r="F349" s="50"/>
      <c r="G349" s="50"/>
      <c r="H349" s="51"/>
      <c r="I349" s="50" t="s">
        <v>2108</v>
      </c>
      <c r="J349" s="54" t="s">
        <v>73</v>
      </c>
      <c r="K349" s="58" t="s">
        <v>135</v>
      </c>
      <c r="L349" s="58" t="s">
        <v>2109</v>
      </c>
      <c r="M349" s="58"/>
      <c r="N349" s="58"/>
      <c r="O349" s="54"/>
      <c r="P349" s="56" t="s">
        <v>185</v>
      </c>
      <c r="Q349" s="58" t="s">
        <v>1365</v>
      </c>
      <c r="R349" s="50"/>
      <c r="S349" s="50"/>
      <c r="T349" s="50"/>
      <c r="U349" s="50"/>
      <c r="V349" s="57">
        <v>0.19</v>
      </c>
      <c r="W349" s="68"/>
      <c r="X349" s="50"/>
      <c r="Y349" s="50"/>
      <c r="Z349" s="50"/>
      <c r="AA349" s="50"/>
      <c r="AB349" s="57"/>
      <c r="AC349" s="54">
        <v>1</v>
      </c>
      <c r="AD349" s="69">
        <f>SUM(AE349:AK349)</f>
        <v>1</v>
      </c>
      <c r="AE349" s="66"/>
      <c r="AF349" s="66"/>
      <c r="AG349" s="66">
        <v>1</v>
      </c>
      <c r="AH349" s="66"/>
      <c r="AI349" s="66"/>
      <c r="AJ349" s="66"/>
      <c r="AK349" s="66"/>
      <c r="AL349" s="54">
        <f>IF((AC349-SUM(AE349:AK349))&lt;0,0,AC349-SUM(AE349:AK349))</f>
        <v>0</v>
      </c>
      <c r="AM349" s="69">
        <f>SUM(AN349:AT349)</f>
        <v>1</v>
      </c>
      <c r="AN349" s="60"/>
      <c r="AO349" s="52"/>
      <c r="AP349" s="52">
        <v>1</v>
      </c>
      <c r="AQ349" s="52"/>
      <c r="AR349" s="52"/>
      <c r="AS349" s="52"/>
      <c r="AT349" s="61"/>
      <c r="AU349" s="66">
        <f>MAX(0,$AM349-$AC349-$AW349)</f>
        <v>0</v>
      </c>
      <c r="AV349" s="66"/>
      <c r="AW349" s="66"/>
      <c r="AX349" s="65">
        <v>0</v>
      </c>
      <c r="AY349" s="65">
        <f>IF(AND($AU349&gt;0,ISNUMBER($AX349)),$AU349*$AX349,0)</f>
        <v>0</v>
      </c>
      <c r="AZ349" s="46"/>
      <c r="BA349" s="52"/>
      <c r="BB349" s="52"/>
      <c r="BC349" s="52"/>
      <c r="BD349" s="52"/>
      <c r="BE349" s="52"/>
      <c r="BF349" s="52"/>
    </row>
    <row r="350" spans="1:58" ht="15" customHeight="1">
      <c r="A350" s="46" t="s">
        <v>2110</v>
      </c>
      <c r="B350" s="53" t="s">
        <v>2111</v>
      </c>
      <c r="C350" s="66" t="s">
        <v>118</v>
      </c>
      <c r="D350" s="67">
        <v>2</v>
      </c>
      <c r="E350" s="53" t="s">
        <v>189</v>
      </c>
      <c r="F350" s="50"/>
      <c r="G350" s="50"/>
      <c r="H350" s="51"/>
      <c r="I350" s="50" t="s">
        <v>2112</v>
      </c>
      <c r="J350" s="54" t="s">
        <v>73</v>
      </c>
      <c r="K350" s="58" t="s">
        <v>135</v>
      </c>
      <c r="L350" s="58" t="s">
        <v>2113</v>
      </c>
      <c r="M350" s="58"/>
      <c r="N350" s="58"/>
      <c r="O350" s="54"/>
      <c r="P350" s="56" t="s">
        <v>185</v>
      </c>
      <c r="Q350" s="58" t="s">
        <v>1878</v>
      </c>
      <c r="R350" s="50"/>
      <c r="S350" s="50"/>
      <c r="T350" s="50"/>
      <c r="U350" s="50"/>
      <c r="V350" s="57">
        <v>0.18</v>
      </c>
      <c r="W350" s="68"/>
      <c r="X350" s="50"/>
      <c r="Y350" s="50"/>
      <c r="Z350" s="50"/>
      <c r="AA350" s="50"/>
      <c r="AB350" s="57"/>
      <c r="AC350" s="54">
        <v>1</v>
      </c>
      <c r="AD350" s="69">
        <f>SUM(AE350:AK350)</f>
        <v>1</v>
      </c>
      <c r="AE350" s="66"/>
      <c r="AF350" s="66"/>
      <c r="AG350" s="66">
        <v>1</v>
      </c>
      <c r="AH350" s="66"/>
      <c r="AI350" s="66"/>
      <c r="AJ350" s="66"/>
      <c r="AK350" s="66"/>
      <c r="AL350" s="54">
        <f>IF((AC350-SUM(AE350:AK350))&lt;0,0,AC350-SUM(AE350:AK350))</f>
        <v>0</v>
      </c>
      <c r="AM350" s="69">
        <f>SUM(AN350:AT350)</f>
        <v>1</v>
      </c>
      <c r="AN350" s="60"/>
      <c r="AO350" s="52"/>
      <c r="AP350" s="52">
        <v>1</v>
      </c>
      <c r="AQ350" s="52"/>
      <c r="AR350" s="52"/>
      <c r="AS350" s="52"/>
      <c r="AT350" s="61"/>
      <c r="AU350" s="66">
        <f>MAX(0,$AM350-$AC350-$AW350)</f>
        <v>0</v>
      </c>
      <c r="AV350" s="66"/>
      <c r="AW350" s="66"/>
      <c r="AX350" s="65">
        <v>0</v>
      </c>
      <c r="AY350" s="65">
        <f>IF(AND($AU350&gt;0,ISNUMBER($AX350)),$AU350*$AX350,0)</f>
        <v>0</v>
      </c>
      <c r="AZ350" s="46"/>
      <c r="BA350" s="52"/>
      <c r="BB350" s="52"/>
      <c r="BC350" s="52"/>
      <c r="BD350" s="52"/>
      <c r="BE350" s="52"/>
      <c r="BF350" s="52"/>
    </row>
    <row r="351" spans="1:58" ht="15" customHeight="1">
      <c r="A351" s="46" t="s">
        <v>2114</v>
      </c>
      <c r="B351" s="53" t="s">
        <v>2115</v>
      </c>
      <c r="C351" s="66" t="s">
        <v>118</v>
      </c>
      <c r="D351" s="67">
        <v>5</v>
      </c>
      <c r="E351" s="53" t="s">
        <v>71</v>
      </c>
      <c r="F351" s="50"/>
      <c r="G351" s="50"/>
      <c r="H351" s="51"/>
      <c r="I351" s="50" t="s">
        <v>2116</v>
      </c>
      <c r="J351" s="54" t="s">
        <v>73</v>
      </c>
      <c r="K351" s="58" t="s">
        <v>424</v>
      </c>
      <c r="L351" s="58" t="s">
        <v>2117</v>
      </c>
      <c r="M351" s="58" t="s">
        <v>2118</v>
      </c>
      <c r="N351" s="58"/>
      <c r="O351" s="54"/>
      <c r="P351" s="56" t="s">
        <v>86</v>
      </c>
      <c r="Q351" s="58" t="s">
        <v>988</v>
      </c>
      <c r="R351" s="50"/>
      <c r="S351" s="50"/>
      <c r="T351" s="50"/>
      <c r="U351" s="50"/>
      <c r="V351" s="57">
        <v>0.17</v>
      </c>
      <c r="W351" s="68"/>
      <c r="X351" s="50"/>
      <c r="Y351" s="50"/>
      <c r="Z351" s="50"/>
      <c r="AA351" s="50"/>
      <c r="AB351" s="57"/>
      <c r="AC351" s="54">
        <v>1</v>
      </c>
      <c r="AD351" s="69">
        <f>SUM(AE351:AK351)</f>
        <v>1</v>
      </c>
      <c r="AE351" s="66"/>
      <c r="AF351" s="66"/>
      <c r="AG351" s="66">
        <v>1</v>
      </c>
      <c r="AH351" s="66"/>
      <c r="AI351" s="66"/>
      <c r="AJ351" s="66"/>
      <c r="AK351" s="66"/>
      <c r="AL351" s="54">
        <f>IF((AC351-SUM(AE351:AK351))&lt;0,0,AC351-SUM(AE351:AK351))</f>
        <v>0</v>
      </c>
      <c r="AM351" s="69">
        <f>SUM(AN351:AT351)</f>
        <v>1</v>
      </c>
      <c r="AN351" s="60"/>
      <c r="AO351" s="52"/>
      <c r="AP351" s="52">
        <v>1</v>
      </c>
      <c r="AQ351" s="52"/>
      <c r="AR351" s="52"/>
      <c r="AS351" s="52"/>
      <c r="AT351" s="61"/>
      <c r="AU351" s="66">
        <f>MAX(0,$AM351-$AC351-$AW351)</f>
        <v>0</v>
      </c>
      <c r="AV351" s="66"/>
      <c r="AW351" s="66"/>
      <c r="AX351" s="65">
        <v>0</v>
      </c>
      <c r="AY351" s="65">
        <f>IF(AND($AU351&gt;0,ISNUMBER($AX351)),$AU351*$AX351,0)</f>
        <v>0</v>
      </c>
      <c r="AZ351" s="46"/>
      <c r="BA351" s="52"/>
      <c r="BB351" s="52"/>
      <c r="BC351" s="52"/>
      <c r="BD351" s="52"/>
      <c r="BE351" s="52"/>
      <c r="BF351" s="52"/>
    </row>
    <row r="352" spans="1:58" ht="15" customHeight="1">
      <c r="A352" s="46" t="s">
        <v>2119</v>
      </c>
      <c r="B352" s="53" t="s">
        <v>2120</v>
      </c>
      <c r="C352" s="66" t="s">
        <v>118</v>
      </c>
      <c r="D352" s="67">
        <v>3</v>
      </c>
      <c r="E352" s="53" t="s">
        <v>71</v>
      </c>
      <c r="F352" s="50"/>
      <c r="G352" s="50"/>
      <c r="H352" s="51"/>
      <c r="I352" s="50" t="s">
        <v>2121</v>
      </c>
      <c r="J352" s="54" t="s">
        <v>73</v>
      </c>
      <c r="K352" s="58" t="s">
        <v>135</v>
      </c>
      <c r="L352" s="58" t="s">
        <v>2122</v>
      </c>
      <c r="M352" s="58" t="s">
        <v>2123</v>
      </c>
      <c r="N352" s="58"/>
      <c r="O352" s="54"/>
      <c r="P352" s="56" t="s">
        <v>86</v>
      </c>
      <c r="Q352" s="58" t="s">
        <v>1089</v>
      </c>
      <c r="R352" s="50"/>
      <c r="S352" s="50"/>
      <c r="T352" s="50"/>
      <c r="U352" s="50"/>
      <c r="V352" s="57">
        <v>0.15</v>
      </c>
      <c r="W352" s="68"/>
      <c r="X352" s="50"/>
      <c r="Y352" s="50"/>
      <c r="Z352" s="50"/>
      <c r="AA352" s="50"/>
      <c r="AB352" s="57"/>
      <c r="AC352" s="54">
        <v>1</v>
      </c>
      <c r="AD352" s="69">
        <f>SUM(AE352:AK352)</f>
        <v>1</v>
      </c>
      <c r="AE352" s="66"/>
      <c r="AF352" s="66"/>
      <c r="AG352" s="66">
        <v>1</v>
      </c>
      <c r="AH352" s="66"/>
      <c r="AI352" s="66"/>
      <c r="AJ352" s="66"/>
      <c r="AK352" s="66"/>
      <c r="AL352" s="54">
        <f>IF((AC352-SUM(AE352:AK352))&lt;0,0,AC352-SUM(AE352:AK352))</f>
        <v>0</v>
      </c>
      <c r="AM352" s="69">
        <f>SUM(AN352:AT352)</f>
        <v>1</v>
      </c>
      <c r="AN352" s="60"/>
      <c r="AO352" s="52"/>
      <c r="AP352" s="52">
        <v>1</v>
      </c>
      <c r="AQ352" s="52"/>
      <c r="AR352" s="52"/>
      <c r="AS352" s="52"/>
      <c r="AT352" s="61"/>
      <c r="AU352" s="66">
        <f>MAX(0,$AM352-$AC352-$AW352)</f>
        <v>0</v>
      </c>
      <c r="AV352" s="66"/>
      <c r="AW352" s="66"/>
      <c r="AX352" s="65">
        <v>0</v>
      </c>
      <c r="AY352" s="65">
        <f>IF(AND($AU352&gt;0,ISNUMBER($AX352)),$AU352*$AX352,0)</f>
        <v>0</v>
      </c>
      <c r="AZ352" s="46"/>
      <c r="BA352" s="52"/>
      <c r="BB352" s="52"/>
      <c r="BC352" s="52"/>
      <c r="BD352" s="52"/>
      <c r="BE352" s="52"/>
      <c r="BF352" s="52"/>
    </row>
    <row r="353" spans="1:58" ht="15" customHeight="1">
      <c r="A353" s="46" t="s">
        <v>2124</v>
      </c>
      <c r="B353" s="53" t="s">
        <v>2125</v>
      </c>
      <c r="C353" s="66" t="s">
        <v>101</v>
      </c>
      <c r="D353" s="67">
        <v>2</v>
      </c>
      <c r="E353" s="53" t="s">
        <v>384</v>
      </c>
      <c r="F353" s="50"/>
      <c r="G353" s="50"/>
      <c r="H353" s="51" t="s">
        <v>1256</v>
      </c>
      <c r="I353" s="50" t="s">
        <v>2126</v>
      </c>
      <c r="J353" s="54" t="s">
        <v>73</v>
      </c>
      <c r="K353" s="58" t="s">
        <v>661</v>
      </c>
      <c r="L353" s="58" t="s">
        <v>2127</v>
      </c>
      <c r="M353" s="58" t="s">
        <v>2128</v>
      </c>
      <c r="N353" s="58"/>
      <c r="O353" s="54"/>
      <c r="P353" s="56" t="s">
        <v>185</v>
      </c>
      <c r="Q353" s="58" t="s">
        <v>2129</v>
      </c>
      <c r="R353" s="50"/>
      <c r="S353" s="50"/>
      <c r="T353" s="50"/>
      <c r="U353" s="50"/>
      <c r="V353" s="57">
        <v>0.1</v>
      </c>
      <c r="W353" s="68"/>
      <c r="X353" s="50"/>
      <c r="Y353" s="50"/>
      <c r="Z353" s="50"/>
      <c r="AA353" s="50"/>
      <c r="AB353" s="57"/>
      <c r="AC353" s="54">
        <v>1</v>
      </c>
      <c r="AD353" s="69">
        <f>SUM(AE353:AK353)</f>
        <v>1</v>
      </c>
      <c r="AE353" s="66"/>
      <c r="AF353" s="66"/>
      <c r="AG353" s="66">
        <v>1</v>
      </c>
      <c r="AH353" s="66"/>
      <c r="AI353" s="66"/>
      <c r="AJ353" s="66"/>
      <c r="AK353" s="66"/>
      <c r="AL353" s="54">
        <f>IF((AC353-SUM(AE353:AK353))&lt;0,0,AC353-SUM(AE353:AK353))</f>
        <v>0</v>
      </c>
      <c r="AM353" s="69">
        <f>SUM(AN353:AT353)</f>
        <v>0</v>
      </c>
      <c r="AN353" s="60"/>
      <c r="AO353" s="52"/>
      <c r="AP353" s="52"/>
      <c r="AQ353" s="52"/>
      <c r="AR353" s="52"/>
      <c r="AS353" s="52"/>
      <c r="AT353" s="61"/>
      <c r="AU353" s="66">
        <f>MAX(0,$AM353-$AC353-$AW353)</f>
        <v>0</v>
      </c>
      <c r="AV353" s="66"/>
      <c r="AW353" s="66"/>
      <c r="AX353" s="65">
        <v>0</v>
      </c>
      <c r="AY353" s="65">
        <f>IF(AND($AU353&gt;0,ISNUMBER($AX353)),$AU353*$AX353,0)</f>
        <v>0</v>
      </c>
      <c r="AZ353" s="46"/>
      <c r="BA353" s="52"/>
      <c r="BB353" s="52" t="s">
        <v>458</v>
      </c>
      <c r="BC353" s="52"/>
      <c r="BD353" s="52"/>
      <c r="BE353" s="52"/>
      <c r="BF353" s="52"/>
    </row>
    <row r="354" spans="1:58" ht="15" customHeight="1">
      <c r="A354" s="46" t="s">
        <v>2130</v>
      </c>
      <c r="B354" s="53" t="s">
        <v>2131</v>
      </c>
      <c r="C354" s="66" t="s">
        <v>118</v>
      </c>
      <c r="D354" s="67">
        <v>3</v>
      </c>
      <c r="E354" s="53" t="s">
        <v>81</v>
      </c>
      <c r="F354" s="50">
        <v>0</v>
      </c>
      <c r="G354" s="50">
        <v>6</v>
      </c>
      <c r="H354" s="51" t="s">
        <v>465</v>
      </c>
      <c r="I354" s="50" t="s">
        <v>2132</v>
      </c>
      <c r="J354" s="54" t="s">
        <v>73</v>
      </c>
      <c r="K354" s="58" t="s">
        <v>661</v>
      </c>
      <c r="L354" s="58" t="s">
        <v>2133</v>
      </c>
      <c r="M354" s="58" t="s">
        <v>2134</v>
      </c>
      <c r="N354" s="58"/>
      <c r="O354" s="54"/>
      <c r="P354" s="56" t="s">
        <v>185</v>
      </c>
      <c r="Q354" s="58" t="s">
        <v>1070</v>
      </c>
      <c r="R354" s="50"/>
      <c r="S354" s="50"/>
      <c r="T354" s="50"/>
      <c r="U354" s="50"/>
      <c r="V354" s="57">
        <v>0.1</v>
      </c>
      <c r="W354" s="68"/>
      <c r="X354" s="50"/>
      <c r="Y354" s="50"/>
      <c r="Z354" s="50"/>
      <c r="AA354" s="50"/>
      <c r="AB354" s="57"/>
      <c r="AC354" s="54">
        <v>1</v>
      </c>
      <c r="AD354" s="69">
        <f>SUM(AE354:AK354)</f>
        <v>1</v>
      </c>
      <c r="AE354" s="66"/>
      <c r="AF354" s="66"/>
      <c r="AG354" s="66">
        <v>1</v>
      </c>
      <c r="AH354" s="66"/>
      <c r="AI354" s="66"/>
      <c r="AJ354" s="66"/>
      <c r="AK354" s="66"/>
      <c r="AL354" s="54">
        <f>IF((AC354-SUM(AE354:AK354))&lt;0,0,AC354-SUM(AE354:AK354))</f>
        <v>0</v>
      </c>
      <c r="AM354" s="69">
        <f>SUM(AN354:AT354)</f>
        <v>1</v>
      </c>
      <c r="AN354" s="60"/>
      <c r="AO354" s="52"/>
      <c r="AP354" s="52">
        <v>1</v>
      </c>
      <c r="AQ354" s="52"/>
      <c r="AR354" s="52"/>
      <c r="AS354" s="52"/>
      <c r="AT354" s="61"/>
      <c r="AU354" s="66">
        <f>MAX(0,$AM354-$AC354-$AW354)</f>
        <v>0</v>
      </c>
      <c r="AV354" s="66"/>
      <c r="AW354" s="66"/>
      <c r="AX354" s="65">
        <v>0</v>
      </c>
      <c r="AY354" s="65">
        <f>IF(AND($AU354&gt;0,ISNUMBER($AX354)),$AU354*$AX354,0)</f>
        <v>0</v>
      </c>
      <c r="AZ354" s="46"/>
      <c r="BA354" s="52"/>
      <c r="BB354" s="52"/>
      <c r="BC354" s="52"/>
      <c r="BD354" s="52"/>
      <c r="BE354" s="52"/>
      <c r="BF354" s="52"/>
    </row>
    <row r="355" spans="1:58" ht="15" customHeight="1">
      <c r="A355" s="46" t="s">
        <v>2135</v>
      </c>
      <c r="B355" s="53" t="s">
        <v>2136</v>
      </c>
      <c r="C355" s="66" t="s">
        <v>311</v>
      </c>
      <c r="D355" s="67">
        <v>0</v>
      </c>
      <c r="E355" s="53" t="s">
        <v>312</v>
      </c>
      <c r="F355" s="50"/>
      <c r="G355" s="50"/>
      <c r="H355" s="51"/>
      <c r="I355" s="50" t="s">
        <v>2137</v>
      </c>
      <c r="J355" s="54" t="s">
        <v>73</v>
      </c>
      <c r="K355" s="53" t="s">
        <v>312</v>
      </c>
      <c r="L355" s="53" t="s">
        <v>1319</v>
      </c>
      <c r="M355" s="53" t="s">
        <v>747</v>
      </c>
      <c r="N355" s="53" t="s">
        <v>2138</v>
      </c>
      <c r="O355" s="54"/>
      <c r="P355" s="56" t="s">
        <v>76</v>
      </c>
      <c r="Q355" s="53" t="s">
        <v>633</v>
      </c>
      <c r="R355" s="50"/>
      <c r="S355" s="50"/>
      <c r="T355" s="50"/>
      <c r="U355" s="56"/>
      <c r="V355" s="57"/>
      <c r="W355" s="56"/>
      <c r="X355" s="50"/>
      <c r="Y355" s="50"/>
      <c r="Z355" s="50"/>
      <c r="AA355" s="56"/>
      <c r="AB355" s="57"/>
      <c r="AC355" s="54">
        <v>1</v>
      </c>
      <c r="AD355" s="69">
        <f>SUM(AE355:AK355)</f>
        <v>1</v>
      </c>
      <c r="AE355" s="66"/>
      <c r="AF355" s="66"/>
      <c r="AG355" s="66">
        <v>1</v>
      </c>
      <c r="AH355" s="66"/>
      <c r="AI355" s="66"/>
      <c r="AJ355" s="66"/>
      <c r="AK355" s="66"/>
      <c r="AL355" s="54">
        <f>IF((AC355-SUM(AE355:AK355))&lt;0,0,AC355-SUM(AE355:AK355))</f>
        <v>0</v>
      </c>
      <c r="AM355" s="69">
        <f>SUM(AN355:AT355)</f>
        <v>1</v>
      </c>
      <c r="AN355" s="60"/>
      <c r="AO355" s="52"/>
      <c r="AP355" s="52">
        <v>1</v>
      </c>
      <c r="AQ355" s="52"/>
      <c r="AR355" s="52"/>
      <c r="AS355" s="52"/>
      <c r="AT355" s="61"/>
      <c r="AU355" s="66">
        <f>MAX(0,$AM355-$AC355-$AW355)</f>
        <v>0</v>
      </c>
      <c r="AV355" s="66"/>
      <c r="AW355" s="66"/>
      <c r="AX355" s="65">
        <v>0</v>
      </c>
      <c r="AY355" s="65">
        <f>IF(AND($AU355&gt;0,ISNUMBER($AX355)),$AU355*$AX355,0)</f>
        <v>0</v>
      </c>
      <c r="AZ355" s="46"/>
      <c r="BA355" s="52"/>
      <c r="BB355" s="52"/>
      <c r="BC355" s="52"/>
      <c r="BD355" s="52"/>
      <c r="BE355" s="52"/>
      <c r="BF355" s="52"/>
    </row>
    <row r="356" spans="1:58" ht="15" customHeight="1">
      <c r="A356" s="46" t="s">
        <v>2139</v>
      </c>
      <c r="B356" s="47" t="s">
        <v>2140</v>
      </c>
      <c r="C356" s="48" t="s">
        <v>101</v>
      </c>
      <c r="D356" s="49">
        <v>4</v>
      </c>
      <c r="E356" s="47" t="s">
        <v>81</v>
      </c>
      <c r="F356" s="50">
        <v>4</v>
      </c>
      <c r="G356" s="50">
        <v>4</v>
      </c>
      <c r="H356" s="51" t="s">
        <v>2141</v>
      </c>
      <c r="I356" s="50" t="s">
        <v>2142</v>
      </c>
      <c r="J356" s="52" t="s">
        <v>73</v>
      </c>
      <c r="K356" s="47" t="s">
        <v>344</v>
      </c>
      <c r="L356" s="53" t="s">
        <v>2143</v>
      </c>
      <c r="M356" s="53" t="s">
        <v>2144</v>
      </c>
      <c r="N356" s="53"/>
      <c r="O356" s="54"/>
      <c r="P356" s="55" t="s">
        <v>76</v>
      </c>
      <c r="Q356" s="47" t="s">
        <v>462</v>
      </c>
      <c r="R356" s="46"/>
      <c r="S356" s="46"/>
      <c r="T356" s="46"/>
      <c r="U356" s="56"/>
      <c r="V356" s="57"/>
      <c r="W356" s="56"/>
      <c r="X356" s="46"/>
      <c r="Y356" s="46"/>
      <c r="Z356" s="46"/>
      <c r="AA356" s="56"/>
      <c r="AB356" s="57"/>
      <c r="AC356" s="54">
        <v>1</v>
      </c>
      <c r="AD356" s="69">
        <f>SUM(AE356:AK356)</f>
        <v>1</v>
      </c>
      <c r="AE356" s="66"/>
      <c r="AF356" s="66"/>
      <c r="AG356" s="66">
        <v>1</v>
      </c>
      <c r="AH356" s="66"/>
      <c r="AI356" s="66"/>
      <c r="AJ356" s="66"/>
      <c r="AK356" s="66"/>
      <c r="AL356" s="54">
        <f>IF((AC356-SUM(AE356:AK356))&lt;0,0,AC356-SUM(AE356:AK356))</f>
        <v>0</v>
      </c>
      <c r="AM356" s="69">
        <f>SUM(AN356:AT356)</f>
        <v>1</v>
      </c>
      <c r="AN356" s="60"/>
      <c r="AO356" s="52"/>
      <c r="AP356" s="52">
        <v>1</v>
      </c>
      <c r="AQ356" s="52"/>
      <c r="AR356" s="52"/>
      <c r="AS356" s="52"/>
      <c r="AT356" s="61"/>
      <c r="AU356" s="66">
        <f>MAX(0,$AM356-$AC356-$AW356)</f>
        <v>0</v>
      </c>
      <c r="AV356" s="48"/>
      <c r="AW356" s="48"/>
      <c r="AX356" s="65">
        <v>0</v>
      </c>
      <c r="AY356" s="65">
        <f>IF(AND($AU356&gt;0,ISNUMBER($AX356)),$AU356*$AX356,0)</f>
        <v>0</v>
      </c>
      <c r="AZ356" s="46"/>
      <c r="BA356" s="52"/>
      <c r="BB356" s="52"/>
      <c r="BC356" s="52"/>
      <c r="BD356" s="52"/>
      <c r="BE356" s="52"/>
      <c r="BF356" s="52"/>
    </row>
    <row r="357" spans="1:58" ht="15" customHeight="1">
      <c r="A357" s="46" t="s">
        <v>2145</v>
      </c>
      <c r="B357" s="47" t="s">
        <v>2146</v>
      </c>
      <c r="C357" s="48" t="s">
        <v>118</v>
      </c>
      <c r="D357" s="49">
        <v>5</v>
      </c>
      <c r="E357" s="47" t="s">
        <v>71</v>
      </c>
      <c r="F357" s="50"/>
      <c r="G357" s="50"/>
      <c r="H357" s="51"/>
      <c r="I357" s="50" t="s">
        <v>2147</v>
      </c>
      <c r="J357" s="52" t="s">
        <v>73</v>
      </c>
      <c r="K357" s="47" t="s">
        <v>135</v>
      </c>
      <c r="L357" s="53" t="s">
        <v>2148</v>
      </c>
      <c r="M357" s="53"/>
      <c r="N357" s="53"/>
      <c r="O357" s="54"/>
      <c r="P357" s="55" t="s">
        <v>76</v>
      </c>
      <c r="Q357" s="47" t="s">
        <v>462</v>
      </c>
      <c r="R357" s="46"/>
      <c r="S357" s="46"/>
      <c r="T357" s="46"/>
      <c r="U357" s="56"/>
      <c r="V357" s="57"/>
      <c r="W357" s="56"/>
      <c r="X357" s="46"/>
      <c r="Y357" s="46"/>
      <c r="Z357" s="46"/>
      <c r="AA357" s="56"/>
      <c r="AB357" s="57"/>
      <c r="AC357" s="54">
        <v>1</v>
      </c>
      <c r="AD357" s="69">
        <f>SUM(AE357:AK357)</f>
        <v>1</v>
      </c>
      <c r="AE357" s="66"/>
      <c r="AF357" s="66"/>
      <c r="AG357" s="66">
        <v>1</v>
      </c>
      <c r="AH357" s="66"/>
      <c r="AI357" s="66"/>
      <c r="AJ357" s="66"/>
      <c r="AK357" s="66"/>
      <c r="AL357" s="54">
        <f>IF((AC357-SUM(AE357:AK357))&lt;0,0,AC357-SUM(AE357:AK357))</f>
        <v>0</v>
      </c>
      <c r="AM357" s="69">
        <f>SUM(AN357:AT357)</f>
        <v>1</v>
      </c>
      <c r="AN357" s="60"/>
      <c r="AO357" s="52"/>
      <c r="AP357" s="52">
        <v>1</v>
      </c>
      <c r="AQ357" s="52"/>
      <c r="AR357" s="52"/>
      <c r="AS357" s="52"/>
      <c r="AT357" s="61"/>
      <c r="AU357" s="66">
        <f>MAX(0,$AM357-$AC357-$AW357)</f>
        <v>0</v>
      </c>
      <c r="AV357" s="48"/>
      <c r="AW357" s="48"/>
      <c r="AX357" s="65">
        <v>0</v>
      </c>
      <c r="AY357" s="65">
        <f>IF(AND($AU357&gt;0,ISNUMBER($AX357)),$AU357*$AX357,0)</f>
        <v>0</v>
      </c>
      <c r="AZ357" s="46"/>
      <c r="BA357" s="52"/>
      <c r="BB357" s="52"/>
      <c r="BC357" s="52"/>
      <c r="BD357" s="52"/>
      <c r="BE357" s="52"/>
      <c r="BF357" s="52"/>
    </row>
    <row r="358" spans="1:58" ht="15" customHeight="1">
      <c r="A358" s="46" t="s">
        <v>2149</v>
      </c>
      <c r="B358" s="53" t="s">
        <v>2150</v>
      </c>
      <c r="C358" s="66" t="s">
        <v>311</v>
      </c>
      <c r="D358" s="67">
        <v>0</v>
      </c>
      <c r="E358" s="53" t="s">
        <v>312</v>
      </c>
      <c r="F358" s="50"/>
      <c r="G358" s="50"/>
      <c r="H358" s="51"/>
      <c r="I358" s="50" t="s">
        <v>2151</v>
      </c>
      <c r="J358" s="54" t="s">
        <v>73</v>
      </c>
      <c r="K358" s="58" t="s">
        <v>312</v>
      </c>
      <c r="L358" s="58" t="s">
        <v>632</v>
      </c>
      <c r="M358" s="58" t="s">
        <v>747</v>
      </c>
      <c r="N358" s="58" t="s">
        <v>2152</v>
      </c>
      <c r="O358" s="54"/>
      <c r="P358" s="56" t="s">
        <v>86</v>
      </c>
      <c r="Q358" s="58" t="s">
        <v>928</v>
      </c>
      <c r="R358" s="54"/>
      <c r="S358" s="54"/>
      <c r="T358" s="54"/>
      <c r="U358" s="54"/>
      <c r="V358" s="57">
        <v>7.4</v>
      </c>
      <c r="W358" s="68"/>
      <c r="X358" s="54"/>
      <c r="Y358" s="54"/>
      <c r="Z358" s="54"/>
      <c r="AA358" s="54"/>
      <c r="AB358" s="57"/>
      <c r="AC358" s="54">
        <v>1</v>
      </c>
      <c r="AD358" s="69">
        <f>SUM(AE358:AK358)</f>
        <v>1</v>
      </c>
      <c r="AE358" s="66">
        <v>1</v>
      </c>
      <c r="AF358" s="66"/>
      <c r="AG358" s="66"/>
      <c r="AH358" s="66"/>
      <c r="AI358" s="66"/>
      <c r="AJ358" s="66"/>
      <c r="AK358" s="66"/>
      <c r="AL358" s="54">
        <f>IF((AC358-SUM(AE358:AK358))&lt;0,0,AC358-SUM(AE358:AK358))</f>
        <v>0</v>
      </c>
      <c r="AM358" s="69">
        <f>SUM(AN358:AT358)</f>
        <v>1</v>
      </c>
      <c r="AN358" s="60">
        <v>1</v>
      </c>
      <c r="AO358" s="52"/>
      <c r="AP358" s="52"/>
      <c r="AQ358" s="52"/>
      <c r="AR358" s="52"/>
      <c r="AS358" s="52"/>
      <c r="AT358" s="61"/>
      <c r="AU358" s="66">
        <f>MAX(0,$AM358-$AC358-$AW358)</f>
        <v>0</v>
      </c>
      <c r="AV358" s="66"/>
      <c r="AW358" s="66"/>
      <c r="AX358" s="65">
        <v>0</v>
      </c>
      <c r="AY358" s="65">
        <f>IF(AND($AU358&gt;0,ISNUMBER($AX358)),$AU358*$AX358,0)</f>
        <v>0</v>
      </c>
      <c r="AZ358" s="46"/>
      <c r="BA358" s="52"/>
      <c r="BB358" s="52"/>
      <c r="BC358" s="52"/>
      <c r="BD358" s="52"/>
      <c r="BE358" s="52"/>
      <c r="BF358" s="52"/>
    </row>
    <row r="359" spans="1:58" ht="15" customHeight="1">
      <c r="A359" s="46" t="s">
        <v>2153</v>
      </c>
      <c r="B359" s="53" t="s">
        <v>2154</v>
      </c>
      <c r="C359" s="66" t="s">
        <v>311</v>
      </c>
      <c r="D359" s="67">
        <v>0</v>
      </c>
      <c r="E359" s="53" t="s">
        <v>312</v>
      </c>
      <c r="F359" s="50"/>
      <c r="G359" s="50"/>
      <c r="H359" s="51" t="s">
        <v>2155</v>
      </c>
      <c r="I359" s="50" t="s">
        <v>2156</v>
      </c>
      <c r="J359" s="54" t="s">
        <v>73</v>
      </c>
      <c r="K359" s="58" t="s">
        <v>312</v>
      </c>
      <c r="L359" s="58" t="s">
        <v>746</v>
      </c>
      <c r="M359" s="58" t="s">
        <v>2157</v>
      </c>
      <c r="N359" s="58"/>
      <c r="O359" s="54"/>
      <c r="P359" s="56" t="s">
        <v>86</v>
      </c>
      <c r="Q359" s="58" t="s">
        <v>93</v>
      </c>
      <c r="R359" s="54"/>
      <c r="S359" s="54"/>
      <c r="T359" s="54"/>
      <c r="U359" s="54"/>
      <c r="V359" s="57">
        <v>6.59</v>
      </c>
      <c r="W359" s="68"/>
      <c r="X359" s="54"/>
      <c r="Y359" s="54"/>
      <c r="Z359" s="54"/>
      <c r="AA359" s="54"/>
      <c r="AB359" s="57"/>
      <c r="AC359" s="54">
        <v>1</v>
      </c>
      <c r="AD359" s="69">
        <f>SUM(AE359:AK359)</f>
        <v>1</v>
      </c>
      <c r="AE359" s="66">
        <v>1</v>
      </c>
      <c r="AF359" s="66"/>
      <c r="AG359" s="66"/>
      <c r="AH359" s="66"/>
      <c r="AI359" s="66"/>
      <c r="AJ359" s="66"/>
      <c r="AK359" s="66"/>
      <c r="AL359" s="54">
        <f>IF((AC359-SUM(AE359:AK359))&lt;0,0,AC359-SUM(AE359:AK359))</f>
        <v>0</v>
      </c>
      <c r="AM359" s="69">
        <f>SUM(AN359:AT359)</f>
        <v>1</v>
      </c>
      <c r="AN359" s="60">
        <v>1</v>
      </c>
      <c r="AO359" s="52"/>
      <c r="AP359" s="52"/>
      <c r="AQ359" s="52"/>
      <c r="AR359" s="52"/>
      <c r="AS359" s="52"/>
      <c r="AT359" s="61"/>
      <c r="AU359" s="66">
        <f>MAX(0,$AM359-$AC359-$AW359)</f>
        <v>0</v>
      </c>
      <c r="AV359" s="66"/>
      <c r="AW359" s="66"/>
      <c r="AX359" s="65">
        <v>0</v>
      </c>
      <c r="AY359" s="65">
        <f>IF(AND($AU359&gt;0,ISNUMBER($AX359)),$AU359*$AX359,0)</f>
        <v>0</v>
      </c>
      <c r="AZ359" s="46"/>
      <c r="BA359" s="52"/>
      <c r="BB359" s="52"/>
      <c r="BC359" s="52"/>
      <c r="BD359" s="52"/>
      <c r="BE359" s="52"/>
      <c r="BF359" s="52"/>
    </row>
    <row r="360" spans="1:58" ht="15" customHeight="1">
      <c r="A360" s="46" t="s">
        <v>2158</v>
      </c>
      <c r="B360" s="53" t="s">
        <v>2159</v>
      </c>
      <c r="C360" s="66" t="s">
        <v>118</v>
      </c>
      <c r="D360" s="67">
        <v>2</v>
      </c>
      <c r="E360" s="53" t="s">
        <v>71</v>
      </c>
      <c r="F360" s="50"/>
      <c r="G360" s="50"/>
      <c r="H360" s="51"/>
      <c r="I360" s="50" t="s">
        <v>2160</v>
      </c>
      <c r="J360" s="54" t="s">
        <v>73</v>
      </c>
      <c r="K360" s="58" t="s">
        <v>135</v>
      </c>
      <c r="L360" s="58" t="s">
        <v>2161</v>
      </c>
      <c r="M360" s="58" t="s">
        <v>2162</v>
      </c>
      <c r="N360" s="58" t="s">
        <v>2163</v>
      </c>
      <c r="O360" s="54"/>
      <c r="P360" s="56" t="s">
        <v>86</v>
      </c>
      <c r="Q360" s="58" t="s">
        <v>293</v>
      </c>
      <c r="R360" s="54"/>
      <c r="S360" s="54"/>
      <c r="T360" s="54"/>
      <c r="U360" s="54"/>
      <c r="V360" s="57">
        <v>4.84</v>
      </c>
      <c r="W360" s="68"/>
      <c r="X360" s="54"/>
      <c r="Y360" s="54"/>
      <c r="Z360" s="54"/>
      <c r="AA360" s="54"/>
      <c r="AB360" s="57"/>
      <c r="AC360" s="54">
        <v>1</v>
      </c>
      <c r="AD360" s="69">
        <f>SUM(AE360:AK360)</f>
        <v>1</v>
      </c>
      <c r="AE360" s="66">
        <v>1</v>
      </c>
      <c r="AF360" s="66"/>
      <c r="AG360" s="66"/>
      <c r="AH360" s="66"/>
      <c r="AI360" s="66"/>
      <c r="AJ360" s="66"/>
      <c r="AK360" s="66"/>
      <c r="AL360" s="54">
        <f>IF((AC360-SUM(AE360:AK360))&lt;0,0,AC360-SUM(AE360:AK360))</f>
        <v>0</v>
      </c>
      <c r="AM360" s="69">
        <f>SUM(AN360:AT360)</f>
        <v>1</v>
      </c>
      <c r="AN360" s="60">
        <v>1</v>
      </c>
      <c r="AO360" s="52"/>
      <c r="AP360" s="52"/>
      <c r="AQ360" s="52"/>
      <c r="AR360" s="52"/>
      <c r="AS360" s="52"/>
      <c r="AT360" s="61"/>
      <c r="AU360" s="66">
        <f>MAX(0,$AM360-$AC360-$AW360)</f>
        <v>0</v>
      </c>
      <c r="AV360" s="66"/>
      <c r="AW360" s="66"/>
      <c r="AX360" s="65">
        <v>0</v>
      </c>
      <c r="AY360" s="65">
        <f>IF(AND($AU360&gt;0,ISNUMBER($AX360)),$AU360*$AX360,0)</f>
        <v>0</v>
      </c>
      <c r="AZ360" s="46"/>
      <c r="BA360" s="52"/>
      <c r="BB360" s="52"/>
      <c r="BC360" s="52"/>
      <c r="BD360" s="52"/>
      <c r="BE360" s="52"/>
      <c r="BF360" s="52"/>
    </row>
    <row r="361" spans="1:58" ht="15" customHeight="1">
      <c r="A361" s="46" t="s">
        <v>2164</v>
      </c>
      <c r="B361" s="53" t="s">
        <v>2165</v>
      </c>
      <c r="C361" s="66" t="s">
        <v>311</v>
      </c>
      <c r="D361" s="67">
        <v>0</v>
      </c>
      <c r="E361" s="53" t="s">
        <v>312</v>
      </c>
      <c r="F361" s="50"/>
      <c r="G361" s="50"/>
      <c r="H361" s="51"/>
      <c r="I361" s="50" t="s">
        <v>2166</v>
      </c>
      <c r="J361" s="54" t="s">
        <v>196</v>
      </c>
      <c r="K361" s="58" t="s">
        <v>312</v>
      </c>
      <c r="L361" s="58" t="s">
        <v>2166</v>
      </c>
      <c r="M361" s="58"/>
      <c r="N361" s="58"/>
      <c r="O361" s="54"/>
      <c r="P361" s="56" t="s">
        <v>86</v>
      </c>
      <c r="Q361" s="58" t="s">
        <v>293</v>
      </c>
      <c r="R361" s="50"/>
      <c r="S361" s="50"/>
      <c r="T361" s="50"/>
      <c r="U361" s="50"/>
      <c r="V361" s="57">
        <v>4.57</v>
      </c>
      <c r="W361" s="68"/>
      <c r="X361" s="50"/>
      <c r="Y361" s="50"/>
      <c r="Z361" s="50"/>
      <c r="AA361" s="50"/>
      <c r="AB361" s="57"/>
      <c r="AC361" s="54">
        <v>1</v>
      </c>
      <c r="AD361" s="69">
        <f>SUM(AE361:AK361)</f>
        <v>1</v>
      </c>
      <c r="AE361" s="66">
        <v>1</v>
      </c>
      <c r="AF361" s="66"/>
      <c r="AG361" s="66"/>
      <c r="AH361" s="66"/>
      <c r="AI361" s="66"/>
      <c r="AJ361" s="66"/>
      <c r="AK361" s="66"/>
      <c r="AL361" s="54">
        <f>IF((AC361-SUM(AE361:AK361))&lt;0,0,AC361-SUM(AE361:AK361))</f>
        <v>0</v>
      </c>
      <c r="AM361" s="69">
        <f>SUM(AN361:AT361)</f>
        <v>1</v>
      </c>
      <c r="AN361" s="60">
        <v>1</v>
      </c>
      <c r="AO361" s="52"/>
      <c r="AP361" s="52"/>
      <c r="AQ361" s="52"/>
      <c r="AR361" s="52"/>
      <c r="AS361" s="52"/>
      <c r="AT361" s="61"/>
      <c r="AU361" s="66">
        <f>MAX(0,$AM361-$AC361-$AW361)</f>
        <v>0</v>
      </c>
      <c r="AV361" s="66"/>
      <c r="AW361" s="66"/>
      <c r="AX361" s="65">
        <v>0</v>
      </c>
      <c r="AY361" s="65">
        <f>IF(AND($AU361&gt;0,ISNUMBER($AX361)),$AU361*$AX361,0)</f>
        <v>0</v>
      </c>
      <c r="AZ361" s="46"/>
      <c r="BA361" s="52"/>
      <c r="BB361" s="52"/>
      <c r="BC361" s="52"/>
      <c r="BD361" s="52"/>
      <c r="BE361" s="52"/>
      <c r="BF361" s="52"/>
    </row>
    <row r="362" spans="1:58" ht="15" customHeight="1">
      <c r="A362" s="46" t="s">
        <v>2167</v>
      </c>
      <c r="B362" s="53" t="s">
        <v>2168</v>
      </c>
      <c r="C362" s="66" t="s">
        <v>118</v>
      </c>
      <c r="D362" s="67">
        <v>2</v>
      </c>
      <c r="E362" s="53" t="s">
        <v>81</v>
      </c>
      <c r="F362" s="50">
        <v>2</v>
      </c>
      <c r="G362" s="50">
        <v>2</v>
      </c>
      <c r="H362" s="51" t="s">
        <v>127</v>
      </c>
      <c r="I362" s="50" t="s">
        <v>2169</v>
      </c>
      <c r="J362" s="54" t="s">
        <v>73</v>
      </c>
      <c r="K362" s="58" t="s">
        <v>104</v>
      </c>
      <c r="L362" s="58" t="s">
        <v>2170</v>
      </c>
      <c r="M362" s="58" t="s">
        <v>2171</v>
      </c>
      <c r="N362" s="58"/>
      <c r="O362" s="54"/>
      <c r="P362" s="56" t="s">
        <v>86</v>
      </c>
      <c r="Q362" s="58" t="s">
        <v>1963</v>
      </c>
      <c r="R362" s="54"/>
      <c r="S362" s="54"/>
      <c r="T362" s="54"/>
      <c r="U362" s="54"/>
      <c r="V362" s="57">
        <v>4.21</v>
      </c>
      <c r="W362" s="68"/>
      <c r="X362" s="54"/>
      <c r="Y362" s="54"/>
      <c r="Z362" s="54"/>
      <c r="AA362" s="54"/>
      <c r="AB362" s="57"/>
      <c r="AC362" s="54">
        <v>1</v>
      </c>
      <c r="AD362" s="69">
        <f>SUM(AE362:AK362)</f>
        <v>1</v>
      </c>
      <c r="AE362" s="66">
        <v>1</v>
      </c>
      <c r="AF362" s="66"/>
      <c r="AG362" s="66"/>
      <c r="AH362" s="66"/>
      <c r="AI362" s="66"/>
      <c r="AJ362" s="66"/>
      <c r="AK362" s="66"/>
      <c r="AL362" s="54">
        <f>IF((AC362-SUM(AE362:AK362))&lt;0,0,AC362-SUM(AE362:AK362))</f>
        <v>0</v>
      </c>
      <c r="AM362" s="69">
        <f>SUM(AN362:AT362)</f>
        <v>1</v>
      </c>
      <c r="AN362" s="60">
        <v>1</v>
      </c>
      <c r="AO362" s="52"/>
      <c r="AP362" s="52"/>
      <c r="AQ362" s="52"/>
      <c r="AR362" s="52"/>
      <c r="AS362" s="52"/>
      <c r="AT362" s="61"/>
      <c r="AU362" s="66">
        <f>MAX(0,$AM362-$AC362-$AW362)</f>
        <v>0</v>
      </c>
      <c r="AV362" s="66"/>
      <c r="AW362" s="66"/>
      <c r="AX362" s="65">
        <v>0</v>
      </c>
      <c r="AY362" s="65">
        <f>IF(AND($AU362&gt;0,ISNUMBER($AX362)),$AU362*$AX362,0)</f>
        <v>0</v>
      </c>
      <c r="AZ362" s="46"/>
      <c r="BA362" s="52"/>
      <c r="BB362" s="52"/>
      <c r="BC362" s="52"/>
      <c r="BD362" s="52"/>
      <c r="BE362" s="52"/>
      <c r="BF362" s="52"/>
    </row>
    <row r="363" spans="1:58" ht="15" customHeight="1">
      <c r="A363" s="46" t="s">
        <v>2172</v>
      </c>
      <c r="B363" s="53" t="s">
        <v>2173</v>
      </c>
      <c r="C363" s="66" t="s">
        <v>232</v>
      </c>
      <c r="D363" s="67">
        <v>1</v>
      </c>
      <c r="E363" s="53" t="s">
        <v>233</v>
      </c>
      <c r="F363" s="50"/>
      <c r="G363" s="50"/>
      <c r="H363" s="51"/>
      <c r="I363" s="50" t="s">
        <v>2174</v>
      </c>
      <c r="J363" s="54" t="s">
        <v>73</v>
      </c>
      <c r="K363" s="58" t="s">
        <v>1781</v>
      </c>
      <c r="L363" s="58" t="s">
        <v>2175</v>
      </c>
      <c r="M363" s="58" t="s">
        <v>2176</v>
      </c>
      <c r="N363" s="58"/>
      <c r="O363" s="54"/>
      <c r="P363" s="56" t="s">
        <v>86</v>
      </c>
      <c r="Q363" s="58" t="s">
        <v>2177</v>
      </c>
      <c r="R363" s="54"/>
      <c r="S363" s="54"/>
      <c r="T363" s="54"/>
      <c r="U363" s="54"/>
      <c r="V363" s="57">
        <v>4.0999999999999996</v>
      </c>
      <c r="W363" s="68"/>
      <c r="X363" s="54"/>
      <c r="Y363" s="54"/>
      <c r="Z363" s="54"/>
      <c r="AA363" s="54"/>
      <c r="AB363" s="57"/>
      <c r="AC363" s="54">
        <v>1</v>
      </c>
      <c r="AD363" s="69">
        <f>SUM(AE363:AK363)</f>
        <v>1</v>
      </c>
      <c r="AE363" s="66">
        <v>1</v>
      </c>
      <c r="AF363" s="66"/>
      <c r="AG363" s="66"/>
      <c r="AH363" s="66"/>
      <c r="AI363" s="66"/>
      <c r="AJ363" s="66"/>
      <c r="AK363" s="66"/>
      <c r="AL363" s="54">
        <f>IF((AC363-SUM(AE363:AK363))&lt;0,0,AC363-SUM(AE363:AK363))</f>
        <v>0</v>
      </c>
      <c r="AM363" s="69">
        <f>SUM(AN363:AT363)</f>
        <v>1</v>
      </c>
      <c r="AN363" s="60">
        <v>1</v>
      </c>
      <c r="AO363" s="52"/>
      <c r="AP363" s="52"/>
      <c r="AQ363" s="52"/>
      <c r="AR363" s="52"/>
      <c r="AS363" s="52"/>
      <c r="AT363" s="61"/>
      <c r="AU363" s="66">
        <f>MAX(0,$AM363-$AC363-$AW363)</f>
        <v>0</v>
      </c>
      <c r="AV363" s="66"/>
      <c r="AW363" s="66"/>
      <c r="AX363" s="65">
        <v>0</v>
      </c>
      <c r="AY363" s="65">
        <f>IF(AND($AU363&gt;0,ISNUMBER($AX363)),$AU363*$AX363,0)</f>
        <v>0</v>
      </c>
      <c r="AZ363" s="46"/>
      <c r="BA363" s="52"/>
      <c r="BB363" s="52"/>
      <c r="BC363" s="52"/>
      <c r="BD363" s="52"/>
      <c r="BE363" s="52"/>
      <c r="BF363" s="52"/>
    </row>
    <row r="364" spans="1:58" ht="15" customHeight="1">
      <c r="A364" s="46" t="s">
        <v>2178</v>
      </c>
      <c r="B364" s="53" t="s">
        <v>2179</v>
      </c>
      <c r="C364" s="66" t="s">
        <v>70</v>
      </c>
      <c r="D364" s="67">
        <v>3</v>
      </c>
      <c r="E364" s="53" t="s">
        <v>384</v>
      </c>
      <c r="F364" s="50"/>
      <c r="G364" s="50"/>
      <c r="H364" s="51"/>
      <c r="I364" s="50" t="s">
        <v>2180</v>
      </c>
      <c r="J364" s="54" t="s">
        <v>73</v>
      </c>
      <c r="K364" s="58" t="s">
        <v>152</v>
      </c>
      <c r="L364" s="58" t="s">
        <v>2181</v>
      </c>
      <c r="M364" s="58" t="s">
        <v>2182</v>
      </c>
      <c r="N364" s="58"/>
      <c r="O364" s="54"/>
      <c r="P364" s="56" t="s">
        <v>86</v>
      </c>
      <c r="Q364" s="58" t="s">
        <v>2183</v>
      </c>
      <c r="R364" s="54"/>
      <c r="S364" s="54"/>
      <c r="T364" s="54"/>
      <c r="U364" s="54"/>
      <c r="V364" s="57">
        <v>3.97</v>
      </c>
      <c r="W364" s="68"/>
      <c r="X364" s="54"/>
      <c r="Y364" s="54"/>
      <c r="Z364" s="54"/>
      <c r="AA364" s="54"/>
      <c r="AB364" s="57"/>
      <c r="AC364" s="54">
        <v>1</v>
      </c>
      <c r="AD364" s="69">
        <f>SUM(AE364:AK364)</f>
        <v>1</v>
      </c>
      <c r="AE364" s="66">
        <v>1</v>
      </c>
      <c r="AF364" s="66"/>
      <c r="AG364" s="66"/>
      <c r="AH364" s="66"/>
      <c r="AI364" s="66"/>
      <c r="AJ364" s="66"/>
      <c r="AK364" s="66"/>
      <c r="AL364" s="54">
        <f>IF((AC364-SUM(AE364:AK364))&lt;0,0,AC364-SUM(AE364:AK364))</f>
        <v>0</v>
      </c>
      <c r="AM364" s="69">
        <f>SUM(AN364:AT364)</f>
        <v>1</v>
      </c>
      <c r="AN364" s="60">
        <v>1</v>
      </c>
      <c r="AO364" s="52"/>
      <c r="AP364" s="52"/>
      <c r="AQ364" s="52"/>
      <c r="AR364" s="52"/>
      <c r="AS364" s="52"/>
      <c r="AT364" s="61"/>
      <c r="AU364" s="66">
        <f>MAX(0,$AM364-$AC364-$AW364)</f>
        <v>0</v>
      </c>
      <c r="AV364" s="66"/>
      <c r="AW364" s="66"/>
      <c r="AX364" s="65">
        <v>0</v>
      </c>
      <c r="AY364" s="65">
        <f>IF(AND($AU364&gt;0,ISNUMBER($AX364)),$AU364*$AX364,0)</f>
        <v>0</v>
      </c>
      <c r="AZ364" s="46"/>
      <c r="BA364" s="52"/>
      <c r="BB364" s="52"/>
      <c r="BC364" s="52"/>
      <c r="BD364" s="52"/>
      <c r="BE364" s="52"/>
      <c r="BF364" s="52"/>
    </row>
    <row r="365" spans="1:58" ht="15" customHeight="1">
      <c r="A365" s="46" t="s">
        <v>2184</v>
      </c>
      <c r="B365" s="47" t="s">
        <v>2185</v>
      </c>
      <c r="C365" s="48" t="s">
        <v>70</v>
      </c>
      <c r="D365" s="49">
        <v>1</v>
      </c>
      <c r="E365" s="47" t="s">
        <v>189</v>
      </c>
      <c r="F365" s="50"/>
      <c r="G365" s="50"/>
      <c r="H365" s="51"/>
      <c r="I365" s="50" t="s">
        <v>2186</v>
      </c>
      <c r="J365" s="52" t="s">
        <v>73</v>
      </c>
      <c r="K365" s="47" t="s">
        <v>474</v>
      </c>
      <c r="L365" s="53" t="s">
        <v>2187</v>
      </c>
      <c r="M365" s="53"/>
      <c r="N365" s="53"/>
      <c r="O365" s="54"/>
      <c r="P365" s="56" t="s">
        <v>86</v>
      </c>
      <c r="Q365" s="47" t="s">
        <v>645</v>
      </c>
      <c r="R365" s="75" t="s">
        <v>1697</v>
      </c>
      <c r="S365" s="75">
        <v>1</v>
      </c>
      <c r="T365" s="75">
        <v>0</v>
      </c>
      <c r="U365" s="56" t="s">
        <v>2188</v>
      </c>
      <c r="V365" s="57">
        <v>3.08</v>
      </c>
      <c r="W365" s="68"/>
      <c r="X365" s="50"/>
      <c r="Y365" s="46"/>
      <c r="Z365" s="46"/>
      <c r="AA365" s="56"/>
      <c r="AB365" s="57"/>
      <c r="AC365" s="54">
        <v>1</v>
      </c>
      <c r="AD365" s="69">
        <f>SUM(AE365:AK365)</f>
        <v>1</v>
      </c>
      <c r="AE365" s="66">
        <v>1</v>
      </c>
      <c r="AF365" s="66"/>
      <c r="AG365" s="66"/>
      <c r="AH365" s="66"/>
      <c r="AI365" s="66"/>
      <c r="AJ365" s="66"/>
      <c r="AK365" s="66"/>
      <c r="AL365" s="54">
        <f>IF((AC365-SUM(AE365:AK365))&lt;0,0,AC365-SUM(AE365:AK365))</f>
        <v>0</v>
      </c>
      <c r="AM365" s="69">
        <f>SUM(AN365:AT365)</f>
        <v>1</v>
      </c>
      <c r="AN365" s="60">
        <v>1</v>
      </c>
      <c r="AO365" s="52"/>
      <c r="AP365" s="52"/>
      <c r="AQ365" s="52"/>
      <c r="AR365" s="52"/>
      <c r="AS365" s="52"/>
      <c r="AT365" s="61"/>
      <c r="AU365" s="66">
        <f>MAX(0,$AM365-$AC365-$AW365)</f>
        <v>0</v>
      </c>
      <c r="AV365" s="48"/>
      <c r="AW365" s="48"/>
      <c r="AX365" s="65">
        <v>0</v>
      </c>
      <c r="AY365" s="65">
        <f>IF(AND($AU365&gt;0,ISNUMBER($AX365)),$AU365*$AX365,0)</f>
        <v>0</v>
      </c>
      <c r="AZ365" s="46"/>
      <c r="BA365" s="52"/>
      <c r="BB365" s="52"/>
      <c r="BC365" s="52"/>
      <c r="BD365" s="52"/>
      <c r="BE365" s="52"/>
      <c r="BF365" s="52"/>
    </row>
    <row r="366" spans="1:58" ht="15" customHeight="1">
      <c r="A366" s="46" t="s">
        <v>2189</v>
      </c>
      <c r="B366" s="53" t="s">
        <v>2190</v>
      </c>
      <c r="C366" s="66" t="s">
        <v>311</v>
      </c>
      <c r="D366" s="67">
        <v>0</v>
      </c>
      <c r="E366" s="53" t="s">
        <v>312</v>
      </c>
      <c r="F366" s="50"/>
      <c r="G366" s="50"/>
      <c r="H366" s="51"/>
      <c r="I366" s="50" t="s">
        <v>2191</v>
      </c>
      <c r="J366" s="54" t="s">
        <v>196</v>
      </c>
      <c r="K366" s="58" t="s">
        <v>312</v>
      </c>
      <c r="L366" s="58" t="s">
        <v>2191</v>
      </c>
      <c r="M366" s="58"/>
      <c r="N366" s="58"/>
      <c r="O366" s="54"/>
      <c r="P366" s="56" t="s">
        <v>86</v>
      </c>
      <c r="Q366" s="58" t="s">
        <v>2192</v>
      </c>
      <c r="R366" s="54"/>
      <c r="S366" s="54"/>
      <c r="T366" s="54"/>
      <c r="U366" s="54"/>
      <c r="V366" s="57">
        <v>2.54</v>
      </c>
      <c r="W366" s="68"/>
      <c r="X366" s="54"/>
      <c r="Y366" s="54"/>
      <c r="Z366" s="54"/>
      <c r="AA366" s="54"/>
      <c r="AB366" s="57"/>
      <c r="AC366" s="54">
        <v>1</v>
      </c>
      <c r="AD366" s="69">
        <f>SUM(AE366:AK366)</f>
        <v>1</v>
      </c>
      <c r="AE366" s="66">
        <v>1</v>
      </c>
      <c r="AF366" s="66"/>
      <c r="AG366" s="66"/>
      <c r="AH366" s="66"/>
      <c r="AI366" s="66"/>
      <c r="AJ366" s="66"/>
      <c r="AK366" s="66"/>
      <c r="AL366" s="54">
        <f>IF((AC366-SUM(AE366:AK366))&lt;0,0,AC366-SUM(AE366:AK366))</f>
        <v>0</v>
      </c>
      <c r="AM366" s="69">
        <f>SUM(AN366:AT366)</f>
        <v>1</v>
      </c>
      <c r="AN366" s="60">
        <v>1</v>
      </c>
      <c r="AO366" s="52"/>
      <c r="AP366" s="52"/>
      <c r="AQ366" s="52"/>
      <c r="AR366" s="52"/>
      <c r="AS366" s="52"/>
      <c r="AT366" s="61"/>
      <c r="AU366" s="66">
        <f>MAX(0,$AM366-$AC366-$AW366)</f>
        <v>0</v>
      </c>
      <c r="AV366" s="66"/>
      <c r="AW366" s="66"/>
      <c r="AX366" s="65">
        <v>0</v>
      </c>
      <c r="AY366" s="65">
        <f>IF(AND($AU366&gt;0,ISNUMBER($AX366)),$AU366*$AX366,0)</f>
        <v>0</v>
      </c>
      <c r="AZ366" s="46"/>
      <c r="BA366" s="52"/>
      <c r="BB366" s="52"/>
      <c r="BC366" s="52"/>
      <c r="BD366" s="52"/>
      <c r="BE366" s="52"/>
      <c r="BF366" s="52"/>
    </row>
    <row r="367" spans="1:58" ht="15" customHeight="1">
      <c r="A367" s="46" t="s">
        <v>2193</v>
      </c>
      <c r="B367" s="53" t="s">
        <v>2194</v>
      </c>
      <c r="C367" s="66" t="s">
        <v>109</v>
      </c>
      <c r="D367" s="67">
        <v>5</v>
      </c>
      <c r="E367" s="53" t="s">
        <v>2195</v>
      </c>
      <c r="F367" s="50"/>
      <c r="G367" s="50"/>
      <c r="H367" s="51" t="s">
        <v>2196</v>
      </c>
      <c r="I367" s="50" t="s">
        <v>2197</v>
      </c>
      <c r="J367" s="54" t="s">
        <v>73</v>
      </c>
      <c r="K367" s="58" t="s">
        <v>550</v>
      </c>
      <c r="L367" s="58" t="s">
        <v>2198</v>
      </c>
      <c r="M367" s="58" t="s">
        <v>2199</v>
      </c>
      <c r="N367" s="58" t="s">
        <v>2200</v>
      </c>
      <c r="O367" s="54"/>
      <c r="P367" s="56" t="s">
        <v>114</v>
      </c>
      <c r="Q367" s="58" t="s">
        <v>2201</v>
      </c>
      <c r="R367" s="50"/>
      <c r="S367" s="50"/>
      <c r="T367" s="50"/>
      <c r="U367" s="50"/>
      <c r="V367" s="57">
        <v>2</v>
      </c>
      <c r="W367" s="68"/>
      <c r="X367" s="50"/>
      <c r="Y367" s="50"/>
      <c r="Z367" s="50"/>
      <c r="AA367" s="50"/>
      <c r="AB367" s="57"/>
      <c r="AC367" s="54">
        <v>1</v>
      </c>
      <c r="AD367" s="69">
        <f>SUM(AE367:AK367)</f>
        <v>1</v>
      </c>
      <c r="AE367" s="66">
        <v>1</v>
      </c>
      <c r="AF367" s="66"/>
      <c r="AG367" s="66"/>
      <c r="AH367" s="66"/>
      <c r="AI367" s="66"/>
      <c r="AJ367" s="66"/>
      <c r="AK367" s="66"/>
      <c r="AL367" s="54">
        <f>IF((AC367-SUM(AE367:AK367))&lt;0,0,AC367-SUM(AE367:AK367))</f>
        <v>0</v>
      </c>
      <c r="AM367" s="69">
        <f>SUM(AN367:AT367)</f>
        <v>1</v>
      </c>
      <c r="AN367" s="60">
        <v>1</v>
      </c>
      <c r="AO367" s="52"/>
      <c r="AP367" s="52"/>
      <c r="AQ367" s="52"/>
      <c r="AR367" s="52"/>
      <c r="AS367" s="52"/>
      <c r="AT367" s="61"/>
      <c r="AU367" s="66">
        <f>MAX(0,$AM367-$AC367-$AW367)</f>
        <v>0</v>
      </c>
      <c r="AV367" s="66"/>
      <c r="AW367" s="66"/>
      <c r="AX367" s="65">
        <v>0</v>
      </c>
      <c r="AY367" s="65">
        <f>IF(AND($AU367&gt;0,ISNUMBER($AX367)),$AU367*$AX367,0)</f>
        <v>0</v>
      </c>
      <c r="AZ367" s="46"/>
      <c r="BA367" s="52"/>
      <c r="BB367" s="52"/>
      <c r="BC367" s="52"/>
      <c r="BD367" s="52"/>
      <c r="BE367" s="52"/>
      <c r="BF367" s="52"/>
    </row>
    <row r="368" spans="1:58" ht="15" customHeight="1">
      <c r="A368" s="46" t="s">
        <v>2202</v>
      </c>
      <c r="B368" s="53" t="s">
        <v>2203</v>
      </c>
      <c r="C368" s="66" t="s">
        <v>118</v>
      </c>
      <c r="D368" s="67">
        <v>1</v>
      </c>
      <c r="E368" s="53" t="s">
        <v>189</v>
      </c>
      <c r="F368" s="50"/>
      <c r="G368" s="50"/>
      <c r="H368" s="51"/>
      <c r="I368" s="50" t="s">
        <v>2204</v>
      </c>
      <c r="J368" s="54" t="s">
        <v>196</v>
      </c>
      <c r="K368" s="58" t="s">
        <v>135</v>
      </c>
      <c r="L368" s="58" t="s">
        <v>1074</v>
      </c>
      <c r="M368" s="58" t="s">
        <v>2205</v>
      </c>
      <c r="N368" s="58"/>
      <c r="O368" s="54"/>
      <c r="P368" s="56" t="s">
        <v>185</v>
      </c>
      <c r="Q368" s="58" t="s">
        <v>1035</v>
      </c>
      <c r="R368" s="54"/>
      <c r="S368" s="54"/>
      <c r="T368" s="54"/>
      <c r="U368" s="54"/>
      <c r="V368" s="57">
        <v>1.49</v>
      </c>
      <c r="W368" s="68"/>
      <c r="X368" s="54"/>
      <c r="Y368" s="54"/>
      <c r="Z368" s="54"/>
      <c r="AA368" s="54"/>
      <c r="AB368" s="57"/>
      <c r="AC368" s="54">
        <v>1</v>
      </c>
      <c r="AD368" s="69">
        <f>SUM(AE368:AK368)</f>
        <v>1</v>
      </c>
      <c r="AE368" s="66">
        <v>1</v>
      </c>
      <c r="AF368" s="66"/>
      <c r="AG368" s="66"/>
      <c r="AH368" s="66"/>
      <c r="AI368" s="66"/>
      <c r="AJ368" s="66"/>
      <c r="AK368" s="66"/>
      <c r="AL368" s="54">
        <f>IF((AC368-SUM(AE368:AK368))&lt;0,0,AC368-SUM(AE368:AK368))</f>
        <v>0</v>
      </c>
      <c r="AM368" s="69">
        <f>SUM(AN368:AT368)</f>
        <v>1</v>
      </c>
      <c r="AN368" s="60">
        <v>1</v>
      </c>
      <c r="AO368" s="52"/>
      <c r="AP368" s="52"/>
      <c r="AQ368" s="52"/>
      <c r="AR368" s="52"/>
      <c r="AS368" s="52"/>
      <c r="AT368" s="61"/>
      <c r="AU368" s="66">
        <f>MAX(0,$AM368-$AC368-$AW368)</f>
        <v>0</v>
      </c>
      <c r="AV368" s="66"/>
      <c r="AW368" s="66"/>
      <c r="AX368" s="65">
        <v>0</v>
      </c>
      <c r="AY368" s="65">
        <f>IF(AND($AU368&gt;0,ISNUMBER($AX368)),$AU368*$AX368,0)</f>
        <v>0</v>
      </c>
      <c r="AZ368" s="46"/>
      <c r="BA368" s="52"/>
      <c r="BB368" s="52"/>
      <c r="BC368" s="52"/>
      <c r="BD368" s="52"/>
      <c r="BE368" s="52"/>
      <c r="BF368" s="52"/>
    </row>
    <row r="369" spans="1:58" ht="15" customHeight="1">
      <c r="A369" s="46" t="s">
        <v>2206</v>
      </c>
      <c r="B369" s="53" t="s">
        <v>2207</v>
      </c>
      <c r="C369" s="66" t="s">
        <v>70</v>
      </c>
      <c r="D369" s="67">
        <v>3</v>
      </c>
      <c r="E369" s="53" t="s">
        <v>110</v>
      </c>
      <c r="F369" s="50">
        <v>2</v>
      </c>
      <c r="G369" s="50">
        <v>1</v>
      </c>
      <c r="H369" s="51" t="s">
        <v>245</v>
      </c>
      <c r="I369" s="50" t="s">
        <v>2208</v>
      </c>
      <c r="J369" s="54" t="s">
        <v>73</v>
      </c>
      <c r="K369" s="58" t="s">
        <v>474</v>
      </c>
      <c r="L369" s="58" t="s">
        <v>2209</v>
      </c>
      <c r="M369" s="58"/>
      <c r="N369" s="58"/>
      <c r="O369" s="56">
        <v>1697</v>
      </c>
      <c r="P369" s="56" t="s">
        <v>86</v>
      </c>
      <c r="Q369" s="58" t="s">
        <v>2210</v>
      </c>
      <c r="R369" s="54"/>
      <c r="S369" s="54"/>
      <c r="T369" s="54"/>
      <c r="U369" s="54"/>
      <c r="V369" s="57">
        <v>1.44</v>
      </c>
      <c r="W369" s="68"/>
      <c r="X369" s="54"/>
      <c r="Y369" s="54"/>
      <c r="Z369" s="54"/>
      <c r="AA369" s="54"/>
      <c r="AB369" s="57"/>
      <c r="AC369" s="54">
        <v>1</v>
      </c>
      <c r="AD369" s="69">
        <f>SUM(AE369:AK369)</f>
        <v>1</v>
      </c>
      <c r="AE369" s="66">
        <v>1</v>
      </c>
      <c r="AF369" s="66"/>
      <c r="AG369" s="66"/>
      <c r="AH369" s="66"/>
      <c r="AI369" s="66"/>
      <c r="AJ369" s="66"/>
      <c r="AK369" s="66"/>
      <c r="AL369" s="54">
        <f>IF((AC369-SUM(AE369:AK369))&lt;0,0,AC369-SUM(AE369:AK369))</f>
        <v>0</v>
      </c>
      <c r="AM369" s="69">
        <f>SUM(AN369:AT369)</f>
        <v>1</v>
      </c>
      <c r="AN369" s="60">
        <v>1</v>
      </c>
      <c r="AO369" s="52"/>
      <c r="AP369" s="52"/>
      <c r="AQ369" s="52"/>
      <c r="AR369" s="52"/>
      <c r="AS369" s="52"/>
      <c r="AT369" s="61"/>
      <c r="AU369" s="66">
        <f>MAX(0,$AM369-$AC369-$AW369)</f>
        <v>0</v>
      </c>
      <c r="AV369" s="66"/>
      <c r="AW369" s="66"/>
      <c r="AX369" s="65">
        <v>0</v>
      </c>
      <c r="AY369" s="65">
        <f>IF(AND($AU369&gt;0,ISNUMBER($AX369)),$AU369*$AX369,0)</f>
        <v>0</v>
      </c>
      <c r="AZ369" s="46"/>
      <c r="BA369" s="52"/>
      <c r="BB369" s="52"/>
      <c r="BC369" s="52"/>
      <c r="BD369" s="52"/>
      <c r="BE369" s="52"/>
      <c r="BF369" s="52"/>
    </row>
    <row r="370" spans="1:58" ht="15" customHeight="1">
      <c r="A370" s="46" t="s">
        <v>2211</v>
      </c>
      <c r="B370" s="53" t="s">
        <v>2212</v>
      </c>
      <c r="C370" s="66" t="s">
        <v>118</v>
      </c>
      <c r="D370" s="67">
        <v>3</v>
      </c>
      <c r="E370" s="53" t="s">
        <v>233</v>
      </c>
      <c r="F370" s="50"/>
      <c r="G370" s="50"/>
      <c r="H370" s="51"/>
      <c r="I370" s="50" t="s">
        <v>2213</v>
      </c>
      <c r="J370" s="54" t="s">
        <v>73</v>
      </c>
      <c r="K370" s="58" t="s">
        <v>104</v>
      </c>
      <c r="L370" s="58" t="s">
        <v>2214</v>
      </c>
      <c r="M370" s="58" t="s">
        <v>2215</v>
      </c>
      <c r="N370" s="58"/>
      <c r="O370" s="54"/>
      <c r="P370" s="56" t="s">
        <v>86</v>
      </c>
      <c r="Q370" s="58" t="s">
        <v>2216</v>
      </c>
      <c r="R370" s="54"/>
      <c r="S370" s="54"/>
      <c r="T370" s="54"/>
      <c r="U370" s="54"/>
      <c r="V370" s="57">
        <v>1.02</v>
      </c>
      <c r="W370" s="68"/>
      <c r="X370" s="54"/>
      <c r="Y370" s="54"/>
      <c r="Z370" s="54"/>
      <c r="AA370" s="54"/>
      <c r="AB370" s="57"/>
      <c r="AC370" s="54">
        <v>1</v>
      </c>
      <c r="AD370" s="69">
        <f>SUM(AE370:AK370)</f>
        <v>1</v>
      </c>
      <c r="AE370" s="66">
        <v>1</v>
      </c>
      <c r="AF370" s="66"/>
      <c r="AG370" s="66"/>
      <c r="AH370" s="66"/>
      <c r="AI370" s="66"/>
      <c r="AJ370" s="66"/>
      <c r="AK370" s="66"/>
      <c r="AL370" s="54">
        <f>IF((AC370-SUM(AE370:AK370))&lt;0,0,AC370-SUM(AE370:AK370))</f>
        <v>0</v>
      </c>
      <c r="AM370" s="69">
        <f>SUM(AN370:AT370)</f>
        <v>1</v>
      </c>
      <c r="AN370" s="60">
        <v>1</v>
      </c>
      <c r="AO370" s="52"/>
      <c r="AP370" s="52"/>
      <c r="AQ370" s="52"/>
      <c r="AR370" s="52"/>
      <c r="AS370" s="52"/>
      <c r="AT370" s="61"/>
      <c r="AU370" s="66">
        <f>MAX(0,$AM370-$AC370-$AW370)</f>
        <v>0</v>
      </c>
      <c r="AV370" s="66"/>
      <c r="AW370" s="66"/>
      <c r="AX370" s="65">
        <v>0</v>
      </c>
      <c r="AY370" s="65">
        <f>IF(AND($AU370&gt;0,ISNUMBER($AX370)),$AU370*$AX370,0)</f>
        <v>0</v>
      </c>
      <c r="AZ370" s="46"/>
      <c r="BA370" s="52"/>
      <c r="BB370" s="52"/>
      <c r="BC370" s="52"/>
      <c r="BD370" s="52"/>
      <c r="BE370" s="52"/>
      <c r="BF370" s="52"/>
    </row>
    <row r="371" spans="1:58" ht="15" customHeight="1">
      <c r="A371" s="46" t="s">
        <v>2217</v>
      </c>
      <c r="B371" s="53" t="s">
        <v>2218</v>
      </c>
      <c r="C371" s="66" t="s">
        <v>232</v>
      </c>
      <c r="D371" s="67">
        <v>2</v>
      </c>
      <c r="E371" s="53" t="s">
        <v>233</v>
      </c>
      <c r="F371" s="50"/>
      <c r="G371" s="50"/>
      <c r="H371" s="51"/>
      <c r="I371" s="50" t="s">
        <v>1033</v>
      </c>
      <c r="J371" s="54" t="s">
        <v>73</v>
      </c>
      <c r="K371" s="58" t="s">
        <v>235</v>
      </c>
      <c r="L371" s="58" t="s">
        <v>1034</v>
      </c>
      <c r="M371" s="58"/>
      <c r="N371" s="58"/>
      <c r="O371" s="54"/>
      <c r="P371" s="56" t="s">
        <v>185</v>
      </c>
      <c r="Q371" s="58" t="s">
        <v>2219</v>
      </c>
      <c r="R371" s="54"/>
      <c r="S371" s="54"/>
      <c r="T371" s="54"/>
      <c r="U371" s="54"/>
      <c r="V371" s="57">
        <v>0.95</v>
      </c>
      <c r="W371" s="68"/>
      <c r="X371" s="54"/>
      <c r="Y371" s="54"/>
      <c r="Z371" s="54"/>
      <c r="AA371" s="54"/>
      <c r="AB371" s="57"/>
      <c r="AC371" s="54">
        <v>1</v>
      </c>
      <c r="AD371" s="69">
        <f>SUM(AE371:AK371)</f>
        <v>1</v>
      </c>
      <c r="AE371" s="66">
        <v>1</v>
      </c>
      <c r="AF371" s="66"/>
      <c r="AG371" s="66"/>
      <c r="AH371" s="66"/>
      <c r="AI371" s="66"/>
      <c r="AJ371" s="66"/>
      <c r="AK371" s="66"/>
      <c r="AL371" s="54">
        <f>IF((AC371-SUM(AE371:AK371))&lt;0,0,AC371-SUM(AE371:AK371))</f>
        <v>0</v>
      </c>
      <c r="AM371" s="69">
        <f>SUM(AN371:AT371)</f>
        <v>1</v>
      </c>
      <c r="AN371" s="60">
        <v>1</v>
      </c>
      <c r="AO371" s="52"/>
      <c r="AP371" s="52"/>
      <c r="AQ371" s="52"/>
      <c r="AR371" s="52"/>
      <c r="AS371" s="52"/>
      <c r="AT371" s="61"/>
      <c r="AU371" s="66">
        <f>MAX(0,$AM371-$AC371-$AW371)</f>
        <v>0</v>
      </c>
      <c r="AV371" s="66"/>
      <c r="AW371" s="66"/>
      <c r="AX371" s="65">
        <v>0</v>
      </c>
      <c r="AY371" s="65">
        <f>IF(AND($AU371&gt;0,ISNUMBER($AX371)),$AU371*$AX371,0)</f>
        <v>0</v>
      </c>
      <c r="AZ371" s="46"/>
      <c r="BA371" s="52"/>
      <c r="BB371" s="52"/>
      <c r="BC371" s="52"/>
      <c r="BD371" s="52"/>
      <c r="BE371" s="52"/>
      <c r="BF371" s="52"/>
    </row>
    <row r="372" spans="1:58" ht="15" customHeight="1">
      <c r="A372" s="46" t="s">
        <v>2220</v>
      </c>
      <c r="B372" s="53" t="s">
        <v>2221</v>
      </c>
      <c r="C372" s="66" t="s">
        <v>118</v>
      </c>
      <c r="D372" s="67">
        <v>3</v>
      </c>
      <c r="E372" s="53" t="s">
        <v>384</v>
      </c>
      <c r="F372" s="50"/>
      <c r="G372" s="50"/>
      <c r="H372" s="51"/>
      <c r="I372" s="50" t="s">
        <v>2222</v>
      </c>
      <c r="J372" s="54" t="s">
        <v>73</v>
      </c>
      <c r="K372" s="58" t="s">
        <v>92</v>
      </c>
      <c r="L372" s="58" t="s">
        <v>2223</v>
      </c>
      <c r="M372" s="58"/>
      <c r="N372" s="58"/>
      <c r="O372" s="54"/>
      <c r="P372" s="56" t="s">
        <v>86</v>
      </c>
      <c r="Q372" s="58" t="s">
        <v>2224</v>
      </c>
      <c r="R372" s="54"/>
      <c r="S372" s="54"/>
      <c r="T372" s="54"/>
      <c r="U372" s="54"/>
      <c r="V372" s="57">
        <v>0.81</v>
      </c>
      <c r="W372" s="68"/>
      <c r="X372" s="54"/>
      <c r="Y372" s="54"/>
      <c r="Z372" s="54"/>
      <c r="AA372" s="54"/>
      <c r="AB372" s="57"/>
      <c r="AC372" s="54">
        <v>1</v>
      </c>
      <c r="AD372" s="69">
        <f>SUM(AE372:AK372)</f>
        <v>1</v>
      </c>
      <c r="AE372" s="66">
        <v>1</v>
      </c>
      <c r="AF372" s="66"/>
      <c r="AG372" s="66"/>
      <c r="AH372" s="66"/>
      <c r="AI372" s="66"/>
      <c r="AJ372" s="66"/>
      <c r="AK372" s="66"/>
      <c r="AL372" s="54">
        <f>IF((AC372-SUM(AE372:AK372))&lt;0,0,AC372-SUM(AE372:AK372))</f>
        <v>0</v>
      </c>
      <c r="AM372" s="69">
        <f>SUM(AN372:AT372)</f>
        <v>1</v>
      </c>
      <c r="AN372" s="60">
        <v>1</v>
      </c>
      <c r="AO372" s="52"/>
      <c r="AP372" s="52"/>
      <c r="AQ372" s="52"/>
      <c r="AR372" s="52"/>
      <c r="AS372" s="52"/>
      <c r="AT372" s="61"/>
      <c r="AU372" s="66">
        <f>MAX(0,$AM372-$AC372-$AW372)</f>
        <v>0</v>
      </c>
      <c r="AV372" s="66"/>
      <c r="AW372" s="66"/>
      <c r="AX372" s="65">
        <v>0</v>
      </c>
      <c r="AY372" s="65">
        <f>IF(AND($AU372&gt;0,ISNUMBER($AX372)),$AU372*$AX372,0)</f>
        <v>0</v>
      </c>
      <c r="AZ372" s="46"/>
      <c r="BA372" s="52"/>
      <c r="BB372" s="52"/>
      <c r="BC372" s="52"/>
      <c r="BD372" s="52"/>
      <c r="BE372" s="52"/>
      <c r="BF372" s="52"/>
    </row>
    <row r="373" spans="1:58" ht="15" customHeight="1">
      <c r="A373" s="46" t="s">
        <v>2225</v>
      </c>
      <c r="B373" s="53" t="s">
        <v>2226</v>
      </c>
      <c r="C373" s="66" t="s">
        <v>118</v>
      </c>
      <c r="D373" s="67">
        <v>8</v>
      </c>
      <c r="E373" s="53" t="s">
        <v>531</v>
      </c>
      <c r="F373" s="50">
        <v>9</v>
      </c>
      <c r="G373" s="50">
        <v>9</v>
      </c>
      <c r="H373" s="51" t="s">
        <v>964</v>
      </c>
      <c r="I373" s="50" t="s">
        <v>2227</v>
      </c>
      <c r="J373" s="54" t="s">
        <v>73</v>
      </c>
      <c r="K373" s="58" t="s">
        <v>170</v>
      </c>
      <c r="L373" s="58" t="s">
        <v>2228</v>
      </c>
      <c r="M373" s="58" t="s">
        <v>2229</v>
      </c>
      <c r="N373" s="58"/>
      <c r="O373" s="54"/>
      <c r="P373" s="56" t="s">
        <v>86</v>
      </c>
      <c r="Q373" s="58" t="s">
        <v>2230</v>
      </c>
      <c r="R373" s="50"/>
      <c r="S373" s="50"/>
      <c r="T373" s="50"/>
      <c r="U373" s="56"/>
      <c r="V373" s="57">
        <v>0.77</v>
      </c>
      <c r="W373" s="68"/>
      <c r="X373" s="50"/>
      <c r="Y373" s="50"/>
      <c r="Z373" s="50"/>
      <c r="AA373" s="56"/>
      <c r="AB373" s="57"/>
      <c r="AC373" s="54">
        <v>1</v>
      </c>
      <c r="AD373" s="69">
        <f>SUM(AE373:AK373)</f>
        <v>1</v>
      </c>
      <c r="AE373" s="66">
        <v>1</v>
      </c>
      <c r="AF373" s="66"/>
      <c r="AG373" s="66"/>
      <c r="AH373" s="66"/>
      <c r="AI373" s="66"/>
      <c r="AJ373" s="66"/>
      <c r="AK373" s="66"/>
      <c r="AL373" s="54">
        <f>IF((AC373-SUM(AE373:AK373))&lt;0,0,AC373-SUM(AE373:AK373))</f>
        <v>0</v>
      </c>
      <c r="AM373" s="69">
        <f>SUM(AN373:AT373)</f>
        <v>1</v>
      </c>
      <c r="AN373" s="60">
        <v>1</v>
      </c>
      <c r="AO373" s="52"/>
      <c r="AP373" s="52"/>
      <c r="AQ373" s="52"/>
      <c r="AR373" s="52"/>
      <c r="AS373" s="52"/>
      <c r="AT373" s="61"/>
      <c r="AU373" s="66">
        <f>MAX(0,$AM373-$AC373-$AW373)</f>
        <v>0</v>
      </c>
      <c r="AV373" s="66"/>
      <c r="AW373" s="66"/>
      <c r="AX373" s="65">
        <v>0</v>
      </c>
      <c r="AY373" s="65">
        <f>IF(AND($AU373&gt;0,ISNUMBER($AX373)),$AU373*$AX373,0)</f>
        <v>0</v>
      </c>
      <c r="AZ373" s="46"/>
      <c r="BA373" s="52"/>
      <c r="BB373" s="52"/>
      <c r="BC373" s="52"/>
      <c r="BD373" s="52"/>
      <c r="BE373" s="52"/>
      <c r="BF373" s="52"/>
    </row>
    <row r="374" spans="1:58" ht="15" customHeight="1">
      <c r="A374" s="46" t="s">
        <v>2231</v>
      </c>
      <c r="B374" s="53" t="s">
        <v>2232</v>
      </c>
      <c r="C374" s="66" t="s">
        <v>109</v>
      </c>
      <c r="D374" s="67">
        <v>4</v>
      </c>
      <c r="E374" s="53" t="s">
        <v>2195</v>
      </c>
      <c r="F374" s="50"/>
      <c r="G374" s="50"/>
      <c r="H374" s="51" t="s">
        <v>2196</v>
      </c>
      <c r="I374" s="50" t="s">
        <v>2233</v>
      </c>
      <c r="J374" s="54" t="s">
        <v>73</v>
      </c>
      <c r="K374" s="58" t="s">
        <v>129</v>
      </c>
      <c r="L374" s="58" t="s">
        <v>2234</v>
      </c>
      <c r="M374" s="58" t="s">
        <v>2235</v>
      </c>
      <c r="N374" s="58" t="s">
        <v>2236</v>
      </c>
      <c r="O374" s="56">
        <v>247</v>
      </c>
      <c r="P374" s="56" t="s">
        <v>114</v>
      </c>
      <c r="Q374" s="58" t="s">
        <v>93</v>
      </c>
      <c r="R374" s="54"/>
      <c r="S374" s="54"/>
      <c r="T374" s="54"/>
      <c r="U374" s="54"/>
      <c r="V374" s="57">
        <v>0.66</v>
      </c>
      <c r="W374" s="68"/>
      <c r="X374" s="54"/>
      <c r="Y374" s="54"/>
      <c r="Z374" s="54"/>
      <c r="AA374" s="54"/>
      <c r="AB374" s="57"/>
      <c r="AC374" s="54">
        <v>1</v>
      </c>
      <c r="AD374" s="69">
        <f>SUM(AE374:AK374)</f>
        <v>1</v>
      </c>
      <c r="AE374" s="66">
        <v>1</v>
      </c>
      <c r="AF374" s="66"/>
      <c r="AG374" s="66"/>
      <c r="AH374" s="66"/>
      <c r="AI374" s="66"/>
      <c r="AJ374" s="66"/>
      <c r="AK374" s="66"/>
      <c r="AL374" s="54">
        <f>IF((AC374-SUM(AE374:AK374))&lt;0,0,AC374-SUM(AE374:AK374))</f>
        <v>0</v>
      </c>
      <c r="AM374" s="69">
        <f>SUM(AN374:AT374)</f>
        <v>1</v>
      </c>
      <c r="AN374" s="60">
        <v>1</v>
      </c>
      <c r="AO374" s="52"/>
      <c r="AP374" s="52"/>
      <c r="AQ374" s="52"/>
      <c r="AR374" s="52"/>
      <c r="AS374" s="52"/>
      <c r="AT374" s="61"/>
      <c r="AU374" s="66">
        <f>MAX(0,$AM374-$AC374-$AW374)</f>
        <v>0</v>
      </c>
      <c r="AV374" s="66"/>
      <c r="AW374" s="66"/>
      <c r="AX374" s="65">
        <v>0</v>
      </c>
      <c r="AY374" s="65">
        <f>IF(AND($AU374&gt;0,ISNUMBER($AX374)),$AU374*$AX374,0)</f>
        <v>0</v>
      </c>
      <c r="AZ374" s="46"/>
      <c r="BA374" s="52"/>
      <c r="BB374" s="52"/>
      <c r="BC374" s="52"/>
      <c r="BD374" s="52"/>
      <c r="BE374" s="52"/>
      <c r="BF374" s="52"/>
    </row>
    <row r="375" spans="1:58" ht="15" customHeight="1">
      <c r="A375" s="46" t="s">
        <v>2237</v>
      </c>
      <c r="B375" s="53" t="s">
        <v>2238</v>
      </c>
      <c r="C375" s="66" t="s">
        <v>109</v>
      </c>
      <c r="D375" s="67">
        <v>4</v>
      </c>
      <c r="E375" s="53" t="s">
        <v>110</v>
      </c>
      <c r="F375" s="50">
        <v>3</v>
      </c>
      <c r="G375" s="50">
        <v>3</v>
      </c>
      <c r="H375" s="51" t="s">
        <v>2239</v>
      </c>
      <c r="I375" s="50" t="s">
        <v>2240</v>
      </c>
      <c r="J375" s="54" t="s">
        <v>73</v>
      </c>
      <c r="K375" s="58" t="s">
        <v>474</v>
      </c>
      <c r="L375" s="58" t="s">
        <v>2241</v>
      </c>
      <c r="M375" s="58" t="s">
        <v>2242</v>
      </c>
      <c r="N375" s="58"/>
      <c r="O375" s="56">
        <v>2021</v>
      </c>
      <c r="P375" s="56" t="s">
        <v>114</v>
      </c>
      <c r="Q375" s="58" t="s">
        <v>93</v>
      </c>
      <c r="R375" s="54"/>
      <c r="S375" s="54"/>
      <c r="T375" s="54"/>
      <c r="U375" s="54"/>
      <c r="V375" s="57">
        <v>0.62</v>
      </c>
      <c r="W375" s="68"/>
      <c r="X375" s="54"/>
      <c r="Y375" s="54"/>
      <c r="Z375" s="54"/>
      <c r="AA375" s="54"/>
      <c r="AB375" s="57"/>
      <c r="AC375" s="54">
        <v>1</v>
      </c>
      <c r="AD375" s="69">
        <f>SUM(AE375:AK375)</f>
        <v>1</v>
      </c>
      <c r="AE375" s="66">
        <v>1</v>
      </c>
      <c r="AF375" s="66"/>
      <c r="AG375" s="66"/>
      <c r="AH375" s="66"/>
      <c r="AI375" s="66"/>
      <c r="AJ375" s="66"/>
      <c r="AK375" s="66"/>
      <c r="AL375" s="54">
        <f>IF((AC375-SUM(AE375:AK375))&lt;0,0,AC375-SUM(AE375:AK375))</f>
        <v>0</v>
      </c>
      <c r="AM375" s="69">
        <f>SUM(AN375:AT375)</f>
        <v>1</v>
      </c>
      <c r="AN375" s="60">
        <v>1</v>
      </c>
      <c r="AO375" s="52"/>
      <c r="AP375" s="52"/>
      <c r="AQ375" s="52"/>
      <c r="AR375" s="52"/>
      <c r="AS375" s="52"/>
      <c r="AT375" s="61"/>
      <c r="AU375" s="66">
        <f>MAX(0,$AM375-$AC375-$AW375)</f>
        <v>0</v>
      </c>
      <c r="AV375" s="66"/>
      <c r="AW375" s="66"/>
      <c r="AX375" s="65">
        <v>0</v>
      </c>
      <c r="AY375" s="65">
        <f>IF(AND($AU375&gt;0,ISNUMBER($AX375)),$AU375*$AX375,0)</f>
        <v>0</v>
      </c>
      <c r="AZ375" s="46"/>
      <c r="BA375" s="52"/>
      <c r="BB375" s="52"/>
      <c r="BC375" s="52"/>
      <c r="BD375" s="52"/>
      <c r="BE375" s="52"/>
      <c r="BF375" s="52"/>
    </row>
    <row r="376" spans="1:58" ht="15" customHeight="1">
      <c r="A376" s="46" t="s">
        <v>2243</v>
      </c>
      <c r="B376" s="53" t="s">
        <v>2244</v>
      </c>
      <c r="C376" s="66" t="s">
        <v>118</v>
      </c>
      <c r="D376" s="67">
        <v>4</v>
      </c>
      <c r="E376" s="53" t="s">
        <v>81</v>
      </c>
      <c r="F376" s="50">
        <v>3</v>
      </c>
      <c r="G376" s="50">
        <v>4</v>
      </c>
      <c r="H376" s="51" t="s">
        <v>2245</v>
      </c>
      <c r="I376" s="50" t="s">
        <v>2246</v>
      </c>
      <c r="J376" s="54" t="s">
        <v>73</v>
      </c>
      <c r="K376" s="58" t="s">
        <v>474</v>
      </c>
      <c r="L376" s="58" t="s">
        <v>995</v>
      </c>
      <c r="M376" s="58" t="s">
        <v>2247</v>
      </c>
      <c r="N376" s="58" t="s">
        <v>2248</v>
      </c>
      <c r="O376" s="54"/>
      <c r="P376" s="56" t="s">
        <v>114</v>
      </c>
      <c r="Q376" s="58" t="s">
        <v>528</v>
      </c>
      <c r="R376" s="54"/>
      <c r="S376" s="54"/>
      <c r="T376" s="54"/>
      <c r="U376" s="54"/>
      <c r="V376" s="57">
        <v>0.5</v>
      </c>
      <c r="W376" s="68"/>
      <c r="X376" s="54"/>
      <c r="Y376" s="54"/>
      <c r="Z376" s="54"/>
      <c r="AA376" s="54"/>
      <c r="AB376" s="57"/>
      <c r="AC376" s="54">
        <v>1</v>
      </c>
      <c r="AD376" s="69">
        <f>SUM(AE376:AK376)</f>
        <v>1</v>
      </c>
      <c r="AE376" s="66">
        <v>1</v>
      </c>
      <c r="AF376" s="66"/>
      <c r="AG376" s="66"/>
      <c r="AH376" s="66"/>
      <c r="AI376" s="66"/>
      <c r="AJ376" s="66"/>
      <c r="AK376" s="66"/>
      <c r="AL376" s="54">
        <f>IF((AC376-SUM(AE376:AK376))&lt;0,0,AC376-SUM(AE376:AK376))</f>
        <v>0</v>
      </c>
      <c r="AM376" s="69">
        <f>SUM(AN376:AT376)</f>
        <v>1</v>
      </c>
      <c r="AN376" s="60">
        <v>1</v>
      </c>
      <c r="AO376" s="52"/>
      <c r="AP376" s="52"/>
      <c r="AQ376" s="52"/>
      <c r="AR376" s="52"/>
      <c r="AS376" s="52"/>
      <c r="AT376" s="61"/>
      <c r="AU376" s="66">
        <f>MAX(0,$AM376-$AC376-$AW376)</f>
        <v>0</v>
      </c>
      <c r="AV376" s="66"/>
      <c r="AW376" s="66"/>
      <c r="AX376" s="65">
        <v>0</v>
      </c>
      <c r="AY376" s="65">
        <f>IF(AND($AU376&gt;0,ISNUMBER($AX376)),$AU376*$AX376,0)</f>
        <v>0</v>
      </c>
      <c r="AZ376" s="46"/>
      <c r="BA376" s="52"/>
      <c r="BB376" s="52"/>
      <c r="BC376" s="52"/>
      <c r="BD376" s="52"/>
      <c r="BE376" s="52"/>
      <c r="BF376" s="52"/>
    </row>
    <row r="377" spans="1:58" ht="15" customHeight="1">
      <c r="A377" s="46" t="s">
        <v>2249</v>
      </c>
      <c r="B377" s="53" t="s">
        <v>2250</v>
      </c>
      <c r="C377" s="66" t="s">
        <v>232</v>
      </c>
      <c r="D377" s="67">
        <v>1</v>
      </c>
      <c r="E377" s="53" t="s">
        <v>233</v>
      </c>
      <c r="F377" s="50"/>
      <c r="G377" s="50"/>
      <c r="H377" s="51"/>
      <c r="I377" s="50" t="s">
        <v>2251</v>
      </c>
      <c r="J377" s="54" t="s">
        <v>73</v>
      </c>
      <c r="K377" s="58" t="s">
        <v>1099</v>
      </c>
      <c r="L377" s="58" t="s">
        <v>2252</v>
      </c>
      <c r="M377" s="58" t="s">
        <v>2253</v>
      </c>
      <c r="N377" s="58" t="s">
        <v>2254</v>
      </c>
      <c r="O377" s="54"/>
      <c r="P377" s="56" t="s">
        <v>86</v>
      </c>
      <c r="Q377" s="58" t="s">
        <v>208</v>
      </c>
      <c r="R377" s="50"/>
      <c r="S377" s="50"/>
      <c r="T377" s="50"/>
      <c r="U377" s="50"/>
      <c r="V377" s="57">
        <v>0.49</v>
      </c>
      <c r="W377" s="68"/>
      <c r="X377" s="50"/>
      <c r="Y377" s="50"/>
      <c r="Z377" s="50"/>
      <c r="AA377" s="50"/>
      <c r="AB377" s="57"/>
      <c r="AC377" s="54">
        <v>1</v>
      </c>
      <c r="AD377" s="69">
        <f>SUM(AE377:AK377)</f>
        <v>1</v>
      </c>
      <c r="AE377" s="66">
        <v>1</v>
      </c>
      <c r="AF377" s="66"/>
      <c r="AG377" s="66"/>
      <c r="AH377" s="66"/>
      <c r="AI377" s="66"/>
      <c r="AJ377" s="66"/>
      <c r="AK377" s="66"/>
      <c r="AL377" s="54">
        <f>IF((AC377-SUM(AE377:AK377))&lt;0,0,AC377-SUM(AE377:AK377))</f>
        <v>0</v>
      </c>
      <c r="AM377" s="69">
        <f>SUM(AN377:AT377)</f>
        <v>1</v>
      </c>
      <c r="AN377" s="60">
        <v>1</v>
      </c>
      <c r="AO377" s="52"/>
      <c r="AP377" s="52"/>
      <c r="AQ377" s="52"/>
      <c r="AR377" s="52"/>
      <c r="AS377" s="52"/>
      <c r="AT377" s="61"/>
      <c r="AU377" s="66">
        <f>MAX(0,$AM377-$AC377-$AW377)</f>
        <v>0</v>
      </c>
      <c r="AV377" s="66"/>
      <c r="AW377" s="66"/>
      <c r="AX377" s="65">
        <v>0</v>
      </c>
      <c r="AY377" s="65">
        <f>IF(AND($AU377&gt;0,ISNUMBER($AX377)),$AU377*$AX377,0)</f>
        <v>0</v>
      </c>
      <c r="AZ377" s="46"/>
      <c r="BA377" s="52"/>
      <c r="BB377" s="52"/>
      <c r="BC377" s="52"/>
      <c r="BD377" s="52"/>
      <c r="BE377" s="52"/>
      <c r="BF377" s="52"/>
    </row>
    <row r="378" spans="1:58" ht="15" customHeight="1">
      <c r="A378" s="46" t="s">
        <v>2255</v>
      </c>
      <c r="B378" s="53" t="s">
        <v>2256</v>
      </c>
      <c r="C378" s="66" t="s">
        <v>118</v>
      </c>
      <c r="D378" s="67">
        <v>4</v>
      </c>
      <c r="E378" s="53" t="s">
        <v>189</v>
      </c>
      <c r="F378" s="50"/>
      <c r="G378" s="50"/>
      <c r="H378" s="51"/>
      <c r="I378" s="50" t="s">
        <v>2257</v>
      </c>
      <c r="J378" s="54" t="s">
        <v>73</v>
      </c>
      <c r="K378" s="53" t="s">
        <v>424</v>
      </c>
      <c r="L378" s="53" t="s">
        <v>2258</v>
      </c>
      <c r="M378" s="53" t="s">
        <v>2259</v>
      </c>
      <c r="N378" s="53"/>
      <c r="O378" s="54"/>
      <c r="P378" s="56" t="s">
        <v>86</v>
      </c>
      <c r="Q378" s="53" t="s">
        <v>509</v>
      </c>
      <c r="R378" s="50"/>
      <c r="S378" s="50"/>
      <c r="T378" s="50"/>
      <c r="U378" s="56"/>
      <c r="V378" s="57">
        <v>0.43</v>
      </c>
      <c r="W378" s="68"/>
      <c r="X378" s="50"/>
      <c r="Y378" s="50"/>
      <c r="Z378" s="50"/>
      <c r="AA378" s="56"/>
      <c r="AB378" s="57"/>
      <c r="AC378" s="54">
        <v>1</v>
      </c>
      <c r="AD378" s="69">
        <f>SUM(AE378:AK378)</f>
        <v>1</v>
      </c>
      <c r="AE378" s="66">
        <v>1</v>
      </c>
      <c r="AF378" s="66"/>
      <c r="AG378" s="66"/>
      <c r="AH378" s="66"/>
      <c r="AI378" s="66"/>
      <c r="AJ378" s="66"/>
      <c r="AK378" s="66"/>
      <c r="AL378" s="54">
        <f>IF((AC378-SUM(AE378:AK378))&lt;0,0,AC378-SUM(AE378:AK378))</f>
        <v>0</v>
      </c>
      <c r="AM378" s="69">
        <f>SUM(AN378:AT378)</f>
        <v>1</v>
      </c>
      <c r="AN378" s="60">
        <v>1</v>
      </c>
      <c r="AO378" s="52"/>
      <c r="AP378" s="52"/>
      <c r="AQ378" s="52"/>
      <c r="AR378" s="52"/>
      <c r="AS378" s="52"/>
      <c r="AT378" s="61"/>
      <c r="AU378" s="66">
        <f>MAX(0,$AM378-$AC378-$AW378)</f>
        <v>0</v>
      </c>
      <c r="AV378" s="66"/>
      <c r="AW378" s="66"/>
      <c r="AX378" s="65">
        <v>0</v>
      </c>
      <c r="AY378" s="65">
        <f>IF(AND($AU378&gt;0,ISNUMBER($AX378)),$AU378*$AX378,0)</f>
        <v>0</v>
      </c>
      <c r="AZ378" s="46"/>
      <c r="BA378" s="52"/>
      <c r="BB378" s="52"/>
      <c r="BC378" s="52"/>
      <c r="BD378" s="52"/>
      <c r="BE378" s="52"/>
      <c r="BF378" s="52"/>
    </row>
    <row r="379" spans="1:58" ht="15" customHeight="1">
      <c r="A379" s="46" t="s">
        <v>2260</v>
      </c>
      <c r="B379" s="53" t="s">
        <v>2261</v>
      </c>
      <c r="C379" s="66" t="s">
        <v>70</v>
      </c>
      <c r="D379" s="67">
        <v>4</v>
      </c>
      <c r="E379" s="53" t="s">
        <v>384</v>
      </c>
      <c r="F379" s="50"/>
      <c r="G379" s="50"/>
      <c r="H379" s="51" t="s">
        <v>1873</v>
      </c>
      <c r="I379" s="50" t="s">
        <v>2262</v>
      </c>
      <c r="J379" s="54" t="s">
        <v>73</v>
      </c>
      <c r="K379" s="58" t="s">
        <v>152</v>
      </c>
      <c r="L379" s="58" t="s">
        <v>2263</v>
      </c>
      <c r="M379" s="58" t="s">
        <v>2264</v>
      </c>
      <c r="N379" s="58" t="s">
        <v>2265</v>
      </c>
      <c r="O379" s="54"/>
      <c r="P379" s="56" t="s">
        <v>86</v>
      </c>
      <c r="Q379" s="58" t="s">
        <v>93</v>
      </c>
      <c r="R379" s="54"/>
      <c r="S379" s="54"/>
      <c r="T379" s="54"/>
      <c r="U379" s="54"/>
      <c r="V379" s="57">
        <v>0.39</v>
      </c>
      <c r="W379" s="68"/>
      <c r="X379" s="54"/>
      <c r="Y379" s="54"/>
      <c r="Z379" s="54"/>
      <c r="AA379" s="54"/>
      <c r="AB379" s="57"/>
      <c r="AC379" s="54">
        <v>1</v>
      </c>
      <c r="AD379" s="69">
        <f>SUM(AE379:AK379)</f>
        <v>1</v>
      </c>
      <c r="AE379" s="66">
        <v>1</v>
      </c>
      <c r="AF379" s="66"/>
      <c r="AG379" s="66"/>
      <c r="AH379" s="66"/>
      <c r="AI379" s="66"/>
      <c r="AJ379" s="66"/>
      <c r="AK379" s="66"/>
      <c r="AL379" s="54">
        <f>IF((AC379-SUM(AE379:AK379))&lt;0,0,AC379-SUM(AE379:AK379))</f>
        <v>0</v>
      </c>
      <c r="AM379" s="69">
        <f>SUM(AN379:AT379)</f>
        <v>1</v>
      </c>
      <c r="AN379" s="60">
        <v>1</v>
      </c>
      <c r="AO379" s="52"/>
      <c r="AP379" s="52"/>
      <c r="AQ379" s="52"/>
      <c r="AR379" s="52"/>
      <c r="AS379" s="52"/>
      <c r="AT379" s="61"/>
      <c r="AU379" s="66">
        <f>MAX(0,$AM379-$AC379-$AW379)</f>
        <v>0</v>
      </c>
      <c r="AV379" s="66"/>
      <c r="AW379" s="66"/>
      <c r="AX379" s="65">
        <v>0</v>
      </c>
      <c r="AY379" s="65">
        <f>IF(AND($AU379&gt;0,ISNUMBER($AX379)),$AU379*$AX379,0)</f>
        <v>0</v>
      </c>
      <c r="AZ379" s="46"/>
      <c r="BA379" s="52"/>
      <c r="BB379" s="52"/>
      <c r="BC379" s="52"/>
      <c r="BD379" s="52"/>
      <c r="BE379" s="52"/>
      <c r="BF379" s="52"/>
    </row>
    <row r="380" spans="1:58" ht="15" customHeight="1">
      <c r="A380" s="46" t="s">
        <v>2266</v>
      </c>
      <c r="B380" s="53" t="s">
        <v>2267</v>
      </c>
      <c r="C380" s="66" t="s">
        <v>311</v>
      </c>
      <c r="D380" s="67">
        <v>0</v>
      </c>
      <c r="E380" s="53" t="s">
        <v>312</v>
      </c>
      <c r="F380" s="50"/>
      <c r="G380" s="50"/>
      <c r="H380" s="51" t="s">
        <v>2155</v>
      </c>
      <c r="I380" s="50" t="s">
        <v>2268</v>
      </c>
      <c r="J380" s="54" t="s">
        <v>73</v>
      </c>
      <c r="K380" s="58" t="s">
        <v>312</v>
      </c>
      <c r="L380" s="58" t="s">
        <v>746</v>
      </c>
      <c r="M380" s="58" t="s">
        <v>2269</v>
      </c>
      <c r="N380" s="58"/>
      <c r="O380" s="54"/>
      <c r="P380" s="56" t="s">
        <v>86</v>
      </c>
      <c r="Q380" s="58" t="s">
        <v>263</v>
      </c>
      <c r="R380" s="54"/>
      <c r="S380" s="54"/>
      <c r="T380" s="54"/>
      <c r="U380" s="54"/>
      <c r="V380" s="57">
        <v>0.39</v>
      </c>
      <c r="W380" s="68"/>
      <c r="X380" s="54"/>
      <c r="Y380" s="54"/>
      <c r="Z380" s="54"/>
      <c r="AA380" s="54"/>
      <c r="AB380" s="57"/>
      <c r="AC380" s="54">
        <v>1</v>
      </c>
      <c r="AD380" s="69">
        <f>SUM(AE380:AK380)</f>
        <v>1</v>
      </c>
      <c r="AE380" s="66">
        <v>1</v>
      </c>
      <c r="AF380" s="66"/>
      <c r="AG380" s="66"/>
      <c r="AH380" s="66"/>
      <c r="AI380" s="66"/>
      <c r="AJ380" s="66"/>
      <c r="AK380" s="66"/>
      <c r="AL380" s="54">
        <f>IF((AC380-SUM(AE380:AK380))&lt;0,0,AC380-SUM(AE380:AK380))</f>
        <v>0</v>
      </c>
      <c r="AM380" s="69">
        <f>SUM(AN380:AT380)</f>
        <v>1</v>
      </c>
      <c r="AN380" s="60">
        <v>1</v>
      </c>
      <c r="AO380" s="52"/>
      <c r="AP380" s="52"/>
      <c r="AQ380" s="52"/>
      <c r="AR380" s="52"/>
      <c r="AS380" s="52"/>
      <c r="AT380" s="61"/>
      <c r="AU380" s="66">
        <f>MAX(0,$AM380-$AC380-$AW380)</f>
        <v>0</v>
      </c>
      <c r="AV380" s="66"/>
      <c r="AW380" s="66"/>
      <c r="AX380" s="65">
        <v>0</v>
      </c>
      <c r="AY380" s="65">
        <f>IF(AND($AU380&gt;0,ISNUMBER($AX380)),$AU380*$AX380,0)</f>
        <v>0</v>
      </c>
      <c r="AZ380" s="46"/>
      <c r="BA380" s="52"/>
      <c r="BB380" s="52"/>
      <c r="BC380" s="52"/>
      <c r="BD380" s="52"/>
      <c r="BE380" s="52"/>
      <c r="BF380" s="52"/>
    </row>
    <row r="381" spans="1:58" ht="15" customHeight="1">
      <c r="A381" s="46" t="s">
        <v>2270</v>
      </c>
      <c r="B381" s="53" t="s">
        <v>2271</v>
      </c>
      <c r="C381" s="66" t="s">
        <v>311</v>
      </c>
      <c r="D381" s="67">
        <v>0</v>
      </c>
      <c r="E381" s="53" t="s">
        <v>312</v>
      </c>
      <c r="F381" s="50"/>
      <c r="G381" s="50"/>
      <c r="H381" s="51"/>
      <c r="I381" s="50" t="s">
        <v>2272</v>
      </c>
      <c r="J381" s="54" t="s">
        <v>73</v>
      </c>
      <c r="K381" s="58" t="s">
        <v>312</v>
      </c>
      <c r="L381" s="58" t="s">
        <v>740</v>
      </c>
      <c r="M381" s="58" t="s">
        <v>2273</v>
      </c>
      <c r="N381" s="58"/>
      <c r="O381" s="54"/>
      <c r="P381" s="56" t="s">
        <v>185</v>
      </c>
      <c r="Q381" s="58" t="s">
        <v>2274</v>
      </c>
      <c r="R381" s="50"/>
      <c r="S381" s="50"/>
      <c r="T381" s="50"/>
      <c r="U381" s="50"/>
      <c r="V381" s="57">
        <v>0.37</v>
      </c>
      <c r="W381" s="68"/>
      <c r="X381" s="50"/>
      <c r="Y381" s="50"/>
      <c r="Z381" s="50"/>
      <c r="AA381" s="50"/>
      <c r="AB381" s="57"/>
      <c r="AC381" s="54">
        <v>1</v>
      </c>
      <c r="AD381" s="69">
        <f>SUM(AE381:AK381)</f>
        <v>1</v>
      </c>
      <c r="AE381" s="66">
        <v>1</v>
      </c>
      <c r="AF381" s="66"/>
      <c r="AG381" s="66"/>
      <c r="AH381" s="66"/>
      <c r="AI381" s="66"/>
      <c r="AJ381" s="66"/>
      <c r="AK381" s="66"/>
      <c r="AL381" s="54">
        <f>IF((AC381-SUM(AE381:AK381))&lt;0,0,AC381-SUM(AE381:AK381))</f>
        <v>0</v>
      </c>
      <c r="AM381" s="69">
        <f>SUM(AN381:AT381)</f>
        <v>1</v>
      </c>
      <c r="AN381" s="60">
        <v>1</v>
      </c>
      <c r="AO381" s="52"/>
      <c r="AP381" s="52"/>
      <c r="AQ381" s="52"/>
      <c r="AR381" s="52"/>
      <c r="AS381" s="52"/>
      <c r="AT381" s="61"/>
      <c r="AU381" s="66">
        <f>MAX(0,$AM381-$AC381-$AW381)</f>
        <v>0</v>
      </c>
      <c r="AV381" s="66"/>
      <c r="AW381" s="66"/>
      <c r="AX381" s="65">
        <v>0</v>
      </c>
      <c r="AY381" s="65">
        <f>IF(AND($AU381&gt;0,ISNUMBER($AX381)),$AU381*$AX381,0)</f>
        <v>0</v>
      </c>
      <c r="AZ381" s="46"/>
      <c r="BA381" s="52"/>
      <c r="BB381" s="52"/>
      <c r="BC381" s="52"/>
      <c r="BD381" s="52"/>
      <c r="BE381" s="52"/>
      <c r="BF381" s="52"/>
    </row>
    <row r="382" spans="1:58" ht="15" customHeight="1">
      <c r="A382" s="46" t="s">
        <v>2275</v>
      </c>
      <c r="B382" s="53" t="s">
        <v>2276</v>
      </c>
      <c r="C382" s="66" t="s">
        <v>70</v>
      </c>
      <c r="D382" s="67">
        <v>3</v>
      </c>
      <c r="E382" s="53" t="s">
        <v>110</v>
      </c>
      <c r="F382" s="50">
        <v>2</v>
      </c>
      <c r="G382" s="50">
        <v>2</v>
      </c>
      <c r="H382" s="51" t="s">
        <v>2277</v>
      </c>
      <c r="I382" s="50" t="s">
        <v>2278</v>
      </c>
      <c r="J382" s="54" t="s">
        <v>73</v>
      </c>
      <c r="K382" s="58" t="s">
        <v>152</v>
      </c>
      <c r="L382" s="58" t="s">
        <v>2241</v>
      </c>
      <c r="M382" s="58" t="s">
        <v>2279</v>
      </c>
      <c r="N382" s="58" t="s">
        <v>2280</v>
      </c>
      <c r="O382" s="56">
        <v>1059</v>
      </c>
      <c r="P382" s="56" t="s">
        <v>86</v>
      </c>
      <c r="Q382" s="58" t="s">
        <v>2216</v>
      </c>
      <c r="R382" s="54"/>
      <c r="S382" s="54"/>
      <c r="T382" s="54"/>
      <c r="U382" s="54"/>
      <c r="V382" s="57">
        <v>0.34</v>
      </c>
      <c r="W382" s="68"/>
      <c r="X382" s="54"/>
      <c r="Y382" s="54"/>
      <c r="Z382" s="54"/>
      <c r="AA382" s="54"/>
      <c r="AB382" s="57"/>
      <c r="AC382" s="54">
        <v>1</v>
      </c>
      <c r="AD382" s="69">
        <f>SUM(AE382:AK382)</f>
        <v>1</v>
      </c>
      <c r="AE382" s="66">
        <v>1</v>
      </c>
      <c r="AF382" s="66"/>
      <c r="AG382" s="66"/>
      <c r="AH382" s="66"/>
      <c r="AI382" s="66"/>
      <c r="AJ382" s="66"/>
      <c r="AK382" s="66"/>
      <c r="AL382" s="54">
        <f>IF((AC382-SUM(AE382:AK382))&lt;0,0,AC382-SUM(AE382:AK382))</f>
        <v>0</v>
      </c>
      <c r="AM382" s="69">
        <f>SUM(AN382:AT382)</f>
        <v>1</v>
      </c>
      <c r="AN382" s="60">
        <v>1</v>
      </c>
      <c r="AO382" s="52"/>
      <c r="AP382" s="52"/>
      <c r="AQ382" s="52"/>
      <c r="AR382" s="52"/>
      <c r="AS382" s="52"/>
      <c r="AT382" s="61"/>
      <c r="AU382" s="66">
        <f>MAX(0,$AM382-$AC382-$AW382)</f>
        <v>0</v>
      </c>
      <c r="AV382" s="66"/>
      <c r="AW382" s="66"/>
      <c r="AX382" s="65">
        <v>0</v>
      </c>
      <c r="AY382" s="65">
        <f>IF(AND($AU382&gt;0,ISNUMBER($AX382)),$AU382*$AX382,0)</f>
        <v>0</v>
      </c>
      <c r="AZ382" s="46"/>
      <c r="BA382" s="52"/>
      <c r="BB382" s="52"/>
      <c r="BC382" s="52"/>
      <c r="BD382" s="52"/>
      <c r="BE382" s="52"/>
      <c r="BF382" s="52"/>
    </row>
    <row r="383" spans="1:58" ht="15" customHeight="1">
      <c r="A383" s="46" t="s">
        <v>2281</v>
      </c>
      <c r="B383" s="53" t="s">
        <v>2282</v>
      </c>
      <c r="C383" s="66" t="s">
        <v>311</v>
      </c>
      <c r="D383" s="67">
        <v>0</v>
      </c>
      <c r="E383" s="53" t="s">
        <v>312</v>
      </c>
      <c r="F383" s="50"/>
      <c r="G383" s="50"/>
      <c r="H383" s="51"/>
      <c r="I383" s="50" t="s">
        <v>2283</v>
      </c>
      <c r="J383" s="54" t="s">
        <v>73</v>
      </c>
      <c r="K383" s="58" t="s">
        <v>312</v>
      </c>
      <c r="L383" s="58" t="s">
        <v>740</v>
      </c>
      <c r="M383" s="58" t="s">
        <v>2284</v>
      </c>
      <c r="N383" s="58"/>
      <c r="O383" s="54"/>
      <c r="P383" s="56" t="s">
        <v>86</v>
      </c>
      <c r="Q383" s="58" t="s">
        <v>2285</v>
      </c>
      <c r="R383" s="54"/>
      <c r="S383" s="54"/>
      <c r="T383" s="54"/>
      <c r="U383" s="54"/>
      <c r="V383" s="57">
        <v>0.34</v>
      </c>
      <c r="W383" s="68"/>
      <c r="X383" s="54"/>
      <c r="Y383" s="54"/>
      <c r="Z383" s="54"/>
      <c r="AA383" s="54"/>
      <c r="AB383" s="57"/>
      <c r="AC383" s="54">
        <v>1</v>
      </c>
      <c r="AD383" s="69">
        <f>SUM(AE383:AK383)</f>
        <v>1</v>
      </c>
      <c r="AE383" s="66">
        <v>1</v>
      </c>
      <c r="AF383" s="66"/>
      <c r="AG383" s="66"/>
      <c r="AH383" s="66"/>
      <c r="AI383" s="66"/>
      <c r="AJ383" s="66"/>
      <c r="AK383" s="66"/>
      <c r="AL383" s="54">
        <f>IF((AC383-SUM(AE383:AK383))&lt;0,0,AC383-SUM(AE383:AK383))</f>
        <v>0</v>
      </c>
      <c r="AM383" s="69">
        <f>SUM(AN383:AT383)</f>
        <v>1</v>
      </c>
      <c r="AN383" s="60">
        <v>1</v>
      </c>
      <c r="AO383" s="52"/>
      <c r="AP383" s="52"/>
      <c r="AQ383" s="52"/>
      <c r="AR383" s="52"/>
      <c r="AS383" s="52"/>
      <c r="AT383" s="61"/>
      <c r="AU383" s="66">
        <f>MAX(0,$AM383-$AC383-$AW383)</f>
        <v>0</v>
      </c>
      <c r="AV383" s="66"/>
      <c r="AW383" s="66"/>
      <c r="AX383" s="65">
        <v>0</v>
      </c>
      <c r="AY383" s="65">
        <f>IF(AND($AU383&gt;0,ISNUMBER($AX383)),$AU383*$AX383,0)</f>
        <v>0</v>
      </c>
      <c r="AZ383" s="46"/>
      <c r="BA383" s="52"/>
      <c r="BB383" s="52"/>
      <c r="BC383" s="52"/>
      <c r="BD383" s="52"/>
      <c r="BE383" s="52"/>
      <c r="BF383" s="52"/>
    </row>
    <row r="384" spans="1:58" ht="15" customHeight="1">
      <c r="A384" s="46" t="s">
        <v>2286</v>
      </c>
      <c r="B384" s="53" t="s">
        <v>2287</v>
      </c>
      <c r="C384" s="66" t="s">
        <v>311</v>
      </c>
      <c r="D384" s="67">
        <v>0</v>
      </c>
      <c r="E384" s="53" t="s">
        <v>312</v>
      </c>
      <c r="F384" s="50"/>
      <c r="G384" s="50"/>
      <c r="H384" s="51"/>
      <c r="I384" s="50" t="s">
        <v>485</v>
      </c>
      <c r="J384" s="54" t="s">
        <v>73</v>
      </c>
      <c r="K384" s="58" t="s">
        <v>312</v>
      </c>
      <c r="L384" s="58" t="s">
        <v>2288</v>
      </c>
      <c r="M384" s="58"/>
      <c r="N384" s="58"/>
      <c r="O384" s="54"/>
      <c r="P384" s="56" t="s">
        <v>86</v>
      </c>
      <c r="Q384" s="58" t="s">
        <v>2289</v>
      </c>
      <c r="R384" s="54"/>
      <c r="S384" s="54"/>
      <c r="T384" s="54"/>
      <c r="U384" s="54"/>
      <c r="V384" s="57">
        <v>0.34</v>
      </c>
      <c r="W384" s="68"/>
      <c r="X384" s="54"/>
      <c r="Y384" s="54"/>
      <c r="Z384" s="54"/>
      <c r="AA384" s="54"/>
      <c r="AB384" s="57"/>
      <c r="AC384" s="54">
        <v>1</v>
      </c>
      <c r="AD384" s="69">
        <f>SUM(AE384:AK384)</f>
        <v>1</v>
      </c>
      <c r="AE384" s="66">
        <v>1</v>
      </c>
      <c r="AF384" s="66"/>
      <c r="AG384" s="66"/>
      <c r="AH384" s="66"/>
      <c r="AI384" s="66"/>
      <c r="AJ384" s="66"/>
      <c r="AK384" s="66"/>
      <c r="AL384" s="54">
        <f>IF((AC384-SUM(AE384:AK384))&lt;0,0,AC384-SUM(AE384:AK384))</f>
        <v>0</v>
      </c>
      <c r="AM384" s="69">
        <f>SUM(AN384:AT384)</f>
        <v>1</v>
      </c>
      <c r="AN384" s="60">
        <v>1</v>
      </c>
      <c r="AO384" s="52"/>
      <c r="AP384" s="52"/>
      <c r="AQ384" s="52"/>
      <c r="AR384" s="52"/>
      <c r="AS384" s="52"/>
      <c r="AT384" s="61"/>
      <c r="AU384" s="66">
        <f>MAX(0,$AM384-$AC384-$AW384)</f>
        <v>0</v>
      </c>
      <c r="AV384" s="66"/>
      <c r="AW384" s="66"/>
      <c r="AX384" s="65">
        <v>0</v>
      </c>
      <c r="AY384" s="65">
        <f>IF(AND($AU384&gt;0,ISNUMBER($AX384)),$AU384*$AX384,0)</f>
        <v>0</v>
      </c>
      <c r="AZ384" s="46"/>
      <c r="BA384" s="52"/>
      <c r="BB384" s="52"/>
      <c r="BC384" s="52"/>
      <c r="BD384" s="52"/>
      <c r="BE384" s="52"/>
      <c r="BF384" s="52"/>
    </row>
    <row r="385" spans="1:58" ht="15" customHeight="1">
      <c r="A385" s="46" t="s">
        <v>2290</v>
      </c>
      <c r="B385" s="53" t="s">
        <v>2291</v>
      </c>
      <c r="C385" s="66" t="s">
        <v>232</v>
      </c>
      <c r="D385" s="67">
        <v>2</v>
      </c>
      <c r="E385" s="53" t="s">
        <v>531</v>
      </c>
      <c r="F385" s="50">
        <v>2</v>
      </c>
      <c r="G385" s="50">
        <v>1</v>
      </c>
      <c r="H385" s="51" t="s">
        <v>964</v>
      </c>
      <c r="I385" s="50" t="s">
        <v>2292</v>
      </c>
      <c r="J385" s="54" t="s">
        <v>73</v>
      </c>
      <c r="K385" s="58" t="s">
        <v>474</v>
      </c>
      <c r="L385" s="58" t="s">
        <v>2293</v>
      </c>
      <c r="M385" s="58"/>
      <c r="N385" s="58"/>
      <c r="O385" s="54"/>
      <c r="P385" s="56" t="s">
        <v>185</v>
      </c>
      <c r="Q385" s="58" t="s">
        <v>2294</v>
      </c>
      <c r="R385" s="50"/>
      <c r="S385" s="50"/>
      <c r="T385" s="50"/>
      <c r="U385" s="50"/>
      <c r="V385" s="57">
        <v>0.34</v>
      </c>
      <c r="W385" s="68"/>
      <c r="X385" s="50"/>
      <c r="Y385" s="50"/>
      <c r="Z385" s="50"/>
      <c r="AA385" s="50"/>
      <c r="AB385" s="57"/>
      <c r="AC385" s="54">
        <v>1</v>
      </c>
      <c r="AD385" s="69">
        <f>SUM(AE385:AK385)</f>
        <v>1</v>
      </c>
      <c r="AE385" s="66">
        <v>1</v>
      </c>
      <c r="AF385" s="66"/>
      <c r="AG385" s="66"/>
      <c r="AH385" s="66"/>
      <c r="AI385" s="66"/>
      <c r="AJ385" s="66"/>
      <c r="AK385" s="66"/>
      <c r="AL385" s="54">
        <f>IF((AC385-SUM(AE385:AK385))&lt;0,0,AC385-SUM(AE385:AK385))</f>
        <v>0</v>
      </c>
      <c r="AM385" s="69">
        <f>SUM(AN385:AT385)</f>
        <v>1</v>
      </c>
      <c r="AN385" s="60">
        <v>1</v>
      </c>
      <c r="AO385" s="52"/>
      <c r="AP385" s="52"/>
      <c r="AQ385" s="52"/>
      <c r="AR385" s="52"/>
      <c r="AS385" s="52"/>
      <c r="AT385" s="61"/>
      <c r="AU385" s="66">
        <f>MAX(0,$AM385-$AC385-$AW385)</f>
        <v>0</v>
      </c>
      <c r="AV385" s="66"/>
      <c r="AW385" s="66"/>
      <c r="AX385" s="65">
        <v>0</v>
      </c>
      <c r="AY385" s="65">
        <f>IF(AND($AU385&gt;0,ISNUMBER($AX385)),$AU385*$AX385,0)</f>
        <v>0</v>
      </c>
      <c r="AZ385" s="46"/>
      <c r="BA385" s="52"/>
      <c r="BB385" s="52"/>
      <c r="BC385" s="52"/>
      <c r="BD385" s="52"/>
      <c r="BE385" s="52"/>
      <c r="BF385" s="52"/>
    </row>
    <row r="386" spans="1:58" ht="15" customHeight="1">
      <c r="A386" s="46" t="s">
        <v>2295</v>
      </c>
      <c r="B386" s="53" t="s">
        <v>2296</v>
      </c>
      <c r="C386" s="66" t="s">
        <v>118</v>
      </c>
      <c r="D386" s="67">
        <v>5</v>
      </c>
      <c r="E386" s="53" t="s">
        <v>81</v>
      </c>
      <c r="F386" s="50">
        <v>2</v>
      </c>
      <c r="G386" s="50">
        <v>2</v>
      </c>
      <c r="H386" s="51" t="s">
        <v>2297</v>
      </c>
      <c r="I386" s="50" t="s">
        <v>2298</v>
      </c>
      <c r="J386" s="54" t="s">
        <v>73</v>
      </c>
      <c r="K386" s="58" t="s">
        <v>474</v>
      </c>
      <c r="L386" s="58" t="s">
        <v>2299</v>
      </c>
      <c r="M386" s="58" t="s">
        <v>2300</v>
      </c>
      <c r="N386" s="58" t="s">
        <v>2301</v>
      </c>
      <c r="O386" s="54"/>
      <c r="P386" s="56" t="s">
        <v>86</v>
      </c>
      <c r="Q386" s="58" t="s">
        <v>541</v>
      </c>
      <c r="R386" s="54"/>
      <c r="S386" s="54"/>
      <c r="T386" s="54"/>
      <c r="U386" s="54"/>
      <c r="V386" s="57">
        <v>0.34</v>
      </c>
      <c r="W386" s="68"/>
      <c r="X386" s="54"/>
      <c r="Y386" s="54"/>
      <c r="Z386" s="54"/>
      <c r="AA386" s="54"/>
      <c r="AB386" s="57"/>
      <c r="AC386" s="54">
        <v>1</v>
      </c>
      <c r="AD386" s="69">
        <f>SUM(AE386:AK386)</f>
        <v>1</v>
      </c>
      <c r="AE386" s="66">
        <v>1</v>
      </c>
      <c r="AF386" s="66"/>
      <c r="AG386" s="66"/>
      <c r="AH386" s="66"/>
      <c r="AI386" s="66"/>
      <c r="AJ386" s="66"/>
      <c r="AK386" s="66"/>
      <c r="AL386" s="54">
        <f>IF((AC386-SUM(AE386:AK386))&lt;0,0,AC386-SUM(AE386:AK386))</f>
        <v>0</v>
      </c>
      <c r="AM386" s="69">
        <f>SUM(AN386:AT386)</f>
        <v>1</v>
      </c>
      <c r="AN386" s="60">
        <v>1</v>
      </c>
      <c r="AO386" s="52"/>
      <c r="AP386" s="52"/>
      <c r="AQ386" s="52"/>
      <c r="AR386" s="52"/>
      <c r="AS386" s="52"/>
      <c r="AT386" s="61"/>
      <c r="AU386" s="66">
        <f>MAX(0,$AM386-$AC386-$AW386)</f>
        <v>0</v>
      </c>
      <c r="AV386" s="66"/>
      <c r="AW386" s="66"/>
      <c r="AX386" s="65">
        <v>0</v>
      </c>
      <c r="AY386" s="65">
        <f>IF(AND($AU386&gt;0,ISNUMBER($AX386)),$AU386*$AX386,0)</f>
        <v>0</v>
      </c>
      <c r="AZ386" s="46"/>
      <c r="BA386" s="52"/>
      <c r="BB386" s="52"/>
      <c r="BC386" s="52"/>
      <c r="BD386" s="52"/>
      <c r="BE386" s="52"/>
      <c r="BF386" s="52"/>
    </row>
    <row r="387" spans="1:58" ht="15" customHeight="1">
      <c r="A387" s="46" t="s">
        <v>2302</v>
      </c>
      <c r="B387" s="53" t="s">
        <v>2303</v>
      </c>
      <c r="C387" s="66" t="s">
        <v>118</v>
      </c>
      <c r="D387" s="67">
        <v>4</v>
      </c>
      <c r="E387" s="53" t="s">
        <v>189</v>
      </c>
      <c r="F387" s="50"/>
      <c r="G387" s="50"/>
      <c r="H387" s="51"/>
      <c r="I387" s="50" t="s">
        <v>2304</v>
      </c>
      <c r="J387" s="54" t="s">
        <v>73</v>
      </c>
      <c r="K387" s="58" t="s">
        <v>726</v>
      </c>
      <c r="L387" s="58" t="s">
        <v>2305</v>
      </c>
      <c r="M387" s="58" t="s">
        <v>2306</v>
      </c>
      <c r="N387" s="58"/>
      <c r="O387" s="54"/>
      <c r="P387" s="56" t="s">
        <v>185</v>
      </c>
      <c r="Q387" s="58" t="s">
        <v>2307</v>
      </c>
      <c r="R387" s="54"/>
      <c r="S387" s="54"/>
      <c r="T387" s="54"/>
      <c r="U387" s="54"/>
      <c r="V387" s="57">
        <v>0.33</v>
      </c>
      <c r="W387" s="68"/>
      <c r="X387" s="54"/>
      <c r="Y387" s="54"/>
      <c r="Z387" s="54"/>
      <c r="AA387" s="54"/>
      <c r="AB387" s="57"/>
      <c r="AC387" s="54">
        <v>1</v>
      </c>
      <c r="AD387" s="69">
        <f>SUM(AE387:AK387)</f>
        <v>1</v>
      </c>
      <c r="AE387" s="66">
        <v>1</v>
      </c>
      <c r="AF387" s="66"/>
      <c r="AG387" s="66"/>
      <c r="AH387" s="66"/>
      <c r="AI387" s="66"/>
      <c r="AJ387" s="66"/>
      <c r="AK387" s="66"/>
      <c r="AL387" s="54">
        <f>IF((AC387-SUM(AE387:AK387))&lt;0,0,AC387-SUM(AE387:AK387))</f>
        <v>0</v>
      </c>
      <c r="AM387" s="69">
        <f>SUM(AN387:AT387)</f>
        <v>1</v>
      </c>
      <c r="AN387" s="60">
        <v>1</v>
      </c>
      <c r="AO387" s="52"/>
      <c r="AP387" s="52"/>
      <c r="AQ387" s="52"/>
      <c r="AR387" s="52"/>
      <c r="AS387" s="52"/>
      <c r="AT387" s="61"/>
      <c r="AU387" s="66">
        <f>MAX(0,$AM387-$AC387-$AW387)</f>
        <v>0</v>
      </c>
      <c r="AV387" s="66"/>
      <c r="AW387" s="66"/>
      <c r="AX387" s="65">
        <v>0</v>
      </c>
      <c r="AY387" s="65">
        <f>IF(AND($AU387&gt;0,ISNUMBER($AX387)),$AU387*$AX387,0)</f>
        <v>0</v>
      </c>
      <c r="AZ387" s="46"/>
      <c r="BA387" s="52"/>
      <c r="BB387" s="52"/>
      <c r="BC387" s="52"/>
      <c r="BD387" s="52"/>
      <c r="BE387" s="52"/>
      <c r="BF387" s="52"/>
    </row>
    <row r="388" spans="1:58" ht="15" customHeight="1">
      <c r="A388" s="46" t="s">
        <v>2308</v>
      </c>
      <c r="B388" s="53" t="s">
        <v>2309</v>
      </c>
      <c r="C388" s="66" t="s">
        <v>109</v>
      </c>
      <c r="D388" s="67">
        <v>5</v>
      </c>
      <c r="E388" s="53" t="s">
        <v>110</v>
      </c>
      <c r="F388" s="50">
        <v>4</v>
      </c>
      <c r="G388" s="50">
        <v>5</v>
      </c>
      <c r="H388" s="51" t="s">
        <v>2310</v>
      </c>
      <c r="I388" s="50" t="s">
        <v>2311</v>
      </c>
      <c r="J388" s="54" t="s">
        <v>73</v>
      </c>
      <c r="K388" s="58" t="s">
        <v>84</v>
      </c>
      <c r="L388" s="58" t="s">
        <v>2312</v>
      </c>
      <c r="M388" s="58" t="s">
        <v>2313</v>
      </c>
      <c r="N388" s="58"/>
      <c r="O388" s="56">
        <v>1204</v>
      </c>
      <c r="P388" s="56" t="s">
        <v>114</v>
      </c>
      <c r="Q388" s="58" t="s">
        <v>1970</v>
      </c>
      <c r="R388" s="54"/>
      <c r="S388" s="54"/>
      <c r="T388" s="54"/>
      <c r="U388" s="54"/>
      <c r="V388" s="57">
        <v>0.33</v>
      </c>
      <c r="W388" s="68"/>
      <c r="X388" s="54"/>
      <c r="Y388" s="54"/>
      <c r="Z388" s="54"/>
      <c r="AA388" s="54"/>
      <c r="AB388" s="57"/>
      <c r="AC388" s="54">
        <v>1</v>
      </c>
      <c r="AD388" s="69">
        <f>SUM(AE388:AK388)</f>
        <v>1</v>
      </c>
      <c r="AE388" s="66">
        <v>1</v>
      </c>
      <c r="AF388" s="66"/>
      <c r="AG388" s="66"/>
      <c r="AH388" s="66"/>
      <c r="AI388" s="66"/>
      <c r="AJ388" s="66"/>
      <c r="AK388" s="66"/>
      <c r="AL388" s="54">
        <f>IF((AC388-SUM(AE388:AK388))&lt;0,0,AC388-SUM(AE388:AK388))</f>
        <v>0</v>
      </c>
      <c r="AM388" s="69">
        <f>SUM(AN388:AT388)</f>
        <v>1</v>
      </c>
      <c r="AN388" s="60">
        <v>1</v>
      </c>
      <c r="AO388" s="52"/>
      <c r="AP388" s="52"/>
      <c r="AQ388" s="52"/>
      <c r="AR388" s="52"/>
      <c r="AS388" s="52"/>
      <c r="AT388" s="61"/>
      <c r="AU388" s="66">
        <f>MAX(0,$AM388-$AC388-$AW388)</f>
        <v>0</v>
      </c>
      <c r="AV388" s="66"/>
      <c r="AW388" s="66"/>
      <c r="AX388" s="65">
        <v>0</v>
      </c>
      <c r="AY388" s="65">
        <f>IF(AND($AU388&gt;0,ISNUMBER($AX388)),$AU388*$AX388,0)</f>
        <v>0</v>
      </c>
      <c r="AZ388" s="46"/>
      <c r="BA388" s="52"/>
      <c r="BB388" s="52"/>
      <c r="BC388" s="52"/>
      <c r="BD388" s="52"/>
      <c r="BE388" s="52"/>
      <c r="BF388" s="52"/>
    </row>
    <row r="389" spans="1:58" ht="15" customHeight="1">
      <c r="A389" s="46" t="s">
        <v>2314</v>
      </c>
      <c r="B389" s="53" t="s">
        <v>2315</v>
      </c>
      <c r="C389" s="66" t="s">
        <v>232</v>
      </c>
      <c r="D389" s="67">
        <v>2</v>
      </c>
      <c r="E389" s="53" t="s">
        <v>233</v>
      </c>
      <c r="F389" s="50"/>
      <c r="G389" s="50"/>
      <c r="H389" s="51"/>
      <c r="I389" s="50" t="s">
        <v>2316</v>
      </c>
      <c r="J389" s="54" t="s">
        <v>73</v>
      </c>
      <c r="K389" s="58" t="s">
        <v>1781</v>
      </c>
      <c r="L389" s="58" t="s">
        <v>2317</v>
      </c>
      <c r="M389" s="58" t="s">
        <v>2318</v>
      </c>
      <c r="N389" s="58"/>
      <c r="O389" s="54"/>
      <c r="P389" s="56" t="s">
        <v>185</v>
      </c>
      <c r="Q389" s="58" t="s">
        <v>2192</v>
      </c>
      <c r="R389" s="50"/>
      <c r="S389" s="50"/>
      <c r="T389" s="50"/>
      <c r="U389" s="50"/>
      <c r="V389" s="57">
        <v>0.32</v>
      </c>
      <c r="W389" s="68"/>
      <c r="X389" s="50"/>
      <c r="Y389" s="50"/>
      <c r="Z389" s="50"/>
      <c r="AA389" s="50"/>
      <c r="AB389" s="57"/>
      <c r="AC389" s="54">
        <v>1</v>
      </c>
      <c r="AD389" s="69">
        <f>SUM(AE389:AK389)</f>
        <v>1</v>
      </c>
      <c r="AE389" s="66">
        <v>1</v>
      </c>
      <c r="AF389" s="66"/>
      <c r="AG389" s="66"/>
      <c r="AH389" s="66"/>
      <c r="AI389" s="66"/>
      <c r="AJ389" s="66"/>
      <c r="AK389" s="66"/>
      <c r="AL389" s="54">
        <f>IF((AC389-SUM(AE389:AK389))&lt;0,0,AC389-SUM(AE389:AK389))</f>
        <v>0</v>
      </c>
      <c r="AM389" s="69">
        <f>SUM(AN389:AT389)</f>
        <v>1</v>
      </c>
      <c r="AN389" s="60">
        <v>1</v>
      </c>
      <c r="AO389" s="52"/>
      <c r="AP389" s="52"/>
      <c r="AQ389" s="52"/>
      <c r="AR389" s="52"/>
      <c r="AS389" s="52"/>
      <c r="AT389" s="61"/>
      <c r="AU389" s="66">
        <f>MAX(0,$AM389-$AC389-$AW389)</f>
        <v>0</v>
      </c>
      <c r="AV389" s="66"/>
      <c r="AW389" s="66"/>
      <c r="AX389" s="65">
        <v>0</v>
      </c>
      <c r="AY389" s="65">
        <f>IF(AND($AU389&gt;0,ISNUMBER($AX389)),$AU389*$AX389,0)</f>
        <v>0</v>
      </c>
      <c r="AZ389" s="46"/>
      <c r="BA389" s="52"/>
      <c r="BB389" s="52"/>
      <c r="BC389" s="52"/>
      <c r="BD389" s="52"/>
      <c r="BE389" s="52"/>
      <c r="BF389" s="52"/>
    </row>
    <row r="390" spans="1:58" ht="15" customHeight="1">
      <c r="A390" s="46" t="s">
        <v>2319</v>
      </c>
      <c r="B390" s="53" t="s">
        <v>2320</v>
      </c>
      <c r="C390" s="66" t="s">
        <v>232</v>
      </c>
      <c r="D390" s="67">
        <v>2</v>
      </c>
      <c r="E390" s="53" t="s">
        <v>531</v>
      </c>
      <c r="F390" s="50">
        <v>0</v>
      </c>
      <c r="G390" s="50">
        <v>1</v>
      </c>
      <c r="H390" s="51" t="s">
        <v>964</v>
      </c>
      <c r="I390" s="50" t="s">
        <v>2321</v>
      </c>
      <c r="J390" s="54" t="s">
        <v>73</v>
      </c>
      <c r="K390" s="58" t="s">
        <v>235</v>
      </c>
      <c r="L390" s="58" t="s">
        <v>2322</v>
      </c>
      <c r="M390" s="58"/>
      <c r="N390" s="58"/>
      <c r="O390" s="54"/>
      <c r="P390" s="56" t="s">
        <v>185</v>
      </c>
      <c r="Q390" s="58" t="s">
        <v>2323</v>
      </c>
      <c r="R390" s="50"/>
      <c r="S390" s="50"/>
      <c r="T390" s="50"/>
      <c r="U390" s="56"/>
      <c r="V390" s="57">
        <v>0.32</v>
      </c>
      <c r="W390" s="68"/>
      <c r="X390" s="50"/>
      <c r="Y390" s="50"/>
      <c r="Z390" s="50"/>
      <c r="AA390" s="56"/>
      <c r="AB390" s="57"/>
      <c r="AC390" s="54">
        <v>1</v>
      </c>
      <c r="AD390" s="69">
        <f>SUM(AE390:AK390)</f>
        <v>1</v>
      </c>
      <c r="AE390" s="66">
        <v>1</v>
      </c>
      <c r="AF390" s="66"/>
      <c r="AG390" s="66"/>
      <c r="AH390" s="66"/>
      <c r="AI390" s="66"/>
      <c r="AJ390" s="66"/>
      <c r="AK390" s="66"/>
      <c r="AL390" s="54">
        <f>IF((AC390-SUM(AE390:AK390))&lt;0,0,AC390-SUM(AE390:AK390))</f>
        <v>0</v>
      </c>
      <c r="AM390" s="69">
        <f>SUM(AN390:AT390)</f>
        <v>1</v>
      </c>
      <c r="AN390" s="60">
        <v>1</v>
      </c>
      <c r="AO390" s="52"/>
      <c r="AP390" s="52"/>
      <c r="AQ390" s="52"/>
      <c r="AR390" s="52"/>
      <c r="AS390" s="52"/>
      <c r="AT390" s="61"/>
      <c r="AU390" s="66">
        <f>MAX(0,$AM390-$AC390-$AW390)</f>
        <v>0</v>
      </c>
      <c r="AV390" s="66"/>
      <c r="AW390" s="66"/>
      <c r="AX390" s="65">
        <v>0</v>
      </c>
      <c r="AY390" s="65">
        <f>IF(AND($AU390&gt;0,ISNUMBER($AX390)),$AU390*$AX390,0)</f>
        <v>0</v>
      </c>
      <c r="AZ390" s="46"/>
      <c r="BA390" s="52"/>
      <c r="BB390" s="52"/>
      <c r="BC390" s="52"/>
      <c r="BD390" s="52"/>
      <c r="BE390" s="52"/>
      <c r="BF390" s="52"/>
    </row>
    <row r="391" spans="1:58" ht="15" customHeight="1">
      <c r="A391" s="46" t="s">
        <v>2324</v>
      </c>
      <c r="B391" s="53" t="s">
        <v>2325</v>
      </c>
      <c r="C391" s="66" t="s">
        <v>118</v>
      </c>
      <c r="D391" s="67">
        <v>3</v>
      </c>
      <c r="E391" s="53" t="s">
        <v>81</v>
      </c>
      <c r="F391" s="50">
        <v>2</v>
      </c>
      <c r="G391" s="50">
        <v>2</v>
      </c>
      <c r="H391" s="51" t="s">
        <v>2326</v>
      </c>
      <c r="I391" s="50" t="s">
        <v>2327</v>
      </c>
      <c r="J391" s="54" t="s">
        <v>73</v>
      </c>
      <c r="K391" s="58" t="s">
        <v>135</v>
      </c>
      <c r="L391" s="58" t="s">
        <v>2328</v>
      </c>
      <c r="M391" s="58" t="s">
        <v>2329</v>
      </c>
      <c r="N391" s="58"/>
      <c r="O391" s="54"/>
      <c r="P391" s="56" t="s">
        <v>86</v>
      </c>
      <c r="Q391" s="58" t="s">
        <v>2183</v>
      </c>
      <c r="R391" s="54"/>
      <c r="S391" s="54"/>
      <c r="T391" s="54"/>
      <c r="U391" s="54"/>
      <c r="V391" s="57">
        <v>0.32</v>
      </c>
      <c r="W391" s="68"/>
      <c r="X391" s="54"/>
      <c r="Y391" s="54"/>
      <c r="Z391" s="54"/>
      <c r="AA391" s="54"/>
      <c r="AB391" s="57"/>
      <c r="AC391" s="54">
        <v>1</v>
      </c>
      <c r="AD391" s="69">
        <f>SUM(AE391:AK391)</f>
        <v>1</v>
      </c>
      <c r="AE391" s="66">
        <v>1</v>
      </c>
      <c r="AF391" s="66"/>
      <c r="AG391" s="66"/>
      <c r="AH391" s="66"/>
      <c r="AI391" s="66"/>
      <c r="AJ391" s="66"/>
      <c r="AK391" s="66"/>
      <c r="AL391" s="54">
        <f>IF((AC391-SUM(AE391:AK391))&lt;0,0,AC391-SUM(AE391:AK391))</f>
        <v>0</v>
      </c>
      <c r="AM391" s="69">
        <f>SUM(AN391:AT391)</f>
        <v>1</v>
      </c>
      <c r="AN391" s="60">
        <v>1</v>
      </c>
      <c r="AO391" s="52"/>
      <c r="AP391" s="52"/>
      <c r="AQ391" s="52"/>
      <c r="AR391" s="52"/>
      <c r="AS391" s="52"/>
      <c r="AT391" s="61"/>
      <c r="AU391" s="66">
        <f>MAX(0,$AM391-$AC391-$AW391)</f>
        <v>0</v>
      </c>
      <c r="AV391" s="66"/>
      <c r="AW391" s="66"/>
      <c r="AX391" s="65">
        <v>0</v>
      </c>
      <c r="AY391" s="65">
        <f>IF(AND($AU391&gt;0,ISNUMBER($AX391)),$AU391*$AX391,0)</f>
        <v>0</v>
      </c>
      <c r="AZ391" s="46"/>
      <c r="BA391" s="52"/>
      <c r="BB391" s="52"/>
      <c r="BC391" s="52"/>
      <c r="BD391" s="52"/>
      <c r="BE391" s="52"/>
      <c r="BF391" s="52"/>
    </row>
    <row r="392" spans="1:58" ht="15" customHeight="1">
      <c r="A392" s="46" t="s">
        <v>2330</v>
      </c>
      <c r="B392" s="47" t="s">
        <v>2331</v>
      </c>
      <c r="C392" s="48" t="s">
        <v>232</v>
      </c>
      <c r="D392" s="49">
        <v>2</v>
      </c>
      <c r="E392" s="47" t="s">
        <v>81</v>
      </c>
      <c r="F392" s="50">
        <v>2</v>
      </c>
      <c r="G392" s="50">
        <v>1</v>
      </c>
      <c r="H392" s="51" t="s">
        <v>2332</v>
      </c>
      <c r="I392" s="50" t="s">
        <v>2333</v>
      </c>
      <c r="J392" s="52" t="s">
        <v>73</v>
      </c>
      <c r="K392" s="47" t="s">
        <v>104</v>
      </c>
      <c r="L392" s="53" t="s">
        <v>2334</v>
      </c>
      <c r="M392" s="53"/>
      <c r="N392" s="53"/>
      <c r="O392" s="54"/>
      <c r="P392" s="55" t="s">
        <v>185</v>
      </c>
      <c r="Q392" s="47" t="s">
        <v>633</v>
      </c>
      <c r="R392" s="75" t="s">
        <v>2335</v>
      </c>
      <c r="S392" s="75">
        <v>1</v>
      </c>
      <c r="T392" s="75">
        <v>0</v>
      </c>
      <c r="U392" s="56"/>
      <c r="V392" s="57">
        <v>0.31</v>
      </c>
      <c r="W392" s="68"/>
      <c r="X392" s="46"/>
      <c r="Y392" s="46"/>
      <c r="Z392" s="46"/>
      <c r="AA392" s="56"/>
      <c r="AB392" s="57"/>
      <c r="AC392" s="54">
        <v>1</v>
      </c>
      <c r="AD392" s="69">
        <f>SUM(AE392:AK392)</f>
        <v>1</v>
      </c>
      <c r="AE392" s="66">
        <v>1</v>
      </c>
      <c r="AF392" s="66"/>
      <c r="AG392" s="66"/>
      <c r="AH392" s="66"/>
      <c r="AI392" s="66"/>
      <c r="AJ392" s="66"/>
      <c r="AK392" s="66"/>
      <c r="AL392" s="54">
        <f>IF((AC392-SUM(AE392:AK392))&lt;0,0,AC392-SUM(AE392:AK392))</f>
        <v>0</v>
      </c>
      <c r="AM392" s="69">
        <f>SUM(AN392:AT392)</f>
        <v>1</v>
      </c>
      <c r="AN392" s="60">
        <v>1</v>
      </c>
      <c r="AO392" s="52"/>
      <c r="AP392" s="52"/>
      <c r="AQ392" s="52"/>
      <c r="AR392" s="52"/>
      <c r="AS392" s="52"/>
      <c r="AT392" s="61"/>
      <c r="AU392" s="66">
        <f>MAX(0,$AM392-$AC392-$AW392)</f>
        <v>0</v>
      </c>
      <c r="AV392" s="48"/>
      <c r="AW392" s="48"/>
      <c r="AX392" s="65">
        <v>0</v>
      </c>
      <c r="AY392" s="65">
        <f>IF(AND($AU392&gt;0,ISNUMBER($AX392)),$AU392*$AX392,0)</f>
        <v>0</v>
      </c>
      <c r="AZ392" s="46"/>
      <c r="BA392" s="52"/>
      <c r="BB392" s="52"/>
      <c r="BC392" s="52"/>
      <c r="BD392" s="52"/>
      <c r="BE392" s="52"/>
      <c r="BF392" s="52"/>
    </row>
    <row r="393" spans="1:58" ht="15" customHeight="1">
      <c r="A393" s="46" t="s">
        <v>2336</v>
      </c>
      <c r="B393" s="53" t="s">
        <v>2337</v>
      </c>
      <c r="C393" s="66" t="s">
        <v>311</v>
      </c>
      <c r="D393" s="67">
        <v>0</v>
      </c>
      <c r="E393" s="53" t="s">
        <v>312</v>
      </c>
      <c r="F393" s="50"/>
      <c r="G393" s="50"/>
      <c r="H393" s="51"/>
      <c r="I393" s="50" t="s">
        <v>2338</v>
      </c>
      <c r="J393" s="54" t="s">
        <v>73</v>
      </c>
      <c r="K393" s="58" t="s">
        <v>312</v>
      </c>
      <c r="L393" s="58" t="s">
        <v>746</v>
      </c>
      <c r="M393" s="58" t="s">
        <v>2339</v>
      </c>
      <c r="N393" s="58"/>
      <c r="O393" s="54"/>
      <c r="P393" s="56" t="s">
        <v>86</v>
      </c>
      <c r="Q393" s="58" t="s">
        <v>1360</v>
      </c>
      <c r="R393" s="54"/>
      <c r="S393" s="54"/>
      <c r="T393" s="54"/>
      <c r="U393" s="54"/>
      <c r="V393" s="57">
        <v>0.3</v>
      </c>
      <c r="W393" s="68"/>
      <c r="X393" s="54"/>
      <c r="Y393" s="54"/>
      <c r="Z393" s="54"/>
      <c r="AA393" s="54"/>
      <c r="AB393" s="57"/>
      <c r="AC393" s="54">
        <v>1</v>
      </c>
      <c r="AD393" s="69">
        <f>SUM(AE393:AK393)</f>
        <v>1</v>
      </c>
      <c r="AE393" s="66">
        <v>1</v>
      </c>
      <c r="AF393" s="66"/>
      <c r="AG393" s="66"/>
      <c r="AH393" s="66"/>
      <c r="AI393" s="66"/>
      <c r="AJ393" s="66"/>
      <c r="AK393" s="66"/>
      <c r="AL393" s="54">
        <f>IF((AC393-SUM(AE393:AK393))&lt;0,0,AC393-SUM(AE393:AK393))</f>
        <v>0</v>
      </c>
      <c r="AM393" s="69">
        <f>SUM(AN393:AT393)</f>
        <v>1</v>
      </c>
      <c r="AN393" s="60">
        <v>1</v>
      </c>
      <c r="AO393" s="52"/>
      <c r="AP393" s="52"/>
      <c r="AQ393" s="52"/>
      <c r="AR393" s="52"/>
      <c r="AS393" s="52"/>
      <c r="AT393" s="61"/>
      <c r="AU393" s="66">
        <f>MAX(0,$AM393-$AC393-$AW393)</f>
        <v>0</v>
      </c>
      <c r="AV393" s="66"/>
      <c r="AW393" s="66"/>
      <c r="AX393" s="65">
        <v>0</v>
      </c>
      <c r="AY393" s="65">
        <f>IF(AND($AU393&gt;0,ISNUMBER($AX393)),$AU393*$AX393,0)</f>
        <v>0</v>
      </c>
      <c r="AZ393" s="46"/>
      <c r="BA393" s="52"/>
      <c r="BB393" s="52"/>
      <c r="BC393" s="52"/>
      <c r="BD393" s="52"/>
      <c r="BE393" s="52"/>
      <c r="BF393" s="52"/>
    </row>
    <row r="394" spans="1:58" ht="15" customHeight="1">
      <c r="A394" s="46" t="s">
        <v>2340</v>
      </c>
      <c r="B394" s="53" t="s">
        <v>2341</v>
      </c>
      <c r="C394" s="66" t="s">
        <v>311</v>
      </c>
      <c r="D394" s="67">
        <v>0</v>
      </c>
      <c r="E394" s="53" t="s">
        <v>312</v>
      </c>
      <c r="F394" s="50"/>
      <c r="G394" s="50"/>
      <c r="H394" s="51"/>
      <c r="I394" s="50" t="s">
        <v>2342</v>
      </c>
      <c r="J394" s="54" t="s">
        <v>73</v>
      </c>
      <c r="K394" s="58" t="s">
        <v>312</v>
      </c>
      <c r="L394" s="58" t="s">
        <v>746</v>
      </c>
      <c r="M394" s="58" t="s">
        <v>2343</v>
      </c>
      <c r="N394" s="58"/>
      <c r="O394" s="54"/>
      <c r="P394" s="56" t="s">
        <v>86</v>
      </c>
      <c r="Q394" s="58" t="s">
        <v>1970</v>
      </c>
      <c r="R394" s="54"/>
      <c r="S394" s="54"/>
      <c r="T394" s="54"/>
      <c r="U394" s="54"/>
      <c r="V394" s="57">
        <v>0.3</v>
      </c>
      <c r="W394" s="68"/>
      <c r="X394" s="54"/>
      <c r="Y394" s="54"/>
      <c r="Z394" s="54"/>
      <c r="AA394" s="54"/>
      <c r="AB394" s="57"/>
      <c r="AC394" s="54">
        <v>1</v>
      </c>
      <c r="AD394" s="69">
        <f>SUM(AE394:AK394)</f>
        <v>1</v>
      </c>
      <c r="AE394" s="66">
        <v>1</v>
      </c>
      <c r="AF394" s="66"/>
      <c r="AG394" s="66"/>
      <c r="AH394" s="66"/>
      <c r="AI394" s="66"/>
      <c r="AJ394" s="66"/>
      <c r="AK394" s="66"/>
      <c r="AL394" s="54">
        <f>IF((AC394-SUM(AE394:AK394))&lt;0,0,AC394-SUM(AE394:AK394))</f>
        <v>0</v>
      </c>
      <c r="AM394" s="69">
        <f>SUM(AN394:AT394)</f>
        <v>1</v>
      </c>
      <c r="AN394" s="60">
        <v>1</v>
      </c>
      <c r="AO394" s="52"/>
      <c r="AP394" s="52"/>
      <c r="AQ394" s="52"/>
      <c r="AR394" s="52"/>
      <c r="AS394" s="52"/>
      <c r="AT394" s="61"/>
      <c r="AU394" s="66">
        <f>MAX(0,$AM394-$AC394-$AW394)</f>
        <v>0</v>
      </c>
      <c r="AV394" s="66"/>
      <c r="AW394" s="66"/>
      <c r="AX394" s="65">
        <v>0</v>
      </c>
      <c r="AY394" s="65">
        <f>IF(AND($AU394&gt;0,ISNUMBER($AX394)),$AU394*$AX394,0)</f>
        <v>0</v>
      </c>
      <c r="AZ394" s="46"/>
      <c r="BA394" s="52"/>
      <c r="BB394" s="52"/>
      <c r="BC394" s="52"/>
      <c r="BD394" s="52"/>
      <c r="BE394" s="52"/>
      <c r="BF394" s="52"/>
    </row>
    <row r="395" spans="1:58" ht="15" customHeight="1">
      <c r="A395" s="46" t="s">
        <v>2344</v>
      </c>
      <c r="B395" s="53" t="s">
        <v>2345</v>
      </c>
      <c r="C395" s="66" t="s">
        <v>311</v>
      </c>
      <c r="D395" s="67">
        <v>0</v>
      </c>
      <c r="E395" s="53" t="s">
        <v>312</v>
      </c>
      <c r="F395" s="50"/>
      <c r="G395" s="50"/>
      <c r="H395" s="51" t="s">
        <v>2155</v>
      </c>
      <c r="I395" s="50" t="s">
        <v>2346</v>
      </c>
      <c r="J395" s="54" t="s">
        <v>73</v>
      </c>
      <c r="K395" s="58" t="s">
        <v>312</v>
      </c>
      <c r="L395" s="58" t="s">
        <v>746</v>
      </c>
      <c r="M395" s="58" t="s">
        <v>747</v>
      </c>
      <c r="N395" s="58"/>
      <c r="O395" s="54"/>
      <c r="P395" s="56" t="s">
        <v>76</v>
      </c>
      <c r="Q395" s="58" t="s">
        <v>528</v>
      </c>
      <c r="R395" s="54"/>
      <c r="S395" s="54"/>
      <c r="T395" s="54"/>
      <c r="U395" s="54"/>
      <c r="V395" s="57">
        <v>0.3</v>
      </c>
      <c r="W395" s="68"/>
      <c r="X395" s="54"/>
      <c r="Y395" s="54"/>
      <c r="Z395" s="54"/>
      <c r="AA395" s="54"/>
      <c r="AB395" s="57"/>
      <c r="AC395" s="54">
        <v>1</v>
      </c>
      <c r="AD395" s="69">
        <f>SUM(AE395:AK395)</f>
        <v>1</v>
      </c>
      <c r="AE395" s="66">
        <v>1</v>
      </c>
      <c r="AF395" s="66"/>
      <c r="AG395" s="66"/>
      <c r="AH395" s="66"/>
      <c r="AI395" s="66"/>
      <c r="AJ395" s="66"/>
      <c r="AK395" s="66"/>
      <c r="AL395" s="54">
        <f>IF((AC395-SUM(AE395:AK395))&lt;0,0,AC395-SUM(AE395:AK395))</f>
        <v>0</v>
      </c>
      <c r="AM395" s="69">
        <f>SUM(AN395:AT395)</f>
        <v>1</v>
      </c>
      <c r="AN395" s="60">
        <v>1</v>
      </c>
      <c r="AO395" s="52"/>
      <c r="AP395" s="52"/>
      <c r="AQ395" s="52"/>
      <c r="AR395" s="52"/>
      <c r="AS395" s="52"/>
      <c r="AT395" s="61"/>
      <c r="AU395" s="66">
        <f>MAX(0,$AM395-$AC395-$AW395)</f>
        <v>0</v>
      </c>
      <c r="AV395" s="66"/>
      <c r="AW395" s="66"/>
      <c r="AX395" s="65">
        <v>0</v>
      </c>
      <c r="AY395" s="65">
        <f>IF(AND($AU395&gt;0,ISNUMBER($AX395)),$AU395*$AX395,0)</f>
        <v>0</v>
      </c>
      <c r="AZ395" s="46"/>
      <c r="BA395" s="52"/>
      <c r="BB395" s="52"/>
      <c r="BC395" s="52"/>
      <c r="BD395" s="52"/>
      <c r="BE395" s="52"/>
      <c r="BF395" s="52"/>
    </row>
    <row r="396" spans="1:58" ht="15" customHeight="1">
      <c r="A396" s="46" t="s">
        <v>2347</v>
      </c>
      <c r="B396" s="53" t="s">
        <v>2348</v>
      </c>
      <c r="C396" s="66" t="s">
        <v>109</v>
      </c>
      <c r="D396" s="67">
        <v>3</v>
      </c>
      <c r="E396" s="53" t="s">
        <v>81</v>
      </c>
      <c r="F396" s="50">
        <v>3</v>
      </c>
      <c r="G396" s="50">
        <v>2</v>
      </c>
      <c r="H396" s="51" t="s">
        <v>2349</v>
      </c>
      <c r="I396" s="50" t="s">
        <v>2350</v>
      </c>
      <c r="J396" s="54" t="s">
        <v>73</v>
      </c>
      <c r="K396" s="58" t="s">
        <v>474</v>
      </c>
      <c r="L396" s="58" t="s">
        <v>2170</v>
      </c>
      <c r="M396" s="58" t="s">
        <v>2351</v>
      </c>
      <c r="N396" s="58" t="s">
        <v>2352</v>
      </c>
      <c r="O396" s="54"/>
      <c r="P396" s="56" t="s">
        <v>86</v>
      </c>
      <c r="Q396" s="58" t="s">
        <v>93</v>
      </c>
      <c r="R396" s="54"/>
      <c r="S396" s="54"/>
      <c r="T396" s="54"/>
      <c r="U396" s="54"/>
      <c r="V396" s="57">
        <v>0.3</v>
      </c>
      <c r="W396" s="68"/>
      <c r="X396" s="54"/>
      <c r="Y396" s="54"/>
      <c r="Z396" s="54"/>
      <c r="AA396" s="54"/>
      <c r="AB396" s="57"/>
      <c r="AC396" s="54">
        <v>1</v>
      </c>
      <c r="AD396" s="69">
        <f>SUM(AE396:AK396)</f>
        <v>1</v>
      </c>
      <c r="AE396" s="66">
        <v>1</v>
      </c>
      <c r="AF396" s="66"/>
      <c r="AG396" s="66"/>
      <c r="AH396" s="66"/>
      <c r="AI396" s="66"/>
      <c r="AJ396" s="66"/>
      <c r="AK396" s="66"/>
      <c r="AL396" s="54">
        <f>IF((AC396-SUM(AE396:AK396))&lt;0,0,AC396-SUM(AE396:AK396))</f>
        <v>0</v>
      </c>
      <c r="AM396" s="69">
        <f>SUM(AN396:AT396)</f>
        <v>1</v>
      </c>
      <c r="AN396" s="60">
        <v>1</v>
      </c>
      <c r="AO396" s="52"/>
      <c r="AP396" s="52"/>
      <c r="AQ396" s="52"/>
      <c r="AR396" s="52"/>
      <c r="AS396" s="52"/>
      <c r="AT396" s="61"/>
      <c r="AU396" s="66">
        <f>MAX(0,$AM396-$AC396-$AW396)</f>
        <v>0</v>
      </c>
      <c r="AV396" s="66"/>
      <c r="AW396" s="66"/>
      <c r="AX396" s="65">
        <v>0</v>
      </c>
      <c r="AY396" s="65">
        <f>IF(AND($AU396&gt;0,ISNUMBER($AX396)),$AU396*$AX396,0)</f>
        <v>0</v>
      </c>
      <c r="AZ396" s="46"/>
      <c r="BA396" s="52"/>
      <c r="BB396" s="52"/>
      <c r="BC396" s="52"/>
      <c r="BD396" s="52"/>
      <c r="BE396" s="52"/>
      <c r="BF396" s="52"/>
    </row>
    <row r="397" spans="1:58" ht="15" customHeight="1">
      <c r="A397" s="46" t="s">
        <v>2353</v>
      </c>
      <c r="B397" s="53" t="s">
        <v>2354</v>
      </c>
      <c r="C397" s="66" t="s">
        <v>232</v>
      </c>
      <c r="D397" s="67">
        <v>1</v>
      </c>
      <c r="E397" s="53" t="s">
        <v>233</v>
      </c>
      <c r="F397" s="50"/>
      <c r="G397" s="50"/>
      <c r="H397" s="51"/>
      <c r="I397" s="50" t="s">
        <v>2355</v>
      </c>
      <c r="J397" s="54" t="s">
        <v>73</v>
      </c>
      <c r="K397" s="58" t="s">
        <v>1099</v>
      </c>
      <c r="L397" s="58" t="s">
        <v>2356</v>
      </c>
      <c r="M397" s="58" t="s">
        <v>2253</v>
      </c>
      <c r="N397" s="58" t="s">
        <v>2357</v>
      </c>
      <c r="O397" s="54"/>
      <c r="P397" s="56" t="s">
        <v>185</v>
      </c>
      <c r="Q397" s="58" t="s">
        <v>2358</v>
      </c>
      <c r="R397" s="50"/>
      <c r="S397" s="50"/>
      <c r="T397" s="50"/>
      <c r="U397" s="50"/>
      <c r="V397" s="57">
        <v>0.28999999999999998</v>
      </c>
      <c r="W397" s="68"/>
      <c r="X397" s="50"/>
      <c r="Y397" s="50"/>
      <c r="Z397" s="50"/>
      <c r="AA397" s="50"/>
      <c r="AB397" s="57"/>
      <c r="AC397" s="54">
        <v>1</v>
      </c>
      <c r="AD397" s="69">
        <f>SUM(AE397:AK397)</f>
        <v>1</v>
      </c>
      <c r="AE397" s="66">
        <v>1</v>
      </c>
      <c r="AF397" s="66"/>
      <c r="AG397" s="66"/>
      <c r="AH397" s="66"/>
      <c r="AI397" s="66"/>
      <c r="AJ397" s="66"/>
      <c r="AK397" s="66"/>
      <c r="AL397" s="54">
        <f>IF((AC397-SUM(AE397:AK397))&lt;0,0,AC397-SUM(AE397:AK397))</f>
        <v>0</v>
      </c>
      <c r="AM397" s="69">
        <f>SUM(AN397:AT397)</f>
        <v>1</v>
      </c>
      <c r="AN397" s="60">
        <v>1</v>
      </c>
      <c r="AO397" s="52"/>
      <c r="AP397" s="52"/>
      <c r="AQ397" s="52"/>
      <c r="AR397" s="52"/>
      <c r="AS397" s="52"/>
      <c r="AT397" s="61"/>
      <c r="AU397" s="66">
        <f>MAX(0,$AM397-$AC397-$AW397)</f>
        <v>0</v>
      </c>
      <c r="AV397" s="66"/>
      <c r="AW397" s="66"/>
      <c r="AX397" s="65">
        <v>0</v>
      </c>
      <c r="AY397" s="65">
        <f>IF(AND($AU397&gt;0,ISNUMBER($AX397)),$AU397*$AX397,0)</f>
        <v>0</v>
      </c>
      <c r="AZ397" s="46"/>
      <c r="BA397" s="52"/>
      <c r="BB397" s="52"/>
      <c r="BC397" s="52"/>
      <c r="BD397" s="52"/>
      <c r="BE397" s="52"/>
      <c r="BF397" s="52"/>
    </row>
    <row r="398" spans="1:58" ht="15" customHeight="1">
      <c r="A398" s="46" t="s">
        <v>2359</v>
      </c>
      <c r="B398" s="53" t="s">
        <v>2360</v>
      </c>
      <c r="C398" s="66" t="s">
        <v>70</v>
      </c>
      <c r="D398" s="67">
        <v>2</v>
      </c>
      <c r="E398" s="53" t="s">
        <v>81</v>
      </c>
      <c r="F398" s="50">
        <v>2</v>
      </c>
      <c r="G398" s="50">
        <v>2</v>
      </c>
      <c r="H398" s="51" t="s">
        <v>2361</v>
      </c>
      <c r="I398" s="50" t="s">
        <v>2362</v>
      </c>
      <c r="J398" s="54" t="s">
        <v>73</v>
      </c>
      <c r="K398" s="58" t="s">
        <v>92</v>
      </c>
      <c r="L398" s="58" t="s">
        <v>2363</v>
      </c>
      <c r="M398" s="58" t="s">
        <v>2364</v>
      </c>
      <c r="N398" s="58"/>
      <c r="O398" s="54"/>
      <c r="P398" s="56" t="s">
        <v>86</v>
      </c>
      <c r="Q398" s="58" t="s">
        <v>1970</v>
      </c>
      <c r="R398" s="50"/>
      <c r="S398" s="50"/>
      <c r="T398" s="50"/>
      <c r="U398" s="56"/>
      <c r="V398" s="57">
        <v>0.28000000000000003</v>
      </c>
      <c r="W398" s="68"/>
      <c r="X398" s="50"/>
      <c r="Y398" s="50"/>
      <c r="Z398" s="50"/>
      <c r="AA398" s="56"/>
      <c r="AB398" s="57"/>
      <c r="AC398" s="54">
        <v>1</v>
      </c>
      <c r="AD398" s="69">
        <f>SUM(AE398:AK398)</f>
        <v>1</v>
      </c>
      <c r="AE398" s="66">
        <v>1</v>
      </c>
      <c r="AF398" s="66"/>
      <c r="AG398" s="66"/>
      <c r="AH398" s="66"/>
      <c r="AI398" s="66"/>
      <c r="AJ398" s="66"/>
      <c r="AK398" s="66"/>
      <c r="AL398" s="54">
        <f>IF((AC398-SUM(AE398:AK398))&lt;0,0,AC398-SUM(AE398:AK398))</f>
        <v>0</v>
      </c>
      <c r="AM398" s="69">
        <f>SUM(AN398:AT398)</f>
        <v>1</v>
      </c>
      <c r="AN398" s="60">
        <v>1</v>
      </c>
      <c r="AO398" s="52"/>
      <c r="AP398" s="52"/>
      <c r="AQ398" s="52"/>
      <c r="AR398" s="52"/>
      <c r="AS398" s="52"/>
      <c r="AT398" s="61"/>
      <c r="AU398" s="66">
        <f>MAX(0,$AM398-$AC398-$AW398)</f>
        <v>0</v>
      </c>
      <c r="AV398" s="66"/>
      <c r="AW398" s="66"/>
      <c r="AX398" s="65">
        <v>0</v>
      </c>
      <c r="AY398" s="65">
        <f>IF(AND($AU398&gt;0,ISNUMBER($AX398)),$AU398*$AX398,0)</f>
        <v>0</v>
      </c>
      <c r="AZ398" s="46"/>
      <c r="BA398" s="52"/>
      <c r="BB398" s="52"/>
      <c r="BC398" s="52"/>
      <c r="BD398" s="52"/>
      <c r="BE398" s="52"/>
      <c r="BF398" s="52"/>
    </row>
    <row r="399" spans="1:58" ht="15" customHeight="1">
      <c r="A399" s="46" t="s">
        <v>2365</v>
      </c>
      <c r="B399" s="53" t="s">
        <v>2366</v>
      </c>
      <c r="C399" s="66" t="s">
        <v>118</v>
      </c>
      <c r="D399" s="67">
        <v>2</v>
      </c>
      <c r="E399" s="53" t="s">
        <v>81</v>
      </c>
      <c r="F399" s="50">
        <v>2</v>
      </c>
      <c r="G399" s="50">
        <v>1</v>
      </c>
      <c r="H399" s="51" t="s">
        <v>1086</v>
      </c>
      <c r="I399" s="50" t="s">
        <v>2367</v>
      </c>
      <c r="J399" s="54" t="s">
        <v>73</v>
      </c>
      <c r="K399" s="58" t="s">
        <v>1781</v>
      </c>
      <c r="L399" s="58" t="s">
        <v>995</v>
      </c>
      <c r="M399" s="58" t="s">
        <v>2368</v>
      </c>
      <c r="N399" s="58"/>
      <c r="O399" s="54"/>
      <c r="P399" s="56" t="s">
        <v>86</v>
      </c>
      <c r="Q399" s="58" t="s">
        <v>600</v>
      </c>
      <c r="R399" s="54"/>
      <c r="S399" s="54"/>
      <c r="T399" s="54"/>
      <c r="U399" s="56"/>
      <c r="V399" s="57">
        <v>0.28000000000000003</v>
      </c>
      <c r="W399" s="68"/>
      <c r="X399" s="54"/>
      <c r="Y399" s="54"/>
      <c r="Z399" s="54"/>
      <c r="AA399" s="56"/>
      <c r="AB399" s="57"/>
      <c r="AC399" s="54">
        <v>1</v>
      </c>
      <c r="AD399" s="69">
        <f>SUM(AE399:AK399)</f>
        <v>1</v>
      </c>
      <c r="AE399" s="66">
        <v>1</v>
      </c>
      <c r="AF399" s="66"/>
      <c r="AG399" s="66"/>
      <c r="AH399" s="66"/>
      <c r="AI399" s="66"/>
      <c r="AJ399" s="66"/>
      <c r="AK399" s="66"/>
      <c r="AL399" s="54">
        <f>IF((AC399-SUM(AE399:AK399))&lt;0,0,AC399-SUM(AE399:AK399))</f>
        <v>0</v>
      </c>
      <c r="AM399" s="69">
        <f>SUM(AN399:AT399)</f>
        <v>1</v>
      </c>
      <c r="AN399" s="60">
        <v>1</v>
      </c>
      <c r="AO399" s="52"/>
      <c r="AP399" s="52"/>
      <c r="AQ399" s="52"/>
      <c r="AR399" s="52"/>
      <c r="AS399" s="52"/>
      <c r="AT399" s="61"/>
      <c r="AU399" s="66">
        <f>MAX(0,$AM399-$AC399-$AW399)</f>
        <v>0</v>
      </c>
      <c r="AV399" s="66"/>
      <c r="AW399" s="66"/>
      <c r="AX399" s="65">
        <v>0</v>
      </c>
      <c r="AY399" s="65">
        <f>IF(AND($AU399&gt;0,ISNUMBER($AX399)),$AU399*$AX399,0)</f>
        <v>0</v>
      </c>
      <c r="AZ399" s="46"/>
      <c r="BA399" s="52"/>
      <c r="BB399" s="52"/>
      <c r="BC399" s="52"/>
      <c r="BD399" s="52"/>
      <c r="BE399" s="52"/>
      <c r="BF399" s="52"/>
    </row>
    <row r="400" spans="1:58" ht="15" customHeight="1">
      <c r="A400" s="46" t="s">
        <v>2369</v>
      </c>
      <c r="B400" s="53" t="s">
        <v>2370</v>
      </c>
      <c r="C400" s="66" t="s">
        <v>311</v>
      </c>
      <c r="D400" s="67">
        <v>0</v>
      </c>
      <c r="E400" s="53" t="s">
        <v>312</v>
      </c>
      <c r="F400" s="50"/>
      <c r="G400" s="50"/>
      <c r="H400" s="51"/>
      <c r="I400" s="50" t="s">
        <v>2371</v>
      </c>
      <c r="J400" s="54" t="s">
        <v>73</v>
      </c>
      <c r="K400" s="58" t="s">
        <v>312</v>
      </c>
      <c r="L400" s="58" t="s">
        <v>746</v>
      </c>
      <c r="M400" s="58" t="s">
        <v>747</v>
      </c>
      <c r="N400" s="58" t="s">
        <v>2372</v>
      </c>
      <c r="O400" s="54"/>
      <c r="P400" s="56" t="s">
        <v>86</v>
      </c>
      <c r="Q400" s="58" t="s">
        <v>2129</v>
      </c>
      <c r="R400" s="54"/>
      <c r="S400" s="54"/>
      <c r="T400" s="54"/>
      <c r="U400" s="54"/>
      <c r="V400" s="57">
        <v>0.28000000000000003</v>
      </c>
      <c r="W400" s="68"/>
      <c r="X400" s="54"/>
      <c r="Y400" s="54"/>
      <c r="Z400" s="54"/>
      <c r="AA400" s="54"/>
      <c r="AB400" s="57"/>
      <c r="AC400" s="54">
        <v>1</v>
      </c>
      <c r="AD400" s="69">
        <f>SUM(AE400:AK400)</f>
        <v>1</v>
      </c>
      <c r="AE400" s="66">
        <v>1</v>
      </c>
      <c r="AF400" s="66"/>
      <c r="AG400" s="66"/>
      <c r="AH400" s="66"/>
      <c r="AI400" s="66"/>
      <c r="AJ400" s="66"/>
      <c r="AK400" s="66"/>
      <c r="AL400" s="54">
        <f>IF((AC400-SUM(AE400:AK400))&lt;0,0,AC400-SUM(AE400:AK400))</f>
        <v>0</v>
      </c>
      <c r="AM400" s="69">
        <f>SUM(AN400:AT400)</f>
        <v>1</v>
      </c>
      <c r="AN400" s="60">
        <v>1</v>
      </c>
      <c r="AO400" s="52"/>
      <c r="AP400" s="52"/>
      <c r="AQ400" s="52"/>
      <c r="AR400" s="52"/>
      <c r="AS400" s="52"/>
      <c r="AT400" s="61"/>
      <c r="AU400" s="66">
        <f>MAX(0,$AM400-$AC400-$AW400)</f>
        <v>0</v>
      </c>
      <c r="AV400" s="66"/>
      <c r="AW400" s="66"/>
      <c r="AX400" s="65">
        <v>0</v>
      </c>
      <c r="AY400" s="65">
        <f>IF(AND($AU400&gt;0,ISNUMBER($AX400)),$AU400*$AX400,0)</f>
        <v>0</v>
      </c>
      <c r="AZ400" s="46"/>
      <c r="BA400" s="52"/>
      <c r="BB400" s="52"/>
      <c r="BC400" s="52"/>
      <c r="BD400" s="52"/>
      <c r="BE400" s="52"/>
      <c r="BF400" s="52"/>
    </row>
    <row r="401" spans="1:58" ht="15" customHeight="1">
      <c r="A401" s="46" t="s">
        <v>2373</v>
      </c>
      <c r="B401" s="53" t="s">
        <v>2374</v>
      </c>
      <c r="C401" s="66" t="s">
        <v>118</v>
      </c>
      <c r="D401" s="67">
        <v>4</v>
      </c>
      <c r="E401" s="53" t="s">
        <v>110</v>
      </c>
      <c r="F401" s="50">
        <v>2</v>
      </c>
      <c r="G401" s="50">
        <v>2</v>
      </c>
      <c r="H401" s="51" t="s">
        <v>2375</v>
      </c>
      <c r="I401" s="50" t="s">
        <v>2376</v>
      </c>
      <c r="J401" s="54" t="s">
        <v>73</v>
      </c>
      <c r="K401" s="58" t="s">
        <v>474</v>
      </c>
      <c r="L401" s="58" t="s">
        <v>995</v>
      </c>
      <c r="M401" s="58" t="s">
        <v>2377</v>
      </c>
      <c r="N401" s="58"/>
      <c r="O401" s="56">
        <v>1200</v>
      </c>
      <c r="P401" s="56" t="s">
        <v>185</v>
      </c>
      <c r="Q401" s="58" t="s">
        <v>2210</v>
      </c>
      <c r="R401" s="54"/>
      <c r="S401" s="54"/>
      <c r="T401" s="54"/>
      <c r="U401" s="54"/>
      <c r="V401" s="57">
        <v>0.27</v>
      </c>
      <c r="W401" s="68"/>
      <c r="X401" s="54"/>
      <c r="Y401" s="54"/>
      <c r="Z401" s="54"/>
      <c r="AA401" s="54"/>
      <c r="AB401" s="57"/>
      <c r="AC401" s="54">
        <v>1</v>
      </c>
      <c r="AD401" s="69">
        <f>SUM(AE401:AK401)</f>
        <v>1</v>
      </c>
      <c r="AE401" s="66">
        <v>1</v>
      </c>
      <c r="AF401" s="66"/>
      <c r="AG401" s="66"/>
      <c r="AH401" s="66"/>
      <c r="AI401" s="66"/>
      <c r="AJ401" s="66"/>
      <c r="AK401" s="66"/>
      <c r="AL401" s="54">
        <f>IF((AC401-SUM(AE401:AK401))&lt;0,0,AC401-SUM(AE401:AK401))</f>
        <v>0</v>
      </c>
      <c r="AM401" s="69">
        <f>SUM(AN401:AT401)</f>
        <v>1</v>
      </c>
      <c r="AN401" s="60">
        <v>1</v>
      </c>
      <c r="AO401" s="52"/>
      <c r="AP401" s="52"/>
      <c r="AQ401" s="52"/>
      <c r="AR401" s="52"/>
      <c r="AS401" s="52"/>
      <c r="AT401" s="61"/>
      <c r="AU401" s="66">
        <f>MAX(0,$AM401-$AC401-$AW401)</f>
        <v>0</v>
      </c>
      <c r="AV401" s="66"/>
      <c r="AW401" s="66"/>
      <c r="AX401" s="65">
        <v>0</v>
      </c>
      <c r="AY401" s="65">
        <f>IF(AND($AU401&gt;0,ISNUMBER($AX401)),$AU401*$AX401,0)</f>
        <v>0</v>
      </c>
      <c r="AZ401" s="52"/>
      <c r="BA401" s="52"/>
      <c r="BB401" s="52"/>
      <c r="BC401" s="52"/>
      <c r="BD401" s="52"/>
      <c r="BE401" s="52"/>
      <c r="BF401" s="52"/>
    </row>
    <row r="402" spans="1:58" ht="15" customHeight="1">
      <c r="A402" s="46" t="s">
        <v>2378</v>
      </c>
      <c r="B402" s="53" t="s">
        <v>2379</v>
      </c>
      <c r="C402" s="66" t="s">
        <v>311</v>
      </c>
      <c r="D402" s="67">
        <v>0</v>
      </c>
      <c r="E402" s="53" t="s">
        <v>312</v>
      </c>
      <c r="F402" s="50"/>
      <c r="G402" s="50"/>
      <c r="H402" s="51"/>
      <c r="I402" s="50" t="s">
        <v>2380</v>
      </c>
      <c r="J402" s="54" t="s">
        <v>73</v>
      </c>
      <c r="K402" s="58" t="s">
        <v>312</v>
      </c>
      <c r="L402" s="58" t="s">
        <v>746</v>
      </c>
      <c r="M402" s="58" t="s">
        <v>747</v>
      </c>
      <c r="N402" s="58" t="s">
        <v>2381</v>
      </c>
      <c r="O402" s="54"/>
      <c r="P402" s="56" t="s">
        <v>76</v>
      </c>
      <c r="Q402" s="58" t="s">
        <v>1970</v>
      </c>
      <c r="R402" s="54"/>
      <c r="S402" s="54"/>
      <c r="T402" s="54"/>
      <c r="U402" s="54"/>
      <c r="V402" s="57">
        <v>0.25</v>
      </c>
      <c r="W402" s="68"/>
      <c r="X402" s="54"/>
      <c r="Y402" s="54"/>
      <c r="Z402" s="54"/>
      <c r="AA402" s="54"/>
      <c r="AB402" s="57"/>
      <c r="AC402" s="54">
        <v>1</v>
      </c>
      <c r="AD402" s="69">
        <f>SUM(AE402:AK402)</f>
        <v>1</v>
      </c>
      <c r="AE402" s="66">
        <v>1</v>
      </c>
      <c r="AF402" s="66"/>
      <c r="AG402" s="66"/>
      <c r="AH402" s="66"/>
      <c r="AI402" s="66"/>
      <c r="AJ402" s="66"/>
      <c r="AK402" s="66"/>
      <c r="AL402" s="54">
        <f>IF((AC402-SUM(AE402:AK402))&lt;0,0,AC402-SUM(AE402:AK402))</f>
        <v>0</v>
      </c>
      <c r="AM402" s="69">
        <f>SUM(AN402:AT402)</f>
        <v>1</v>
      </c>
      <c r="AN402" s="60">
        <v>1</v>
      </c>
      <c r="AO402" s="52"/>
      <c r="AP402" s="52"/>
      <c r="AQ402" s="52"/>
      <c r="AR402" s="52"/>
      <c r="AS402" s="52"/>
      <c r="AT402" s="61"/>
      <c r="AU402" s="66">
        <f>MAX(0,$AM402-$AC402-$AW402)</f>
        <v>0</v>
      </c>
      <c r="AV402" s="66"/>
      <c r="AW402" s="66"/>
      <c r="AX402" s="65">
        <v>0</v>
      </c>
      <c r="AY402" s="65">
        <f>IF(AND($AU402&gt;0,ISNUMBER($AX402)),$AU402*$AX402,0)</f>
        <v>0</v>
      </c>
      <c r="AZ402" s="46"/>
      <c r="BA402" s="52"/>
      <c r="BB402" s="52"/>
      <c r="BC402" s="52"/>
      <c r="BD402" s="52"/>
      <c r="BE402" s="52"/>
      <c r="BF402" s="52"/>
    </row>
    <row r="403" spans="1:58" ht="15" customHeight="1">
      <c r="A403" s="46" t="s">
        <v>2382</v>
      </c>
      <c r="B403" s="53" t="s">
        <v>2383</v>
      </c>
      <c r="C403" s="66" t="s">
        <v>311</v>
      </c>
      <c r="D403" s="67">
        <v>0</v>
      </c>
      <c r="E403" s="53" t="s">
        <v>312</v>
      </c>
      <c r="F403" s="50"/>
      <c r="G403" s="50"/>
      <c r="H403" s="51" t="s">
        <v>629</v>
      </c>
      <c r="I403" s="50" t="s">
        <v>2384</v>
      </c>
      <c r="J403" s="54" t="s">
        <v>73</v>
      </c>
      <c r="K403" s="58" t="s">
        <v>312</v>
      </c>
      <c r="L403" s="58" t="s">
        <v>632</v>
      </c>
      <c r="M403" s="58" t="s">
        <v>747</v>
      </c>
      <c r="N403" s="58" t="s">
        <v>2385</v>
      </c>
      <c r="O403" s="54"/>
      <c r="P403" s="56" t="s">
        <v>185</v>
      </c>
      <c r="Q403" s="58" t="s">
        <v>2386</v>
      </c>
      <c r="R403" s="54"/>
      <c r="S403" s="54"/>
      <c r="T403" s="54"/>
      <c r="U403" s="54"/>
      <c r="V403" s="57">
        <v>0.25</v>
      </c>
      <c r="W403" s="68"/>
      <c r="X403" s="54"/>
      <c r="Y403" s="54"/>
      <c r="Z403" s="54"/>
      <c r="AA403" s="54"/>
      <c r="AB403" s="57"/>
      <c r="AC403" s="54">
        <v>1</v>
      </c>
      <c r="AD403" s="69">
        <f>SUM(AE403:AK403)</f>
        <v>1</v>
      </c>
      <c r="AE403" s="66">
        <v>1</v>
      </c>
      <c r="AF403" s="66"/>
      <c r="AG403" s="66"/>
      <c r="AH403" s="66"/>
      <c r="AI403" s="66"/>
      <c r="AJ403" s="66"/>
      <c r="AK403" s="66"/>
      <c r="AL403" s="54">
        <f>IF((AC403-SUM(AE403:AK403))&lt;0,0,AC403-SUM(AE403:AK403))</f>
        <v>0</v>
      </c>
      <c r="AM403" s="69">
        <f>SUM(AN403:AT403)</f>
        <v>1</v>
      </c>
      <c r="AN403" s="60">
        <v>1</v>
      </c>
      <c r="AO403" s="52"/>
      <c r="AP403" s="52"/>
      <c r="AQ403" s="52"/>
      <c r="AR403" s="52"/>
      <c r="AS403" s="52"/>
      <c r="AT403" s="61"/>
      <c r="AU403" s="66">
        <f>MAX(0,$AM403-$AC403-$AW403)</f>
        <v>0</v>
      </c>
      <c r="AV403" s="66"/>
      <c r="AW403" s="66"/>
      <c r="AX403" s="65">
        <v>0</v>
      </c>
      <c r="AY403" s="65">
        <f>IF(AND($AU403&gt;0,ISNUMBER($AX403)),$AU403*$AX403,0)</f>
        <v>0</v>
      </c>
      <c r="AZ403" s="46"/>
      <c r="BA403" s="52"/>
      <c r="BB403" s="52"/>
      <c r="BC403" s="52"/>
      <c r="BD403" s="52"/>
      <c r="BE403" s="52"/>
      <c r="BF403" s="52"/>
    </row>
    <row r="404" spans="1:58" ht="15" customHeight="1">
      <c r="A404" s="46" t="s">
        <v>2387</v>
      </c>
      <c r="B404" s="53" t="s">
        <v>2388</v>
      </c>
      <c r="C404" s="66" t="s">
        <v>109</v>
      </c>
      <c r="D404" s="67">
        <v>3</v>
      </c>
      <c r="E404" s="53" t="s">
        <v>81</v>
      </c>
      <c r="F404" s="50">
        <v>3</v>
      </c>
      <c r="G404" s="50">
        <v>3</v>
      </c>
      <c r="H404" s="51" t="s">
        <v>1086</v>
      </c>
      <c r="I404" s="50" t="s">
        <v>2389</v>
      </c>
      <c r="J404" s="54" t="s">
        <v>73</v>
      </c>
      <c r="K404" s="58" t="s">
        <v>474</v>
      </c>
      <c r="L404" s="58" t="s">
        <v>2390</v>
      </c>
      <c r="M404" s="58" t="s">
        <v>2391</v>
      </c>
      <c r="N404" s="58"/>
      <c r="O404" s="54"/>
      <c r="P404" s="56" t="s">
        <v>86</v>
      </c>
      <c r="Q404" s="58" t="s">
        <v>1970</v>
      </c>
      <c r="R404" s="50"/>
      <c r="S404" s="50"/>
      <c r="T404" s="50"/>
      <c r="U404" s="50"/>
      <c r="V404" s="57">
        <v>0.25</v>
      </c>
      <c r="W404" s="68"/>
      <c r="X404" s="50"/>
      <c r="Y404" s="50"/>
      <c r="Z404" s="50"/>
      <c r="AA404" s="50"/>
      <c r="AB404" s="57"/>
      <c r="AC404" s="54">
        <v>1</v>
      </c>
      <c r="AD404" s="69">
        <f>SUM(AE404:AK404)</f>
        <v>1</v>
      </c>
      <c r="AE404" s="66">
        <v>1</v>
      </c>
      <c r="AF404" s="66"/>
      <c r="AG404" s="66"/>
      <c r="AH404" s="66"/>
      <c r="AI404" s="66"/>
      <c r="AJ404" s="66"/>
      <c r="AK404" s="66"/>
      <c r="AL404" s="54">
        <f>IF((AC404-SUM(AE404:AK404))&lt;0,0,AC404-SUM(AE404:AK404))</f>
        <v>0</v>
      </c>
      <c r="AM404" s="69">
        <f>SUM(AN404:AT404)</f>
        <v>1</v>
      </c>
      <c r="AN404" s="60">
        <v>1</v>
      </c>
      <c r="AO404" s="52"/>
      <c r="AP404" s="52"/>
      <c r="AQ404" s="52"/>
      <c r="AR404" s="52"/>
      <c r="AS404" s="52"/>
      <c r="AT404" s="61"/>
      <c r="AU404" s="66">
        <f>MAX(0,$AM404-$AC404-$AW404)</f>
        <v>0</v>
      </c>
      <c r="AV404" s="66"/>
      <c r="AW404" s="66"/>
      <c r="AX404" s="65">
        <v>0</v>
      </c>
      <c r="AY404" s="65">
        <f>IF(AND($AU404&gt;0,ISNUMBER($AX404)),$AU404*$AX404,0)</f>
        <v>0</v>
      </c>
      <c r="AZ404" s="46"/>
      <c r="BA404" s="52"/>
      <c r="BB404" s="52"/>
      <c r="BC404" s="52"/>
      <c r="BD404" s="52"/>
      <c r="BE404" s="52"/>
      <c r="BF404" s="52"/>
    </row>
    <row r="405" spans="1:58" ht="15" customHeight="1">
      <c r="A405" s="46" t="s">
        <v>2392</v>
      </c>
      <c r="B405" s="53" t="s">
        <v>2393</v>
      </c>
      <c r="C405" s="66" t="s">
        <v>109</v>
      </c>
      <c r="D405" s="67">
        <v>2</v>
      </c>
      <c r="E405" s="53" t="s">
        <v>189</v>
      </c>
      <c r="F405" s="50"/>
      <c r="G405" s="50"/>
      <c r="H405" s="51"/>
      <c r="I405" s="50" t="s">
        <v>2394</v>
      </c>
      <c r="J405" s="54" t="s">
        <v>73</v>
      </c>
      <c r="K405" s="58" t="s">
        <v>98</v>
      </c>
      <c r="L405" s="58" t="s">
        <v>2395</v>
      </c>
      <c r="M405" s="58" t="s">
        <v>2396</v>
      </c>
      <c r="N405" s="58" t="s">
        <v>2397</v>
      </c>
      <c r="O405" s="54"/>
      <c r="P405" s="56" t="s">
        <v>185</v>
      </c>
      <c r="Q405" s="58" t="s">
        <v>645</v>
      </c>
      <c r="R405" s="50"/>
      <c r="S405" s="50"/>
      <c r="T405" s="50"/>
      <c r="U405" s="50"/>
      <c r="V405" s="57">
        <v>0.24</v>
      </c>
      <c r="W405" s="68"/>
      <c r="X405" s="50"/>
      <c r="Y405" s="50"/>
      <c r="Z405" s="50"/>
      <c r="AA405" s="50"/>
      <c r="AB405" s="57"/>
      <c r="AC405" s="54">
        <v>1</v>
      </c>
      <c r="AD405" s="69">
        <f>SUM(AE405:AK405)</f>
        <v>1</v>
      </c>
      <c r="AE405" s="66">
        <v>1</v>
      </c>
      <c r="AF405" s="66"/>
      <c r="AG405" s="66"/>
      <c r="AH405" s="66"/>
      <c r="AI405" s="66"/>
      <c r="AJ405" s="66"/>
      <c r="AK405" s="66"/>
      <c r="AL405" s="54">
        <f>IF((AC405-SUM(AE405:AK405))&lt;0,0,AC405-SUM(AE405:AK405))</f>
        <v>0</v>
      </c>
      <c r="AM405" s="69">
        <f>SUM(AN405:AT405)</f>
        <v>1</v>
      </c>
      <c r="AN405" s="60">
        <v>1</v>
      </c>
      <c r="AO405" s="52"/>
      <c r="AP405" s="52"/>
      <c r="AQ405" s="52"/>
      <c r="AR405" s="52"/>
      <c r="AS405" s="52"/>
      <c r="AT405" s="61"/>
      <c r="AU405" s="66">
        <f>MAX(0,$AM405-$AC405-$AW405)</f>
        <v>0</v>
      </c>
      <c r="AV405" s="66"/>
      <c r="AW405" s="66"/>
      <c r="AX405" s="65">
        <v>0</v>
      </c>
      <c r="AY405" s="65">
        <f>IF(AND($AU405&gt;0,ISNUMBER($AX405)),$AU405*$AX405,0)</f>
        <v>0</v>
      </c>
      <c r="AZ405" s="46"/>
      <c r="BA405" s="52"/>
      <c r="BB405" s="52"/>
      <c r="BC405" s="52"/>
      <c r="BD405" s="52"/>
      <c r="BE405" s="52"/>
      <c r="BF405" s="52"/>
    </row>
    <row r="406" spans="1:58" ht="15" customHeight="1">
      <c r="A406" s="46" t="s">
        <v>2398</v>
      </c>
      <c r="B406" s="53" t="s">
        <v>2399</v>
      </c>
      <c r="C406" s="66" t="s">
        <v>118</v>
      </c>
      <c r="D406" s="67">
        <v>5</v>
      </c>
      <c r="E406" s="53" t="s">
        <v>71</v>
      </c>
      <c r="F406" s="50"/>
      <c r="G406" s="50"/>
      <c r="H406" s="51"/>
      <c r="I406" s="50" t="s">
        <v>2400</v>
      </c>
      <c r="J406" s="54" t="s">
        <v>73</v>
      </c>
      <c r="K406" s="58" t="s">
        <v>424</v>
      </c>
      <c r="L406" s="58" t="s">
        <v>2401</v>
      </c>
      <c r="M406" s="58" t="s">
        <v>2402</v>
      </c>
      <c r="N406" s="58"/>
      <c r="O406" s="54"/>
      <c r="P406" s="56" t="s">
        <v>86</v>
      </c>
      <c r="Q406" s="58" t="s">
        <v>93</v>
      </c>
      <c r="R406" s="54"/>
      <c r="S406" s="54"/>
      <c r="T406" s="54"/>
      <c r="U406" s="54"/>
      <c r="V406" s="57">
        <v>0.23</v>
      </c>
      <c r="W406" s="68"/>
      <c r="X406" s="54"/>
      <c r="Y406" s="54"/>
      <c r="Z406" s="54"/>
      <c r="AA406" s="54"/>
      <c r="AB406" s="57"/>
      <c r="AC406" s="54">
        <v>1</v>
      </c>
      <c r="AD406" s="69">
        <f>SUM(AE406:AK406)</f>
        <v>1</v>
      </c>
      <c r="AE406" s="66">
        <v>1</v>
      </c>
      <c r="AF406" s="66"/>
      <c r="AG406" s="66"/>
      <c r="AH406" s="66"/>
      <c r="AI406" s="66"/>
      <c r="AJ406" s="66"/>
      <c r="AK406" s="66"/>
      <c r="AL406" s="54">
        <f>IF((AC406-SUM(AE406:AK406))&lt;0,0,AC406-SUM(AE406:AK406))</f>
        <v>0</v>
      </c>
      <c r="AM406" s="69">
        <f>SUM(AN406:AT406)</f>
        <v>1</v>
      </c>
      <c r="AN406" s="60">
        <v>1</v>
      </c>
      <c r="AO406" s="52"/>
      <c r="AP406" s="52"/>
      <c r="AQ406" s="52"/>
      <c r="AR406" s="52"/>
      <c r="AS406" s="52"/>
      <c r="AT406" s="61"/>
      <c r="AU406" s="66">
        <f>MAX(0,$AM406-$AC406-$AW406)</f>
        <v>0</v>
      </c>
      <c r="AV406" s="66"/>
      <c r="AW406" s="66"/>
      <c r="AX406" s="65">
        <v>0</v>
      </c>
      <c r="AY406" s="65">
        <f>IF(AND($AU406&gt;0,ISNUMBER($AX406)),$AU406*$AX406,0)</f>
        <v>0</v>
      </c>
      <c r="AZ406" s="46"/>
      <c r="BA406" s="52"/>
      <c r="BB406" s="52"/>
      <c r="BC406" s="52"/>
      <c r="BD406" s="52"/>
      <c r="BE406" s="52"/>
      <c r="BF406" s="52"/>
    </row>
    <row r="407" spans="1:58" ht="15" customHeight="1">
      <c r="A407" s="46" t="s">
        <v>2403</v>
      </c>
      <c r="B407" s="53" t="s">
        <v>2404</v>
      </c>
      <c r="C407" s="66" t="s">
        <v>109</v>
      </c>
      <c r="D407" s="67">
        <v>2</v>
      </c>
      <c r="E407" s="53" t="s">
        <v>71</v>
      </c>
      <c r="F407" s="50"/>
      <c r="G407" s="50"/>
      <c r="H407" s="51"/>
      <c r="I407" s="50" t="s">
        <v>2405</v>
      </c>
      <c r="J407" s="54" t="s">
        <v>73</v>
      </c>
      <c r="K407" s="58" t="s">
        <v>135</v>
      </c>
      <c r="L407" s="58" t="s">
        <v>2406</v>
      </c>
      <c r="M407" s="58" t="s">
        <v>2407</v>
      </c>
      <c r="N407" s="58"/>
      <c r="O407" s="54"/>
      <c r="P407" s="56" t="s">
        <v>185</v>
      </c>
      <c r="Q407" s="58" t="s">
        <v>1970</v>
      </c>
      <c r="R407" s="50"/>
      <c r="S407" s="50"/>
      <c r="T407" s="50"/>
      <c r="U407" s="56"/>
      <c r="V407" s="57">
        <v>0.23</v>
      </c>
      <c r="W407" s="68"/>
      <c r="X407" s="50"/>
      <c r="Y407" s="50"/>
      <c r="Z407" s="50"/>
      <c r="AA407" s="56"/>
      <c r="AB407" s="57"/>
      <c r="AC407" s="54">
        <v>1</v>
      </c>
      <c r="AD407" s="69">
        <f>SUM(AE407:AK407)</f>
        <v>1</v>
      </c>
      <c r="AE407" s="66">
        <v>1</v>
      </c>
      <c r="AF407" s="66"/>
      <c r="AG407" s="66"/>
      <c r="AH407" s="66"/>
      <c r="AI407" s="66"/>
      <c r="AJ407" s="66"/>
      <c r="AK407" s="66"/>
      <c r="AL407" s="54">
        <f>IF((AC407-SUM(AE407:AK407))&lt;0,0,AC407-SUM(AE407:AK407))</f>
        <v>0</v>
      </c>
      <c r="AM407" s="69">
        <f>SUM(AN407:AT407)</f>
        <v>1</v>
      </c>
      <c r="AN407" s="60">
        <v>1</v>
      </c>
      <c r="AO407" s="52"/>
      <c r="AP407" s="52"/>
      <c r="AQ407" s="52"/>
      <c r="AR407" s="52"/>
      <c r="AS407" s="52"/>
      <c r="AT407" s="61"/>
      <c r="AU407" s="66">
        <f>MAX(0,$AM407-$AC407-$AW407)</f>
        <v>0</v>
      </c>
      <c r="AV407" s="66"/>
      <c r="AW407" s="66"/>
      <c r="AX407" s="65">
        <v>0</v>
      </c>
      <c r="AY407" s="65">
        <f>IF(AND($AU407&gt;0,ISNUMBER($AX407)),$AU407*$AX407,0)</f>
        <v>0</v>
      </c>
      <c r="AZ407" s="46"/>
      <c r="BA407" s="52"/>
      <c r="BB407" s="52"/>
      <c r="BC407" s="52"/>
      <c r="BD407" s="52"/>
      <c r="BE407" s="52"/>
      <c r="BF407" s="52"/>
    </row>
    <row r="408" spans="1:58" ht="15" customHeight="1">
      <c r="A408" s="46" t="s">
        <v>2408</v>
      </c>
      <c r="B408" s="53" t="s">
        <v>2409</v>
      </c>
      <c r="C408" s="66" t="s">
        <v>109</v>
      </c>
      <c r="D408" s="67">
        <v>5</v>
      </c>
      <c r="E408" s="53" t="s">
        <v>110</v>
      </c>
      <c r="F408" s="50">
        <v>2</v>
      </c>
      <c r="G408" s="50">
        <v>4</v>
      </c>
      <c r="H408" s="51" t="s">
        <v>2410</v>
      </c>
      <c r="I408" s="50" t="s">
        <v>2411</v>
      </c>
      <c r="J408" s="54" t="s">
        <v>73</v>
      </c>
      <c r="K408" s="58" t="s">
        <v>129</v>
      </c>
      <c r="L408" s="58" t="s">
        <v>2412</v>
      </c>
      <c r="M408" s="58" t="s">
        <v>2234</v>
      </c>
      <c r="N408" s="58"/>
      <c r="O408" s="56">
        <v>1836</v>
      </c>
      <c r="P408" s="56" t="s">
        <v>185</v>
      </c>
      <c r="Q408" s="58" t="s">
        <v>1970</v>
      </c>
      <c r="R408" s="54"/>
      <c r="S408" s="54"/>
      <c r="T408" s="54"/>
      <c r="U408" s="54"/>
      <c r="V408" s="57">
        <v>0.23</v>
      </c>
      <c r="W408" s="68"/>
      <c r="X408" s="54"/>
      <c r="Y408" s="54"/>
      <c r="Z408" s="54"/>
      <c r="AA408" s="54"/>
      <c r="AB408" s="57"/>
      <c r="AC408" s="54">
        <v>1</v>
      </c>
      <c r="AD408" s="69">
        <f>SUM(AE408:AK408)</f>
        <v>1</v>
      </c>
      <c r="AE408" s="66">
        <v>1</v>
      </c>
      <c r="AF408" s="66"/>
      <c r="AG408" s="66"/>
      <c r="AH408" s="66"/>
      <c r="AI408" s="66"/>
      <c r="AJ408" s="66"/>
      <c r="AK408" s="66"/>
      <c r="AL408" s="54">
        <f>IF((AC408-SUM(AE408:AK408))&lt;0,0,AC408-SUM(AE408:AK408))</f>
        <v>0</v>
      </c>
      <c r="AM408" s="69">
        <f>SUM(AN408:AT408)</f>
        <v>1</v>
      </c>
      <c r="AN408" s="60">
        <v>1</v>
      </c>
      <c r="AO408" s="52"/>
      <c r="AP408" s="52"/>
      <c r="AQ408" s="52"/>
      <c r="AR408" s="52"/>
      <c r="AS408" s="52"/>
      <c r="AT408" s="61"/>
      <c r="AU408" s="66">
        <f>MAX(0,$AM408-$AC408-$AW408)</f>
        <v>0</v>
      </c>
      <c r="AV408" s="66"/>
      <c r="AW408" s="66"/>
      <c r="AX408" s="65">
        <v>0</v>
      </c>
      <c r="AY408" s="65">
        <f>IF(AND($AU408&gt;0,ISNUMBER($AX408)),$AU408*$AX408,0)</f>
        <v>0</v>
      </c>
      <c r="AZ408" s="52"/>
      <c r="BA408" s="52"/>
      <c r="BB408" s="52"/>
      <c r="BC408" s="52"/>
      <c r="BD408" s="52"/>
      <c r="BE408" s="52"/>
      <c r="BF408" s="52"/>
    </row>
    <row r="409" spans="1:58" ht="15" customHeight="1">
      <c r="A409" s="46" t="s">
        <v>2413</v>
      </c>
      <c r="B409" s="53" t="s">
        <v>2414</v>
      </c>
      <c r="C409" s="66" t="s">
        <v>109</v>
      </c>
      <c r="D409" s="67">
        <v>2</v>
      </c>
      <c r="E409" s="53" t="s">
        <v>384</v>
      </c>
      <c r="F409" s="50"/>
      <c r="G409" s="50"/>
      <c r="H409" s="51"/>
      <c r="I409" s="50" t="s">
        <v>2415</v>
      </c>
      <c r="J409" s="54" t="s">
        <v>73</v>
      </c>
      <c r="K409" s="58" t="s">
        <v>550</v>
      </c>
      <c r="L409" s="58" t="s">
        <v>2416</v>
      </c>
      <c r="M409" s="58" t="s">
        <v>2417</v>
      </c>
      <c r="N409" s="58"/>
      <c r="O409" s="54"/>
      <c r="P409" s="56" t="s">
        <v>185</v>
      </c>
      <c r="Q409" s="58" t="s">
        <v>1970</v>
      </c>
      <c r="R409" s="50"/>
      <c r="S409" s="50"/>
      <c r="T409" s="50"/>
      <c r="U409" s="50"/>
      <c r="V409" s="57">
        <v>0.23</v>
      </c>
      <c r="W409" s="68"/>
      <c r="X409" s="50"/>
      <c r="Y409" s="50"/>
      <c r="Z409" s="50"/>
      <c r="AA409" s="50"/>
      <c r="AB409" s="57"/>
      <c r="AC409" s="54">
        <v>1</v>
      </c>
      <c r="AD409" s="69">
        <f>SUM(AE409:AK409)</f>
        <v>1</v>
      </c>
      <c r="AE409" s="66">
        <v>1</v>
      </c>
      <c r="AF409" s="66"/>
      <c r="AG409" s="66"/>
      <c r="AH409" s="66"/>
      <c r="AI409" s="66"/>
      <c r="AJ409" s="66"/>
      <c r="AK409" s="66"/>
      <c r="AL409" s="54">
        <f>IF((AC409-SUM(AE409:AK409))&lt;0,0,AC409-SUM(AE409:AK409))</f>
        <v>0</v>
      </c>
      <c r="AM409" s="69">
        <f>SUM(AN409:AT409)</f>
        <v>1</v>
      </c>
      <c r="AN409" s="60">
        <v>1</v>
      </c>
      <c r="AO409" s="52"/>
      <c r="AP409" s="52"/>
      <c r="AQ409" s="52"/>
      <c r="AR409" s="52"/>
      <c r="AS409" s="52"/>
      <c r="AT409" s="61"/>
      <c r="AU409" s="66">
        <f>MAX(0,$AM409-$AC409-$AW409)</f>
        <v>0</v>
      </c>
      <c r="AV409" s="66"/>
      <c r="AW409" s="66"/>
      <c r="AX409" s="65">
        <v>0</v>
      </c>
      <c r="AY409" s="65">
        <f>IF(AND($AU409&gt;0,ISNUMBER($AX409)),$AU409*$AX409,0)</f>
        <v>0</v>
      </c>
      <c r="AZ409" s="46"/>
      <c r="BA409" s="52"/>
      <c r="BB409" s="52"/>
      <c r="BC409" s="52"/>
      <c r="BD409" s="52"/>
      <c r="BE409" s="52"/>
      <c r="BF409" s="52"/>
    </row>
    <row r="410" spans="1:58" ht="15" customHeight="1">
      <c r="A410" s="46" t="s">
        <v>2418</v>
      </c>
      <c r="B410" s="53" t="s">
        <v>2419</v>
      </c>
      <c r="C410" s="66" t="s">
        <v>311</v>
      </c>
      <c r="D410" s="67">
        <v>0</v>
      </c>
      <c r="E410" s="53" t="s">
        <v>312</v>
      </c>
      <c r="F410" s="50"/>
      <c r="G410" s="50"/>
      <c r="H410" s="51" t="s">
        <v>2155</v>
      </c>
      <c r="I410" s="50" t="s">
        <v>2420</v>
      </c>
      <c r="J410" s="54" t="s">
        <v>73</v>
      </c>
      <c r="K410" s="58" t="s">
        <v>312</v>
      </c>
      <c r="L410" s="58" t="s">
        <v>746</v>
      </c>
      <c r="M410" s="58" t="s">
        <v>747</v>
      </c>
      <c r="N410" s="58" t="s">
        <v>2421</v>
      </c>
      <c r="O410" s="54"/>
      <c r="P410" s="56" t="s">
        <v>86</v>
      </c>
      <c r="Q410" s="58" t="s">
        <v>263</v>
      </c>
      <c r="R410" s="54"/>
      <c r="S410" s="54"/>
      <c r="T410" s="54"/>
      <c r="U410" s="54"/>
      <c r="V410" s="57">
        <v>0.22</v>
      </c>
      <c r="W410" s="68"/>
      <c r="X410" s="54"/>
      <c r="Y410" s="54"/>
      <c r="Z410" s="54"/>
      <c r="AA410" s="54"/>
      <c r="AB410" s="57"/>
      <c r="AC410" s="54">
        <v>1</v>
      </c>
      <c r="AD410" s="69">
        <f>SUM(AE410:AK410)</f>
        <v>1</v>
      </c>
      <c r="AE410" s="66">
        <v>1</v>
      </c>
      <c r="AF410" s="66"/>
      <c r="AG410" s="66"/>
      <c r="AH410" s="66"/>
      <c r="AI410" s="66"/>
      <c r="AJ410" s="66"/>
      <c r="AK410" s="66"/>
      <c r="AL410" s="54">
        <f>IF((AC410-SUM(AE410:AK410))&lt;0,0,AC410-SUM(AE410:AK410))</f>
        <v>0</v>
      </c>
      <c r="AM410" s="69">
        <f>SUM(AN410:AT410)</f>
        <v>1</v>
      </c>
      <c r="AN410" s="60">
        <v>1</v>
      </c>
      <c r="AO410" s="52"/>
      <c r="AP410" s="52"/>
      <c r="AQ410" s="52"/>
      <c r="AR410" s="52"/>
      <c r="AS410" s="52"/>
      <c r="AT410" s="61"/>
      <c r="AU410" s="66">
        <f>MAX(0,$AM410-$AC410-$AW410)</f>
        <v>0</v>
      </c>
      <c r="AV410" s="66"/>
      <c r="AW410" s="66"/>
      <c r="AX410" s="65">
        <v>0</v>
      </c>
      <c r="AY410" s="65">
        <f>IF(AND($AU410&gt;0,ISNUMBER($AX410)),$AU410*$AX410,0)</f>
        <v>0</v>
      </c>
      <c r="AZ410" s="46"/>
      <c r="BA410" s="52"/>
      <c r="BB410" s="52"/>
      <c r="BC410" s="52"/>
      <c r="BD410" s="52"/>
      <c r="BE410" s="52"/>
      <c r="BF410" s="52"/>
    </row>
    <row r="411" spans="1:58" ht="15" customHeight="1">
      <c r="A411" s="46" t="s">
        <v>2422</v>
      </c>
      <c r="B411" s="47" t="s">
        <v>2423</v>
      </c>
      <c r="C411" s="48" t="s">
        <v>70</v>
      </c>
      <c r="D411" s="49">
        <v>4</v>
      </c>
      <c r="E411" s="47" t="s">
        <v>81</v>
      </c>
      <c r="F411" s="50">
        <v>3</v>
      </c>
      <c r="G411" s="50">
        <v>4</v>
      </c>
      <c r="H411" s="51" t="s">
        <v>2424</v>
      </c>
      <c r="I411" s="50" t="s">
        <v>2425</v>
      </c>
      <c r="J411" s="52" t="s">
        <v>73</v>
      </c>
      <c r="K411" s="47" t="s">
        <v>129</v>
      </c>
      <c r="L411" s="53" t="s">
        <v>2426</v>
      </c>
      <c r="M411" s="53" t="s">
        <v>2427</v>
      </c>
      <c r="N411" s="53"/>
      <c r="O411" s="54"/>
      <c r="P411" s="55" t="s">
        <v>185</v>
      </c>
      <c r="Q411" s="47" t="s">
        <v>645</v>
      </c>
      <c r="R411" s="75" t="s">
        <v>923</v>
      </c>
      <c r="S411" s="75">
        <v>1</v>
      </c>
      <c r="T411" s="75">
        <v>0</v>
      </c>
      <c r="U411" s="56" t="s">
        <v>1742</v>
      </c>
      <c r="V411" s="57">
        <v>0.22</v>
      </c>
      <c r="W411" s="68"/>
      <c r="X411" s="46"/>
      <c r="Y411" s="46"/>
      <c r="Z411" s="46"/>
      <c r="AA411" s="56"/>
      <c r="AB411" s="57"/>
      <c r="AC411" s="54">
        <v>1</v>
      </c>
      <c r="AD411" s="69">
        <f>SUM(AE411:AK411)</f>
        <v>1</v>
      </c>
      <c r="AE411" s="66">
        <v>1</v>
      </c>
      <c r="AF411" s="66"/>
      <c r="AG411" s="66"/>
      <c r="AH411" s="66"/>
      <c r="AI411" s="66"/>
      <c r="AJ411" s="66"/>
      <c r="AK411" s="66"/>
      <c r="AL411" s="54">
        <f>IF((AC411-SUM(AE411:AK411))&lt;0,0,AC411-SUM(AE411:AK411))</f>
        <v>0</v>
      </c>
      <c r="AM411" s="69">
        <f>SUM(AN411:AT411)</f>
        <v>1</v>
      </c>
      <c r="AN411" s="60">
        <v>1</v>
      </c>
      <c r="AO411" s="52"/>
      <c r="AP411" s="52"/>
      <c r="AQ411" s="52"/>
      <c r="AR411" s="52"/>
      <c r="AS411" s="52"/>
      <c r="AT411" s="61"/>
      <c r="AU411" s="66">
        <f>MAX(0,$AM411-$AC411-$AW411)</f>
        <v>0</v>
      </c>
      <c r="AV411" s="48"/>
      <c r="AW411" s="48"/>
      <c r="AX411" s="65">
        <v>0</v>
      </c>
      <c r="AY411" s="65">
        <f>IF(AND($AU411&gt;0,ISNUMBER($AX411)),$AU411*$AX411,0)</f>
        <v>0</v>
      </c>
      <c r="AZ411" s="52"/>
      <c r="BA411" s="52"/>
      <c r="BB411" s="52"/>
      <c r="BC411" s="52"/>
      <c r="BD411" s="52"/>
      <c r="BE411" s="52"/>
      <c r="BF411" s="52"/>
    </row>
    <row r="412" spans="1:58" ht="15" customHeight="1">
      <c r="A412" s="46" t="s">
        <v>2428</v>
      </c>
      <c r="B412" s="53" t="s">
        <v>2429</v>
      </c>
      <c r="C412" s="66" t="s">
        <v>70</v>
      </c>
      <c r="D412" s="67">
        <v>4</v>
      </c>
      <c r="E412" s="53" t="s">
        <v>233</v>
      </c>
      <c r="F412" s="50"/>
      <c r="G412" s="50"/>
      <c r="H412" s="51"/>
      <c r="I412" s="50" t="s">
        <v>2430</v>
      </c>
      <c r="J412" s="54" t="s">
        <v>73</v>
      </c>
      <c r="K412" s="53" t="s">
        <v>152</v>
      </c>
      <c r="L412" s="53" t="s">
        <v>2431</v>
      </c>
      <c r="M412" s="53"/>
      <c r="N412" s="53"/>
      <c r="O412" s="54"/>
      <c r="P412" s="56" t="s">
        <v>86</v>
      </c>
      <c r="Q412" s="53" t="s">
        <v>633</v>
      </c>
      <c r="R412" s="50"/>
      <c r="S412" s="50"/>
      <c r="T412" s="50"/>
      <c r="U412" s="56"/>
      <c r="V412" s="57">
        <v>0.21</v>
      </c>
      <c r="W412" s="68"/>
      <c r="X412" s="50"/>
      <c r="Y412" s="50"/>
      <c r="Z412" s="50"/>
      <c r="AA412" s="56"/>
      <c r="AB412" s="57"/>
      <c r="AC412" s="54">
        <v>1</v>
      </c>
      <c r="AD412" s="69">
        <f>SUM(AE412:AK412)</f>
        <v>1</v>
      </c>
      <c r="AE412" s="66">
        <v>1</v>
      </c>
      <c r="AF412" s="66"/>
      <c r="AG412" s="66"/>
      <c r="AH412" s="66"/>
      <c r="AI412" s="66"/>
      <c r="AJ412" s="66"/>
      <c r="AK412" s="66"/>
      <c r="AL412" s="54">
        <f>IF((AC412-SUM(AE412:AK412))&lt;0,0,AC412-SUM(AE412:AK412))</f>
        <v>0</v>
      </c>
      <c r="AM412" s="69">
        <f>SUM(AN412:AT412)</f>
        <v>1</v>
      </c>
      <c r="AN412" s="60">
        <v>1</v>
      </c>
      <c r="AO412" s="52"/>
      <c r="AP412" s="52"/>
      <c r="AQ412" s="52"/>
      <c r="AR412" s="52"/>
      <c r="AS412" s="52"/>
      <c r="AT412" s="61"/>
      <c r="AU412" s="66">
        <f>MAX(0,$AM412-$AC412-$AW412)</f>
        <v>0</v>
      </c>
      <c r="AV412" s="66"/>
      <c r="AW412" s="66"/>
      <c r="AX412" s="65">
        <v>0</v>
      </c>
      <c r="AY412" s="65">
        <f>IF(AND($AU412&gt;0,ISNUMBER($AX412)),$AU412*$AX412,0)</f>
        <v>0</v>
      </c>
      <c r="AZ412" s="46"/>
      <c r="BA412" s="52"/>
      <c r="BB412" s="52"/>
      <c r="BC412" s="52"/>
      <c r="BD412" s="52"/>
      <c r="BE412" s="52"/>
      <c r="BF412" s="52"/>
    </row>
    <row r="413" spans="1:58" ht="15" customHeight="1">
      <c r="A413" s="46" t="s">
        <v>2432</v>
      </c>
      <c r="B413" s="53" t="s">
        <v>2433</v>
      </c>
      <c r="C413" s="66" t="s">
        <v>70</v>
      </c>
      <c r="D413" s="67">
        <v>2</v>
      </c>
      <c r="E413" s="53" t="s">
        <v>71</v>
      </c>
      <c r="F413" s="50"/>
      <c r="G413" s="50"/>
      <c r="H413" s="51"/>
      <c r="I413" s="50" t="s">
        <v>2434</v>
      </c>
      <c r="J413" s="54" t="s">
        <v>73</v>
      </c>
      <c r="K413" s="58" t="s">
        <v>1099</v>
      </c>
      <c r="L413" s="58" t="s">
        <v>2435</v>
      </c>
      <c r="M413" s="58"/>
      <c r="N413" s="58"/>
      <c r="O413" s="54"/>
      <c r="P413" s="56" t="s">
        <v>76</v>
      </c>
      <c r="Q413" s="58" t="s">
        <v>2192</v>
      </c>
      <c r="R413" s="50"/>
      <c r="S413" s="50"/>
      <c r="T413" s="50"/>
      <c r="U413" s="50"/>
      <c r="V413" s="57">
        <v>0.2</v>
      </c>
      <c r="W413" s="68"/>
      <c r="X413" s="50"/>
      <c r="Y413" s="50"/>
      <c r="Z413" s="50"/>
      <c r="AA413" s="50"/>
      <c r="AB413" s="57"/>
      <c r="AC413" s="54">
        <v>1</v>
      </c>
      <c r="AD413" s="69">
        <f>SUM(AE413:AK413)</f>
        <v>1</v>
      </c>
      <c r="AE413" s="66">
        <v>1</v>
      </c>
      <c r="AF413" s="66"/>
      <c r="AG413" s="66"/>
      <c r="AH413" s="66"/>
      <c r="AI413" s="66"/>
      <c r="AJ413" s="66"/>
      <c r="AK413" s="66"/>
      <c r="AL413" s="54">
        <f>IF((AC413-SUM(AE413:AK413))&lt;0,0,AC413-SUM(AE413:AK413))</f>
        <v>0</v>
      </c>
      <c r="AM413" s="69">
        <f>SUM(AN413:AT413)</f>
        <v>1</v>
      </c>
      <c r="AN413" s="60">
        <v>1</v>
      </c>
      <c r="AO413" s="52"/>
      <c r="AP413" s="52"/>
      <c r="AQ413" s="52"/>
      <c r="AR413" s="52"/>
      <c r="AS413" s="52"/>
      <c r="AT413" s="61"/>
      <c r="AU413" s="66">
        <f>MAX(0,$AM413-$AC413-$AW413)</f>
        <v>0</v>
      </c>
      <c r="AV413" s="66"/>
      <c r="AW413" s="66"/>
      <c r="AX413" s="65">
        <v>0</v>
      </c>
      <c r="AY413" s="65">
        <f>IF(AND($AU413&gt;0,ISNUMBER($AX413)),$AU413*$AX413,0)</f>
        <v>0</v>
      </c>
      <c r="AZ413" s="46"/>
      <c r="BA413" s="52"/>
      <c r="BB413" s="52"/>
      <c r="BC413" s="52"/>
      <c r="BD413" s="52"/>
      <c r="BE413" s="52"/>
      <c r="BF413" s="52"/>
    </row>
    <row r="414" spans="1:58" ht="15" customHeight="1">
      <c r="A414" s="46" t="s">
        <v>2436</v>
      </c>
      <c r="B414" s="53" t="s">
        <v>2437</v>
      </c>
      <c r="C414" s="66" t="s">
        <v>70</v>
      </c>
      <c r="D414" s="67">
        <v>2</v>
      </c>
      <c r="E414" s="53" t="s">
        <v>81</v>
      </c>
      <c r="F414" s="50">
        <v>2</v>
      </c>
      <c r="G414" s="50">
        <v>1</v>
      </c>
      <c r="H414" s="51" t="s">
        <v>2438</v>
      </c>
      <c r="I414" s="50" t="s">
        <v>2439</v>
      </c>
      <c r="J414" s="54" t="s">
        <v>73</v>
      </c>
      <c r="K414" s="58" t="s">
        <v>550</v>
      </c>
      <c r="L414" s="58" t="s">
        <v>2170</v>
      </c>
      <c r="M414" s="58" t="s">
        <v>2440</v>
      </c>
      <c r="N414" s="58"/>
      <c r="O414" s="54"/>
      <c r="P414" s="56" t="s">
        <v>86</v>
      </c>
      <c r="Q414" s="58" t="s">
        <v>93</v>
      </c>
      <c r="R414" s="50"/>
      <c r="S414" s="50"/>
      <c r="T414" s="50"/>
      <c r="U414" s="56"/>
      <c r="V414" s="57">
        <v>0.2</v>
      </c>
      <c r="W414" s="68"/>
      <c r="X414" s="50"/>
      <c r="Y414" s="50"/>
      <c r="Z414" s="50"/>
      <c r="AA414" s="56"/>
      <c r="AB414" s="57"/>
      <c r="AC414" s="54">
        <v>1</v>
      </c>
      <c r="AD414" s="69">
        <f>SUM(AE414:AK414)</f>
        <v>1</v>
      </c>
      <c r="AE414" s="66">
        <v>1</v>
      </c>
      <c r="AF414" s="66"/>
      <c r="AG414" s="66"/>
      <c r="AH414" s="66"/>
      <c r="AI414" s="66"/>
      <c r="AJ414" s="66"/>
      <c r="AK414" s="66"/>
      <c r="AL414" s="54">
        <f>IF((AC414-SUM(AE414:AK414))&lt;0,0,AC414-SUM(AE414:AK414))</f>
        <v>0</v>
      </c>
      <c r="AM414" s="69">
        <f>SUM(AN414:AT414)</f>
        <v>1</v>
      </c>
      <c r="AN414" s="60">
        <v>1</v>
      </c>
      <c r="AO414" s="52"/>
      <c r="AP414" s="52"/>
      <c r="AQ414" s="52"/>
      <c r="AR414" s="52"/>
      <c r="AS414" s="52"/>
      <c r="AT414" s="61"/>
      <c r="AU414" s="66">
        <f>MAX(0,$AM414-$AC414-$AW414)</f>
        <v>0</v>
      </c>
      <c r="AV414" s="66"/>
      <c r="AW414" s="66"/>
      <c r="AX414" s="65">
        <v>0</v>
      </c>
      <c r="AY414" s="65">
        <f>IF(AND($AU414&gt;0,ISNUMBER($AX414)),$AU414*$AX414,0)</f>
        <v>0</v>
      </c>
      <c r="AZ414" s="46"/>
      <c r="BA414" s="52"/>
      <c r="BB414" s="52"/>
      <c r="BC414" s="52"/>
      <c r="BD414" s="52"/>
      <c r="BE414" s="52"/>
      <c r="BF414" s="52"/>
    </row>
    <row r="415" spans="1:58" ht="15" customHeight="1">
      <c r="A415" s="46" t="s">
        <v>2441</v>
      </c>
      <c r="B415" s="53" t="s">
        <v>2442</v>
      </c>
      <c r="C415" s="66" t="s">
        <v>109</v>
      </c>
      <c r="D415" s="67">
        <v>4</v>
      </c>
      <c r="E415" s="53" t="s">
        <v>71</v>
      </c>
      <c r="F415" s="50"/>
      <c r="G415" s="50"/>
      <c r="H415" s="51"/>
      <c r="I415" s="50" t="s">
        <v>2443</v>
      </c>
      <c r="J415" s="54" t="s">
        <v>73</v>
      </c>
      <c r="K415" s="58" t="s">
        <v>474</v>
      </c>
      <c r="L415" s="58" t="s">
        <v>2444</v>
      </c>
      <c r="M415" s="58" t="s">
        <v>2445</v>
      </c>
      <c r="N415" s="58"/>
      <c r="O415" s="54"/>
      <c r="P415" s="56" t="s">
        <v>185</v>
      </c>
      <c r="Q415" s="58" t="s">
        <v>1970</v>
      </c>
      <c r="R415" s="50"/>
      <c r="S415" s="50"/>
      <c r="T415" s="50"/>
      <c r="U415" s="50"/>
      <c r="V415" s="57">
        <v>0.19</v>
      </c>
      <c r="W415" s="68"/>
      <c r="X415" s="50"/>
      <c r="Y415" s="50"/>
      <c r="Z415" s="50"/>
      <c r="AA415" s="50"/>
      <c r="AB415" s="57"/>
      <c r="AC415" s="54">
        <v>1</v>
      </c>
      <c r="AD415" s="69">
        <f>SUM(AE415:AK415)</f>
        <v>1</v>
      </c>
      <c r="AE415" s="66">
        <v>1</v>
      </c>
      <c r="AF415" s="66"/>
      <c r="AG415" s="66"/>
      <c r="AH415" s="66"/>
      <c r="AI415" s="66"/>
      <c r="AJ415" s="66"/>
      <c r="AK415" s="66"/>
      <c r="AL415" s="54">
        <f>IF((AC415-SUM(AE415:AK415))&lt;0,0,AC415-SUM(AE415:AK415))</f>
        <v>0</v>
      </c>
      <c r="AM415" s="69">
        <f>SUM(AN415:AT415)</f>
        <v>1</v>
      </c>
      <c r="AN415" s="60">
        <v>1</v>
      </c>
      <c r="AO415" s="52"/>
      <c r="AP415" s="52"/>
      <c r="AQ415" s="52"/>
      <c r="AR415" s="52"/>
      <c r="AS415" s="52"/>
      <c r="AT415" s="61"/>
      <c r="AU415" s="66">
        <f>MAX(0,$AM415-$AC415-$AW415)</f>
        <v>0</v>
      </c>
      <c r="AV415" s="66"/>
      <c r="AW415" s="66"/>
      <c r="AX415" s="65">
        <v>0</v>
      </c>
      <c r="AY415" s="65">
        <f>IF(AND($AU415&gt;0,ISNUMBER($AX415)),$AU415*$AX415,0)</f>
        <v>0</v>
      </c>
      <c r="AZ415" s="52"/>
      <c r="BA415" s="52"/>
      <c r="BB415" s="52"/>
      <c r="BC415" s="52"/>
      <c r="BD415" s="52"/>
      <c r="BE415" s="52"/>
      <c r="BF415" s="52"/>
    </row>
    <row r="416" spans="1:58" ht="15" customHeight="1">
      <c r="A416" s="46" t="s">
        <v>2446</v>
      </c>
      <c r="B416" s="53" t="s">
        <v>2447</v>
      </c>
      <c r="C416" s="66" t="s">
        <v>118</v>
      </c>
      <c r="D416" s="67">
        <v>5</v>
      </c>
      <c r="E416" s="53" t="s">
        <v>384</v>
      </c>
      <c r="F416" s="50"/>
      <c r="G416" s="50"/>
      <c r="H416" s="51"/>
      <c r="I416" s="50" t="s">
        <v>2448</v>
      </c>
      <c r="J416" s="54" t="s">
        <v>73</v>
      </c>
      <c r="K416" s="58" t="s">
        <v>474</v>
      </c>
      <c r="L416" s="58" t="s">
        <v>2449</v>
      </c>
      <c r="M416" s="58" t="s">
        <v>2450</v>
      </c>
      <c r="N416" s="58"/>
      <c r="O416" s="54"/>
      <c r="P416" s="56" t="s">
        <v>185</v>
      </c>
      <c r="Q416" s="58" t="s">
        <v>645</v>
      </c>
      <c r="R416" s="54"/>
      <c r="S416" s="54"/>
      <c r="T416" s="54"/>
      <c r="U416" s="54"/>
      <c r="V416" s="57">
        <v>0.19</v>
      </c>
      <c r="W416" s="68"/>
      <c r="X416" s="54"/>
      <c r="Y416" s="54"/>
      <c r="Z416" s="54"/>
      <c r="AA416" s="54"/>
      <c r="AB416" s="57"/>
      <c r="AC416" s="54">
        <v>1</v>
      </c>
      <c r="AD416" s="69">
        <f>SUM(AE416:AK416)</f>
        <v>1</v>
      </c>
      <c r="AE416" s="66">
        <v>1</v>
      </c>
      <c r="AF416" s="66"/>
      <c r="AG416" s="66"/>
      <c r="AH416" s="66"/>
      <c r="AI416" s="66"/>
      <c r="AJ416" s="66"/>
      <c r="AK416" s="66"/>
      <c r="AL416" s="54">
        <f>IF((AC416-SUM(AE416:AK416))&lt;0,0,AC416-SUM(AE416:AK416))</f>
        <v>0</v>
      </c>
      <c r="AM416" s="69">
        <f>SUM(AN416:AT416)</f>
        <v>1</v>
      </c>
      <c r="AN416" s="60">
        <v>1</v>
      </c>
      <c r="AO416" s="52"/>
      <c r="AP416" s="52"/>
      <c r="AQ416" s="52"/>
      <c r="AR416" s="52"/>
      <c r="AS416" s="52"/>
      <c r="AT416" s="61"/>
      <c r="AU416" s="66">
        <f>MAX(0,$AM416-$AC416-$AW416)</f>
        <v>0</v>
      </c>
      <c r="AV416" s="66"/>
      <c r="AW416" s="66"/>
      <c r="AX416" s="65">
        <v>0</v>
      </c>
      <c r="AY416" s="65">
        <f>IF(AND($AU416&gt;0,ISNUMBER($AX416)),$AU416*$AX416,0)</f>
        <v>0</v>
      </c>
      <c r="AZ416" s="52"/>
      <c r="BA416" s="52"/>
      <c r="BB416" s="52"/>
      <c r="BC416" s="52"/>
      <c r="BD416" s="52"/>
      <c r="BE416" s="52"/>
      <c r="BF416" s="52"/>
    </row>
    <row r="417" spans="1:58" ht="15" customHeight="1">
      <c r="A417" s="46" t="s">
        <v>2451</v>
      </c>
      <c r="B417" s="53" t="s">
        <v>2452</v>
      </c>
      <c r="C417" s="66" t="s">
        <v>109</v>
      </c>
      <c r="D417" s="67">
        <v>5</v>
      </c>
      <c r="E417" s="53" t="s">
        <v>110</v>
      </c>
      <c r="F417" s="50">
        <v>3</v>
      </c>
      <c r="G417" s="50">
        <v>5</v>
      </c>
      <c r="H417" s="51" t="s">
        <v>2410</v>
      </c>
      <c r="I417" s="50" t="s">
        <v>2453</v>
      </c>
      <c r="J417" s="54" t="s">
        <v>73</v>
      </c>
      <c r="K417" s="58" t="s">
        <v>1163</v>
      </c>
      <c r="L417" s="58" t="s">
        <v>2454</v>
      </c>
      <c r="M417" s="58" t="s">
        <v>2455</v>
      </c>
      <c r="N417" s="58" t="s">
        <v>2456</v>
      </c>
      <c r="O417" s="56">
        <v>1294</v>
      </c>
      <c r="P417" s="56" t="s">
        <v>86</v>
      </c>
      <c r="Q417" s="58" t="s">
        <v>324</v>
      </c>
      <c r="R417" s="54"/>
      <c r="S417" s="54"/>
      <c r="T417" s="54"/>
      <c r="U417" s="54"/>
      <c r="V417" s="57">
        <v>0.17</v>
      </c>
      <c r="W417" s="68"/>
      <c r="X417" s="54"/>
      <c r="Y417" s="54"/>
      <c r="Z417" s="54"/>
      <c r="AA417" s="54"/>
      <c r="AB417" s="57"/>
      <c r="AC417" s="54">
        <v>1</v>
      </c>
      <c r="AD417" s="69">
        <f>SUM(AE417:AK417)</f>
        <v>1</v>
      </c>
      <c r="AE417" s="66">
        <v>1</v>
      </c>
      <c r="AF417" s="66"/>
      <c r="AG417" s="66"/>
      <c r="AH417" s="66"/>
      <c r="AI417" s="66"/>
      <c r="AJ417" s="66"/>
      <c r="AK417" s="66"/>
      <c r="AL417" s="54">
        <f>IF((AC417-SUM(AE417:AK417))&lt;0,0,AC417-SUM(AE417:AK417))</f>
        <v>0</v>
      </c>
      <c r="AM417" s="69">
        <f>SUM(AN417:AT417)</f>
        <v>1</v>
      </c>
      <c r="AN417" s="60">
        <v>1</v>
      </c>
      <c r="AO417" s="52"/>
      <c r="AP417" s="52"/>
      <c r="AQ417" s="52"/>
      <c r="AR417" s="52"/>
      <c r="AS417" s="52"/>
      <c r="AT417" s="61"/>
      <c r="AU417" s="66">
        <f>MAX(0,$AM417-$AC417-$AW417)</f>
        <v>0</v>
      </c>
      <c r="AV417" s="66"/>
      <c r="AW417" s="66"/>
      <c r="AX417" s="65">
        <v>0</v>
      </c>
      <c r="AY417" s="65">
        <f>IF(AND($AU417&gt;0,ISNUMBER($AX417)),$AU417*$AX417,0)</f>
        <v>0</v>
      </c>
      <c r="AZ417" s="46"/>
      <c r="BA417" s="52"/>
      <c r="BB417" s="52"/>
      <c r="BC417" s="52"/>
      <c r="BD417" s="52"/>
      <c r="BE417" s="52"/>
      <c r="BF417" s="52"/>
    </row>
    <row r="418" spans="1:58" ht="15" customHeight="1">
      <c r="A418" s="46" t="s">
        <v>2457</v>
      </c>
      <c r="B418" s="53" t="s">
        <v>2458</v>
      </c>
      <c r="C418" s="66" t="s">
        <v>311</v>
      </c>
      <c r="D418" s="67">
        <v>0</v>
      </c>
      <c r="E418" s="53" t="s">
        <v>312</v>
      </c>
      <c r="F418" s="50"/>
      <c r="G418" s="50"/>
      <c r="H418" s="51"/>
      <c r="I418" s="50" t="s">
        <v>2459</v>
      </c>
      <c r="J418" s="54" t="s">
        <v>73</v>
      </c>
      <c r="K418" s="58" t="s">
        <v>312</v>
      </c>
      <c r="L418" s="58" t="s">
        <v>746</v>
      </c>
      <c r="M418" s="58" t="s">
        <v>747</v>
      </c>
      <c r="N418" s="58"/>
      <c r="O418" s="54"/>
      <c r="P418" s="56" t="s">
        <v>185</v>
      </c>
      <c r="Q418" s="58" t="s">
        <v>1924</v>
      </c>
      <c r="R418" s="50"/>
      <c r="S418" s="50"/>
      <c r="T418" s="50"/>
      <c r="U418" s="50"/>
      <c r="V418" s="57">
        <v>0.17</v>
      </c>
      <c r="W418" s="68"/>
      <c r="X418" s="50"/>
      <c r="Y418" s="50"/>
      <c r="Z418" s="50"/>
      <c r="AA418" s="50"/>
      <c r="AB418" s="57"/>
      <c r="AC418" s="54">
        <v>1</v>
      </c>
      <c r="AD418" s="69">
        <f>SUM(AE418:AK418)</f>
        <v>1</v>
      </c>
      <c r="AE418" s="66">
        <v>1</v>
      </c>
      <c r="AF418" s="66"/>
      <c r="AG418" s="66"/>
      <c r="AH418" s="66"/>
      <c r="AI418" s="66"/>
      <c r="AJ418" s="66"/>
      <c r="AK418" s="66"/>
      <c r="AL418" s="54">
        <f>IF((AC418-SUM(AE418:AK418))&lt;0,0,AC418-SUM(AE418:AK418))</f>
        <v>0</v>
      </c>
      <c r="AM418" s="69">
        <f>SUM(AN418:AT418)</f>
        <v>1</v>
      </c>
      <c r="AN418" s="60">
        <v>1</v>
      </c>
      <c r="AO418" s="52"/>
      <c r="AP418" s="52"/>
      <c r="AQ418" s="52"/>
      <c r="AR418" s="52"/>
      <c r="AS418" s="52"/>
      <c r="AT418" s="61"/>
      <c r="AU418" s="66">
        <f>MAX(0,$AM418-$AC418-$AW418)</f>
        <v>0</v>
      </c>
      <c r="AV418" s="66"/>
      <c r="AW418" s="66"/>
      <c r="AX418" s="65">
        <v>0</v>
      </c>
      <c r="AY418" s="65">
        <f>IF(AND($AU418&gt;0,ISNUMBER($AX418)),$AU418*$AX418,0)</f>
        <v>0</v>
      </c>
      <c r="AZ418" s="46"/>
      <c r="BA418" s="52"/>
      <c r="BB418" s="52"/>
      <c r="BC418" s="52"/>
      <c r="BD418" s="52"/>
      <c r="BE418" s="52"/>
      <c r="BF418" s="52"/>
    </row>
    <row r="419" spans="1:58" ht="15" customHeight="1">
      <c r="A419" s="46" t="s">
        <v>2460</v>
      </c>
      <c r="B419" s="53" t="s">
        <v>2461</v>
      </c>
      <c r="C419" s="66" t="s">
        <v>311</v>
      </c>
      <c r="D419" s="67">
        <v>0</v>
      </c>
      <c r="E419" s="53" t="s">
        <v>312</v>
      </c>
      <c r="F419" s="50"/>
      <c r="G419" s="50"/>
      <c r="H419" s="51"/>
      <c r="I419" s="50" t="s">
        <v>2462</v>
      </c>
      <c r="J419" s="54" t="s">
        <v>73</v>
      </c>
      <c r="K419" s="58" t="s">
        <v>312</v>
      </c>
      <c r="L419" s="58" t="s">
        <v>746</v>
      </c>
      <c r="M419" s="58" t="s">
        <v>747</v>
      </c>
      <c r="N419" s="58" t="s">
        <v>1452</v>
      </c>
      <c r="O419" s="54"/>
      <c r="P419" s="56" t="s">
        <v>76</v>
      </c>
      <c r="Q419" s="58" t="s">
        <v>1030</v>
      </c>
      <c r="R419" s="50"/>
      <c r="S419" s="50"/>
      <c r="T419" s="50"/>
      <c r="U419" s="50"/>
      <c r="V419" s="57">
        <v>0.17</v>
      </c>
      <c r="W419" s="68"/>
      <c r="X419" s="50"/>
      <c r="Y419" s="50"/>
      <c r="Z419" s="50"/>
      <c r="AA419" s="50"/>
      <c r="AB419" s="57"/>
      <c r="AC419" s="54">
        <v>1</v>
      </c>
      <c r="AD419" s="69">
        <f>SUM(AE419:AK419)</f>
        <v>1</v>
      </c>
      <c r="AE419" s="66">
        <v>1</v>
      </c>
      <c r="AF419" s="66"/>
      <c r="AG419" s="66"/>
      <c r="AH419" s="66"/>
      <c r="AI419" s="66"/>
      <c r="AJ419" s="66"/>
      <c r="AK419" s="66"/>
      <c r="AL419" s="54">
        <f>IF((AC419-SUM(AE419:AK419))&lt;0,0,AC419-SUM(AE419:AK419))</f>
        <v>0</v>
      </c>
      <c r="AM419" s="69">
        <f>SUM(AN419:AT419)</f>
        <v>1</v>
      </c>
      <c r="AN419" s="60">
        <v>1</v>
      </c>
      <c r="AO419" s="52"/>
      <c r="AP419" s="52"/>
      <c r="AQ419" s="52"/>
      <c r="AR419" s="52"/>
      <c r="AS419" s="52"/>
      <c r="AT419" s="61"/>
      <c r="AU419" s="66">
        <f>MAX(0,$AM419-$AC419-$AW419)</f>
        <v>0</v>
      </c>
      <c r="AV419" s="66"/>
      <c r="AW419" s="66"/>
      <c r="AX419" s="65">
        <v>0</v>
      </c>
      <c r="AY419" s="65">
        <f>IF(AND($AU419&gt;0,ISNUMBER($AX419)),$AU419*$AX419,0)</f>
        <v>0</v>
      </c>
      <c r="AZ419" s="46"/>
      <c r="BA419" s="52"/>
      <c r="BB419" s="52"/>
      <c r="BC419" s="52"/>
      <c r="BD419" s="52"/>
      <c r="BE419" s="52"/>
      <c r="BF419" s="52"/>
    </row>
    <row r="420" spans="1:58" ht="15" customHeight="1">
      <c r="A420" s="46" t="s">
        <v>2463</v>
      </c>
      <c r="B420" s="47" t="s">
        <v>2464</v>
      </c>
      <c r="C420" s="48" t="s">
        <v>70</v>
      </c>
      <c r="D420" s="49">
        <v>3</v>
      </c>
      <c r="E420" s="47" t="s">
        <v>81</v>
      </c>
      <c r="F420" s="50">
        <v>1</v>
      </c>
      <c r="G420" s="50">
        <v>4</v>
      </c>
      <c r="H420" s="51" t="s">
        <v>2465</v>
      </c>
      <c r="I420" s="50" t="s">
        <v>2466</v>
      </c>
      <c r="J420" s="52" t="s">
        <v>73</v>
      </c>
      <c r="K420" s="47" t="s">
        <v>386</v>
      </c>
      <c r="L420" s="53" t="s">
        <v>2467</v>
      </c>
      <c r="M420" s="53" t="s">
        <v>2468</v>
      </c>
      <c r="N420" s="53"/>
      <c r="O420" s="54"/>
      <c r="P420" s="55" t="s">
        <v>76</v>
      </c>
      <c r="Q420" s="47" t="s">
        <v>645</v>
      </c>
      <c r="R420" s="75" t="s">
        <v>2469</v>
      </c>
      <c r="S420" s="75">
        <v>1</v>
      </c>
      <c r="T420" s="75">
        <v>0</v>
      </c>
      <c r="U420" s="56" t="s">
        <v>2470</v>
      </c>
      <c r="V420" s="57">
        <v>0.16</v>
      </c>
      <c r="W420" s="68"/>
      <c r="X420" s="46"/>
      <c r="Y420" s="46"/>
      <c r="Z420" s="46"/>
      <c r="AA420" s="56"/>
      <c r="AB420" s="57"/>
      <c r="AC420" s="54">
        <v>1</v>
      </c>
      <c r="AD420" s="69">
        <f>SUM(AE420:AK420)</f>
        <v>1</v>
      </c>
      <c r="AE420" s="66">
        <v>1</v>
      </c>
      <c r="AF420" s="66"/>
      <c r="AG420" s="66"/>
      <c r="AH420" s="66"/>
      <c r="AI420" s="66"/>
      <c r="AJ420" s="66"/>
      <c r="AK420" s="66"/>
      <c r="AL420" s="54">
        <f>IF((AC420-SUM(AE420:AK420))&lt;0,0,AC420-SUM(AE420:AK420))</f>
        <v>0</v>
      </c>
      <c r="AM420" s="69">
        <f>SUM(AN420:AT420)</f>
        <v>1</v>
      </c>
      <c r="AN420" s="60">
        <v>1</v>
      </c>
      <c r="AO420" s="52"/>
      <c r="AP420" s="52"/>
      <c r="AQ420" s="52"/>
      <c r="AR420" s="52"/>
      <c r="AS420" s="52"/>
      <c r="AT420" s="61"/>
      <c r="AU420" s="66">
        <f>MAX(0,$AM420-$AC420-$AW420)</f>
        <v>0</v>
      </c>
      <c r="AV420" s="48"/>
      <c r="AW420" s="48"/>
      <c r="AX420" s="65">
        <v>0</v>
      </c>
      <c r="AY420" s="65">
        <f>IF(AND($AU420&gt;0,ISNUMBER($AX420)),$AU420*$AX420,0)</f>
        <v>0</v>
      </c>
      <c r="AZ420" s="52"/>
      <c r="BA420" s="52"/>
      <c r="BB420" s="52"/>
      <c r="BC420" s="52"/>
      <c r="BD420" s="52"/>
      <c r="BE420" s="52"/>
      <c r="BF420" s="52"/>
    </row>
    <row r="421" spans="1:58" ht="15" customHeight="1">
      <c r="A421" s="46" t="s">
        <v>2471</v>
      </c>
      <c r="B421" s="53" t="s">
        <v>2472</v>
      </c>
      <c r="C421" s="66" t="s">
        <v>232</v>
      </c>
      <c r="D421" s="67">
        <v>2</v>
      </c>
      <c r="E421" s="53" t="s">
        <v>233</v>
      </c>
      <c r="F421" s="50">
        <v>3</v>
      </c>
      <c r="G421" s="50">
        <v>3</v>
      </c>
      <c r="H421" s="51" t="s">
        <v>2473</v>
      </c>
      <c r="I421" s="50" t="s">
        <v>2474</v>
      </c>
      <c r="J421" s="54" t="s">
        <v>196</v>
      </c>
      <c r="K421" s="58" t="s">
        <v>1099</v>
      </c>
      <c r="L421" s="58" t="s">
        <v>2475</v>
      </c>
      <c r="M421" s="58" t="s">
        <v>2476</v>
      </c>
      <c r="N421" s="58"/>
      <c r="O421" s="54"/>
      <c r="P421" s="56" t="s">
        <v>86</v>
      </c>
      <c r="Q421" s="58" t="s">
        <v>2192</v>
      </c>
      <c r="R421" s="50"/>
      <c r="S421" s="50"/>
      <c r="T421" s="50"/>
      <c r="U421" s="50"/>
      <c r="V421" s="57">
        <v>1.67</v>
      </c>
      <c r="W421" s="68"/>
      <c r="X421" s="50"/>
      <c r="Y421" s="50"/>
      <c r="Z421" s="50"/>
      <c r="AA421" s="50"/>
      <c r="AB421" s="57"/>
      <c r="AC421" s="54">
        <v>1</v>
      </c>
      <c r="AD421" s="69">
        <f>SUM(AE421:AK421)</f>
        <v>0</v>
      </c>
      <c r="AE421" s="66"/>
      <c r="AF421" s="66"/>
      <c r="AG421" s="66"/>
      <c r="AH421" s="66"/>
      <c r="AI421" s="66"/>
      <c r="AJ421" s="66"/>
      <c r="AK421" s="66"/>
      <c r="AL421" s="54">
        <f>IF((AC421-SUM(AE421:AK421))&lt;0,0,AC421-SUM(AE421:AK421))</f>
        <v>1</v>
      </c>
      <c r="AM421" s="69">
        <f>SUM(AN421:AT421)</f>
        <v>1</v>
      </c>
      <c r="AN421" s="60">
        <v>1</v>
      </c>
      <c r="AO421" s="52"/>
      <c r="AP421" s="52"/>
      <c r="AQ421" s="52"/>
      <c r="AR421" s="52"/>
      <c r="AS421" s="52"/>
      <c r="AT421" s="61"/>
      <c r="AU421" s="66">
        <f>MAX(0,$AM421-$AC421-$AW421)</f>
        <v>0</v>
      </c>
      <c r="AV421" s="66"/>
      <c r="AW421" s="66"/>
      <c r="AX421" s="65">
        <v>0</v>
      </c>
      <c r="AY421" s="65">
        <f>IF(AND($AU421&gt;0,ISNUMBER($AX421)),$AU421*$AX421,0)</f>
        <v>0</v>
      </c>
      <c r="AZ421" s="46"/>
      <c r="BA421" s="52"/>
      <c r="BB421" s="52"/>
      <c r="BC421" s="52"/>
      <c r="BD421" s="52"/>
      <c r="BE421" s="52"/>
      <c r="BF421" s="52"/>
    </row>
    <row r="422" spans="1:58" ht="15" customHeight="1">
      <c r="A422" s="46" t="s">
        <v>2477</v>
      </c>
      <c r="B422" s="53" t="s">
        <v>2478</v>
      </c>
      <c r="C422" s="66" t="s">
        <v>70</v>
      </c>
      <c r="D422" s="67">
        <v>2</v>
      </c>
      <c r="E422" s="53" t="s">
        <v>189</v>
      </c>
      <c r="F422" s="50"/>
      <c r="G422" s="50"/>
      <c r="H422" s="51"/>
      <c r="I422" s="50" t="s">
        <v>2479</v>
      </c>
      <c r="J422" s="54" t="s">
        <v>73</v>
      </c>
      <c r="K422" s="58" t="s">
        <v>92</v>
      </c>
      <c r="L422" s="58" t="s">
        <v>2480</v>
      </c>
      <c r="M422" s="58" t="s">
        <v>403</v>
      </c>
      <c r="N422" s="58"/>
      <c r="O422" s="54"/>
      <c r="P422" s="56" t="s">
        <v>76</v>
      </c>
      <c r="Q422" s="58" t="s">
        <v>229</v>
      </c>
      <c r="R422" s="50"/>
      <c r="S422" s="50"/>
      <c r="T422" s="50"/>
      <c r="U422" s="50"/>
      <c r="V422" s="57">
        <v>0.36</v>
      </c>
      <c r="W422" s="68"/>
      <c r="X422" s="50"/>
      <c r="Y422" s="50"/>
      <c r="Z422" s="50"/>
      <c r="AA422" s="50"/>
      <c r="AB422" s="57"/>
      <c r="AC422" s="54">
        <v>1</v>
      </c>
      <c r="AD422" s="69">
        <f>SUM(AE422:AK422)</f>
        <v>1</v>
      </c>
      <c r="AE422" s="66"/>
      <c r="AF422" s="66"/>
      <c r="AG422" s="66"/>
      <c r="AH422" s="66"/>
      <c r="AI422" s="66"/>
      <c r="AJ422" s="66">
        <v>1</v>
      </c>
      <c r="AK422" s="66"/>
      <c r="AL422" s="54">
        <f>IF((AC422-SUM(AE422:AK422))&lt;0,0,AC422-SUM(AE422:AK422))</f>
        <v>0</v>
      </c>
      <c r="AM422" s="69">
        <f>SUM(AN422:AT422)</f>
        <v>1</v>
      </c>
      <c r="AN422" s="60">
        <v>1</v>
      </c>
      <c r="AO422" s="52"/>
      <c r="AP422" s="52"/>
      <c r="AQ422" s="52"/>
      <c r="AR422" s="52"/>
      <c r="AS422" s="52"/>
      <c r="AT422" s="61"/>
      <c r="AU422" s="66">
        <f>MAX(0,$AM422-$AC422-$AW422)</f>
        <v>0</v>
      </c>
      <c r="AV422" s="66"/>
      <c r="AW422" s="66"/>
      <c r="AX422" s="65">
        <v>0</v>
      </c>
      <c r="AY422" s="65">
        <f>IF(AND($AU422&gt;0,ISNUMBER($AX422)),$AU422*$AX422,0)</f>
        <v>0</v>
      </c>
      <c r="AZ422" s="46"/>
      <c r="BA422" s="52"/>
      <c r="BB422" s="52"/>
      <c r="BC422" s="52"/>
      <c r="BD422" s="52"/>
      <c r="BE422" s="52" t="s">
        <v>400</v>
      </c>
      <c r="BF422" s="52"/>
    </row>
    <row r="423" spans="1:58" ht="15" customHeight="1">
      <c r="A423" s="46" t="s">
        <v>2481</v>
      </c>
      <c r="B423" s="47" t="s">
        <v>2482</v>
      </c>
      <c r="C423" s="48" t="s">
        <v>109</v>
      </c>
      <c r="D423" s="49">
        <v>2</v>
      </c>
      <c r="E423" s="47" t="s">
        <v>189</v>
      </c>
      <c r="F423" s="50"/>
      <c r="G423" s="50"/>
      <c r="H423" s="51"/>
      <c r="I423" s="50" t="s">
        <v>2483</v>
      </c>
      <c r="J423" s="52" t="s">
        <v>73</v>
      </c>
      <c r="K423" s="47" t="s">
        <v>254</v>
      </c>
      <c r="L423" s="53" t="s">
        <v>2484</v>
      </c>
      <c r="M423" s="53" t="s">
        <v>2485</v>
      </c>
      <c r="N423" s="53"/>
      <c r="O423" s="54"/>
      <c r="P423" s="56" t="s">
        <v>86</v>
      </c>
      <c r="Q423" s="47" t="s">
        <v>2004</v>
      </c>
      <c r="R423" s="75" t="s">
        <v>2486</v>
      </c>
      <c r="S423" s="75">
        <v>1</v>
      </c>
      <c r="T423" s="75">
        <v>0</v>
      </c>
      <c r="U423" s="56" t="s">
        <v>2487</v>
      </c>
      <c r="V423" s="57">
        <v>2.2599999999999998</v>
      </c>
      <c r="W423" s="68"/>
      <c r="X423" s="50"/>
      <c r="Y423" s="46"/>
      <c r="Z423" s="46"/>
      <c r="AA423" s="56"/>
      <c r="AB423" s="57"/>
      <c r="AC423" s="54">
        <v>1</v>
      </c>
      <c r="AD423" s="69">
        <f>SUM(AE423:AK423)</f>
        <v>1</v>
      </c>
      <c r="AE423" s="66">
        <v>1</v>
      </c>
      <c r="AF423" s="66"/>
      <c r="AG423" s="66"/>
      <c r="AH423" s="66"/>
      <c r="AI423" s="66"/>
      <c r="AJ423" s="66"/>
      <c r="AK423" s="66"/>
      <c r="AL423" s="54">
        <f>IF((AC423-SUM(AE423:AK423))&lt;0,0,AC423-SUM(AE423:AK423))</f>
        <v>0</v>
      </c>
      <c r="AM423" s="69">
        <f>SUM(AN423:AT423)</f>
        <v>0</v>
      </c>
      <c r="AN423" s="60"/>
      <c r="AO423" s="52"/>
      <c r="AP423" s="52"/>
      <c r="AQ423" s="52"/>
      <c r="AR423" s="52"/>
      <c r="AS423" s="52"/>
      <c r="AT423" s="61"/>
      <c r="AU423" s="66">
        <f>MAX(0,$AM423-$AC423-$AW423)</f>
        <v>0</v>
      </c>
      <c r="AV423" s="48"/>
      <c r="AW423" s="48"/>
      <c r="AX423" s="65">
        <v>0</v>
      </c>
      <c r="AY423" s="65">
        <f>IF(AND($AU423&gt;0,ISNUMBER($AX423)),$AU423*$AX423,0)</f>
        <v>0</v>
      </c>
      <c r="AZ423" s="46" t="s">
        <v>478</v>
      </c>
      <c r="BA423" s="52"/>
      <c r="BB423" s="52"/>
      <c r="BC423" s="52"/>
      <c r="BD423" s="52"/>
      <c r="BE423" s="52"/>
      <c r="BF423" s="52"/>
    </row>
    <row r="424" spans="1:58" ht="15" customHeight="1">
      <c r="A424" s="46" t="s">
        <v>2488</v>
      </c>
      <c r="B424" s="53" t="s">
        <v>2489</v>
      </c>
      <c r="C424" s="66" t="s">
        <v>70</v>
      </c>
      <c r="D424" s="67">
        <v>4</v>
      </c>
      <c r="E424" s="53" t="s">
        <v>189</v>
      </c>
      <c r="F424" s="50"/>
      <c r="G424" s="50"/>
      <c r="H424" s="51"/>
      <c r="I424" s="50" t="s">
        <v>2490</v>
      </c>
      <c r="J424" s="54" t="s">
        <v>73</v>
      </c>
      <c r="K424" s="58" t="s">
        <v>92</v>
      </c>
      <c r="L424" s="58" t="s">
        <v>2491</v>
      </c>
      <c r="M424" s="58"/>
      <c r="N424" s="58"/>
      <c r="O424" s="54"/>
      <c r="P424" s="56" t="s">
        <v>76</v>
      </c>
      <c r="Q424" s="58" t="s">
        <v>2492</v>
      </c>
      <c r="R424" s="50"/>
      <c r="S424" s="50"/>
      <c r="T424" s="50"/>
      <c r="U424" s="50"/>
      <c r="V424" s="57">
        <v>0.43</v>
      </c>
      <c r="W424" s="68"/>
      <c r="X424" s="50"/>
      <c r="Y424" s="50"/>
      <c r="Z424" s="50"/>
      <c r="AA424" s="50"/>
      <c r="AB424" s="57"/>
      <c r="AC424" s="54">
        <v>1</v>
      </c>
      <c r="AD424" s="69">
        <f>SUM(AE424:AK424)</f>
        <v>1</v>
      </c>
      <c r="AE424" s="66">
        <v>1</v>
      </c>
      <c r="AF424" s="66"/>
      <c r="AG424" s="66"/>
      <c r="AH424" s="66"/>
      <c r="AI424" s="66"/>
      <c r="AJ424" s="66"/>
      <c r="AK424" s="66"/>
      <c r="AL424" s="54">
        <f>IF((AC424-SUM(AE424:AK424))&lt;0,0,AC424-SUM(AE424:AK424))</f>
        <v>0</v>
      </c>
      <c r="AM424" s="69">
        <f>SUM(AN424:AT424)</f>
        <v>0</v>
      </c>
      <c r="AN424" s="60"/>
      <c r="AO424" s="52"/>
      <c r="AP424" s="52"/>
      <c r="AQ424" s="52"/>
      <c r="AR424" s="52"/>
      <c r="AS424" s="52"/>
      <c r="AT424" s="61"/>
      <c r="AU424" s="66">
        <f>MAX(0,$AM424-$AC424-$AW424)</f>
        <v>0</v>
      </c>
      <c r="AV424" s="66"/>
      <c r="AW424" s="66"/>
      <c r="AX424" s="65">
        <v>0</v>
      </c>
      <c r="AY424" s="65">
        <f>IF(AND($AU424&gt;0,ISNUMBER($AX424)),$AU424*$AX424,0)</f>
        <v>0</v>
      </c>
      <c r="AZ424" s="52" t="s">
        <v>2477</v>
      </c>
      <c r="BA424" s="52"/>
      <c r="BB424" s="52"/>
      <c r="BC424" s="52"/>
      <c r="BD424" s="52"/>
      <c r="BE424" s="52"/>
      <c r="BF424" s="52"/>
    </row>
    <row r="425" spans="1:58" ht="15" customHeight="1">
      <c r="A425" s="46" t="s">
        <v>2493</v>
      </c>
      <c r="B425" s="53" t="s">
        <v>2494</v>
      </c>
      <c r="C425" s="66" t="s">
        <v>109</v>
      </c>
      <c r="D425" s="67">
        <v>2</v>
      </c>
      <c r="E425" s="53" t="s">
        <v>71</v>
      </c>
      <c r="F425" s="50"/>
      <c r="G425" s="50"/>
      <c r="H425" s="51"/>
      <c r="I425" s="50" t="s">
        <v>2495</v>
      </c>
      <c r="J425" s="54" t="s">
        <v>73</v>
      </c>
      <c r="K425" s="58" t="s">
        <v>92</v>
      </c>
      <c r="L425" s="58" t="s">
        <v>2496</v>
      </c>
      <c r="M425" s="58" t="s">
        <v>2497</v>
      </c>
      <c r="N425" s="58"/>
      <c r="O425" s="54"/>
      <c r="P425" s="56" t="s">
        <v>76</v>
      </c>
      <c r="Q425" s="58" t="s">
        <v>1970</v>
      </c>
      <c r="R425" s="50"/>
      <c r="S425" s="50"/>
      <c r="T425" s="50"/>
      <c r="U425" s="50"/>
      <c r="V425" s="57">
        <v>0.38</v>
      </c>
      <c r="W425" s="68"/>
      <c r="X425" s="50"/>
      <c r="Y425" s="50"/>
      <c r="Z425" s="50"/>
      <c r="AA425" s="50"/>
      <c r="AB425" s="57"/>
      <c r="AC425" s="54">
        <v>1</v>
      </c>
      <c r="AD425" s="69">
        <f>SUM(AE425:AK425)</f>
        <v>1</v>
      </c>
      <c r="AE425" s="66">
        <v>1</v>
      </c>
      <c r="AF425" s="66"/>
      <c r="AG425" s="66"/>
      <c r="AH425" s="66"/>
      <c r="AI425" s="66"/>
      <c r="AJ425" s="66"/>
      <c r="AK425" s="66"/>
      <c r="AL425" s="54">
        <f>IF((AC425-SUM(AE425:AK425))&lt;0,0,AC425-SUM(AE425:AK425))</f>
        <v>0</v>
      </c>
      <c r="AM425" s="69">
        <f>SUM(AN425:AT425)</f>
        <v>0</v>
      </c>
      <c r="AN425" s="60"/>
      <c r="AO425" s="52"/>
      <c r="AP425" s="52"/>
      <c r="AQ425" s="52"/>
      <c r="AR425" s="52"/>
      <c r="AS425" s="52"/>
      <c r="AT425" s="61"/>
      <c r="AU425" s="66">
        <f>MAX(0,$AM425-$AC425-$AW425)</f>
        <v>0</v>
      </c>
      <c r="AV425" s="66"/>
      <c r="AW425" s="66"/>
      <c r="AX425" s="65">
        <v>0</v>
      </c>
      <c r="AY425" s="65">
        <f>IF(AND($AU425&gt;0,ISNUMBER($AX425)),$AU425*$AX425,0)</f>
        <v>0</v>
      </c>
      <c r="AZ425" s="52" t="s">
        <v>471</v>
      </c>
      <c r="BA425" s="52"/>
      <c r="BB425" s="52"/>
      <c r="BC425" s="52"/>
      <c r="BD425" s="52"/>
      <c r="BE425" s="52"/>
      <c r="BF425" s="52"/>
    </row>
    <row r="426" spans="1:58" ht="15" customHeight="1">
      <c r="A426" s="46" t="s">
        <v>2498</v>
      </c>
      <c r="B426" s="53" t="s">
        <v>2499</v>
      </c>
      <c r="C426" s="66" t="s">
        <v>70</v>
      </c>
      <c r="D426" s="67">
        <v>3</v>
      </c>
      <c r="E426" s="53" t="s">
        <v>71</v>
      </c>
      <c r="F426" s="50"/>
      <c r="G426" s="50"/>
      <c r="H426" s="51"/>
      <c r="I426" s="50" t="s">
        <v>2500</v>
      </c>
      <c r="J426" s="54" t="s">
        <v>73</v>
      </c>
      <c r="K426" s="58" t="s">
        <v>92</v>
      </c>
      <c r="L426" s="58" t="s">
        <v>2480</v>
      </c>
      <c r="M426" s="58" t="s">
        <v>2501</v>
      </c>
      <c r="N426" s="58"/>
      <c r="O426" s="54"/>
      <c r="P426" s="56" t="s">
        <v>76</v>
      </c>
      <c r="Q426" s="58" t="s">
        <v>305</v>
      </c>
      <c r="R426" s="54"/>
      <c r="S426" s="54"/>
      <c r="T426" s="54"/>
      <c r="U426" s="54"/>
      <c r="V426" s="57">
        <v>0.31</v>
      </c>
      <c r="W426" s="68"/>
      <c r="X426" s="54"/>
      <c r="Y426" s="54"/>
      <c r="Z426" s="54"/>
      <c r="AA426" s="54"/>
      <c r="AB426" s="57"/>
      <c r="AC426" s="54">
        <v>1</v>
      </c>
      <c r="AD426" s="69">
        <f>SUM(AE426:AK426)</f>
        <v>1</v>
      </c>
      <c r="AE426" s="66">
        <v>1</v>
      </c>
      <c r="AF426" s="66"/>
      <c r="AG426" s="66"/>
      <c r="AH426" s="66"/>
      <c r="AI426" s="66"/>
      <c r="AJ426" s="66"/>
      <c r="AK426" s="66"/>
      <c r="AL426" s="54">
        <f>IF((AC426-SUM(AE426:AK426))&lt;0,0,AC426-SUM(AE426:AK426))</f>
        <v>0</v>
      </c>
      <c r="AM426" s="69">
        <f>SUM(AN426:AT426)</f>
        <v>0</v>
      </c>
      <c r="AN426" s="60"/>
      <c r="AO426" s="52"/>
      <c r="AP426" s="52"/>
      <c r="AQ426" s="52"/>
      <c r="AR426" s="52"/>
      <c r="AS426" s="52"/>
      <c r="AT426" s="61"/>
      <c r="AU426" s="66">
        <f>MAX(0,$AM426-$AC426-$AW426)</f>
        <v>0</v>
      </c>
      <c r="AV426" s="66"/>
      <c r="AW426" s="66"/>
      <c r="AX426" s="65">
        <v>0</v>
      </c>
      <c r="AY426" s="65">
        <f>IF(AND($AU426&gt;0,ISNUMBER($AX426)),$AU426*$AX426,0)</f>
        <v>0</v>
      </c>
      <c r="AZ426" s="52" t="s">
        <v>2471</v>
      </c>
      <c r="BA426" s="52"/>
      <c r="BB426" s="52"/>
      <c r="BC426" s="52"/>
      <c r="BD426" s="52"/>
      <c r="BE426" s="52"/>
      <c r="BF426" s="52"/>
    </row>
    <row r="427" spans="1:58" ht="15" customHeight="1">
      <c r="A427" s="46" t="s">
        <v>2502</v>
      </c>
      <c r="B427" s="53" t="s">
        <v>2503</v>
      </c>
      <c r="C427" s="66" t="s">
        <v>70</v>
      </c>
      <c r="D427" s="67">
        <v>3</v>
      </c>
      <c r="E427" s="53" t="s">
        <v>71</v>
      </c>
      <c r="F427" s="50"/>
      <c r="G427" s="50"/>
      <c r="H427" s="51"/>
      <c r="I427" s="50" t="s">
        <v>2504</v>
      </c>
      <c r="J427" s="54" t="s">
        <v>73</v>
      </c>
      <c r="K427" s="58" t="s">
        <v>74</v>
      </c>
      <c r="L427" s="58" t="s">
        <v>2505</v>
      </c>
      <c r="M427" s="58" t="s">
        <v>2506</v>
      </c>
      <c r="N427" s="58"/>
      <c r="O427" s="54"/>
      <c r="P427" s="56" t="s">
        <v>185</v>
      </c>
      <c r="Q427" s="58" t="s">
        <v>2507</v>
      </c>
      <c r="R427" s="74" t="s">
        <v>1308</v>
      </c>
      <c r="S427" s="74">
        <v>1</v>
      </c>
      <c r="T427" s="74">
        <v>1</v>
      </c>
      <c r="U427" s="56" t="s">
        <v>2508</v>
      </c>
      <c r="V427" s="57">
        <v>0.28999999999999998</v>
      </c>
      <c r="W427" s="68"/>
      <c r="X427" s="50"/>
      <c r="Y427" s="50"/>
      <c r="Z427" s="50"/>
      <c r="AA427" s="56"/>
      <c r="AB427" s="57"/>
      <c r="AC427" s="54">
        <v>1</v>
      </c>
      <c r="AD427" s="69">
        <f>SUM(AE427:AK427)</f>
        <v>1</v>
      </c>
      <c r="AE427" s="66">
        <v>1</v>
      </c>
      <c r="AF427" s="66"/>
      <c r="AG427" s="66"/>
      <c r="AH427" s="66"/>
      <c r="AI427" s="66"/>
      <c r="AJ427" s="66"/>
      <c r="AK427" s="66"/>
      <c r="AL427" s="54">
        <f>IF((AC427-SUM(AE427:AK427))&lt;0,0,AC427-SUM(AE427:AK427))</f>
        <v>0</v>
      </c>
      <c r="AM427" s="69">
        <f>SUM(AN427:AT427)</f>
        <v>0</v>
      </c>
      <c r="AN427" s="60"/>
      <c r="AO427" s="52"/>
      <c r="AP427" s="52"/>
      <c r="AQ427" s="52"/>
      <c r="AR427" s="52"/>
      <c r="AS427" s="52"/>
      <c r="AT427" s="61"/>
      <c r="AU427" s="66">
        <f>MAX(0,$AM427-$AC427-$AW427)</f>
        <v>0</v>
      </c>
      <c r="AV427" s="66"/>
      <c r="AW427" s="66"/>
      <c r="AX427" s="65">
        <v>0</v>
      </c>
      <c r="AY427" s="65">
        <f>IF(AND($AU427&gt;0,ISNUMBER($AX427)),$AU427*$AX427,0)</f>
        <v>0</v>
      </c>
      <c r="AZ427" s="46" t="s">
        <v>1121</v>
      </c>
      <c r="BA427" s="52"/>
      <c r="BB427" s="52"/>
      <c r="BC427" s="52"/>
      <c r="BD427" s="52"/>
      <c r="BE427" s="52"/>
      <c r="BF427" s="52"/>
    </row>
    <row r="428" spans="1:58" ht="15" customHeight="1">
      <c r="A428" s="46" t="s">
        <v>2509</v>
      </c>
      <c r="B428" s="53" t="s">
        <v>2510</v>
      </c>
      <c r="C428" s="66" t="s">
        <v>70</v>
      </c>
      <c r="D428" s="67">
        <v>3</v>
      </c>
      <c r="E428" s="53" t="s">
        <v>71</v>
      </c>
      <c r="F428" s="50"/>
      <c r="G428" s="50"/>
      <c r="H428" s="51"/>
      <c r="I428" s="50" t="s">
        <v>2511</v>
      </c>
      <c r="J428" s="54" t="s">
        <v>73</v>
      </c>
      <c r="K428" s="58" t="s">
        <v>74</v>
      </c>
      <c r="L428" s="58" t="s">
        <v>2512</v>
      </c>
      <c r="M428" s="58" t="s">
        <v>2513</v>
      </c>
      <c r="N428" s="58"/>
      <c r="O428" s="54"/>
      <c r="P428" s="55" t="s">
        <v>76</v>
      </c>
      <c r="Q428" s="58" t="s">
        <v>669</v>
      </c>
      <c r="R428" s="74" t="s">
        <v>2514</v>
      </c>
      <c r="S428" s="74">
        <v>1</v>
      </c>
      <c r="T428" s="74">
        <v>1</v>
      </c>
      <c r="U428" s="56" t="s">
        <v>2515</v>
      </c>
      <c r="V428" s="57">
        <v>0.28000000000000003</v>
      </c>
      <c r="W428" s="68"/>
      <c r="X428" s="46"/>
      <c r="Y428" s="50"/>
      <c r="Z428" s="50"/>
      <c r="AA428" s="56"/>
      <c r="AB428" s="57"/>
      <c r="AC428" s="54">
        <v>1</v>
      </c>
      <c r="AD428" s="69">
        <f>SUM(AE428:AK428)</f>
        <v>1</v>
      </c>
      <c r="AE428" s="66">
        <v>1</v>
      </c>
      <c r="AF428" s="66"/>
      <c r="AG428" s="66"/>
      <c r="AH428" s="66"/>
      <c r="AI428" s="66"/>
      <c r="AJ428" s="66"/>
      <c r="AK428" s="66"/>
      <c r="AL428" s="54">
        <f>IF((AC428-SUM(AE428:AK428))&lt;0,0,AC428-SUM(AE428:AK428))</f>
        <v>0</v>
      </c>
      <c r="AM428" s="69">
        <f>SUM(AN428:AT428)</f>
        <v>0</v>
      </c>
      <c r="AN428" s="60"/>
      <c r="AO428" s="52"/>
      <c r="AP428" s="52"/>
      <c r="AQ428" s="52"/>
      <c r="AR428" s="52"/>
      <c r="AS428" s="52"/>
      <c r="AT428" s="61"/>
      <c r="AU428" s="66">
        <f>MAX(0,$AM428-$AC428-$AW428)</f>
        <v>0</v>
      </c>
      <c r="AV428" s="66"/>
      <c r="AW428" s="66"/>
      <c r="AX428" s="65">
        <v>0</v>
      </c>
      <c r="AY428" s="65">
        <f>IF(AND($AU428&gt;0,ISNUMBER($AX428)),$AU428*$AX428,0)</f>
        <v>0</v>
      </c>
      <c r="AZ428" s="52" t="s">
        <v>68</v>
      </c>
      <c r="BA428" s="52"/>
      <c r="BB428" s="52"/>
      <c r="BC428" s="52"/>
      <c r="BD428" s="52"/>
      <c r="BE428" s="52"/>
      <c r="BF428" s="52"/>
    </row>
    <row r="429" spans="1:58" ht="15" customHeight="1">
      <c r="A429" s="46" t="s">
        <v>2516</v>
      </c>
      <c r="B429" s="53" t="s">
        <v>2517</v>
      </c>
      <c r="C429" s="66" t="s">
        <v>70</v>
      </c>
      <c r="D429" s="67">
        <v>4</v>
      </c>
      <c r="E429" s="53" t="s">
        <v>2518</v>
      </c>
      <c r="F429" s="50">
        <v>6</v>
      </c>
      <c r="G429" s="50">
        <v>5</v>
      </c>
      <c r="H429" s="51" t="s">
        <v>2519</v>
      </c>
      <c r="I429" s="50" t="s">
        <v>2520</v>
      </c>
      <c r="J429" s="54" t="s">
        <v>196</v>
      </c>
      <c r="K429" s="58" t="s">
        <v>386</v>
      </c>
      <c r="L429" s="58" t="s">
        <v>2521</v>
      </c>
      <c r="M429" s="58" t="s">
        <v>2522</v>
      </c>
      <c r="N429" s="58" t="s">
        <v>2523</v>
      </c>
      <c r="O429" s="56">
        <v>606</v>
      </c>
      <c r="P429" s="56" t="s">
        <v>114</v>
      </c>
      <c r="Q429" s="58" t="s">
        <v>2129</v>
      </c>
      <c r="R429" s="50"/>
      <c r="S429" s="50"/>
      <c r="T429" s="50"/>
      <c r="U429" s="50"/>
      <c r="V429" s="57">
        <v>30.45</v>
      </c>
      <c r="W429" s="68"/>
      <c r="X429" s="50"/>
      <c r="Y429" s="50"/>
      <c r="Z429" s="50"/>
      <c r="AA429" s="50"/>
      <c r="AB429" s="57"/>
      <c r="AC429" s="54">
        <v>1</v>
      </c>
      <c r="AD429" s="69">
        <f>SUM(AE429:AK429)</f>
        <v>1</v>
      </c>
      <c r="AE429" s="66"/>
      <c r="AF429" s="66"/>
      <c r="AG429" s="66"/>
      <c r="AH429" s="66"/>
      <c r="AI429" s="66"/>
      <c r="AJ429" s="66">
        <v>1</v>
      </c>
      <c r="AK429" s="66"/>
      <c r="AL429" s="54">
        <f>IF((AC429-SUM(AE429:AK429))&lt;0,0,AC429-SUM(AE429:AK429))</f>
        <v>0</v>
      </c>
      <c r="AM429" s="69">
        <f>SUM(AN429:AT429)</f>
        <v>1</v>
      </c>
      <c r="AN429" s="60"/>
      <c r="AO429" s="52"/>
      <c r="AP429" s="52"/>
      <c r="AQ429" s="52"/>
      <c r="AR429" s="52"/>
      <c r="AS429" s="52">
        <v>1</v>
      </c>
      <c r="AT429" s="61"/>
      <c r="AU429" s="66">
        <f>MAX(0,$AM429-$AC429-$AW429)</f>
        <v>0</v>
      </c>
      <c r="AV429" s="66"/>
      <c r="AW429" s="66"/>
      <c r="AX429" s="65">
        <v>0</v>
      </c>
      <c r="AY429" s="65">
        <f>IF(AND($AU429&gt;0,ISNUMBER($AX429)),$AU429*$AX429,0)</f>
        <v>0</v>
      </c>
      <c r="AZ429" s="46"/>
      <c r="BA429" s="52"/>
      <c r="BB429" s="52"/>
      <c r="BC429" s="52"/>
      <c r="BD429" s="52"/>
      <c r="BE429" s="52"/>
      <c r="BF429" s="52"/>
    </row>
    <row r="430" spans="1:58" ht="15" customHeight="1">
      <c r="A430" s="46" t="s">
        <v>2524</v>
      </c>
      <c r="B430" s="53" t="s">
        <v>2525</v>
      </c>
      <c r="C430" s="66" t="s">
        <v>118</v>
      </c>
      <c r="D430" s="67">
        <v>2</v>
      </c>
      <c r="E430" s="53" t="s">
        <v>2195</v>
      </c>
      <c r="F430" s="50"/>
      <c r="G430" s="50"/>
      <c r="H430" s="51" t="s">
        <v>2526</v>
      </c>
      <c r="I430" s="50" t="s">
        <v>2527</v>
      </c>
      <c r="J430" s="54" t="s">
        <v>73</v>
      </c>
      <c r="K430" s="53" t="s">
        <v>121</v>
      </c>
      <c r="L430" s="53" t="s">
        <v>2528</v>
      </c>
      <c r="M430" s="53" t="s">
        <v>2529</v>
      </c>
      <c r="N430" s="53" t="s">
        <v>2530</v>
      </c>
      <c r="O430" s="54"/>
      <c r="P430" s="56" t="s">
        <v>114</v>
      </c>
      <c r="Q430" s="53" t="s">
        <v>691</v>
      </c>
      <c r="R430" s="50" t="s">
        <v>2531</v>
      </c>
      <c r="S430" s="50">
        <v>1</v>
      </c>
      <c r="T430" s="50">
        <v>0</v>
      </c>
      <c r="U430" s="56" t="s">
        <v>2532</v>
      </c>
      <c r="V430" s="57">
        <v>25.96</v>
      </c>
      <c r="W430" s="56"/>
      <c r="X430" s="50"/>
      <c r="Y430" s="50"/>
      <c r="Z430" s="50"/>
      <c r="AA430" s="56"/>
      <c r="AB430" s="57"/>
      <c r="AC430" s="54">
        <v>1</v>
      </c>
      <c r="AD430" s="69">
        <f>SUM(AE430:AK430)</f>
        <v>0</v>
      </c>
      <c r="AE430" s="66"/>
      <c r="AF430" s="66"/>
      <c r="AG430" s="66"/>
      <c r="AH430" s="66"/>
      <c r="AI430" s="66"/>
      <c r="AJ430" s="66"/>
      <c r="AK430" s="66"/>
      <c r="AL430" s="54">
        <f>IF((AC430-SUM(AE430:AK430))&lt;0,0,AC430-SUM(AE430:AK430))</f>
        <v>1</v>
      </c>
      <c r="AM430" s="69">
        <f>SUM(AN430:AT430)</f>
        <v>0</v>
      </c>
      <c r="AN430" s="60"/>
      <c r="AO430" s="52"/>
      <c r="AP430" s="52"/>
      <c r="AQ430" s="52"/>
      <c r="AR430" s="52"/>
      <c r="AS430" s="52"/>
      <c r="AT430" s="61"/>
      <c r="AU430" s="66">
        <f>MAX(0,$AM430-$AC430-$AW430)</f>
        <v>0</v>
      </c>
      <c r="AV430" s="66"/>
      <c r="AW430" s="66"/>
      <c r="AX430" s="65">
        <v>0</v>
      </c>
      <c r="AY430" s="65">
        <f>IF(AND($AU430&gt;0,ISNUMBER($AX430)),$AU430*$AX430,0)</f>
        <v>0</v>
      </c>
      <c r="AZ430" s="46"/>
      <c r="BA430" s="52"/>
      <c r="BB430" s="52"/>
      <c r="BC430" s="52"/>
      <c r="BD430" s="52"/>
      <c r="BE430" s="52"/>
      <c r="BF430" s="52"/>
    </row>
    <row r="431" spans="1:58" ht="15" customHeight="1">
      <c r="A431" s="46" t="s">
        <v>2533</v>
      </c>
      <c r="B431" s="53" t="s">
        <v>2534</v>
      </c>
      <c r="C431" s="66" t="s">
        <v>101</v>
      </c>
      <c r="D431" s="67">
        <v>8</v>
      </c>
      <c r="E431" s="53" t="s">
        <v>384</v>
      </c>
      <c r="F431" s="50"/>
      <c r="G431" s="50"/>
      <c r="H431" s="51"/>
      <c r="I431" s="50" t="s">
        <v>2535</v>
      </c>
      <c r="J431" s="54" t="s">
        <v>73</v>
      </c>
      <c r="K431" s="53" t="s">
        <v>550</v>
      </c>
      <c r="L431" s="53" t="s">
        <v>2536</v>
      </c>
      <c r="M431" s="53"/>
      <c r="N431" s="53"/>
      <c r="O431" s="54"/>
      <c r="P431" s="56" t="s">
        <v>114</v>
      </c>
      <c r="Q431" s="53" t="s">
        <v>691</v>
      </c>
      <c r="R431" s="50" t="s">
        <v>2537</v>
      </c>
      <c r="S431" s="50">
        <v>1</v>
      </c>
      <c r="T431" s="50">
        <v>0</v>
      </c>
      <c r="U431" s="56" t="s">
        <v>1564</v>
      </c>
      <c r="V431" s="57">
        <v>25.16</v>
      </c>
      <c r="W431" s="56"/>
      <c r="X431" s="50"/>
      <c r="Y431" s="50"/>
      <c r="Z431" s="50"/>
      <c r="AA431" s="56"/>
      <c r="AB431" s="57"/>
      <c r="AC431" s="54">
        <v>1</v>
      </c>
      <c r="AD431" s="69">
        <f>SUM(AE431:AK431)</f>
        <v>0</v>
      </c>
      <c r="AE431" s="66"/>
      <c r="AF431" s="66"/>
      <c r="AG431" s="66"/>
      <c r="AH431" s="66"/>
      <c r="AI431" s="66"/>
      <c r="AJ431" s="66"/>
      <c r="AK431" s="66"/>
      <c r="AL431" s="54">
        <f>IF((AC431-SUM(AE431:AK431))&lt;0,0,AC431-SUM(AE431:AK431))</f>
        <v>1</v>
      </c>
      <c r="AM431" s="69">
        <f>SUM(AN431:AT431)</f>
        <v>0</v>
      </c>
      <c r="AN431" s="60"/>
      <c r="AO431" s="52"/>
      <c r="AP431" s="52"/>
      <c r="AQ431" s="52"/>
      <c r="AR431" s="52"/>
      <c r="AS431" s="52"/>
      <c r="AT431" s="61"/>
      <c r="AU431" s="66">
        <f>MAX(0,$AM431-$AC431-$AW431)</f>
        <v>0</v>
      </c>
      <c r="AV431" s="66"/>
      <c r="AW431" s="66"/>
      <c r="AX431" s="65">
        <v>0</v>
      </c>
      <c r="AY431" s="65">
        <f>IF(AND($AU431&gt;0,ISNUMBER($AX431)),$AU431*$AX431,0)</f>
        <v>0</v>
      </c>
      <c r="AZ431" s="46"/>
      <c r="BA431" s="52"/>
      <c r="BB431" s="52"/>
      <c r="BC431" s="52"/>
      <c r="BD431" s="52"/>
      <c r="BE431" s="52"/>
      <c r="BF431" s="52"/>
    </row>
    <row r="432" spans="1:58" ht="15" customHeight="1">
      <c r="A432" s="46" t="s">
        <v>2538</v>
      </c>
      <c r="B432" s="53" t="s">
        <v>2539</v>
      </c>
      <c r="C432" s="66" t="s">
        <v>232</v>
      </c>
      <c r="D432" s="67">
        <v>2</v>
      </c>
      <c r="E432" s="53" t="s">
        <v>2540</v>
      </c>
      <c r="F432" s="50"/>
      <c r="G432" s="50"/>
      <c r="H432" s="51" t="s">
        <v>2541</v>
      </c>
      <c r="I432" s="50" t="s">
        <v>2542</v>
      </c>
      <c r="J432" s="54" t="s">
        <v>73</v>
      </c>
      <c r="K432" s="58" t="s">
        <v>550</v>
      </c>
      <c r="L432" s="58" t="s">
        <v>2543</v>
      </c>
      <c r="M432" s="58" t="s">
        <v>2544</v>
      </c>
      <c r="N432" s="58" t="s">
        <v>2545</v>
      </c>
      <c r="O432" s="54"/>
      <c r="P432" s="56" t="s">
        <v>185</v>
      </c>
      <c r="Q432" s="58" t="s">
        <v>873</v>
      </c>
      <c r="R432" s="50"/>
      <c r="S432" s="50"/>
      <c r="T432" s="50"/>
      <c r="U432" s="50"/>
      <c r="V432" s="57">
        <v>19.3</v>
      </c>
      <c r="W432" s="68"/>
      <c r="X432" s="50"/>
      <c r="Y432" s="50"/>
      <c r="Z432" s="50"/>
      <c r="AA432" s="50"/>
      <c r="AB432" s="57"/>
      <c r="AC432" s="54">
        <v>1</v>
      </c>
      <c r="AD432" s="69">
        <f>SUM(AE432:AK432)</f>
        <v>1</v>
      </c>
      <c r="AE432" s="66"/>
      <c r="AF432" s="66"/>
      <c r="AG432" s="66"/>
      <c r="AH432" s="66"/>
      <c r="AI432" s="66"/>
      <c r="AJ432" s="66">
        <v>1</v>
      </c>
      <c r="AK432" s="66"/>
      <c r="AL432" s="54">
        <f>IF((AC432-SUM(AE432:AK432))&lt;0,0,AC432-SUM(AE432:AK432))</f>
        <v>0</v>
      </c>
      <c r="AM432" s="69">
        <f>SUM(AN432:AT432)</f>
        <v>1</v>
      </c>
      <c r="AN432" s="60"/>
      <c r="AO432" s="52"/>
      <c r="AP432" s="52"/>
      <c r="AQ432" s="52"/>
      <c r="AR432" s="52"/>
      <c r="AS432" s="52">
        <v>1</v>
      </c>
      <c r="AT432" s="61"/>
      <c r="AU432" s="66">
        <f>MAX(0,$AM432-$AC432-$AW432)</f>
        <v>0</v>
      </c>
      <c r="AV432" s="66"/>
      <c r="AW432" s="66"/>
      <c r="AX432" s="65">
        <v>0</v>
      </c>
      <c r="AY432" s="65">
        <f>IF(AND($AU432&gt;0,ISNUMBER($AX432)),$AU432*$AX432,0)</f>
        <v>0</v>
      </c>
      <c r="AZ432" s="46"/>
      <c r="BA432" s="52"/>
      <c r="BB432" s="52"/>
      <c r="BC432" s="52"/>
      <c r="BD432" s="52"/>
      <c r="BE432" s="52"/>
      <c r="BF432" s="52"/>
    </row>
    <row r="433" spans="1:58" ht="15" customHeight="1">
      <c r="A433" s="46" t="s">
        <v>2546</v>
      </c>
      <c r="B433" s="53" t="s">
        <v>2547</v>
      </c>
      <c r="C433" s="66" t="s">
        <v>109</v>
      </c>
      <c r="D433" s="67">
        <v>2</v>
      </c>
      <c r="E433" s="53" t="s">
        <v>81</v>
      </c>
      <c r="F433" s="50">
        <v>2</v>
      </c>
      <c r="G433" s="50">
        <v>3</v>
      </c>
      <c r="H433" s="51" t="s">
        <v>2548</v>
      </c>
      <c r="I433" s="50" t="s">
        <v>2549</v>
      </c>
      <c r="J433" s="54" t="s">
        <v>73</v>
      </c>
      <c r="K433" s="53" t="s">
        <v>550</v>
      </c>
      <c r="L433" s="53" t="s">
        <v>2550</v>
      </c>
      <c r="M433" s="53" t="s">
        <v>2551</v>
      </c>
      <c r="N433" s="53"/>
      <c r="O433" s="54"/>
      <c r="P433" s="56" t="s">
        <v>114</v>
      </c>
      <c r="Q433" s="53" t="s">
        <v>691</v>
      </c>
      <c r="R433" s="50" t="s">
        <v>2552</v>
      </c>
      <c r="S433" s="50">
        <v>1</v>
      </c>
      <c r="T433" s="50">
        <v>0</v>
      </c>
      <c r="U433" s="56" t="s">
        <v>2553</v>
      </c>
      <c r="V433" s="57">
        <v>14.99</v>
      </c>
      <c r="W433" s="56"/>
      <c r="X433" s="50"/>
      <c r="Y433" s="50"/>
      <c r="Z433" s="50"/>
      <c r="AA433" s="56"/>
      <c r="AB433" s="57"/>
      <c r="AC433" s="54">
        <v>1</v>
      </c>
      <c r="AD433" s="69">
        <f>SUM(AE433:AK433)</f>
        <v>0</v>
      </c>
      <c r="AE433" s="66"/>
      <c r="AF433" s="66"/>
      <c r="AG433" s="66"/>
      <c r="AH433" s="66"/>
      <c r="AI433" s="66"/>
      <c r="AJ433" s="66"/>
      <c r="AK433" s="66"/>
      <c r="AL433" s="54">
        <f>IF((AC433-SUM(AE433:AK433))&lt;0,0,AC433-SUM(AE433:AK433))</f>
        <v>1</v>
      </c>
      <c r="AM433" s="69">
        <f>SUM(AN433:AT433)</f>
        <v>0</v>
      </c>
      <c r="AN433" s="60"/>
      <c r="AO433" s="52"/>
      <c r="AP433" s="52"/>
      <c r="AQ433" s="52"/>
      <c r="AR433" s="52"/>
      <c r="AS433" s="52"/>
      <c r="AT433" s="61"/>
      <c r="AU433" s="66">
        <f>MAX(0,$AM433-$AC433-$AW433)</f>
        <v>0</v>
      </c>
      <c r="AV433" s="66"/>
      <c r="AW433" s="66"/>
      <c r="AX433" s="65">
        <v>0</v>
      </c>
      <c r="AY433" s="65">
        <f>IF(AND($AU433&gt;0,ISNUMBER($AX433)),$AU433*$AX433,0)</f>
        <v>0</v>
      </c>
      <c r="AZ433" s="46"/>
      <c r="BA433" s="52"/>
      <c r="BB433" s="52"/>
      <c r="BC433" s="52"/>
      <c r="BD433" s="52"/>
      <c r="BE433" s="52"/>
      <c r="BF433" s="52"/>
    </row>
    <row r="434" spans="1:58" ht="15" customHeight="1">
      <c r="A434" s="46" t="s">
        <v>2554</v>
      </c>
      <c r="B434" s="53" t="s">
        <v>2555</v>
      </c>
      <c r="C434" s="66" t="s">
        <v>232</v>
      </c>
      <c r="D434" s="67">
        <v>3</v>
      </c>
      <c r="E434" s="53" t="s">
        <v>233</v>
      </c>
      <c r="F434" s="50"/>
      <c r="G434" s="50"/>
      <c r="H434" s="51"/>
      <c r="I434" s="50" t="s">
        <v>2556</v>
      </c>
      <c r="J434" s="54" t="s">
        <v>73</v>
      </c>
      <c r="K434" s="58" t="s">
        <v>261</v>
      </c>
      <c r="L434" s="58" t="s">
        <v>2557</v>
      </c>
      <c r="M434" s="58" t="s">
        <v>2558</v>
      </c>
      <c r="N434" s="58"/>
      <c r="O434" s="54"/>
      <c r="P434" s="56" t="s">
        <v>86</v>
      </c>
      <c r="Q434" s="58" t="s">
        <v>426</v>
      </c>
      <c r="R434" s="50"/>
      <c r="S434" s="50"/>
      <c r="T434" s="50"/>
      <c r="U434" s="50"/>
      <c r="V434" s="57">
        <v>14.81</v>
      </c>
      <c r="W434" s="68"/>
      <c r="X434" s="50"/>
      <c r="Y434" s="50"/>
      <c r="Z434" s="50"/>
      <c r="AA434" s="50"/>
      <c r="AB434" s="57"/>
      <c r="AC434" s="54">
        <v>1</v>
      </c>
      <c r="AD434" s="69">
        <f>SUM(AE434:AK434)</f>
        <v>1</v>
      </c>
      <c r="AE434" s="66"/>
      <c r="AF434" s="66"/>
      <c r="AG434" s="66"/>
      <c r="AH434" s="66"/>
      <c r="AI434" s="66"/>
      <c r="AJ434" s="66">
        <v>1</v>
      </c>
      <c r="AK434" s="66"/>
      <c r="AL434" s="54">
        <f>IF((AC434-SUM(AE434:AK434))&lt;0,0,AC434-SUM(AE434:AK434))</f>
        <v>0</v>
      </c>
      <c r="AM434" s="69">
        <f>SUM(AN434:AT434)</f>
        <v>1</v>
      </c>
      <c r="AN434" s="60"/>
      <c r="AO434" s="52"/>
      <c r="AP434" s="52"/>
      <c r="AQ434" s="52"/>
      <c r="AR434" s="52"/>
      <c r="AS434" s="52">
        <v>1</v>
      </c>
      <c r="AT434" s="61"/>
      <c r="AU434" s="66">
        <f>MAX(0,$AM434-$AC434-$AW434)</f>
        <v>0</v>
      </c>
      <c r="AV434" s="66"/>
      <c r="AW434" s="66"/>
      <c r="AX434" s="65">
        <v>0</v>
      </c>
      <c r="AY434" s="65">
        <f>IF(AND($AU434&gt;0,ISNUMBER($AX434)),$AU434*$AX434,0)</f>
        <v>0</v>
      </c>
      <c r="AZ434" s="46"/>
      <c r="BA434" s="52"/>
      <c r="BB434" s="52"/>
      <c r="BC434" s="52"/>
      <c r="BD434" s="52"/>
      <c r="BE434" s="52"/>
      <c r="BF434" s="52"/>
    </row>
    <row r="435" spans="1:58" ht="15" customHeight="1">
      <c r="A435" s="46" t="s">
        <v>2559</v>
      </c>
      <c r="B435" s="53" t="s">
        <v>2560</v>
      </c>
      <c r="C435" s="66" t="s">
        <v>70</v>
      </c>
      <c r="D435" s="67">
        <v>6</v>
      </c>
      <c r="E435" s="53" t="s">
        <v>2195</v>
      </c>
      <c r="F435" s="50"/>
      <c r="G435" s="50"/>
      <c r="H435" s="51" t="s">
        <v>2526</v>
      </c>
      <c r="I435" s="50" t="s">
        <v>2561</v>
      </c>
      <c r="J435" s="54" t="s">
        <v>73</v>
      </c>
      <c r="K435" s="53" t="s">
        <v>129</v>
      </c>
      <c r="L435" s="53" t="s">
        <v>2562</v>
      </c>
      <c r="M435" s="53" t="s">
        <v>2563</v>
      </c>
      <c r="N435" s="53" t="s">
        <v>2564</v>
      </c>
      <c r="O435" s="54"/>
      <c r="P435" s="56" t="s">
        <v>114</v>
      </c>
      <c r="Q435" s="53" t="s">
        <v>691</v>
      </c>
      <c r="R435" s="50" t="s">
        <v>2565</v>
      </c>
      <c r="S435" s="50">
        <v>1</v>
      </c>
      <c r="T435" s="50">
        <v>0</v>
      </c>
      <c r="U435" s="56" t="s">
        <v>2532</v>
      </c>
      <c r="V435" s="57">
        <v>14.52</v>
      </c>
      <c r="W435" s="56"/>
      <c r="X435" s="50"/>
      <c r="Y435" s="50"/>
      <c r="Z435" s="50"/>
      <c r="AA435" s="56"/>
      <c r="AB435" s="57"/>
      <c r="AC435" s="54">
        <v>1</v>
      </c>
      <c r="AD435" s="69">
        <f>SUM(AE435:AK435)</f>
        <v>0</v>
      </c>
      <c r="AE435" s="66"/>
      <c r="AF435" s="66"/>
      <c r="AG435" s="66"/>
      <c r="AH435" s="66"/>
      <c r="AI435" s="66"/>
      <c r="AJ435" s="66"/>
      <c r="AK435" s="66"/>
      <c r="AL435" s="54">
        <f>IF((AC435-SUM(AE435:AK435))&lt;0,0,AC435-SUM(AE435:AK435))</f>
        <v>1</v>
      </c>
      <c r="AM435" s="69">
        <f>SUM(AN435:AT435)</f>
        <v>0</v>
      </c>
      <c r="AN435" s="60"/>
      <c r="AO435" s="52"/>
      <c r="AP435" s="52"/>
      <c r="AQ435" s="52"/>
      <c r="AR435" s="52"/>
      <c r="AS435" s="52"/>
      <c r="AT435" s="61"/>
      <c r="AU435" s="66">
        <f>MAX(0,$AM435-$AC435-$AW435)</f>
        <v>0</v>
      </c>
      <c r="AV435" s="66"/>
      <c r="AW435" s="66"/>
      <c r="AX435" s="65">
        <v>0</v>
      </c>
      <c r="AY435" s="65">
        <f>IF(AND($AU435&gt;0,ISNUMBER($AX435)),$AU435*$AX435,0)</f>
        <v>0</v>
      </c>
      <c r="AZ435" s="46"/>
      <c r="BA435" s="52"/>
      <c r="BB435" s="52"/>
      <c r="BC435" s="52"/>
      <c r="BD435" s="52"/>
      <c r="BE435" s="52"/>
      <c r="BF435" s="52"/>
    </row>
    <row r="436" spans="1:58" ht="15" customHeight="1">
      <c r="A436" s="46" t="s">
        <v>2566</v>
      </c>
      <c r="B436" s="53" t="s">
        <v>2567</v>
      </c>
      <c r="C436" s="66" t="s">
        <v>70</v>
      </c>
      <c r="D436" s="67">
        <v>4</v>
      </c>
      <c r="E436" s="53" t="s">
        <v>384</v>
      </c>
      <c r="F436" s="50"/>
      <c r="G436" s="50"/>
      <c r="H436" s="51" t="s">
        <v>1256</v>
      </c>
      <c r="I436" s="50" t="s">
        <v>2568</v>
      </c>
      <c r="J436" s="54" t="s">
        <v>73</v>
      </c>
      <c r="K436" s="53" t="s">
        <v>1493</v>
      </c>
      <c r="L436" s="53" t="s">
        <v>2569</v>
      </c>
      <c r="M436" s="53"/>
      <c r="N436" s="53"/>
      <c r="O436" s="54"/>
      <c r="P436" s="56" t="s">
        <v>114</v>
      </c>
      <c r="Q436" s="53" t="s">
        <v>2570</v>
      </c>
      <c r="R436" s="50" t="s">
        <v>2571</v>
      </c>
      <c r="S436" s="50">
        <v>1</v>
      </c>
      <c r="T436" s="50">
        <v>0</v>
      </c>
      <c r="U436" s="56" t="s">
        <v>2572</v>
      </c>
      <c r="V436" s="57">
        <v>13.32</v>
      </c>
      <c r="W436" s="56"/>
      <c r="X436" s="50"/>
      <c r="Y436" s="50"/>
      <c r="Z436" s="50"/>
      <c r="AA436" s="56"/>
      <c r="AB436" s="57"/>
      <c r="AC436" s="54">
        <v>1</v>
      </c>
      <c r="AD436" s="69">
        <f>SUM(AE436:AK436)</f>
        <v>0</v>
      </c>
      <c r="AE436" s="66"/>
      <c r="AF436" s="66"/>
      <c r="AG436" s="66"/>
      <c r="AH436" s="66"/>
      <c r="AI436" s="66"/>
      <c r="AJ436" s="66"/>
      <c r="AK436" s="66"/>
      <c r="AL436" s="54">
        <f>IF((AC436-SUM(AE436:AK436))&lt;0,0,AC436-SUM(AE436:AK436))</f>
        <v>1</v>
      </c>
      <c r="AM436" s="69">
        <f>SUM(AN436:AT436)</f>
        <v>0</v>
      </c>
      <c r="AN436" s="60"/>
      <c r="AO436" s="52"/>
      <c r="AP436" s="52"/>
      <c r="AQ436" s="52"/>
      <c r="AR436" s="52"/>
      <c r="AS436" s="52"/>
      <c r="AT436" s="61"/>
      <c r="AU436" s="66">
        <f>MAX(0,$AM436-$AC436-$AW436)</f>
        <v>0</v>
      </c>
      <c r="AV436" s="66"/>
      <c r="AW436" s="66"/>
      <c r="AX436" s="65">
        <v>0</v>
      </c>
      <c r="AY436" s="65">
        <f>IF(AND($AU436&gt;0,ISNUMBER($AX436)),$AU436*$AX436,0)</f>
        <v>0</v>
      </c>
      <c r="AZ436" s="46"/>
      <c r="BA436" s="52"/>
      <c r="BB436" s="52"/>
      <c r="BC436" s="52"/>
      <c r="BD436" s="52"/>
      <c r="BE436" s="52"/>
      <c r="BF436" s="52"/>
    </row>
    <row r="437" spans="1:58" ht="15" customHeight="1">
      <c r="A437" s="46" t="s">
        <v>2573</v>
      </c>
      <c r="B437" s="47" t="s">
        <v>2574</v>
      </c>
      <c r="C437" s="48" t="s">
        <v>181</v>
      </c>
      <c r="D437" s="49">
        <v>1</v>
      </c>
      <c r="E437" s="47" t="s">
        <v>81</v>
      </c>
      <c r="F437" s="50">
        <v>7</v>
      </c>
      <c r="G437" s="50">
        <v>7</v>
      </c>
      <c r="H437" s="51" t="s">
        <v>1019</v>
      </c>
      <c r="I437" s="50" t="s">
        <v>2575</v>
      </c>
      <c r="J437" s="52" t="s">
        <v>73</v>
      </c>
      <c r="K437" s="47" t="s">
        <v>170</v>
      </c>
      <c r="L437" s="53" t="s">
        <v>2576</v>
      </c>
      <c r="M437" s="53" t="s">
        <v>2577</v>
      </c>
      <c r="N437" s="53"/>
      <c r="O437" s="54"/>
      <c r="P437" s="55" t="s">
        <v>114</v>
      </c>
      <c r="Q437" s="47" t="s">
        <v>669</v>
      </c>
      <c r="R437" s="75" t="s">
        <v>2578</v>
      </c>
      <c r="S437" s="75">
        <v>1</v>
      </c>
      <c r="T437" s="75">
        <v>0</v>
      </c>
      <c r="U437" s="56"/>
      <c r="V437" s="57">
        <v>13.04</v>
      </c>
      <c r="W437" s="68"/>
      <c r="X437" s="46"/>
      <c r="Y437" s="46"/>
      <c r="Z437" s="46"/>
      <c r="AA437" s="56"/>
      <c r="AB437" s="57"/>
      <c r="AC437" s="54">
        <v>1</v>
      </c>
      <c r="AD437" s="69">
        <f>SUM(AE437:AK437)</f>
        <v>1</v>
      </c>
      <c r="AE437" s="66"/>
      <c r="AF437" s="66"/>
      <c r="AG437" s="66"/>
      <c r="AH437" s="66"/>
      <c r="AI437" s="66"/>
      <c r="AJ437" s="66"/>
      <c r="AK437" s="66">
        <v>1</v>
      </c>
      <c r="AL437" s="54">
        <f>IF((AC437-SUM(AE437:AK437))&lt;0,0,AC437-SUM(AE437:AK437))</f>
        <v>0</v>
      </c>
      <c r="AM437" s="69">
        <f>SUM(AN437:AT437)</f>
        <v>0</v>
      </c>
      <c r="AN437" s="60"/>
      <c r="AO437" s="52"/>
      <c r="AP437" s="52"/>
      <c r="AQ437" s="52"/>
      <c r="AR437" s="52"/>
      <c r="AS437" s="52"/>
      <c r="AT437" s="61"/>
      <c r="AU437" s="66">
        <f>MAX(0,$AM437-$AC437-$AW437)</f>
        <v>0</v>
      </c>
      <c r="AV437" s="48"/>
      <c r="AW437" s="48"/>
      <c r="AX437" s="65">
        <v>0</v>
      </c>
      <c r="AY437" s="65">
        <f>IF(AND($AU437&gt;0,ISNUMBER($AX437)),$AU437*$AX437,0)</f>
        <v>0</v>
      </c>
      <c r="AZ437" s="46"/>
      <c r="BA437" s="52"/>
      <c r="BB437" s="52"/>
      <c r="BC437" s="52"/>
      <c r="BD437" s="52"/>
      <c r="BE437" s="52"/>
      <c r="BF437" s="52" t="s">
        <v>94</v>
      </c>
    </row>
    <row r="438" spans="1:58" ht="15" customHeight="1">
      <c r="A438" s="46" t="s">
        <v>2579</v>
      </c>
      <c r="B438" s="53" t="s">
        <v>2580</v>
      </c>
      <c r="C438" s="66" t="s">
        <v>101</v>
      </c>
      <c r="D438" s="67">
        <v>6</v>
      </c>
      <c r="E438" s="53" t="s">
        <v>81</v>
      </c>
      <c r="F438" s="50">
        <v>5</v>
      </c>
      <c r="G438" s="50">
        <v>7</v>
      </c>
      <c r="H438" s="51" t="s">
        <v>1019</v>
      </c>
      <c r="I438" s="50" t="s">
        <v>2581</v>
      </c>
      <c r="J438" s="54" t="s">
        <v>73</v>
      </c>
      <c r="K438" s="58" t="s">
        <v>550</v>
      </c>
      <c r="L438" s="58" t="s">
        <v>2582</v>
      </c>
      <c r="M438" s="58" t="s">
        <v>2583</v>
      </c>
      <c r="N438" s="58"/>
      <c r="O438" s="54"/>
      <c r="P438" s="56" t="s">
        <v>114</v>
      </c>
      <c r="Q438" s="58" t="s">
        <v>2183</v>
      </c>
      <c r="R438" s="54"/>
      <c r="S438" s="54"/>
      <c r="T438" s="54"/>
      <c r="U438" s="54"/>
      <c r="V438" s="57">
        <v>12.7</v>
      </c>
      <c r="W438" s="68"/>
      <c r="X438" s="54"/>
      <c r="Y438" s="54"/>
      <c r="Z438" s="54"/>
      <c r="AA438" s="54"/>
      <c r="AB438" s="57"/>
      <c r="AC438" s="54">
        <v>1</v>
      </c>
      <c r="AD438" s="69">
        <f>SUM(AE438:AK438)</f>
        <v>1</v>
      </c>
      <c r="AE438" s="66"/>
      <c r="AF438" s="66">
        <v>1</v>
      </c>
      <c r="AG438" s="66"/>
      <c r="AH438" s="66"/>
      <c r="AI438" s="66"/>
      <c r="AJ438" s="66"/>
      <c r="AK438" s="66"/>
      <c r="AL438" s="54">
        <f>IF((AC438-SUM(AE438:AK438))&lt;0,0,AC438-SUM(AE438:AK438))</f>
        <v>0</v>
      </c>
      <c r="AM438" s="69">
        <f>SUM(AN438:AT438)</f>
        <v>1</v>
      </c>
      <c r="AN438" s="60"/>
      <c r="AO438" s="52">
        <v>1</v>
      </c>
      <c r="AP438" s="52"/>
      <c r="AQ438" s="52"/>
      <c r="AR438" s="52"/>
      <c r="AS438" s="52"/>
      <c r="AT438" s="61"/>
      <c r="AU438" s="66">
        <f>MAX(0,$AM438-$AC438-$AW438)</f>
        <v>0</v>
      </c>
      <c r="AV438" s="66"/>
      <c r="AW438" s="66"/>
      <c r="AX438" s="65">
        <v>0</v>
      </c>
      <c r="AY438" s="65">
        <f>IF(AND($AU438&gt;0,ISNUMBER($AX438)),$AU438*$AX438,0)</f>
        <v>0</v>
      </c>
      <c r="AZ438" s="46"/>
      <c r="BA438" s="52"/>
      <c r="BB438" s="52"/>
      <c r="BC438" s="52"/>
      <c r="BD438" s="52"/>
      <c r="BE438" s="52"/>
      <c r="BF438" s="52"/>
    </row>
    <row r="439" spans="1:58" ht="15" customHeight="1">
      <c r="A439" s="46" t="s">
        <v>2584</v>
      </c>
      <c r="B439" s="53" t="s">
        <v>2585</v>
      </c>
      <c r="C439" s="66" t="s">
        <v>70</v>
      </c>
      <c r="D439" s="67">
        <v>2</v>
      </c>
      <c r="E439" s="53" t="s">
        <v>384</v>
      </c>
      <c r="F439" s="50"/>
      <c r="G439" s="50"/>
      <c r="H439" s="51"/>
      <c r="I439" s="50" t="s">
        <v>2586</v>
      </c>
      <c r="J439" s="54" t="s">
        <v>196</v>
      </c>
      <c r="K439" s="58" t="s">
        <v>474</v>
      </c>
      <c r="L439" s="58" t="s">
        <v>2587</v>
      </c>
      <c r="M439" s="58"/>
      <c r="N439" s="58"/>
      <c r="O439" s="54"/>
      <c r="P439" s="56" t="s">
        <v>86</v>
      </c>
      <c r="Q439" s="58" t="s">
        <v>581</v>
      </c>
      <c r="R439" s="50"/>
      <c r="S439" s="50"/>
      <c r="T439" s="50"/>
      <c r="U439" s="50"/>
      <c r="V439" s="57">
        <v>10.79</v>
      </c>
      <c r="W439" s="68"/>
      <c r="X439" s="50"/>
      <c r="Y439" s="50"/>
      <c r="Z439" s="50"/>
      <c r="AA439" s="50"/>
      <c r="AB439" s="57"/>
      <c r="AC439" s="54">
        <v>1</v>
      </c>
      <c r="AD439" s="69">
        <f>SUM(AE439:AK439)</f>
        <v>0</v>
      </c>
      <c r="AE439" s="66"/>
      <c r="AF439" s="66"/>
      <c r="AG439" s="66"/>
      <c r="AH439" s="66"/>
      <c r="AI439" s="66"/>
      <c r="AJ439" s="66"/>
      <c r="AK439" s="66"/>
      <c r="AL439" s="54">
        <f>IF((AC439-SUM(AE439:AK439))&lt;0,0,AC439-SUM(AE439:AK439))</f>
        <v>1</v>
      </c>
      <c r="AM439" s="69">
        <f>SUM(AN439:AT439)</f>
        <v>0</v>
      </c>
      <c r="AN439" s="60"/>
      <c r="AO439" s="52"/>
      <c r="AP439" s="52"/>
      <c r="AQ439" s="52"/>
      <c r="AR439" s="52"/>
      <c r="AS439" s="52"/>
      <c r="AT439" s="61"/>
      <c r="AU439" s="66">
        <f>MAX(0,$AM439-$AC439-$AW439)</f>
        <v>0</v>
      </c>
      <c r="AV439" s="66"/>
      <c r="AW439" s="66"/>
      <c r="AX439" s="65">
        <v>0</v>
      </c>
      <c r="AY439" s="65">
        <f>IF(AND($AU439&gt;0,ISNUMBER($AX439)),$AU439*$AX439,0)</f>
        <v>0</v>
      </c>
      <c r="AZ439" s="46"/>
      <c r="BA439" s="52"/>
      <c r="BB439" s="52"/>
      <c r="BC439" s="52"/>
      <c r="BD439" s="52"/>
      <c r="BE439" s="52"/>
      <c r="BF439" s="52"/>
    </row>
    <row r="440" spans="1:58" ht="15" customHeight="1">
      <c r="A440" s="46" t="s">
        <v>2588</v>
      </c>
      <c r="B440" s="53" t="s">
        <v>2589</v>
      </c>
      <c r="C440" s="66" t="s">
        <v>118</v>
      </c>
      <c r="D440" s="67">
        <v>8</v>
      </c>
      <c r="E440" s="53" t="s">
        <v>81</v>
      </c>
      <c r="F440" s="50">
        <v>6</v>
      </c>
      <c r="G440" s="50">
        <v>6</v>
      </c>
      <c r="H440" s="51" t="s">
        <v>2590</v>
      </c>
      <c r="I440" s="50" t="s">
        <v>2591</v>
      </c>
      <c r="J440" s="54" t="s">
        <v>73</v>
      </c>
      <c r="K440" s="58" t="s">
        <v>170</v>
      </c>
      <c r="L440" s="58" t="s">
        <v>995</v>
      </c>
      <c r="M440" s="58" t="s">
        <v>2592</v>
      </c>
      <c r="N440" s="58"/>
      <c r="O440" s="54"/>
      <c r="P440" s="56" t="s">
        <v>114</v>
      </c>
      <c r="Q440" s="58" t="s">
        <v>274</v>
      </c>
      <c r="R440" s="54"/>
      <c r="S440" s="54"/>
      <c r="T440" s="54"/>
      <c r="U440" s="54"/>
      <c r="V440" s="57">
        <v>9.26</v>
      </c>
      <c r="W440" s="68"/>
      <c r="X440" s="54"/>
      <c r="Y440" s="54"/>
      <c r="Z440" s="54"/>
      <c r="AA440" s="54"/>
      <c r="AB440" s="57"/>
      <c r="AC440" s="54">
        <v>1</v>
      </c>
      <c r="AD440" s="69">
        <f>SUM(AE440:AK440)</f>
        <v>1</v>
      </c>
      <c r="AE440" s="66"/>
      <c r="AF440" s="66"/>
      <c r="AG440" s="66"/>
      <c r="AH440" s="66"/>
      <c r="AI440" s="66">
        <v>1</v>
      </c>
      <c r="AJ440" s="66"/>
      <c r="AK440" s="66"/>
      <c r="AL440" s="54">
        <f>IF((AC440-SUM(AE440:AK440))&lt;0,0,AC440-SUM(AE440:AK440))</f>
        <v>0</v>
      </c>
      <c r="AM440" s="69">
        <f>SUM(AN440:AT440)</f>
        <v>1</v>
      </c>
      <c r="AN440" s="60"/>
      <c r="AO440" s="52"/>
      <c r="AP440" s="52"/>
      <c r="AQ440" s="52"/>
      <c r="AR440" s="52">
        <v>1</v>
      </c>
      <c r="AS440" s="52"/>
      <c r="AT440" s="61"/>
      <c r="AU440" s="66">
        <f>MAX(0,$AM440-$AC440-$AW440)</f>
        <v>0</v>
      </c>
      <c r="AV440" s="66"/>
      <c r="AW440" s="66"/>
      <c r="AX440" s="65">
        <v>0</v>
      </c>
      <c r="AY440" s="65">
        <f>IF(AND($AU440&gt;0,ISNUMBER($AX440)),$AU440*$AX440,0)</f>
        <v>0</v>
      </c>
      <c r="AZ440" s="46"/>
      <c r="BA440" s="52"/>
      <c r="BB440" s="52"/>
      <c r="BC440" s="52"/>
      <c r="BD440" s="52"/>
      <c r="BE440" s="52"/>
      <c r="BF440" s="52"/>
    </row>
    <row r="441" spans="1:58" ht="15" customHeight="1">
      <c r="A441" s="46" t="s">
        <v>2593</v>
      </c>
      <c r="B441" s="53" t="s">
        <v>2594</v>
      </c>
      <c r="C441" s="66" t="s">
        <v>109</v>
      </c>
      <c r="D441" s="67">
        <v>4</v>
      </c>
      <c r="E441" s="53" t="s">
        <v>110</v>
      </c>
      <c r="F441" s="50">
        <v>3</v>
      </c>
      <c r="G441" s="50">
        <v>4</v>
      </c>
      <c r="H441" s="51" t="s">
        <v>2595</v>
      </c>
      <c r="I441" s="50" t="s">
        <v>2596</v>
      </c>
      <c r="J441" s="54" t="s">
        <v>73</v>
      </c>
      <c r="K441" s="53" t="s">
        <v>661</v>
      </c>
      <c r="L441" s="53" t="s">
        <v>2597</v>
      </c>
      <c r="M441" s="53" t="s">
        <v>2598</v>
      </c>
      <c r="N441" s="53"/>
      <c r="O441" s="56">
        <v>1301</v>
      </c>
      <c r="P441" s="56" t="s">
        <v>114</v>
      </c>
      <c r="Q441" s="53" t="s">
        <v>691</v>
      </c>
      <c r="R441" s="50" t="s">
        <v>2599</v>
      </c>
      <c r="S441" s="50">
        <v>1</v>
      </c>
      <c r="T441" s="50">
        <v>0</v>
      </c>
      <c r="U441" s="56" t="s">
        <v>1229</v>
      </c>
      <c r="V441" s="57">
        <v>8.2799999999999994</v>
      </c>
      <c r="W441" s="56"/>
      <c r="X441" s="50"/>
      <c r="Y441" s="50"/>
      <c r="Z441" s="50"/>
      <c r="AA441" s="56"/>
      <c r="AB441" s="57"/>
      <c r="AC441" s="54">
        <v>1</v>
      </c>
      <c r="AD441" s="69">
        <f>SUM(AE441:AK441)</f>
        <v>0</v>
      </c>
      <c r="AE441" s="66"/>
      <c r="AF441" s="66"/>
      <c r="AG441" s="66"/>
      <c r="AH441" s="66"/>
      <c r="AI441" s="66"/>
      <c r="AJ441" s="66"/>
      <c r="AK441" s="66"/>
      <c r="AL441" s="54">
        <f>IF((AC441-SUM(AE441:AK441))&lt;0,0,AC441-SUM(AE441:AK441))</f>
        <v>1</v>
      </c>
      <c r="AM441" s="69">
        <f>SUM(AN441:AT441)</f>
        <v>0</v>
      </c>
      <c r="AN441" s="60"/>
      <c r="AO441" s="52"/>
      <c r="AP441" s="52"/>
      <c r="AQ441" s="52"/>
      <c r="AR441" s="52"/>
      <c r="AS441" s="52"/>
      <c r="AT441" s="61"/>
      <c r="AU441" s="66">
        <f>MAX(0,$AM441-$AC441-$AW441)</f>
        <v>0</v>
      </c>
      <c r="AV441" s="66"/>
      <c r="AW441" s="66"/>
      <c r="AX441" s="65">
        <v>0</v>
      </c>
      <c r="AY441" s="65">
        <f>IF(AND($AU441&gt;0,ISNUMBER($AX441)),$AU441*$AX441,0)</f>
        <v>0</v>
      </c>
      <c r="AZ441" s="46"/>
      <c r="BA441" s="52"/>
      <c r="BB441" s="52"/>
      <c r="BC441" s="52"/>
      <c r="BD441" s="52"/>
      <c r="BE441" s="52"/>
      <c r="BF441" s="52"/>
    </row>
    <row r="442" spans="1:58" ht="15" customHeight="1">
      <c r="A442" s="46" t="s">
        <v>2600</v>
      </c>
      <c r="B442" s="53" t="s">
        <v>2601</v>
      </c>
      <c r="C442" s="66" t="s">
        <v>70</v>
      </c>
      <c r="D442" s="67">
        <v>4</v>
      </c>
      <c r="E442" s="53" t="s">
        <v>81</v>
      </c>
      <c r="F442" s="50">
        <v>3</v>
      </c>
      <c r="G442" s="50">
        <v>3</v>
      </c>
      <c r="H442" s="51" t="s">
        <v>318</v>
      </c>
      <c r="I442" s="50" t="s">
        <v>2602</v>
      </c>
      <c r="J442" s="54" t="s">
        <v>196</v>
      </c>
      <c r="K442" s="58" t="s">
        <v>84</v>
      </c>
      <c r="L442" s="58" t="s">
        <v>2603</v>
      </c>
      <c r="M442" s="58"/>
      <c r="N442" s="58"/>
      <c r="O442" s="54"/>
      <c r="P442" s="56" t="s">
        <v>86</v>
      </c>
      <c r="Q442" s="58" t="s">
        <v>600</v>
      </c>
      <c r="R442" s="50"/>
      <c r="S442" s="50"/>
      <c r="T442" s="50"/>
      <c r="U442" s="50"/>
      <c r="V442" s="57">
        <v>7.65</v>
      </c>
      <c r="W442" s="68"/>
      <c r="X442" s="50"/>
      <c r="Y442" s="50"/>
      <c r="Z442" s="50"/>
      <c r="AA442" s="50"/>
      <c r="AB442" s="57"/>
      <c r="AC442" s="54">
        <v>1</v>
      </c>
      <c r="AD442" s="69">
        <f>SUM(AE442:AK442)</f>
        <v>1</v>
      </c>
      <c r="AE442" s="66"/>
      <c r="AF442" s="66"/>
      <c r="AG442" s="66"/>
      <c r="AH442" s="66"/>
      <c r="AI442" s="66"/>
      <c r="AJ442" s="66">
        <v>1</v>
      </c>
      <c r="AK442" s="66"/>
      <c r="AL442" s="54">
        <f>IF((AC442-SUM(AE442:AK442))&lt;0,0,AC442-SUM(AE442:AK442))</f>
        <v>0</v>
      </c>
      <c r="AM442" s="69">
        <f>SUM(AN442:AT442)</f>
        <v>1</v>
      </c>
      <c r="AN442" s="60"/>
      <c r="AO442" s="52"/>
      <c r="AP442" s="52"/>
      <c r="AQ442" s="52"/>
      <c r="AR442" s="52"/>
      <c r="AS442" s="52">
        <v>1</v>
      </c>
      <c r="AT442" s="61"/>
      <c r="AU442" s="66">
        <f>MAX(0,$AM442-$AC442-$AW442)</f>
        <v>0</v>
      </c>
      <c r="AV442" s="66"/>
      <c r="AW442" s="66"/>
      <c r="AX442" s="65">
        <v>0</v>
      </c>
      <c r="AY442" s="65">
        <f>IF(AND($AU442&gt;0,ISNUMBER($AX442)),$AU442*$AX442,0)</f>
        <v>0</v>
      </c>
      <c r="AZ442" s="46"/>
      <c r="BA442" s="52"/>
      <c r="BB442" s="52"/>
      <c r="BC442" s="52"/>
      <c r="BD442" s="52"/>
      <c r="BE442" s="52"/>
      <c r="BF442" s="52"/>
    </row>
    <row r="443" spans="1:58" ht="15" customHeight="1">
      <c r="A443" s="46" t="s">
        <v>2604</v>
      </c>
      <c r="B443" s="53" t="s">
        <v>2605</v>
      </c>
      <c r="C443" s="66" t="s">
        <v>118</v>
      </c>
      <c r="D443" s="67">
        <v>7</v>
      </c>
      <c r="E443" s="53" t="s">
        <v>71</v>
      </c>
      <c r="F443" s="50"/>
      <c r="G443" s="50"/>
      <c r="H443" s="51"/>
      <c r="I443" s="50" t="s">
        <v>2606</v>
      </c>
      <c r="J443" s="54" t="s">
        <v>73</v>
      </c>
      <c r="K443" s="53" t="s">
        <v>424</v>
      </c>
      <c r="L443" s="53" t="s">
        <v>2607</v>
      </c>
      <c r="M443" s="53"/>
      <c r="N443" s="53"/>
      <c r="O443" s="54"/>
      <c r="P443" s="56" t="s">
        <v>86</v>
      </c>
      <c r="Q443" s="53" t="s">
        <v>691</v>
      </c>
      <c r="R443" s="50" t="s">
        <v>2608</v>
      </c>
      <c r="S443" s="50">
        <v>1</v>
      </c>
      <c r="T443" s="50">
        <v>0</v>
      </c>
      <c r="U443" s="56" t="s">
        <v>2609</v>
      </c>
      <c r="V443" s="57">
        <v>7.62</v>
      </c>
      <c r="W443" s="56"/>
      <c r="X443" s="50"/>
      <c r="Y443" s="50"/>
      <c r="Z443" s="50"/>
      <c r="AA443" s="56"/>
      <c r="AB443" s="57"/>
      <c r="AC443" s="54">
        <v>1</v>
      </c>
      <c r="AD443" s="69">
        <f>SUM(AE443:AK443)</f>
        <v>0</v>
      </c>
      <c r="AE443" s="66"/>
      <c r="AF443" s="66"/>
      <c r="AG443" s="66"/>
      <c r="AH443" s="66"/>
      <c r="AI443" s="66"/>
      <c r="AJ443" s="66"/>
      <c r="AK443" s="66"/>
      <c r="AL443" s="54">
        <f>IF((AC443-SUM(AE443:AK443))&lt;0,0,AC443-SUM(AE443:AK443))</f>
        <v>1</v>
      </c>
      <c r="AM443" s="69">
        <f>SUM(AN443:AT443)</f>
        <v>0</v>
      </c>
      <c r="AN443" s="60"/>
      <c r="AO443" s="52"/>
      <c r="AP443" s="52"/>
      <c r="AQ443" s="52"/>
      <c r="AR443" s="52"/>
      <c r="AS443" s="52"/>
      <c r="AT443" s="61"/>
      <c r="AU443" s="66">
        <f>MAX(0,$AM443-$AC443-$AW443)</f>
        <v>0</v>
      </c>
      <c r="AV443" s="66"/>
      <c r="AW443" s="66"/>
      <c r="AX443" s="65">
        <v>0</v>
      </c>
      <c r="AY443" s="65">
        <f>IF(AND($AU443&gt;0,ISNUMBER($AX443)),$AU443*$AX443,0)</f>
        <v>0</v>
      </c>
      <c r="AZ443" s="46"/>
      <c r="BA443" s="52"/>
      <c r="BB443" s="52"/>
      <c r="BC443" s="52"/>
      <c r="BD443" s="52"/>
      <c r="BE443" s="52"/>
      <c r="BF443" s="52"/>
    </row>
    <row r="444" spans="1:58" ht="15" customHeight="1">
      <c r="A444" s="46" t="s">
        <v>2610</v>
      </c>
      <c r="B444" s="53" t="s">
        <v>2611</v>
      </c>
      <c r="C444" s="66" t="s">
        <v>80</v>
      </c>
      <c r="D444" s="67">
        <v>5</v>
      </c>
      <c r="E444" s="53" t="s">
        <v>2195</v>
      </c>
      <c r="F444" s="50"/>
      <c r="G444" s="50"/>
      <c r="H444" s="51" t="s">
        <v>2612</v>
      </c>
      <c r="I444" s="50" t="s">
        <v>2613</v>
      </c>
      <c r="J444" s="54" t="s">
        <v>73</v>
      </c>
      <c r="K444" s="53" t="s">
        <v>550</v>
      </c>
      <c r="L444" s="53" t="s">
        <v>2614</v>
      </c>
      <c r="M444" s="53" t="s">
        <v>2615</v>
      </c>
      <c r="N444" s="53" t="s">
        <v>2616</v>
      </c>
      <c r="O444" s="54"/>
      <c r="P444" s="56" t="s">
        <v>86</v>
      </c>
      <c r="Q444" s="53" t="s">
        <v>691</v>
      </c>
      <c r="R444" s="50" t="s">
        <v>2617</v>
      </c>
      <c r="S444" s="50">
        <v>1</v>
      </c>
      <c r="T444" s="50">
        <v>0</v>
      </c>
      <c r="U444" s="56" t="s">
        <v>2618</v>
      </c>
      <c r="V444" s="57">
        <v>7.5</v>
      </c>
      <c r="W444" s="56"/>
      <c r="X444" s="50"/>
      <c r="Y444" s="50"/>
      <c r="Z444" s="50"/>
      <c r="AA444" s="56"/>
      <c r="AB444" s="57"/>
      <c r="AC444" s="54">
        <v>1</v>
      </c>
      <c r="AD444" s="69">
        <f>SUM(AE444:AK444)</f>
        <v>0</v>
      </c>
      <c r="AE444" s="66"/>
      <c r="AF444" s="66"/>
      <c r="AG444" s="66"/>
      <c r="AH444" s="66"/>
      <c r="AI444" s="66"/>
      <c r="AJ444" s="66"/>
      <c r="AK444" s="66"/>
      <c r="AL444" s="54">
        <f>IF((AC444-SUM(AE444:AK444))&lt;0,0,AC444-SUM(AE444:AK444))</f>
        <v>1</v>
      </c>
      <c r="AM444" s="69">
        <f>SUM(AN444:AT444)</f>
        <v>0</v>
      </c>
      <c r="AN444" s="60"/>
      <c r="AO444" s="52"/>
      <c r="AP444" s="52"/>
      <c r="AQ444" s="52"/>
      <c r="AR444" s="52"/>
      <c r="AS444" s="52"/>
      <c r="AT444" s="61"/>
      <c r="AU444" s="66">
        <f>MAX(0,$AM444-$AC444-$AW444)</f>
        <v>0</v>
      </c>
      <c r="AV444" s="66"/>
      <c r="AW444" s="66"/>
      <c r="AX444" s="65">
        <v>0</v>
      </c>
      <c r="AY444" s="65">
        <f>IF(AND($AU444&gt;0,ISNUMBER($AX444)),$AU444*$AX444,0)</f>
        <v>0</v>
      </c>
      <c r="AZ444" s="46"/>
      <c r="BA444" s="52"/>
      <c r="BB444" s="52"/>
      <c r="BC444" s="52"/>
      <c r="BD444" s="52"/>
      <c r="BE444" s="52"/>
      <c r="BF444" s="52"/>
    </row>
    <row r="445" spans="1:58" ht="15" customHeight="1">
      <c r="A445" s="46" t="s">
        <v>2619</v>
      </c>
      <c r="B445" s="53" t="s">
        <v>2620</v>
      </c>
      <c r="C445" s="66" t="s">
        <v>70</v>
      </c>
      <c r="D445" s="67">
        <v>3</v>
      </c>
      <c r="E445" s="53" t="s">
        <v>81</v>
      </c>
      <c r="F445" s="50">
        <v>2</v>
      </c>
      <c r="G445" s="50">
        <v>2</v>
      </c>
      <c r="H445" s="51" t="s">
        <v>245</v>
      </c>
      <c r="I445" s="50" t="s">
        <v>2621</v>
      </c>
      <c r="J445" s="54" t="s">
        <v>196</v>
      </c>
      <c r="K445" s="58" t="s">
        <v>84</v>
      </c>
      <c r="L445" s="58" t="s">
        <v>2622</v>
      </c>
      <c r="M445" s="58"/>
      <c r="N445" s="58"/>
      <c r="O445" s="54"/>
      <c r="P445" s="56" t="s">
        <v>86</v>
      </c>
      <c r="Q445" s="58" t="s">
        <v>1016</v>
      </c>
      <c r="R445" s="50"/>
      <c r="S445" s="50"/>
      <c r="T445" s="50"/>
      <c r="U445" s="50"/>
      <c r="V445" s="57">
        <v>6.71</v>
      </c>
      <c r="W445" s="68"/>
      <c r="X445" s="50"/>
      <c r="Y445" s="50"/>
      <c r="Z445" s="50"/>
      <c r="AA445" s="50"/>
      <c r="AB445" s="57"/>
      <c r="AC445" s="54">
        <v>1</v>
      </c>
      <c r="AD445" s="69">
        <f>SUM(AE445:AK445)</f>
        <v>1</v>
      </c>
      <c r="AE445" s="66"/>
      <c r="AF445" s="66"/>
      <c r="AG445" s="66"/>
      <c r="AH445" s="66"/>
      <c r="AI445" s="66"/>
      <c r="AJ445" s="66">
        <v>1</v>
      </c>
      <c r="AK445" s="66"/>
      <c r="AL445" s="54">
        <f>IF((AC445-SUM(AE445:AK445))&lt;0,0,AC445-SUM(AE445:AK445))</f>
        <v>0</v>
      </c>
      <c r="AM445" s="69">
        <f>SUM(AN445:AT445)</f>
        <v>1</v>
      </c>
      <c r="AN445" s="60"/>
      <c r="AO445" s="52"/>
      <c r="AP445" s="52"/>
      <c r="AQ445" s="52"/>
      <c r="AR445" s="52"/>
      <c r="AS445" s="52">
        <v>1</v>
      </c>
      <c r="AT445" s="61"/>
      <c r="AU445" s="66">
        <f>MAX(0,$AM445-$AC445-$AW445)</f>
        <v>0</v>
      </c>
      <c r="AV445" s="66"/>
      <c r="AW445" s="66"/>
      <c r="AX445" s="65">
        <v>0</v>
      </c>
      <c r="AY445" s="65">
        <f>IF(AND($AU445&gt;0,ISNUMBER($AX445)),$AU445*$AX445,0)</f>
        <v>0</v>
      </c>
      <c r="AZ445" s="46"/>
      <c r="BA445" s="52"/>
      <c r="BB445" s="52"/>
      <c r="BC445" s="52"/>
      <c r="BD445" s="52"/>
      <c r="BE445" s="52"/>
      <c r="BF445" s="52"/>
    </row>
    <row r="446" spans="1:58" ht="15" customHeight="1">
      <c r="A446" s="46" t="s">
        <v>2623</v>
      </c>
      <c r="B446" s="53" t="s">
        <v>2624</v>
      </c>
      <c r="C446" s="66" t="s">
        <v>109</v>
      </c>
      <c r="D446" s="67">
        <v>3</v>
      </c>
      <c r="E446" s="53" t="s">
        <v>110</v>
      </c>
      <c r="F446" s="50">
        <v>2</v>
      </c>
      <c r="G446" s="50">
        <v>4</v>
      </c>
      <c r="H446" s="51" t="s">
        <v>1835</v>
      </c>
      <c r="I446" s="50" t="s">
        <v>2625</v>
      </c>
      <c r="J446" s="54" t="s">
        <v>73</v>
      </c>
      <c r="K446" s="58" t="s">
        <v>676</v>
      </c>
      <c r="L446" s="58" t="s">
        <v>2626</v>
      </c>
      <c r="M446" s="58" t="s">
        <v>2627</v>
      </c>
      <c r="N446" s="58"/>
      <c r="O446" s="56">
        <v>418</v>
      </c>
      <c r="P446" s="56" t="s">
        <v>86</v>
      </c>
      <c r="Q446" s="58" t="s">
        <v>2628</v>
      </c>
      <c r="R446" s="50"/>
      <c r="S446" s="50"/>
      <c r="T446" s="50"/>
      <c r="U446" s="50"/>
      <c r="V446" s="57">
        <v>6.28</v>
      </c>
      <c r="W446" s="68"/>
      <c r="X446" s="50"/>
      <c r="Y446" s="50"/>
      <c r="Z446" s="50"/>
      <c r="AA446" s="50"/>
      <c r="AB446" s="57"/>
      <c r="AC446" s="54">
        <v>1</v>
      </c>
      <c r="AD446" s="69">
        <f>SUM(AE446:AK446)</f>
        <v>1</v>
      </c>
      <c r="AE446" s="66"/>
      <c r="AF446" s="66"/>
      <c r="AG446" s="66"/>
      <c r="AH446" s="66"/>
      <c r="AI446" s="66">
        <v>1</v>
      </c>
      <c r="AJ446" s="66"/>
      <c r="AK446" s="66"/>
      <c r="AL446" s="54">
        <f>IF((AC446-SUM(AE446:AK446))&lt;0,0,AC446-SUM(AE446:AK446))</f>
        <v>0</v>
      </c>
      <c r="AM446" s="69">
        <f>SUM(AN446:AT446)</f>
        <v>1</v>
      </c>
      <c r="AN446" s="60"/>
      <c r="AO446" s="52"/>
      <c r="AP446" s="52"/>
      <c r="AQ446" s="52"/>
      <c r="AR446" s="52">
        <v>1</v>
      </c>
      <c r="AS446" s="52"/>
      <c r="AT446" s="61"/>
      <c r="AU446" s="66">
        <f>MAX(0,$AM446-$AC446-$AW446)</f>
        <v>0</v>
      </c>
      <c r="AV446" s="66"/>
      <c r="AW446" s="66"/>
      <c r="AX446" s="65">
        <v>0</v>
      </c>
      <c r="AY446" s="65">
        <f>IF(AND($AU446&gt;0,ISNUMBER($AX446)),$AU446*$AX446,0)</f>
        <v>0</v>
      </c>
      <c r="AZ446" s="46"/>
      <c r="BA446" s="52"/>
      <c r="BB446" s="52"/>
      <c r="BC446" s="52"/>
      <c r="BD446" s="52"/>
      <c r="BE446" s="52"/>
      <c r="BF446" s="52"/>
    </row>
    <row r="447" spans="1:58" ht="15" customHeight="1">
      <c r="A447" s="46" t="s">
        <v>2629</v>
      </c>
      <c r="B447" s="53" t="s">
        <v>2630</v>
      </c>
      <c r="C447" s="66" t="s">
        <v>109</v>
      </c>
      <c r="D447" s="67">
        <v>5</v>
      </c>
      <c r="E447" s="53" t="s">
        <v>110</v>
      </c>
      <c r="F447" s="50">
        <v>2</v>
      </c>
      <c r="G447" s="50">
        <v>4</v>
      </c>
      <c r="H447" s="51" t="s">
        <v>830</v>
      </c>
      <c r="I447" s="50" t="s">
        <v>2631</v>
      </c>
      <c r="J447" s="54" t="s">
        <v>73</v>
      </c>
      <c r="K447" s="58" t="s">
        <v>1163</v>
      </c>
      <c r="L447" s="58" t="s">
        <v>2632</v>
      </c>
      <c r="M447" s="58" t="s">
        <v>2633</v>
      </c>
      <c r="N447" s="58" t="s">
        <v>1654</v>
      </c>
      <c r="O447" s="56">
        <v>256</v>
      </c>
      <c r="P447" s="56" t="s">
        <v>114</v>
      </c>
      <c r="Q447" s="58" t="s">
        <v>229</v>
      </c>
      <c r="R447" s="50"/>
      <c r="S447" s="50"/>
      <c r="T447" s="50"/>
      <c r="U447" s="50"/>
      <c r="V447" s="57">
        <v>6.22</v>
      </c>
      <c r="W447" s="68"/>
      <c r="X447" s="50"/>
      <c r="Y447" s="50"/>
      <c r="Z447" s="50"/>
      <c r="AA447" s="50"/>
      <c r="AB447" s="57"/>
      <c r="AC447" s="54">
        <v>1</v>
      </c>
      <c r="AD447" s="69">
        <f>SUM(AE447:AK447)</f>
        <v>1</v>
      </c>
      <c r="AE447" s="66"/>
      <c r="AF447" s="66">
        <v>1</v>
      </c>
      <c r="AG447" s="66"/>
      <c r="AH447" s="66"/>
      <c r="AI447" s="66"/>
      <c r="AJ447" s="66"/>
      <c r="AK447" s="66"/>
      <c r="AL447" s="54">
        <f>IF((AC447-SUM(AE447:AK447))&lt;0,0,AC447-SUM(AE447:AK447))</f>
        <v>0</v>
      </c>
      <c r="AM447" s="69">
        <f>SUM(AN447:AT447)</f>
        <v>1</v>
      </c>
      <c r="AN447" s="60"/>
      <c r="AO447" s="52">
        <v>1</v>
      </c>
      <c r="AP447" s="52"/>
      <c r="AQ447" s="52"/>
      <c r="AR447" s="52"/>
      <c r="AS447" s="52"/>
      <c r="AT447" s="61"/>
      <c r="AU447" s="66">
        <f>MAX(0,$AM447-$AC447-$AW447)</f>
        <v>0</v>
      </c>
      <c r="AV447" s="66"/>
      <c r="AW447" s="66"/>
      <c r="AX447" s="65">
        <v>0</v>
      </c>
      <c r="AY447" s="65">
        <f>IF(AND($AU447&gt;0,ISNUMBER($AX447)),$AU447*$AX447,0)</f>
        <v>0</v>
      </c>
      <c r="AZ447" s="46"/>
      <c r="BA447" s="52"/>
      <c r="BB447" s="52"/>
      <c r="BC447" s="52"/>
      <c r="BD447" s="52"/>
      <c r="BE447" s="52"/>
      <c r="BF447" s="52"/>
    </row>
    <row r="448" spans="1:58" ht="15" customHeight="1">
      <c r="A448" s="46" t="s">
        <v>2634</v>
      </c>
      <c r="B448" s="53" t="s">
        <v>2635</v>
      </c>
      <c r="C448" s="66" t="s">
        <v>109</v>
      </c>
      <c r="D448" s="67">
        <v>5</v>
      </c>
      <c r="E448" s="53" t="s">
        <v>110</v>
      </c>
      <c r="F448" s="50">
        <v>2</v>
      </c>
      <c r="G448" s="50">
        <v>5</v>
      </c>
      <c r="H448" s="51" t="s">
        <v>495</v>
      </c>
      <c r="I448" s="50" t="s">
        <v>2636</v>
      </c>
      <c r="J448" s="54" t="s">
        <v>73</v>
      </c>
      <c r="K448" s="58" t="s">
        <v>152</v>
      </c>
      <c r="L448" s="58" t="s">
        <v>2637</v>
      </c>
      <c r="M448" s="58" t="s">
        <v>2638</v>
      </c>
      <c r="N448" s="58" t="s">
        <v>2639</v>
      </c>
      <c r="O448" s="56">
        <v>2217</v>
      </c>
      <c r="P448" s="56" t="s">
        <v>86</v>
      </c>
      <c r="Q448" s="58" t="s">
        <v>2285</v>
      </c>
      <c r="R448" s="50"/>
      <c r="S448" s="50"/>
      <c r="T448" s="50"/>
      <c r="U448" s="50"/>
      <c r="V448" s="57">
        <v>6.21</v>
      </c>
      <c r="W448" s="68"/>
      <c r="X448" s="50"/>
      <c r="Y448" s="50"/>
      <c r="Z448" s="50"/>
      <c r="AA448" s="50"/>
      <c r="AB448" s="57"/>
      <c r="AC448" s="54">
        <v>1</v>
      </c>
      <c r="AD448" s="69">
        <f>SUM(AE448:AK448)</f>
        <v>1</v>
      </c>
      <c r="AE448" s="66"/>
      <c r="AF448" s="66"/>
      <c r="AG448" s="66"/>
      <c r="AH448" s="66">
        <v>1</v>
      </c>
      <c r="AI448" s="66"/>
      <c r="AJ448" s="66"/>
      <c r="AK448" s="66"/>
      <c r="AL448" s="54">
        <f>IF((AC448-SUM(AE448:AK448))&lt;0,0,AC448-SUM(AE448:AK448))</f>
        <v>0</v>
      </c>
      <c r="AM448" s="69">
        <f>SUM(AN448:AT448)</f>
        <v>1</v>
      </c>
      <c r="AN448" s="60"/>
      <c r="AO448" s="52"/>
      <c r="AP448" s="52"/>
      <c r="AQ448" s="52">
        <v>1</v>
      </c>
      <c r="AR448" s="52"/>
      <c r="AS448" s="52"/>
      <c r="AT448" s="61"/>
      <c r="AU448" s="66">
        <f>MAX(0,$AM448-$AC448-$AW448)</f>
        <v>0</v>
      </c>
      <c r="AV448" s="66"/>
      <c r="AW448" s="66"/>
      <c r="AX448" s="65">
        <v>0</v>
      </c>
      <c r="AY448" s="65">
        <f>IF(AND($AU448&gt;0,ISNUMBER($AX448)),$AU448*$AX448,0)</f>
        <v>0</v>
      </c>
      <c r="AZ448" s="46"/>
      <c r="BA448" s="52"/>
      <c r="BB448" s="52"/>
      <c r="BC448" s="52"/>
      <c r="BD448" s="52"/>
      <c r="BE448" s="52"/>
      <c r="BF448" s="52"/>
    </row>
    <row r="449" spans="1:58" ht="15" customHeight="1">
      <c r="A449" s="46" t="s">
        <v>2640</v>
      </c>
      <c r="B449" s="53" t="s">
        <v>2641</v>
      </c>
      <c r="C449" s="66" t="s">
        <v>101</v>
      </c>
      <c r="D449" s="67">
        <v>3</v>
      </c>
      <c r="E449" s="53" t="s">
        <v>384</v>
      </c>
      <c r="F449" s="50"/>
      <c r="G449" s="50"/>
      <c r="H449" s="51" t="s">
        <v>1256</v>
      </c>
      <c r="I449" s="50" t="s">
        <v>2642</v>
      </c>
      <c r="J449" s="54" t="s">
        <v>73</v>
      </c>
      <c r="K449" s="58" t="s">
        <v>135</v>
      </c>
      <c r="L449" s="58" t="s">
        <v>2643</v>
      </c>
      <c r="M449" s="58"/>
      <c r="N449" s="58"/>
      <c r="O449" s="54"/>
      <c r="P449" s="56" t="s">
        <v>86</v>
      </c>
      <c r="Q449" s="58" t="s">
        <v>1410</v>
      </c>
      <c r="R449" s="54"/>
      <c r="S449" s="54"/>
      <c r="T449" s="54"/>
      <c r="U449" s="54"/>
      <c r="V449" s="57">
        <v>6.16</v>
      </c>
      <c r="W449" s="68"/>
      <c r="X449" s="54"/>
      <c r="Y449" s="54"/>
      <c r="Z449" s="54"/>
      <c r="AA449" s="54"/>
      <c r="AB449" s="57"/>
      <c r="AC449" s="54">
        <v>1</v>
      </c>
      <c r="AD449" s="69">
        <f>SUM(AE449:AK449)</f>
        <v>1</v>
      </c>
      <c r="AE449" s="66"/>
      <c r="AF449" s="66">
        <v>1</v>
      </c>
      <c r="AG449" s="66"/>
      <c r="AH449" s="66"/>
      <c r="AI449" s="66"/>
      <c r="AJ449" s="66"/>
      <c r="AK449" s="66"/>
      <c r="AL449" s="54">
        <f>IF((AC449-SUM(AE449:AK449))&lt;0,0,AC449-SUM(AE449:AK449))</f>
        <v>0</v>
      </c>
      <c r="AM449" s="69">
        <f>SUM(AN449:AT449)</f>
        <v>1</v>
      </c>
      <c r="AN449" s="60"/>
      <c r="AO449" s="52">
        <v>1</v>
      </c>
      <c r="AP449" s="52"/>
      <c r="AQ449" s="52"/>
      <c r="AR449" s="52"/>
      <c r="AS449" s="52"/>
      <c r="AT449" s="61"/>
      <c r="AU449" s="66">
        <f>MAX(0,$AM449-$AC449-$AW449)</f>
        <v>0</v>
      </c>
      <c r="AV449" s="66"/>
      <c r="AW449" s="66"/>
      <c r="AX449" s="65">
        <v>0</v>
      </c>
      <c r="AY449" s="65">
        <f>IF(AND($AU449&gt;0,ISNUMBER($AX449)),$AU449*$AX449,0)</f>
        <v>0</v>
      </c>
      <c r="AZ449" s="46"/>
      <c r="BA449" s="52"/>
      <c r="BB449" s="52"/>
      <c r="BC449" s="52"/>
      <c r="BD449" s="52"/>
      <c r="BE449" s="52"/>
      <c r="BF449" s="52"/>
    </row>
    <row r="450" spans="1:58" ht="15" customHeight="1">
      <c r="A450" s="46" t="s">
        <v>2644</v>
      </c>
      <c r="B450" s="53" t="s">
        <v>2645</v>
      </c>
      <c r="C450" s="66" t="s">
        <v>70</v>
      </c>
      <c r="D450" s="67">
        <v>2</v>
      </c>
      <c r="E450" s="53" t="s">
        <v>189</v>
      </c>
      <c r="F450" s="50"/>
      <c r="G450" s="50"/>
      <c r="H450" s="51"/>
      <c r="I450" s="50" t="s">
        <v>2646</v>
      </c>
      <c r="J450" s="54" t="s">
        <v>73</v>
      </c>
      <c r="K450" s="53" t="s">
        <v>135</v>
      </c>
      <c r="L450" s="53" t="s">
        <v>2647</v>
      </c>
      <c r="M450" s="53" t="s">
        <v>2648</v>
      </c>
      <c r="N450" s="53"/>
      <c r="O450" s="54"/>
      <c r="P450" s="56" t="s">
        <v>185</v>
      </c>
      <c r="Q450" s="53" t="s">
        <v>691</v>
      </c>
      <c r="R450" s="50" t="s">
        <v>2649</v>
      </c>
      <c r="S450" s="50">
        <v>1</v>
      </c>
      <c r="T450" s="50">
        <v>0</v>
      </c>
      <c r="U450" s="56" t="s">
        <v>2650</v>
      </c>
      <c r="V450" s="57">
        <v>5.99</v>
      </c>
      <c r="W450" s="56"/>
      <c r="X450" s="50"/>
      <c r="Y450" s="50"/>
      <c r="Z450" s="50"/>
      <c r="AA450" s="56"/>
      <c r="AB450" s="57"/>
      <c r="AC450" s="54">
        <v>1</v>
      </c>
      <c r="AD450" s="69">
        <f>SUM(AE450:AK450)</f>
        <v>0</v>
      </c>
      <c r="AE450" s="66"/>
      <c r="AF450" s="66"/>
      <c r="AG450" s="66"/>
      <c r="AH450" s="66"/>
      <c r="AI450" s="66"/>
      <c r="AJ450" s="66"/>
      <c r="AK450" s="66"/>
      <c r="AL450" s="54">
        <f>IF((AC450-SUM(AE450:AK450))&lt;0,0,AC450-SUM(AE450:AK450))</f>
        <v>1</v>
      </c>
      <c r="AM450" s="69">
        <f>SUM(AN450:AT450)</f>
        <v>0</v>
      </c>
      <c r="AN450" s="60"/>
      <c r="AO450" s="52"/>
      <c r="AP450" s="52"/>
      <c r="AQ450" s="52"/>
      <c r="AR450" s="52"/>
      <c r="AS450" s="52"/>
      <c r="AT450" s="61"/>
      <c r="AU450" s="66">
        <f>MAX(0,$AM450-$AC450-$AW450)</f>
        <v>0</v>
      </c>
      <c r="AV450" s="66"/>
      <c r="AW450" s="66"/>
      <c r="AX450" s="65">
        <v>0</v>
      </c>
      <c r="AY450" s="65">
        <f>IF(AND($AU450&gt;0,ISNUMBER($AX450)),$AU450*$AX450,0)</f>
        <v>0</v>
      </c>
      <c r="AZ450" s="46"/>
      <c r="BA450" s="52"/>
      <c r="BB450" s="52"/>
      <c r="BC450" s="52"/>
      <c r="BD450" s="52"/>
      <c r="BE450" s="52"/>
      <c r="BF450" s="52"/>
    </row>
    <row r="451" spans="1:58" ht="15" customHeight="1">
      <c r="A451" s="46" t="s">
        <v>1663</v>
      </c>
      <c r="B451" s="53" t="s">
        <v>2651</v>
      </c>
      <c r="C451" s="66" t="s">
        <v>80</v>
      </c>
      <c r="D451" s="67">
        <v>3</v>
      </c>
      <c r="E451" s="53" t="s">
        <v>384</v>
      </c>
      <c r="F451" s="50"/>
      <c r="G451" s="50"/>
      <c r="H451" s="51"/>
      <c r="I451" s="50" t="s">
        <v>2652</v>
      </c>
      <c r="J451" s="54" t="s">
        <v>73</v>
      </c>
      <c r="K451" s="58" t="s">
        <v>550</v>
      </c>
      <c r="L451" s="58" t="s">
        <v>2653</v>
      </c>
      <c r="M451" s="58" t="s">
        <v>2654</v>
      </c>
      <c r="N451" s="58"/>
      <c r="O451" s="54"/>
      <c r="P451" s="56" t="s">
        <v>86</v>
      </c>
      <c r="Q451" s="58" t="s">
        <v>432</v>
      </c>
      <c r="R451" s="50"/>
      <c r="S451" s="50"/>
      <c r="T451" s="50"/>
      <c r="U451" s="50"/>
      <c r="V451" s="57">
        <v>5.95</v>
      </c>
      <c r="W451" s="68"/>
      <c r="X451" s="50"/>
      <c r="Y451" s="50"/>
      <c r="Z451" s="50"/>
      <c r="AA451" s="50"/>
      <c r="AB451" s="57"/>
      <c r="AC451" s="54">
        <v>1</v>
      </c>
      <c r="AD451" s="69">
        <f>SUM(AE451:AK451)</f>
        <v>0</v>
      </c>
      <c r="AE451" s="66"/>
      <c r="AF451" s="66"/>
      <c r="AG451" s="66"/>
      <c r="AH451" s="66"/>
      <c r="AI451" s="66"/>
      <c r="AJ451" s="66"/>
      <c r="AK451" s="66"/>
      <c r="AL451" s="54">
        <f>IF((AC451-SUM(AE451:AK451))&lt;0,0,AC451-SUM(AE451:AK451))</f>
        <v>1</v>
      </c>
      <c r="AM451" s="69">
        <f>SUM(AN451:AT451)</f>
        <v>1</v>
      </c>
      <c r="AN451" s="60"/>
      <c r="AO451" s="52">
        <v>1</v>
      </c>
      <c r="AP451" s="52"/>
      <c r="AQ451" s="52"/>
      <c r="AR451" s="52"/>
      <c r="AS451" s="52"/>
      <c r="AT451" s="61"/>
      <c r="AU451" s="66">
        <f>MAX(0,$AM451-$AC451-$AW451)</f>
        <v>0</v>
      </c>
      <c r="AV451" s="66"/>
      <c r="AW451" s="66"/>
      <c r="AX451" s="65">
        <v>0</v>
      </c>
      <c r="AY451" s="65">
        <f>IF(AND($AU451&gt;0,ISNUMBER($AX451)),$AU451*$AX451,0)</f>
        <v>0</v>
      </c>
      <c r="AZ451" s="46"/>
      <c r="BA451" s="52"/>
      <c r="BB451" s="52"/>
      <c r="BC451" s="52"/>
      <c r="BD451" s="52"/>
      <c r="BE451" s="52"/>
      <c r="BF451" s="52"/>
    </row>
    <row r="452" spans="1:58" ht="15" customHeight="1">
      <c r="A452" s="46" t="s">
        <v>2655</v>
      </c>
      <c r="B452" s="53" t="s">
        <v>2656</v>
      </c>
      <c r="C452" s="66" t="s">
        <v>101</v>
      </c>
      <c r="D452" s="67">
        <v>2</v>
      </c>
      <c r="E452" s="53" t="s">
        <v>81</v>
      </c>
      <c r="F452" s="50">
        <v>2</v>
      </c>
      <c r="G452" s="50">
        <v>3</v>
      </c>
      <c r="H452" s="51" t="s">
        <v>972</v>
      </c>
      <c r="I452" s="50" t="s">
        <v>2657</v>
      </c>
      <c r="J452" s="54" t="s">
        <v>73</v>
      </c>
      <c r="K452" s="53" t="s">
        <v>474</v>
      </c>
      <c r="L452" s="53" t="s">
        <v>2658</v>
      </c>
      <c r="M452" s="53" t="s">
        <v>2659</v>
      </c>
      <c r="N452" s="53" t="s">
        <v>242</v>
      </c>
      <c r="O452" s="54"/>
      <c r="P452" s="56" t="s">
        <v>86</v>
      </c>
      <c r="Q452" s="53" t="s">
        <v>691</v>
      </c>
      <c r="R452" s="50" t="s">
        <v>2660</v>
      </c>
      <c r="S452" s="50">
        <v>1</v>
      </c>
      <c r="T452" s="50">
        <v>1</v>
      </c>
      <c r="U452" s="56" t="s">
        <v>2618</v>
      </c>
      <c r="V452" s="57">
        <v>5.37</v>
      </c>
      <c r="W452" s="56"/>
      <c r="X452" s="50"/>
      <c r="Y452" s="50"/>
      <c r="Z452" s="50"/>
      <c r="AA452" s="56"/>
      <c r="AB452" s="57"/>
      <c r="AC452" s="54">
        <v>1</v>
      </c>
      <c r="AD452" s="69">
        <f>SUM(AE452:AK452)</f>
        <v>0</v>
      </c>
      <c r="AE452" s="66"/>
      <c r="AF452" s="66"/>
      <c r="AG452" s="66"/>
      <c r="AH452" s="66"/>
      <c r="AI452" s="66"/>
      <c r="AJ452" s="66"/>
      <c r="AK452" s="66"/>
      <c r="AL452" s="54">
        <f>IF((AC452-SUM(AE452:AK452))&lt;0,0,AC452-SUM(AE452:AK452))</f>
        <v>1</v>
      </c>
      <c r="AM452" s="69">
        <f>SUM(AN452:AT452)</f>
        <v>0</v>
      </c>
      <c r="AN452" s="60"/>
      <c r="AO452" s="52"/>
      <c r="AP452" s="52"/>
      <c r="AQ452" s="52"/>
      <c r="AR452" s="52"/>
      <c r="AS452" s="52"/>
      <c r="AT452" s="61"/>
      <c r="AU452" s="66">
        <f>MAX(0,$AM452-$AC452-$AW452)</f>
        <v>0</v>
      </c>
      <c r="AV452" s="66"/>
      <c r="AW452" s="66"/>
      <c r="AX452" s="65">
        <v>0</v>
      </c>
      <c r="AY452" s="65">
        <f>IF(AND($AU452&gt;0,ISNUMBER($AX452)),$AU452*$AX452,0)</f>
        <v>0</v>
      </c>
      <c r="AZ452" s="46"/>
      <c r="BA452" s="52"/>
      <c r="BB452" s="52"/>
      <c r="BC452" s="52"/>
      <c r="BD452" s="52"/>
      <c r="BE452" s="52"/>
      <c r="BF452" s="52"/>
    </row>
    <row r="453" spans="1:58" ht="15" customHeight="1">
      <c r="A453" s="46" t="s">
        <v>2661</v>
      </c>
      <c r="B453" s="53" t="s">
        <v>2662</v>
      </c>
      <c r="C453" s="66" t="s">
        <v>181</v>
      </c>
      <c r="D453" s="67">
        <v>2</v>
      </c>
      <c r="E453" s="53" t="s">
        <v>71</v>
      </c>
      <c r="F453" s="50"/>
      <c r="G453" s="50"/>
      <c r="H453" s="51"/>
      <c r="I453" s="50" t="s">
        <v>2663</v>
      </c>
      <c r="J453" s="54" t="s">
        <v>73</v>
      </c>
      <c r="K453" s="53" t="s">
        <v>2664</v>
      </c>
      <c r="L453" s="53" t="s">
        <v>2665</v>
      </c>
      <c r="M453" s="53"/>
      <c r="N453" s="53"/>
      <c r="O453" s="54"/>
      <c r="P453" s="56" t="s">
        <v>86</v>
      </c>
      <c r="Q453" s="53" t="s">
        <v>691</v>
      </c>
      <c r="R453" s="50" t="s">
        <v>2666</v>
      </c>
      <c r="S453" s="50">
        <v>1</v>
      </c>
      <c r="T453" s="50">
        <v>0</v>
      </c>
      <c r="U453" s="56" t="s">
        <v>2667</v>
      </c>
      <c r="V453" s="57">
        <v>5.37</v>
      </c>
      <c r="W453" s="56"/>
      <c r="X453" s="50"/>
      <c r="Y453" s="50"/>
      <c r="Z453" s="50"/>
      <c r="AA453" s="56"/>
      <c r="AB453" s="57"/>
      <c r="AC453" s="54">
        <v>1</v>
      </c>
      <c r="AD453" s="69">
        <f>SUM(AE453:AK453)</f>
        <v>0</v>
      </c>
      <c r="AE453" s="66"/>
      <c r="AF453" s="66"/>
      <c r="AG453" s="66"/>
      <c r="AH453" s="66"/>
      <c r="AI453" s="66"/>
      <c r="AJ453" s="66"/>
      <c r="AK453" s="66"/>
      <c r="AL453" s="54">
        <f>IF((AC453-SUM(AE453:AK453))&lt;0,0,AC453-SUM(AE453:AK453))</f>
        <v>1</v>
      </c>
      <c r="AM453" s="69">
        <f>SUM(AN453:AT453)</f>
        <v>0</v>
      </c>
      <c r="AN453" s="60"/>
      <c r="AO453" s="52"/>
      <c r="AP453" s="52"/>
      <c r="AQ453" s="52"/>
      <c r="AR453" s="52"/>
      <c r="AS453" s="52"/>
      <c r="AT453" s="61"/>
      <c r="AU453" s="66">
        <f>MAX(0,$AM453-$AC453-$AW453)</f>
        <v>0</v>
      </c>
      <c r="AV453" s="66"/>
      <c r="AW453" s="66"/>
      <c r="AX453" s="65">
        <v>0</v>
      </c>
      <c r="AY453" s="65">
        <f>IF(AND($AU453&gt;0,ISNUMBER($AX453)),$AU453*$AX453,0)</f>
        <v>0</v>
      </c>
      <c r="AZ453" s="46"/>
      <c r="BA453" s="52"/>
      <c r="BB453" s="52"/>
      <c r="BC453" s="52"/>
      <c r="BD453" s="52"/>
      <c r="BE453" s="52"/>
      <c r="BF453" s="52"/>
    </row>
    <row r="454" spans="1:58" ht="15" customHeight="1">
      <c r="A454" s="46" t="s">
        <v>2668</v>
      </c>
      <c r="B454" s="53" t="s">
        <v>2669</v>
      </c>
      <c r="C454" s="66" t="s">
        <v>109</v>
      </c>
      <c r="D454" s="67">
        <v>3</v>
      </c>
      <c r="E454" s="53" t="s">
        <v>110</v>
      </c>
      <c r="F454" s="50">
        <v>2</v>
      </c>
      <c r="G454" s="50">
        <v>4</v>
      </c>
      <c r="H454" s="51" t="s">
        <v>2670</v>
      </c>
      <c r="I454" s="50" t="s">
        <v>2671</v>
      </c>
      <c r="J454" s="54" t="s">
        <v>73</v>
      </c>
      <c r="K454" s="53" t="s">
        <v>344</v>
      </c>
      <c r="L454" s="53" t="s">
        <v>2672</v>
      </c>
      <c r="M454" s="53" t="s">
        <v>2673</v>
      </c>
      <c r="N454" s="53"/>
      <c r="O454" s="56">
        <v>1119</v>
      </c>
      <c r="P454" s="56" t="s">
        <v>86</v>
      </c>
      <c r="Q454" s="53" t="s">
        <v>691</v>
      </c>
      <c r="R454" s="50" t="s">
        <v>2674</v>
      </c>
      <c r="S454" s="50">
        <v>1</v>
      </c>
      <c r="T454" s="50">
        <v>0</v>
      </c>
      <c r="U454" s="56" t="s">
        <v>2618</v>
      </c>
      <c r="V454" s="57">
        <v>5.33</v>
      </c>
      <c r="W454" s="56"/>
      <c r="X454" s="50"/>
      <c r="Y454" s="50"/>
      <c r="Z454" s="50"/>
      <c r="AA454" s="56"/>
      <c r="AB454" s="57"/>
      <c r="AC454" s="54">
        <v>1</v>
      </c>
      <c r="AD454" s="69">
        <f>SUM(AE454:AK454)</f>
        <v>0</v>
      </c>
      <c r="AE454" s="66"/>
      <c r="AF454" s="66"/>
      <c r="AG454" s="66"/>
      <c r="AH454" s="66"/>
      <c r="AI454" s="66"/>
      <c r="AJ454" s="66"/>
      <c r="AK454" s="66"/>
      <c r="AL454" s="54">
        <f>IF((AC454-SUM(AE454:AK454))&lt;0,0,AC454-SUM(AE454:AK454))</f>
        <v>1</v>
      </c>
      <c r="AM454" s="69">
        <f>SUM(AN454:AT454)</f>
        <v>0</v>
      </c>
      <c r="AN454" s="60"/>
      <c r="AO454" s="52"/>
      <c r="AP454" s="52"/>
      <c r="AQ454" s="52"/>
      <c r="AR454" s="52"/>
      <c r="AS454" s="52"/>
      <c r="AT454" s="61"/>
      <c r="AU454" s="66">
        <f>MAX(0,$AM454-$AC454-$AW454)</f>
        <v>0</v>
      </c>
      <c r="AV454" s="66"/>
      <c r="AW454" s="66"/>
      <c r="AX454" s="65">
        <v>0</v>
      </c>
      <c r="AY454" s="65">
        <f>IF(AND($AU454&gt;0,ISNUMBER($AX454)),$AU454*$AX454,0)</f>
        <v>0</v>
      </c>
      <c r="AZ454" s="46"/>
      <c r="BA454" s="52"/>
      <c r="BB454" s="52"/>
      <c r="BC454" s="52"/>
      <c r="BD454" s="52"/>
      <c r="BE454" s="52"/>
      <c r="BF454" s="52"/>
    </row>
    <row r="455" spans="1:58" ht="15" customHeight="1">
      <c r="A455" s="46" t="s">
        <v>2675</v>
      </c>
      <c r="B455" s="53" t="s">
        <v>2676</v>
      </c>
      <c r="C455" s="66" t="s">
        <v>118</v>
      </c>
      <c r="D455" s="67">
        <v>1</v>
      </c>
      <c r="E455" s="53" t="s">
        <v>189</v>
      </c>
      <c r="F455" s="50"/>
      <c r="G455" s="50"/>
      <c r="H455" s="51"/>
      <c r="I455" s="50" t="s">
        <v>2677</v>
      </c>
      <c r="J455" s="54" t="s">
        <v>73</v>
      </c>
      <c r="K455" s="58" t="s">
        <v>202</v>
      </c>
      <c r="L455" s="58" t="s">
        <v>2678</v>
      </c>
      <c r="M455" s="58" t="s">
        <v>2679</v>
      </c>
      <c r="N455" s="58"/>
      <c r="O455" s="54"/>
      <c r="P455" s="56" t="s">
        <v>76</v>
      </c>
      <c r="Q455" s="58" t="s">
        <v>293</v>
      </c>
      <c r="R455" s="54"/>
      <c r="S455" s="54"/>
      <c r="T455" s="54"/>
      <c r="U455" s="54"/>
      <c r="V455" s="57">
        <v>5.26</v>
      </c>
      <c r="W455" s="68"/>
      <c r="X455" s="54"/>
      <c r="Y455" s="54"/>
      <c r="Z455" s="54"/>
      <c r="AA455" s="54"/>
      <c r="AB455" s="57"/>
      <c r="AC455" s="54">
        <v>1</v>
      </c>
      <c r="AD455" s="69">
        <f>SUM(AE455:AK455)</f>
        <v>1</v>
      </c>
      <c r="AE455" s="66"/>
      <c r="AF455" s="66">
        <v>1</v>
      </c>
      <c r="AG455" s="66"/>
      <c r="AH455" s="66"/>
      <c r="AI455" s="66"/>
      <c r="AJ455" s="66"/>
      <c r="AK455" s="66"/>
      <c r="AL455" s="54">
        <f>IF((AC455-SUM(AE455:AK455))&lt;0,0,AC455-SUM(AE455:AK455))</f>
        <v>0</v>
      </c>
      <c r="AM455" s="69">
        <f>SUM(AN455:AT455)</f>
        <v>1</v>
      </c>
      <c r="AN455" s="60"/>
      <c r="AO455" s="52">
        <v>1</v>
      </c>
      <c r="AP455" s="52"/>
      <c r="AQ455" s="52"/>
      <c r="AR455" s="52"/>
      <c r="AS455" s="52"/>
      <c r="AT455" s="61"/>
      <c r="AU455" s="66">
        <f>MAX(0,$AM455-$AC455-$AW455)</f>
        <v>0</v>
      </c>
      <c r="AV455" s="66"/>
      <c r="AW455" s="66"/>
      <c r="AX455" s="65">
        <v>0</v>
      </c>
      <c r="AY455" s="65">
        <f>IF(AND($AU455&gt;0,ISNUMBER($AX455)),$AU455*$AX455,0)</f>
        <v>0</v>
      </c>
      <c r="AZ455" s="46"/>
      <c r="BA455" s="52"/>
      <c r="BB455" s="52"/>
      <c r="BC455" s="52"/>
      <c r="BD455" s="52"/>
      <c r="BE455" s="52"/>
      <c r="BF455" s="52"/>
    </row>
    <row r="456" spans="1:58" ht="15" customHeight="1">
      <c r="A456" s="46" t="s">
        <v>2680</v>
      </c>
      <c r="B456" s="53" t="s">
        <v>2681</v>
      </c>
      <c r="C456" s="66" t="s">
        <v>70</v>
      </c>
      <c r="D456" s="67">
        <v>3</v>
      </c>
      <c r="E456" s="53" t="s">
        <v>384</v>
      </c>
      <c r="F456" s="50"/>
      <c r="G456" s="50"/>
      <c r="H456" s="51"/>
      <c r="I456" s="50" t="s">
        <v>2682</v>
      </c>
      <c r="J456" s="54" t="s">
        <v>196</v>
      </c>
      <c r="K456" s="58" t="s">
        <v>84</v>
      </c>
      <c r="L456" s="58" t="s">
        <v>2683</v>
      </c>
      <c r="M456" s="58"/>
      <c r="N456" s="58"/>
      <c r="O456" s="54"/>
      <c r="P456" s="56" t="s">
        <v>86</v>
      </c>
      <c r="Q456" s="58" t="s">
        <v>873</v>
      </c>
      <c r="R456" s="54"/>
      <c r="S456" s="54"/>
      <c r="T456" s="54"/>
      <c r="U456" s="54"/>
      <c r="V456" s="57">
        <v>4.8099999999999996</v>
      </c>
      <c r="W456" s="68"/>
      <c r="X456" s="54"/>
      <c r="Y456" s="54"/>
      <c r="Z456" s="54"/>
      <c r="AA456" s="54"/>
      <c r="AB456" s="57"/>
      <c r="AC456" s="54">
        <v>1</v>
      </c>
      <c r="AD456" s="69">
        <f>SUM(AE456:AK456)</f>
        <v>1</v>
      </c>
      <c r="AE456" s="66"/>
      <c r="AF456" s="66"/>
      <c r="AG456" s="66"/>
      <c r="AH456" s="66"/>
      <c r="AI456" s="66"/>
      <c r="AJ456" s="66">
        <v>1</v>
      </c>
      <c r="AK456" s="66"/>
      <c r="AL456" s="54">
        <f>IF((AC456-SUM(AE456:AK456))&lt;0,0,AC456-SUM(AE456:AK456))</f>
        <v>0</v>
      </c>
      <c r="AM456" s="69">
        <f>SUM(AN456:AT456)</f>
        <v>1</v>
      </c>
      <c r="AN456" s="60"/>
      <c r="AO456" s="52"/>
      <c r="AP456" s="52"/>
      <c r="AQ456" s="52"/>
      <c r="AR456" s="52"/>
      <c r="AS456" s="52">
        <v>1</v>
      </c>
      <c r="AT456" s="61"/>
      <c r="AU456" s="66">
        <f>MAX(0,$AM456-$AC456-$AW456)</f>
        <v>0</v>
      </c>
      <c r="AV456" s="66"/>
      <c r="AW456" s="66"/>
      <c r="AX456" s="65">
        <v>0</v>
      </c>
      <c r="AY456" s="65">
        <f>IF(AND($AU456&gt;0,ISNUMBER($AX456)),$AU456*$AX456,0)</f>
        <v>0</v>
      </c>
      <c r="AZ456" s="46"/>
      <c r="BA456" s="52"/>
      <c r="BB456" s="52"/>
      <c r="BC456" s="52"/>
      <c r="BD456" s="52"/>
      <c r="BE456" s="52"/>
      <c r="BF456" s="52"/>
    </row>
    <row r="457" spans="1:58" ht="15" customHeight="1">
      <c r="A457" s="46" t="s">
        <v>2684</v>
      </c>
      <c r="B457" s="53" t="s">
        <v>2685</v>
      </c>
      <c r="C457" s="66" t="s">
        <v>118</v>
      </c>
      <c r="D457" s="67">
        <v>3</v>
      </c>
      <c r="E457" s="53" t="s">
        <v>81</v>
      </c>
      <c r="F457" s="50">
        <v>2</v>
      </c>
      <c r="G457" s="50">
        <v>2</v>
      </c>
      <c r="H457" s="51" t="s">
        <v>1232</v>
      </c>
      <c r="I457" s="50" t="s">
        <v>2686</v>
      </c>
      <c r="J457" s="54" t="s">
        <v>196</v>
      </c>
      <c r="K457" s="58" t="s">
        <v>92</v>
      </c>
      <c r="L457" s="58" t="s">
        <v>2687</v>
      </c>
      <c r="M457" s="58"/>
      <c r="N457" s="58"/>
      <c r="O457" s="54"/>
      <c r="P457" s="56" t="s">
        <v>86</v>
      </c>
      <c r="Q457" s="58" t="s">
        <v>1360</v>
      </c>
      <c r="R457" s="54"/>
      <c r="S457" s="54"/>
      <c r="T457" s="54"/>
      <c r="U457" s="54"/>
      <c r="V457" s="57">
        <v>4.76</v>
      </c>
      <c r="W457" s="68"/>
      <c r="X457" s="54"/>
      <c r="Y457" s="54"/>
      <c r="Z457" s="54"/>
      <c r="AA457" s="54"/>
      <c r="AB457" s="57"/>
      <c r="AC457" s="54">
        <v>1</v>
      </c>
      <c r="AD457" s="69">
        <f>SUM(AE457:AK457)</f>
        <v>1</v>
      </c>
      <c r="AE457" s="66"/>
      <c r="AF457" s="66"/>
      <c r="AG457" s="66"/>
      <c r="AH457" s="66">
        <v>1</v>
      </c>
      <c r="AI457" s="66"/>
      <c r="AJ457" s="66"/>
      <c r="AK457" s="66"/>
      <c r="AL457" s="54">
        <f>IF((AC457-SUM(AE457:AK457))&lt;0,0,AC457-SUM(AE457:AK457))</f>
        <v>0</v>
      </c>
      <c r="AM457" s="69">
        <f>SUM(AN457:AT457)</f>
        <v>1</v>
      </c>
      <c r="AN457" s="60"/>
      <c r="AO457" s="52"/>
      <c r="AP457" s="52"/>
      <c r="AQ457" s="52">
        <v>1</v>
      </c>
      <c r="AR457" s="52"/>
      <c r="AS457" s="52"/>
      <c r="AT457" s="61"/>
      <c r="AU457" s="66">
        <f>MAX(0,$AM457-$AC457-$AW457)</f>
        <v>0</v>
      </c>
      <c r="AV457" s="66"/>
      <c r="AW457" s="66"/>
      <c r="AX457" s="65">
        <v>0</v>
      </c>
      <c r="AY457" s="65">
        <f>IF(AND($AU457&gt;0,ISNUMBER($AX457)),$AU457*$AX457,0)</f>
        <v>0</v>
      </c>
      <c r="AZ457" s="46"/>
      <c r="BA457" s="52"/>
      <c r="BB457" s="52"/>
      <c r="BC457" s="52"/>
      <c r="BD457" s="52"/>
      <c r="BE457" s="52"/>
      <c r="BF457" s="52"/>
    </row>
    <row r="458" spans="1:58" ht="15" customHeight="1">
      <c r="A458" s="46" t="s">
        <v>2688</v>
      </c>
      <c r="B458" s="53" t="s">
        <v>2689</v>
      </c>
      <c r="C458" s="66" t="s">
        <v>181</v>
      </c>
      <c r="D458" s="67">
        <v>4</v>
      </c>
      <c r="E458" s="53" t="s">
        <v>81</v>
      </c>
      <c r="F458" s="50">
        <v>1</v>
      </c>
      <c r="G458" s="50">
        <v>4</v>
      </c>
      <c r="H458" s="51" t="s">
        <v>2690</v>
      </c>
      <c r="I458" s="50" t="s">
        <v>2691</v>
      </c>
      <c r="J458" s="54" t="s">
        <v>196</v>
      </c>
      <c r="K458" s="58" t="s">
        <v>129</v>
      </c>
      <c r="L458" s="58" t="s">
        <v>2692</v>
      </c>
      <c r="M458" s="58"/>
      <c r="N458" s="58"/>
      <c r="O458" s="54"/>
      <c r="P458" s="56" t="s">
        <v>185</v>
      </c>
      <c r="Q458" s="58" t="s">
        <v>1405</v>
      </c>
      <c r="R458" s="50"/>
      <c r="S458" s="50"/>
      <c r="T458" s="50"/>
      <c r="U458" s="50"/>
      <c r="V458" s="57">
        <v>4.68</v>
      </c>
      <c r="W458" s="68"/>
      <c r="X458" s="50"/>
      <c r="Y458" s="50"/>
      <c r="Z458" s="50"/>
      <c r="AA458" s="50"/>
      <c r="AB458" s="57"/>
      <c r="AC458" s="54">
        <v>1</v>
      </c>
      <c r="AD458" s="69">
        <f>SUM(AE458:AK458)</f>
        <v>1</v>
      </c>
      <c r="AE458" s="66"/>
      <c r="AF458" s="66"/>
      <c r="AG458" s="66"/>
      <c r="AH458" s="66"/>
      <c r="AI458" s="66">
        <v>1</v>
      </c>
      <c r="AJ458" s="66"/>
      <c r="AK458" s="66"/>
      <c r="AL458" s="54">
        <f>IF((AC458-SUM(AE458:AK458))&lt;0,0,AC458-SUM(AE458:AK458))</f>
        <v>0</v>
      </c>
      <c r="AM458" s="69">
        <f>SUM(AN458:AT458)</f>
        <v>1</v>
      </c>
      <c r="AN458" s="60"/>
      <c r="AO458" s="52"/>
      <c r="AP458" s="52"/>
      <c r="AQ458" s="52"/>
      <c r="AR458" s="52">
        <v>1</v>
      </c>
      <c r="AS458" s="52"/>
      <c r="AT458" s="61"/>
      <c r="AU458" s="66">
        <f>MAX(0,$AM458-$AC458-$AW458)</f>
        <v>0</v>
      </c>
      <c r="AV458" s="66"/>
      <c r="AW458" s="66"/>
      <c r="AX458" s="65">
        <v>0</v>
      </c>
      <c r="AY458" s="65">
        <f>IF(AND($AU458&gt;0,ISNUMBER($AX458)),$AU458*$AX458,0)</f>
        <v>0</v>
      </c>
      <c r="AZ458" s="46"/>
      <c r="BA458" s="52"/>
      <c r="BB458" s="52"/>
      <c r="BC458" s="52"/>
      <c r="BD458" s="52"/>
      <c r="BE458" s="52"/>
      <c r="BF458" s="52"/>
    </row>
    <row r="459" spans="1:58" ht="15" customHeight="1">
      <c r="A459" s="46" t="s">
        <v>2693</v>
      </c>
      <c r="B459" s="53" t="s">
        <v>2694</v>
      </c>
      <c r="C459" s="66" t="s">
        <v>109</v>
      </c>
      <c r="D459" s="67">
        <v>4</v>
      </c>
      <c r="E459" s="53" t="s">
        <v>110</v>
      </c>
      <c r="F459" s="50">
        <v>3</v>
      </c>
      <c r="G459" s="50">
        <v>5</v>
      </c>
      <c r="H459" s="51" t="s">
        <v>2695</v>
      </c>
      <c r="I459" s="50" t="s">
        <v>2696</v>
      </c>
      <c r="J459" s="54" t="s">
        <v>73</v>
      </c>
      <c r="K459" s="58" t="s">
        <v>164</v>
      </c>
      <c r="L459" s="58" t="s">
        <v>2697</v>
      </c>
      <c r="M459" s="58" t="s">
        <v>2698</v>
      </c>
      <c r="N459" s="58"/>
      <c r="O459" s="56">
        <v>42</v>
      </c>
      <c r="P459" s="56" t="s">
        <v>114</v>
      </c>
      <c r="Q459" s="58" t="s">
        <v>600</v>
      </c>
      <c r="R459" s="50"/>
      <c r="S459" s="50"/>
      <c r="T459" s="50"/>
      <c r="U459" s="56"/>
      <c r="V459" s="57">
        <v>4.66</v>
      </c>
      <c r="W459" s="68"/>
      <c r="X459" s="50"/>
      <c r="Y459" s="50"/>
      <c r="Z459" s="50"/>
      <c r="AA459" s="56"/>
      <c r="AB459" s="57"/>
      <c r="AC459" s="54">
        <v>1</v>
      </c>
      <c r="AD459" s="69">
        <f>SUM(AE459:AK459)</f>
        <v>1</v>
      </c>
      <c r="AE459" s="66"/>
      <c r="AF459" s="66">
        <v>1</v>
      </c>
      <c r="AG459" s="66"/>
      <c r="AH459" s="66"/>
      <c r="AI459" s="66"/>
      <c r="AJ459" s="66"/>
      <c r="AK459" s="66"/>
      <c r="AL459" s="54">
        <f>IF((AC459-SUM(AE459:AK459))&lt;0,0,AC459-SUM(AE459:AK459))</f>
        <v>0</v>
      </c>
      <c r="AM459" s="69">
        <f>SUM(AN459:AT459)</f>
        <v>0</v>
      </c>
      <c r="AN459" s="60"/>
      <c r="AO459" s="52"/>
      <c r="AP459" s="52"/>
      <c r="AQ459" s="52"/>
      <c r="AR459" s="52"/>
      <c r="AS459" s="52"/>
      <c r="AT459" s="61"/>
      <c r="AU459" s="66">
        <f>MAX(0,$AM459-$AC459-$AW459)</f>
        <v>0</v>
      </c>
      <c r="AV459" s="66"/>
      <c r="AW459" s="66"/>
      <c r="AX459" s="65">
        <v>0</v>
      </c>
      <c r="AY459" s="65">
        <f>IF(AND($AU459&gt;0,ISNUMBER($AX459)),$AU459*$AX459,0)</f>
        <v>0</v>
      </c>
      <c r="AZ459" s="46"/>
      <c r="BA459" s="52" t="s">
        <v>406</v>
      </c>
      <c r="BB459" s="52"/>
      <c r="BC459" s="52"/>
      <c r="BD459" s="52"/>
      <c r="BE459" s="52"/>
      <c r="BF459" s="52"/>
    </row>
    <row r="460" spans="1:58" ht="15" customHeight="1">
      <c r="A460" s="46" t="s">
        <v>2699</v>
      </c>
      <c r="B460" s="47" t="s">
        <v>2700</v>
      </c>
      <c r="C460" s="48" t="s">
        <v>70</v>
      </c>
      <c r="D460" s="49">
        <v>3</v>
      </c>
      <c r="E460" s="47" t="s">
        <v>110</v>
      </c>
      <c r="F460" s="50">
        <v>2</v>
      </c>
      <c r="G460" s="50">
        <v>3</v>
      </c>
      <c r="H460" s="51" t="s">
        <v>2701</v>
      </c>
      <c r="I460" s="50" t="s">
        <v>2702</v>
      </c>
      <c r="J460" s="52" t="s">
        <v>73</v>
      </c>
      <c r="K460" s="47" t="s">
        <v>386</v>
      </c>
      <c r="L460" s="53" t="s">
        <v>2703</v>
      </c>
      <c r="M460" s="53" t="s">
        <v>2704</v>
      </c>
      <c r="N460" s="53"/>
      <c r="O460" s="56">
        <v>1964</v>
      </c>
      <c r="P460" s="55" t="s">
        <v>114</v>
      </c>
      <c r="Q460" s="47" t="s">
        <v>633</v>
      </c>
      <c r="R460" s="75" t="s">
        <v>2705</v>
      </c>
      <c r="S460" s="75">
        <v>1</v>
      </c>
      <c r="T460" s="75">
        <v>0</v>
      </c>
      <c r="U460" s="56"/>
      <c r="V460" s="57">
        <v>4.6500000000000004</v>
      </c>
      <c r="W460" s="68"/>
      <c r="X460" s="46"/>
      <c r="Y460" s="46"/>
      <c r="Z460" s="46"/>
      <c r="AA460" s="56"/>
      <c r="AB460" s="57"/>
      <c r="AC460" s="54">
        <v>1</v>
      </c>
      <c r="AD460" s="69">
        <f>SUM(AE460:AK460)</f>
        <v>0</v>
      </c>
      <c r="AE460" s="66"/>
      <c r="AF460" s="66"/>
      <c r="AG460" s="66"/>
      <c r="AH460" s="66"/>
      <c r="AI460" s="66"/>
      <c r="AJ460" s="66"/>
      <c r="AK460" s="66"/>
      <c r="AL460" s="54">
        <f>IF((AC460-SUM(AE460:AK460))&lt;0,0,AC460-SUM(AE460:AK460))</f>
        <v>1</v>
      </c>
      <c r="AM460" s="69">
        <f>SUM(AN460:AT460)</f>
        <v>0</v>
      </c>
      <c r="AN460" s="60"/>
      <c r="AO460" s="52"/>
      <c r="AP460" s="52"/>
      <c r="AQ460" s="52"/>
      <c r="AR460" s="52"/>
      <c r="AS460" s="52"/>
      <c r="AT460" s="61"/>
      <c r="AU460" s="66">
        <f>MAX(0,$AM460-$AC460-$AW460)</f>
        <v>0</v>
      </c>
      <c r="AV460" s="48"/>
      <c r="AW460" s="48"/>
      <c r="AX460" s="65">
        <v>0</v>
      </c>
      <c r="AY460" s="65">
        <f>IF(AND($AU460&gt;0,ISNUMBER($AX460)),$AU460*$AX460,0)</f>
        <v>0</v>
      </c>
      <c r="AZ460" s="46"/>
      <c r="BA460" s="52"/>
      <c r="BB460" s="52"/>
      <c r="BC460" s="52"/>
      <c r="BD460" s="52"/>
      <c r="BE460" s="52"/>
      <c r="BF460" s="52"/>
    </row>
    <row r="461" spans="1:58" ht="15" customHeight="1">
      <c r="A461" s="46" t="s">
        <v>2706</v>
      </c>
      <c r="B461" s="53" t="s">
        <v>2707</v>
      </c>
      <c r="C461" s="66" t="s">
        <v>101</v>
      </c>
      <c r="D461" s="67">
        <v>7</v>
      </c>
      <c r="E461" s="53" t="s">
        <v>81</v>
      </c>
      <c r="F461" s="50">
        <v>7</v>
      </c>
      <c r="G461" s="50">
        <v>7</v>
      </c>
      <c r="H461" s="51" t="s">
        <v>936</v>
      </c>
      <c r="I461" s="50" t="s">
        <v>2708</v>
      </c>
      <c r="J461" s="54" t="s">
        <v>73</v>
      </c>
      <c r="K461" s="58" t="s">
        <v>661</v>
      </c>
      <c r="L461" s="58" t="s">
        <v>2709</v>
      </c>
      <c r="M461" s="58" t="s">
        <v>2710</v>
      </c>
      <c r="N461" s="58"/>
      <c r="O461" s="54"/>
      <c r="P461" s="56" t="s">
        <v>86</v>
      </c>
      <c r="Q461" s="58" t="s">
        <v>131</v>
      </c>
      <c r="R461" s="50"/>
      <c r="S461" s="50"/>
      <c r="T461" s="50"/>
      <c r="U461" s="50"/>
      <c r="V461" s="57">
        <v>4.47</v>
      </c>
      <c r="W461" s="68"/>
      <c r="X461" s="50"/>
      <c r="Y461" s="50"/>
      <c r="Z461" s="50"/>
      <c r="AA461" s="50"/>
      <c r="AB461" s="57"/>
      <c r="AC461" s="54">
        <v>1</v>
      </c>
      <c r="AD461" s="69">
        <f>SUM(AE461:AK461)</f>
        <v>1</v>
      </c>
      <c r="AE461" s="66"/>
      <c r="AF461" s="66"/>
      <c r="AG461" s="66"/>
      <c r="AH461" s="66">
        <v>1</v>
      </c>
      <c r="AI461" s="66"/>
      <c r="AJ461" s="66"/>
      <c r="AK461" s="66"/>
      <c r="AL461" s="54">
        <f>IF((AC461-SUM(AE461:AK461))&lt;0,0,AC461-SUM(AE461:AK461))</f>
        <v>0</v>
      </c>
      <c r="AM461" s="69">
        <f>SUM(AN461:AT461)</f>
        <v>0</v>
      </c>
      <c r="AN461" s="60"/>
      <c r="AO461" s="52"/>
      <c r="AP461" s="52"/>
      <c r="AQ461" s="52"/>
      <c r="AR461" s="52"/>
      <c r="AS461" s="52"/>
      <c r="AT461" s="61"/>
      <c r="AU461" s="66">
        <f>MAX(0,$AM461-$AC461-$AW461)</f>
        <v>0</v>
      </c>
      <c r="AV461" s="66"/>
      <c r="AW461" s="66"/>
      <c r="AX461" s="65">
        <v>0</v>
      </c>
      <c r="AY461" s="65">
        <f>IF(AND($AU461&gt;0,ISNUMBER($AX461)),$AU461*$AX461,0)</f>
        <v>0</v>
      </c>
      <c r="AZ461" s="46"/>
      <c r="BA461" s="52"/>
      <c r="BB461" s="52"/>
      <c r="BC461" s="52" t="s">
        <v>493</v>
      </c>
      <c r="BD461" s="52"/>
      <c r="BE461" s="52"/>
      <c r="BF461" s="52"/>
    </row>
    <row r="462" spans="1:58" ht="15" customHeight="1">
      <c r="A462" s="46" t="s">
        <v>2711</v>
      </c>
      <c r="B462" s="53" t="s">
        <v>2712</v>
      </c>
      <c r="C462" s="66" t="s">
        <v>70</v>
      </c>
      <c r="D462" s="67">
        <v>2</v>
      </c>
      <c r="E462" s="53" t="s">
        <v>81</v>
      </c>
      <c r="F462" s="50">
        <v>2</v>
      </c>
      <c r="G462" s="50">
        <v>2</v>
      </c>
      <c r="H462" s="51" t="s">
        <v>856</v>
      </c>
      <c r="I462" s="50" t="s">
        <v>2713</v>
      </c>
      <c r="J462" s="54" t="s">
        <v>196</v>
      </c>
      <c r="K462" s="58" t="s">
        <v>550</v>
      </c>
      <c r="L462" s="58" t="s">
        <v>2714</v>
      </c>
      <c r="M462" s="58"/>
      <c r="N462" s="58"/>
      <c r="O462" s="54"/>
      <c r="P462" s="56" t="s">
        <v>86</v>
      </c>
      <c r="Q462" s="58" t="s">
        <v>256</v>
      </c>
      <c r="R462" s="50"/>
      <c r="S462" s="50"/>
      <c r="T462" s="50"/>
      <c r="U462" s="50"/>
      <c r="V462" s="57">
        <v>4.4400000000000004</v>
      </c>
      <c r="W462" s="68"/>
      <c r="X462" s="50"/>
      <c r="Y462" s="50"/>
      <c r="Z462" s="50"/>
      <c r="AA462" s="50"/>
      <c r="AB462" s="57"/>
      <c r="AC462" s="54">
        <v>1</v>
      </c>
      <c r="AD462" s="69">
        <f>SUM(AE462:AK462)</f>
        <v>1</v>
      </c>
      <c r="AE462" s="66"/>
      <c r="AF462" s="66"/>
      <c r="AG462" s="66"/>
      <c r="AH462" s="66"/>
      <c r="AI462" s="66"/>
      <c r="AJ462" s="66">
        <v>1</v>
      </c>
      <c r="AK462" s="66"/>
      <c r="AL462" s="54">
        <f>IF((AC462-SUM(AE462:AK462))&lt;0,0,AC462-SUM(AE462:AK462))</f>
        <v>0</v>
      </c>
      <c r="AM462" s="69">
        <f>SUM(AN462:AT462)</f>
        <v>1</v>
      </c>
      <c r="AN462" s="60"/>
      <c r="AO462" s="52"/>
      <c r="AP462" s="52"/>
      <c r="AQ462" s="52"/>
      <c r="AR462" s="52"/>
      <c r="AS462" s="52">
        <v>1</v>
      </c>
      <c r="AT462" s="61"/>
      <c r="AU462" s="66">
        <f>MAX(0,$AM462-$AC462-$AW462)</f>
        <v>0</v>
      </c>
      <c r="AV462" s="66"/>
      <c r="AW462" s="66"/>
      <c r="AX462" s="65">
        <v>0</v>
      </c>
      <c r="AY462" s="65">
        <f>IF(AND($AU462&gt;0,ISNUMBER($AX462)),$AU462*$AX462,0)</f>
        <v>0</v>
      </c>
      <c r="AZ462" s="46"/>
      <c r="BA462" s="52"/>
      <c r="BB462" s="52"/>
      <c r="BC462" s="52"/>
      <c r="BD462" s="52"/>
      <c r="BE462" s="52"/>
      <c r="BF462" s="52"/>
    </row>
    <row r="463" spans="1:58" ht="15" customHeight="1">
      <c r="A463" s="46" t="s">
        <v>2715</v>
      </c>
      <c r="B463" s="53" t="s">
        <v>2716</v>
      </c>
      <c r="C463" s="66" t="s">
        <v>101</v>
      </c>
      <c r="D463" s="67">
        <v>3</v>
      </c>
      <c r="E463" s="53" t="s">
        <v>81</v>
      </c>
      <c r="F463" s="50">
        <v>5</v>
      </c>
      <c r="G463" s="50">
        <v>5</v>
      </c>
      <c r="H463" s="51" t="s">
        <v>2717</v>
      </c>
      <c r="I463" s="50" t="s">
        <v>2718</v>
      </c>
      <c r="J463" s="54" t="s">
        <v>73</v>
      </c>
      <c r="K463" s="58" t="s">
        <v>104</v>
      </c>
      <c r="L463" s="58" t="s">
        <v>2719</v>
      </c>
      <c r="M463" s="58" t="s">
        <v>2720</v>
      </c>
      <c r="N463" s="58"/>
      <c r="O463" s="54"/>
      <c r="P463" s="56" t="s">
        <v>86</v>
      </c>
      <c r="Q463" s="58" t="s">
        <v>1405</v>
      </c>
      <c r="R463" s="50"/>
      <c r="S463" s="50"/>
      <c r="T463" s="50"/>
      <c r="U463" s="56"/>
      <c r="V463" s="57">
        <v>4.3099999999999996</v>
      </c>
      <c r="W463" s="68"/>
      <c r="X463" s="50"/>
      <c r="Y463" s="50"/>
      <c r="Z463" s="50"/>
      <c r="AA463" s="56"/>
      <c r="AB463" s="57"/>
      <c r="AC463" s="54">
        <v>1</v>
      </c>
      <c r="AD463" s="69">
        <f>SUM(AE463:AK463)</f>
        <v>1</v>
      </c>
      <c r="AE463" s="66"/>
      <c r="AF463" s="66"/>
      <c r="AG463" s="66"/>
      <c r="AH463" s="66"/>
      <c r="AI463" s="66"/>
      <c r="AJ463" s="66"/>
      <c r="AK463" s="66">
        <v>1</v>
      </c>
      <c r="AL463" s="54">
        <f>IF((AC463-SUM(AE463:AK463))&lt;0,0,AC463-SUM(AE463:AK463))</f>
        <v>0</v>
      </c>
      <c r="AM463" s="69">
        <f>SUM(AN463:AT463)</f>
        <v>1</v>
      </c>
      <c r="AN463" s="60"/>
      <c r="AO463" s="52"/>
      <c r="AP463" s="52"/>
      <c r="AQ463" s="52"/>
      <c r="AR463" s="52"/>
      <c r="AS463" s="52"/>
      <c r="AT463" s="61">
        <v>1</v>
      </c>
      <c r="AU463" s="66">
        <f>MAX(0,$AM463-$AC463-$AW463)</f>
        <v>0</v>
      </c>
      <c r="AV463" s="66"/>
      <c r="AW463" s="66"/>
      <c r="AX463" s="65">
        <v>0</v>
      </c>
      <c r="AY463" s="65">
        <f>IF(AND($AU463&gt;0,ISNUMBER($AX463)),$AU463*$AX463,0)</f>
        <v>0</v>
      </c>
      <c r="AZ463" s="46"/>
      <c r="BA463" s="52"/>
      <c r="BB463" s="52"/>
      <c r="BC463" s="52"/>
      <c r="BD463" s="52"/>
      <c r="BE463" s="52"/>
      <c r="BF463" s="52"/>
    </row>
    <row r="464" spans="1:58" ht="15" customHeight="1">
      <c r="A464" s="46" t="s">
        <v>2721</v>
      </c>
      <c r="B464" s="47" t="s">
        <v>2722</v>
      </c>
      <c r="C464" s="48" t="s">
        <v>109</v>
      </c>
      <c r="D464" s="49">
        <v>5</v>
      </c>
      <c r="E464" s="47" t="s">
        <v>81</v>
      </c>
      <c r="F464" s="50">
        <v>6</v>
      </c>
      <c r="G464" s="50">
        <v>5</v>
      </c>
      <c r="H464" s="51" t="s">
        <v>2723</v>
      </c>
      <c r="I464" s="50" t="s">
        <v>2724</v>
      </c>
      <c r="J464" s="52" t="s">
        <v>73</v>
      </c>
      <c r="K464" s="47" t="s">
        <v>726</v>
      </c>
      <c r="L464" s="53" t="s">
        <v>2725</v>
      </c>
      <c r="M464" s="53" t="s">
        <v>2726</v>
      </c>
      <c r="N464" s="53"/>
      <c r="O464" s="54"/>
      <c r="P464" s="55" t="s">
        <v>114</v>
      </c>
      <c r="Q464" s="47" t="s">
        <v>669</v>
      </c>
      <c r="R464" s="75" t="s">
        <v>2727</v>
      </c>
      <c r="S464" s="75">
        <v>1</v>
      </c>
      <c r="T464" s="75">
        <v>0</v>
      </c>
      <c r="U464" s="56" t="s">
        <v>1215</v>
      </c>
      <c r="V464" s="63">
        <v>4.2300000000000004</v>
      </c>
      <c r="W464" s="64"/>
      <c r="X464" s="46"/>
      <c r="Y464" s="46"/>
      <c r="Z464" s="46"/>
      <c r="AA464" s="56"/>
      <c r="AB464" s="63"/>
      <c r="AC464" s="52">
        <v>1</v>
      </c>
      <c r="AD464" s="69">
        <f>SUM(AE464:AK464)</f>
        <v>0</v>
      </c>
      <c r="AE464" s="66"/>
      <c r="AF464" s="66"/>
      <c r="AG464" s="66"/>
      <c r="AH464" s="66"/>
      <c r="AI464" s="66"/>
      <c r="AJ464" s="66"/>
      <c r="AK464" s="66"/>
      <c r="AL464" s="54">
        <f>IF((AC464-SUM(AE464:AK464))&lt;0,0,AC464-SUM(AE464:AK464))</f>
        <v>1</v>
      </c>
      <c r="AM464" s="69">
        <f>SUM(AN464:AT464)</f>
        <v>0</v>
      </c>
      <c r="AN464" s="60"/>
      <c r="AO464" s="52"/>
      <c r="AP464" s="52"/>
      <c r="AQ464" s="52"/>
      <c r="AR464" s="52"/>
      <c r="AS464" s="52"/>
      <c r="AT464" s="61"/>
      <c r="AU464" s="66">
        <f>MAX(0,$AM464-$AC464-$AW464)</f>
        <v>0</v>
      </c>
      <c r="AV464" s="48"/>
      <c r="AW464" s="48"/>
      <c r="AX464" s="65">
        <v>0</v>
      </c>
      <c r="AY464" s="65">
        <f>IF(AND($AU464&gt;0,ISNUMBER($AX464)),$AU464*$AX464,0)</f>
        <v>0</v>
      </c>
      <c r="AZ464" s="46"/>
      <c r="BA464" s="52"/>
      <c r="BB464" s="52"/>
      <c r="BC464" s="52"/>
      <c r="BD464" s="52"/>
      <c r="BE464" s="52"/>
      <c r="BF464" s="52"/>
    </row>
    <row r="465" spans="1:58" ht="15" customHeight="1">
      <c r="A465" s="46" t="s">
        <v>2728</v>
      </c>
      <c r="B465" s="53" t="s">
        <v>2729</v>
      </c>
      <c r="C465" s="66" t="s">
        <v>101</v>
      </c>
      <c r="D465" s="67">
        <v>5</v>
      </c>
      <c r="E465" s="53" t="s">
        <v>2195</v>
      </c>
      <c r="F465" s="50"/>
      <c r="G465" s="50"/>
      <c r="H465" s="51" t="s">
        <v>2730</v>
      </c>
      <c r="I465" s="50" t="s">
        <v>2731</v>
      </c>
      <c r="J465" s="54" t="s">
        <v>73</v>
      </c>
      <c r="K465" s="58" t="s">
        <v>104</v>
      </c>
      <c r="L465" s="58" t="s">
        <v>2732</v>
      </c>
      <c r="M465" s="58" t="s">
        <v>2733</v>
      </c>
      <c r="N465" s="58" t="s">
        <v>2734</v>
      </c>
      <c r="O465" s="56">
        <v>862</v>
      </c>
      <c r="P465" s="56" t="s">
        <v>86</v>
      </c>
      <c r="Q465" s="58" t="s">
        <v>1410</v>
      </c>
      <c r="R465" s="50"/>
      <c r="S465" s="50"/>
      <c r="T465" s="50"/>
      <c r="U465" s="50"/>
      <c r="V465" s="57">
        <v>4.22</v>
      </c>
      <c r="W465" s="68"/>
      <c r="X465" s="50"/>
      <c r="Y465" s="50"/>
      <c r="Z465" s="50"/>
      <c r="AA465" s="50"/>
      <c r="AB465" s="57"/>
      <c r="AC465" s="54">
        <v>1</v>
      </c>
      <c r="AD465" s="69">
        <f>SUM(AE465:AK465)</f>
        <v>1</v>
      </c>
      <c r="AE465" s="66"/>
      <c r="AF465" s="66"/>
      <c r="AG465" s="66"/>
      <c r="AH465" s="66">
        <v>1</v>
      </c>
      <c r="AI465" s="66"/>
      <c r="AJ465" s="66"/>
      <c r="AK465" s="66"/>
      <c r="AL465" s="54">
        <f>IF((AC465-SUM(AE465:AK465))&lt;0,0,AC465-SUM(AE465:AK465))</f>
        <v>0</v>
      </c>
      <c r="AM465" s="69">
        <f>SUM(AN465:AT465)</f>
        <v>1</v>
      </c>
      <c r="AN465" s="60"/>
      <c r="AO465" s="52"/>
      <c r="AP465" s="52"/>
      <c r="AQ465" s="52">
        <v>1</v>
      </c>
      <c r="AR465" s="52"/>
      <c r="AS465" s="52"/>
      <c r="AT465" s="61"/>
      <c r="AU465" s="66">
        <f>MAX(0,$AM465-$AC465-$AW465)</f>
        <v>0</v>
      </c>
      <c r="AV465" s="66"/>
      <c r="AW465" s="66"/>
      <c r="AX465" s="65">
        <v>0</v>
      </c>
      <c r="AY465" s="65">
        <f>IF(AND($AU465&gt;0,ISNUMBER($AX465)),$AU465*$AX465,0)</f>
        <v>0</v>
      </c>
      <c r="AZ465" s="46"/>
      <c r="BA465" s="52"/>
      <c r="BB465" s="52"/>
      <c r="BC465" s="52"/>
      <c r="BD465" s="52"/>
      <c r="BE465" s="52"/>
      <c r="BF465" s="52"/>
    </row>
    <row r="466" spans="1:58" ht="15" customHeight="1">
      <c r="A466" s="46" t="s">
        <v>2735</v>
      </c>
      <c r="B466" s="53" t="s">
        <v>2736</v>
      </c>
      <c r="C466" s="66" t="s">
        <v>181</v>
      </c>
      <c r="D466" s="67">
        <v>3</v>
      </c>
      <c r="E466" s="53" t="s">
        <v>384</v>
      </c>
      <c r="F466" s="50"/>
      <c r="G466" s="50"/>
      <c r="H466" s="51"/>
      <c r="I466" s="50" t="s">
        <v>2737</v>
      </c>
      <c r="J466" s="54" t="s">
        <v>196</v>
      </c>
      <c r="K466" s="58" t="s">
        <v>92</v>
      </c>
      <c r="L466" s="58" t="s">
        <v>2737</v>
      </c>
      <c r="M466" s="58"/>
      <c r="N466" s="58"/>
      <c r="O466" s="54"/>
      <c r="P466" s="56" t="s">
        <v>86</v>
      </c>
      <c r="Q466" s="58" t="s">
        <v>420</v>
      </c>
      <c r="R466" s="50"/>
      <c r="S466" s="50"/>
      <c r="T466" s="50"/>
      <c r="U466" s="50"/>
      <c r="V466" s="57">
        <v>4.1900000000000004</v>
      </c>
      <c r="W466" s="68"/>
      <c r="X466" s="50"/>
      <c r="Y466" s="50"/>
      <c r="Z466" s="50"/>
      <c r="AA466" s="50"/>
      <c r="AB466" s="57"/>
      <c r="AC466" s="54">
        <v>1</v>
      </c>
      <c r="AD466" s="69">
        <f>SUM(AE466:AK466)</f>
        <v>1</v>
      </c>
      <c r="AE466" s="66"/>
      <c r="AF466" s="66"/>
      <c r="AG466" s="66"/>
      <c r="AH466" s="66"/>
      <c r="AI466" s="66"/>
      <c r="AJ466" s="66"/>
      <c r="AK466" s="66">
        <v>1</v>
      </c>
      <c r="AL466" s="54">
        <f>IF((AC466-SUM(AE466:AK466))&lt;0,0,AC466-SUM(AE466:AK466))</f>
        <v>0</v>
      </c>
      <c r="AM466" s="69">
        <f>SUM(AN466:AT466)</f>
        <v>1</v>
      </c>
      <c r="AN466" s="60"/>
      <c r="AO466" s="52"/>
      <c r="AP466" s="52"/>
      <c r="AQ466" s="52"/>
      <c r="AR466" s="52"/>
      <c r="AS466" s="52"/>
      <c r="AT466" s="61">
        <v>1</v>
      </c>
      <c r="AU466" s="66">
        <f>MAX(0,$AM466-$AC466-$AW466)</f>
        <v>0</v>
      </c>
      <c r="AV466" s="66"/>
      <c r="AW466" s="66"/>
      <c r="AX466" s="65">
        <v>0</v>
      </c>
      <c r="AY466" s="65">
        <f>IF(AND($AU466&gt;0,ISNUMBER($AX466)),$AU466*$AX466,0)</f>
        <v>0</v>
      </c>
      <c r="AZ466" s="46"/>
      <c r="BA466" s="52"/>
      <c r="BB466" s="52"/>
      <c r="BC466" s="52"/>
      <c r="BD466" s="52"/>
      <c r="BE466" s="52"/>
      <c r="BF466" s="52"/>
    </row>
    <row r="467" spans="1:58" ht="15" customHeight="1">
      <c r="A467" s="46" t="s">
        <v>2738</v>
      </c>
      <c r="B467" s="53" t="s">
        <v>2739</v>
      </c>
      <c r="C467" s="66" t="s">
        <v>101</v>
      </c>
      <c r="D467" s="67">
        <v>4</v>
      </c>
      <c r="E467" s="53" t="s">
        <v>384</v>
      </c>
      <c r="F467" s="50"/>
      <c r="G467" s="50"/>
      <c r="H467" s="51"/>
      <c r="I467" s="50" t="s">
        <v>2740</v>
      </c>
      <c r="J467" s="54" t="s">
        <v>73</v>
      </c>
      <c r="K467" s="58" t="s">
        <v>2741</v>
      </c>
      <c r="L467" s="58" t="s">
        <v>2742</v>
      </c>
      <c r="M467" s="58"/>
      <c r="N467" s="58"/>
      <c r="O467" s="54"/>
      <c r="P467" s="56" t="s">
        <v>185</v>
      </c>
      <c r="Q467" s="58" t="s">
        <v>410</v>
      </c>
      <c r="R467" s="50"/>
      <c r="S467" s="50"/>
      <c r="T467" s="50"/>
      <c r="U467" s="56"/>
      <c r="V467" s="57">
        <v>4.12</v>
      </c>
      <c r="W467" s="68"/>
      <c r="X467" s="50"/>
      <c r="Y467" s="50"/>
      <c r="Z467" s="50"/>
      <c r="AA467" s="56"/>
      <c r="AB467" s="57"/>
      <c r="AC467" s="54">
        <v>1</v>
      </c>
      <c r="AD467" s="69">
        <f>SUM(AE467:AK467)</f>
        <v>0</v>
      </c>
      <c r="AE467" s="66"/>
      <c r="AF467" s="66"/>
      <c r="AG467" s="66"/>
      <c r="AH467" s="66"/>
      <c r="AI467" s="66"/>
      <c r="AJ467" s="66"/>
      <c r="AK467" s="66"/>
      <c r="AL467" s="54">
        <f>IF((AC467-SUM(AE467:AK467))&lt;0,0,AC467-SUM(AE467:AK467))</f>
        <v>1</v>
      </c>
      <c r="AM467" s="69">
        <f>SUM(AN467:AT467)</f>
        <v>0</v>
      </c>
      <c r="AN467" s="60"/>
      <c r="AO467" s="52"/>
      <c r="AP467" s="52"/>
      <c r="AQ467" s="52"/>
      <c r="AR467" s="52"/>
      <c r="AS467" s="52"/>
      <c r="AT467" s="61"/>
      <c r="AU467" s="66">
        <f>MAX(0,$AM467-$AC467-$AW467)</f>
        <v>0</v>
      </c>
      <c r="AV467" s="66"/>
      <c r="AW467" s="66"/>
      <c r="AX467" s="65">
        <v>0</v>
      </c>
      <c r="AY467" s="65">
        <f>IF(AND($AU467&gt;0,ISNUMBER($AX467)),$AU467*$AX467,0)</f>
        <v>0</v>
      </c>
      <c r="AZ467" s="46"/>
      <c r="BA467" s="52"/>
      <c r="BB467" s="52"/>
      <c r="BC467" s="52"/>
      <c r="BD467" s="52"/>
      <c r="BE467" s="52"/>
      <c r="BF467" s="52"/>
    </row>
    <row r="468" spans="1:58" ht="15" customHeight="1">
      <c r="A468" s="46" t="s">
        <v>2743</v>
      </c>
      <c r="B468" s="53" t="s">
        <v>2744</v>
      </c>
      <c r="C468" s="66" t="s">
        <v>311</v>
      </c>
      <c r="D468" s="67">
        <v>0</v>
      </c>
      <c r="E468" s="53" t="s">
        <v>312</v>
      </c>
      <c r="F468" s="50"/>
      <c r="G468" s="50"/>
      <c r="H468" s="51"/>
      <c r="I468" s="50" t="s">
        <v>2745</v>
      </c>
      <c r="J468" s="54" t="s">
        <v>73</v>
      </c>
      <c r="K468" s="53" t="s">
        <v>312</v>
      </c>
      <c r="L468" s="53" t="s">
        <v>1014</v>
      </c>
      <c r="M468" s="53" t="s">
        <v>2746</v>
      </c>
      <c r="N468" s="53"/>
      <c r="O468" s="54"/>
      <c r="P468" s="56" t="s">
        <v>86</v>
      </c>
      <c r="Q468" s="53" t="s">
        <v>691</v>
      </c>
      <c r="R468" s="50" t="s">
        <v>2747</v>
      </c>
      <c r="S468" s="50">
        <v>1</v>
      </c>
      <c r="T468" s="50">
        <v>0</v>
      </c>
      <c r="U468" s="56" t="s">
        <v>2748</v>
      </c>
      <c r="V468" s="57">
        <v>4.03</v>
      </c>
      <c r="W468" s="56"/>
      <c r="X468" s="50"/>
      <c r="Y468" s="50"/>
      <c r="Z468" s="50"/>
      <c r="AA468" s="56"/>
      <c r="AB468" s="57"/>
      <c r="AC468" s="54">
        <v>1</v>
      </c>
      <c r="AD468" s="69">
        <f>SUM(AE468:AK468)</f>
        <v>0</v>
      </c>
      <c r="AE468" s="66"/>
      <c r="AF468" s="66"/>
      <c r="AG468" s="66"/>
      <c r="AH468" s="66"/>
      <c r="AI468" s="66"/>
      <c r="AJ468" s="66"/>
      <c r="AK468" s="66"/>
      <c r="AL468" s="54">
        <f>IF((AC468-SUM(AE468:AK468))&lt;0,0,AC468-SUM(AE468:AK468))</f>
        <v>1</v>
      </c>
      <c r="AM468" s="69">
        <f>SUM(AN468:AT468)</f>
        <v>0</v>
      </c>
      <c r="AN468" s="60"/>
      <c r="AO468" s="52"/>
      <c r="AP468" s="52"/>
      <c r="AQ468" s="52"/>
      <c r="AR468" s="52"/>
      <c r="AS468" s="52"/>
      <c r="AT468" s="61"/>
      <c r="AU468" s="66">
        <f>MAX(0,$AM468-$AC468-$AW468)</f>
        <v>0</v>
      </c>
      <c r="AV468" s="66"/>
      <c r="AW468" s="66"/>
      <c r="AX468" s="65">
        <v>0</v>
      </c>
      <c r="AY468" s="65">
        <f>IF(AND($AU468&gt;0,ISNUMBER($AX468)),$AU468*$AX468,0)</f>
        <v>0</v>
      </c>
      <c r="AZ468" s="46"/>
      <c r="BA468" s="52"/>
      <c r="BB468" s="52"/>
      <c r="BC468" s="52"/>
      <c r="BD468" s="52"/>
      <c r="BE468" s="52"/>
      <c r="BF468" s="52"/>
    </row>
    <row r="469" spans="1:58" ht="15" customHeight="1">
      <c r="A469" s="46" t="s">
        <v>2749</v>
      </c>
      <c r="B469" s="53" t="s">
        <v>2750</v>
      </c>
      <c r="C469" s="66" t="s">
        <v>232</v>
      </c>
      <c r="D469" s="67">
        <v>2</v>
      </c>
      <c r="E469" s="53" t="s">
        <v>233</v>
      </c>
      <c r="F469" s="50"/>
      <c r="G469" s="50"/>
      <c r="H469" s="51"/>
      <c r="I469" s="50" t="s">
        <v>2751</v>
      </c>
      <c r="J469" s="54" t="s">
        <v>73</v>
      </c>
      <c r="K469" s="58" t="s">
        <v>129</v>
      </c>
      <c r="L469" s="58" t="s">
        <v>2752</v>
      </c>
      <c r="M469" s="58"/>
      <c r="N469" s="58"/>
      <c r="O469" s="54"/>
      <c r="P469" s="56" t="s">
        <v>185</v>
      </c>
      <c r="Q469" s="58" t="s">
        <v>1148</v>
      </c>
      <c r="R469" s="50"/>
      <c r="S469" s="50"/>
      <c r="T469" s="50"/>
      <c r="U469" s="50"/>
      <c r="V469" s="57">
        <v>3.89</v>
      </c>
      <c r="W469" s="68"/>
      <c r="X469" s="50"/>
      <c r="Y469" s="50"/>
      <c r="Z469" s="50"/>
      <c r="AA469" s="50"/>
      <c r="AB469" s="57"/>
      <c r="AC469" s="54">
        <v>1</v>
      </c>
      <c r="AD469" s="69">
        <f>SUM(AE469:AK469)</f>
        <v>1</v>
      </c>
      <c r="AE469" s="66"/>
      <c r="AF469" s="66"/>
      <c r="AG469" s="66"/>
      <c r="AH469" s="66"/>
      <c r="AI469" s="66">
        <v>1</v>
      </c>
      <c r="AJ469" s="66"/>
      <c r="AK469" s="66"/>
      <c r="AL469" s="54">
        <f>IF((AC469-SUM(AE469:AK469))&lt;0,0,AC469-SUM(AE469:AK469))</f>
        <v>0</v>
      </c>
      <c r="AM469" s="69">
        <f>SUM(AN469:AT469)</f>
        <v>0</v>
      </c>
      <c r="AN469" s="60"/>
      <c r="AO469" s="52"/>
      <c r="AP469" s="52"/>
      <c r="AQ469" s="52"/>
      <c r="AR469" s="52"/>
      <c r="AS469" s="52"/>
      <c r="AT469" s="61"/>
      <c r="AU469" s="66">
        <f>MAX(0,$AM469-$AC469-$AW469)</f>
        <v>0</v>
      </c>
      <c r="AV469" s="66"/>
      <c r="AW469" s="66"/>
      <c r="AX469" s="65">
        <v>0</v>
      </c>
      <c r="AY469" s="65">
        <f>IF(AND($AU469&gt;0,ISNUMBER($AX469)),$AU469*$AX469,0)</f>
        <v>0</v>
      </c>
      <c r="AZ469" s="46"/>
      <c r="BA469" s="52"/>
      <c r="BB469" s="52"/>
      <c r="BC469" s="52"/>
      <c r="BD469" s="52" t="s">
        <v>124</v>
      </c>
      <c r="BE469" s="52"/>
      <c r="BF469" s="52"/>
    </row>
    <row r="470" spans="1:58" ht="15" customHeight="1">
      <c r="A470" s="46" t="s">
        <v>2753</v>
      </c>
      <c r="B470" s="53" t="s">
        <v>2754</v>
      </c>
      <c r="C470" s="66" t="s">
        <v>101</v>
      </c>
      <c r="D470" s="67">
        <v>3</v>
      </c>
      <c r="E470" s="53" t="s">
        <v>81</v>
      </c>
      <c r="F470" s="50">
        <v>3</v>
      </c>
      <c r="G470" s="50">
        <v>2</v>
      </c>
      <c r="H470" s="51" t="s">
        <v>879</v>
      </c>
      <c r="I470" s="50" t="s">
        <v>2755</v>
      </c>
      <c r="J470" s="54" t="s">
        <v>73</v>
      </c>
      <c r="K470" s="58" t="s">
        <v>104</v>
      </c>
      <c r="L470" s="58" t="s">
        <v>2756</v>
      </c>
      <c r="M470" s="58"/>
      <c r="N470" s="58"/>
      <c r="O470" s="54"/>
      <c r="P470" s="56" t="s">
        <v>185</v>
      </c>
      <c r="Q470" s="58" t="s">
        <v>2757</v>
      </c>
      <c r="R470" s="54"/>
      <c r="S470" s="54"/>
      <c r="T470" s="54"/>
      <c r="U470" s="54"/>
      <c r="V470" s="57">
        <v>3.87</v>
      </c>
      <c r="W470" s="68"/>
      <c r="X470" s="54"/>
      <c r="Y470" s="54"/>
      <c r="Z470" s="54"/>
      <c r="AA470" s="54"/>
      <c r="AB470" s="57"/>
      <c r="AC470" s="54">
        <v>1</v>
      </c>
      <c r="AD470" s="69">
        <f>SUM(AE470:AK470)</f>
        <v>1</v>
      </c>
      <c r="AE470" s="66"/>
      <c r="AF470" s="66">
        <v>1</v>
      </c>
      <c r="AG470" s="66"/>
      <c r="AH470" s="66"/>
      <c r="AI470" s="66"/>
      <c r="AJ470" s="66"/>
      <c r="AK470" s="66"/>
      <c r="AL470" s="54">
        <f>IF((AC470-SUM(AE470:AK470))&lt;0,0,AC470-SUM(AE470:AK470))</f>
        <v>0</v>
      </c>
      <c r="AM470" s="69">
        <f>SUM(AN470:AT470)</f>
        <v>1</v>
      </c>
      <c r="AN470" s="60"/>
      <c r="AO470" s="52">
        <v>1</v>
      </c>
      <c r="AP470" s="52"/>
      <c r="AQ470" s="52"/>
      <c r="AR470" s="52"/>
      <c r="AS470" s="52"/>
      <c r="AT470" s="61"/>
      <c r="AU470" s="66">
        <f>MAX(0,$AM470-$AC470-$AW470)</f>
        <v>0</v>
      </c>
      <c r="AV470" s="66"/>
      <c r="AW470" s="66"/>
      <c r="AX470" s="65">
        <v>0</v>
      </c>
      <c r="AY470" s="65">
        <f>IF(AND($AU470&gt;0,ISNUMBER($AX470)),$AU470*$AX470,0)</f>
        <v>0</v>
      </c>
      <c r="AZ470" s="46"/>
      <c r="BA470" s="52"/>
      <c r="BB470" s="52"/>
      <c r="BC470" s="52"/>
      <c r="BD470" s="52"/>
      <c r="BE470" s="52"/>
      <c r="BF470" s="52"/>
    </row>
    <row r="471" spans="1:58" ht="15" customHeight="1">
      <c r="A471" s="46" t="s">
        <v>2758</v>
      </c>
      <c r="B471" s="53" t="s">
        <v>2759</v>
      </c>
      <c r="C471" s="66" t="s">
        <v>70</v>
      </c>
      <c r="D471" s="67">
        <v>2</v>
      </c>
      <c r="E471" s="53" t="s">
        <v>384</v>
      </c>
      <c r="F471" s="50"/>
      <c r="G471" s="50"/>
      <c r="H471" s="51"/>
      <c r="I471" s="50" t="s">
        <v>2760</v>
      </c>
      <c r="J471" s="54" t="s">
        <v>196</v>
      </c>
      <c r="K471" s="58" t="s">
        <v>247</v>
      </c>
      <c r="L471" s="58" t="s">
        <v>2761</v>
      </c>
      <c r="M471" s="58"/>
      <c r="N471" s="58"/>
      <c r="O471" s="54"/>
      <c r="P471" s="56" t="s">
        <v>86</v>
      </c>
      <c r="Q471" s="58" t="s">
        <v>249</v>
      </c>
      <c r="R471" s="50"/>
      <c r="S471" s="50"/>
      <c r="T471" s="50"/>
      <c r="U471" s="50"/>
      <c r="V471" s="57">
        <v>3.71</v>
      </c>
      <c r="W471" s="68"/>
      <c r="X471" s="50"/>
      <c r="Y471" s="50"/>
      <c r="Z471" s="50"/>
      <c r="AA471" s="50"/>
      <c r="AB471" s="57"/>
      <c r="AC471" s="54">
        <v>1</v>
      </c>
      <c r="AD471" s="69">
        <f>SUM(AE471:AK471)</f>
        <v>1</v>
      </c>
      <c r="AE471" s="66"/>
      <c r="AF471" s="66"/>
      <c r="AG471" s="66"/>
      <c r="AH471" s="66"/>
      <c r="AI471" s="66"/>
      <c r="AJ471" s="66">
        <v>1</v>
      </c>
      <c r="AK471" s="66"/>
      <c r="AL471" s="54">
        <f>IF((AC471-SUM(AE471:AK471))&lt;0,0,AC471-SUM(AE471:AK471))</f>
        <v>0</v>
      </c>
      <c r="AM471" s="69">
        <f>SUM(AN471:AT471)</f>
        <v>1</v>
      </c>
      <c r="AN471" s="60"/>
      <c r="AO471" s="52"/>
      <c r="AP471" s="52"/>
      <c r="AQ471" s="52"/>
      <c r="AR471" s="52"/>
      <c r="AS471" s="52">
        <v>1</v>
      </c>
      <c r="AT471" s="61"/>
      <c r="AU471" s="66">
        <f>MAX(0,$AM471-$AC471-$AW471)</f>
        <v>0</v>
      </c>
      <c r="AV471" s="66"/>
      <c r="AW471" s="66"/>
      <c r="AX471" s="65">
        <v>0</v>
      </c>
      <c r="AY471" s="65">
        <f>IF(AND($AU471&gt;0,ISNUMBER($AX471)),$AU471*$AX471,0)</f>
        <v>0</v>
      </c>
      <c r="AZ471" s="46"/>
      <c r="BA471" s="52"/>
      <c r="BB471" s="52"/>
      <c r="BC471" s="52"/>
      <c r="BD471" s="52"/>
      <c r="BE471" s="52"/>
      <c r="BF471" s="52"/>
    </row>
    <row r="472" spans="1:58" ht="15" customHeight="1">
      <c r="A472" s="46" t="s">
        <v>2762</v>
      </c>
      <c r="B472" s="53" t="s">
        <v>2763</v>
      </c>
      <c r="C472" s="66" t="s">
        <v>109</v>
      </c>
      <c r="D472" s="67">
        <v>5</v>
      </c>
      <c r="E472" s="53" t="s">
        <v>110</v>
      </c>
      <c r="F472" s="50">
        <v>3</v>
      </c>
      <c r="G472" s="50">
        <v>5</v>
      </c>
      <c r="H472" s="51" t="s">
        <v>2764</v>
      </c>
      <c r="I472" s="50" t="s">
        <v>2765</v>
      </c>
      <c r="J472" s="54" t="s">
        <v>73</v>
      </c>
      <c r="K472" s="58" t="s">
        <v>661</v>
      </c>
      <c r="L472" s="58" t="s">
        <v>2766</v>
      </c>
      <c r="M472" s="58" t="s">
        <v>2767</v>
      </c>
      <c r="N472" s="58" t="s">
        <v>2768</v>
      </c>
      <c r="O472" s="56">
        <v>82</v>
      </c>
      <c r="P472" s="56" t="s">
        <v>114</v>
      </c>
      <c r="Q472" s="58" t="s">
        <v>131</v>
      </c>
      <c r="R472" s="50"/>
      <c r="S472" s="50"/>
      <c r="T472" s="50"/>
      <c r="U472" s="50"/>
      <c r="V472" s="57">
        <v>3.67</v>
      </c>
      <c r="W472" s="68"/>
      <c r="X472" s="50"/>
      <c r="Y472" s="50"/>
      <c r="Z472" s="50"/>
      <c r="AA472" s="50"/>
      <c r="AB472" s="57"/>
      <c r="AC472" s="54">
        <v>1</v>
      </c>
      <c r="AD472" s="69">
        <f>SUM(AE472:AK472)</f>
        <v>1</v>
      </c>
      <c r="AE472" s="66"/>
      <c r="AF472" s="66"/>
      <c r="AG472" s="66"/>
      <c r="AH472" s="66">
        <v>1</v>
      </c>
      <c r="AI472" s="66"/>
      <c r="AJ472" s="66"/>
      <c r="AK472" s="66"/>
      <c r="AL472" s="54">
        <f>IF((AC472-SUM(AE472:AK472))&lt;0,0,AC472-SUM(AE472:AK472))</f>
        <v>0</v>
      </c>
      <c r="AM472" s="69">
        <f>SUM(AN472:AT472)</f>
        <v>1</v>
      </c>
      <c r="AN472" s="60"/>
      <c r="AO472" s="52"/>
      <c r="AP472" s="52"/>
      <c r="AQ472" s="52">
        <v>1</v>
      </c>
      <c r="AR472" s="52"/>
      <c r="AS472" s="52"/>
      <c r="AT472" s="61"/>
      <c r="AU472" s="66">
        <f>MAX(0,$AM472-$AC472-$AW472)</f>
        <v>0</v>
      </c>
      <c r="AV472" s="66"/>
      <c r="AW472" s="66"/>
      <c r="AX472" s="65">
        <v>0</v>
      </c>
      <c r="AY472" s="65">
        <f>IF(AND($AU472&gt;0,ISNUMBER($AX472)),$AU472*$AX472,0)</f>
        <v>0</v>
      </c>
      <c r="AZ472" s="46"/>
      <c r="BA472" s="52"/>
      <c r="BB472" s="52"/>
      <c r="BC472" s="52"/>
      <c r="BD472" s="52"/>
      <c r="BE472" s="52"/>
      <c r="BF472" s="52"/>
    </row>
    <row r="473" spans="1:58" ht="15" customHeight="1">
      <c r="A473" s="46" t="s">
        <v>2769</v>
      </c>
      <c r="B473" s="53" t="s">
        <v>2770</v>
      </c>
      <c r="C473" s="66" t="s">
        <v>80</v>
      </c>
      <c r="D473" s="67">
        <v>2</v>
      </c>
      <c r="E473" s="53" t="s">
        <v>189</v>
      </c>
      <c r="F473" s="50"/>
      <c r="G473" s="50"/>
      <c r="H473" s="51"/>
      <c r="I473" s="50" t="s">
        <v>2771</v>
      </c>
      <c r="J473" s="54" t="s">
        <v>196</v>
      </c>
      <c r="K473" s="58" t="s">
        <v>98</v>
      </c>
      <c r="L473" s="58" t="s">
        <v>2772</v>
      </c>
      <c r="M473" s="58"/>
      <c r="N473" s="58"/>
      <c r="O473" s="54"/>
      <c r="P473" s="56" t="s">
        <v>185</v>
      </c>
      <c r="Q473" s="58" t="s">
        <v>452</v>
      </c>
      <c r="R473" s="54"/>
      <c r="S473" s="54"/>
      <c r="T473" s="54"/>
      <c r="U473" s="54"/>
      <c r="V473" s="57">
        <v>3.51</v>
      </c>
      <c r="W473" s="68"/>
      <c r="X473" s="54"/>
      <c r="Y473" s="54"/>
      <c r="Z473" s="54"/>
      <c r="AA473" s="54"/>
      <c r="AB473" s="57"/>
      <c r="AC473" s="54">
        <v>1</v>
      </c>
      <c r="AD473" s="69">
        <f>SUM(AE473:AK473)</f>
        <v>1</v>
      </c>
      <c r="AE473" s="66"/>
      <c r="AF473" s="66"/>
      <c r="AG473" s="66"/>
      <c r="AH473" s="66"/>
      <c r="AI473" s="66"/>
      <c r="AJ473" s="66"/>
      <c r="AK473" s="66">
        <v>1</v>
      </c>
      <c r="AL473" s="54">
        <f>IF((AC473-SUM(AE473:AK473))&lt;0,0,AC473-SUM(AE473:AK473))</f>
        <v>0</v>
      </c>
      <c r="AM473" s="69">
        <f>SUM(AN473:AT473)</f>
        <v>1</v>
      </c>
      <c r="AN473" s="60"/>
      <c r="AO473" s="52"/>
      <c r="AP473" s="52"/>
      <c r="AQ473" s="52"/>
      <c r="AR473" s="52"/>
      <c r="AS473" s="52"/>
      <c r="AT473" s="61">
        <v>1</v>
      </c>
      <c r="AU473" s="66">
        <f>MAX(0,$AM473-$AC473-$AW473)</f>
        <v>0</v>
      </c>
      <c r="AV473" s="66"/>
      <c r="AW473" s="66"/>
      <c r="AX473" s="65">
        <v>0</v>
      </c>
      <c r="AY473" s="65">
        <f>IF(AND($AU473&gt;0,ISNUMBER($AX473)),$AU473*$AX473,0)</f>
        <v>0</v>
      </c>
      <c r="AZ473" s="46"/>
      <c r="BA473" s="52"/>
      <c r="BB473" s="52"/>
      <c r="BC473" s="52"/>
      <c r="BD473" s="52"/>
      <c r="BE473" s="52"/>
      <c r="BF473" s="52"/>
    </row>
    <row r="474" spans="1:58" ht="15" customHeight="1">
      <c r="A474" s="46" t="s">
        <v>2773</v>
      </c>
      <c r="B474" s="53" t="s">
        <v>2774</v>
      </c>
      <c r="C474" s="66" t="s">
        <v>70</v>
      </c>
      <c r="D474" s="67">
        <v>3</v>
      </c>
      <c r="E474" s="53" t="s">
        <v>110</v>
      </c>
      <c r="F474" s="50">
        <v>1</v>
      </c>
      <c r="G474" s="50">
        <v>2</v>
      </c>
      <c r="H474" s="51" t="s">
        <v>245</v>
      </c>
      <c r="I474" s="50" t="s">
        <v>2775</v>
      </c>
      <c r="J474" s="54" t="s">
        <v>73</v>
      </c>
      <c r="K474" s="58" t="s">
        <v>129</v>
      </c>
      <c r="L474" s="58" t="s">
        <v>2776</v>
      </c>
      <c r="M474" s="58"/>
      <c r="N474" s="58"/>
      <c r="O474" s="56">
        <v>1227</v>
      </c>
      <c r="P474" s="56" t="s">
        <v>86</v>
      </c>
      <c r="Q474" s="58" t="s">
        <v>462</v>
      </c>
      <c r="R474" s="50"/>
      <c r="S474" s="50"/>
      <c r="T474" s="50"/>
      <c r="U474" s="50"/>
      <c r="V474" s="57">
        <v>3.51</v>
      </c>
      <c r="W474" s="68"/>
      <c r="X474" s="50"/>
      <c r="Y474" s="50"/>
      <c r="Z474" s="50"/>
      <c r="AA474" s="50"/>
      <c r="AB474" s="57"/>
      <c r="AC474" s="54">
        <v>1</v>
      </c>
      <c r="AD474" s="69">
        <f>SUM(AE474:AK474)</f>
        <v>1</v>
      </c>
      <c r="AE474" s="66"/>
      <c r="AF474" s="66"/>
      <c r="AG474" s="66"/>
      <c r="AH474" s="66"/>
      <c r="AI474" s="66"/>
      <c r="AJ474" s="66">
        <v>1</v>
      </c>
      <c r="AK474" s="66"/>
      <c r="AL474" s="54">
        <f>IF((AC474-SUM(AE474:AK474))&lt;0,0,AC474-SUM(AE474:AK474))</f>
        <v>0</v>
      </c>
      <c r="AM474" s="69">
        <f>SUM(AN474:AT474)</f>
        <v>1</v>
      </c>
      <c r="AN474" s="60"/>
      <c r="AO474" s="52"/>
      <c r="AP474" s="52"/>
      <c r="AQ474" s="52"/>
      <c r="AR474" s="52"/>
      <c r="AS474" s="52">
        <v>1</v>
      </c>
      <c r="AT474" s="61"/>
      <c r="AU474" s="66">
        <f>MAX(0,$AM474-$AC474-$AW474)</f>
        <v>0</v>
      </c>
      <c r="AV474" s="66"/>
      <c r="AW474" s="66"/>
      <c r="AX474" s="65">
        <v>0</v>
      </c>
      <c r="AY474" s="65">
        <f>IF(AND($AU474&gt;0,ISNUMBER($AX474)),$AU474*$AX474,0)</f>
        <v>0</v>
      </c>
      <c r="AZ474" s="46"/>
      <c r="BA474" s="52"/>
      <c r="BB474" s="52"/>
      <c r="BC474" s="52"/>
      <c r="BD474" s="52"/>
      <c r="BE474" s="52"/>
      <c r="BF474" s="52"/>
    </row>
    <row r="475" spans="1:58" ht="15" customHeight="1">
      <c r="A475" s="46" t="s">
        <v>2777</v>
      </c>
      <c r="B475" s="53" t="s">
        <v>2778</v>
      </c>
      <c r="C475" s="66" t="s">
        <v>109</v>
      </c>
      <c r="D475" s="67">
        <v>2</v>
      </c>
      <c r="E475" s="53" t="s">
        <v>81</v>
      </c>
      <c r="F475" s="50">
        <v>1</v>
      </c>
      <c r="G475" s="50">
        <v>2</v>
      </c>
      <c r="H475" s="51" t="s">
        <v>1156</v>
      </c>
      <c r="I475" s="50" t="s">
        <v>2779</v>
      </c>
      <c r="J475" s="54" t="s">
        <v>73</v>
      </c>
      <c r="K475" s="58" t="s">
        <v>273</v>
      </c>
      <c r="L475" s="58" t="s">
        <v>2780</v>
      </c>
      <c r="M475" s="58"/>
      <c r="N475" s="58"/>
      <c r="O475" s="54"/>
      <c r="P475" s="56" t="s">
        <v>185</v>
      </c>
      <c r="Q475" s="58" t="s">
        <v>462</v>
      </c>
      <c r="R475" s="50"/>
      <c r="S475" s="50"/>
      <c r="T475" s="50"/>
      <c r="U475" s="50"/>
      <c r="V475" s="57">
        <v>3.32</v>
      </c>
      <c r="W475" s="68"/>
      <c r="X475" s="50"/>
      <c r="Y475" s="50"/>
      <c r="Z475" s="50"/>
      <c r="AA475" s="50"/>
      <c r="AB475" s="57"/>
      <c r="AC475" s="54">
        <v>1</v>
      </c>
      <c r="AD475" s="69">
        <f>SUM(AE475:AK475)</f>
        <v>1</v>
      </c>
      <c r="AE475" s="66"/>
      <c r="AF475" s="66"/>
      <c r="AG475" s="66"/>
      <c r="AH475" s="66"/>
      <c r="AI475" s="66">
        <v>1</v>
      </c>
      <c r="AJ475" s="66"/>
      <c r="AK475" s="66"/>
      <c r="AL475" s="54">
        <f>IF((AC475-SUM(AE475:AK475))&lt;0,0,AC475-SUM(AE475:AK475))</f>
        <v>0</v>
      </c>
      <c r="AM475" s="69">
        <f>SUM(AN475:AT475)</f>
        <v>1</v>
      </c>
      <c r="AN475" s="60"/>
      <c r="AO475" s="52"/>
      <c r="AP475" s="52"/>
      <c r="AQ475" s="52"/>
      <c r="AR475" s="52">
        <v>1</v>
      </c>
      <c r="AS475" s="52"/>
      <c r="AT475" s="61"/>
      <c r="AU475" s="66">
        <f>MAX(0,$AM475-$AC475-$AW475)</f>
        <v>0</v>
      </c>
      <c r="AV475" s="66"/>
      <c r="AW475" s="66"/>
      <c r="AX475" s="65">
        <v>0</v>
      </c>
      <c r="AY475" s="65">
        <f>IF(AND($AU475&gt;0,ISNUMBER($AX475)),$AU475*$AX475,0)</f>
        <v>0</v>
      </c>
      <c r="AZ475" s="46"/>
      <c r="BA475" s="52"/>
      <c r="BB475" s="52"/>
      <c r="BC475" s="52"/>
      <c r="BD475" s="52"/>
      <c r="BE475" s="52"/>
      <c r="BF475" s="52"/>
    </row>
    <row r="476" spans="1:58" ht="15" customHeight="1">
      <c r="A476" s="46" t="s">
        <v>2781</v>
      </c>
      <c r="B476" s="53" t="s">
        <v>2782</v>
      </c>
      <c r="C476" s="66" t="s">
        <v>109</v>
      </c>
      <c r="D476" s="67">
        <v>4</v>
      </c>
      <c r="E476" s="53" t="s">
        <v>110</v>
      </c>
      <c r="F476" s="50">
        <v>0</v>
      </c>
      <c r="G476" s="50">
        <v>5</v>
      </c>
      <c r="H476" s="51" t="s">
        <v>1771</v>
      </c>
      <c r="I476" s="50" t="s">
        <v>2783</v>
      </c>
      <c r="J476" s="54" t="s">
        <v>73</v>
      </c>
      <c r="K476" s="58" t="s">
        <v>1163</v>
      </c>
      <c r="L476" s="58" t="s">
        <v>2784</v>
      </c>
      <c r="M476" s="58" t="s">
        <v>2785</v>
      </c>
      <c r="N476" s="58" t="s">
        <v>2786</v>
      </c>
      <c r="O476" s="56">
        <v>66</v>
      </c>
      <c r="P476" s="56" t="s">
        <v>114</v>
      </c>
      <c r="Q476" s="58" t="s">
        <v>131</v>
      </c>
      <c r="R476" s="50"/>
      <c r="S476" s="50"/>
      <c r="T476" s="50"/>
      <c r="U476" s="50"/>
      <c r="V476" s="57">
        <v>3.12</v>
      </c>
      <c r="W476" s="68"/>
      <c r="X476" s="50"/>
      <c r="Y476" s="50"/>
      <c r="Z476" s="50"/>
      <c r="AA476" s="50"/>
      <c r="AB476" s="57"/>
      <c r="AC476" s="54">
        <v>1</v>
      </c>
      <c r="AD476" s="69">
        <f>SUM(AE476:AK476)</f>
        <v>1</v>
      </c>
      <c r="AE476" s="66"/>
      <c r="AF476" s="66"/>
      <c r="AG476" s="66"/>
      <c r="AH476" s="66">
        <v>1</v>
      </c>
      <c r="AI476" s="66"/>
      <c r="AJ476" s="66"/>
      <c r="AK476" s="66"/>
      <c r="AL476" s="54">
        <f>IF((AC476-SUM(AE476:AK476))&lt;0,0,AC476-SUM(AE476:AK476))</f>
        <v>0</v>
      </c>
      <c r="AM476" s="69">
        <f>SUM(AN476:AT476)</f>
        <v>1</v>
      </c>
      <c r="AN476" s="60"/>
      <c r="AO476" s="52"/>
      <c r="AP476" s="52"/>
      <c r="AQ476" s="52">
        <v>1</v>
      </c>
      <c r="AR476" s="52"/>
      <c r="AS476" s="52"/>
      <c r="AT476" s="61"/>
      <c r="AU476" s="66">
        <f>MAX(0,$AM476-$AC476-$AW476)</f>
        <v>0</v>
      </c>
      <c r="AV476" s="66"/>
      <c r="AW476" s="66"/>
      <c r="AX476" s="65">
        <v>0</v>
      </c>
      <c r="AY476" s="65">
        <f>IF(AND($AU476&gt;0,ISNUMBER($AX476)),$AU476*$AX476,0)</f>
        <v>0</v>
      </c>
      <c r="AZ476" s="46"/>
      <c r="BA476" s="52"/>
      <c r="BB476" s="52"/>
      <c r="BC476" s="52"/>
      <c r="BD476" s="52"/>
      <c r="BE476" s="52"/>
      <c r="BF476" s="52"/>
    </row>
    <row r="477" spans="1:58" ht="15" customHeight="1">
      <c r="A477" s="46" t="s">
        <v>2787</v>
      </c>
      <c r="B477" s="76" t="s">
        <v>2788</v>
      </c>
      <c r="C477" s="77" t="s">
        <v>181</v>
      </c>
      <c r="D477" s="74">
        <v>4</v>
      </c>
      <c r="E477" s="76" t="s">
        <v>81</v>
      </c>
      <c r="F477" s="50">
        <v>0</v>
      </c>
      <c r="G477" s="50">
        <v>13</v>
      </c>
      <c r="H477" s="51" t="s">
        <v>221</v>
      </c>
      <c r="I477" s="50" t="s">
        <v>2789</v>
      </c>
      <c r="J477" s="54" t="s">
        <v>73</v>
      </c>
      <c r="K477" s="56" t="s">
        <v>170</v>
      </c>
      <c r="L477" s="56" t="s">
        <v>2790</v>
      </c>
      <c r="M477" s="56" t="s">
        <v>431</v>
      </c>
      <c r="N477" s="56"/>
      <c r="O477" s="54"/>
      <c r="P477" s="56" t="s">
        <v>114</v>
      </c>
      <c r="Q477" s="56" t="s">
        <v>1089</v>
      </c>
      <c r="R477" s="54"/>
      <c r="S477" s="54"/>
      <c r="T477" s="54"/>
      <c r="U477" s="54"/>
      <c r="V477" s="57">
        <v>3.03</v>
      </c>
      <c r="W477" s="68"/>
      <c r="X477" s="54"/>
      <c r="Y477" s="54"/>
      <c r="Z477" s="54"/>
      <c r="AA477" s="54"/>
      <c r="AB477" s="57"/>
      <c r="AC477" s="54">
        <v>1</v>
      </c>
      <c r="AD477" s="69">
        <f>SUM(AE477:AK477)</f>
        <v>1</v>
      </c>
      <c r="AE477" s="66"/>
      <c r="AF477" s="66"/>
      <c r="AG477" s="66"/>
      <c r="AH477" s="66">
        <v>1</v>
      </c>
      <c r="AI477" s="66"/>
      <c r="AJ477" s="66"/>
      <c r="AK477" s="66"/>
      <c r="AL477" s="54">
        <f>IF((AC477-SUM(AE477:AK477))&lt;0,0,AC477-SUM(AE477:AK477))</f>
        <v>0</v>
      </c>
      <c r="AM477" s="69">
        <f>SUM(AN477:AT477)</f>
        <v>1</v>
      </c>
      <c r="AN477" s="60"/>
      <c r="AO477" s="52"/>
      <c r="AP477" s="52"/>
      <c r="AQ477" s="52">
        <v>1</v>
      </c>
      <c r="AR477" s="52"/>
      <c r="AS477" s="52"/>
      <c r="AT477" s="61"/>
      <c r="AU477" s="66">
        <f>MAX(0,$AM477-$AC477-$AW477)</f>
        <v>0</v>
      </c>
      <c r="AV477" s="54"/>
      <c r="AW477" s="54"/>
      <c r="AX477" s="65">
        <v>0</v>
      </c>
      <c r="AY477" s="65">
        <f>IF(AND($AU477&gt;0,ISNUMBER($AX477)),$AU477*$AX477,0)</f>
        <v>0</v>
      </c>
      <c r="AZ477" s="46"/>
      <c r="BA477" s="52"/>
      <c r="BB477" s="52"/>
      <c r="BC477" s="52"/>
      <c r="BD477" s="52"/>
      <c r="BE477" s="52"/>
      <c r="BF477" s="52"/>
    </row>
    <row r="478" spans="1:58" ht="15" customHeight="1">
      <c r="A478" s="46" t="s">
        <v>2791</v>
      </c>
      <c r="B478" s="76" t="s">
        <v>2792</v>
      </c>
      <c r="C478" s="77" t="s">
        <v>181</v>
      </c>
      <c r="D478" s="74">
        <v>4</v>
      </c>
      <c r="E478" s="76" t="s">
        <v>71</v>
      </c>
      <c r="F478" s="50"/>
      <c r="G478" s="50"/>
      <c r="H478" s="51"/>
      <c r="I478" s="50" t="s">
        <v>2793</v>
      </c>
      <c r="J478" s="54" t="s">
        <v>73</v>
      </c>
      <c r="K478" s="50" t="s">
        <v>2794</v>
      </c>
      <c r="L478" s="50" t="s">
        <v>2795</v>
      </c>
      <c r="M478" s="50" t="s">
        <v>2796</v>
      </c>
      <c r="N478" s="50"/>
      <c r="O478" s="54"/>
      <c r="P478" s="56" t="s">
        <v>185</v>
      </c>
      <c r="Q478" s="50" t="s">
        <v>691</v>
      </c>
      <c r="R478" s="50" t="s">
        <v>2797</v>
      </c>
      <c r="S478" s="50">
        <v>1</v>
      </c>
      <c r="T478" s="50">
        <v>1</v>
      </c>
      <c r="U478" s="56" t="s">
        <v>2798</v>
      </c>
      <c r="V478" s="57">
        <v>3</v>
      </c>
      <c r="W478" s="56"/>
      <c r="X478" s="50"/>
      <c r="Y478" s="50"/>
      <c r="Z478" s="50"/>
      <c r="AA478" s="56"/>
      <c r="AB478" s="57"/>
      <c r="AC478" s="54">
        <v>1</v>
      </c>
      <c r="AD478" s="69">
        <f>SUM(AE478:AK478)</f>
        <v>0</v>
      </c>
      <c r="AE478" s="66"/>
      <c r="AF478" s="66"/>
      <c r="AG478" s="66"/>
      <c r="AH478" s="66"/>
      <c r="AI478" s="66"/>
      <c r="AJ478" s="66"/>
      <c r="AK478" s="66"/>
      <c r="AL478" s="54">
        <f>IF((AC478-SUM(AE478:AK478))&lt;0,0,AC478-SUM(AE478:AK478))</f>
        <v>1</v>
      </c>
      <c r="AM478" s="69">
        <f>SUM(AN478:AT478)</f>
        <v>0</v>
      </c>
      <c r="AN478" s="60"/>
      <c r="AO478" s="52"/>
      <c r="AP478" s="52"/>
      <c r="AQ478" s="52"/>
      <c r="AR478" s="52"/>
      <c r="AS478" s="52"/>
      <c r="AT478" s="61"/>
      <c r="AU478" s="77">
        <f>MAX(0,$AM478-$AC478-$AW478)</f>
        <v>0</v>
      </c>
      <c r="AV478" s="54"/>
      <c r="AW478" s="54"/>
      <c r="AX478" s="65">
        <v>0</v>
      </c>
      <c r="AY478" s="78">
        <f>IF(AND($AU478&gt;0,ISNUMBER($AX478)),$AU478*$AX478,0)</f>
        <v>0</v>
      </c>
      <c r="AZ478" s="46"/>
      <c r="BA478" s="52"/>
      <c r="BB478" s="52"/>
      <c r="BC478" s="52"/>
      <c r="BD478" s="52"/>
      <c r="BE478" s="52"/>
      <c r="BF478" s="52"/>
    </row>
    <row r="479" spans="1:58" ht="15" customHeight="1">
      <c r="A479" s="46" t="s">
        <v>2799</v>
      </c>
      <c r="B479" s="76" t="s">
        <v>2800</v>
      </c>
      <c r="C479" s="77" t="s">
        <v>118</v>
      </c>
      <c r="D479" s="74">
        <v>3</v>
      </c>
      <c r="E479" s="76" t="s">
        <v>81</v>
      </c>
      <c r="F479" s="50">
        <v>2</v>
      </c>
      <c r="G479" s="50">
        <v>1</v>
      </c>
      <c r="H479" s="51" t="s">
        <v>1977</v>
      </c>
      <c r="I479" s="50" t="s">
        <v>2801</v>
      </c>
      <c r="J479" s="54" t="s">
        <v>73</v>
      </c>
      <c r="K479" s="56" t="s">
        <v>676</v>
      </c>
      <c r="L479" s="56" t="s">
        <v>2802</v>
      </c>
      <c r="M479" s="56" t="s">
        <v>995</v>
      </c>
      <c r="N479" s="56"/>
      <c r="O479" s="54"/>
      <c r="P479" s="56" t="s">
        <v>86</v>
      </c>
      <c r="Q479" s="56" t="s">
        <v>2803</v>
      </c>
      <c r="R479" s="50"/>
      <c r="S479" s="50"/>
      <c r="T479" s="50"/>
      <c r="U479" s="50"/>
      <c r="V479" s="57">
        <v>2.97</v>
      </c>
      <c r="W479" s="68"/>
      <c r="X479" s="50"/>
      <c r="Y479" s="50"/>
      <c r="Z479" s="50"/>
      <c r="AA479" s="50"/>
      <c r="AB479" s="57"/>
      <c r="AC479" s="54">
        <v>1</v>
      </c>
      <c r="AD479" s="69">
        <f>SUM(AE479:AK479)</f>
        <v>1</v>
      </c>
      <c r="AE479" s="66"/>
      <c r="AF479" s="66"/>
      <c r="AG479" s="66"/>
      <c r="AH479" s="66">
        <v>1</v>
      </c>
      <c r="AI479" s="66"/>
      <c r="AJ479" s="66"/>
      <c r="AK479" s="66"/>
      <c r="AL479" s="54">
        <f>IF((AC479-SUM(AE479:AK479))&lt;0,0,AC479-SUM(AE479:AK479))</f>
        <v>0</v>
      </c>
      <c r="AM479" s="69">
        <f>SUM(AN479:AT479)</f>
        <v>0</v>
      </c>
      <c r="AN479" s="60"/>
      <c r="AO479" s="52"/>
      <c r="AP479" s="52"/>
      <c r="AQ479" s="52"/>
      <c r="AR479" s="52"/>
      <c r="AS479" s="52"/>
      <c r="AT479" s="61"/>
      <c r="AU479" s="77">
        <f>MAX(0,$AM479-$AC479-$AW479)</f>
        <v>0</v>
      </c>
      <c r="AV479" s="54"/>
      <c r="AW479" s="54"/>
      <c r="AX479" s="65">
        <v>0</v>
      </c>
      <c r="AY479" s="78">
        <f>IF(AND($AU479&gt;0,ISNUMBER($AX479)),$AU479*$AX479,0)</f>
        <v>0</v>
      </c>
      <c r="AZ479" s="46"/>
      <c r="BA479" s="52"/>
      <c r="BB479" s="52"/>
      <c r="BC479" s="52" t="s">
        <v>427</v>
      </c>
      <c r="BD479" s="52"/>
      <c r="BE479" s="52"/>
      <c r="BF479" s="52"/>
    </row>
    <row r="480" spans="1:58" ht="15" customHeight="1">
      <c r="A480" s="46" t="s">
        <v>2804</v>
      </c>
      <c r="B480" s="76" t="s">
        <v>2805</v>
      </c>
      <c r="C480" s="77" t="s">
        <v>232</v>
      </c>
      <c r="D480" s="74">
        <v>3</v>
      </c>
      <c r="E480" s="76" t="s">
        <v>233</v>
      </c>
      <c r="F480" s="50"/>
      <c r="G480" s="50"/>
      <c r="H480" s="51"/>
      <c r="I480" s="50" t="s">
        <v>2806</v>
      </c>
      <c r="J480" s="54" t="s">
        <v>73</v>
      </c>
      <c r="K480" s="56" t="s">
        <v>84</v>
      </c>
      <c r="L480" s="56" t="s">
        <v>2807</v>
      </c>
      <c r="M480" s="56" t="s">
        <v>1448</v>
      </c>
      <c r="N480" s="56"/>
      <c r="O480" s="54"/>
      <c r="P480" s="56" t="s">
        <v>185</v>
      </c>
      <c r="Q480" s="56" t="s">
        <v>1878</v>
      </c>
      <c r="R480" s="50"/>
      <c r="S480" s="50"/>
      <c r="T480" s="50"/>
      <c r="U480" s="50"/>
      <c r="V480" s="57">
        <v>2.82</v>
      </c>
      <c r="W480" s="68"/>
      <c r="X480" s="50"/>
      <c r="Y480" s="50"/>
      <c r="Z480" s="50"/>
      <c r="AA480" s="50"/>
      <c r="AB480" s="57"/>
      <c r="AC480" s="54">
        <v>1</v>
      </c>
      <c r="AD480" s="69">
        <f>SUM(AE480:AK480)</f>
        <v>1</v>
      </c>
      <c r="AE480" s="66"/>
      <c r="AF480" s="66"/>
      <c r="AG480" s="66"/>
      <c r="AH480" s="66"/>
      <c r="AI480" s="66"/>
      <c r="AJ480" s="66">
        <v>1</v>
      </c>
      <c r="AK480" s="66"/>
      <c r="AL480" s="54">
        <f>IF((AC480-SUM(AE480:AK480))&lt;0,0,AC480-SUM(AE480:AK480))</f>
        <v>0</v>
      </c>
      <c r="AM480" s="69">
        <f>SUM(AN480:AT480)</f>
        <v>1</v>
      </c>
      <c r="AN480" s="60"/>
      <c r="AO480" s="52"/>
      <c r="AP480" s="52"/>
      <c r="AQ480" s="52"/>
      <c r="AR480" s="52"/>
      <c r="AS480" s="52">
        <v>1</v>
      </c>
      <c r="AT480" s="61"/>
      <c r="AU480" s="77">
        <f>MAX(0,$AM480-$AC480-$AW480)</f>
        <v>0</v>
      </c>
      <c r="AV480" s="54"/>
      <c r="AW480" s="54"/>
      <c r="AX480" s="65">
        <v>0</v>
      </c>
      <c r="AY480" s="78">
        <f>IF(AND($AU480&gt;0,ISNUMBER($AX480)),$AU480*$AX480,0)</f>
        <v>0</v>
      </c>
      <c r="AZ480" s="46"/>
      <c r="BA480" s="52"/>
      <c r="BB480" s="52"/>
      <c r="BC480" s="52"/>
      <c r="BD480" s="52"/>
      <c r="BE480" s="52"/>
      <c r="BF480" s="52"/>
    </row>
    <row r="481" spans="1:58" ht="15" customHeight="1">
      <c r="A481" s="46" t="s">
        <v>2808</v>
      </c>
      <c r="B481" s="76" t="s">
        <v>2809</v>
      </c>
      <c r="C481" s="77" t="s">
        <v>109</v>
      </c>
      <c r="D481" s="74">
        <v>4</v>
      </c>
      <c r="E481" s="76" t="s">
        <v>110</v>
      </c>
      <c r="F481" s="50">
        <v>2</v>
      </c>
      <c r="G481" s="50">
        <v>4</v>
      </c>
      <c r="H481" s="51" t="s">
        <v>1835</v>
      </c>
      <c r="I481" s="50" t="s">
        <v>2810</v>
      </c>
      <c r="J481" s="54" t="s">
        <v>196</v>
      </c>
      <c r="K481" s="56" t="s">
        <v>2811</v>
      </c>
      <c r="L481" s="56" t="s">
        <v>2812</v>
      </c>
      <c r="M481" s="56"/>
      <c r="N481" s="56"/>
      <c r="O481" s="56">
        <v>57</v>
      </c>
      <c r="P481" s="56" t="s">
        <v>86</v>
      </c>
      <c r="Q481" s="56" t="s">
        <v>410</v>
      </c>
      <c r="R481" s="54"/>
      <c r="S481" s="54"/>
      <c r="T481" s="54"/>
      <c r="U481" s="54"/>
      <c r="V481" s="57">
        <v>2.81</v>
      </c>
      <c r="W481" s="68"/>
      <c r="X481" s="54"/>
      <c r="Y481" s="54"/>
      <c r="Z481" s="54"/>
      <c r="AA481" s="54"/>
      <c r="AB481" s="57"/>
      <c r="AC481" s="54">
        <v>1</v>
      </c>
      <c r="AD481" s="69">
        <f>SUM(AE481:AK481)</f>
        <v>1</v>
      </c>
      <c r="AE481" s="66"/>
      <c r="AF481" s="66"/>
      <c r="AG481" s="66"/>
      <c r="AH481" s="66"/>
      <c r="AI481" s="66">
        <v>1</v>
      </c>
      <c r="AJ481" s="66"/>
      <c r="AK481" s="66"/>
      <c r="AL481" s="54">
        <f>IF((AC481-SUM(AE481:AK481))&lt;0,0,AC481-SUM(AE481:AK481))</f>
        <v>0</v>
      </c>
      <c r="AM481" s="69">
        <f>SUM(AN481:AT481)</f>
        <v>1</v>
      </c>
      <c r="AN481" s="60"/>
      <c r="AO481" s="52"/>
      <c r="AP481" s="52"/>
      <c r="AQ481" s="52"/>
      <c r="AR481" s="52">
        <v>1</v>
      </c>
      <c r="AS481" s="52"/>
      <c r="AT481" s="61"/>
      <c r="AU481" s="77">
        <f>MAX(0,$AM481-$AC481-$AW481)</f>
        <v>0</v>
      </c>
      <c r="AV481" s="54"/>
      <c r="AW481" s="54"/>
      <c r="AX481" s="65">
        <v>0</v>
      </c>
      <c r="AY481" s="78">
        <f>IF(AND($AU481&gt;0,ISNUMBER($AX481)),$AU481*$AX481,0)</f>
        <v>0</v>
      </c>
      <c r="AZ481" s="46"/>
      <c r="BA481" s="52"/>
      <c r="BB481" s="52"/>
      <c r="BC481" s="52"/>
      <c r="BD481" s="52"/>
      <c r="BE481" s="52"/>
      <c r="BF481" s="52"/>
    </row>
    <row r="482" spans="1:58" ht="15" customHeight="1">
      <c r="A482" s="46" t="s">
        <v>2813</v>
      </c>
      <c r="B482" s="76" t="s">
        <v>2814</v>
      </c>
      <c r="C482" s="77" t="s">
        <v>181</v>
      </c>
      <c r="D482" s="74">
        <v>1</v>
      </c>
      <c r="E482" s="76" t="s">
        <v>81</v>
      </c>
      <c r="F482" s="50">
        <v>1</v>
      </c>
      <c r="G482" s="50">
        <v>2</v>
      </c>
      <c r="H482" s="51" t="s">
        <v>1701</v>
      </c>
      <c r="I482" s="50" t="s">
        <v>2815</v>
      </c>
      <c r="J482" s="54" t="s">
        <v>73</v>
      </c>
      <c r="K482" s="50" t="s">
        <v>676</v>
      </c>
      <c r="L482" s="50" t="s">
        <v>2816</v>
      </c>
      <c r="M482" s="50" t="s">
        <v>2817</v>
      </c>
      <c r="N482" s="50"/>
      <c r="O482" s="54"/>
      <c r="P482" s="56" t="s">
        <v>86</v>
      </c>
      <c r="Q482" s="50" t="s">
        <v>691</v>
      </c>
      <c r="R482" s="50" t="s">
        <v>2818</v>
      </c>
      <c r="S482" s="50">
        <v>1</v>
      </c>
      <c r="T482" s="50">
        <v>1</v>
      </c>
      <c r="U482" s="56" t="s">
        <v>2819</v>
      </c>
      <c r="V482" s="57">
        <v>2.74</v>
      </c>
      <c r="W482" s="56"/>
      <c r="X482" s="50"/>
      <c r="Y482" s="50"/>
      <c r="Z482" s="50"/>
      <c r="AA482" s="56"/>
      <c r="AB482" s="57"/>
      <c r="AC482" s="54">
        <v>1</v>
      </c>
      <c r="AD482" s="69">
        <f>SUM(AE482:AK482)</f>
        <v>0</v>
      </c>
      <c r="AE482" s="66"/>
      <c r="AF482" s="66"/>
      <c r="AG482" s="66"/>
      <c r="AH482" s="66"/>
      <c r="AI482" s="66"/>
      <c r="AJ482" s="66"/>
      <c r="AK482" s="66"/>
      <c r="AL482" s="54">
        <f>IF((AC482-SUM(AE482:AK482))&lt;0,0,AC482-SUM(AE482:AK482))</f>
        <v>1</v>
      </c>
      <c r="AM482" s="69">
        <f>SUM(AN482:AT482)</f>
        <v>0</v>
      </c>
      <c r="AN482" s="60"/>
      <c r="AO482" s="52"/>
      <c r="AP482" s="52"/>
      <c r="AQ482" s="52"/>
      <c r="AR482" s="52"/>
      <c r="AS482" s="52"/>
      <c r="AT482" s="61"/>
      <c r="AU482" s="77">
        <f>MAX(0,$AM482-$AC482-$AW482)</f>
        <v>0</v>
      </c>
      <c r="AV482" s="54"/>
      <c r="AW482" s="54"/>
      <c r="AX482" s="65">
        <v>0</v>
      </c>
      <c r="AY482" s="78">
        <f>IF(AND($AU482&gt;0,ISNUMBER($AX482)),$AU482*$AX482,0)</f>
        <v>0</v>
      </c>
      <c r="AZ482" s="46"/>
      <c r="BA482" s="52"/>
      <c r="BB482" s="52"/>
      <c r="BC482" s="52"/>
      <c r="BD482" s="52"/>
      <c r="BE482" s="52"/>
      <c r="BF482" s="52"/>
    </row>
    <row r="483" spans="1:58" ht="15" customHeight="1">
      <c r="A483" s="46" t="s">
        <v>2820</v>
      </c>
      <c r="B483" s="76" t="s">
        <v>2821</v>
      </c>
      <c r="C483" s="77" t="s">
        <v>70</v>
      </c>
      <c r="D483" s="74">
        <v>3</v>
      </c>
      <c r="E483" s="76" t="s">
        <v>384</v>
      </c>
      <c r="F483" s="50"/>
      <c r="G483" s="50"/>
      <c r="H483" s="51"/>
      <c r="I483" s="50" t="s">
        <v>2822</v>
      </c>
      <c r="J483" s="54" t="s">
        <v>73</v>
      </c>
      <c r="K483" s="50" t="s">
        <v>550</v>
      </c>
      <c r="L483" s="50" t="s">
        <v>2823</v>
      </c>
      <c r="M483" s="50"/>
      <c r="N483" s="50"/>
      <c r="O483" s="54"/>
      <c r="P483" s="56" t="s">
        <v>86</v>
      </c>
      <c r="Q483" s="50" t="s">
        <v>691</v>
      </c>
      <c r="R483" s="50" t="s">
        <v>2824</v>
      </c>
      <c r="S483" s="50">
        <v>1</v>
      </c>
      <c r="T483" s="50">
        <v>1</v>
      </c>
      <c r="U483" s="56" t="s">
        <v>2825</v>
      </c>
      <c r="V483" s="57">
        <v>2.65</v>
      </c>
      <c r="W483" s="56"/>
      <c r="X483" s="50"/>
      <c r="Y483" s="50"/>
      <c r="Z483" s="50"/>
      <c r="AA483" s="56"/>
      <c r="AB483" s="57"/>
      <c r="AC483" s="54">
        <v>1</v>
      </c>
      <c r="AD483" s="69">
        <f>SUM(AE483:AK483)</f>
        <v>0</v>
      </c>
      <c r="AE483" s="66"/>
      <c r="AF483" s="66"/>
      <c r="AG483" s="66"/>
      <c r="AH483" s="66"/>
      <c r="AI483" s="66"/>
      <c r="AJ483" s="66"/>
      <c r="AK483" s="66"/>
      <c r="AL483" s="54">
        <f>IF((AC483-SUM(AE483:AK483))&lt;0,0,AC483-SUM(AE483:AK483))</f>
        <v>1</v>
      </c>
      <c r="AM483" s="69">
        <f>SUM(AN483:AT483)</f>
        <v>0</v>
      </c>
      <c r="AN483" s="60"/>
      <c r="AO483" s="52"/>
      <c r="AP483" s="52"/>
      <c r="AQ483" s="52"/>
      <c r="AR483" s="52"/>
      <c r="AS483" s="52"/>
      <c r="AT483" s="61"/>
      <c r="AU483" s="77">
        <f>MAX(0,$AM483-$AC483-$AW483)</f>
        <v>0</v>
      </c>
      <c r="AV483" s="54"/>
      <c r="AW483" s="54"/>
      <c r="AX483" s="65">
        <v>0</v>
      </c>
      <c r="AY483" s="78">
        <f>IF(AND($AU483&gt;0,ISNUMBER($AX483)),$AU483*$AX483,0)</f>
        <v>0</v>
      </c>
      <c r="AZ483" s="46"/>
      <c r="BA483" s="52"/>
      <c r="BB483" s="52"/>
      <c r="BC483" s="52"/>
      <c r="BD483" s="52"/>
      <c r="BE483" s="52"/>
      <c r="BF483" s="52"/>
    </row>
    <row r="484" spans="1:58" ht="15" customHeight="1">
      <c r="A484" s="46" t="s">
        <v>2826</v>
      </c>
      <c r="B484" s="76" t="s">
        <v>2827</v>
      </c>
      <c r="C484" s="77" t="s">
        <v>311</v>
      </c>
      <c r="D484" s="74">
        <v>0</v>
      </c>
      <c r="E484" s="76" t="s">
        <v>312</v>
      </c>
      <c r="F484" s="50"/>
      <c r="G484" s="50"/>
      <c r="H484" s="51"/>
      <c r="I484" s="50" t="s">
        <v>2828</v>
      </c>
      <c r="J484" s="54" t="s">
        <v>73</v>
      </c>
      <c r="K484" s="56" t="s">
        <v>104</v>
      </c>
      <c r="L484" s="56" t="s">
        <v>2829</v>
      </c>
      <c r="M484" s="56" t="s">
        <v>2830</v>
      </c>
      <c r="N484" s="56"/>
      <c r="O484" s="54"/>
      <c r="P484" s="56" t="s">
        <v>86</v>
      </c>
      <c r="Q484" s="56" t="s">
        <v>2358</v>
      </c>
      <c r="R484" s="50"/>
      <c r="S484" s="50"/>
      <c r="T484" s="50"/>
      <c r="U484" s="50"/>
      <c r="V484" s="57">
        <v>2.57</v>
      </c>
      <c r="W484" s="68"/>
      <c r="X484" s="50"/>
      <c r="Y484" s="50"/>
      <c r="Z484" s="50"/>
      <c r="AA484" s="50"/>
      <c r="AB484" s="57"/>
      <c r="AC484" s="54">
        <v>1</v>
      </c>
      <c r="AD484" s="69">
        <f>SUM(AE484:AK484)</f>
        <v>1</v>
      </c>
      <c r="AE484" s="66"/>
      <c r="AF484" s="66">
        <v>1</v>
      </c>
      <c r="AG484" s="66"/>
      <c r="AH484" s="66"/>
      <c r="AI484" s="66"/>
      <c r="AJ484" s="66"/>
      <c r="AK484" s="66"/>
      <c r="AL484" s="54">
        <f>IF((AC484-SUM(AE484:AK484))&lt;0,0,AC484-SUM(AE484:AK484))</f>
        <v>0</v>
      </c>
      <c r="AM484" s="69">
        <f>SUM(AN484:AT484)</f>
        <v>1</v>
      </c>
      <c r="AN484" s="60"/>
      <c r="AO484" s="52">
        <v>1</v>
      </c>
      <c r="AP484" s="52"/>
      <c r="AQ484" s="52"/>
      <c r="AR484" s="52"/>
      <c r="AS484" s="52"/>
      <c r="AT484" s="61"/>
      <c r="AU484" s="77">
        <f>MAX(0,$AM484-$AC484-$AW484)</f>
        <v>0</v>
      </c>
      <c r="AV484" s="54"/>
      <c r="AW484" s="54"/>
      <c r="AX484" s="65">
        <v>0</v>
      </c>
      <c r="AY484" s="78">
        <f>IF(AND($AU484&gt;0,ISNUMBER($AX484)),$AU484*$AX484,0)</f>
        <v>0</v>
      </c>
      <c r="AZ484" s="46"/>
      <c r="BA484" s="52"/>
      <c r="BB484" s="52"/>
      <c r="BC484" s="52"/>
      <c r="BD484" s="52"/>
      <c r="BE484" s="52"/>
      <c r="BF484" s="52"/>
    </row>
    <row r="485" spans="1:58" ht="15" customHeight="1">
      <c r="A485" s="46" t="s">
        <v>2831</v>
      </c>
      <c r="B485" s="76" t="s">
        <v>2832</v>
      </c>
      <c r="C485" s="77" t="s">
        <v>80</v>
      </c>
      <c r="D485" s="74">
        <v>2</v>
      </c>
      <c r="E485" s="76" t="s">
        <v>81</v>
      </c>
      <c r="F485" s="50">
        <v>0</v>
      </c>
      <c r="G485" s="50">
        <v>3</v>
      </c>
      <c r="H485" s="51" t="s">
        <v>2833</v>
      </c>
      <c r="I485" s="50" t="s">
        <v>2834</v>
      </c>
      <c r="J485" s="54" t="s">
        <v>73</v>
      </c>
      <c r="K485" s="50" t="s">
        <v>152</v>
      </c>
      <c r="L485" s="50" t="s">
        <v>2835</v>
      </c>
      <c r="M485" s="50" t="s">
        <v>2836</v>
      </c>
      <c r="N485" s="50" t="s">
        <v>85</v>
      </c>
      <c r="O485" s="54"/>
      <c r="P485" s="56" t="s">
        <v>86</v>
      </c>
      <c r="Q485" s="50" t="s">
        <v>691</v>
      </c>
      <c r="R485" s="50" t="s">
        <v>2837</v>
      </c>
      <c r="S485" s="50">
        <v>1</v>
      </c>
      <c r="T485" s="50">
        <v>0</v>
      </c>
      <c r="U485" s="56" t="s">
        <v>2798</v>
      </c>
      <c r="V485" s="57">
        <v>2.4</v>
      </c>
      <c r="W485" s="56"/>
      <c r="X485" s="50"/>
      <c r="Y485" s="50"/>
      <c r="Z485" s="50"/>
      <c r="AA485" s="56"/>
      <c r="AB485" s="57"/>
      <c r="AC485" s="54">
        <v>1</v>
      </c>
      <c r="AD485" s="69">
        <f>SUM(AE485:AK485)</f>
        <v>0</v>
      </c>
      <c r="AE485" s="66"/>
      <c r="AF485" s="66"/>
      <c r="AG485" s="66"/>
      <c r="AH485" s="66"/>
      <c r="AI485" s="66"/>
      <c r="AJ485" s="66"/>
      <c r="AK485" s="66"/>
      <c r="AL485" s="54">
        <f>IF((AC485-SUM(AE485:AK485))&lt;0,0,AC485-SUM(AE485:AK485))</f>
        <v>1</v>
      </c>
      <c r="AM485" s="69">
        <f>SUM(AN485:AT485)</f>
        <v>0</v>
      </c>
      <c r="AN485" s="60"/>
      <c r="AO485" s="52"/>
      <c r="AP485" s="52"/>
      <c r="AQ485" s="52"/>
      <c r="AR485" s="52"/>
      <c r="AS485" s="52"/>
      <c r="AT485" s="61"/>
      <c r="AU485" s="77">
        <f>MAX(0,$AM485-$AC485-$AW485)</f>
        <v>0</v>
      </c>
      <c r="AV485" s="54"/>
      <c r="AW485" s="54"/>
      <c r="AX485" s="65">
        <v>0</v>
      </c>
      <c r="AY485" s="78">
        <f>IF(AND($AU485&gt;0,ISNUMBER($AX485)),$AU485*$AX485,0)</f>
        <v>0</v>
      </c>
      <c r="AZ485" s="46"/>
      <c r="BA485" s="52"/>
      <c r="BB485" s="52"/>
      <c r="BC485" s="52"/>
      <c r="BD485" s="52"/>
      <c r="BE485" s="52"/>
      <c r="BF485" s="52"/>
    </row>
    <row r="486" spans="1:58" ht="15" customHeight="1">
      <c r="A486" s="46" t="s">
        <v>2838</v>
      </c>
      <c r="B486" s="76" t="s">
        <v>2839</v>
      </c>
      <c r="C486" s="77" t="s">
        <v>70</v>
      </c>
      <c r="D486" s="74">
        <v>2</v>
      </c>
      <c r="E486" s="76" t="s">
        <v>384</v>
      </c>
      <c r="F486" s="50"/>
      <c r="G486" s="50"/>
      <c r="H486" s="51"/>
      <c r="I486" s="50" t="s">
        <v>2840</v>
      </c>
      <c r="J486" s="54" t="s">
        <v>73</v>
      </c>
      <c r="K486" s="56" t="s">
        <v>386</v>
      </c>
      <c r="L486" s="56" t="s">
        <v>2841</v>
      </c>
      <c r="M486" s="56"/>
      <c r="N486" s="56"/>
      <c r="O486" s="54"/>
      <c r="P486" s="56" t="s">
        <v>76</v>
      </c>
      <c r="Q486" s="56" t="s">
        <v>874</v>
      </c>
      <c r="R486" s="50"/>
      <c r="S486" s="50"/>
      <c r="T486" s="50"/>
      <c r="U486" s="50"/>
      <c r="V486" s="57">
        <v>2.3199999999999998</v>
      </c>
      <c r="W486" s="68"/>
      <c r="X486" s="50"/>
      <c r="Y486" s="50"/>
      <c r="Z486" s="50"/>
      <c r="AA486" s="50"/>
      <c r="AB486" s="57"/>
      <c r="AC486" s="54">
        <v>1</v>
      </c>
      <c r="AD486" s="69">
        <f>SUM(AE486:AK486)</f>
        <v>1</v>
      </c>
      <c r="AE486" s="66"/>
      <c r="AF486" s="66"/>
      <c r="AG486" s="66"/>
      <c r="AH486" s="66"/>
      <c r="AI486" s="66"/>
      <c r="AJ486" s="66">
        <v>1</v>
      </c>
      <c r="AK486" s="66"/>
      <c r="AL486" s="54">
        <f>IF((AC486-SUM(AE486:AK486))&lt;0,0,AC486-SUM(AE486:AK486))</f>
        <v>0</v>
      </c>
      <c r="AM486" s="69">
        <f>SUM(AN486:AT486)</f>
        <v>0</v>
      </c>
      <c r="AN486" s="60"/>
      <c r="AO486" s="52"/>
      <c r="AP486" s="52"/>
      <c r="AQ486" s="52"/>
      <c r="AR486" s="52"/>
      <c r="AS486" s="52"/>
      <c r="AT486" s="61"/>
      <c r="AU486" s="77">
        <f>MAX(0,$AM486-$AC486-$AW486)</f>
        <v>0</v>
      </c>
      <c r="AV486" s="54"/>
      <c r="AW486" s="54"/>
      <c r="AX486" s="65">
        <v>0</v>
      </c>
      <c r="AY486" s="78">
        <f>IF(AND($AU486&gt;0,ISNUMBER($AX486)),$AU486*$AX486,0)</f>
        <v>0</v>
      </c>
      <c r="AZ486" s="46"/>
      <c r="BA486" s="52"/>
      <c r="BB486" s="52"/>
      <c r="BC486" s="52"/>
      <c r="BD486" s="52"/>
      <c r="BE486" s="52" t="s">
        <v>382</v>
      </c>
      <c r="BF486" s="52"/>
    </row>
    <row r="487" spans="1:58" ht="15" customHeight="1">
      <c r="A487" s="46" t="s">
        <v>2842</v>
      </c>
      <c r="B487" s="76" t="s">
        <v>2843</v>
      </c>
      <c r="C487" s="77" t="s">
        <v>101</v>
      </c>
      <c r="D487" s="74">
        <v>4</v>
      </c>
      <c r="E487" s="76" t="s">
        <v>110</v>
      </c>
      <c r="F487" s="50">
        <v>4</v>
      </c>
      <c r="G487" s="50">
        <v>3</v>
      </c>
      <c r="H487" s="51" t="s">
        <v>2844</v>
      </c>
      <c r="I487" s="50" t="s">
        <v>2845</v>
      </c>
      <c r="J487" s="54" t="s">
        <v>73</v>
      </c>
      <c r="K487" s="50" t="s">
        <v>121</v>
      </c>
      <c r="L487" s="50" t="s">
        <v>2846</v>
      </c>
      <c r="M487" s="50" t="s">
        <v>304</v>
      </c>
      <c r="N487" s="50" t="s">
        <v>2847</v>
      </c>
      <c r="O487" s="56">
        <v>2906</v>
      </c>
      <c r="P487" s="56" t="s">
        <v>185</v>
      </c>
      <c r="Q487" s="50" t="s">
        <v>691</v>
      </c>
      <c r="R487" s="50" t="s">
        <v>2848</v>
      </c>
      <c r="S487" s="50">
        <v>1</v>
      </c>
      <c r="T487" s="50">
        <v>0</v>
      </c>
      <c r="U487" s="56" t="s">
        <v>1215</v>
      </c>
      <c r="V487" s="57">
        <v>2.3199999999999998</v>
      </c>
      <c r="W487" s="56"/>
      <c r="X487" s="50"/>
      <c r="Y487" s="50"/>
      <c r="Z487" s="50"/>
      <c r="AA487" s="56"/>
      <c r="AB487" s="57"/>
      <c r="AC487" s="54">
        <v>1</v>
      </c>
      <c r="AD487" s="69">
        <f>SUM(AE487:AK487)</f>
        <v>0</v>
      </c>
      <c r="AE487" s="66"/>
      <c r="AF487" s="66"/>
      <c r="AG487" s="66"/>
      <c r="AH487" s="66"/>
      <c r="AI487" s="66"/>
      <c r="AJ487" s="66"/>
      <c r="AK487" s="66"/>
      <c r="AL487" s="54">
        <f>IF((AC487-SUM(AE487:AK487))&lt;0,0,AC487-SUM(AE487:AK487))</f>
        <v>1</v>
      </c>
      <c r="AM487" s="69">
        <f>SUM(AN487:AT487)</f>
        <v>0</v>
      </c>
      <c r="AN487" s="60"/>
      <c r="AO487" s="52"/>
      <c r="AP487" s="52"/>
      <c r="AQ487" s="52"/>
      <c r="AR487" s="52"/>
      <c r="AS487" s="52"/>
      <c r="AT487" s="61"/>
      <c r="AU487" s="77">
        <f>MAX(0,$AM487-$AC487-$AW487)</f>
        <v>0</v>
      </c>
      <c r="AV487" s="54"/>
      <c r="AW487" s="54"/>
      <c r="AX487" s="65">
        <v>0</v>
      </c>
      <c r="AY487" s="78">
        <f>IF(AND($AU487&gt;0,ISNUMBER($AX487)),$AU487*$AX487,0)</f>
        <v>0</v>
      </c>
      <c r="AZ487" s="46"/>
      <c r="BA487" s="52"/>
      <c r="BB487" s="52"/>
      <c r="BC487" s="52"/>
      <c r="BD487" s="52"/>
      <c r="BE487" s="52"/>
      <c r="BF487" s="52"/>
    </row>
    <row r="488" spans="1:58" ht="15" customHeight="1">
      <c r="A488" s="46" t="s">
        <v>2849</v>
      </c>
      <c r="B488" s="76" t="s">
        <v>2850</v>
      </c>
      <c r="C488" s="77" t="s">
        <v>101</v>
      </c>
      <c r="D488" s="74">
        <v>3</v>
      </c>
      <c r="E488" s="76" t="s">
        <v>81</v>
      </c>
      <c r="F488" s="50">
        <v>2</v>
      </c>
      <c r="G488" s="50">
        <v>1</v>
      </c>
      <c r="H488" s="51" t="s">
        <v>2361</v>
      </c>
      <c r="I488" s="50" t="s">
        <v>2851</v>
      </c>
      <c r="J488" s="54" t="s">
        <v>196</v>
      </c>
      <c r="K488" s="56" t="s">
        <v>474</v>
      </c>
      <c r="L488" s="56" t="s">
        <v>2852</v>
      </c>
      <c r="M488" s="56"/>
      <c r="N488" s="56"/>
      <c r="O488" s="54"/>
      <c r="P488" s="56" t="s">
        <v>185</v>
      </c>
      <c r="Q488" s="56" t="s">
        <v>502</v>
      </c>
      <c r="R488" s="50"/>
      <c r="S488" s="50"/>
      <c r="T488" s="50"/>
      <c r="U488" s="50"/>
      <c r="V488" s="57">
        <v>2.2200000000000002</v>
      </c>
      <c r="W488" s="68"/>
      <c r="X488" s="50"/>
      <c r="Y488" s="50"/>
      <c r="Z488" s="50"/>
      <c r="AA488" s="50"/>
      <c r="AB488" s="57"/>
      <c r="AC488" s="54">
        <v>1</v>
      </c>
      <c r="AD488" s="69">
        <f>SUM(AE488:AK488)</f>
        <v>1</v>
      </c>
      <c r="AE488" s="66"/>
      <c r="AF488" s="66">
        <v>1</v>
      </c>
      <c r="AG488" s="66"/>
      <c r="AH488" s="66"/>
      <c r="AI488" s="66"/>
      <c r="AJ488" s="66"/>
      <c r="AK488" s="66"/>
      <c r="AL488" s="54">
        <f>IF((AC488-SUM(AE488:AK488))&lt;0,0,AC488-SUM(AE488:AK488))</f>
        <v>0</v>
      </c>
      <c r="AM488" s="69">
        <f>SUM(AN488:AT488)</f>
        <v>1</v>
      </c>
      <c r="AN488" s="60"/>
      <c r="AO488" s="52">
        <v>1</v>
      </c>
      <c r="AP488" s="52"/>
      <c r="AQ488" s="52"/>
      <c r="AR488" s="52"/>
      <c r="AS488" s="52"/>
      <c r="AT488" s="61"/>
      <c r="AU488" s="77">
        <f>MAX(0,$AM488-$AC488-$AW488)</f>
        <v>0</v>
      </c>
      <c r="AV488" s="54"/>
      <c r="AW488" s="54"/>
      <c r="AX488" s="65">
        <v>0</v>
      </c>
      <c r="AY488" s="78">
        <f>IF(AND($AU488&gt;0,ISNUMBER($AX488)),$AU488*$AX488,0)</f>
        <v>0</v>
      </c>
      <c r="AZ488" s="46"/>
      <c r="BA488" s="52"/>
      <c r="BB488" s="52"/>
      <c r="BC488" s="52"/>
      <c r="BD488" s="52"/>
      <c r="BE488" s="52"/>
      <c r="BF488" s="52"/>
    </row>
    <row r="489" spans="1:58" ht="15" customHeight="1">
      <c r="A489" s="46" t="s">
        <v>2853</v>
      </c>
      <c r="B489" s="76" t="s">
        <v>2854</v>
      </c>
      <c r="C489" s="77" t="s">
        <v>118</v>
      </c>
      <c r="D489" s="74">
        <v>4</v>
      </c>
      <c r="E489" s="76" t="s">
        <v>81</v>
      </c>
      <c r="F489" s="50">
        <v>1</v>
      </c>
      <c r="G489" s="50">
        <v>5</v>
      </c>
      <c r="H489" s="51" t="s">
        <v>2855</v>
      </c>
      <c r="I489" s="50" t="s">
        <v>2856</v>
      </c>
      <c r="J489" s="54" t="s">
        <v>73</v>
      </c>
      <c r="K489" s="56" t="s">
        <v>121</v>
      </c>
      <c r="L489" s="56" t="s">
        <v>2857</v>
      </c>
      <c r="M489" s="56" t="s">
        <v>2858</v>
      </c>
      <c r="N489" s="56"/>
      <c r="O489" s="54"/>
      <c r="P489" s="56" t="s">
        <v>86</v>
      </c>
      <c r="Q489" s="56" t="s">
        <v>1165</v>
      </c>
      <c r="R489" s="50"/>
      <c r="S489" s="50"/>
      <c r="T489" s="50"/>
      <c r="U489" s="56"/>
      <c r="V489" s="57">
        <v>2.14</v>
      </c>
      <c r="W489" s="68"/>
      <c r="X489" s="50"/>
      <c r="Y489" s="50"/>
      <c r="Z489" s="50"/>
      <c r="AA489" s="56"/>
      <c r="AB489" s="57"/>
      <c r="AC489" s="54">
        <v>1</v>
      </c>
      <c r="AD489" s="69">
        <f>SUM(AE489:AK489)</f>
        <v>0</v>
      </c>
      <c r="AE489" s="66"/>
      <c r="AF489" s="66"/>
      <c r="AG489" s="66"/>
      <c r="AH489" s="66"/>
      <c r="AI489" s="66"/>
      <c r="AJ489" s="66"/>
      <c r="AK489" s="66"/>
      <c r="AL489" s="54">
        <f>IF((AC489-SUM(AE489:AK489))&lt;0,0,AC489-SUM(AE489:AK489))</f>
        <v>1</v>
      </c>
      <c r="AM489" s="69">
        <f>SUM(AN489:AT489)</f>
        <v>0</v>
      </c>
      <c r="AN489" s="60"/>
      <c r="AO489" s="52"/>
      <c r="AP489" s="52"/>
      <c r="AQ489" s="52"/>
      <c r="AR489" s="52"/>
      <c r="AS489" s="52"/>
      <c r="AT489" s="61"/>
      <c r="AU489" s="77">
        <f>MAX(0,$AM489-$AC489-$AW489)</f>
        <v>0</v>
      </c>
      <c r="AV489" s="54"/>
      <c r="AW489" s="54"/>
      <c r="AX489" s="65">
        <v>0</v>
      </c>
      <c r="AY489" s="78">
        <f>IF(AND($AU489&gt;0,ISNUMBER($AX489)),$AU489*$AX489,0)</f>
        <v>0</v>
      </c>
      <c r="AZ489" s="46"/>
      <c r="BA489" s="52"/>
      <c r="BB489" s="52"/>
      <c r="BC489" s="52"/>
      <c r="BD489" s="52"/>
      <c r="BE489" s="52"/>
      <c r="BF489" s="52"/>
    </row>
    <row r="490" spans="1:58" ht="15" customHeight="1">
      <c r="A490" s="46" t="s">
        <v>2859</v>
      </c>
      <c r="B490" s="76" t="s">
        <v>2860</v>
      </c>
      <c r="C490" s="77" t="s">
        <v>80</v>
      </c>
      <c r="D490" s="74">
        <v>3</v>
      </c>
      <c r="E490" s="76" t="s">
        <v>189</v>
      </c>
      <c r="F490" s="50"/>
      <c r="G490" s="50"/>
      <c r="H490" s="51"/>
      <c r="I490" s="50" t="s">
        <v>2861</v>
      </c>
      <c r="J490" s="54" t="s">
        <v>73</v>
      </c>
      <c r="K490" s="50" t="s">
        <v>92</v>
      </c>
      <c r="L490" s="50" t="s">
        <v>403</v>
      </c>
      <c r="M490" s="50" t="s">
        <v>2862</v>
      </c>
      <c r="N490" s="50" t="s">
        <v>2863</v>
      </c>
      <c r="O490" s="54"/>
      <c r="P490" s="56" t="s">
        <v>76</v>
      </c>
      <c r="Q490" s="50" t="s">
        <v>691</v>
      </c>
      <c r="R490" s="50" t="s">
        <v>2864</v>
      </c>
      <c r="S490" s="50">
        <v>1</v>
      </c>
      <c r="T490" s="50">
        <v>0</v>
      </c>
      <c r="U490" s="56" t="s">
        <v>772</v>
      </c>
      <c r="V490" s="57">
        <v>2.08</v>
      </c>
      <c r="W490" s="56"/>
      <c r="X490" s="50"/>
      <c r="Y490" s="50"/>
      <c r="Z490" s="50"/>
      <c r="AA490" s="56"/>
      <c r="AB490" s="57"/>
      <c r="AC490" s="54">
        <v>1</v>
      </c>
      <c r="AD490" s="69">
        <f>SUM(AE490:AK490)</f>
        <v>0</v>
      </c>
      <c r="AE490" s="66"/>
      <c r="AF490" s="66"/>
      <c r="AG490" s="66"/>
      <c r="AH490" s="66"/>
      <c r="AI490" s="66"/>
      <c r="AJ490" s="66"/>
      <c r="AK490" s="66"/>
      <c r="AL490" s="54">
        <f>IF((AC490-SUM(AE490:AK490))&lt;0,0,AC490-SUM(AE490:AK490))</f>
        <v>1</v>
      </c>
      <c r="AM490" s="69">
        <f>SUM(AN490:AT490)</f>
        <v>0</v>
      </c>
      <c r="AN490" s="60"/>
      <c r="AO490" s="52"/>
      <c r="AP490" s="52"/>
      <c r="AQ490" s="52"/>
      <c r="AR490" s="52"/>
      <c r="AS490" s="52"/>
      <c r="AT490" s="61"/>
      <c r="AU490" s="77">
        <f>MAX(0,$AM490-$AC490-$AW490)</f>
        <v>0</v>
      </c>
      <c r="AV490" s="54"/>
      <c r="AW490" s="54"/>
      <c r="AX490" s="65">
        <v>0</v>
      </c>
      <c r="AY490" s="78">
        <f>IF(AND($AU490&gt;0,ISNUMBER($AX490)),$AU490*$AX490,0)</f>
        <v>0</v>
      </c>
      <c r="AZ490" s="46"/>
      <c r="BA490" s="52"/>
      <c r="BB490" s="52"/>
      <c r="BC490" s="52"/>
      <c r="BD490" s="52"/>
      <c r="BE490" s="52"/>
      <c r="BF490" s="52"/>
    </row>
    <row r="491" spans="1:58" ht="15" customHeight="1">
      <c r="A491" s="46" t="s">
        <v>2865</v>
      </c>
      <c r="B491" s="76" t="s">
        <v>2866</v>
      </c>
      <c r="C491" s="77" t="s">
        <v>109</v>
      </c>
      <c r="D491" s="74">
        <v>2</v>
      </c>
      <c r="E491" s="76" t="s">
        <v>71</v>
      </c>
      <c r="F491" s="50"/>
      <c r="G491" s="50"/>
      <c r="H491" s="51"/>
      <c r="I491" s="50" t="s">
        <v>2867</v>
      </c>
      <c r="J491" s="54" t="s">
        <v>73</v>
      </c>
      <c r="K491" s="50" t="s">
        <v>98</v>
      </c>
      <c r="L491" s="50" t="s">
        <v>2868</v>
      </c>
      <c r="M491" s="50" t="s">
        <v>2869</v>
      </c>
      <c r="N491" s="50"/>
      <c r="O491" s="54"/>
      <c r="P491" s="56" t="s">
        <v>86</v>
      </c>
      <c r="Q491" s="50" t="s">
        <v>691</v>
      </c>
      <c r="R491" s="50" t="s">
        <v>2870</v>
      </c>
      <c r="S491" s="50">
        <v>1</v>
      </c>
      <c r="T491" s="50">
        <v>0</v>
      </c>
      <c r="U491" s="56" t="s">
        <v>772</v>
      </c>
      <c r="V491" s="57">
        <v>2.0099999999999998</v>
      </c>
      <c r="W491" s="56"/>
      <c r="X491" s="50"/>
      <c r="Y491" s="50"/>
      <c r="Z491" s="50"/>
      <c r="AA491" s="56"/>
      <c r="AB491" s="57"/>
      <c r="AC491" s="54">
        <v>1</v>
      </c>
      <c r="AD491" s="69">
        <f>SUM(AE491:AK491)</f>
        <v>0</v>
      </c>
      <c r="AE491" s="66"/>
      <c r="AF491" s="66"/>
      <c r="AG491" s="66"/>
      <c r="AH491" s="66"/>
      <c r="AI491" s="66"/>
      <c r="AJ491" s="66"/>
      <c r="AK491" s="66"/>
      <c r="AL491" s="54">
        <f>IF((AC491-SUM(AE491:AK491))&lt;0,0,AC491-SUM(AE491:AK491))</f>
        <v>1</v>
      </c>
      <c r="AM491" s="69">
        <f>SUM(AN491:AT491)</f>
        <v>0</v>
      </c>
      <c r="AN491" s="60"/>
      <c r="AO491" s="52"/>
      <c r="AP491" s="52"/>
      <c r="AQ491" s="52"/>
      <c r="AR491" s="52"/>
      <c r="AS491" s="52"/>
      <c r="AT491" s="61"/>
      <c r="AU491" s="77">
        <f>MAX(0,$AM491-$AC491-$AW491)</f>
        <v>0</v>
      </c>
      <c r="AV491" s="54"/>
      <c r="AW491" s="54"/>
      <c r="AX491" s="65">
        <v>0</v>
      </c>
      <c r="AY491" s="78">
        <f>IF(AND($AU491&gt;0,ISNUMBER($AX491)),$AU491*$AX491,0)</f>
        <v>0</v>
      </c>
      <c r="AZ491" s="46"/>
      <c r="BA491" s="52"/>
      <c r="BB491" s="52"/>
      <c r="BC491" s="52"/>
      <c r="BD491" s="52"/>
      <c r="BE491" s="52"/>
      <c r="BF491" s="52"/>
    </row>
    <row r="492" spans="1:58" ht="15" customHeight="1">
      <c r="A492" s="46" t="s">
        <v>2871</v>
      </c>
      <c r="B492" s="76" t="s">
        <v>2872</v>
      </c>
      <c r="C492" s="77" t="s">
        <v>118</v>
      </c>
      <c r="D492" s="74">
        <v>3</v>
      </c>
      <c r="E492" s="76" t="s">
        <v>110</v>
      </c>
      <c r="F492" s="50">
        <v>1</v>
      </c>
      <c r="G492" s="50">
        <v>3</v>
      </c>
      <c r="H492" s="51" t="s">
        <v>119</v>
      </c>
      <c r="I492" s="50" t="s">
        <v>2873</v>
      </c>
      <c r="J492" s="54" t="s">
        <v>73</v>
      </c>
      <c r="K492" s="50" t="s">
        <v>202</v>
      </c>
      <c r="L492" s="50" t="s">
        <v>2874</v>
      </c>
      <c r="M492" s="50" t="s">
        <v>136</v>
      </c>
      <c r="N492" s="50"/>
      <c r="O492" s="56">
        <v>4511</v>
      </c>
      <c r="P492" s="56" t="s">
        <v>185</v>
      </c>
      <c r="Q492" s="50" t="s">
        <v>691</v>
      </c>
      <c r="R492" s="50" t="s">
        <v>2875</v>
      </c>
      <c r="S492" s="50">
        <v>1</v>
      </c>
      <c r="T492" s="50">
        <v>1</v>
      </c>
      <c r="U492" s="56" t="s">
        <v>1742</v>
      </c>
      <c r="V492" s="57">
        <v>2</v>
      </c>
      <c r="W492" s="56"/>
      <c r="X492" s="50"/>
      <c r="Y492" s="50"/>
      <c r="Z492" s="50"/>
      <c r="AA492" s="56"/>
      <c r="AB492" s="57"/>
      <c r="AC492" s="54">
        <v>1</v>
      </c>
      <c r="AD492" s="69">
        <f>SUM(AE492:AK492)</f>
        <v>0</v>
      </c>
      <c r="AE492" s="66"/>
      <c r="AF492" s="66"/>
      <c r="AG492" s="66"/>
      <c r="AH492" s="66"/>
      <c r="AI492" s="66"/>
      <c r="AJ492" s="66"/>
      <c r="AK492" s="66"/>
      <c r="AL492" s="54">
        <f>IF((AC492-SUM(AE492:AK492))&lt;0,0,AC492-SUM(AE492:AK492))</f>
        <v>1</v>
      </c>
      <c r="AM492" s="69">
        <f>SUM(AN492:AT492)</f>
        <v>0</v>
      </c>
      <c r="AN492" s="60"/>
      <c r="AO492" s="52"/>
      <c r="AP492" s="52"/>
      <c r="AQ492" s="52"/>
      <c r="AR492" s="52"/>
      <c r="AS492" s="52"/>
      <c r="AT492" s="61"/>
      <c r="AU492" s="77">
        <f>MAX(0,$AM492-$AC492-$AW492)</f>
        <v>0</v>
      </c>
      <c r="AV492" s="54"/>
      <c r="AW492" s="54"/>
      <c r="AX492" s="65">
        <v>0</v>
      </c>
      <c r="AY492" s="78">
        <f>IF(AND($AU492&gt;0,ISNUMBER($AX492)),$AU492*$AX492,0)</f>
        <v>0</v>
      </c>
      <c r="AZ492" s="46"/>
      <c r="BA492" s="52"/>
      <c r="BB492" s="52"/>
      <c r="BC492" s="52"/>
      <c r="BD492" s="52"/>
      <c r="BE492" s="52"/>
      <c r="BF492" s="52"/>
    </row>
    <row r="493" spans="1:58" ht="15" customHeight="1">
      <c r="A493" s="46" t="s">
        <v>2876</v>
      </c>
      <c r="B493" s="76" t="s">
        <v>2877</v>
      </c>
      <c r="C493" s="77" t="s">
        <v>311</v>
      </c>
      <c r="D493" s="74">
        <v>0</v>
      </c>
      <c r="E493" s="76" t="s">
        <v>312</v>
      </c>
      <c r="F493" s="50"/>
      <c r="G493" s="50"/>
      <c r="H493" s="51"/>
      <c r="I493" s="50" t="s">
        <v>2878</v>
      </c>
      <c r="J493" s="54" t="s">
        <v>73</v>
      </c>
      <c r="K493" s="50" t="s">
        <v>312</v>
      </c>
      <c r="L493" s="50" t="s">
        <v>1014</v>
      </c>
      <c r="M493" s="50" t="s">
        <v>1320</v>
      </c>
      <c r="N493" s="50"/>
      <c r="O493" s="54"/>
      <c r="P493" s="56" t="s">
        <v>312</v>
      </c>
      <c r="Q493" s="50" t="s">
        <v>691</v>
      </c>
      <c r="R493" s="50" t="s">
        <v>2879</v>
      </c>
      <c r="S493" s="50">
        <v>1</v>
      </c>
      <c r="T493" s="50">
        <v>1</v>
      </c>
      <c r="U493" s="56" t="s">
        <v>1322</v>
      </c>
      <c r="V493" s="57">
        <v>2</v>
      </c>
      <c r="W493" s="56"/>
      <c r="X493" s="50"/>
      <c r="Y493" s="50"/>
      <c r="Z493" s="50"/>
      <c r="AA493" s="56"/>
      <c r="AB493" s="57"/>
      <c r="AC493" s="54">
        <v>1</v>
      </c>
      <c r="AD493" s="69">
        <f>SUM(AE493:AK493)</f>
        <v>0</v>
      </c>
      <c r="AE493" s="66"/>
      <c r="AF493" s="66"/>
      <c r="AG493" s="66"/>
      <c r="AH493" s="66"/>
      <c r="AI493" s="66"/>
      <c r="AJ493" s="66"/>
      <c r="AK493" s="66"/>
      <c r="AL493" s="54">
        <f>IF((AC493-SUM(AE493:AK493))&lt;0,0,AC493-SUM(AE493:AK493))</f>
        <v>1</v>
      </c>
      <c r="AM493" s="69">
        <f>SUM(AN493:AT493)</f>
        <v>0</v>
      </c>
      <c r="AN493" s="60"/>
      <c r="AO493" s="52"/>
      <c r="AP493" s="52"/>
      <c r="AQ493" s="52"/>
      <c r="AR493" s="52"/>
      <c r="AS493" s="52"/>
      <c r="AT493" s="61"/>
      <c r="AU493" s="77">
        <f>MAX(0,$AM493-$AC493-$AW493)</f>
        <v>0</v>
      </c>
      <c r="AV493" s="54"/>
      <c r="AW493" s="54"/>
      <c r="AX493" s="65">
        <v>0</v>
      </c>
      <c r="AY493" s="78">
        <f>IF(AND($AU493&gt;0,ISNUMBER($AX493)),$AU493*$AX493,0)</f>
        <v>0</v>
      </c>
      <c r="AZ493" s="46"/>
      <c r="BA493" s="52"/>
      <c r="BB493" s="52"/>
      <c r="BC493" s="52"/>
      <c r="BD493" s="52"/>
      <c r="BE493" s="52"/>
      <c r="BF493" s="52"/>
    </row>
    <row r="494" spans="1:58" ht="15" customHeight="1">
      <c r="A494" s="46" t="s">
        <v>2880</v>
      </c>
      <c r="B494" s="76" t="s">
        <v>2881</v>
      </c>
      <c r="C494" s="77" t="s">
        <v>232</v>
      </c>
      <c r="D494" s="74">
        <v>2</v>
      </c>
      <c r="E494" s="76" t="s">
        <v>233</v>
      </c>
      <c r="F494" s="50"/>
      <c r="G494" s="50"/>
      <c r="H494" s="51" t="s">
        <v>519</v>
      </c>
      <c r="I494" s="50" t="s">
        <v>2882</v>
      </c>
      <c r="J494" s="54" t="s">
        <v>196</v>
      </c>
      <c r="K494" s="56" t="s">
        <v>254</v>
      </c>
      <c r="L494" s="56" t="s">
        <v>2883</v>
      </c>
      <c r="M494" s="56" t="s">
        <v>2884</v>
      </c>
      <c r="N494" s="56"/>
      <c r="O494" s="54"/>
      <c r="P494" s="56" t="s">
        <v>185</v>
      </c>
      <c r="Q494" s="56" t="s">
        <v>2274</v>
      </c>
      <c r="R494" s="50"/>
      <c r="S494" s="50"/>
      <c r="T494" s="50"/>
      <c r="U494" s="50"/>
      <c r="V494" s="57">
        <v>2</v>
      </c>
      <c r="W494" s="68"/>
      <c r="X494" s="50"/>
      <c r="Y494" s="50"/>
      <c r="Z494" s="50"/>
      <c r="AA494" s="50"/>
      <c r="AB494" s="57"/>
      <c r="AC494" s="54">
        <v>1</v>
      </c>
      <c r="AD494" s="69">
        <f>SUM(AE494:AK494)</f>
        <v>1</v>
      </c>
      <c r="AE494" s="66"/>
      <c r="AF494" s="66"/>
      <c r="AG494" s="66"/>
      <c r="AH494" s="66"/>
      <c r="AI494" s="66"/>
      <c r="AJ494" s="66">
        <v>1</v>
      </c>
      <c r="AK494" s="66"/>
      <c r="AL494" s="54">
        <f>IF((AC494-SUM(AE494:AK494))&lt;0,0,AC494-SUM(AE494:AK494))</f>
        <v>0</v>
      </c>
      <c r="AM494" s="69">
        <f>SUM(AN494:AT494)</f>
        <v>1</v>
      </c>
      <c r="AN494" s="60"/>
      <c r="AO494" s="52"/>
      <c r="AP494" s="52"/>
      <c r="AQ494" s="52"/>
      <c r="AR494" s="52"/>
      <c r="AS494" s="52">
        <v>1</v>
      </c>
      <c r="AT494" s="61"/>
      <c r="AU494" s="77">
        <f>MAX(0,$AM494-$AC494-$AW494)</f>
        <v>0</v>
      </c>
      <c r="AV494" s="54"/>
      <c r="AW494" s="54"/>
      <c r="AX494" s="65">
        <v>0</v>
      </c>
      <c r="AY494" s="78">
        <f>IF(AND($AU494&gt;0,ISNUMBER($AX494)),$AU494*$AX494,0)</f>
        <v>0</v>
      </c>
      <c r="AZ494" s="46"/>
      <c r="BA494" s="52"/>
      <c r="BB494" s="52"/>
      <c r="BC494" s="52"/>
      <c r="BD494" s="52"/>
      <c r="BE494" s="52"/>
      <c r="BF494" s="52"/>
    </row>
    <row r="495" spans="1:58" ht="15" customHeight="1">
      <c r="A495" s="46" t="s">
        <v>2885</v>
      </c>
      <c r="B495" s="76" t="s">
        <v>2886</v>
      </c>
      <c r="C495" s="77" t="s">
        <v>232</v>
      </c>
      <c r="D495" s="74">
        <v>2</v>
      </c>
      <c r="E495" s="76" t="s">
        <v>233</v>
      </c>
      <c r="F495" s="50"/>
      <c r="G495" s="50"/>
      <c r="H495" s="51" t="s">
        <v>519</v>
      </c>
      <c r="I495" s="50" t="s">
        <v>2887</v>
      </c>
      <c r="J495" s="54" t="s">
        <v>73</v>
      </c>
      <c r="K495" s="50" t="s">
        <v>2888</v>
      </c>
      <c r="L495" s="50" t="s">
        <v>2889</v>
      </c>
      <c r="M495" s="50" t="s">
        <v>915</v>
      </c>
      <c r="N495" s="50"/>
      <c r="O495" s="54"/>
      <c r="P495" s="56" t="s">
        <v>76</v>
      </c>
      <c r="Q495" s="50" t="s">
        <v>691</v>
      </c>
      <c r="R495" s="50" t="s">
        <v>2890</v>
      </c>
      <c r="S495" s="50">
        <v>1</v>
      </c>
      <c r="T495" s="50">
        <v>0</v>
      </c>
      <c r="U495" s="56" t="s">
        <v>1524</v>
      </c>
      <c r="V495" s="57">
        <v>1.99</v>
      </c>
      <c r="W495" s="56"/>
      <c r="X495" s="50"/>
      <c r="Y495" s="50"/>
      <c r="Z495" s="50"/>
      <c r="AA495" s="56"/>
      <c r="AB495" s="57"/>
      <c r="AC495" s="54">
        <v>1</v>
      </c>
      <c r="AD495" s="69">
        <f>SUM(AE495:AK495)</f>
        <v>0</v>
      </c>
      <c r="AE495" s="66"/>
      <c r="AF495" s="66"/>
      <c r="AG495" s="66"/>
      <c r="AH495" s="66"/>
      <c r="AI495" s="66"/>
      <c r="AJ495" s="66"/>
      <c r="AK495" s="66"/>
      <c r="AL495" s="54">
        <f>IF((AC495-SUM(AE495:AK495))&lt;0,0,AC495-SUM(AE495:AK495))</f>
        <v>1</v>
      </c>
      <c r="AM495" s="69">
        <f>SUM(AN495:AT495)</f>
        <v>0</v>
      </c>
      <c r="AN495" s="60"/>
      <c r="AO495" s="52"/>
      <c r="AP495" s="52"/>
      <c r="AQ495" s="52"/>
      <c r="AR495" s="52"/>
      <c r="AS495" s="52"/>
      <c r="AT495" s="61"/>
      <c r="AU495" s="77">
        <f>MAX(0,$AM495-$AC495-$AW495)</f>
        <v>0</v>
      </c>
      <c r="AV495" s="54"/>
      <c r="AW495" s="54"/>
      <c r="AX495" s="65">
        <v>0</v>
      </c>
      <c r="AY495" s="78">
        <f>IF(AND($AU495&gt;0,ISNUMBER($AX495)),$AU495*$AX495,0)</f>
        <v>0</v>
      </c>
      <c r="AZ495" s="46"/>
      <c r="BA495" s="52"/>
      <c r="BB495" s="52"/>
      <c r="BC495" s="52"/>
      <c r="BD495" s="52"/>
      <c r="BE495" s="52"/>
      <c r="BF495" s="52"/>
    </row>
    <row r="496" spans="1:58" ht="15" customHeight="1">
      <c r="A496" s="46" t="s">
        <v>2891</v>
      </c>
      <c r="B496" s="76" t="s">
        <v>2892</v>
      </c>
      <c r="C496" s="77" t="s">
        <v>109</v>
      </c>
      <c r="D496" s="74">
        <v>5</v>
      </c>
      <c r="E496" s="76" t="s">
        <v>71</v>
      </c>
      <c r="F496" s="50"/>
      <c r="G496" s="50"/>
      <c r="H496" s="51"/>
      <c r="I496" s="50" t="s">
        <v>2893</v>
      </c>
      <c r="J496" s="54" t="s">
        <v>73</v>
      </c>
      <c r="K496" s="50" t="s">
        <v>135</v>
      </c>
      <c r="L496" s="50" t="s">
        <v>2894</v>
      </c>
      <c r="M496" s="50" t="s">
        <v>2895</v>
      </c>
      <c r="N496" s="50"/>
      <c r="O496" s="54"/>
      <c r="P496" s="56" t="s">
        <v>185</v>
      </c>
      <c r="Q496" s="50" t="s">
        <v>691</v>
      </c>
      <c r="R496" s="50" t="s">
        <v>2896</v>
      </c>
      <c r="S496" s="50">
        <v>1</v>
      </c>
      <c r="T496" s="50">
        <v>0</v>
      </c>
      <c r="U496" s="56" t="s">
        <v>2897</v>
      </c>
      <c r="V496" s="57">
        <v>1.99</v>
      </c>
      <c r="W496" s="56"/>
      <c r="X496" s="50"/>
      <c r="Y496" s="50"/>
      <c r="Z496" s="50"/>
      <c r="AA496" s="56"/>
      <c r="AB496" s="57"/>
      <c r="AC496" s="54">
        <v>1</v>
      </c>
      <c r="AD496" s="69">
        <f>SUM(AE496:AK496)</f>
        <v>0</v>
      </c>
      <c r="AE496" s="66"/>
      <c r="AF496" s="66"/>
      <c r="AG496" s="66"/>
      <c r="AH496" s="66"/>
      <c r="AI496" s="66"/>
      <c r="AJ496" s="66"/>
      <c r="AK496" s="66"/>
      <c r="AL496" s="54">
        <f>IF((AC496-SUM(AE496:AK496))&lt;0,0,AC496-SUM(AE496:AK496))</f>
        <v>1</v>
      </c>
      <c r="AM496" s="69">
        <f>SUM(AN496:AT496)</f>
        <v>0</v>
      </c>
      <c r="AN496" s="60"/>
      <c r="AO496" s="52"/>
      <c r="AP496" s="52"/>
      <c r="AQ496" s="52"/>
      <c r="AR496" s="52"/>
      <c r="AS496" s="52"/>
      <c r="AT496" s="61"/>
      <c r="AU496" s="77">
        <f>MAX(0,$AM496-$AC496-$AW496)</f>
        <v>0</v>
      </c>
      <c r="AV496" s="54"/>
      <c r="AW496" s="54"/>
      <c r="AX496" s="65">
        <v>0</v>
      </c>
      <c r="AY496" s="78">
        <f>IF(AND($AU496&gt;0,ISNUMBER($AX496)),$AU496*$AX496,0)</f>
        <v>0</v>
      </c>
      <c r="AZ496" s="46"/>
      <c r="BA496" s="52"/>
      <c r="BB496" s="52"/>
      <c r="BC496" s="52"/>
      <c r="BD496" s="52"/>
      <c r="BE496" s="52"/>
      <c r="BF496" s="52"/>
    </row>
    <row r="497" spans="1:58" ht="15" customHeight="1">
      <c r="A497" s="46" t="s">
        <v>2898</v>
      </c>
      <c r="B497" s="76" t="s">
        <v>2899</v>
      </c>
      <c r="C497" s="77" t="s">
        <v>181</v>
      </c>
      <c r="D497" s="74">
        <v>2</v>
      </c>
      <c r="E497" s="76" t="s">
        <v>81</v>
      </c>
      <c r="F497" s="50">
        <v>2</v>
      </c>
      <c r="G497" s="50">
        <v>2</v>
      </c>
      <c r="H497" s="51" t="s">
        <v>2900</v>
      </c>
      <c r="I497" s="50" t="s">
        <v>2901</v>
      </c>
      <c r="J497" s="54" t="s">
        <v>73</v>
      </c>
      <c r="K497" s="50" t="s">
        <v>676</v>
      </c>
      <c r="L497" s="50" t="s">
        <v>2902</v>
      </c>
      <c r="M497" s="50" t="s">
        <v>2903</v>
      </c>
      <c r="N497" s="50"/>
      <c r="O497" s="54"/>
      <c r="P497" s="56" t="s">
        <v>76</v>
      </c>
      <c r="Q497" s="50" t="s">
        <v>691</v>
      </c>
      <c r="R497" s="50" t="s">
        <v>2904</v>
      </c>
      <c r="S497" s="50">
        <v>1</v>
      </c>
      <c r="T497" s="50">
        <v>0</v>
      </c>
      <c r="U497" s="56" t="s">
        <v>2905</v>
      </c>
      <c r="V497" s="57">
        <v>1.99</v>
      </c>
      <c r="W497" s="56"/>
      <c r="X497" s="50"/>
      <c r="Y497" s="50"/>
      <c r="Z497" s="50"/>
      <c r="AA497" s="56"/>
      <c r="AB497" s="57"/>
      <c r="AC497" s="54">
        <v>1</v>
      </c>
      <c r="AD497" s="69">
        <f>SUM(AE497:AK497)</f>
        <v>0</v>
      </c>
      <c r="AE497" s="66"/>
      <c r="AF497" s="66"/>
      <c r="AG497" s="66"/>
      <c r="AH497" s="66"/>
      <c r="AI497" s="66"/>
      <c r="AJ497" s="66"/>
      <c r="AK497" s="66"/>
      <c r="AL497" s="54">
        <f>IF((AC497-SUM(AE497:AK497))&lt;0,0,AC497-SUM(AE497:AK497))</f>
        <v>1</v>
      </c>
      <c r="AM497" s="69">
        <f>SUM(AN497:AT497)</f>
        <v>0</v>
      </c>
      <c r="AN497" s="60"/>
      <c r="AO497" s="52"/>
      <c r="AP497" s="52"/>
      <c r="AQ497" s="52"/>
      <c r="AR497" s="52"/>
      <c r="AS497" s="52"/>
      <c r="AT497" s="61"/>
      <c r="AU497" s="77">
        <f>MAX(0,$AM497-$AC497-$AW497)</f>
        <v>0</v>
      </c>
      <c r="AV497" s="54"/>
      <c r="AW497" s="54"/>
      <c r="AX497" s="65">
        <v>0</v>
      </c>
      <c r="AY497" s="78">
        <f>IF(AND($AU497&gt;0,ISNUMBER($AX497)),$AU497*$AX497,0)</f>
        <v>0</v>
      </c>
      <c r="AZ497" s="46"/>
      <c r="BA497" s="52"/>
      <c r="BB497" s="52"/>
      <c r="BC497" s="52"/>
      <c r="BD497" s="52"/>
      <c r="BE497" s="52"/>
      <c r="BF497" s="52"/>
    </row>
    <row r="498" spans="1:58" ht="15" customHeight="1">
      <c r="A498" s="46" t="s">
        <v>2906</v>
      </c>
      <c r="B498" s="76" t="s">
        <v>2907</v>
      </c>
      <c r="C498" s="77" t="s">
        <v>80</v>
      </c>
      <c r="D498" s="74">
        <v>6</v>
      </c>
      <c r="E498" s="76" t="s">
        <v>189</v>
      </c>
      <c r="F498" s="50"/>
      <c r="G498" s="50"/>
      <c r="H498" s="51"/>
      <c r="I498" s="50" t="s">
        <v>2908</v>
      </c>
      <c r="J498" s="54" t="s">
        <v>73</v>
      </c>
      <c r="K498" s="56" t="s">
        <v>1493</v>
      </c>
      <c r="L498" s="56" t="s">
        <v>2909</v>
      </c>
      <c r="M498" s="56"/>
      <c r="N498" s="56"/>
      <c r="O498" s="54"/>
      <c r="P498" s="56" t="s">
        <v>114</v>
      </c>
      <c r="Q498" s="56" t="s">
        <v>669</v>
      </c>
      <c r="R498" s="50"/>
      <c r="S498" s="50"/>
      <c r="T498" s="50"/>
      <c r="U498" s="56"/>
      <c r="V498" s="57">
        <v>1.96</v>
      </c>
      <c r="W498" s="68"/>
      <c r="X498" s="50"/>
      <c r="Y498" s="50"/>
      <c r="Z498" s="50"/>
      <c r="AA498" s="56"/>
      <c r="AB498" s="57"/>
      <c r="AC498" s="54">
        <v>1</v>
      </c>
      <c r="AD498" s="69">
        <f>SUM(AE498:AK498)</f>
        <v>0</v>
      </c>
      <c r="AE498" s="66"/>
      <c r="AF498" s="66"/>
      <c r="AG498" s="66"/>
      <c r="AH498" s="66"/>
      <c r="AI498" s="66"/>
      <c r="AJ498" s="66"/>
      <c r="AK498" s="66"/>
      <c r="AL498" s="54">
        <f>IF((AC498-SUM(AE498:AK498))&lt;0,0,AC498-SUM(AE498:AK498))</f>
        <v>1</v>
      </c>
      <c r="AM498" s="69">
        <f>SUM(AN498:AT498)</f>
        <v>0</v>
      </c>
      <c r="AN498" s="60"/>
      <c r="AO498" s="52"/>
      <c r="AP498" s="52"/>
      <c r="AQ498" s="52"/>
      <c r="AR498" s="52"/>
      <c r="AS498" s="52"/>
      <c r="AT498" s="61"/>
      <c r="AU498" s="77">
        <f>MAX(0,$AM498-$AC498-$AW498)</f>
        <v>0</v>
      </c>
      <c r="AV498" s="54"/>
      <c r="AW498" s="54"/>
      <c r="AX498" s="65">
        <v>0</v>
      </c>
      <c r="AY498" s="78">
        <f>IF(AND($AU498&gt;0,ISNUMBER($AX498)),$AU498*$AX498,0)</f>
        <v>0</v>
      </c>
      <c r="AZ498" s="46"/>
      <c r="BA498" s="52"/>
      <c r="BB498" s="52"/>
      <c r="BC498" s="52"/>
      <c r="BD498" s="52"/>
      <c r="BE498" s="52"/>
      <c r="BF498" s="52"/>
    </row>
    <row r="499" spans="1:58" ht="15" customHeight="1">
      <c r="A499" s="46" t="s">
        <v>2910</v>
      </c>
      <c r="B499" s="76" t="s">
        <v>2911</v>
      </c>
      <c r="C499" s="77" t="s">
        <v>118</v>
      </c>
      <c r="D499" s="74">
        <v>4</v>
      </c>
      <c r="E499" s="76" t="s">
        <v>81</v>
      </c>
      <c r="F499" s="50">
        <v>2</v>
      </c>
      <c r="G499" s="50">
        <v>4</v>
      </c>
      <c r="H499" s="51" t="s">
        <v>2912</v>
      </c>
      <c r="I499" s="50" t="s">
        <v>2913</v>
      </c>
      <c r="J499" s="54" t="s">
        <v>73</v>
      </c>
      <c r="K499" s="50" t="s">
        <v>676</v>
      </c>
      <c r="L499" s="50" t="s">
        <v>1674</v>
      </c>
      <c r="M499" s="50" t="s">
        <v>1239</v>
      </c>
      <c r="N499" s="50"/>
      <c r="O499" s="54"/>
      <c r="P499" s="56" t="s">
        <v>76</v>
      </c>
      <c r="Q499" s="50" t="s">
        <v>691</v>
      </c>
      <c r="R499" s="50" t="s">
        <v>2914</v>
      </c>
      <c r="S499" s="50">
        <v>1</v>
      </c>
      <c r="T499" s="50">
        <v>0</v>
      </c>
      <c r="U499" s="56" t="s">
        <v>647</v>
      </c>
      <c r="V499" s="57">
        <v>1.96</v>
      </c>
      <c r="W499" s="56"/>
      <c r="X499" s="50"/>
      <c r="Y499" s="50"/>
      <c r="Z499" s="50"/>
      <c r="AA499" s="56"/>
      <c r="AB499" s="57"/>
      <c r="AC499" s="54">
        <v>1</v>
      </c>
      <c r="AD499" s="69">
        <f>SUM(AE499:AK499)</f>
        <v>0</v>
      </c>
      <c r="AE499" s="66"/>
      <c r="AF499" s="66"/>
      <c r="AG499" s="66"/>
      <c r="AH499" s="66"/>
      <c r="AI499" s="66"/>
      <c r="AJ499" s="66"/>
      <c r="AK499" s="66"/>
      <c r="AL499" s="54">
        <f>IF((AC499-SUM(AE499:AK499))&lt;0,0,AC499-SUM(AE499:AK499))</f>
        <v>1</v>
      </c>
      <c r="AM499" s="69">
        <f>SUM(AN499:AT499)</f>
        <v>0</v>
      </c>
      <c r="AN499" s="60"/>
      <c r="AO499" s="52"/>
      <c r="AP499" s="52"/>
      <c r="AQ499" s="52"/>
      <c r="AR499" s="52"/>
      <c r="AS499" s="52"/>
      <c r="AT499" s="61"/>
      <c r="AU499" s="77">
        <f>MAX(0,$AM499-$AC499-$AW499)</f>
        <v>0</v>
      </c>
      <c r="AV499" s="54"/>
      <c r="AW499" s="54"/>
      <c r="AX499" s="65">
        <v>0</v>
      </c>
      <c r="AY499" s="78">
        <f>IF(AND($AU499&gt;0,ISNUMBER($AX499)),$AU499*$AX499,0)</f>
        <v>0</v>
      </c>
      <c r="AZ499" s="46"/>
      <c r="BA499" s="52"/>
      <c r="BB499" s="52"/>
      <c r="BC499" s="52"/>
      <c r="BD499" s="52"/>
      <c r="BE499" s="52"/>
      <c r="BF499" s="52"/>
    </row>
    <row r="500" spans="1:58" ht="15" customHeight="1">
      <c r="A500" s="46" t="s">
        <v>2915</v>
      </c>
      <c r="B500" s="76" t="s">
        <v>2916</v>
      </c>
      <c r="C500" s="77" t="s">
        <v>101</v>
      </c>
      <c r="D500" s="74">
        <v>2</v>
      </c>
      <c r="E500" s="76" t="s">
        <v>71</v>
      </c>
      <c r="F500" s="50"/>
      <c r="G500" s="50"/>
      <c r="H500" s="51"/>
      <c r="I500" s="50" t="s">
        <v>2917</v>
      </c>
      <c r="J500" s="54" t="s">
        <v>196</v>
      </c>
      <c r="K500" s="56" t="s">
        <v>104</v>
      </c>
      <c r="L500" s="56" t="s">
        <v>2917</v>
      </c>
      <c r="M500" s="56"/>
      <c r="N500" s="56"/>
      <c r="O500" s="54"/>
      <c r="P500" s="56" t="s">
        <v>76</v>
      </c>
      <c r="Q500" s="56" t="s">
        <v>437</v>
      </c>
      <c r="R500" s="50"/>
      <c r="S500" s="50"/>
      <c r="T500" s="50"/>
      <c r="U500" s="50"/>
      <c r="V500" s="57">
        <v>1.91</v>
      </c>
      <c r="W500" s="68"/>
      <c r="X500" s="50"/>
      <c r="Y500" s="50"/>
      <c r="Z500" s="50"/>
      <c r="AA500" s="50"/>
      <c r="AB500" s="57"/>
      <c r="AC500" s="54">
        <v>1</v>
      </c>
      <c r="AD500" s="69">
        <f>SUM(AE500:AK500)</f>
        <v>0</v>
      </c>
      <c r="AE500" s="66"/>
      <c r="AF500" s="66"/>
      <c r="AG500" s="66"/>
      <c r="AH500" s="66"/>
      <c r="AI500" s="66"/>
      <c r="AJ500" s="66"/>
      <c r="AK500" s="66"/>
      <c r="AL500" s="54">
        <f>IF((AC500-SUM(AE500:AK500))&lt;0,0,AC500-SUM(AE500:AK500))</f>
        <v>1</v>
      </c>
      <c r="AM500" s="69">
        <f>SUM(AN500:AT500)</f>
        <v>0</v>
      </c>
      <c r="AN500" s="60"/>
      <c r="AO500" s="52"/>
      <c r="AP500" s="52"/>
      <c r="AQ500" s="52"/>
      <c r="AR500" s="52"/>
      <c r="AS500" s="52"/>
      <c r="AT500" s="61"/>
      <c r="AU500" s="77">
        <f>MAX(0,$AM500-$AC500-$AW500)</f>
        <v>0</v>
      </c>
      <c r="AV500" s="54"/>
      <c r="AW500" s="54"/>
      <c r="AX500" s="65">
        <v>0</v>
      </c>
      <c r="AY500" s="78">
        <f>IF(AND($AU500&gt;0,ISNUMBER($AX500)),$AU500*$AX500,0)</f>
        <v>0</v>
      </c>
      <c r="AZ500" s="46"/>
      <c r="BA500" s="52"/>
      <c r="BB500" s="52"/>
      <c r="BC500" s="52"/>
      <c r="BD500" s="52"/>
      <c r="BE500" s="52"/>
      <c r="BF500" s="52"/>
    </row>
    <row r="501" spans="1:58" ht="15" customHeight="1">
      <c r="A501" s="46" t="s">
        <v>2918</v>
      </c>
      <c r="B501" s="76" t="s">
        <v>2919</v>
      </c>
      <c r="C501" s="77" t="s">
        <v>101</v>
      </c>
      <c r="D501" s="74">
        <v>4</v>
      </c>
      <c r="E501" s="76" t="s">
        <v>81</v>
      </c>
      <c r="F501" s="50">
        <v>4</v>
      </c>
      <c r="G501" s="50">
        <v>3</v>
      </c>
      <c r="H501" s="51" t="s">
        <v>603</v>
      </c>
      <c r="I501" s="50" t="s">
        <v>2920</v>
      </c>
      <c r="J501" s="54" t="s">
        <v>73</v>
      </c>
      <c r="K501" s="56" t="s">
        <v>254</v>
      </c>
      <c r="L501" s="56" t="s">
        <v>2921</v>
      </c>
      <c r="M501" s="56"/>
      <c r="N501" s="56"/>
      <c r="O501" s="54"/>
      <c r="P501" s="56" t="s">
        <v>185</v>
      </c>
      <c r="Q501" s="56" t="s">
        <v>900</v>
      </c>
      <c r="R501" s="54"/>
      <c r="S501" s="54"/>
      <c r="T501" s="54"/>
      <c r="U501" s="54"/>
      <c r="V501" s="57">
        <v>1.89</v>
      </c>
      <c r="W501" s="68"/>
      <c r="X501" s="54"/>
      <c r="Y501" s="54"/>
      <c r="Z501" s="54"/>
      <c r="AA501" s="54"/>
      <c r="AB501" s="57"/>
      <c r="AC501" s="54">
        <v>1</v>
      </c>
      <c r="AD501" s="69">
        <f>SUM(AE501:AK501)</f>
        <v>1</v>
      </c>
      <c r="AE501" s="66"/>
      <c r="AF501" s="66">
        <v>1</v>
      </c>
      <c r="AG501" s="66"/>
      <c r="AH501" s="66"/>
      <c r="AI501" s="66"/>
      <c r="AJ501" s="66"/>
      <c r="AK501" s="66"/>
      <c r="AL501" s="54">
        <f>IF((AC501-SUM(AE501:AK501))&lt;0,0,AC501-SUM(AE501:AK501))</f>
        <v>0</v>
      </c>
      <c r="AM501" s="69">
        <f>SUM(AN501:AT501)</f>
        <v>1</v>
      </c>
      <c r="AN501" s="60"/>
      <c r="AO501" s="52">
        <v>1</v>
      </c>
      <c r="AP501" s="52"/>
      <c r="AQ501" s="52"/>
      <c r="AR501" s="52"/>
      <c r="AS501" s="52"/>
      <c r="AT501" s="61"/>
      <c r="AU501" s="77">
        <f>MAX(0,$AM501-$AC501-$AW501)</f>
        <v>0</v>
      </c>
      <c r="AV501" s="54"/>
      <c r="AW501" s="54"/>
      <c r="AX501" s="65">
        <v>0</v>
      </c>
      <c r="AY501" s="78">
        <f>IF(AND($AU501&gt;0,ISNUMBER($AX501)),$AU501*$AX501,0)</f>
        <v>0</v>
      </c>
      <c r="AZ501" s="46"/>
      <c r="BA501" s="52"/>
      <c r="BB501" s="52"/>
      <c r="BC501" s="52"/>
      <c r="BD501" s="52"/>
      <c r="BE501" s="52"/>
      <c r="BF501" s="52"/>
    </row>
    <row r="502" spans="1:58" ht="15" customHeight="1">
      <c r="A502" s="46" t="s">
        <v>2922</v>
      </c>
      <c r="B502" s="76" t="s">
        <v>2923</v>
      </c>
      <c r="C502" s="77" t="s">
        <v>109</v>
      </c>
      <c r="D502" s="74">
        <v>6</v>
      </c>
      <c r="E502" s="76" t="s">
        <v>110</v>
      </c>
      <c r="F502" s="50">
        <v>5</v>
      </c>
      <c r="G502" s="50">
        <v>7</v>
      </c>
      <c r="H502" s="51" t="s">
        <v>2695</v>
      </c>
      <c r="I502" s="50" t="s">
        <v>2924</v>
      </c>
      <c r="J502" s="54" t="s">
        <v>73</v>
      </c>
      <c r="K502" s="56" t="s">
        <v>170</v>
      </c>
      <c r="L502" s="56" t="s">
        <v>2925</v>
      </c>
      <c r="M502" s="56" t="s">
        <v>2926</v>
      </c>
      <c r="N502" s="56" t="s">
        <v>2768</v>
      </c>
      <c r="O502" s="56">
        <v>1938</v>
      </c>
      <c r="P502" s="56" t="s">
        <v>114</v>
      </c>
      <c r="Q502" s="56" t="s">
        <v>874</v>
      </c>
      <c r="R502" s="50"/>
      <c r="S502" s="50"/>
      <c r="T502" s="50"/>
      <c r="U502" s="50"/>
      <c r="V502" s="57">
        <v>1.88</v>
      </c>
      <c r="W502" s="68"/>
      <c r="X502" s="50"/>
      <c r="Y502" s="50"/>
      <c r="Z502" s="50"/>
      <c r="AA502" s="50"/>
      <c r="AB502" s="57"/>
      <c r="AC502" s="54">
        <v>1</v>
      </c>
      <c r="AD502" s="69">
        <f>SUM(AE502:AK502)</f>
        <v>1</v>
      </c>
      <c r="AE502" s="66"/>
      <c r="AF502" s="66"/>
      <c r="AG502" s="66"/>
      <c r="AH502" s="66">
        <v>1</v>
      </c>
      <c r="AI502" s="66"/>
      <c r="AJ502" s="66"/>
      <c r="AK502" s="66"/>
      <c r="AL502" s="54">
        <f>IF((AC502-SUM(AE502:AK502))&lt;0,0,AC502-SUM(AE502:AK502))</f>
        <v>0</v>
      </c>
      <c r="AM502" s="69">
        <f>SUM(AN502:AT502)</f>
        <v>1</v>
      </c>
      <c r="AN502" s="60"/>
      <c r="AO502" s="52"/>
      <c r="AP502" s="52"/>
      <c r="AQ502" s="52">
        <v>1</v>
      </c>
      <c r="AR502" s="52"/>
      <c r="AS502" s="52"/>
      <c r="AT502" s="61"/>
      <c r="AU502" s="77">
        <f>MAX(0,$AM502-$AC502-$AW502)</f>
        <v>0</v>
      </c>
      <c r="AV502" s="54"/>
      <c r="AW502" s="54"/>
      <c r="AX502" s="65">
        <v>0</v>
      </c>
      <c r="AY502" s="78">
        <f>IF(AND($AU502&gt;0,ISNUMBER($AX502)),$AU502*$AX502,0)</f>
        <v>0</v>
      </c>
      <c r="AZ502" s="46"/>
      <c r="BA502" s="52"/>
      <c r="BB502" s="52"/>
      <c r="BC502" s="52"/>
      <c r="BD502" s="52"/>
      <c r="BE502" s="52"/>
      <c r="BF502" s="52"/>
    </row>
    <row r="503" spans="1:58" ht="15" customHeight="1">
      <c r="A503" s="46" t="s">
        <v>2927</v>
      </c>
      <c r="B503" s="76" t="s">
        <v>2928</v>
      </c>
      <c r="C503" s="77" t="s">
        <v>232</v>
      </c>
      <c r="D503" s="74">
        <v>5</v>
      </c>
      <c r="E503" s="76" t="s">
        <v>110</v>
      </c>
      <c r="F503" s="50">
        <v>4</v>
      </c>
      <c r="G503" s="50">
        <v>4</v>
      </c>
      <c r="H503" s="51" t="s">
        <v>2519</v>
      </c>
      <c r="I503" s="50" t="s">
        <v>2929</v>
      </c>
      <c r="J503" s="54" t="s">
        <v>73</v>
      </c>
      <c r="K503" s="56" t="s">
        <v>104</v>
      </c>
      <c r="L503" s="56" t="s">
        <v>995</v>
      </c>
      <c r="M503" s="56" t="s">
        <v>2930</v>
      </c>
      <c r="N503" s="56" t="s">
        <v>2931</v>
      </c>
      <c r="O503" s="56">
        <v>348</v>
      </c>
      <c r="P503" s="56" t="s">
        <v>86</v>
      </c>
      <c r="Q503" s="56" t="s">
        <v>1063</v>
      </c>
      <c r="R503" s="74" t="s">
        <v>2932</v>
      </c>
      <c r="S503" s="74">
        <v>1</v>
      </c>
      <c r="T503" s="74">
        <v>1</v>
      </c>
      <c r="U503" s="56" t="s">
        <v>2933</v>
      </c>
      <c r="V503" s="57">
        <v>1.87</v>
      </c>
      <c r="W503" s="68"/>
      <c r="X503" s="50"/>
      <c r="Y503" s="50"/>
      <c r="Z503" s="50"/>
      <c r="AA503" s="56"/>
      <c r="AB503" s="57"/>
      <c r="AC503" s="54">
        <v>1</v>
      </c>
      <c r="AD503" s="69">
        <f>SUM(AE503:AK503)</f>
        <v>1</v>
      </c>
      <c r="AE503" s="66"/>
      <c r="AF503" s="66"/>
      <c r="AG503" s="66"/>
      <c r="AH503" s="66"/>
      <c r="AI503" s="66">
        <v>1</v>
      </c>
      <c r="AJ503" s="66"/>
      <c r="AK503" s="66"/>
      <c r="AL503" s="54">
        <f>IF((AC503-SUM(AE503:AK503))&lt;0,0,AC503-SUM(AE503:AK503))</f>
        <v>0</v>
      </c>
      <c r="AM503" s="69">
        <f>SUM(AN503:AT503)</f>
        <v>0</v>
      </c>
      <c r="AN503" s="60"/>
      <c r="AO503" s="52"/>
      <c r="AP503" s="52"/>
      <c r="AQ503" s="52"/>
      <c r="AR503" s="52"/>
      <c r="AS503" s="52"/>
      <c r="AT503" s="61"/>
      <c r="AU503" s="77">
        <f>MAX(0,$AM503-$AC503-$AW503)</f>
        <v>0</v>
      </c>
      <c r="AV503" s="54"/>
      <c r="AW503" s="54"/>
      <c r="AX503" s="65">
        <v>0</v>
      </c>
      <c r="AY503" s="78">
        <f>IF(AND($AU503&gt;0,ISNUMBER($AX503)),$AU503*$AX503,0)</f>
        <v>0</v>
      </c>
      <c r="AZ503" s="46"/>
      <c r="BA503" s="52"/>
      <c r="BB503" s="52"/>
      <c r="BC503" s="52"/>
      <c r="BD503" s="52" t="s">
        <v>411</v>
      </c>
      <c r="BE503" s="52"/>
      <c r="BF503" s="52"/>
    </row>
    <row r="504" spans="1:58" ht="15" customHeight="1">
      <c r="A504" s="46" t="s">
        <v>2934</v>
      </c>
      <c r="B504" s="76" t="s">
        <v>2935</v>
      </c>
      <c r="C504" s="77" t="s">
        <v>109</v>
      </c>
      <c r="D504" s="74">
        <v>3</v>
      </c>
      <c r="E504" s="76" t="s">
        <v>81</v>
      </c>
      <c r="F504" s="50">
        <v>1</v>
      </c>
      <c r="G504" s="50">
        <v>1</v>
      </c>
      <c r="H504" s="51" t="s">
        <v>1977</v>
      </c>
      <c r="I504" s="50" t="s">
        <v>2936</v>
      </c>
      <c r="J504" s="54" t="s">
        <v>73</v>
      </c>
      <c r="K504" s="56" t="s">
        <v>202</v>
      </c>
      <c r="L504" s="56" t="s">
        <v>2937</v>
      </c>
      <c r="M504" s="56" t="s">
        <v>2938</v>
      </c>
      <c r="N504" s="56"/>
      <c r="O504" s="54"/>
      <c r="P504" s="56" t="s">
        <v>185</v>
      </c>
      <c r="Q504" s="56" t="s">
        <v>293</v>
      </c>
      <c r="R504" s="50"/>
      <c r="S504" s="50"/>
      <c r="T504" s="50"/>
      <c r="U504" s="50"/>
      <c r="V504" s="57">
        <v>1.84</v>
      </c>
      <c r="W504" s="68"/>
      <c r="X504" s="50"/>
      <c r="Y504" s="50"/>
      <c r="Z504" s="50"/>
      <c r="AA504" s="50"/>
      <c r="AB504" s="57"/>
      <c r="AC504" s="54">
        <v>1</v>
      </c>
      <c r="AD504" s="69">
        <f>SUM(AE504:AK504)</f>
        <v>1</v>
      </c>
      <c r="AE504" s="66"/>
      <c r="AF504" s="66">
        <v>1</v>
      </c>
      <c r="AG504" s="66"/>
      <c r="AH504" s="66"/>
      <c r="AI504" s="66"/>
      <c r="AJ504" s="66"/>
      <c r="AK504" s="66"/>
      <c r="AL504" s="54">
        <f>IF((AC504-SUM(AE504:AK504))&lt;0,0,AC504-SUM(AE504:AK504))</f>
        <v>0</v>
      </c>
      <c r="AM504" s="69">
        <f>SUM(AN504:AT504)</f>
        <v>1</v>
      </c>
      <c r="AN504" s="60"/>
      <c r="AO504" s="52">
        <v>1</v>
      </c>
      <c r="AP504" s="52"/>
      <c r="AQ504" s="52"/>
      <c r="AR504" s="52"/>
      <c r="AS504" s="52"/>
      <c r="AT504" s="61"/>
      <c r="AU504" s="77">
        <f>MAX(0,$AM504-$AC504-$AW504)</f>
        <v>0</v>
      </c>
      <c r="AV504" s="54"/>
      <c r="AW504" s="54"/>
      <c r="AX504" s="65">
        <v>0</v>
      </c>
      <c r="AY504" s="78">
        <f>IF(AND($AU504&gt;0,ISNUMBER($AX504)),$AU504*$AX504,0)</f>
        <v>0</v>
      </c>
      <c r="AZ504" s="46"/>
      <c r="BA504" s="52"/>
      <c r="BB504" s="52"/>
      <c r="BC504" s="52"/>
      <c r="BD504" s="52"/>
      <c r="BE504" s="52"/>
      <c r="BF504" s="52"/>
    </row>
    <row r="505" spans="1:58" ht="15" customHeight="1">
      <c r="A505" s="46" t="s">
        <v>2939</v>
      </c>
      <c r="B505" s="76" t="s">
        <v>2940</v>
      </c>
      <c r="C505" s="77" t="s">
        <v>70</v>
      </c>
      <c r="D505" s="74">
        <v>1</v>
      </c>
      <c r="E505" s="76" t="s">
        <v>384</v>
      </c>
      <c r="F505" s="50"/>
      <c r="G505" s="50"/>
      <c r="H505" s="51"/>
      <c r="I505" s="50" t="s">
        <v>2941</v>
      </c>
      <c r="J505" s="54" t="s">
        <v>73</v>
      </c>
      <c r="K505" s="56" t="s">
        <v>84</v>
      </c>
      <c r="L505" s="56" t="s">
        <v>2942</v>
      </c>
      <c r="M505" s="56" t="s">
        <v>2943</v>
      </c>
      <c r="N505" s="56"/>
      <c r="O505" s="54"/>
      <c r="P505" s="56" t="s">
        <v>185</v>
      </c>
      <c r="Q505" s="56" t="s">
        <v>907</v>
      </c>
      <c r="R505" s="50"/>
      <c r="S505" s="50"/>
      <c r="T505" s="50"/>
      <c r="U505" s="50"/>
      <c r="V505" s="57">
        <v>1.75</v>
      </c>
      <c r="W505" s="68"/>
      <c r="X505" s="50"/>
      <c r="Y505" s="50"/>
      <c r="Z505" s="50"/>
      <c r="AA505" s="50"/>
      <c r="AB505" s="57"/>
      <c r="AC505" s="54">
        <v>1</v>
      </c>
      <c r="AD505" s="69">
        <f>SUM(AE505:AK505)</f>
        <v>1</v>
      </c>
      <c r="AE505" s="66"/>
      <c r="AF505" s="66"/>
      <c r="AG505" s="66"/>
      <c r="AH505" s="66"/>
      <c r="AI505" s="66"/>
      <c r="AJ505" s="66">
        <v>1</v>
      </c>
      <c r="AK505" s="66"/>
      <c r="AL505" s="54">
        <f>IF((AC505-SUM(AE505:AK505))&lt;0,0,AC505-SUM(AE505:AK505))</f>
        <v>0</v>
      </c>
      <c r="AM505" s="69">
        <f>SUM(AN505:AT505)</f>
        <v>1</v>
      </c>
      <c r="AN505" s="60"/>
      <c r="AO505" s="52"/>
      <c r="AP505" s="52"/>
      <c r="AQ505" s="52"/>
      <c r="AR505" s="52"/>
      <c r="AS505" s="52">
        <v>1</v>
      </c>
      <c r="AT505" s="61"/>
      <c r="AU505" s="77">
        <f>MAX(0,$AM505-$AC505-$AW505)</f>
        <v>0</v>
      </c>
      <c r="AV505" s="54"/>
      <c r="AW505" s="54"/>
      <c r="AX505" s="65">
        <v>0</v>
      </c>
      <c r="AY505" s="78">
        <f>IF(AND($AU505&gt;0,ISNUMBER($AX505)),$AU505*$AX505,0)</f>
        <v>0</v>
      </c>
      <c r="AZ505" s="46"/>
      <c r="BA505" s="52"/>
      <c r="BB505" s="52"/>
      <c r="BC505" s="52"/>
      <c r="BD505" s="52"/>
      <c r="BE505" s="52"/>
      <c r="BF505" s="52"/>
    </row>
    <row r="506" spans="1:58" ht="15" customHeight="1">
      <c r="A506" s="46" t="s">
        <v>2944</v>
      </c>
      <c r="B506" s="76" t="s">
        <v>2945</v>
      </c>
      <c r="C506" s="77" t="s">
        <v>181</v>
      </c>
      <c r="D506" s="74">
        <v>2</v>
      </c>
      <c r="E506" s="76" t="s">
        <v>110</v>
      </c>
      <c r="F506" s="50">
        <v>3</v>
      </c>
      <c r="G506" s="50">
        <v>1</v>
      </c>
      <c r="H506" s="51" t="s">
        <v>1599</v>
      </c>
      <c r="I506" s="50" t="s">
        <v>2946</v>
      </c>
      <c r="J506" s="54" t="s">
        <v>73</v>
      </c>
      <c r="K506" s="56" t="s">
        <v>550</v>
      </c>
      <c r="L506" s="56" t="s">
        <v>2947</v>
      </c>
      <c r="M506" s="56" t="s">
        <v>2948</v>
      </c>
      <c r="N506" s="56"/>
      <c r="O506" s="56">
        <v>2684</v>
      </c>
      <c r="P506" s="56" t="s">
        <v>114</v>
      </c>
      <c r="Q506" s="56" t="s">
        <v>633</v>
      </c>
      <c r="R506" s="50"/>
      <c r="S506" s="50"/>
      <c r="T506" s="50"/>
      <c r="U506" s="50"/>
      <c r="V506" s="57">
        <v>1.71</v>
      </c>
      <c r="W506" s="68"/>
      <c r="X506" s="50"/>
      <c r="Y506" s="50"/>
      <c r="Z506" s="50"/>
      <c r="AA506" s="50"/>
      <c r="AB506" s="57"/>
      <c r="AC506" s="54">
        <v>1</v>
      </c>
      <c r="AD506" s="69">
        <f>SUM(AE506:AK506)</f>
        <v>0</v>
      </c>
      <c r="AE506" s="66"/>
      <c r="AF506" s="66"/>
      <c r="AG506" s="66"/>
      <c r="AH506" s="66"/>
      <c r="AI506" s="66"/>
      <c r="AJ506" s="66"/>
      <c r="AK506" s="66"/>
      <c r="AL506" s="54">
        <f>IF((AC506-SUM(AE506:AK506))&lt;0,0,AC506-SUM(AE506:AK506))</f>
        <v>1</v>
      </c>
      <c r="AM506" s="69">
        <f>SUM(AN506:AT506)</f>
        <v>0</v>
      </c>
      <c r="AN506" s="60"/>
      <c r="AO506" s="52"/>
      <c r="AP506" s="52"/>
      <c r="AQ506" s="52"/>
      <c r="AR506" s="52"/>
      <c r="AS506" s="52"/>
      <c r="AT506" s="61"/>
      <c r="AU506" s="77">
        <f>MAX(0,$AM506-$AC506-$AW506)</f>
        <v>0</v>
      </c>
      <c r="AV506" s="54"/>
      <c r="AW506" s="54"/>
      <c r="AX506" s="65">
        <v>0</v>
      </c>
      <c r="AY506" s="78">
        <f>IF(AND($AU506&gt;0,ISNUMBER($AX506)),$AU506*$AX506,0)</f>
        <v>0</v>
      </c>
      <c r="AZ506" s="46"/>
      <c r="BA506" s="52"/>
      <c r="BB506" s="52"/>
      <c r="BC506" s="52"/>
      <c r="BD506" s="52"/>
      <c r="BE506" s="52"/>
      <c r="BF506" s="52"/>
    </row>
    <row r="507" spans="1:58" ht="15" customHeight="1">
      <c r="A507" s="46" t="s">
        <v>2949</v>
      </c>
      <c r="B507" s="76" t="s">
        <v>2950</v>
      </c>
      <c r="C507" s="77" t="s">
        <v>232</v>
      </c>
      <c r="D507" s="74">
        <v>4</v>
      </c>
      <c r="E507" s="76" t="s">
        <v>2951</v>
      </c>
      <c r="F507" s="50">
        <v>5</v>
      </c>
      <c r="G507" s="50">
        <v>4</v>
      </c>
      <c r="H507" s="51" t="s">
        <v>2952</v>
      </c>
      <c r="I507" s="50" t="s">
        <v>2953</v>
      </c>
      <c r="J507" s="54" t="s">
        <v>73</v>
      </c>
      <c r="K507" s="50" t="s">
        <v>676</v>
      </c>
      <c r="L507" s="50" t="s">
        <v>2954</v>
      </c>
      <c r="M507" s="50" t="s">
        <v>2955</v>
      </c>
      <c r="N507" s="50"/>
      <c r="O507" s="56">
        <v>5564</v>
      </c>
      <c r="P507" s="56" t="s">
        <v>185</v>
      </c>
      <c r="Q507" s="50" t="s">
        <v>691</v>
      </c>
      <c r="R507" s="50" t="s">
        <v>2956</v>
      </c>
      <c r="S507" s="50">
        <v>1</v>
      </c>
      <c r="T507" s="50">
        <v>0</v>
      </c>
      <c r="U507" s="56" t="s">
        <v>2957</v>
      </c>
      <c r="V507" s="57">
        <v>1.64</v>
      </c>
      <c r="W507" s="56"/>
      <c r="X507" s="50"/>
      <c r="Y507" s="50"/>
      <c r="Z507" s="50"/>
      <c r="AA507" s="56"/>
      <c r="AB507" s="57"/>
      <c r="AC507" s="54">
        <v>1</v>
      </c>
      <c r="AD507" s="69">
        <f>SUM(AE507:AK507)</f>
        <v>0</v>
      </c>
      <c r="AE507" s="66"/>
      <c r="AF507" s="66"/>
      <c r="AG507" s="66"/>
      <c r="AH507" s="66"/>
      <c r="AI507" s="66"/>
      <c r="AJ507" s="66"/>
      <c r="AK507" s="66"/>
      <c r="AL507" s="54">
        <f>IF((AC507-SUM(AE507:AK507))&lt;0,0,AC507-SUM(AE507:AK507))</f>
        <v>1</v>
      </c>
      <c r="AM507" s="69">
        <f>SUM(AN507:AT507)</f>
        <v>0</v>
      </c>
      <c r="AN507" s="60"/>
      <c r="AO507" s="52"/>
      <c r="AP507" s="52"/>
      <c r="AQ507" s="52"/>
      <c r="AR507" s="52"/>
      <c r="AS507" s="52"/>
      <c r="AT507" s="61"/>
      <c r="AU507" s="77">
        <f>MAX(0,$AM507-$AC507-$AW507)</f>
        <v>0</v>
      </c>
      <c r="AV507" s="54"/>
      <c r="AW507" s="54"/>
      <c r="AX507" s="65">
        <v>0</v>
      </c>
      <c r="AY507" s="78">
        <f>IF(AND($AU507&gt;0,ISNUMBER($AX507)),$AU507*$AX507,0)</f>
        <v>0</v>
      </c>
      <c r="AZ507" s="46"/>
      <c r="BA507" s="52"/>
      <c r="BB507" s="52"/>
      <c r="BC507" s="52"/>
      <c r="BD507" s="52"/>
      <c r="BE507" s="52"/>
      <c r="BF507" s="52"/>
    </row>
    <row r="508" spans="1:58" ht="15" customHeight="1">
      <c r="A508" s="46" t="s">
        <v>2958</v>
      </c>
      <c r="B508" s="76" t="s">
        <v>2959</v>
      </c>
      <c r="C508" s="77" t="s">
        <v>232</v>
      </c>
      <c r="D508" s="74">
        <v>2</v>
      </c>
      <c r="E508" s="76" t="s">
        <v>233</v>
      </c>
      <c r="F508" s="50"/>
      <c r="G508" s="50"/>
      <c r="H508" s="51"/>
      <c r="I508" s="50" t="s">
        <v>2960</v>
      </c>
      <c r="J508" s="54" t="s">
        <v>73</v>
      </c>
      <c r="K508" s="56" t="s">
        <v>92</v>
      </c>
      <c r="L508" s="56" t="s">
        <v>2961</v>
      </c>
      <c r="M508" s="56"/>
      <c r="N508" s="56"/>
      <c r="O508" s="54"/>
      <c r="P508" s="56" t="s">
        <v>76</v>
      </c>
      <c r="Q508" s="56" t="s">
        <v>536</v>
      </c>
      <c r="R508" s="50"/>
      <c r="S508" s="50"/>
      <c r="T508" s="50"/>
      <c r="U508" s="50"/>
      <c r="V508" s="57">
        <v>1.54</v>
      </c>
      <c r="W508" s="68"/>
      <c r="X508" s="50"/>
      <c r="Y508" s="50"/>
      <c r="Z508" s="50"/>
      <c r="AA508" s="50"/>
      <c r="AB508" s="57"/>
      <c r="AC508" s="54">
        <v>1</v>
      </c>
      <c r="AD508" s="69">
        <f>SUM(AE508:AK508)</f>
        <v>1</v>
      </c>
      <c r="AE508" s="66"/>
      <c r="AF508" s="66"/>
      <c r="AG508" s="66"/>
      <c r="AH508" s="66"/>
      <c r="AI508" s="66"/>
      <c r="AJ508" s="66">
        <v>1</v>
      </c>
      <c r="AK508" s="66"/>
      <c r="AL508" s="54">
        <f>IF((AC508-SUM(AE508:AK508))&lt;0,0,AC508-SUM(AE508:AK508))</f>
        <v>0</v>
      </c>
      <c r="AM508" s="69">
        <f>SUM(AN508:AT508)</f>
        <v>1</v>
      </c>
      <c r="AN508" s="60"/>
      <c r="AO508" s="52"/>
      <c r="AP508" s="52"/>
      <c r="AQ508" s="52"/>
      <c r="AR508" s="52"/>
      <c r="AS508" s="52">
        <v>1</v>
      </c>
      <c r="AT508" s="61"/>
      <c r="AU508" s="77">
        <f>MAX(0,$AM508-$AC508-$AW508)</f>
        <v>0</v>
      </c>
      <c r="AV508" s="54"/>
      <c r="AW508" s="54"/>
      <c r="AX508" s="65">
        <v>0</v>
      </c>
      <c r="AY508" s="78">
        <f>IF(AND($AU508&gt;0,ISNUMBER($AX508)),$AU508*$AX508,0)</f>
        <v>0</v>
      </c>
      <c r="AZ508" s="46"/>
      <c r="BA508" s="52"/>
      <c r="BB508" s="52"/>
      <c r="BC508" s="52"/>
      <c r="BD508" s="52"/>
      <c r="BE508" s="52"/>
      <c r="BF508" s="52"/>
    </row>
    <row r="509" spans="1:58" ht="15" customHeight="1">
      <c r="A509" s="46" t="s">
        <v>2962</v>
      </c>
      <c r="B509" s="76" t="s">
        <v>2963</v>
      </c>
      <c r="C509" s="77" t="s">
        <v>109</v>
      </c>
      <c r="D509" s="74">
        <v>2</v>
      </c>
      <c r="E509" s="76" t="s">
        <v>189</v>
      </c>
      <c r="F509" s="50"/>
      <c r="G509" s="50"/>
      <c r="H509" s="51"/>
      <c r="I509" s="50" t="s">
        <v>2964</v>
      </c>
      <c r="J509" s="54" t="s">
        <v>73</v>
      </c>
      <c r="K509" s="50" t="s">
        <v>92</v>
      </c>
      <c r="L509" s="50" t="s">
        <v>2965</v>
      </c>
      <c r="M509" s="50" t="s">
        <v>2966</v>
      </c>
      <c r="N509" s="50"/>
      <c r="O509" s="54"/>
      <c r="P509" s="56" t="s">
        <v>76</v>
      </c>
      <c r="Q509" s="50" t="s">
        <v>691</v>
      </c>
      <c r="R509" s="50" t="s">
        <v>2967</v>
      </c>
      <c r="S509" s="50">
        <v>1</v>
      </c>
      <c r="T509" s="50">
        <v>1</v>
      </c>
      <c r="U509" s="56" t="s">
        <v>2968</v>
      </c>
      <c r="V509" s="57">
        <v>1.52</v>
      </c>
      <c r="W509" s="56"/>
      <c r="X509" s="50"/>
      <c r="Y509" s="50"/>
      <c r="Z509" s="50"/>
      <c r="AA509" s="56"/>
      <c r="AB509" s="57"/>
      <c r="AC509" s="54">
        <v>1</v>
      </c>
      <c r="AD509" s="69">
        <f>SUM(AE509:AK509)</f>
        <v>0</v>
      </c>
      <c r="AE509" s="66"/>
      <c r="AF509" s="66"/>
      <c r="AG509" s="66"/>
      <c r="AH509" s="66"/>
      <c r="AI509" s="66"/>
      <c r="AJ509" s="66"/>
      <c r="AK509" s="66"/>
      <c r="AL509" s="54">
        <f>IF((AC509-SUM(AE509:AK509))&lt;0,0,AC509-SUM(AE509:AK509))</f>
        <v>1</v>
      </c>
      <c r="AM509" s="69">
        <f>SUM(AN509:AT509)</f>
        <v>0</v>
      </c>
      <c r="AN509" s="60"/>
      <c r="AO509" s="52"/>
      <c r="AP509" s="52"/>
      <c r="AQ509" s="52"/>
      <c r="AR509" s="52"/>
      <c r="AS509" s="52"/>
      <c r="AT509" s="61"/>
      <c r="AU509" s="77">
        <f>MAX(0,$AM509-$AC509-$AW509)</f>
        <v>0</v>
      </c>
      <c r="AV509" s="54"/>
      <c r="AW509" s="54"/>
      <c r="AX509" s="65">
        <v>0</v>
      </c>
      <c r="AY509" s="78">
        <f>IF(AND($AU509&gt;0,ISNUMBER($AX509)),$AU509*$AX509,0)</f>
        <v>0</v>
      </c>
      <c r="AZ509" s="46"/>
      <c r="BA509" s="52"/>
      <c r="BB509" s="52"/>
      <c r="BC509" s="52"/>
      <c r="BD509" s="52"/>
      <c r="BE509" s="52"/>
      <c r="BF509" s="52"/>
    </row>
    <row r="510" spans="1:58" ht="15" customHeight="1">
      <c r="A510" s="46" t="s">
        <v>2969</v>
      </c>
      <c r="B510" s="76" t="s">
        <v>2970</v>
      </c>
      <c r="C510" s="77" t="s">
        <v>181</v>
      </c>
      <c r="D510" s="74">
        <v>3</v>
      </c>
      <c r="E510" s="76" t="s">
        <v>2971</v>
      </c>
      <c r="F510" s="50"/>
      <c r="G510" s="50"/>
      <c r="H510" s="51"/>
      <c r="I510" s="50" t="s">
        <v>2972</v>
      </c>
      <c r="J510" s="54" t="s">
        <v>73</v>
      </c>
      <c r="K510" s="50" t="s">
        <v>129</v>
      </c>
      <c r="L510" s="50" t="s">
        <v>2973</v>
      </c>
      <c r="M510" s="50" t="s">
        <v>2974</v>
      </c>
      <c r="N510" s="50"/>
      <c r="O510" s="54"/>
      <c r="P510" s="56" t="s">
        <v>185</v>
      </c>
      <c r="Q510" s="50" t="s">
        <v>691</v>
      </c>
      <c r="R510" s="50" t="s">
        <v>2975</v>
      </c>
      <c r="S510" s="50">
        <v>1</v>
      </c>
      <c r="T510" s="50">
        <v>0</v>
      </c>
      <c r="U510" s="56" t="s">
        <v>647</v>
      </c>
      <c r="V510" s="57">
        <v>1.51</v>
      </c>
      <c r="W510" s="56"/>
      <c r="X510" s="50"/>
      <c r="Y510" s="50"/>
      <c r="Z510" s="50"/>
      <c r="AA510" s="56"/>
      <c r="AB510" s="57"/>
      <c r="AC510" s="54">
        <v>1</v>
      </c>
      <c r="AD510" s="69">
        <f>SUM(AE510:AK510)</f>
        <v>0</v>
      </c>
      <c r="AE510" s="66"/>
      <c r="AF510" s="66"/>
      <c r="AG510" s="66"/>
      <c r="AH510" s="66"/>
      <c r="AI510" s="66"/>
      <c r="AJ510" s="66"/>
      <c r="AK510" s="66"/>
      <c r="AL510" s="54">
        <f>IF((AC510-SUM(AE510:AK510))&lt;0,0,AC510-SUM(AE510:AK510))</f>
        <v>1</v>
      </c>
      <c r="AM510" s="69">
        <f>SUM(AN510:AT510)</f>
        <v>0</v>
      </c>
      <c r="AN510" s="60"/>
      <c r="AO510" s="52"/>
      <c r="AP510" s="52"/>
      <c r="AQ510" s="52"/>
      <c r="AR510" s="52"/>
      <c r="AS510" s="52"/>
      <c r="AT510" s="61"/>
      <c r="AU510" s="77">
        <f>MAX(0,$AM510-$AC510-$AW510)</f>
        <v>0</v>
      </c>
      <c r="AV510" s="54"/>
      <c r="AW510" s="54"/>
      <c r="AX510" s="65">
        <v>0</v>
      </c>
      <c r="AY510" s="78">
        <f>IF(AND($AU510&gt;0,ISNUMBER($AX510)),$AU510*$AX510,0)</f>
        <v>0</v>
      </c>
      <c r="AZ510" s="46"/>
      <c r="BA510" s="52"/>
      <c r="BB510" s="52"/>
      <c r="BC510" s="52"/>
      <c r="BD510" s="52"/>
      <c r="BE510" s="52"/>
      <c r="BF510" s="52"/>
    </row>
    <row r="511" spans="1:58" ht="15" customHeight="1">
      <c r="A511" s="46" t="s">
        <v>2976</v>
      </c>
      <c r="B511" s="79" t="s">
        <v>2977</v>
      </c>
      <c r="C511" s="80" t="s">
        <v>109</v>
      </c>
      <c r="D511" s="75">
        <v>5</v>
      </c>
      <c r="E511" s="79" t="s">
        <v>110</v>
      </c>
      <c r="F511" s="50">
        <v>5</v>
      </c>
      <c r="G511" s="50">
        <v>5</v>
      </c>
      <c r="H511" s="51" t="s">
        <v>936</v>
      </c>
      <c r="I511" s="50" t="s">
        <v>2978</v>
      </c>
      <c r="J511" s="52" t="s">
        <v>73</v>
      </c>
      <c r="K511" s="46" t="s">
        <v>170</v>
      </c>
      <c r="L511" s="50" t="s">
        <v>2979</v>
      </c>
      <c r="M511" s="50" t="s">
        <v>2980</v>
      </c>
      <c r="N511" s="50" t="s">
        <v>2981</v>
      </c>
      <c r="O511" s="56">
        <v>785</v>
      </c>
      <c r="P511" s="56" t="s">
        <v>86</v>
      </c>
      <c r="Q511" s="46" t="s">
        <v>633</v>
      </c>
      <c r="R511" s="75" t="s">
        <v>2982</v>
      </c>
      <c r="S511" s="75">
        <v>1</v>
      </c>
      <c r="T511" s="75">
        <v>0</v>
      </c>
      <c r="U511" s="56"/>
      <c r="V511" s="57">
        <v>1.5</v>
      </c>
      <c r="W511" s="68"/>
      <c r="X511" s="50"/>
      <c r="Y511" s="46"/>
      <c r="Z511" s="46"/>
      <c r="AA511" s="56"/>
      <c r="AB511" s="57"/>
      <c r="AC511" s="54">
        <v>1</v>
      </c>
      <c r="AD511" s="69">
        <f>SUM(AE511:AK511)</f>
        <v>0</v>
      </c>
      <c r="AE511" s="66"/>
      <c r="AF511" s="66"/>
      <c r="AG511" s="66"/>
      <c r="AH511" s="66"/>
      <c r="AI511" s="66"/>
      <c r="AJ511" s="66"/>
      <c r="AK511" s="66"/>
      <c r="AL511" s="54">
        <f>IF((AC511-SUM(AE511:AK511))&lt;0,0,AC511-SUM(AE511:AK511))</f>
        <v>1</v>
      </c>
      <c r="AM511" s="69">
        <f>SUM(AN511:AT511)</f>
        <v>0</v>
      </c>
      <c r="AN511" s="60"/>
      <c r="AO511" s="52"/>
      <c r="AP511" s="52"/>
      <c r="AQ511" s="52"/>
      <c r="AR511" s="52"/>
      <c r="AS511" s="52"/>
      <c r="AT511" s="61"/>
      <c r="AU511" s="77">
        <f>MAX(0,$AM511-$AC511-$AW511)</f>
        <v>0</v>
      </c>
      <c r="AV511" s="52"/>
      <c r="AW511" s="52"/>
      <c r="AX511" s="65">
        <v>0</v>
      </c>
      <c r="AY511" s="78">
        <f>IF(AND($AU511&gt;0,ISNUMBER($AX511)),$AU511*$AX511,0)</f>
        <v>0</v>
      </c>
      <c r="AZ511" s="46"/>
      <c r="BA511" s="52"/>
      <c r="BB511" s="52"/>
      <c r="BC511" s="52"/>
      <c r="BD511" s="52"/>
      <c r="BE511" s="52"/>
      <c r="BF511" s="52"/>
    </row>
    <row r="512" spans="1:58" ht="15" customHeight="1">
      <c r="A512" s="46" t="s">
        <v>2983</v>
      </c>
      <c r="B512" s="76" t="s">
        <v>2984</v>
      </c>
      <c r="C512" s="77" t="s">
        <v>109</v>
      </c>
      <c r="D512" s="74">
        <v>3</v>
      </c>
      <c r="E512" s="76" t="s">
        <v>110</v>
      </c>
      <c r="F512" s="50">
        <v>3</v>
      </c>
      <c r="G512" s="50">
        <v>3</v>
      </c>
      <c r="H512" s="51" t="s">
        <v>2985</v>
      </c>
      <c r="I512" s="50" t="s">
        <v>2986</v>
      </c>
      <c r="J512" s="54" t="s">
        <v>73</v>
      </c>
      <c r="K512" s="56" t="s">
        <v>129</v>
      </c>
      <c r="L512" s="56" t="s">
        <v>2987</v>
      </c>
      <c r="M512" s="56" t="s">
        <v>2988</v>
      </c>
      <c r="N512" s="56" t="s">
        <v>2989</v>
      </c>
      <c r="O512" s="56">
        <v>1068</v>
      </c>
      <c r="P512" s="56" t="s">
        <v>86</v>
      </c>
      <c r="Q512" s="56" t="s">
        <v>2507</v>
      </c>
      <c r="R512" s="74" t="s">
        <v>2990</v>
      </c>
      <c r="S512" s="74">
        <v>1</v>
      </c>
      <c r="T512" s="74">
        <v>0</v>
      </c>
      <c r="U512" s="56" t="s">
        <v>665</v>
      </c>
      <c r="V512" s="57">
        <v>1.47</v>
      </c>
      <c r="W512" s="68"/>
      <c r="X512" s="50"/>
      <c r="Y512" s="50"/>
      <c r="Z512" s="50"/>
      <c r="AA512" s="56"/>
      <c r="AB512" s="57"/>
      <c r="AC512" s="54">
        <v>1</v>
      </c>
      <c r="AD512" s="69">
        <f>SUM(AE512:AK512)</f>
        <v>0</v>
      </c>
      <c r="AE512" s="66"/>
      <c r="AF512" s="66"/>
      <c r="AG512" s="66"/>
      <c r="AH512" s="66"/>
      <c r="AI512" s="66"/>
      <c r="AJ512" s="66"/>
      <c r="AK512" s="66"/>
      <c r="AL512" s="54">
        <f>IF((AC512-SUM(AE512:AK512))&lt;0,0,AC512-SUM(AE512:AK512))</f>
        <v>1</v>
      </c>
      <c r="AM512" s="69">
        <f>SUM(AN512:AT512)</f>
        <v>0</v>
      </c>
      <c r="AN512" s="60"/>
      <c r="AO512" s="52"/>
      <c r="AP512" s="52"/>
      <c r="AQ512" s="52"/>
      <c r="AR512" s="52"/>
      <c r="AS512" s="52"/>
      <c r="AT512" s="61"/>
      <c r="AU512" s="77">
        <f>MAX(0,$AM512-$AC512-$AW512)</f>
        <v>0</v>
      </c>
      <c r="AV512" s="54"/>
      <c r="AW512" s="54"/>
      <c r="AX512" s="65">
        <v>0</v>
      </c>
      <c r="AY512" s="78">
        <f>IF(AND($AU512&gt;0,ISNUMBER($AX512)),$AU512*$AX512,0)</f>
        <v>0</v>
      </c>
      <c r="AZ512" s="46"/>
      <c r="BA512" s="52"/>
      <c r="BB512" s="52"/>
      <c r="BC512" s="52"/>
      <c r="BD512" s="52"/>
      <c r="BE512" s="52"/>
      <c r="BF512" s="52"/>
    </row>
    <row r="513" spans="1:58" ht="15" customHeight="1">
      <c r="A513" s="46" t="s">
        <v>2991</v>
      </c>
      <c r="B513" s="76" t="s">
        <v>2992</v>
      </c>
      <c r="C513" s="77" t="s">
        <v>118</v>
      </c>
      <c r="D513" s="74">
        <v>5</v>
      </c>
      <c r="E513" s="76" t="s">
        <v>531</v>
      </c>
      <c r="F513" s="50" t="s">
        <v>126</v>
      </c>
      <c r="G513" s="50">
        <v>5</v>
      </c>
      <c r="H513" s="51" t="s">
        <v>2993</v>
      </c>
      <c r="I513" s="50" t="s">
        <v>2994</v>
      </c>
      <c r="J513" s="54" t="s">
        <v>73</v>
      </c>
      <c r="K513" s="56" t="s">
        <v>254</v>
      </c>
      <c r="L513" s="56" t="s">
        <v>2995</v>
      </c>
      <c r="M513" s="56" t="s">
        <v>2996</v>
      </c>
      <c r="N513" s="56" t="s">
        <v>2997</v>
      </c>
      <c r="O513" s="54"/>
      <c r="P513" s="56" t="s">
        <v>86</v>
      </c>
      <c r="Q513" s="56" t="s">
        <v>2216</v>
      </c>
      <c r="R513" s="50"/>
      <c r="S513" s="50"/>
      <c r="T513" s="50"/>
      <c r="U513" s="56"/>
      <c r="V513" s="57">
        <v>1.46</v>
      </c>
      <c r="W513" s="68"/>
      <c r="X513" s="50"/>
      <c r="Y513" s="50"/>
      <c r="Z513" s="50"/>
      <c r="AA513" s="56"/>
      <c r="AB513" s="57"/>
      <c r="AC513" s="54">
        <v>1</v>
      </c>
      <c r="AD513" s="69">
        <f>SUM(AE513:AK513)</f>
        <v>0</v>
      </c>
      <c r="AE513" s="66"/>
      <c r="AF513" s="66"/>
      <c r="AG513" s="66"/>
      <c r="AH513" s="66"/>
      <c r="AI513" s="66"/>
      <c r="AJ513" s="66"/>
      <c r="AK513" s="66"/>
      <c r="AL513" s="54">
        <f>IF((AC513-SUM(AE513:AK513))&lt;0,0,AC513-SUM(AE513:AK513))</f>
        <v>1</v>
      </c>
      <c r="AM513" s="69">
        <f>SUM(AN513:AT513)</f>
        <v>0</v>
      </c>
      <c r="AN513" s="60"/>
      <c r="AO513" s="52"/>
      <c r="AP513" s="52"/>
      <c r="AQ513" s="52"/>
      <c r="AR513" s="52"/>
      <c r="AS513" s="52"/>
      <c r="AT513" s="61"/>
      <c r="AU513" s="77">
        <f>MAX(0,$AM513-$AC513-$AW513)</f>
        <v>0</v>
      </c>
      <c r="AV513" s="54"/>
      <c r="AW513" s="54"/>
      <c r="AX513" s="65">
        <v>0</v>
      </c>
      <c r="AY513" s="78">
        <f>IF(AND($AU513&gt;0,ISNUMBER($AX513)),$AU513*$AX513,0)</f>
        <v>0</v>
      </c>
      <c r="AZ513" s="46"/>
      <c r="BA513" s="52"/>
      <c r="BB513" s="52"/>
      <c r="BC513" s="52"/>
      <c r="BD513" s="52"/>
      <c r="BE513" s="52"/>
      <c r="BF513" s="52"/>
    </row>
    <row r="514" spans="1:58" ht="15" customHeight="1">
      <c r="A514" s="46" t="s">
        <v>2998</v>
      </c>
      <c r="B514" s="76" t="s">
        <v>2999</v>
      </c>
      <c r="C514" s="77" t="s">
        <v>181</v>
      </c>
      <c r="D514" s="74">
        <v>1</v>
      </c>
      <c r="E514" s="76" t="s">
        <v>110</v>
      </c>
      <c r="F514" s="50">
        <v>1</v>
      </c>
      <c r="G514" s="50">
        <v>1</v>
      </c>
      <c r="H514" s="51" t="s">
        <v>3000</v>
      </c>
      <c r="I514" s="50" t="s">
        <v>3001</v>
      </c>
      <c r="J514" s="54" t="s">
        <v>73</v>
      </c>
      <c r="K514" s="50" t="s">
        <v>676</v>
      </c>
      <c r="L514" s="50" t="s">
        <v>242</v>
      </c>
      <c r="M514" s="50" t="s">
        <v>3002</v>
      </c>
      <c r="N514" s="50"/>
      <c r="O514" s="56">
        <v>4764</v>
      </c>
      <c r="P514" s="56" t="s">
        <v>185</v>
      </c>
      <c r="Q514" s="50" t="s">
        <v>691</v>
      </c>
      <c r="R514" s="50" t="s">
        <v>3003</v>
      </c>
      <c r="S514" s="50">
        <v>1</v>
      </c>
      <c r="T514" s="50">
        <v>0</v>
      </c>
      <c r="U514" s="56" t="s">
        <v>2798</v>
      </c>
      <c r="V514" s="57">
        <v>1.46</v>
      </c>
      <c r="W514" s="56"/>
      <c r="X514" s="50"/>
      <c r="Y514" s="50"/>
      <c r="Z514" s="50"/>
      <c r="AA514" s="56"/>
      <c r="AB514" s="57"/>
      <c r="AC514" s="54">
        <v>1</v>
      </c>
      <c r="AD514" s="69">
        <f>SUM(AE514:AK514)</f>
        <v>0</v>
      </c>
      <c r="AE514" s="66"/>
      <c r="AF514" s="66"/>
      <c r="AG514" s="66"/>
      <c r="AH514" s="66"/>
      <c r="AI514" s="66"/>
      <c r="AJ514" s="66"/>
      <c r="AK514" s="66"/>
      <c r="AL514" s="54">
        <f>IF((AC514-SUM(AE514:AK514))&lt;0,0,AC514-SUM(AE514:AK514))</f>
        <v>1</v>
      </c>
      <c r="AM514" s="69">
        <f>SUM(AN514:AT514)</f>
        <v>0</v>
      </c>
      <c r="AN514" s="60"/>
      <c r="AO514" s="52"/>
      <c r="AP514" s="52"/>
      <c r="AQ514" s="52"/>
      <c r="AR514" s="52"/>
      <c r="AS514" s="52"/>
      <c r="AT514" s="61"/>
      <c r="AU514" s="77">
        <f>MAX(0,$AM514-$AC514-$AW514)</f>
        <v>0</v>
      </c>
      <c r="AV514" s="54"/>
      <c r="AW514" s="54"/>
      <c r="AX514" s="65">
        <v>0</v>
      </c>
      <c r="AY514" s="78">
        <f>IF(AND($AU514&gt;0,ISNUMBER($AX514)),$AU514*$AX514,0)</f>
        <v>0</v>
      </c>
      <c r="AZ514" s="46"/>
      <c r="BA514" s="52"/>
      <c r="BB514" s="52"/>
      <c r="BC514" s="52"/>
      <c r="BD514" s="52"/>
      <c r="BE514" s="52"/>
      <c r="BF514" s="52"/>
    </row>
    <row r="515" spans="1:58" ht="15" customHeight="1">
      <c r="A515" s="46" t="s">
        <v>3004</v>
      </c>
      <c r="B515" s="76" t="s">
        <v>3005</v>
      </c>
      <c r="C515" s="77" t="s">
        <v>181</v>
      </c>
      <c r="D515" s="74">
        <v>4</v>
      </c>
      <c r="E515" s="76" t="s">
        <v>189</v>
      </c>
      <c r="F515" s="50"/>
      <c r="G515" s="50"/>
      <c r="H515" s="51"/>
      <c r="I515" s="50" t="s">
        <v>3006</v>
      </c>
      <c r="J515" s="54" t="s">
        <v>73</v>
      </c>
      <c r="K515" s="50" t="s">
        <v>135</v>
      </c>
      <c r="L515" s="50" t="s">
        <v>3007</v>
      </c>
      <c r="M515" s="50" t="s">
        <v>3008</v>
      </c>
      <c r="N515" s="50"/>
      <c r="O515" s="54"/>
      <c r="P515" s="56" t="s">
        <v>76</v>
      </c>
      <c r="Q515" s="50" t="s">
        <v>691</v>
      </c>
      <c r="R515" s="50" t="s">
        <v>3009</v>
      </c>
      <c r="S515" s="50">
        <v>1</v>
      </c>
      <c r="T515" s="50">
        <v>0</v>
      </c>
      <c r="U515" s="56" t="s">
        <v>772</v>
      </c>
      <c r="V515" s="57">
        <v>1.45</v>
      </c>
      <c r="W515" s="56"/>
      <c r="X515" s="50"/>
      <c r="Y515" s="50"/>
      <c r="Z515" s="50"/>
      <c r="AA515" s="56"/>
      <c r="AB515" s="57"/>
      <c r="AC515" s="54">
        <v>1</v>
      </c>
      <c r="AD515" s="69">
        <f>SUM(AE515:AK515)</f>
        <v>0</v>
      </c>
      <c r="AE515" s="66"/>
      <c r="AF515" s="66"/>
      <c r="AG515" s="66"/>
      <c r="AH515" s="66"/>
      <c r="AI515" s="66"/>
      <c r="AJ515" s="66"/>
      <c r="AK515" s="66"/>
      <c r="AL515" s="54">
        <f>IF((AC515-SUM(AE515:AK515))&lt;0,0,AC515-SUM(AE515:AK515))</f>
        <v>1</v>
      </c>
      <c r="AM515" s="69">
        <f>SUM(AN515:AT515)</f>
        <v>0</v>
      </c>
      <c r="AN515" s="60"/>
      <c r="AO515" s="52"/>
      <c r="AP515" s="52"/>
      <c r="AQ515" s="52"/>
      <c r="AR515" s="52"/>
      <c r="AS515" s="52"/>
      <c r="AT515" s="61"/>
      <c r="AU515" s="77">
        <f>MAX(0,$AM515-$AC515-$AW515)</f>
        <v>0</v>
      </c>
      <c r="AV515" s="54"/>
      <c r="AW515" s="54"/>
      <c r="AX515" s="65">
        <v>0</v>
      </c>
      <c r="AY515" s="78">
        <f>IF(AND($AU515&gt;0,ISNUMBER($AX515)),$AU515*$AX515,0)</f>
        <v>0</v>
      </c>
      <c r="AZ515" s="46"/>
      <c r="BA515" s="52"/>
      <c r="BB515" s="52"/>
      <c r="BC515" s="52"/>
      <c r="BD515" s="52"/>
      <c r="BE515" s="52"/>
      <c r="BF515" s="52"/>
    </row>
    <row r="516" spans="1:58" ht="15" customHeight="1">
      <c r="A516" s="46" t="s">
        <v>3010</v>
      </c>
      <c r="B516" s="76" t="s">
        <v>3011</v>
      </c>
      <c r="C516" s="77" t="s">
        <v>109</v>
      </c>
      <c r="D516" s="74">
        <v>2</v>
      </c>
      <c r="E516" s="76" t="s">
        <v>110</v>
      </c>
      <c r="F516" s="50">
        <v>2</v>
      </c>
      <c r="G516" s="50">
        <v>2</v>
      </c>
      <c r="H516" s="51" t="s">
        <v>3012</v>
      </c>
      <c r="I516" s="50" t="s">
        <v>3013</v>
      </c>
      <c r="J516" s="54" t="s">
        <v>73</v>
      </c>
      <c r="K516" s="56" t="s">
        <v>273</v>
      </c>
      <c r="L516" s="56" t="s">
        <v>514</v>
      </c>
      <c r="M516" s="56" t="s">
        <v>3014</v>
      </c>
      <c r="N516" s="56" t="s">
        <v>3015</v>
      </c>
      <c r="O516" s="56">
        <v>306</v>
      </c>
      <c r="P516" s="56" t="s">
        <v>185</v>
      </c>
      <c r="Q516" s="56" t="s">
        <v>528</v>
      </c>
      <c r="R516" s="54"/>
      <c r="S516" s="54"/>
      <c r="T516" s="54"/>
      <c r="U516" s="54"/>
      <c r="V516" s="57">
        <v>1.44</v>
      </c>
      <c r="W516" s="68"/>
      <c r="X516" s="54"/>
      <c r="Y516" s="54"/>
      <c r="Z516" s="54"/>
      <c r="AA516" s="54"/>
      <c r="AB516" s="57"/>
      <c r="AC516" s="54">
        <v>1</v>
      </c>
      <c r="AD516" s="69">
        <f>SUM(AE516:AK516)</f>
        <v>1</v>
      </c>
      <c r="AE516" s="66"/>
      <c r="AF516" s="66"/>
      <c r="AG516" s="66"/>
      <c r="AH516" s="66"/>
      <c r="AI516" s="66">
        <v>1</v>
      </c>
      <c r="AJ516" s="66"/>
      <c r="AK516" s="66"/>
      <c r="AL516" s="54">
        <f>IF((AC516-SUM(AE516:AK516))&lt;0,0,AC516-SUM(AE516:AK516))</f>
        <v>0</v>
      </c>
      <c r="AM516" s="69">
        <f>SUM(AN516:AT516)</f>
        <v>1</v>
      </c>
      <c r="AN516" s="60"/>
      <c r="AO516" s="52"/>
      <c r="AP516" s="52"/>
      <c r="AQ516" s="52"/>
      <c r="AR516" s="52">
        <v>1</v>
      </c>
      <c r="AS516" s="52"/>
      <c r="AT516" s="61"/>
      <c r="AU516" s="77">
        <f>MAX(0,$AM516-$AC516-$AW516)</f>
        <v>0</v>
      </c>
      <c r="AV516" s="54"/>
      <c r="AW516" s="54"/>
      <c r="AX516" s="65">
        <v>0</v>
      </c>
      <c r="AY516" s="78">
        <f>IF(AND($AU516&gt;0,ISNUMBER($AX516)),$AU516*$AX516,0)</f>
        <v>0</v>
      </c>
      <c r="AZ516" s="46"/>
      <c r="BA516" s="52"/>
      <c r="BB516" s="52"/>
      <c r="BC516" s="52"/>
      <c r="BD516" s="52"/>
      <c r="BE516" s="52"/>
      <c r="BF516" s="52"/>
    </row>
    <row r="517" spans="1:58" ht="15" customHeight="1">
      <c r="A517" s="46" t="s">
        <v>3016</v>
      </c>
      <c r="B517" s="76" t="s">
        <v>3017</v>
      </c>
      <c r="C517" s="77" t="s">
        <v>109</v>
      </c>
      <c r="D517" s="74">
        <v>3</v>
      </c>
      <c r="E517" s="76" t="s">
        <v>81</v>
      </c>
      <c r="F517" s="50">
        <v>2</v>
      </c>
      <c r="G517" s="50">
        <v>3</v>
      </c>
      <c r="H517" s="51" t="s">
        <v>3018</v>
      </c>
      <c r="I517" s="50" t="s">
        <v>3019</v>
      </c>
      <c r="J517" s="54" t="s">
        <v>73</v>
      </c>
      <c r="K517" s="50" t="s">
        <v>676</v>
      </c>
      <c r="L517" s="50" t="s">
        <v>2902</v>
      </c>
      <c r="M517" s="50" t="s">
        <v>3020</v>
      </c>
      <c r="N517" s="50"/>
      <c r="O517" s="54"/>
      <c r="P517" s="56" t="s">
        <v>76</v>
      </c>
      <c r="Q517" s="50" t="s">
        <v>691</v>
      </c>
      <c r="R517" s="50" t="s">
        <v>3021</v>
      </c>
      <c r="S517" s="50">
        <v>1</v>
      </c>
      <c r="T517" s="50">
        <v>0</v>
      </c>
      <c r="U517" s="56" t="s">
        <v>3022</v>
      </c>
      <c r="V517" s="57">
        <v>1.41</v>
      </c>
      <c r="W517" s="56"/>
      <c r="X517" s="50"/>
      <c r="Y517" s="50"/>
      <c r="Z517" s="50"/>
      <c r="AA517" s="56"/>
      <c r="AB517" s="57"/>
      <c r="AC517" s="54">
        <v>1</v>
      </c>
      <c r="AD517" s="69">
        <f>SUM(AE517:AK517)</f>
        <v>0</v>
      </c>
      <c r="AE517" s="66"/>
      <c r="AF517" s="66"/>
      <c r="AG517" s="66"/>
      <c r="AH517" s="66"/>
      <c r="AI517" s="66"/>
      <c r="AJ517" s="66"/>
      <c r="AK517" s="66"/>
      <c r="AL517" s="54">
        <f>IF((AC517-SUM(AE517:AK517))&lt;0,0,AC517-SUM(AE517:AK517))</f>
        <v>1</v>
      </c>
      <c r="AM517" s="69">
        <f>SUM(AN517:AT517)</f>
        <v>0</v>
      </c>
      <c r="AN517" s="60"/>
      <c r="AO517" s="52"/>
      <c r="AP517" s="52"/>
      <c r="AQ517" s="52"/>
      <c r="AR517" s="52"/>
      <c r="AS517" s="52"/>
      <c r="AT517" s="61"/>
      <c r="AU517" s="77">
        <f>MAX(0,$AM517-$AC517-$AW517)</f>
        <v>0</v>
      </c>
      <c r="AV517" s="54"/>
      <c r="AW517" s="54"/>
      <c r="AX517" s="65">
        <v>0</v>
      </c>
      <c r="AY517" s="78">
        <f>IF(AND($AU517&gt;0,ISNUMBER($AX517)),$AU517*$AX517,0)</f>
        <v>0</v>
      </c>
      <c r="AZ517" s="46"/>
      <c r="BA517" s="52"/>
      <c r="BB517" s="52"/>
      <c r="BC517" s="52"/>
      <c r="BD517" s="52"/>
      <c r="BE517" s="52"/>
      <c r="BF517" s="52"/>
    </row>
    <row r="518" spans="1:58" ht="15" customHeight="1">
      <c r="A518" s="46" t="s">
        <v>3023</v>
      </c>
      <c r="B518" s="76" t="s">
        <v>3024</v>
      </c>
      <c r="C518" s="77" t="s">
        <v>70</v>
      </c>
      <c r="D518" s="74">
        <v>3</v>
      </c>
      <c r="E518" s="76" t="s">
        <v>81</v>
      </c>
      <c r="F518" s="50">
        <v>2</v>
      </c>
      <c r="G518" s="50">
        <v>2</v>
      </c>
      <c r="H518" s="51" t="s">
        <v>318</v>
      </c>
      <c r="I518" s="50" t="s">
        <v>3025</v>
      </c>
      <c r="J518" s="54" t="s">
        <v>73</v>
      </c>
      <c r="K518" s="56" t="s">
        <v>705</v>
      </c>
      <c r="L518" s="56" t="s">
        <v>3026</v>
      </c>
      <c r="M518" s="56" t="s">
        <v>3027</v>
      </c>
      <c r="N518" s="56"/>
      <c r="O518" s="54"/>
      <c r="P518" s="56" t="s">
        <v>185</v>
      </c>
      <c r="Q518" s="56" t="s">
        <v>3028</v>
      </c>
      <c r="R518" s="50"/>
      <c r="S518" s="50"/>
      <c r="T518" s="50"/>
      <c r="U518" s="50"/>
      <c r="V518" s="57">
        <v>1.39</v>
      </c>
      <c r="W518" s="68"/>
      <c r="X518" s="50"/>
      <c r="Y518" s="50"/>
      <c r="Z518" s="50"/>
      <c r="AA518" s="50"/>
      <c r="AB518" s="57"/>
      <c r="AC518" s="54">
        <v>1</v>
      </c>
      <c r="AD518" s="69">
        <f>SUM(AE518:AK518)</f>
        <v>1</v>
      </c>
      <c r="AE518" s="66"/>
      <c r="AF518" s="66"/>
      <c r="AG518" s="66"/>
      <c r="AH518" s="66"/>
      <c r="AI518" s="66"/>
      <c r="AJ518" s="66">
        <v>1</v>
      </c>
      <c r="AK518" s="66"/>
      <c r="AL518" s="54">
        <f>IF((AC518-SUM(AE518:AK518))&lt;0,0,AC518-SUM(AE518:AK518))</f>
        <v>0</v>
      </c>
      <c r="AM518" s="69">
        <f>SUM(AN518:AT518)</f>
        <v>1</v>
      </c>
      <c r="AN518" s="60"/>
      <c r="AO518" s="52"/>
      <c r="AP518" s="52"/>
      <c r="AQ518" s="52"/>
      <c r="AR518" s="52"/>
      <c r="AS518" s="52">
        <v>1</v>
      </c>
      <c r="AT518" s="61"/>
      <c r="AU518" s="77">
        <f>MAX(0,$AM518-$AC518-$AW518)</f>
        <v>0</v>
      </c>
      <c r="AV518" s="54"/>
      <c r="AW518" s="54"/>
      <c r="AX518" s="65">
        <v>0</v>
      </c>
      <c r="AY518" s="78">
        <f>IF(AND($AU518&gt;0,ISNUMBER($AX518)),$AU518*$AX518,0)</f>
        <v>0</v>
      </c>
      <c r="AZ518" s="46"/>
      <c r="BA518" s="52"/>
      <c r="BB518" s="52"/>
      <c r="BC518" s="52"/>
      <c r="BD518" s="52"/>
      <c r="BE518" s="52"/>
      <c r="BF518" s="52"/>
    </row>
    <row r="519" spans="1:58" ht="15" customHeight="1">
      <c r="A519" s="46" t="s">
        <v>3029</v>
      </c>
      <c r="B519" s="76" t="s">
        <v>3030</v>
      </c>
      <c r="C519" s="77" t="s">
        <v>181</v>
      </c>
      <c r="D519" s="74">
        <v>2</v>
      </c>
      <c r="E519" s="76" t="s">
        <v>71</v>
      </c>
      <c r="F519" s="50"/>
      <c r="G519" s="50"/>
      <c r="H519" s="51"/>
      <c r="I519" s="50" t="s">
        <v>3031</v>
      </c>
      <c r="J519" s="54" t="s">
        <v>73</v>
      </c>
      <c r="K519" s="56" t="s">
        <v>424</v>
      </c>
      <c r="L519" s="56" t="s">
        <v>3032</v>
      </c>
      <c r="M519" s="56"/>
      <c r="N519" s="56"/>
      <c r="O519" s="54"/>
      <c r="P519" s="56" t="s">
        <v>86</v>
      </c>
      <c r="Q519" s="56" t="s">
        <v>729</v>
      </c>
      <c r="R519" s="50"/>
      <c r="S519" s="50"/>
      <c r="T519" s="50"/>
      <c r="U519" s="56"/>
      <c r="V519" s="57">
        <v>1.38</v>
      </c>
      <c r="W519" s="68"/>
      <c r="X519" s="50"/>
      <c r="Y519" s="50"/>
      <c r="Z519" s="50"/>
      <c r="AA519" s="56"/>
      <c r="AB519" s="57"/>
      <c r="AC519" s="54">
        <v>1</v>
      </c>
      <c r="AD519" s="69">
        <f>SUM(AE519:AK519)</f>
        <v>1</v>
      </c>
      <c r="AE519" s="66"/>
      <c r="AF519" s="66"/>
      <c r="AG519" s="66"/>
      <c r="AH519" s="66"/>
      <c r="AI519" s="66"/>
      <c r="AJ519" s="66"/>
      <c r="AK519" s="66">
        <v>1</v>
      </c>
      <c r="AL519" s="54">
        <f>IF((AC519-SUM(AE519:AK519))&lt;0,0,AC519-SUM(AE519:AK519))</f>
        <v>0</v>
      </c>
      <c r="AM519" s="69">
        <f>SUM(AN519:AT519)</f>
        <v>1</v>
      </c>
      <c r="AN519" s="60"/>
      <c r="AO519" s="52"/>
      <c r="AP519" s="52"/>
      <c r="AQ519" s="52"/>
      <c r="AR519" s="52"/>
      <c r="AS519" s="52"/>
      <c r="AT519" s="61">
        <v>1</v>
      </c>
      <c r="AU519" s="77">
        <f>MAX(0,$AM519-$AC519-$AW519)</f>
        <v>0</v>
      </c>
      <c r="AV519" s="54"/>
      <c r="AW519" s="54"/>
      <c r="AX519" s="65">
        <v>0</v>
      </c>
      <c r="AY519" s="78">
        <f>IF(AND($AU519&gt;0,ISNUMBER($AX519)),$AU519*$AX519,0)</f>
        <v>0</v>
      </c>
      <c r="AZ519" s="46"/>
      <c r="BA519" s="52"/>
      <c r="BB519" s="52"/>
      <c r="BC519" s="52"/>
      <c r="BD519" s="52"/>
      <c r="BE519" s="52"/>
      <c r="BF519" s="52"/>
    </row>
    <row r="520" spans="1:58" ht="15" customHeight="1">
      <c r="A520" s="46" t="s">
        <v>3033</v>
      </c>
      <c r="B520" s="79" t="s">
        <v>3034</v>
      </c>
      <c r="C520" s="80" t="s">
        <v>101</v>
      </c>
      <c r="D520" s="75">
        <v>3</v>
      </c>
      <c r="E520" s="79" t="s">
        <v>81</v>
      </c>
      <c r="F520" s="50">
        <v>1</v>
      </c>
      <c r="G520" s="50">
        <v>2</v>
      </c>
      <c r="H520" s="51" t="s">
        <v>150</v>
      </c>
      <c r="I520" s="50" t="s">
        <v>3035</v>
      </c>
      <c r="J520" s="52" t="s">
        <v>73</v>
      </c>
      <c r="K520" s="46" t="s">
        <v>726</v>
      </c>
      <c r="L520" s="50" t="s">
        <v>3036</v>
      </c>
      <c r="M520" s="50" t="s">
        <v>3037</v>
      </c>
      <c r="N520" s="50"/>
      <c r="O520" s="54"/>
      <c r="P520" s="55" t="s">
        <v>185</v>
      </c>
      <c r="Q520" s="46" t="s">
        <v>669</v>
      </c>
      <c r="R520" s="75" t="s">
        <v>1536</v>
      </c>
      <c r="S520" s="75">
        <v>1</v>
      </c>
      <c r="T520" s="75">
        <v>0</v>
      </c>
      <c r="U520" s="56"/>
      <c r="V520" s="57">
        <v>1.37</v>
      </c>
      <c r="W520" s="68"/>
      <c r="X520" s="46"/>
      <c r="Y520" s="46"/>
      <c r="Z520" s="46"/>
      <c r="AA520" s="56"/>
      <c r="AB520" s="57"/>
      <c r="AC520" s="54">
        <v>1</v>
      </c>
      <c r="AD520" s="69">
        <f>SUM(AE520:AK520)</f>
        <v>1</v>
      </c>
      <c r="AE520" s="66"/>
      <c r="AF520" s="66">
        <v>1</v>
      </c>
      <c r="AG520" s="66"/>
      <c r="AH520" s="66"/>
      <c r="AI520" s="66"/>
      <c r="AJ520" s="66"/>
      <c r="AK520" s="66"/>
      <c r="AL520" s="54">
        <f>IF((AC520-SUM(AE520:AK520))&lt;0,0,AC520-SUM(AE520:AK520))</f>
        <v>0</v>
      </c>
      <c r="AM520" s="69">
        <f>SUM(AN520:AT520)</f>
        <v>1</v>
      </c>
      <c r="AN520" s="60"/>
      <c r="AO520" s="52">
        <v>1</v>
      </c>
      <c r="AP520" s="52"/>
      <c r="AQ520" s="52"/>
      <c r="AR520" s="52"/>
      <c r="AS520" s="52"/>
      <c r="AT520" s="61"/>
      <c r="AU520" s="77">
        <f>MAX(0,$AM520-$AC520-$AW520)</f>
        <v>0</v>
      </c>
      <c r="AV520" s="52"/>
      <c r="AW520" s="52"/>
      <c r="AX520" s="65">
        <v>0</v>
      </c>
      <c r="AY520" s="78">
        <f>IF(AND($AU520&gt;0,ISNUMBER($AX520)),$AU520*$AX520,0)</f>
        <v>0</v>
      </c>
      <c r="AZ520" s="46"/>
      <c r="BA520" s="52"/>
      <c r="BB520" s="52"/>
      <c r="BC520" s="52"/>
      <c r="BD520" s="52"/>
      <c r="BE520" s="52"/>
      <c r="BF520" s="52"/>
    </row>
    <row r="521" spans="1:58" ht="15" customHeight="1">
      <c r="A521" s="46" t="s">
        <v>3038</v>
      </c>
      <c r="B521" s="76" t="s">
        <v>3039</v>
      </c>
      <c r="C521" s="77" t="s">
        <v>70</v>
      </c>
      <c r="D521" s="74">
        <v>3</v>
      </c>
      <c r="E521" s="76" t="s">
        <v>81</v>
      </c>
      <c r="F521" s="50">
        <v>3</v>
      </c>
      <c r="G521" s="50">
        <v>2</v>
      </c>
      <c r="H521" s="51" t="s">
        <v>3040</v>
      </c>
      <c r="I521" s="50" t="s">
        <v>3041</v>
      </c>
      <c r="J521" s="54" t="s">
        <v>73</v>
      </c>
      <c r="K521" s="56" t="s">
        <v>386</v>
      </c>
      <c r="L521" s="56" t="s">
        <v>3042</v>
      </c>
      <c r="M521" s="56"/>
      <c r="N521" s="56"/>
      <c r="O521" s="54"/>
      <c r="P521" s="56" t="s">
        <v>76</v>
      </c>
      <c r="Q521" s="56" t="s">
        <v>2492</v>
      </c>
      <c r="R521" s="50"/>
      <c r="S521" s="50"/>
      <c r="T521" s="50"/>
      <c r="U521" s="50"/>
      <c r="V521" s="57">
        <v>1.37</v>
      </c>
      <c r="W521" s="68"/>
      <c r="X521" s="50"/>
      <c r="Y521" s="50"/>
      <c r="Z521" s="50"/>
      <c r="AA521" s="50"/>
      <c r="AB521" s="57"/>
      <c r="AC521" s="54">
        <v>1</v>
      </c>
      <c r="AD521" s="69">
        <f>SUM(AE521:AK521)</f>
        <v>1</v>
      </c>
      <c r="AE521" s="66"/>
      <c r="AF521" s="66"/>
      <c r="AG521" s="66"/>
      <c r="AH521" s="66"/>
      <c r="AI521" s="66"/>
      <c r="AJ521" s="66">
        <v>1</v>
      </c>
      <c r="AK521" s="66"/>
      <c r="AL521" s="54">
        <f>IF((AC521-SUM(AE521:AK521))&lt;0,0,AC521-SUM(AE521:AK521))</f>
        <v>0</v>
      </c>
      <c r="AM521" s="69">
        <f>SUM(AN521:AT521)</f>
        <v>1</v>
      </c>
      <c r="AN521" s="60"/>
      <c r="AO521" s="52"/>
      <c r="AP521" s="52"/>
      <c r="AQ521" s="52"/>
      <c r="AR521" s="52"/>
      <c r="AS521" s="52">
        <v>1</v>
      </c>
      <c r="AT521" s="61"/>
      <c r="AU521" s="77">
        <f>MAX(0,$AM521-$AC521-$AW521)</f>
        <v>0</v>
      </c>
      <c r="AV521" s="54"/>
      <c r="AW521" s="54"/>
      <c r="AX521" s="65">
        <v>0</v>
      </c>
      <c r="AY521" s="78">
        <f>IF(AND($AU521&gt;0,ISNUMBER($AX521)),$AU521*$AX521,0)</f>
        <v>0</v>
      </c>
      <c r="AZ521" s="46"/>
      <c r="BA521" s="52"/>
      <c r="BB521" s="52"/>
      <c r="BC521" s="52"/>
      <c r="BD521" s="52"/>
      <c r="BE521" s="52"/>
      <c r="BF521" s="52"/>
    </row>
    <row r="522" spans="1:58" ht="15" customHeight="1">
      <c r="A522" s="46" t="s">
        <v>3043</v>
      </c>
      <c r="B522" s="76" t="s">
        <v>3044</v>
      </c>
      <c r="C522" s="77" t="s">
        <v>109</v>
      </c>
      <c r="D522" s="74">
        <v>2</v>
      </c>
      <c r="E522" s="76" t="s">
        <v>110</v>
      </c>
      <c r="F522" s="50">
        <v>2</v>
      </c>
      <c r="G522" s="50">
        <v>3</v>
      </c>
      <c r="H522" s="51" t="s">
        <v>3045</v>
      </c>
      <c r="I522" s="50" t="s">
        <v>3046</v>
      </c>
      <c r="J522" s="54" t="s">
        <v>73</v>
      </c>
      <c r="K522" s="50" t="s">
        <v>247</v>
      </c>
      <c r="L522" s="50" t="s">
        <v>3047</v>
      </c>
      <c r="M522" s="50" t="s">
        <v>3048</v>
      </c>
      <c r="N522" s="50"/>
      <c r="O522" s="56">
        <v>4124</v>
      </c>
      <c r="P522" s="56" t="s">
        <v>185</v>
      </c>
      <c r="Q522" s="50" t="s">
        <v>691</v>
      </c>
      <c r="R522" s="50" t="s">
        <v>3049</v>
      </c>
      <c r="S522" s="50">
        <v>1</v>
      </c>
      <c r="T522" s="50">
        <v>0</v>
      </c>
      <c r="U522" s="56" t="s">
        <v>647</v>
      </c>
      <c r="V522" s="57">
        <v>1.36</v>
      </c>
      <c r="W522" s="56"/>
      <c r="X522" s="50"/>
      <c r="Y522" s="50"/>
      <c r="Z522" s="50"/>
      <c r="AA522" s="56"/>
      <c r="AB522" s="57"/>
      <c r="AC522" s="54">
        <v>1</v>
      </c>
      <c r="AD522" s="69">
        <f>SUM(AE522:AK522)</f>
        <v>0</v>
      </c>
      <c r="AE522" s="66"/>
      <c r="AF522" s="66"/>
      <c r="AG522" s="66"/>
      <c r="AH522" s="66"/>
      <c r="AI522" s="66"/>
      <c r="AJ522" s="66"/>
      <c r="AK522" s="66"/>
      <c r="AL522" s="54">
        <f>IF((AC522-SUM(AE522:AK522))&lt;0,0,AC522-SUM(AE522:AK522))</f>
        <v>1</v>
      </c>
      <c r="AM522" s="69">
        <f>SUM(AN522:AT522)</f>
        <v>0</v>
      </c>
      <c r="AN522" s="60"/>
      <c r="AO522" s="52"/>
      <c r="AP522" s="52"/>
      <c r="AQ522" s="52"/>
      <c r="AR522" s="52"/>
      <c r="AS522" s="52"/>
      <c r="AT522" s="61"/>
      <c r="AU522" s="77">
        <f>MAX(0,$AM522-$AC522-$AW522)</f>
        <v>0</v>
      </c>
      <c r="AV522" s="54"/>
      <c r="AW522" s="54"/>
      <c r="AX522" s="65">
        <v>0</v>
      </c>
      <c r="AY522" s="78">
        <f>IF(AND($AU522&gt;0,ISNUMBER($AX522)),$AU522*$AX522,0)</f>
        <v>0</v>
      </c>
      <c r="AZ522" s="46"/>
      <c r="BA522" s="52"/>
      <c r="BB522" s="52"/>
      <c r="BC522" s="52"/>
      <c r="BD522" s="52"/>
      <c r="BE522" s="52"/>
      <c r="BF522" s="52"/>
    </row>
    <row r="523" spans="1:58" ht="15" customHeight="1">
      <c r="A523" s="46" t="s">
        <v>3050</v>
      </c>
      <c r="B523" s="76" t="s">
        <v>3051</v>
      </c>
      <c r="C523" s="77" t="s">
        <v>101</v>
      </c>
      <c r="D523" s="74">
        <v>5</v>
      </c>
      <c r="E523" s="76" t="s">
        <v>384</v>
      </c>
      <c r="F523" s="50"/>
      <c r="G523" s="50"/>
      <c r="H523" s="51"/>
      <c r="I523" s="50" t="s">
        <v>3052</v>
      </c>
      <c r="J523" s="54" t="s">
        <v>73</v>
      </c>
      <c r="K523" s="56" t="s">
        <v>129</v>
      </c>
      <c r="L523" s="56" t="s">
        <v>3053</v>
      </c>
      <c r="M523" s="56"/>
      <c r="N523" s="56"/>
      <c r="O523" s="54"/>
      <c r="P523" s="56" t="s">
        <v>185</v>
      </c>
      <c r="Q523" s="56" t="s">
        <v>988</v>
      </c>
      <c r="R523" s="50"/>
      <c r="S523" s="50"/>
      <c r="T523" s="50"/>
      <c r="U523" s="50"/>
      <c r="V523" s="57">
        <v>1.34</v>
      </c>
      <c r="W523" s="68"/>
      <c r="X523" s="50"/>
      <c r="Y523" s="50"/>
      <c r="Z523" s="50"/>
      <c r="AA523" s="50"/>
      <c r="AB523" s="57"/>
      <c r="AC523" s="54">
        <v>1</v>
      </c>
      <c r="AD523" s="69">
        <f>SUM(AE523:AK523)</f>
        <v>1</v>
      </c>
      <c r="AE523" s="66"/>
      <c r="AF523" s="66">
        <v>1</v>
      </c>
      <c r="AG523" s="66"/>
      <c r="AH523" s="66"/>
      <c r="AI523" s="66"/>
      <c r="AJ523" s="66"/>
      <c r="AK523" s="66"/>
      <c r="AL523" s="54">
        <f>IF((AC523-SUM(AE523:AK523))&lt;0,0,AC523-SUM(AE523:AK523))</f>
        <v>0</v>
      </c>
      <c r="AM523" s="69">
        <f>SUM(AN523:AT523)</f>
        <v>1</v>
      </c>
      <c r="AN523" s="60"/>
      <c r="AO523" s="52">
        <v>1</v>
      </c>
      <c r="AP523" s="52"/>
      <c r="AQ523" s="52"/>
      <c r="AR523" s="52"/>
      <c r="AS523" s="52"/>
      <c r="AT523" s="61"/>
      <c r="AU523" s="77">
        <f>MAX(0,$AM523-$AC523-$AW523)</f>
        <v>0</v>
      </c>
      <c r="AV523" s="54"/>
      <c r="AW523" s="54"/>
      <c r="AX523" s="65">
        <v>0</v>
      </c>
      <c r="AY523" s="78">
        <f>IF(AND($AU523&gt;0,ISNUMBER($AX523)),$AU523*$AX523,0)</f>
        <v>0</v>
      </c>
      <c r="AZ523" s="46"/>
      <c r="BA523" s="52"/>
      <c r="BB523" s="52"/>
      <c r="BC523" s="52"/>
      <c r="BD523" s="52"/>
      <c r="BE523" s="52"/>
      <c r="BF523" s="52"/>
    </row>
    <row r="524" spans="1:58" ht="15" customHeight="1">
      <c r="A524" s="46" t="s">
        <v>3054</v>
      </c>
      <c r="B524" s="76" t="s">
        <v>3055</v>
      </c>
      <c r="C524" s="77" t="s">
        <v>80</v>
      </c>
      <c r="D524" s="74">
        <v>4</v>
      </c>
      <c r="E524" s="76" t="s">
        <v>2951</v>
      </c>
      <c r="F524" s="50">
        <v>1</v>
      </c>
      <c r="G524" s="50">
        <v>5</v>
      </c>
      <c r="H524" s="51" t="s">
        <v>2952</v>
      </c>
      <c r="I524" s="50" t="s">
        <v>3056</v>
      </c>
      <c r="J524" s="54" t="s">
        <v>73</v>
      </c>
      <c r="K524" s="50" t="s">
        <v>676</v>
      </c>
      <c r="L524" s="50" t="s">
        <v>3057</v>
      </c>
      <c r="M524" s="50" t="s">
        <v>3058</v>
      </c>
      <c r="N524" s="50"/>
      <c r="O524" s="56">
        <v>4094</v>
      </c>
      <c r="P524" s="56" t="s">
        <v>185</v>
      </c>
      <c r="Q524" s="50" t="s">
        <v>691</v>
      </c>
      <c r="R524" s="50" t="s">
        <v>3059</v>
      </c>
      <c r="S524" s="50">
        <v>1</v>
      </c>
      <c r="T524" s="50">
        <v>0</v>
      </c>
      <c r="U524" s="56" t="s">
        <v>2957</v>
      </c>
      <c r="V524" s="57">
        <v>1.34</v>
      </c>
      <c r="W524" s="56"/>
      <c r="X524" s="50"/>
      <c r="Y524" s="50"/>
      <c r="Z524" s="50"/>
      <c r="AA524" s="56"/>
      <c r="AB524" s="57"/>
      <c r="AC524" s="54">
        <v>1</v>
      </c>
      <c r="AD524" s="69">
        <f>SUM(AE524:AK524)</f>
        <v>0</v>
      </c>
      <c r="AE524" s="66"/>
      <c r="AF524" s="66"/>
      <c r="AG524" s="66"/>
      <c r="AH524" s="66"/>
      <c r="AI524" s="66"/>
      <c r="AJ524" s="66"/>
      <c r="AK524" s="66"/>
      <c r="AL524" s="54">
        <f>IF((AC524-SUM(AE524:AK524))&lt;0,0,AC524-SUM(AE524:AK524))</f>
        <v>1</v>
      </c>
      <c r="AM524" s="69">
        <f>SUM(AN524:AT524)</f>
        <v>0</v>
      </c>
      <c r="AN524" s="60"/>
      <c r="AO524" s="52"/>
      <c r="AP524" s="52"/>
      <c r="AQ524" s="52"/>
      <c r="AR524" s="52"/>
      <c r="AS524" s="52"/>
      <c r="AT524" s="61"/>
      <c r="AU524" s="77">
        <f>MAX(0,$AM524-$AC524-$AW524)</f>
        <v>0</v>
      </c>
      <c r="AV524" s="54"/>
      <c r="AW524" s="54"/>
      <c r="AX524" s="65">
        <v>0</v>
      </c>
      <c r="AY524" s="78">
        <f>IF(AND($AU524&gt;0,ISNUMBER($AX524)),$AU524*$AX524,0)</f>
        <v>0</v>
      </c>
      <c r="AZ524" s="46"/>
      <c r="BA524" s="52"/>
      <c r="BB524" s="52"/>
      <c r="BC524" s="52"/>
      <c r="BD524" s="52"/>
      <c r="BE524" s="52"/>
      <c r="BF524" s="52"/>
    </row>
    <row r="525" spans="1:58" ht="15" customHeight="1">
      <c r="A525" s="46" t="s">
        <v>3060</v>
      </c>
      <c r="B525" s="76" t="s">
        <v>3061</v>
      </c>
      <c r="C525" s="77" t="s">
        <v>70</v>
      </c>
      <c r="D525" s="74">
        <v>1</v>
      </c>
      <c r="E525" s="76" t="s">
        <v>71</v>
      </c>
      <c r="F525" s="50"/>
      <c r="G525" s="50"/>
      <c r="H525" s="51"/>
      <c r="I525" s="50" t="s">
        <v>3062</v>
      </c>
      <c r="J525" s="54" t="s">
        <v>196</v>
      </c>
      <c r="K525" s="56" t="s">
        <v>726</v>
      </c>
      <c r="L525" s="56" t="s">
        <v>3063</v>
      </c>
      <c r="M525" s="56" t="s">
        <v>3064</v>
      </c>
      <c r="N525" s="56"/>
      <c r="O525" s="54"/>
      <c r="P525" s="56" t="s">
        <v>185</v>
      </c>
      <c r="Q525" s="56" t="s">
        <v>833</v>
      </c>
      <c r="R525" s="50"/>
      <c r="S525" s="50"/>
      <c r="T525" s="50"/>
      <c r="U525" s="50"/>
      <c r="V525" s="57">
        <v>1.33</v>
      </c>
      <c r="W525" s="68"/>
      <c r="X525" s="50"/>
      <c r="Y525" s="50"/>
      <c r="Z525" s="50"/>
      <c r="AA525" s="50"/>
      <c r="AB525" s="57"/>
      <c r="AC525" s="54">
        <v>1</v>
      </c>
      <c r="AD525" s="69">
        <f>SUM(AE525:AK525)</f>
        <v>1</v>
      </c>
      <c r="AE525" s="66"/>
      <c r="AF525" s="66"/>
      <c r="AG525" s="66"/>
      <c r="AH525" s="66"/>
      <c r="AI525" s="66"/>
      <c r="AJ525" s="66">
        <v>1</v>
      </c>
      <c r="AK525" s="66"/>
      <c r="AL525" s="54">
        <f>IF((AC525-SUM(AE525:AK525))&lt;0,0,AC525-SUM(AE525:AK525))</f>
        <v>0</v>
      </c>
      <c r="AM525" s="69">
        <f>SUM(AN525:AT525)</f>
        <v>1</v>
      </c>
      <c r="AN525" s="60"/>
      <c r="AO525" s="52"/>
      <c r="AP525" s="52"/>
      <c r="AQ525" s="52"/>
      <c r="AR525" s="52"/>
      <c r="AS525" s="52">
        <v>1</v>
      </c>
      <c r="AT525" s="61"/>
      <c r="AU525" s="77">
        <f>MAX(0,$AM525-$AC525-$AW525)</f>
        <v>0</v>
      </c>
      <c r="AV525" s="54"/>
      <c r="AW525" s="54"/>
      <c r="AX525" s="65">
        <v>0</v>
      </c>
      <c r="AY525" s="78">
        <f>IF(AND($AU525&gt;0,ISNUMBER($AX525)),$AU525*$AX525,0)</f>
        <v>0</v>
      </c>
      <c r="AZ525" s="46"/>
      <c r="BA525" s="52"/>
      <c r="BB525" s="52"/>
      <c r="BC525" s="52"/>
      <c r="BD525" s="52"/>
      <c r="BE525" s="52"/>
      <c r="BF525" s="52"/>
    </row>
    <row r="526" spans="1:58" ht="15" customHeight="1">
      <c r="A526" s="46" t="s">
        <v>3065</v>
      </c>
      <c r="B526" s="76" t="s">
        <v>3066</v>
      </c>
      <c r="C526" s="77" t="s">
        <v>118</v>
      </c>
      <c r="D526" s="74">
        <v>3</v>
      </c>
      <c r="E526" s="76" t="s">
        <v>110</v>
      </c>
      <c r="F526" s="50">
        <v>2</v>
      </c>
      <c r="G526" s="50">
        <v>2</v>
      </c>
      <c r="H526" s="51" t="s">
        <v>252</v>
      </c>
      <c r="I526" s="50" t="s">
        <v>3067</v>
      </c>
      <c r="J526" s="54" t="s">
        <v>73</v>
      </c>
      <c r="K526" s="50" t="s">
        <v>661</v>
      </c>
      <c r="L526" s="50" t="s">
        <v>3068</v>
      </c>
      <c r="M526" s="50" t="s">
        <v>3069</v>
      </c>
      <c r="N526" s="50"/>
      <c r="O526" s="56">
        <v>5064</v>
      </c>
      <c r="P526" s="56" t="s">
        <v>185</v>
      </c>
      <c r="Q526" s="50" t="s">
        <v>691</v>
      </c>
      <c r="R526" s="50" t="s">
        <v>3070</v>
      </c>
      <c r="S526" s="50">
        <v>1</v>
      </c>
      <c r="T526" s="50">
        <v>0</v>
      </c>
      <c r="U526" s="56" t="s">
        <v>3071</v>
      </c>
      <c r="V526" s="57">
        <v>1.33</v>
      </c>
      <c r="W526" s="56"/>
      <c r="X526" s="50"/>
      <c r="Y526" s="50"/>
      <c r="Z526" s="50"/>
      <c r="AA526" s="56"/>
      <c r="AB526" s="57"/>
      <c r="AC526" s="54">
        <v>1</v>
      </c>
      <c r="AD526" s="69">
        <f>SUM(AE526:AK526)</f>
        <v>0</v>
      </c>
      <c r="AE526" s="66"/>
      <c r="AF526" s="66"/>
      <c r="AG526" s="66"/>
      <c r="AH526" s="66"/>
      <c r="AI526" s="66"/>
      <c r="AJ526" s="66"/>
      <c r="AK526" s="66"/>
      <c r="AL526" s="54">
        <f>IF((AC526-SUM(AE526:AK526))&lt;0,0,AC526-SUM(AE526:AK526))</f>
        <v>1</v>
      </c>
      <c r="AM526" s="69">
        <f>SUM(AN526:AT526)</f>
        <v>0</v>
      </c>
      <c r="AN526" s="60"/>
      <c r="AO526" s="52"/>
      <c r="AP526" s="52"/>
      <c r="AQ526" s="52"/>
      <c r="AR526" s="52"/>
      <c r="AS526" s="52"/>
      <c r="AT526" s="61"/>
      <c r="AU526" s="77">
        <f>MAX(0,$AM526-$AC526-$AW526)</f>
        <v>0</v>
      </c>
      <c r="AV526" s="54"/>
      <c r="AW526" s="54"/>
      <c r="AX526" s="65">
        <v>0</v>
      </c>
      <c r="AY526" s="78">
        <f>IF(AND($AU526&gt;0,ISNUMBER($AX526)),$AU526*$AX526,0)</f>
        <v>0</v>
      </c>
      <c r="AZ526" s="46"/>
      <c r="BA526" s="52"/>
      <c r="BB526" s="52"/>
      <c r="BC526" s="52"/>
      <c r="BD526" s="52"/>
      <c r="BE526" s="52"/>
      <c r="BF526" s="52"/>
    </row>
    <row r="527" spans="1:58" ht="15" customHeight="1">
      <c r="A527" s="46" t="s">
        <v>3072</v>
      </c>
      <c r="B527" s="76" t="s">
        <v>3073</v>
      </c>
      <c r="C527" s="77" t="s">
        <v>70</v>
      </c>
      <c r="D527" s="74">
        <v>3</v>
      </c>
      <c r="E527" s="76" t="s">
        <v>81</v>
      </c>
      <c r="F527" s="50">
        <v>3</v>
      </c>
      <c r="G527" s="50">
        <v>3</v>
      </c>
      <c r="H527" s="51" t="s">
        <v>3074</v>
      </c>
      <c r="I527" s="50" t="s">
        <v>3075</v>
      </c>
      <c r="J527" s="54" t="s">
        <v>73</v>
      </c>
      <c r="K527" s="56" t="s">
        <v>754</v>
      </c>
      <c r="L527" s="56" t="s">
        <v>3076</v>
      </c>
      <c r="M527" s="56" t="s">
        <v>3077</v>
      </c>
      <c r="N527" s="56"/>
      <c r="O527" s="54"/>
      <c r="P527" s="56" t="s">
        <v>86</v>
      </c>
      <c r="Q527" s="56" t="s">
        <v>93</v>
      </c>
      <c r="R527" s="50"/>
      <c r="S527" s="50"/>
      <c r="T527" s="50"/>
      <c r="U527" s="50"/>
      <c r="V527" s="57">
        <v>1.29</v>
      </c>
      <c r="W527" s="68"/>
      <c r="X527" s="50"/>
      <c r="Y527" s="50"/>
      <c r="Z527" s="50"/>
      <c r="AA527" s="50"/>
      <c r="AB527" s="57"/>
      <c r="AC527" s="54">
        <v>1</v>
      </c>
      <c r="AD527" s="69">
        <f>SUM(AE527:AK527)</f>
        <v>1</v>
      </c>
      <c r="AE527" s="66"/>
      <c r="AF527" s="66"/>
      <c r="AG527" s="66"/>
      <c r="AH527" s="66"/>
      <c r="AI527" s="66"/>
      <c r="AJ527" s="66">
        <v>1</v>
      </c>
      <c r="AK527" s="66"/>
      <c r="AL527" s="54">
        <f>IF((AC527-SUM(AE527:AK527))&lt;0,0,AC527-SUM(AE527:AK527))</f>
        <v>0</v>
      </c>
      <c r="AM527" s="69">
        <f>SUM(AN527:AT527)</f>
        <v>0</v>
      </c>
      <c r="AN527" s="60"/>
      <c r="AO527" s="52"/>
      <c r="AP527" s="52"/>
      <c r="AQ527" s="52"/>
      <c r="AR527" s="52"/>
      <c r="AS527" s="52"/>
      <c r="AT527" s="61"/>
      <c r="AU527" s="77">
        <f>MAX(0,$AM527-$AC527-$AW527)</f>
        <v>0</v>
      </c>
      <c r="AV527" s="54"/>
      <c r="AW527" s="54"/>
      <c r="AX527" s="65">
        <v>0</v>
      </c>
      <c r="AY527" s="78">
        <f>IF(AND($AU527&gt;0,ISNUMBER($AX527)),$AU527*$AX527,0)</f>
        <v>0</v>
      </c>
      <c r="AZ527" s="46"/>
      <c r="BA527" s="52"/>
      <c r="BB527" s="52"/>
      <c r="BC527" s="52"/>
      <c r="BD527" s="52"/>
      <c r="BE527" s="52" t="s">
        <v>517</v>
      </c>
      <c r="BF527" s="52"/>
    </row>
    <row r="528" spans="1:58" ht="15" customHeight="1">
      <c r="A528" s="46" t="s">
        <v>3078</v>
      </c>
      <c r="B528" s="76" t="s">
        <v>3079</v>
      </c>
      <c r="C528" s="77" t="s">
        <v>101</v>
      </c>
      <c r="D528" s="74">
        <v>3</v>
      </c>
      <c r="E528" s="76" t="s">
        <v>2971</v>
      </c>
      <c r="F528" s="50"/>
      <c r="G528" s="50"/>
      <c r="H528" s="51"/>
      <c r="I528" s="50" t="s">
        <v>3080</v>
      </c>
      <c r="J528" s="54" t="s">
        <v>73</v>
      </c>
      <c r="K528" s="50" t="s">
        <v>104</v>
      </c>
      <c r="L528" s="50" t="s">
        <v>3081</v>
      </c>
      <c r="M528" s="50" t="s">
        <v>2974</v>
      </c>
      <c r="N528" s="50"/>
      <c r="O528" s="54"/>
      <c r="P528" s="56" t="s">
        <v>185</v>
      </c>
      <c r="Q528" s="50" t="s">
        <v>691</v>
      </c>
      <c r="R528" s="50" t="s">
        <v>3082</v>
      </c>
      <c r="S528" s="50">
        <v>1</v>
      </c>
      <c r="T528" s="50">
        <v>0</v>
      </c>
      <c r="U528" s="56" t="s">
        <v>3083</v>
      </c>
      <c r="V528" s="57">
        <v>1.28</v>
      </c>
      <c r="W528" s="56"/>
      <c r="X528" s="50"/>
      <c r="Y528" s="50"/>
      <c r="Z528" s="50"/>
      <c r="AA528" s="56"/>
      <c r="AB528" s="57"/>
      <c r="AC528" s="54">
        <v>1</v>
      </c>
      <c r="AD528" s="69">
        <f>SUM(AE528:AK528)</f>
        <v>0</v>
      </c>
      <c r="AE528" s="66"/>
      <c r="AF528" s="66"/>
      <c r="AG528" s="66"/>
      <c r="AH528" s="66"/>
      <c r="AI528" s="66"/>
      <c r="AJ528" s="66"/>
      <c r="AK528" s="66"/>
      <c r="AL528" s="54">
        <f>IF((AC528-SUM(AE528:AK528))&lt;0,0,AC528-SUM(AE528:AK528))</f>
        <v>1</v>
      </c>
      <c r="AM528" s="69">
        <f>SUM(AN528:AT528)</f>
        <v>0</v>
      </c>
      <c r="AN528" s="60"/>
      <c r="AO528" s="52"/>
      <c r="AP528" s="52"/>
      <c r="AQ528" s="52"/>
      <c r="AR528" s="52"/>
      <c r="AS528" s="52"/>
      <c r="AT528" s="61"/>
      <c r="AU528" s="77">
        <f>MAX(0,$AM528-$AC528-$AW528)</f>
        <v>0</v>
      </c>
      <c r="AV528" s="54"/>
      <c r="AW528" s="54"/>
      <c r="AX528" s="65">
        <v>0</v>
      </c>
      <c r="AY528" s="78">
        <f>IF(AND($AU528&gt;0,ISNUMBER($AX528)),$AU528*$AX528,0)</f>
        <v>0</v>
      </c>
      <c r="AZ528" s="46"/>
      <c r="BA528" s="52"/>
      <c r="BB528" s="52"/>
      <c r="BC528" s="52"/>
      <c r="BD528" s="52"/>
      <c r="BE528" s="52"/>
      <c r="BF528" s="52"/>
    </row>
    <row r="529" spans="1:58" ht="15" customHeight="1">
      <c r="A529" s="46" t="s">
        <v>3084</v>
      </c>
      <c r="B529" s="76" t="s">
        <v>3085</v>
      </c>
      <c r="C529" s="77" t="s">
        <v>181</v>
      </c>
      <c r="D529" s="74">
        <v>5</v>
      </c>
      <c r="E529" s="76" t="s">
        <v>110</v>
      </c>
      <c r="F529" s="50">
        <v>9</v>
      </c>
      <c r="G529" s="50">
        <v>3</v>
      </c>
      <c r="H529" s="51" t="s">
        <v>3086</v>
      </c>
      <c r="I529" s="50" t="s">
        <v>3087</v>
      </c>
      <c r="J529" s="54" t="s">
        <v>73</v>
      </c>
      <c r="K529" s="50" t="s">
        <v>676</v>
      </c>
      <c r="L529" s="50" t="s">
        <v>3088</v>
      </c>
      <c r="M529" s="50"/>
      <c r="N529" s="50"/>
      <c r="O529" s="56">
        <v>2517</v>
      </c>
      <c r="P529" s="56" t="s">
        <v>185</v>
      </c>
      <c r="Q529" s="50" t="s">
        <v>691</v>
      </c>
      <c r="R529" s="50" t="s">
        <v>3089</v>
      </c>
      <c r="S529" s="50">
        <v>1</v>
      </c>
      <c r="T529" s="50">
        <v>0</v>
      </c>
      <c r="U529" s="56" t="s">
        <v>3090</v>
      </c>
      <c r="V529" s="57">
        <v>1.28</v>
      </c>
      <c r="W529" s="56"/>
      <c r="X529" s="50"/>
      <c r="Y529" s="50"/>
      <c r="Z529" s="50"/>
      <c r="AA529" s="56"/>
      <c r="AB529" s="57"/>
      <c r="AC529" s="54">
        <v>1</v>
      </c>
      <c r="AD529" s="69">
        <f>SUM(AE529:AK529)</f>
        <v>0</v>
      </c>
      <c r="AE529" s="66"/>
      <c r="AF529" s="66"/>
      <c r="AG529" s="66"/>
      <c r="AH529" s="66"/>
      <c r="AI529" s="66"/>
      <c r="AJ529" s="66"/>
      <c r="AK529" s="66"/>
      <c r="AL529" s="54">
        <f>IF((AC529-SUM(AE529:AK529))&lt;0,0,AC529-SUM(AE529:AK529))</f>
        <v>1</v>
      </c>
      <c r="AM529" s="69">
        <f>SUM(AN529:AT529)</f>
        <v>0</v>
      </c>
      <c r="AN529" s="60"/>
      <c r="AO529" s="52"/>
      <c r="AP529" s="52"/>
      <c r="AQ529" s="52"/>
      <c r="AR529" s="52"/>
      <c r="AS529" s="52"/>
      <c r="AT529" s="61"/>
      <c r="AU529" s="77">
        <f>MAX(0,$AM529-$AC529-$AW529)</f>
        <v>0</v>
      </c>
      <c r="AV529" s="54"/>
      <c r="AW529" s="54"/>
      <c r="AX529" s="65">
        <v>0</v>
      </c>
      <c r="AY529" s="78">
        <f>IF(AND($AU529&gt;0,ISNUMBER($AX529)),$AU529*$AX529,0)</f>
        <v>0</v>
      </c>
      <c r="AZ529" s="46"/>
      <c r="BA529" s="52"/>
      <c r="BB529" s="52"/>
      <c r="BC529" s="52"/>
      <c r="BD529" s="52"/>
      <c r="BE529" s="52"/>
      <c r="BF529" s="52"/>
    </row>
    <row r="530" spans="1:58" ht="15" customHeight="1">
      <c r="A530" s="46" t="s">
        <v>3091</v>
      </c>
      <c r="B530" s="76" t="s">
        <v>3092</v>
      </c>
      <c r="C530" s="77" t="s">
        <v>70</v>
      </c>
      <c r="D530" s="74">
        <v>2</v>
      </c>
      <c r="E530" s="76" t="s">
        <v>71</v>
      </c>
      <c r="F530" s="50"/>
      <c r="G530" s="50"/>
      <c r="H530" s="51"/>
      <c r="I530" s="50" t="s">
        <v>3093</v>
      </c>
      <c r="J530" s="54" t="s">
        <v>73</v>
      </c>
      <c r="K530" s="50" t="s">
        <v>386</v>
      </c>
      <c r="L530" s="50" t="s">
        <v>1606</v>
      </c>
      <c r="M530" s="50" t="s">
        <v>3094</v>
      </c>
      <c r="N530" s="50"/>
      <c r="O530" s="54"/>
      <c r="P530" s="56" t="s">
        <v>76</v>
      </c>
      <c r="Q530" s="50" t="s">
        <v>691</v>
      </c>
      <c r="R530" s="50" t="s">
        <v>3095</v>
      </c>
      <c r="S530" s="50">
        <v>1</v>
      </c>
      <c r="T530" s="50">
        <v>0</v>
      </c>
      <c r="U530" s="56" t="s">
        <v>1142</v>
      </c>
      <c r="V530" s="57">
        <v>1.26</v>
      </c>
      <c r="W530" s="56"/>
      <c r="X530" s="50"/>
      <c r="Y530" s="50"/>
      <c r="Z530" s="50"/>
      <c r="AA530" s="56"/>
      <c r="AB530" s="57"/>
      <c r="AC530" s="54">
        <v>1</v>
      </c>
      <c r="AD530" s="69">
        <f>SUM(AE530:AK530)</f>
        <v>0</v>
      </c>
      <c r="AE530" s="66"/>
      <c r="AF530" s="66"/>
      <c r="AG530" s="66"/>
      <c r="AH530" s="66"/>
      <c r="AI530" s="66"/>
      <c r="AJ530" s="66"/>
      <c r="AK530" s="66"/>
      <c r="AL530" s="54">
        <f>IF((AC530-SUM(AE530:AK530))&lt;0,0,AC530-SUM(AE530:AK530))</f>
        <v>1</v>
      </c>
      <c r="AM530" s="69">
        <f>SUM(AN530:AT530)</f>
        <v>0</v>
      </c>
      <c r="AN530" s="60"/>
      <c r="AO530" s="52"/>
      <c r="AP530" s="52"/>
      <c r="AQ530" s="52"/>
      <c r="AR530" s="52"/>
      <c r="AS530" s="52"/>
      <c r="AT530" s="61"/>
      <c r="AU530" s="77">
        <f>MAX(0,$AM530-$AC530-$AW530)</f>
        <v>0</v>
      </c>
      <c r="AV530" s="54"/>
      <c r="AW530" s="54"/>
      <c r="AX530" s="65">
        <v>0</v>
      </c>
      <c r="AY530" s="78">
        <f>IF(AND($AU530&gt;0,ISNUMBER($AX530)),$AU530*$AX530,0)</f>
        <v>0</v>
      </c>
      <c r="AZ530" s="46"/>
      <c r="BA530" s="52"/>
      <c r="BB530" s="52"/>
      <c r="BC530" s="52"/>
      <c r="BD530" s="52"/>
      <c r="BE530" s="52"/>
      <c r="BF530" s="52"/>
    </row>
    <row r="531" spans="1:58" ht="15" customHeight="1">
      <c r="A531" s="46" t="s">
        <v>3096</v>
      </c>
      <c r="B531" s="76" t="s">
        <v>3097</v>
      </c>
      <c r="C531" s="77" t="s">
        <v>118</v>
      </c>
      <c r="D531" s="74">
        <v>4</v>
      </c>
      <c r="E531" s="76" t="s">
        <v>2971</v>
      </c>
      <c r="F531" s="50"/>
      <c r="G531" s="50"/>
      <c r="H531" s="51"/>
      <c r="I531" s="50" t="s">
        <v>3098</v>
      </c>
      <c r="J531" s="54" t="s">
        <v>73</v>
      </c>
      <c r="K531" s="50" t="s">
        <v>129</v>
      </c>
      <c r="L531" s="50" t="s">
        <v>3099</v>
      </c>
      <c r="M531" s="50" t="s">
        <v>2974</v>
      </c>
      <c r="N531" s="50"/>
      <c r="O531" s="54"/>
      <c r="P531" s="56" t="s">
        <v>185</v>
      </c>
      <c r="Q531" s="50" t="s">
        <v>691</v>
      </c>
      <c r="R531" s="50" t="s">
        <v>3100</v>
      </c>
      <c r="S531" s="50">
        <v>1</v>
      </c>
      <c r="T531" s="50">
        <v>0</v>
      </c>
      <c r="U531" s="56" t="s">
        <v>3101</v>
      </c>
      <c r="V531" s="57">
        <v>1.22</v>
      </c>
      <c r="W531" s="56"/>
      <c r="X531" s="50"/>
      <c r="Y531" s="50"/>
      <c r="Z531" s="50"/>
      <c r="AA531" s="56"/>
      <c r="AB531" s="57"/>
      <c r="AC531" s="54">
        <v>1</v>
      </c>
      <c r="AD531" s="69">
        <f>SUM(AE531:AK531)</f>
        <v>0</v>
      </c>
      <c r="AE531" s="66"/>
      <c r="AF531" s="66"/>
      <c r="AG531" s="66"/>
      <c r="AH531" s="66"/>
      <c r="AI531" s="66"/>
      <c r="AJ531" s="66"/>
      <c r="AK531" s="66"/>
      <c r="AL531" s="54">
        <f>IF((AC531-SUM(AE531:AK531))&lt;0,0,AC531-SUM(AE531:AK531))</f>
        <v>1</v>
      </c>
      <c r="AM531" s="69">
        <f>SUM(AN531:AT531)</f>
        <v>0</v>
      </c>
      <c r="AN531" s="60"/>
      <c r="AO531" s="52"/>
      <c r="AP531" s="52"/>
      <c r="AQ531" s="52"/>
      <c r="AR531" s="52"/>
      <c r="AS531" s="52"/>
      <c r="AT531" s="61"/>
      <c r="AU531" s="77">
        <f>MAX(0,$AM531-$AC531-$AW531)</f>
        <v>0</v>
      </c>
      <c r="AV531" s="54"/>
      <c r="AW531" s="54"/>
      <c r="AX531" s="65">
        <v>0</v>
      </c>
      <c r="AY531" s="78">
        <f>IF(AND($AU531&gt;0,ISNUMBER($AX531)),$AU531*$AX531,0)</f>
        <v>0</v>
      </c>
      <c r="AZ531" s="46"/>
      <c r="BA531" s="52"/>
      <c r="BB531" s="52"/>
      <c r="BC531" s="52"/>
      <c r="BD531" s="52"/>
      <c r="BE531" s="52"/>
      <c r="BF531" s="52"/>
    </row>
    <row r="532" spans="1:58" ht="15" customHeight="1">
      <c r="A532" s="46" t="s">
        <v>3102</v>
      </c>
      <c r="B532" s="76" t="s">
        <v>3103</v>
      </c>
      <c r="C532" s="77" t="s">
        <v>181</v>
      </c>
      <c r="D532" s="74">
        <v>2</v>
      </c>
      <c r="E532" s="76" t="s">
        <v>2971</v>
      </c>
      <c r="F532" s="50"/>
      <c r="G532" s="50"/>
      <c r="H532" s="51"/>
      <c r="I532" s="50" t="s">
        <v>3104</v>
      </c>
      <c r="J532" s="54" t="s">
        <v>73</v>
      </c>
      <c r="K532" s="50" t="s">
        <v>550</v>
      </c>
      <c r="L532" s="50" t="s">
        <v>3105</v>
      </c>
      <c r="M532" s="50" t="s">
        <v>3106</v>
      </c>
      <c r="N532" s="50"/>
      <c r="O532" s="54"/>
      <c r="P532" s="56" t="s">
        <v>185</v>
      </c>
      <c r="Q532" s="50" t="s">
        <v>691</v>
      </c>
      <c r="R532" s="50" t="s">
        <v>3107</v>
      </c>
      <c r="S532" s="50">
        <v>1</v>
      </c>
      <c r="T532" s="50">
        <v>0</v>
      </c>
      <c r="U532" s="56" t="s">
        <v>3101</v>
      </c>
      <c r="V532" s="57">
        <v>1.22</v>
      </c>
      <c r="W532" s="56"/>
      <c r="X532" s="50"/>
      <c r="Y532" s="50"/>
      <c r="Z532" s="50"/>
      <c r="AA532" s="56"/>
      <c r="AB532" s="57"/>
      <c r="AC532" s="54">
        <v>1</v>
      </c>
      <c r="AD532" s="69">
        <f>SUM(AE532:AK532)</f>
        <v>0</v>
      </c>
      <c r="AE532" s="66"/>
      <c r="AF532" s="66"/>
      <c r="AG532" s="66"/>
      <c r="AH532" s="66"/>
      <c r="AI532" s="66"/>
      <c r="AJ532" s="66"/>
      <c r="AK532" s="66"/>
      <c r="AL532" s="54">
        <f>IF((AC532-SUM(AE532:AK532))&lt;0,0,AC532-SUM(AE532:AK532))</f>
        <v>1</v>
      </c>
      <c r="AM532" s="69">
        <f>SUM(AN532:AT532)</f>
        <v>0</v>
      </c>
      <c r="AN532" s="60"/>
      <c r="AO532" s="52"/>
      <c r="AP532" s="52"/>
      <c r="AQ532" s="52"/>
      <c r="AR532" s="52"/>
      <c r="AS532" s="52"/>
      <c r="AT532" s="61"/>
      <c r="AU532" s="77">
        <f>MAX(0,$AM532-$AC532-$AW532)</f>
        <v>0</v>
      </c>
      <c r="AV532" s="54"/>
      <c r="AW532" s="54"/>
      <c r="AX532" s="65">
        <v>0</v>
      </c>
      <c r="AY532" s="78">
        <f>IF(AND($AU532&gt;0,ISNUMBER($AX532)),$AU532*$AX532,0)</f>
        <v>0</v>
      </c>
      <c r="AZ532" s="46"/>
      <c r="BA532" s="52"/>
      <c r="BB532" s="52"/>
      <c r="BC532" s="52"/>
      <c r="BD532" s="52"/>
      <c r="BE532" s="52"/>
      <c r="BF532" s="52"/>
    </row>
    <row r="533" spans="1:58" ht="15" customHeight="1">
      <c r="A533" s="46" t="s">
        <v>3108</v>
      </c>
      <c r="B533" s="76" t="s">
        <v>3109</v>
      </c>
      <c r="C533" s="54" t="s">
        <v>181</v>
      </c>
      <c r="D533" s="74">
        <v>3</v>
      </c>
      <c r="E533" s="50" t="s">
        <v>110</v>
      </c>
      <c r="F533" s="50">
        <v>5</v>
      </c>
      <c r="G533" s="50">
        <v>5</v>
      </c>
      <c r="H533" s="51" t="s">
        <v>584</v>
      </c>
      <c r="I533" s="50" t="s">
        <v>3110</v>
      </c>
      <c r="J533" s="54" t="s">
        <v>73</v>
      </c>
      <c r="K533" s="50" t="s">
        <v>135</v>
      </c>
      <c r="L533" s="50" t="s">
        <v>3111</v>
      </c>
      <c r="M533" s="50" t="s">
        <v>3112</v>
      </c>
      <c r="N533" s="50"/>
      <c r="O533" s="56">
        <v>6606</v>
      </c>
      <c r="P533" s="56" t="s">
        <v>185</v>
      </c>
      <c r="Q533" s="50" t="s">
        <v>691</v>
      </c>
      <c r="R533" s="50" t="s">
        <v>3113</v>
      </c>
      <c r="S533" s="50">
        <v>1</v>
      </c>
      <c r="T533" s="50">
        <v>0</v>
      </c>
      <c r="U533" s="56" t="s">
        <v>1283</v>
      </c>
      <c r="V533" s="57">
        <v>1.2</v>
      </c>
      <c r="W533" s="56"/>
      <c r="X533" s="50"/>
      <c r="Y533" s="50"/>
      <c r="Z533" s="50"/>
      <c r="AA533" s="56"/>
      <c r="AB533" s="57"/>
      <c r="AC533" s="54">
        <v>1</v>
      </c>
      <c r="AD533" s="69">
        <f>SUM(AE533:AK533)</f>
        <v>0</v>
      </c>
      <c r="AE533" s="66"/>
      <c r="AF533" s="66"/>
      <c r="AG533" s="66"/>
      <c r="AH533" s="66"/>
      <c r="AI533" s="66"/>
      <c r="AJ533" s="66"/>
      <c r="AK533" s="66"/>
      <c r="AL533" s="54">
        <f>IF((AC533-SUM(AE533:AK533))&lt;0,0,AC533-SUM(AE533:AK533))</f>
        <v>1</v>
      </c>
      <c r="AM533" s="69">
        <f>SUM(AN533:AT533)</f>
        <v>0</v>
      </c>
      <c r="AN533" s="60"/>
      <c r="AO533" s="52"/>
      <c r="AP533" s="52"/>
      <c r="AQ533" s="52"/>
      <c r="AR533" s="52"/>
      <c r="AS533" s="52"/>
      <c r="AT533" s="61"/>
      <c r="AU533" s="54">
        <f>MAX(0,$AM533-$AC533-$AW533)</f>
        <v>0</v>
      </c>
      <c r="AV533" s="54"/>
      <c r="AW533" s="54"/>
      <c r="AX533" s="65">
        <v>0</v>
      </c>
      <c r="AY533" s="57">
        <f>IF(AND($AU533&gt;0,ISNUMBER($AX533)),$AU533*$AX533,0)</f>
        <v>0</v>
      </c>
      <c r="AZ533" s="46"/>
      <c r="BA533" s="52"/>
      <c r="BB533" s="52"/>
      <c r="BC533" s="52"/>
      <c r="BD533" s="52"/>
      <c r="BE533" s="52"/>
      <c r="BF533" s="52"/>
    </row>
    <row r="534" spans="1:58" ht="15" customHeight="1">
      <c r="A534" s="46" t="s">
        <v>3114</v>
      </c>
      <c r="B534" s="76" t="s">
        <v>3115</v>
      </c>
      <c r="C534" s="54" t="s">
        <v>118</v>
      </c>
      <c r="D534" s="74">
        <v>4</v>
      </c>
      <c r="E534" s="50" t="s">
        <v>110</v>
      </c>
      <c r="F534" s="50">
        <v>3</v>
      </c>
      <c r="G534" s="50">
        <v>3</v>
      </c>
      <c r="H534" s="51" t="s">
        <v>1232</v>
      </c>
      <c r="I534" s="50" t="s">
        <v>3116</v>
      </c>
      <c r="J534" s="54" t="s">
        <v>73</v>
      </c>
      <c r="K534" s="56" t="s">
        <v>676</v>
      </c>
      <c r="L534" s="56" t="s">
        <v>3117</v>
      </c>
      <c r="M534" s="56"/>
      <c r="N534" s="56"/>
      <c r="O534" s="56">
        <v>578</v>
      </c>
      <c r="P534" s="56" t="s">
        <v>86</v>
      </c>
      <c r="Q534" s="56" t="s">
        <v>1924</v>
      </c>
      <c r="R534" s="50"/>
      <c r="S534" s="50"/>
      <c r="T534" s="50"/>
      <c r="U534" s="56"/>
      <c r="V534" s="57">
        <v>1.2</v>
      </c>
      <c r="W534" s="68"/>
      <c r="X534" s="50"/>
      <c r="Y534" s="50"/>
      <c r="Z534" s="50"/>
      <c r="AA534" s="56"/>
      <c r="AB534" s="57"/>
      <c r="AC534" s="54">
        <v>1</v>
      </c>
      <c r="AD534" s="69">
        <f>SUM(AE534:AK534)</f>
        <v>1</v>
      </c>
      <c r="AE534" s="66"/>
      <c r="AF534" s="66"/>
      <c r="AG534" s="66"/>
      <c r="AH534" s="66"/>
      <c r="AI534" s="66">
        <v>1</v>
      </c>
      <c r="AJ534" s="66"/>
      <c r="AK534" s="66"/>
      <c r="AL534" s="54">
        <f>IF((AC534-SUM(AE534:AK534))&lt;0,0,AC534-SUM(AE534:AK534))</f>
        <v>0</v>
      </c>
      <c r="AM534" s="69">
        <f>SUM(AN534:AT534)</f>
        <v>1</v>
      </c>
      <c r="AN534" s="60"/>
      <c r="AO534" s="52"/>
      <c r="AP534" s="52"/>
      <c r="AQ534" s="52"/>
      <c r="AR534" s="52">
        <v>1</v>
      </c>
      <c r="AS534" s="52"/>
      <c r="AT534" s="61"/>
      <c r="AU534" s="54">
        <f>MAX(0,$AM534-$AC534-$AW534)</f>
        <v>0</v>
      </c>
      <c r="AV534" s="54"/>
      <c r="AW534" s="54"/>
      <c r="AX534" s="65">
        <v>0</v>
      </c>
      <c r="AY534" s="57">
        <f>IF(AND($AU534&gt;0,ISNUMBER($AX534)),$AU534*$AX534,0)</f>
        <v>0</v>
      </c>
      <c r="AZ534" s="46"/>
      <c r="BA534" s="52"/>
      <c r="BB534" s="52"/>
      <c r="BC534" s="52"/>
      <c r="BD534" s="52"/>
      <c r="BE534" s="52"/>
      <c r="BF534" s="52"/>
    </row>
    <row r="535" spans="1:58" ht="15" customHeight="1">
      <c r="A535" s="46" t="s">
        <v>3118</v>
      </c>
      <c r="B535" s="76" t="s">
        <v>3119</v>
      </c>
      <c r="C535" s="54" t="s">
        <v>181</v>
      </c>
      <c r="D535" s="74">
        <v>3</v>
      </c>
      <c r="E535" s="50" t="s">
        <v>81</v>
      </c>
      <c r="F535" s="50">
        <v>1</v>
      </c>
      <c r="G535" s="50">
        <v>4</v>
      </c>
      <c r="H535" s="51" t="s">
        <v>3120</v>
      </c>
      <c r="I535" s="50" t="s">
        <v>3121</v>
      </c>
      <c r="J535" s="54" t="s">
        <v>73</v>
      </c>
      <c r="K535" s="50" t="s">
        <v>273</v>
      </c>
      <c r="L535" s="50" t="s">
        <v>3122</v>
      </c>
      <c r="M535" s="50" t="s">
        <v>136</v>
      </c>
      <c r="N535" s="50"/>
      <c r="O535" s="54"/>
      <c r="P535" s="56" t="s">
        <v>76</v>
      </c>
      <c r="Q535" s="50" t="s">
        <v>691</v>
      </c>
      <c r="R535" s="50" t="s">
        <v>875</v>
      </c>
      <c r="S535" s="50">
        <v>1</v>
      </c>
      <c r="T535" s="50">
        <v>0</v>
      </c>
      <c r="U535" s="56" t="s">
        <v>1698</v>
      </c>
      <c r="V535" s="57">
        <v>1.18</v>
      </c>
      <c r="W535" s="56"/>
      <c r="X535" s="50"/>
      <c r="Y535" s="50"/>
      <c r="Z535" s="50"/>
      <c r="AA535" s="56"/>
      <c r="AB535" s="57"/>
      <c r="AC535" s="54">
        <v>1</v>
      </c>
      <c r="AD535" s="69">
        <f>SUM(AE535:AK535)</f>
        <v>0</v>
      </c>
      <c r="AE535" s="66"/>
      <c r="AF535" s="66"/>
      <c r="AG535" s="66"/>
      <c r="AH535" s="66"/>
      <c r="AI535" s="66"/>
      <c r="AJ535" s="66"/>
      <c r="AK535" s="66"/>
      <c r="AL535" s="54">
        <f>IF((AC535-SUM(AE535:AK535))&lt;0,0,AC535-SUM(AE535:AK535))</f>
        <v>1</v>
      </c>
      <c r="AM535" s="69">
        <f>SUM(AN535:AT535)</f>
        <v>0</v>
      </c>
      <c r="AN535" s="60"/>
      <c r="AO535" s="52"/>
      <c r="AP535" s="52"/>
      <c r="AQ535" s="52"/>
      <c r="AR535" s="52"/>
      <c r="AS535" s="52"/>
      <c r="AT535" s="61"/>
      <c r="AU535" s="54">
        <f>MAX(0,$AM535-$AC535-$AW535)</f>
        <v>0</v>
      </c>
      <c r="AV535" s="54"/>
      <c r="AW535" s="54"/>
      <c r="AX535" s="65">
        <v>0</v>
      </c>
      <c r="AY535" s="57">
        <f>IF(AND($AU535&gt;0,ISNUMBER($AX535)),$AU535*$AX535,0)</f>
        <v>0</v>
      </c>
      <c r="AZ535" s="46"/>
      <c r="BA535" s="52"/>
      <c r="BB535" s="52"/>
      <c r="BC535" s="52"/>
      <c r="BD535" s="52"/>
      <c r="BE535" s="52"/>
      <c r="BF535" s="52"/>
    </row>
    <row r="536" spans="1:58" ht="15" customHeight="1">
      <c r="A536" s="46" t="s">
        <v>3123</v>
      </c>
      <c r="B536" s="76" t="s">
        <v>3124</v>
      </c>
      <c r="C536" s="54" t="s">
        <v>311</v>
      </c>
      <c r="D536" s="74">
        <v>0</v>
      </c>
      <c r="E536" s="50" t="s">
        <v>312</v>
      </c>
      <c r="F536" s="50"/>
      <c r="G536" s="50"/>
      <c r="H536" s="51"/>
      <c r="I536" s="50" t="s">
        <v>3125</v>
      </c>
      <c r="J536" s="54" t="s">
        <v>73</v>
      </c>
      <c r="K536" s="56" t="s">
        <v>312</v>
      </c>
      <c r="L536" s="56" t="s">
        <v>1358</v>
      </c>
      <c r="M536" s="56" t="s">
        <v>3126</v>
      </c>
      <c r="N536" s="56"/>
      <c r="O536" s="54"/>
      <c r="P536" s="56" t="s">
        <v>86</v>
      </c>
      <c r="Q536" s="56" t="s">
        <v>2192</v>
      </c>
      <c r="R536" s="50"/>
      <c r="S536" s="50"/>
      <c r="T536" s="50"/>
      <c r="U536" s="56"/>
      <c r="V536" s="57">
        <v>1.18</v>
      </c>
      <c r="W536" s="68"/>
      <c r="X536" s="50"/>
      <c r="Y536" s="50"/>
      <c r="Z536" s="50"/>
      <c r="AA536" s="56"/>
      <c r="AB536" s="57"/>
      <c r="AC536" s="54">
        <v>1</v>
      </c>
      <c r="AD536" s="69">
        <f>SUM(AE536:AK536)</f>
        <v>1</v>
      </c>
      <c r="AE536" s="66"/>
      <c r="AF536" s="66"/>
      <c r="AG536" s="66"/>
      <c r="AH536" s="66">
        <v>1</v>
      </c>
      <c r="AI536" s="66"/>
      <c r="AJ536" s="66"/>
      <c r="AK536" s="66"/>
      <c r="AL536" s="54">
        <f>IF((AC536-SUM(AE536:AK536))&lt;0,0,AC536-SUM(AE536:AK536))</f>
        <v>0</v>
      </c>
      <c r="AM536" s="69">
        <f>SUM(AN536:AT536)</f>
        <v>1</v>
      </c>
      <c r="AN536" s="60"/>
      <c r="AO536" s="52"/>
      <c r="AP536" s="52"/>
      <c r="AQ536" s="52">
        <v>1</v>
      </c>
      <c r="AR536" s="52"/>
      <c r="AS536" s="52"/>
      <c r="AT536" s="61"/>
      <c r="AU536" s="54">
        <f>MAX(0,$AM536-$AC536-$AW536)</f>
        <v>0</v>
      </c>
      <c r="AV536" s="54"/>
      <c r="AW536" s="54"/>
      <c r="AX536" s="65">
        <v>0</v>
      </c>
      <c r="AY536" s="57">
        <f>IF(AND($AU536&gt;0,ISNUMBER($AX536)),$AU536*$AX536,0)</f>
        <v>0</v>
      </c>
      <c r="AZ536" s="46"/>
      <c r="BA536" s="52"/>
      <c r="BB536" s="52"/>
      <c r="BC536" s="52"/>
      <c r="BD536" s="52"/>
      <c r="BE536" s="52"/>
      <c r="BF536" s="52"/>
    </row>
    <row r="537" spans="1:58" ht="15" customHeight="1">
      <c r="A537" s="46" t="s">
        <v>3127</v>
      </c>
      <c r="B537" s="79" t="s">
        <v>3128</v>
      </c>
      <c r="C537" s="52" t="s">
        <v>109</v>
      </c>
      <c r="D537" s="75">
        <v>4</v>
      </c>
      <c r="E537" s="46" t="s">
        <v>233</v>
      </c>
      <c r="F537" s="50"/>
      <c r="G537" s="50"/>
      <c r="H537" s="51"/>
      <c r="I537" s="50" t="s">
        <v>3129</v>
      </c>
      <c r="J537" s="52" t="s">
        <v>73</v>
      </c>
      <c r="K537" s="46" t="s">
        <v>104</v>
      </c>
      <c r="L537" s="50" t="s">
        <v>3130</v>
      </c>
      <c r="M537" s="50" t="s">
        <v>3131</v>
      </c>
      <c r="N537" s="50"/>
      <c r="O537" s="54"/>
      <c r="P537" s="56" t="s">
        <v>86</v>
      </c>
      <c r="Q537" s="46" t="s">
        <v>645</v>
      </c>
      <c r="R537" s="75" t="s">
        <v>3132</v>
      </c>
      <c r="S537" s="75">
        <v>1</v>
      </c>
      <c r="T537" s="75">
        <v>0</v>
      </c>
      <c r="U537" s="56"/>
      <c r="V537" s="57">
        <v>1.18</v>
      </c>
      <c r="W537" s="68"/>
      <c r="X537" s="50"/>
      <c r="Y537" s="46"/>
      <c r="Z537" s="46"/>
      <c r="AA537" s="56"/>
      <c r="AB537" s="57"/>
      <c r="AC537" s="54">
        <v>1</v>
      </c>
      <c r="AD537" s="69">
        <f>SUM(AE537:AK537)</f>
        <v>0</v>
      </c>
      <c r="AE537" s="66"/>
      <c r="AF537" s="66"/>
      <c r="AG537" s="66"/>
      <c r="AH537" s="66"/>
      <c r="AI537" s="66"/>
      <c r="AJ537" s="66"/>
      <c r="AK537" s="66"/>
      <c r="AL537" s="54">
        <f>IF((AC537-SUM(AE537:AK537))&lt;0,0,AC537-SUM(AE537:AK537))</f>
        <v>1</v>
      </c>
      <c r="AM537" s="69">
        <f>SUM(AN537:AT537)</f>
        <v>0</v>
      </c>
      <c r="AN537" s="60"/>
      <c r="AO537" s="52"/>
      <c r="AP537" s="52"/>
      <c r="AQ537" s="52"/>
      <c r="AR537" s="52"/>
      <c r="AS537" s="52"/>
      <c r="AT537" s="61"/>
      <c r="AU537" s="54">
        <f>MAX(0,$AM537-$AC537-$AW537)</f>
        <v>0</v>
      </c>
      <c r="AV537" s="52"/>
      <c r="AW537" s="52"/>
      <c r="AX537" s="65">
        <v>0</v>
      </c>
      <c r="AY537" s="57">
        <f>IF(AND($AU537&gt;0,ISNUMBER($AX537)),$AU537*$AX537,0)</f>
        <v>0</v>
      </c>
      <c r="AZ537" s="46"/>
      <c r="BA537" s="52"/>
      <c r="BB537" s="52"/>
      <c r="BC537" s="52"/>
      <c r="BD537" s="52"/>
      <c r="BE537" s="52"/>
      <c r="BF537" s="52"/>
    </row>
    <row r="538" spans="1:58" ht="15" customHeight="1">
      <c r="A538" s="46" t="s">
        <v>3133</v>
      </c>
      <c r="B538" s="76" t="s">
        <v>3134</v>
      </c>
      <c r="C538" s="54" t="s">
        <v>118</v>
      </c>
      <c r="D538" s="74">
        <v>3</v>
      </c>
      <c r="E538" s="50" t="s">
        <v>110</v>
      </c>
      <c r="F538" s="50">
        <v>2</v>
      </c>
      <c r="G538" s="50">
        <v>2</v>
      </c>
      <c r="H538" s="51" t="s">
        <v>127</v>
      </c>
      <c r="I538" s="50" t="s">
        <v>3135</v>
      </c>
      <c r="J538" s="54" t="s">
        <v>73</v>
      </c>
      <c r="K538" s="50" t="s">
        <v>92</v>
      </c>
      <c r="L538" s="50" t="s">
        <v>3136</v>
      </c>
      <c r="M538" s="50" t="s">
        <v>3137</v>
      </c>
      <c r="N538" s="50"/>
      <c r="O538" s="56">
        <v>5278</v>
      </c>
      <c r="P538" s="56" t="s">
        <v>185</v>
      </c>
      <c r="Q538" s="50" t="s">
        <v>691</v>
      </c>
      <c r="R538" s="50" t="s">
        <v>3138</v>
      </c>
      <c r="S538" s="50">
        <v>1</v>
      </c>
      <c r="T538" s="50">
        <v>0</v>
      </c>
      <c r="U538" s="56" t="s">
        <v>1564</v>
      </c>
      <c r="V538" s="57">
        <v>1.17</v>
      </c>
      <c r="W538" s="56"/>
      <c r="X538" s="50"/>
      <c r="Y538" s="50"/>
      <c r="Z538" s="50"/>
      <c r="AA538" s="56"/>
      <c r="AB538" s="57"/>
      <c r="AC538" s="54">
        <v>1</v>
      </c>
      <c r="AD538" s="69">
        <f>SUM(AE538:AK538)</f>
        <v>0</v>
      </c>
      <c r="AE538" s="66"/>
      <c r="AF538" s="66"/>
      <c r="AG538" s="66"/>
      <c r="AH538" s="66"/>
      <c r="AI538" s="66"/>
      <c r="AJ538" s="66"/>
      <c r="AK538" s="66"/>
      <c r="AL538" s="54">
        <f>IF((AC538-SUM(AE538:AK538))&lt;0,0,AC538-SUM(AE538:AK538))</f>
        <v>1</v>
      </c>
      <c r="AM538" s="69">
        <f>SUM(AN538:AT538)</f>
        <v>0</v>
      </c>
      <c r="AN538" s="60"/>
      <c r="AO538" s="52"/>
      <c r="AP538" s="52"/>
      <c r="AQ538" s="52"/>
      <c r="AR538" s="52"/>
      <c r="AS538" s="52"/>
      <c r="AT538" s="61"/>
      <c r="AU538" s="54">
        <f>MAX(0,$AM538-$AC538-$AW538)</f>
        <v>0</v>
      </c>
      <c r="AV538" s="54"/>
      <c r="AW538" s="54"/>
      <c r="AX538" s="65">
        <v>0</v>
      </c>
      <c r="AY538" s="57">
        <f>IF(AND($AU538&gt;0,ISNUMBER($AX538)),$AU538*$AX538,0)</f>
        <v>0</v>
      </c>
      <c r="AZ538" s="46"/>
      <c r="BA538" s="52"/>
      <c r="BB538" s="52"/>
      <c r="BC538" s="52"/>
      <c r="BD538" s="52"/>
      <c r="BE538" s="52"/>
      <c r="BF538" s="52"/>
    </row>
    <row r="539" spans="1:58" ht="15" customHeight="1">
      <c r="A539" s="46" t="s">
        <v>3139</v>
      </c>
      <c r="B539" s="76" t="s">
        <v>3140</v>
      </c>
      <c r="C539" s="54" t="s">
        <v>101</v>
      </c>
      <c r="D539" s="74">
        <v>1</v>
      </c>
      <c r="E539" s="50" t="s">
        <v>81</v>
      </c>
      <c r="F539" s="50">
        <v>1</v>
      </c>
      <c r="G539" s="50">
        <v>1</v>
      </c>
      <c r="H539" s="51" t="s">
        <v>3141</v>
      </c>
      <c r="I539" s="50" t="s">
        <v>3142</v>
      </c>
      <c r="J539" s="54" t="s">
        <v>73</v>
      </c>
      <c r="K539" s="50" t="s">
        <v>104</v>
      </c>
      <c r="L539" s="50" t="s">
        <v>3143</v>
      </c>
      <c r="M539" s="50" t="s">
        <v>3144</v>
      </c>
      <c r="N539" s="50"/>
      <c r="O539" s="54"/>
      <c r="P539" s="56" t="s">
        <v>185</v>
      </c>
      <c r="Q539" s="50" t="s">
        <v>691</v>
      </c>
      <c r="R539" s="50" t="s">
        <v>3145</v>
      </c>
      <c r="S539" s="50">
        <v>1</v>
      </c>
      <c r="T539" s="50">
        <v>0</v>
      </c>
      <c r="U539" s="56" t="s">
        <v>1247</v>
      </c>
      <c r="V539" s="57">
        <v>1.1499999999999999</v>
      </c>
      <c r="W539" s="56"/>
      <c r="X539" s="50"/>
      <c r="Y539" s="50"/>
      <c r="Z539" s="50"/>
      <c r="AA539" s="56"/>
      <c r="AB539" s="57"/>
      <c r="AC539" s="54">
        <v>1</v>
      </c>
      <c r="AD539" s="69">
        <f>SUM(AE539:AK539)</f>
        <v>0</v>
      </c>
      <c r="AE539" s="66"/>
      <c r="AF539" s="66"/>
      <c r="AG539" s="66"/>
      <c r="AH539" s="66"/>
      <c r="AI539" s="66"/>
      <c r="AJ539" s="66"/>
      <c r="AK539" s="66"/>
      <c r="AL539" s="54">
        <f>IF((AC539-SUM(AE539:AK539))&lt;0,0,AC539-SUM(AE539:AK539))</f>
        <v>1</v>
      </c>
      <c r="AM539" s="69">
        <f>SUM(AN539:AT539)</f>
        <v>0</v>
      </c>
      <c r="AN539" s="60"/>
      <c r="AO539" s="52"/>
      <c r="AP539" s="52"/>
      <c r="AQ539" s="52"/>
      <c r="AR539" s="52"/>
      <c r="AS539" s="52"/>
      <c r="AT539" s="61"/>
      <c r="AU539" s="54">
        <f>MAX(0,$AM539-$AC539-$AW539)</f>
        <v>0</v>
      </c>
      <c r="AV539" s="54"/>
      <c r="AW539" s="54"/>
      <c r="AX539" s="65">
        <v>0</v>
      </c>
      <c r="AY539" s="57">
        <f>IF(AND($AU539&gt;0,ISNUMBER($AX539)),$AU539*$AX539,0)</f>
        <v>0</v>
      </c>
      <c r="AZ539" s="46"/>
      <c r="BA539" s="52"/>
      <c r="BB539" s="52"/>
      <c r="BC539" s="52"/>
      <c r="BD539" s="52"/>
      <c r="BE539" s="52"/>
      <c r="BF539" s="52"/>
    </row>
    <row r="540" spans="1:58" ht="15" customHeight="1">
      <c r="A540" s="46" t="s">
        <v>3146</v>
      </c>
      <c r="B540" s="76" t="s">
        <v>3147</v>
      </c>
      <c r="C540" s="54" t="s">
        <v>109</v>
      </c>
      <c r="D540" s="74">
        <v>3</v>
      </c>
      <c r="E540" s="50" t="s">
        <v>110</v>
      </c>
      <c r="F540" s="50">
        <v>2</v>
      </c>
      <c r="G540" s="50">
        <v>4</v>
      </c>
      <c r="H540" s="51" t="s">
        <v>3148</v>
      </c>
      <c r="I540" s="50" t="s">
        <v>3149</v>
      </c>
      <c r="J540" s="54" t="s">
        <v>73</v>
      </c>
      <c r="K540" s="50" t="s">
        <v>2888</v>
      </c>
      <c r="L540" s="50" t="s">
        <v>3150</v>
      </c>
      <c r="M540" s="50" t="s">
        <v>3151</v>
      </c>
      <c r="N540" s="50"/>
      <c r="O540" s="56">
        <v>3376</v>
      </c>
      <c r="P540" s="56" t="s">
        <v>185</v>
      </c>
      <c r="Q540" s="50" t="s">
        <v>691</v>
      </c>
      <c r="R540" s="50" t="s">
        <v>3152</v>
      </c>
      <c r="S540" s="50">
        <v>1</v>
      </c>
      <c r="T540" s="50">
        <v>0</v>
      </c>
      <c r="U540" s="56" t="s">
        <v>3153</v>
      </c>
      <c r="V540" s="57">
        <v>1.1200000000000001</v>
      </c>
      <c r="W540" s="56"/>
      <c r="X540" s="50"/>
      <c r="Y540" s="50"/>
      <c r="Z540" s="50"/>
      <c r="AA540" s="56"/>
      <c r="AB540" s="57"/>
      <c r="AC540" s="54">
        <v>1</v>
      </c>
      <c r="AD540" s="69">
        <f>SUM(AE540:AK540)</f>
        <v>0</v>
      </c>
      <c r="AE540" s="66"/>
      <c r="AF540" s="66"/>
      <c r="AG540" s="66"/>
      <c r="AH540" s="66"/>
      <c r="AI540" s="66"/>
      <c r="AJ540" s="66"/>
      <c r="AK540" s="66"/>
      <c r="AL540" s="54">
        <f>IF((AC540-SUM(AE540:AK540))&lt;0,0,AC540-SUM(AE540:AK540))</f>
        <v>1</v>
      </c>
      <c r="AM540" s="69">
        <f>SUM(AN540:AT540)</f>
        <v>0</v>
      </c>
      <c r="AN540" s="60"/>
      <c r="AO540" s="52"/>
      <c r="AP540" s="52"/>
      <c r="AQ540" s="52"/>
      <c r="AR540" s="52"/>
      <c r="AS540" s="52"/>
      <c r="AT540" s="61"/>
      <c r="AU540" s="54">
        <f>MAX(0,$AM540-$AC540-$AW540)</f>
        <v>0</v>
      </c>
      <c r="AV540" s="54"/>
      <c r="AW540" s="54"/>
      <c r="AX540" s="65">
        <v>0</v>
      </c>
      <c r="AY540" s="57">
        <f>IF(AND($AU540&gt;0,ISNUMBER($AX540)),$AU540*$AX540,0)</f>
        <v>0</v>
      </c>
      <c r="AZ540" s="46"/>
      <c r="BA540" s="52"/>
      <c r="BB540" s="52"/>
      <c r="BC540" s="52"/>
      <c r="BD540" s="52"/>
      <c r="BE540" s="52"/>
      <c r="BF540" s="52"/>
    </row>
    <row r="541" spans="1:58" ht="15" customHeight="1">
      <c r="A541" s="46" t="s">
        <v>3154</v>
      </c>
      <c r="B541" s="76" t="s">
        <v>3155</v>
      </c>
      <c r="C541" s="54" t="s">
        <v>118</v>
      </c>
      <c r="D541" s="74">
        <v>2</v>
      </c>
      <c r="E541" s="50" t="s">
        <v>189</v>
      </c>
      <c r="F541" s="50"/>
      <c r="G541" s="50"/>
      <c r="H541" s="51"/>
      <c r="I541" s="50" t="s">
        <v>3156</v>
      </c>
      <c r="J541" s="54" t="s">
        <v>73</v>
      </c>
      <c r="K541" s="50" t="s">
        <v>135</v>
      </c>
      <c r="L541" s="50" t="s">
        <v>1812</v>
      </c>
      <c r="M541" s="50" t="s">
        <v>3157</v>
      </c>
      <c r="N541" s="50"/>
      <c r="O541" s="54"/>
      <c r="P541" s="56" t="s">
        <v>185</v>
      </c>
      <c r="Q541" s="50" t="s">
        <v>691</v>
      </c>
      <c r="R541" s="50" t="s">
        <v>3158</v>
      </c>
      <c r="S541" s="50">
        <v>1</v>
      </c>
      <c r="T541" s="50">
        <v>0</v>
      </c>
      <c r="U541" s="56" t="s">
        <v>3159</v>
      </c>
      <c r="V541" s="57">
        <v>1.1200000000000001</v>
      </c>
      <c r="W541" s="56"/>
      <c r="X541" s="50"/>
      <c r="Y541" s="50"/>
      <c r="Z541" s="50"/>
      <c r="AA541" s="56"/>
      <c r="AB541" s="57"/>
      <c r="AC541" s="54">
        <v>1</v>
      </c>
      <c r="AD541" s="69">
        <f>SUM(AE541:AK541)</f>
        <v>0</v>
      </c>
      <c r="AE541" s="66"/>
      <c r="AF541" s="66"/>
      <c r="AG541" s="66"/>
      <c r="AH541" s="66"/>
      <c r="AI541" s="66"/>
      <c r="AJ541" s="66"/>
      <c r="AK541" s="66"/>
      <c r="AL541" s="54">
        <f>IF((AC541-SUM(AE541:AK541))&lt;0,0,AC541-SUM(AE541:AK541))</f>
        <v>1</v>
      </c>
      <c r="AM541" s="69">
        <f>SUM(AN541:AT541)</f>
        <v>0</v>
      </c>
      <c r="AN541" s="60"/>
      <c r="AO541" s="52"/>
      <c r="AP541" s="52"/>
      <c r="AQ541" s="52"/>
      <c r="AR541" s="52"/>
      <c r="AS541" s="52"/>
      <c r="AT541" s="61"/>
      <c r="AU541" s="54">
        <f>MAX(0,$AM541-$AC541-$AW541)</f>
        <v>0</v>
      </c>
      <c r="AV541" s="54"/>
      <c r="AW541" s="54"/>
      <c r="AX541" s="65">
        <v>0</v>
      </c>
      <c r="AY541" s="57">
        <f>IF(AND($AU541&gt;0,ISNUMBER($AX541)),$AU541*$AX541,0)</f>
        <v>0</v>
      </c>
      <c r="AZ541" s="46"/>
      <c r="BA541" s="52"/>
      <c r="BB541" s="52"/>
      <c r="BC541" s="52"/>
      <c r="BD541" s="52"/>
      <c r="BE541" s="52"/>
      <c r="BF541" s="52"/>
    </row>
    <row r="542" spans="1:58" ht="15" customHeight="1">
      <c r="A542" s="46" t="s">
        <v>3160</v>
      </c>
      <c r="B542" s="76" t="s">
        <v>3161</v>
      </c>
      <c r="C542" s="54" t="s">
        <v>80</v>
      </c>
      <c r="D542" s="74">
        <v>5</v>
      </c>
      <c r="E542" s="50" t="s">
        <v>2971</v>
      </c>
      <c r="F542" s="50"/>
      <c r="G542" s="50"/>
      <c r="H542" s="51"/>
      <c r="I542" s="50" t="s">
        <v>3162</v>
      </c>
      <c r="J542" s="54" t="s">
        <v>73</v>
      </c>
      <c r="K542" s="50" t="s">
        <v>92</v>
      </c>
      <c r="L542" s="50" t="s">
        <v>3163</v>
      </c>
      <c r="M542" s="50" t="s">
        <v>2974</v>
      </c>
      <c r="N542" s="50"/>
      <c r="O542" s="54"/>
      <c r="P542" s="56" t="s">
        <v>185</v>
      </c>
      <c r="Q542" s="50" t="s">
        <v>691</v>
      </c>
      <c r="R542" s="50" t="s">
        <v>3164</v>
      </c>
      <c r="S542" s="50">
        <v>1</v>
      </c>
      <c r="T542" s="50">
        <v>0</v>
      </c>
      <c r="U542" s="56" t="s">
        <v>3083</v>
      </c>
      <c r="V542" s="57">
        <v>1.1100000000000001</v>
      </c>
      <c r="W542" s="56"/>
      <c r="X542" s="50"/>
      <c r="Y542" s="50"/>
      <c r="Z542" s="50"/>
      <c r="AA542" s="56"/>
      <c r="AB542" s="57"/>
      <c r="AC542" s="54">
        <v>1</v>
      </c>
      <c r="AD542" s="69">
        <f>SUM(AE542:AK542)</f>
        <v>0</v>
      </c>
      <c r="AE542" s="66"/>
      <c r="AF542" s="66"/>
      <c r="AG542" s="66"/>
      <c r="AH542" s="66"/>
      <c r="AI542" s="66"/>
      <c r="AJ542" s="66"/>
      <c r="AK542" s="66"/>
      <c r="AL542" s="54">
        <f>IF((AC542-SUM(AE542:AK542))&lt;0,0,AC542-SUM(AE542:AK542))</f>
        <v>1</v>
      </c>
      <c r="AM542" s="69">
        <f>SUM(AN542:AT542)</f>
        <v>0</v>
      </c>
      <c r="AN542" s="60"/>
      <c r="AO542" s="52"/>
      <c r="AP542" s="52"/>
      <c r="AQ542" s="52"/>
      <c r="AR542" s="52"/>
      <c r="AS542" s="52"/>
      <c r="AT542" s="61"/>
      <c r="AU542" s="54">
        <f>MAX(0,$AM542-$AC542-$AW542)</f>
        <v>0</v>
      </c>
      <c r="AV542" s="54"/>
      <c r="AW542" s="54"/>
      <c r="AX542" s="65">
        <v>0</v>
      </c>
      <c r="AY542" s="57">
        <f>IF(AND($AU542&gt;0,ISNUMBER($AX542)),$AU542*$AX542,0)</f>
        <v>0</v>
      </c>
      <c r="AZ542" s="46"/>
      <c r="BA542" s="52"/>
      <c r="BB542" s="52"/>
      <c r="BC542" s="52"/>
      <c r="BD542" s="52"/>
      <c r="BE542" s="52"/>
      <c r="BF542" s="52"/>
    </row>
    <row r="543" spans="1:58" ht="15" customHeight="1">
      <c r="A543" s="46" t="s">
        <v>3165</v>
      </c>
      <c r="B543" s="76" t="s">
        <v>3166</v>
      </c>
      <c r="C543" s="54" t="s">
        <v>118</v>
      </c>
      <c r="D543" s="74">
        <v>3</v>
      </c>
      <c r="E543" s="50" t="s">
        <v>384</v>
      </c>
      <c r="F543" s="50"/>
      <c r="G543" s="50"/>
      <c r="H543" s="51"/>
      <c r="I543" s="50" t="s">
        <v>3167</v>
      </c>
      <c r="J543" s="54" t="s">
        <v>73</v>
      </c>
      <c r="K543" s="56" t="s">
        <v>3168</v>
      </c>
      <c r="L543" s="56" t="s">
        <v>3169</v>
      </c>
      <c r="M543" s="56"/>
      <c r="N543" s="56"/>
      <c r="O543" s="54"/>
      <c r="P543" s="56" t="s">
        <v>86</v>
      </c>
      <c r="Q543" s="56" t="s">
        <v>2216</v>
      </c>
      <c r="R543" s="50"/>
      <c r="S543" s="50"/>
      <c r="T543" s="50"/>
      <c r="U543" s="50"/>
      <c r="V543" s="57">
        <v>1.1100000000000001</v>
      </c>
      <c r="W543" s="68"/>
      <c r="X543" s="50"/>
      <c r="Y543" s="50"/>
      <c r="Z543" s="50"/>
      <c r="AA543" s="50"/>
      <c r="AB543" s="57"/>
      <c r="AC543" s="54">
        <v>1</v>
      </c>
      <c r="AD543" s="69">
        <f>SUM(AE543:AK543)</f>
        <v>1</v>
      </c>
      <c r="AE543" s="66"/>
      <c r="AF543" s="66"/>
      <c r="AG543" s="66"/>
      <c r="AH543" s="66"/>
      <c r="AI543" s="66">
        <v>1</v>
      </c>
      <c r="AJ543" s="66"/>
      <c r="AK543" s="66"/>
      <c r="AL543" s="54">
        <f>IF((AC543-SUM(AE543:AK543))&lt;0,0,AC543-SUM(AE543:AK543))</f>
        <v>0</v>
      </c>
      <c r="AM543" s="69">
        <f>SUM(AN543:AT543)</f>
        <v>1</v>
      </c>
      <c r="AN543" s="60"/>
      <c r="AO543" s="52"/>
      <c r="AP543" s="52"/>
      <c r="AQ543" s="52"/>
      <c r="AR543" s="52">
        <v>1</v>
      </c>
      <c r="AS543" s="52"/>
      <c r="AT543" s="61"/>
      <c r="AU543" s="54">
        <f>MAX(0,$AM543-$AC543-$AW543)</f>
        <v>0</v>
      </c>
      <c r="AV543" s="54"/>
      <c r="AW543" s="54"/>
      <c r="AX543" s="65">
        <v>0</v>
      </c>
      <c r="AY543" s="57">
        <f>IF(AND($AU543&gt;0,ISNUMBER($AX543)),$AU543*$AX543,0)</f>
        <v>0</v>
      </c>
      <c r="AZ543" s="46"/>
      <c r="BA543" s="52"/>
      <c r="BB543" s="52"/>
      <c r="BC543" s="52"/>
      <c r="BD543" s="52"/>
      <c r="BE543" s="52"/>
      <c r="BF543" s="52"/>
    </row>
    <row r="544" spans="1:58" ht="15" customHeight="1">
      <c r="A544" s="46" t="s">
        <v>3170</v>
      </c>
      <c r="B544" s="76" t="s">
        <v>3171</v>
      </c>
      <c r="C544" s="54" t="s">
        <v>118</v>
      </c>
      <c r="D544" s="74">
        <v>6</v>
      </c>
      <c r="E544" s="50" t="s">
        <v>2195</v>
      </c>
      <c r="F544" s="50"/>
      <c r="G544" s="50"/>
      <c r="H544" s="51"/>
      <c r="I544" s="50" t="s">
        <v>3172</v>
      </c>
      <c r="J544" s="54" t="s">
        <v>73</v>
      </c>
      <c r="K544" s="56" t="s">
        <v>202</v>
      </c>
      <c r="L544" s="56" t="s">
        <v>3173</v>
      </c>
      <c r="M544" s="56" t="s">
        <v>3174</v>
      </c>
      <c r="N544" s="56" t="s">
        <v>3175</v>
      </c>
      <c r="O544" s="54"/>
      <c r="P544" s="56" t="s">
        <v>86</v>
      </c>
      <c r="Q544" s="56" t="s">
        <v>1870</v>
      </c>
      <c r="R544" s="54"/>
      <c r="S544" s="54"/>
      <c r="T544" s="54"/>
      <c r="U544" s="54"/>
      <c r="V544" s="57">
        <v>1.1000000000000001</v>
      </c>
      <c r="W544" s="68"/>
      <c r="X544" s="54"/>
      <c r="Y544" s="54"/>
      <c r="Z544" s="54"/>
      <c r="AA544" s="54"/>
      <c r="AB544" s="57"/>
      <c r="AC544" s="54">
        <v>1</v>
      </c>
      <c r="AD544" s="69">
        <f>SUM(AE544:AK544)</f>
        <v>1</v>
      </c>
      <c r="AE544" s="66"/>
      <c r="AF544" s="66">
        <v>1</v>
      </c>
      <c r="AG544" s="66"/>
      <c r="AH544" s="66"/>
      <c r="AI544" s="66"/>
      <c r="AJ544" s="66"/>
      <c r="AK544" s="66"/>
      <c r="AL544" s="54">
        <f>IF((AC544-SUM(AE544:AK544))&lt;0,0,AC544-SUM(AE544:AK544))</f>
        <v>0</v>
      </c>
      <c r="AM544" s="69">
        <f>SUM(AN544:AT544)</f>
        <v>1</v>
      </c>
      <c r="AN544" s="60"/>
      <c r="AO544" s="52">
        <v>1</v>
      </c>
      <c r="AP544" s="52"/>
      <c r="AQ544" s="52"/>
      <c r="AR544" s="52"/>
      <c r="AS544" s="52"/>
      <c r="AT544" s="61"/>
      <c r="AU544" s="54">
        <f>MAX(0,$AM544-$AC544-$AW544)</f>
        <v>0</v>
      </c>
      <c r="AV544" s="54"/>
      <c r="AW544" s="54"/>
      <c r="AX544" s="65">
        <v>0</v>
      </c>
      <c r="AY544" s="57">
        <f>IF(AND($AU544&gt;0,ISNUMBER($AX544)),$AU544*$AX544,0)</f>
        <v>0</v>
      </c>
      <c r="AZ544" s="46"/>
      <c r="BA544" s="52"/>
      <c r="BB544" s="52"/>
      <c r="BC544" s="52"/>
      <c r="BD544" s="52"/>
      <c r="BE544" s="52"/>
      <c r="BF544" s="52"/>
    </row>
    <row r="545" spans="1:58" ht="15" customHeight="1">
      <c r="A545" s="46" t="s">
        <v>3176</v>
      </c>
      <c r="B545" s="76" t="s">
        <v>3177</v>
      </c>
      <c r="C545" s="54" t="s">
        <v>181</v>
      </c>
      <c r="D545" s="74">
        <v>2</v>
      </c>
      <c r="E545" s="50" t="s">
        <v>81</v>
      </c>
      <c r="F545" s="50">
        <v>1</v>
      </c>
      <c r="G545" s="50">
        <v>1</v>
      </c>
      <c r="H545" s="51" t="s">
        <v>3178</v>
      </c>
      <c r="I545" s="50" t="s">
        <v>3179</v>
      </c>
      <c r="J545" s="54" t="s">
        <v>73</v>
      </c>
      <c r="K545" s="56" t="s">
        <v>273</v>
      </c>
      <c r="L545" s="56" t="s">
        <v>3180</v>
      </c>
      <c r="M545" s="56"/>
      <c r="N545" s="56"/>
      <c r="O545" s="54"/>
      <c r="P545" s="56" t="s">
        <v>185</v>
      </c>
      <c r="Q545" s="56" t="s">
        <v>2051</v>
      </c>
      <c r="R545" s="50"/>
      <c r="S545" s="50"/>
      <c r="T545" s="50"/>
      <c r="U545" s="50"/>
      <c r="V545" s="57">
        <v>1.0900000000000001</v>
      </c>
      <c r="W545" s="68"/>
      <c r="X545" s="50"/>
      <c r="Y545" s="50"/>
      <c r="Z545" s="50"/>
      <c r="AA545" s="50"/>
      <c r="AB545" s="57"/>
      <c r="AC545" s="54">
        <v>1</v>
      </c>
      <c r="AD545" s="69">
        <f>SUM(AE545:AK545)</f>
        <v>1</v>
      </c>
      <c r="AE545" s="66"/>
      <c r="AF545" s="66"/>
      <c r="AG545" s="66"/>
      <c r="AH545" s="66"/>
      <c r="AI545" s="66">
        <v>1</v>
      </c>
      <c r="AJ545" s="66"/>
      <c r="AK545" s="66"/>
      <c r="AL545" s="54">
        <f>IF((AC545-SUM(AE545:AK545))&lt;0,0,AC545-SUM(AE545:AK545))</f>
        <v>0</v>
      </c>
      <c r="AM545" s="69">
        <f>SUM(AN545:AT545)</f>
        <v>1</v>
      </c>
      <c r="AN545" s="60"/>
      <c r="AO545" s="52"/>
      <c r="AP545" s="52"/>
      <c r="AQ545" s="52"/>
      <c r="AR545" s="52">
        <v>1</v>
      </c>
      <c r="AS545" s="52"/>
      <c r="AT545" s="61"/>
      <c r="AU545" s="54">
        <f>MAX(0,$AM545-$AC545-$AW545)</f>
        <v>0</v>
      </c>
      <c r="AV545" s="54"/>
      <c r="AW545" s="54"/>
      <c r="AX545" s="65">
        <v>0</v>
      </c>
      <c r="AY545" s="57">
        <f>IF(AND($AU545&gt;0,ISNUMBER($AX545)),$AU545*$AX545,0)</f>
        <v>0</v>
      </c>
      <c r="AZ545" s="46"/>
      <c r="BA545" s="52"/>
      <c r="BB545" s="52"/>
      <c r="BC545" s="52"/>
      <c r="BD545" s="52"/>
      <c r="BE545" s="52"/>
      <c r="BF545" s="52"/>
    </row>
    <row r="546" spans="1:58" ht="15" customHeight="1">
      <c r="A546" s="46" t="s">
        <v>3181</v>
      </c>
      <c r="B546" s="76" t="s">
        <v>3182</v>
      </c>
      <c r="C546" s="54" t="s">
        <v>109</v>
      </c>
      <c r="D546" s="74">
        <v>4</v>
      </c>
      <c r="E546" s="50" t="s">
        <v>110</v>
      </c>
      <c r="F546" s="50">
        <v>3</v>
      </c>
      <c r="G546" s="50">
        <v>4</v>
      </c>
      <c r="H546" s="51" t="s">
        <v>2245</v>
      </c>
      <c r="I546" s="50" t="s">
        <v>3183</v>
      </c>
      <c r="J546" s="54" t="s">
        <v>73</v>
      </c>
      <c r="K546" s="56" t="s">
        <v>254</v>
      </c>
      <c r="L546" s="56" t="s">
        <v>3184</v>
      </c>
      <c r="M546" s="56" t="s">
        <v>3185</v>
      </c>
      <c r="N546" s="56"/>
      <c r="O546" s="56">
        <v>1637</v>
      </c>
      <c r="P546" s="56" t="s">
        <v>86</v>
      </c>
      <c r="Q546" s="56" t="s">
        <v>2210</v>
      </c>
      <c r="R546" s="50"/>
      <c r="S546" s="50"/>
      <c r="T546" s="50"/>
      <c r="U546" s="50"/>
      <c r="V546" s="57">
        <v>1.08</v>
      </c>
      <c r="W546" s="68"/>
      <c r="X546" s="50"/>
      <c r="Y546" s="50"/>
      <c r="Z546" s="50"/>
      <c r="AA546" s="50"/>
      <c r="AB546" s="57"/>
      <c r="AC546" s="54">
        <v>1</v>
      </c>
      <c r="AD546" s="69">
        <f>SUM(AE546:AK546)</f>
        <v>1</v>
      </c>
      <c r="AE546" s="66"/>
      <c r="AF546" s="66"/>
      <c r="AG546" s="66"/>
      <c r="AH546" s="66">
        <v>1</v>
      </c>
      <c r="AI546" s="66"/>
      <c r="AJ546" s="66"/>
      <c r="AK546" s="66"/>
      <c r="AL546" s="54">
        <f>IF((AC546-SUM(AE546:AK546))&lt;0,0,AC546-SUM(AE546:AK546))</f>
        <v>0</v>
      </c>
      <c r="AM546" s="69">
        <f>SUM(AN546:AT546)</f>
        <v>1</v>
      </c>
      <c r="AN546" s="60"/>
      <c r="AO546" s="52"/>
      <c r="AP546" s="52"/>
      <c r="AQ546" s="52">
        <v>1</v>
      </c>
      <c r="AR546" s="52"/>
      <c r="AS546" s="52"/>
      <c r="AT546" s="61"/>
      <c r="AU546" s="54">
        <f>MAX(0,$AM546-$AC546-$AW546)</f>
        <v>0</v>
      </c>
      <c r="AV546" s="54"/>
      <c r="AW546" s="54"/>
      <c r="AX546" s="65">
        <v>0</v>
      </c>
      <c r="AY546" s="57">
        <f>IF(AND($AU546&gt;0,ISNUMBER($AX546)),$AU546*$AX546,0)</f>
        <v>0</v>
      </c>
      <c r="AZ546" s="46"/>
      <c r="BA546" s="52"/>
      <c r="BB546" s="52"/>
      <c r="BC546" s="52"/>
      <c r="BD546" s="52"/>
      <c r="BE546" s="52"/>
      <c r="BF546" s="52"/>
    </row>
    <row r="547" spans="1:58" ht="15" customHeight="1">
      <c r="A547" s="46" t="s">
        <v>3186</v>
      </c>
      <c r="B547" s="76" t="s">
        <v>3187</v>
      </c>
      <c r="C547" s="54" t="s">
        <v>101</v>
      </c>
      <c r="D547" s="74">
        <v>3</v>
      </c>
      <c r="E547" s="50" t="s">
        <v>189</v>
      </c>
      <c r="F547" s="50"/>
      <c r="G547" s="50"/>
      <c r="H547" s="51"/>
      <c r="I547" s="50" t="s">
        <v>3188</v>
      </c>
      <c r="J547" s="54" t="s">
        <v>73</v>
      </c>
      <c r="K547" s="50" t="s">
        <v>474</v>
      </c>
      <c r="L547" s="50" t="s">
        <v>3189</v>
      </c>
      <c r="M547" s="50" t="s">
        <v>3190</v>
      </c>
      <c r="N547" s="50"/>
      <c r="O547" s="54"/>
      <c r="P547" s="56" t="s">
        <v>185</v>
      </c>
      <c r="Q547" s="50" t="s">
        <v>691</v>
      </c>
      <c r="R547" s="50" t="s">
        <v>3191</v>
      </c>
      <c r="S547" s="50">
        <v>1</v>
      </c>
      <c r="T547" s="50">
        <v>0</v>
      </c>
      <c r="U547" s="56" t="s">
        <v>3192</v>
      </c>
      <c r="V547" s="57">
        <v>1.08</v>
      </c>
      <c r="W547" s="56"/>
      <c r="X547" s="50"/>
      <c r="Y547" s="50"/>
      <c r="Z547" s="50"/>
      <c r="AA547" s="56"/>
      <c r="AB547" s="57"/>
      <c r="AC547" s="54">
        <v>1</v>
      </c>
      <c r="AD547" s="69">
        <f>SUM(AE547:AK547)</f>
        <v>0</v>
      </c>
      <c r="AE547" s="66"/>
      <c r="AF547" s="66"/>
      <c r="AG547" s="66"/>
      <c r="AH547" s="66"/>
      <c r="AI547" s="66"/>
      <c r="AJ547" s="66"/>
      <c r="AK547" s="66"/>
      <c r="AL547" s="54">
        <f>IF((AC547-SUM(AE547:AK547))&lt;0,0,AC547-SUM(AE547:AK547))</f>
        <v>1</v>
      </c>
      <c r="AM547" s="69">
        <f>SUM(AN547:AT547)</f>
        <v>0</v>
      </c>
      <c r="AN547" s="60"/>
      <c r="AO547" s="52"/>
      <c r="AP547" s="52"/>
      <c r="AQ547" s="52"/>
      <c r="AR547" s="52"/>
      <c r="AS547" s="52"/>
      <c r="AT547" s="61"/>
      <c r="AU547" s="54">
        <f>MAX(0,$AM547-$AC547-$AW547)</f>
        <v>0</v>
      </c>
      <c r="AV547" s="54"/>
      <c r="AW547" s="54"/>
      <c r="AX547" s="65">
        <v>0</v>
      </c>
      <c r="AY547" s="57">
        <f>IF(AND($AU547&gt;0,ISNUMBER($AX547)),$AU547*$AX547,0)</f>
        <v>0</v>
      </c>
      <c r="AZ547" s="46"/>
      <c r="BA547" s="52"/>
      <c r="BB547" s="52"/>
      <c r="BC547" s="52"/>
      <c r="BD547" s="52"/>
      <c r="BE547" s="52"/>
      <c r="BF547" s="52"/>
    </row>
    <row r="548" spans="1:58" ht="15" customHeight="1">
      <c r="A548" s="46" t="s">
        <v>3193</v>
      </c>
      <c r="B548" s="76" t="s">
        <v>3194</v>
      </c>
      <c r="C548" s="54" t="s">
        <v>118</v>
      </c>
      <c r="D548" s="74">
        <v>4</v>
      </c>
      <c r="E548" s="50" t="s">
        <v>71</v>
      </c>
      <c r="F548" s="50"/>
      <c r="G548" s="50"/>
      <c r="H548" s="51"/>
      <c r="I548" s="50" t="s">
        <v>3195</v>
      </c>
      <c r="J548" s="54" t="s">
        <v>196</v>
      </c>
      <c r="K548" s="56" t="s">
        <v>424</v>
      </c>
      <c r="L548" s="56" t="s">
        <v>2401</v>
      </c>
      <c r="M548" s="56"/>
      <c r="N548" s="56"/>
      <c r="O548" s="54"/>
      <c r="P548" s="56" t="s">
        <v>86</v>
      </c>
      <c r="Q548" s="56" t="s">
        <v>928</v>
      </c>
      <c r="R548" s="50"/>
      <c r="S548" s="50"/>
      <c r="T548" s="50"/>
      <c r="U548" s="56"/>
      <c r="V548" s="57">
        <v>1.07</v>
      </c>
      <c r="W548" s="68"/>
      <c r="X548" s="50"/>
      <c r="Y548" s="50"/>
      <c r="Z548" s="50"/>
      <c r="AA548" s="56"/>
      <c r="AB548" s="57"/>
      <c r="AC548" s="54">
        <v>1</v>
      </c>
      <c r="AD548" s="69">
        <f>SUM(AE548:AK548)</f>
        <v>0</v>
      </c>
      <c r="AE548" s="66"/>
      <c r="AF548" s="66"/>
      <c r="AG548" s="66"/>
      <c r="AH548" s="66"/>
      <c r="AI548" s="66"/>
      <c r="AJ548" s="66"/>
      <c r="AK548" s="66"/>
      <c r="AL548" s="54">
        <f>IF((AC548-SUM(AE548:AK548))&lt;0,0,AC548-SUM(AE548:AK548))</f>
        <v>1</v>
      </c>
      <c r="AM548" s="69">
        <f>SUM(AN548:AT548)</f>
        <v>0</v>
      </c>
      <c r="AN548" s="60"/>
      <c r="AO548" s="52"/>
      <c r="AP548" s="52"/>
      <c r="AQ548" s="52"/>
      <c r="AR548" s="52"/>
      <c r="AS548" s="52"/>
      <c r="AT548" s="61"/>
      <c r="AU548" s="54">
        <f>MAX(0,$AM548-$AC548-$AW548)</f>
        <v>0</v>
      </c>
      <c r="AV548" s="54"/>
      <c r="AW548" s="54"/>
      <c r="AX548" s="65">
        <v>0</v>
      </c>
      <c r="AY548" s="57">
        <f>IF(AND($AU548&gt;0,ISNUMBER($AX548)),$AU548*$AX548,0)</f>
        <v>0</v>
      </c>
      <c r="AZ548" s="46"/>
      <c r="BA548" s="52"/>
      <c r="BB548" s="52"/>
      <c r="BC548" s="52"/>
      <c r="BD548" s="52"/>
      <c r="BE548" s="52"/>
      <c r="BF548" s="52"/>
    </row>
    <row r="549" spans="1:58" ht="15" customHeight="1">
      <c r="A549" s="46" t="s">
        <v>3196</v>
      </c>
      <c r="B549" s="76" t="s">
        <v>3197</v>
      </c>
      <c r="C549" s="54" t="s">
        <v>109</v>
      </c>
      <c r="D549" s="74">
        <v>2</v>
      </c>
      <c r="E549" s="50" t="s">
        <v>189</v>
      </c>
      <c r="F549" s="50"/>
      <c r="G549" s="50"/>
      <c r="H549" s="51"/>
      <c r="I549" s="50" t="s">
        <v>3198</v>
      </c>
      <c r="J549" s="54" t="s">
        <v>73</v>
      </c>
      <c r="K549" s="50" t="s">
        <v>98</v>
      </c>
      <c r="L549" s="50" t="s">
        <v>3199</v>
      </c>
      <c r="M549" s="50" t="s">
        <v>3200</v>
      </c>
      <c r="N549" s="50" t="s">
        <v>3201</v>
      </c>
      <c r="O549" s="54"/>
      <c r="P549" s="56" t="s">
        <v>185</v>
      </c>
      <c r="Q549" s="50" t="s">
        <v>691</v>
      </c>
      <c r="R549" s="50" t="s">
        <v>3202</v>
      </c>
      <c r="S549" s="50">
        <v>1</v>
      </c>
      <c r="T549" s="50">
        <v>0</v>
      </c>
      <c r="U549" s="56" t="s">
        <v>3203</v>
      </c>
      <c r="V549" s="57">
        <v>1.07</v>
      </c>
      <c r="W549" s="56"/>
      <c r="X549" s="50"/>
      <c r="Y549" s="50"/>
      <c r="Z549" s="50"/>
      <c r="AA549" s="56"/>
      <c r="AB549" s="57"/>
      <c r="AC549" s="54">
        <v>1</v>
      </c>
      <c r="AD549" s="69">
        <f>SUM(AE549:AK549)</f>
        <v>0</v>
      </c>
      <c r="AE549" s="66"/>
      <c r="AF549" s="66"/>
      <c r="AG549" s="66"/>
      <c r="AH549" s="66"/>
      <c r="AI549" s="66"/>
      <c r="AJ549" s="66"/>
      <c r="AK549" s="66"/>
      <c r="AL549" s="54">
        <f>IF((AC549-SUM(AE549:AK549))&lt;0,0,AC549-SUM(AE549:AK549))</f>
        <v>1</v>
      </c>
      <c r="AM549" s="69">
        <f>SUM(AN549:AT549)</f>
        <v>0</v>
      </c>
      <c r="AN549" s="60"/>
      <c r="AO549" s="52"/>
      <c r="AP549" s="52"/>
      <c r="AQ549" s="52"/>
      <c r="AR549" s="52"/>
      <c r="AS549" s="52"/>
      <c r="AT549" s="61"/>
      <c r="AU549" s="54">
        <f>MAX(0,$AM549-$AC549-$AW549)</f>
        <v>0</v>
      </c>
      <c r="AV549" s="54"/>
      <c r="AW549" s="54"/>
      <c r="AX549" s="65">
        <v>0</v>
      </c>
      <c r="AY549" s="57">
        <f>IF(AND($AU549&gt;0,ISNUMBER($AX549)),$AU549*$AX549,0)</f>
        <v>0</v>
      </c>
      <c r="AZ549" s="46"/>
      <c r="BA549" s="52"/>
      <c r="BB549" s="52"/>
      <c r="BC549" s="52"/>
      <c r="BD549" s="52"/>
      <c r="BE549" s="52"/>
      <c r="BF549" s="52"/>
    </row>
    <row r="550" spans="1:58" ht="15" customHeight="1">
      <c r="A550" s="46" t="s">
        <v>3204</v>
      </c>
      <c r="B550" s="76" t="s">
        <v>3205</v>
      </c>
      <c r="C550" s="54" t="s">
        <v>70</v>
      </c>
      <c r="D550" s="74">
        <v>3</v>
      </c>
      <c r="E550" s="50" t="s">
        <v>2971</v>
      </c>
      <c r="F550" s="50"/>
      <c r="G550" s="50"/>
      <c r="H550" s="51"/>
      <c r="I550" s="50" t="s">
        <v>3206</v>
      </c>
      <c r="J550" s="54" t="s">
        <v>73</v>
      </c>
      <c r="K550" s="50" t="s">
        <v>135</v>
      </c>
      <c r="L550" s="50" t="s">
        <v>3207</v>
      </c>
      <c r="M550" s="50" t="s">
        <v>2974</v>
      </c>
      <c r="N550" s="50"/>
      <c r="O550" s="54"/>
      <c r="P550" s="56" t="s">
        <v>185</v>
      </c>
      <c r="Q550" s="50" t="s">
        <v>691</v>
      </c>
      <c r="R550" s="50" t="s">
        <v>3208</v>
      </c>
      <c r="S550" s="50">
        <v>1</v>
      </c>
      <c r="T550" s="50">
        <v>0</v>
      </c>
      <c r="U550" s="56" t="s">
        <v>1808</v>
      </c>
      <c r="V550" s="57">
        <v>1.06</v>
      </c>
      <c r="W550" s="56"/>
      <c r="X550" s="50"/>
      <c r="Y550" s="50"/>
      <c r="Z550" s="50"/>
      <c r="AA550" s="56"/>
      <c r="AB550" s="57"/>
      <c r="AC550" s="54">
        <v>1</v>
      </c>
      <c r="AD550" s="69">
        <f>SUM(AE550:AK550)</f>
        <v>0</v>
      </c>
      <c r="AE550" s="66"/>
      <c r="AF550" s="66"/>
      <c r="AG550" s="66"/>
      <c r="AH550" s="66"/>
      <c r="AI550" s="66"/>
      <c r="AJ550" s="66"/>
      <c r="AK550" s="66"/>
      <c r="AL550" s="54">
        <f>IF((AC550-SUM(AE550:AK550))&lt;0,0,AC550-SUM(AE550:AK550))</f>
        <v>1</v>
      </c>
      <c r="AM550" s="69">
        <f>SUM(AN550:AT550)</f>
        <v>0</v>
      </c>
      <c r="AN550" s="60"/>
      <c r="AO550" s="52"/>
      <c r="AP550" s="52"/>
      <c r="AQ550" s="52"/>
      <c r="AR550" s="52"/>
      <c r="AS550" s="52"/>
      <c r="AT550" s="61"/>
      <c r="AU550" s="54">
        <f>MAX(0,$AM550-$AC550-$AW550)</f>
        <v>0</v>
      </c>
      <c r="AV550" s="54"/>
      <c r="AW550" s="54"/>
      <c r="AX550" s="65">
        <v>0</v>
      </c>
      <c r="AY550" s="57">
        <f>IF(AND($AU550&gt;0,ISNUMBER($AX550)),$AU550*$AX550,0)</f>
        <v>0</v>
      </c>
      <c r="AZ550" s="46"/>
      <c r="BA550" s="52"/>
      <c r="BB550" s="52"/>
      <c r="BC550" s="52"/>
      <c r="BD550" s="52"/>
      <c r="BE550" s="52"/>
      <c r="BF550" s="52"/>
    </row>
    <row r="551" spans="1:58" ht="15" customHeight="1">
      <c r="A551" s="46" t="s">
        <v>3209</v>
      </c>
      <c r="B551" s="76" t="s">
        <v>3210</v>
      </c>
      <c r="C551" s="54" t="s">
        <v>101</v>
      </c>
      <c r="D551" s="74">
        <v>1</v>
      </c>
      <c r="E551" s="50" t="s">
        <v>233</v>
      </c>
      <c r="F551" s="50"/>
      <c r="G551" s="50"/>
      <c r="H551" s="51" t="s">
        <v>519</v>
      </c>
      <c r="I551" s="50" t="s">
        <v>3211</v>
      </c>
      <c r="J551" s="54" t="s">
        <v>73</v>
      </c>
      <c r="K551" s="50" t="s">
        <v>2888</v>
      </c>
      <c r="L551" s="50" t="s">
        <v>3212</v>
      </c>
      <c r="M551" s="50" t="s">
        <v>915</v>
      </c>
      <c r="N551" s="50"/>
      <c r="O551" s="54"/>
      <c r="P551" s="56" t="s">
        <v>185</v>
      </c>
      <c r="Q551" s="50" t="s">
        <v>691</v>
      </c>
      <c r="R551" s="50" t="s">
        <v>3213</v>
      </c>
      <c r="S551" s="50">
        <v>1</v>
      </c>
      <c r="T551" s="50">
        <v>0</v>
      </c>
      <c r="U551" s="56" t="s">
        <v>3214</v>
      </c>
      <c r="V551" s="57">
        <v>1.05</v>
      </c>
      <c r="W551" s="56"/>
      <c r="X551" s="50"/>
      <c r="Y551" s="50"/>
      <c r="Z551" s="50"/>
      <c r="AA551" s="56"/>
      <c r="AB551" s="57"/>
      <c r="AC551" s="54">
        <v>1</v>
      </c>
      <c r="AD551" s="69">
        <f>SUM(AE551:AK551)</f>
        <v>0</v>
      </c>
      <c r="AE551" s="66"/>
      <c r="AF551" s="66"/>
      <c r="AG551" s="66"/>
      <c r="AH551" s="66"/>
      <c r="AI551" s="66"/>
      <c r="AJ551" s="66"/>
      <c r="AK551" s="66"/>
      <c r="AL551" s="54">
        <f>IF((AC551-SUM(AE551:AK551))&lt;0,0,AC551-SUM(AE551:AK551))</f>
        <v>1</v>
      </c>
      <c r="AM551" s="69">
        <f>SUM(AN551:AT551)</f>
        <v>0</v>
      </c>
      <c r="AN551" s="60"/>
      <c r="AO551" s="52"/>
      <c r="AP551" s="52"/>
      <c r="AQ551" s="52"/>
      <c r="AR551" s="52"/>
      <c r="AS551" s="52"/>
      <c r="AT551" s="61"/>
      <c r="AU551" s="54">
        <f>MAX(0,$AM551-$AC551-$AW551)</f>
        <v>0</v>
      </c>
      <c r="AV551" s="54"/>
      <c r="AW551" s="54"/>
      <c r="AX551" s="65">
        <v>0</v>
      </c>
      <c r="AY551" s="57">
        <f>IF(AND($AU551&gt;0,ISNUMBER($AX551)),$AU551*$AX551,0)</f>
        <v>0</v>
      </c>
      <c r="AZ551" s="46"/>
      <c r="BA551" s="52"/>
      <c r="BB551" s="52"/>
      <c r="BC551" s="52"/>
      <c r="BD551" s="52"/>
      <c r="BE551" s="52"/>
      <c r="BF551" s="52"/>
    </row>
    <row r="552" spans="1:58" ht="15" customHeight="1">
      <c r="A552" s="46" t="s">
        <v>3215</v>
      </c>
      <c r="B552" s="53" t="s">
        <v>3216</v>
      </c>
      <c r="C552" s="66" t="s">
        <v>232</v>
      </c>
      <c r="D552" s="67">
        <v>2</v>
      </c>
      <c r="E552" s="53" t="s">
        <v>531</v>
      </c>
      <c r="F552" s="50">
        <v>0</v>
      </c>
      <c r="G552" s="50">
        <v>4</v>
      </c>
      <c r="H552" s="51" t="s">
        <v>465</v>
      </c>
      <c r="I552" s="50" t="s">
        <v>3217</v>
      </c>
      <c r="J552" s="54" t="s">
        <v>73</v>
      </c>
      <c r="K552" s="58" t="s">
        <v>261</v>
      </c>
      <c r="L552" s="58" t="s">
        <v>3218</v>
      </c>
      <c r="M552" s="58"/>
      <c r="N552" s="58"/>
      <c r="O552" s="54"/>
      <c r="P552" s="56" t="s">
        <v>76</v>
      </c>
      <c r="Q552" s="58" t="s">
        <v>229</v>
      </c>
      <c r="R552" s="50"/>
      <c r="S552" s="50"/>
      <c r="T552" s="50"/>
      <c r="U552" s="50"/>
      <c r="V552" s="57">
        <v>1.05</v>
      </c>
      <c r="W552" s="68"/>
      <c r="X552" s="50"/>
      <c r="Y552" s="50"/>
      <c r="Z552" s="50"/>
      <c r="AA552" s="50"/>
      <c r="AB552" s="57"/>
      <c r="AC552" s="54">
        <v>1</v>
      </c>
      <c r="AD552" s="69">
        <f>SUM(AE552:AK552)</f>
        <v>1</v>
      </c>
      <c r="AE552" s="66"/>
      <c r="AF552" s="66"/>
      <c r="AG552" s="66"/>
      <c r="AH552" s="66">
        <v>1</v>
      </c>
      <c r="AI552" s="66"/>
      <c r="AJ552" s="66"/>
      <c r="AK552" s="66"/>
      <c r="AL552" s="54">
        <f>IF((AC552-SUM(AE552:AK552))&lt;0,0,AC552-SUM(AE552:AK552))</f>
        <v>0</v>
      </c>
      <c r="AM552" s="69">
        <f>SUM(AN552:AT552)</f>
        <v>1</v>
      </c>
      <c r="AN552" s="60"/>
      <c r="AO552" s="52"/>
      <c r="AP552" s="52"/>
      <c r="AQ552" s="52">
        <v>1</v>
      </c>
      <c r="AR552" s="52"/>
      <c r="AS552" s="52"/>
      <c r="AT552" s="61"/>
      <c r="AU552" s="66">
        <f>MAX(0,$AM552-$AC552-$AW552)</f>
        <v>0</v>
      </c>
      <c r="AV552" s="66"/>
      <c r="AW552" s="66"/>
      <c r="AX552" s="65">
        <v>0</v>
      </c>
      <c r="AY552" s="65">
        <f>IF(AND($AU552&gt;0,ISNUMBER($AX552)),$AU552*$AX552,0)</f>
        <v>0</v>
      </c>
      <c r="AZ552" s="46"/>
      <c r="BA552" s="52"/>
      <c r="BB552" s="52"/>
      <c r="BC552" s="52"/>
      <c r="BD552" s="52"/>
      <c r="BE552" s="52"/>
      <c r="BF552" s="52"/>
    </row>
    <row r="553" spans="1:58" ht="15" customHeight="1">
      <c r="A553" s="46" t="s">
        <v>3219</v>
      </c>
      <c r="B553" s="53" t="s">
        <v>3220</v>
      </c>
      <c r="C553" s="66" t="s">
        <v>109</v>
      </c>
      <c r="D553" s="67">
        <v>6</v>
      </c>
      <c r="E553" s="53" t="s">
        <v>81</v>
      </c>
      <c r="F553" s="50">
        <v>4</v>
      </c>
      <c r="G553" s="50">
        <v>4</v>
      </c>
      <c r="H553" s="51" t="s">
        <v>3221</v>
      </c>
      <c r="I553" s="50" t="s">
        <v>3222</v>
      </c>
      <c r="J553" s="54" t="s">
        <v>73</v>
      </c>
      <c r="K553" s="53" t="s">
        <v>135</v>
      </c>
      <c r="L553" s="53" t="s">
        <v>3223</v>
      </c>
      <c r="M553" s="53" t="s">
        <v>3224</v>
      </c>
      <c r="N553" s="53"/>
      <c r="O553" s="54"/>
      <c r="P553" s="56" t="s">
        <v>185</v>
      </c>
      <c r="Q553" s="53" t="s">
        <v>691</v>
      </c>
      <c r="R553" s="50" t="s">
        <v>3225</v>
      </c>
      <c r="S553" s="50">
        <v>1</v>
      </c>
      <c r="T553" s="50">
        <v>0</v>
      </c>
      <c r="U553" s="56" t="s">
        <v>1332</v>
      </c>
      <c r="V553" s="57">
        <v>1.05</v>
      </c>
      <c r="W553" s="56"/>
      <c r="X553" s="50"/>
      <c r="Y553" s="50"/>
      <c r="Z553" s="50"/>
      <c r="AA553" s="56"/>
      <c r="AB553" s="57"/>
      <c r="AC553" s="54">
        <v>1</v>
      </c>
      <c r="AD553" s="69">
        <f>SUM(AE553:AK553)</f>
        <v>0</v>
      </c>
      <c r="AE553" s="66"/>
      <c r="AF553" s="66"/>
      <c r="AG553" s="66"/>
      <c r="AH553" s="66"/>
      <c r="AI553" s="66"/>
      <c r="AJ553" s="66"/>
      <c r="AK553" s="66"/>
      <c r="AL553" s="54">
        <f>IF((AC553-SUM(AE553:AK553))&lt;0,0,AC553-SUM(AE553:AK553))</f>
        <v>1</v>
      </c>
      <c r="AM553" s="69">
        <f>SUM(AN553:AT553)</f>
        <v>0</v>
      </c>
      <c r="AN553" s="60"/>
      <c r="AO553" s="52"/>
      <c r="AP553" s="52"/>
      <c r="AQ553" s="52"/>
      <c r="AR553" s="52"/>
      <c r="AS553" s="52"/>
      <c r="AT553" s="61"/>
      <c r="AU553" s="66">
        <f>MAX(0,$AM553-$AC553-$AW553)</f>
        <v>0</v>
      </c>
      <c r="AV553" s="66"/>
      <c r="AW553" s="66"/>
      <c r="AX553" s="65">
        <v>0</v>
      </c>
      <c r="AY553" s="65">
        <f>IF(AND($AU553&gt;0,ISNUMBER($AX553)),$AU553*$AX553,0)</f>
        <v>0</v>
      </c>
      <c r="AZ553" s="46"/>
      <c r="BA553" s="52"/>
      <c r="BB553" s="52"/>
      <c r="BC553" s="52"/>
      <c r="BD553" s="52"/>
      <c r="BE553" s="52"/>
      <c r="BF553" s="52"/>
    </row>
    <row r="554" spans="1:58" ht="15" customHeight="1">
      <c r="A554" s="46" t="s">
        <v>3226</v>
      </c>
      <c r="B554" s="53" t="s">
        <v>3227</v>
      </c>
      <c r="C554" s="66" t="s">
        <v>101</v>
      </c>
      <c r="D554" s="67">
        <v>2</v>
      </c>
      <c r="E554" s="53" t="s">
        <v>81</v>
      </c>
      <c r="F554" s="50">
        <v>0</v>
      </c>
      <c r="G554" s="50">
        <v>3</v>
      </c>
      <c r="H554" s="51" t="s">
        <v>221</v>
      </c>
      <c r="I554" s="50" t="s">
        <v>3228</v>
      </c>
      <c r="J554" s="54" t="s">
        <v>73</v>
      </c>
      <c r="K554" s="58" t="s">
        <v>164</v>
      </c>
      <c r="L554" s="58" t="s">
        <v>1448</v>
      </c>
      <c r="M554" s="58" t="s">
        <v>3229</v>
      </c>
      <c r="N554" s="58"/>
      <c r="O554" s="54"/>
      <c r="P554" s="56" t="s">
        <v>86</v>
      </c>
      <c r="Q554" s="58" t="s">
        <v>2129</v>
      </c>
      <c r="R554" s="50"/>
      <c r="S554" s="50"/>
      <c r="T554" s="50"/>
      <c r="U554" s="50"/>
      <c r="V554" s="57">
        <v>1.03</v>
      </c>
      <c r="W554" s="68"/>
      <c r="X554" s="50"/>
      <c r="Y554" s="50"/>
      <c r="Z554" s="50"/>
      <c r="AA554" s="50"/>
      <c r="AB554" s="57"/>
      <c r="AC554" s="54">
        <v>1</v>
      </c>
      <c r="AD554" s="69">
        <f>SUM(AE554:AK554)</f>
        <v>1</v>
      </c>
      <c r="AE554" s="66"/>
      <c r="AF554" s="66"/>
      <c r="AG554" s="66"/>
      <c r="AH554" s="66">
        <v>1</v>
      </c>
      <c r="AI554" s="66"/>
      <c r="AJ554" s="66"/>
      <c r="AK554" s="66"/>
      <c r="AL554" s="54">
        <f>IF((AC554-SUM(AE554:AK554))&lt;0,0,AC554-SUM(AE554:AK554))</f>
        <v>0</v>
      </c>
      <c r="AM554" s="69">
        <f>SUM(AN554:AT554)</f>
        <v>1</v>
      </c>
      <c r="AN554" s="60"/>
      <c r="AO554" s="52"/>
      <c r="AP554" s="52"/>
      <c r="AQ554" s="52">
        <v>1</v>
      </c>
      <c r="AR554" s="52"/>
      <c r="AS554" s="52"/>
      <c r="AT554" s="61"/>
      <c r="AU554" s="66">
        <f>MAX(0,$AM554-$AC554-$AW554)</f>
        <v>0</v>
      </c>
      <c r="AV554" s="66"/>
      <c r="AW554" s="66"/>
      <c r="AX554" s="65">
        <v>0</v>
      </c>
      <c r="AY554" s="65">
        <f>IF(AND($AU554&gt;0,ISNUMBER($AX554)),$AU554*$AX554,0)</f>
        <v>0</v>
      </c>
      <c r="AZ554" s="46"/>
      <c r="BA554" s="52"/>
      <c r="BB554" s="52"/>
      <c r="BC554" s="52"/>
      <c r="BD554" s="52"/>
      <c r="BE554" s="52"/>
      <c r="BF554" s="52"/>
    </row>
    <row r="555" spans="1:58" ht="15" customHeight="1">
      <c r="A555" s="46" t="s">
        <v>3230</v>
      </c>
      <c r="B555" s="53" t="s">
        <v>3231</v>
      </c>
      <c r="C555" s="66" t="s">
        <v>101</v>
      </c>
      <c r="D555" s="67">
        <v>2</v>
      </c>
      <c r="E555" s="53" t="s">
        <v>110</v>
      </c>
      <c r="F555" s="50">
        <v>1</v>
      </c>
      <c r="G555" s="50">
        <v>1</v>
      </c>
      <c r="H555" s="51" t="s">
        <v>252</v>
      </c>
      <c r="I555" s="50" t="s">
        <v>3232</v>
      </c>
      <c r="J555" s="54" t="s">
        <v>73</v>
      </c>
      <c r="K555" s="53" t="s">
        <v>135</v>
      </c>
      <c r="L555" s="53" t="s">
        <v>3233</v>
      </c>
      <c r="M555" s="53" t="s">
        <v>3234</v>
      </c>
      <c r="N555" s="53"/>
      <c r="O555" s="56">
        <v>6418</v>
      </c>
      <c r="P555" s="56" t="s">
        <v>185</v>
      </c>
      <c r="Q555" s="53" t="s">
        <v>691</v>
      </c>
      <c r="R555" s="50" t="s">
        <v>3235</v>
      </c>
      <c r="S555" s="50">
        <v>1</v>
      </c>
      <c r="T555" s="50">
        <v>0</v>
      </c>
      <c r="U555" s="56" t="s">
        <v>3071</v>
      </c>
      <c r="V555" s="57">
        <v>1.03</v>
      </c>
      <c r="W555" s="56"/>
      <c r="X555" s="50"/>
      <c r="Y555" s="50"/>
      <c r="Z555" s="50"/>
      <c r="AA555" s="56"/>
      <c r="AB555" s="57"/>
      <c r="AC555" s="54">
        <v>1</v>
      </c>
      <c r="AD555" s="69">
        <f>SUM(AE555:AK555)</f>
        <v>0</v>
      </c>
      <c r="AE555" s="66"/>
      <c r="AF555" s="66"/>
      <c r="AG555" s="66"/>
      <c r="AH555" s="66"/>
      <c r="AI555" s="66"/>
      <c r="AJ555" s="66"/>
      <c r="AK555" s="66"/>
      <c r="AL555" s="54">
        <f>IF((AC555-SUM(AE555:AK555))&lt;0,0,AC555-SUM(AE555:AK555))</f>
        <v>1</v>
      </c>
      <c r="AM555" s="69">
        <f>SUM(AN555:AT555)</f>
        <v>0</v>
      </c>
      <c r="AN555" s="60"/>
      <c r="AO555" s="52"/>
      <c r="AP555" s="52"/>
      <c r="AQ555" s="52"/>
      <c r="AR555" s="52"/>
      <c r="AS555" s="52"/>
      <c r="AT555" s="61"/>
      <c r="AU555" s="66">
        <f>MAX(0,$AM555-$AC555-$AW555)</f>
        <v>0</v>
      </c>
      <c r="AV555" s="66"/>
      <c r="AW555" s="66"/>
      <c r="AX555" s="65">
        <v>0</v>
      </c>
      <c r="AY555" s="65">
        <f>IF(AND($AU555&gt;0,ISNUMBER($AX555)),$AU555*$AX555,0)</f>
        <v>0</v>
      </c>
      <c r="AZ555" s="46"/>
      <c r="BA555" s="52"/>
      <c r="BB555" s="52"/>
      <c r="BC555" s="52"/>
      <c r="BD555" s="52"/>
      <c r="BE555" s="52"/>
      <c r="BF555" s="52"/>
    </row>
    <row r="556" spans="1:58" ht="15" customHeight="1">
      <c r="A556" s="46" t="s">
        <v>3236</v>
      </c>
      <c r="B556" s="53" t="s">
        <v>3237</v>
      </c>
      <c r="C556" s="66" t="s">
        <v>181</v>
      </c>
      <c r="D556" s="67">
        <v>2</v>
      </c>
      <c r="E556" s="53" t="s">
        <v>384</v>
      </c>
      <c r="F556" s="50"/>
      <c r="G556" s="50"/>
      <c r="H556" s="51"/>
      <c r="I556" s="50" t="s">
        <v>3238</v>
      </c>
      <c r="J556" s="54" t="s">
        <v>73</v>
      </c>
      <c r="K556" s="58" t="s">
        <v>129</v>
      </c>
      <c r="L556" s="58" t="s">
        <v>3239</v>
      </c>
      <c r="M556" s="58" t="s">
        <v>3240</v>
      </c>
      <c r="N556" s="58"/>
      <c r="O556" s="54"/>
      <c r="P556" s="56" t="s">
        <v>86</v>
      </c>
      <c r="Q556" s="58" t="s">
        <v>462</v>
      </c>
      <c r="R556" s="50"/>
      <c r="S556" s="50"/>
      <c r="T556" s="50"/>
      <c r="U556" s="50"/>
      <c r="V556" s="57">
        <v>1.01</v>
      </c>
      <c r="W556" s="68"/>
      <c r="X556" s="50"/>
      <c r="Y556" s="50"/>
      <c r="Z556" s="50"/>
      <c r="AA556" s="50"/>
      <c r="AB556" s="57"/>
      <c r="AC556" s="54">
        <v>1</v>
      </c>
      <c r="AD556" s="69">
        <f>SUM(AE556:AK556)</f>
        <v>1</v>
      </c>
      <c r="AE556" s="66"/>
      <c r="AF556" s="66"/>
      <c r="AG556" s="66"/>
      <c r="AH556" s="66"/>
      <c r="AI556" s="66">
        <v>1</v>
      </c>
      <c r="AJ556" s="66"/>
      <c r="AK556" s="66"/>
      <c r="AL556" s="54">
        <f>IF((AC556-SUM(AE556:AK556))&lt;0,0,AC556-SUM(AE556:AK556))</f>
        <v>0</v>
      </c>
      <c r="AM556" s="69">
        <f>SUM(AN556:AT556)</f>
        <v>0</v>
      </c>
      <c r="AN556" s="60"/>
      <c r="AO556" s="52"/>
      <c r="AP556" s="52"/>
      <c r="AQ556" s="52"/>
      <c r="AR556" s="52"/>
      <c r="AS556" s="52"/>
      <c r="AT556" s="61"/>
      <c r="AU556" s="66">
        <f>MAX(0,$AM556-$AC556-$AW556)</f>
        <v>0</v>
      </c>
      <c r="AV556" s="66"/>
      <c r="AW556" s="66"/>
      <c r="AX556" s="65">
        <v>0</v>
      </c>
      <c r="AY556" s="65">
        <f>IF(AND($AU556&gt;0,ISNUMBER($AX556)),$AU556*$AX556,0)</f>
        <v>0</v>
      </c>
      <c r="AZ556" s="46"/>
      <c r="BA556" s="52"/>
      <c r="BB556" s="52"/>
      <c r="BC556" s="52"/>
      <c r="BD556" s="52" t="s">
        <v>238</v>
      </c>
      <c r="BE556" s="52"/>
      <c r="BF556" s="52"/>
    </row>
    <row r="557" spans="1:58" ht="15" customHeight="1">
      <c r="A557" s="46" t="s">
        <v>3241</v>
      </c>
      <c r="B557" s="53" t="s">
        <v>3242</v>
      </c>
      <c r="C557" s="66" t="s">
        <v>311</v>
      </c>
      <c r="D557" s="67">
        <v>0</v>
      </c>
      <c r="E557" s="53" t="s">
        <v>312</v>
      </c>
      <c r="F557" s="50"/>
      <c r="G557" s="50"/>
      <c r="H557" s="51"/>
      <c r="I557" s="50" t="s">
        <v>3243</v>
      </c>
      <c r="J557" s="54" t="s">
        <v>73</v>
      </c>
      <c r="K557" s="53" t="s">
        <v>312</v>
      </c>
      <c r="L557" s="53" t="s">
        <v>1358</v>
      </c>
      <c r="M557" s="53" t="s">
        <v>1320</v>
      </c>
      <c r="N557" s="53"/>
      <c r="O557" s="54"/>
      <c r="P557" s="56" t="s">
        <v>312</v>
      </c>
      <c r="Q557" s="53" t="s">
        <v>691</v>
      </c>
      <c r="R557" s="50" t="s">
        <v>3244</v>
      </c>
      <c r="S557" s="50">
        <v>1</v>
      </c>
      <c r="T557" s="50">
        <v>0</v>
      </c>
      <c r="U557" s="56" t="s">
        <v>3245</v>
      </c>
      <c r="V557" s="57">
        <v>1</v>
      </c>
      <c r="W557" s="56"/>
      <c r="X557" s="50"/>
      <c r="Y557" s="50"/>
      <c r="Z557" s="50"/>
      <c r="AA557" s="56"/>
      <c r="AB557" s="57"/>
      <c r="AC557" s="54">
        <v>1</v>
      </c>
      <c r="AD557" s="69">
        <f>SUM(AE557:AK557)</f>
        <v>0</v>
      </c>
      <c r="AE557" s="66"/>
      <c r="AF557" s="66"/>
      <c r="AG557" s="66"/>
      <c r="AH557" s="66"/>
      <c r="AI557" s="66"/>
      <c r="AJ557" s="66"/>
      <c r="AK557" s="66"/>
      <c r="AL557" s="54">
        <f>IF((AC557-SUM(AE557:AK557))&lt;0,0,AC557-SUM(AE557:AK557))</f>
        <v>1</v>
      </c>
      <c r="AM557" s="69">
        <f>SUM(AN557:AT557)</f>
        <v>0</v>
      </c>
      <c r="AN557" s="60"/>
      <c r="AO557" s="52"/>
      <c r="AP557" s="52"/>
      <c r="AQ557" s="52"/>
      <c r="AR557" s="52"/>
      <c r="AS557" s="52"/>
      <c r="AT557" s="61"/>
      <c r="AU557" s="66">
        <f>MAX(0,$AM557-$AC557-$AW557)</f>
        <v>0</v>
      </c>
      <c r="AV557" s="66"/>
      <c r="AW557" s="66"/>
      <c r="AX557" s="65">
        <v>0</v>
      </c>
      <c r="AY557" s="65">
        <f>IF(AND($AU557&gt;0,ISNUMBER($AX557)),$AU557*$AX557,0)</f>
        <v>0</v>
      </c>
      <c r="AZ557" s="46"/>
      <c r="BA557" s="52"/>
      <c r="BB557" s="52"/>
      <c r="BC557" s="52"/>
      <c r="BD557" s="52"/>
      <c r="BE557" s="52"/>
      <c r="BF557" s="52"/>
    </row>
    <row r="558" spans="1:58" ht="15" customHeight="1">
      <c r="A558" s="46" t="s">
        <v>3246</v>
      </c>
      <c r="B558" s="53" t="s">
        <v>3247</v>
      </c>
      <c r="C558" s="66" t="s">
        <v>232</v>
      </c>
      <c r="D558" s="67">
        <v>6</v>
      </c>
      <c r="E558" s="53" t="s">
        <v>531</v>
      </c>
      <c r="F558" s="50">
        <v>4</v>
      </c>
      <c r="G558" s="50">
        <v>4</v>
      </c>
      <c r="H558" s="51" t="s">
        <v>3248</v>
      </c>
      <c r="I558" s="50" t="s">
        <v>3249</v>
      </c>
      <c r="J558" s="54" t="s">
        <v>73</v>
      </c>
      <c r="K558" s="53" t="s">
        <v>726</v>
      </c>
      <c r="L558" s="53" t="s">
        <v>3250</v>
      </c>
      <c r="M558" s="53" t="s">
        <v>136</v>
      </c>
      <c r="N558" s="53"/>
      <c r="O558" s="54"/>
      <c r="P558" s="56" t="s">
        <v>185</v>
      </c>
      <c r="Q558" s="53" t="s">
        <v>691</v>
      </c>
      <c r="R558" s="50" t="s">
        <v>3251</v>
      </c>
      <c r="S558" s="50">
        <v>1</v>
      </c>
      <c r="T558" s="50">
        <v>1</v>
      </c>
      <c r="U558" s="56" t="s">
        <v>2905</v>
      </c>
      <c r="V558" s="57">
        <v>0.99</v>
      </c>
      <c r="W558" s="56"/>
      <c r="X558" s="50"/>
      <c r="Y558" s="50"/>
      <c r="Z558" s="50"/>
      <c r="AA558" s="56"/>
      <c r="AB558" s="57"/>
      <c r="AC558" s="54">
        <v>1</v>
      </c>
      <c r="AD558" s="69">
        <f>SUM(AE558:AK558)</f>
        <v>0</v>
      </c>
      <c r="AE558" s="66"/>
      <c r="AF558" s="66"/>
      <c r="AG558" s="66"/>
      <c r="AH558" s="66"/>
      <c r="AI558" s="66"/>
      <c r="AJ558" s="66"/>
      <c r="AK558" s="66"/>
      <c r="AL558" s="54">
        <f>IF((AC558-SUM(AE558:AK558))&lt;0,0,AC558-SUM(AE558:AK558))</f>
        <v>1</v>
      </c>
      <c r="AM558" s="69">
        <f>SUM(AN558:AT558)</f>
        <v>0</v>
      </c>
      <c r="AN558" s="60"/>
      <c r="AO558" s="52"/>
      <c r="AP558" s="52"/>
      <c r="AQ558" s="52"/>
      <c r="AR558" s="52"/>
      <c r="AS558" s="52"/>
      <c r="AT558" s="61"/>
      <c r="AU558" s="66">
        <f>MAX(0,$AM558-$AC558-$AW558)</f>
        <v>0</v>
      </c>
      <c r="AV558" s="66"/>
      <c r="AW558" s="66"/>
      <c r="AX558" s="65">
        <v>0</v>
      </c>
      <c r="AY558" s="65">
        <f>IF(AND($AU558&gt;0,ISNUMBER($AX558)),$AU558*$AX558,0)</f>
        <v>0</v>
      </c>
      <c r="AZ558" s="46"/>
      <c r="BA558" s="52"/>
      <c r="BB558" s="52"/>
      <c r="BC558" s="52"/>
      <c r="BD558" s="52"/>
      <c r="BE558" s="52"/>
      <c r="BF558" s="52"/>
    </row>
    <row r="559" spans="1:58" ht="15" customHeight="1">
      <c r="A559" s="46" t="s">
        <v>3252</v>
      </c>
      <c r="B559" s="53" t="s">
        <v>3253</v>
      </c>
      <c r="C559" s="66" t="s">
        <v>109</v>
      </c>
      <c r="D559" s="67">
        <v>3</v>
      </c>
      <c r="E559" s="53" t="s">
        <v>81</v>
      </c>
      <c r="F559" s="50">
        <v>4</v>
      </c>
      <c r="G559" s="50">
        <v>4</v>
      </c>
      <c r="H559" s="51" t="s">
        <v>1019</v>
      </c>
      <c r="I559" s="50" t="s">
        <v>3254</v>
      </c>
      <c r="J559" s="54" t="s">
        <v>73</v>
      </c>
      <c r="K559" s="53" t="s">
        <v>92</v>
      </c>
      <c r="L559" s="53" t="s">
        <v>3255</v>
      </c>
      <c r="M559" s="53" t="s">
        <v>3256</v>
      </c>
      <c r="N559" s="53"/>
      <c r="O559" s="54"/>
      <c r="P559" s="56" t="s">
        <v>86</v>
      </c>
      <c r="Q559" s="53" t="s">
        <v>691</v>
      </c>
      <c r="R559" s="50" t="s">
        <v>3257</v>
      </c>
      <c r="S559" s="50">
        <v>1</v>
      </c>
      <c r="T559" s="50">
        <v>0</v>
      </c>
      <c r="U559" s="56" t="s">
        <v>3258</v>
      </c>
      <c r="V559" s="57">
        <v>0.99</v>
      </c>
      <c r="W559" s="56"/>
      <c r="X559" s="50"/>
      <c r="Y559" s="50"/>
      <c r="Z559" s="50"/>
      <c r="AA559" s="56"/>
      <c r="AB559" s="57"/>
      <c r="AC559" s="54">
        <v>1</v>
      </c>
      <c r="AD559" s="69">
        <f>SUM(AE559:AK559)</f>
        <v>0</v>
      </c>
      <c r="AE559" s="66"/>
      <c r="AF559" s="66"/>
      <c r="AG559" s="66"/>
      <c r="AH559" s="66"/>
      <c r="AI559" s="66"/>
      <c r="AJ559" s="66"/>
      <c r="AK559" s="66"/>
      <c r="AL559" s="54">
        <f>IF((AC559-SUM(AE559:AK559))&lt;0,0,AC559-SUM(AE559:AK559))</f>
        <v>1</v>
      </c>
      <c r="AM559" s="69">
        <f>SUM(AN559:AT559)</f>
        <v>0</v>
      </c>
      <c r="AN559" s="60"/>
      <c r="AO559" s="52"/>
      <c r="AP559" s="52"/>
      <c r="AQ559" s="52"/>
      <c r="AR559" s="52"/>
      <c r="AS559" s="52"/>
      <c r="AT559" s="61"/>
      <c r="AU559" s="66">
        <f>MAX(0,$AM559-$AC559-$AW559)</f>
        <v>0</v>
      </c>
      <c r="AV559" s="66"/>
      <c r="AW559" s="66"/>
      <c r="AX559" s="65">
        <v>0</v>
      </c>
      <c r="AY559" s="65">
        <f>IF(AND($AU559&gt;0,ISNUMBER($AX559)),$AU559*$AX559,0)</f>
        <v>0</v>
      </c>
      <c r="AZ559" s="46"/>
      <c r="BA559" s="52"/>
      <c r="BB559" s="52"/>
      <c r="BC559" s="52"/>
      <c r="BD559" s="52"/>
      <c r="BE559" s="52"/>
      <c r="BF559" s="52"/>
    </row>
    <row r="560" spans="1:58" ht="15" customHeight="1">
      <c r="A560" s="46" t="s">
        <v>3259</v>
      </c>
      <c r="B560" s="53" t="s">
        <v>3260</v>
      </c>
      <c r="C560" s="66" t="s">
        <v>101</v>
      </c>
      <c r="D560" s="67">
        <v>7</v>
      </c>
      <c r="E560" s="53" t="s">
        <v>110</v>
      </c>
      <c r="F560" s="50">
        <v>7</v>
      </c>
      <c r="G560" s="50">
        <v>7</v>
      </c>
      <c r="H560" s="51" t="s">
        <v>3261</v>
      </c>
      <c r="I560" s="50" t="s">
        <v>3262</v>
      </c>
      <c r="J560" s="54" t="s">
        <v>73</v>
      </c>
      <c r="K560" s="53" t="s">
        <v>170</v>
      </c>
      <c r="L560" s="53" t="s">
        <v>2011</v>
      </c>
      <c r="M560" s="53" t="s">
        <v>3263</v>
      </c>
      <c r="N560" s="53" t="s">
        <v>3264</v>
      </c>
      <c r="O560" s="56">
        <v>5563</v>
      </c>
      <c r="P560" s="56" t="s">
        <v>185</v>
      </c>
      <c r="Q560" s="53" t="s">
        <v>691</v>
      </c>
      <c r="R560" s="50" t="s">
        <v>3265</v>
      </c>
      <c r="S560" s="50">
        <v>1</v>
      </c>
      <c r="T560" s="50">
        <v>0</v>
      </c>
      <c r="U560" s="56" t="s">
        <v>3266</v>
      </c>
      <c r="V560" s="57">
        <v>0.99</v>
      </c>
      <c r="W560" s="56"/>
      <c r="X560" s="50"/>
      <c r="Y560" s="50"/>
      <c r="Z560" s="50"/>
      <c r="AA560" s="56"/>
      <c r="AB560" s="57"/>
      <c r="AC560" s="54">
        <v>1</v>
      </c>
      <c r="AD560" s="69">
        <f>SUM(AE560:AK560)</f>
        <v>0</v>
      </c>
      <c r="AE560" s="66"/>
      <c r="AF560" s="66"/>
      <c r="AG560" s="66"/>
      <c r="AH560" s="66"/>
      <c r="AI560" s="66"/>
      <c r="AJ560" s="66"/>
      <c r="AK560" s="66"/>
      <c r="AL560" s="54">
        <f>IF((AC560-SUM(AE560:AK560))&lt;0,0,AC560-SUM(AE560:AK560))</f>
        <v>1</v>
      </c>
      <c r="AM560" s="69">
        <f>SUM(AN560:AT560)</f>
        <v>0</v>
      </c>
      <c r="AN560" s="60"/>
      <c r="AO560" s="52"/>
      <c r="AP560" s="52"/>
      <c r="AQ560" s="52"/>
      <c r="AR560" s="52"/>
      <c r="AS560" s="52"/>
      <c r="AT560" s="61"/>
      <c r="AU560" s="66">
        <f>MAX(0,$AM560-$AC560-$AW560)</f>
        <v>0</v>
      </c>
      <c r="AV560" s="66"/>
      <c r="AW560" s="66"/>
      <c r="AX560" s="65">
        <v>0</v>
      </c>
      <c r="AY560" s="65">
        <f>IF(AND($AU560&gt;0,ISNUMBER($AX560)),$AU560*$AX560,0)</f>
        <v>0</v>
      </c>
      <c r="AZ560" s="46"/>
      <c r="BA560" s="52"/>
      <c r="BB560" s="52"/>
      <c r="BC560" s="52"/>
      <c r="BD560" s="52"/>
      <c r="BE560" s="52"/>
      <c r="BF560" s="52"/>
    </row>
    <row r="561" spans="1:58" ht="15" customHeight="1">
      <c r="A561" s="46" t="s">
        <v>3267</v>
      </c>
      <c r="B561" s="53" t="s">
        <v>3268</v>
      </c>
      <c r="C561" s="66" t="s">
        <v>118</v>
      </c>
      <c r="D561" s="67">
        <v>5</v>
      </c>
      <c r="E561" s="53" t="s">
        <v>531</v>
      </c>
      <c r="F561" s="50">
        <v>4</v>
      </c>
      <c r="G561" s="50">
        <v>4</v>
      </c>
      <c r="H561" s="51" t="s">
        <v>1196</v>
      </c>
      <c r="I561" s="50" t="s">
        <v>3269</v>
      </c>
      <c r="J561" s="54" t="s">
        <v>73</v>
      </c>
      <c r="K561" s="58" t="s">
        <v>474</v>
      </c>
      <c r="L561" s="58" t="s">
        <v>3270</v>
      </c>
      <c r="M561" s="58"/>
      <c r="N561" s="58"/>
      <c r="O561" s="54"/>
      <c r="P561" s="56" t="s">
        <v>86</v>
      </c>
      <c r="Q561" s="58" t="s">
        <v>2803</v>
      </c>
      <c r="R561" s="50"/>
      <c r="S561" s="50"/>
      <c r="T561" s="50"/>
      <c r="U561" s="56"/>
      <c r="V561" s="57">
        <v>0.99</v>
      </c>
      <c r="W561" s="68"/>
      <c r="X561" s="50"/>
      <c r="Y561" s="50"/>
      <c r="Z561" s="50"/>
      <c r="AA561" s="56"/>
      <c r="AB561" s="57"/>
      <c r="AC561" s="54">
        <v>1</v>
      </c>
      <c r="AD561" s="69">
        <f>SUM(AE561:AK561)</f>
        <v>0</v>
      </c>
      <c r="AE561" s="66"/>
      <c r="AF561" s="66"/>
      <c r="AG561" s="66"/>
      <c r="AH561" s="66"/>
      <c r="AI561" s="66"/>
      <c r="AJ561" s="66"/>
      <c r="AK561" s="66"/>
      <c r="AL561" s="54">
        <f>IF((AC561-SUM(AE561:AK561))&lt;0,0,AC561-SUM(AE561:AK561))</f>
        <v>1</v>
      </c>
      <c r="AM561" s="69">
        <f>SUM(AN561:AT561)</f>
        <v>0</v>
      </c>
      <c r="AN561" s="60"/>
      <c r="AO561" s="52"/>
      <c r="AP561" s="52"/>
      <c r="AQ561" s="52"/>
      <c r="AR561" s="52"/>
      <c r="AS561" s="52"/>
      <c r="AT561" s="61"/>
      <c r="AU561" s="66">
        <f>MAX(0,$AM561-$AC561-$AW561)</f>
        <v>0</v>
      </c>
      <c r="AV561" s="66"/>
      <c r="AW561" s="66"/>
      <c r="AX561" s="65">
        <v>0</v>
      </c>
      <c r="AY561" s="65">
        <f>IF(AND($AU561&gt;0,ISNUMBER($AX561)),$AU561*$AX561,0)</f>
        <v>0</v>
      </c>
      <c r="AZ561" s="46"/>
      <c r="BA561" s="52"/>
      <c r="BB561" s="52"/>
      <c r="BC561" s="52"/>
      <c r="BD561" s="52"/>
      <c r="BE561" s="52"/>
      <c r="BF561" s="52"/>
    </row>
    <row r="562" spans="1:58" ht="15" customHeight="1">
      <c r="A562" s="46" t="s">
        <v>3271</v>
      </c>
      <c r="B562" s="53" t="s">
        <v>3272</v>
      </c>
      <c r="C562" s="66" t="s">
        <v>101</v>
      </c>
      <c r="D562" s="67">
        <v>3</v>
      </c>
      <c r="E562" s="53" t="s">
        <v>81</v>
      </c>
      <c r="F562" s="50">
        <v>2</v>
      </c>
      <c r="G562" s="50">
        <v>3</v>
      </c>
      <c r="H562" s="51" t="s">
        <v>3273</v>
      </c>
      <c r="I562" s="50" t="s">
        <v>3274</v>
      </c>
      <c r="J562" s="54" t="s">
        <v>73</v>
      </c>
      <c r="K562" s="53" t="s">
        <v>104</v>
      </c>
      <c r="L562" s="53" t="s">
        <v>3275</v>
      </c>
      <c r="M562" s="53" t="s">
        <v>3276</v>
      </c>
      <c r="N562" s="53"/>
      <c r="O562" s="54"/>
      <c r="P562" s="56" t="s">
        <v>76</v>
      </c>
      <c r="Q562" s="53" t="s">
        <v>691</v>
      </c>
      <c r="R562" s="50" t="s">
        <v>3277</v>
      </c>
      <c r="S562" s="50">
        <v>1</v>
      </c>
      <c r="T562" s="50">
        <v>0</v>
      </c>
      <c r="U562" s="56" t="s">
        <v>2609</v>
      </c>
      <c r="V562" s="57">
        <v>0.98</v>
      </c>
      <c r="W562" s="56"/>
      <c r="X562" s="50"/>
      <c r="Y562" s="50"/>
      <c r="Z562" s="50"/>
      <c r="AA562" s="56"/>
      <c r="AB562" s="57"/>
      <c r="AC562" s="54">
        <v>1</v>
      </c>
      <c r="AD562" s="69">
        <f>SUM(AE562:AK562)</f>
        <v>0</v>
      </c>
      <c r="AE562" s="66"/>
      <c r="AF562" s="66"/>
      <c r="AG562" s="66"/>
      <c r="AH562" s="66"/>
      <c r="AI562" s="66"/>
      <c r="AJ562" s="66"/>
      <c r="AK562" s="66"/>
      <c r="AL562" s="54">
        <f>IF((AC562-SUM(AE562:AK562))&lt;0,0,AC562-SUM(AE562:AK562))</f>
        <v>1</v>
      </c>
      <c r="AM562" s="69">
        <f>SUM(AN562:AT562)</f>
        <v>0</v>
      </c>
      <c r="AN562" s="60"/>
      <c r="AO562" s="52"/>
      <c r="AP562" s="52"/>
      <c r="AQ562" s="52"/>
      <c r="AR562" s="52"/>
      <c r="AS562" s="52"/>
      <c r="AT562" s="61"/>
      <c r="AU562" s="66">
        <f>MAX(0,$AM562-$AC562-$AW562)</f>
        <v>0</v>
      </c>
      <c r="AV562" s="66"/>
      <c r="AW562" s="66"/>
      <c r="AX562" s="65">
        <v>0</v>
      </c>
      <c r="AY562" s="65">
        <f>IF(AND($AU562&gt;0,ISNUMBER($AX562)),$AU562*$AX562,0)</f>
        <v>0</v>
      </c>
      <c r="AZ562" s="46"/>
      <c r="BA562" s="52"/>
      <c r="BB562" s="52"/>
      <c r="BC562" s="52"/>
      <c r="BD562" s="52"/>
      <c r="BE562" s="52"/>
      <c r="BF562" s="52"/>
    </row>
    <row r="563" spans="1:58" ht="15" customHeight="1">
      <c r="A563" s="46" t="s">
        <v>3278</v>
      </c>
      <c r="B563" s="53" t="s">
        <v>3279</v>
      </c>
      <c r="C563" s="66" t="s">
        <v>80</v>
      </c>
      <c r="D563" s="67">
        <v>3</v>
      </c>
      <c r="E563" s="53" t="s">
        <v>384</v>
      </c>
      <c r="F563" s="50"/>
      <c r="G563" s="50"/>
      <c r="H563" s="51" t="s">
        <v>1256</v>
      </c>
      <c r="I563" s="50" t="s">
        <v>3280</v>
      </c>
      <c r="J563" s="54" t="s">
        <v>73</v>
      </c>
      <c r="K563" s="53" t="s">
        <v>135</v>
      </c>
      <c r="L563" s="53" t="s">
        <v>3281</v>
      </c>
      <c r="M563" s="53" t="s">
        <v>3282</v>
      </c>
      <c r="N563" s="53"/>
      <c r="O563" s="54"/>
      <c r="P563" s="56" t="s">
        <v>76</v>
      </c>
      <c r="Q563" s="53" t="s">
        <v>691</v>
      </c>
      <c r="R563" s="50" t="s">
        <v>3283</v>
      </c>
      <c r="S563" s="50">
        <v>1</v>
      </c>
      <c r="T563" s="50">
        <v>0</v>
      </c>
      <c r="U563" s="56" t="s">
        <v>3284</v>
      </c>
      <c r="V563" s="57">
        <v>0.98</v>
      </c>
      <c r="W563" s="56"/>
      <c r="X563" s="50"/>
      <c r="Y563" s="50"/>
      <c r="Z563" s="50"/>
      <c r="AA563" s="56"/>
      <c r="AB563" s="57"/>
      <c r="AC563" s="54">
        <v>1</v>
      </c>
      <c r="AD563" s="69">
        <f>SUM(AE563:AK563)</f>
        <v>0</v>
      </c>
      <c r="AE563" s="66"/>
      <c r="AF563" s="66"/>
      <c r="AG563" s="66"/>
      <c r="AH563" s="66"/>
      <c r="AI563" s="66"/>
      <c r="AJ563" s="66"/>
      <c r="AK563" s="66"/>
      <c r="AL563" s="54">
        <f>IF((AC563-SUM(AE563:AK563))&lt;0,0,AC563-SUM(AE563:AK563))</f>
        <v>1</v>
      </c>
      <c r="AM563" s="69">
        <f>SUM(AN563:AT563)</f>
        <v>0</v>
      </c>
      <c r="AN563" s="60"/>
      <c r="AO563" s="52"/>
      <c r="AP563" s="52"/>
      <c r="AQ563" s="52"/>
      <c r="AR563" s="52"/>
      <c r="AS563" s="52"/>
      <c r="AT563" s="61"/>
      <c r="AU563" s="66">
        <f>MAX(0,$AM563-$AC563-$AW563)</f>
        <v>0</v>
      </c>
      <c r="AV563" s="66"/>
      <c r="AW563" s="66"/>
      <c r="AX563" s="65">
        <v>0</v>
      </c>
      <c r="AY563" s="65">
        <f>IF(AND($AU563&gt;0,ISNUMBER($AX563)),$AU563*$AX563,0)</f>
        <v>0</v>
      </c>
      <c r="AZ563" s="46"/>
      <c r="BA563" s="52"/>
      <c r="BB563" s="52"/>
      <c r="BC563" s="52"/>
      <c r="BD563" s="52"/>
      <c r="BE563" s="52"/>
      <c r="BF563" s="52"/>
    </row>
    <row r="564" spans="1:58" ht="15" customHeight="1">
      <c r="A564" s="46" t="s">
        <v>3285</v>
      </c>
      <c r="B564" s="53" t="s">
        <v>3286</v>
      </c>
      <c r="C564" s="66" t="s">
        <v>109</v>
      </c>
      <c r="D564" s="67">
        <v>3</v>
      </c>
      <c r="E564" s="53" t="s">
        <v>110</v>
      </c>
      <c r="F564" s="50">
        <v>1</v>
      </c>
      <c r="G564" s="50">
        <v>2</v>
      </c>
      <c r="H564" s="51" t="s">
        <v>3287</v>
      </c>
      <c r="I564" s="50" t="s">
        <v>3288</v>
      </c>
      <c r="J564" s="54" t="s">
        <v>73</v>
      </c>
      <c r="K564" s="53" t="s">
        <v>550</v>
      </c>
      <c r="L564" s="53" t="s">
        <v>3289</v>
      </c>
      <c r="M564" s="53"/>
      <c r="N564" s="53"/>
      <c r="O564" s="56">
        <v>3467</v>
      </c>
      <c r="P564" s="56" t="s">
        <v>185</v>
      </c>
      <c r="Q564" s="53" t="s">
        <v>691</v>
      </c>
      <c r="R564" s="50" t="s">
        <v>3290</v>
      </c>
      <c r="S564" s="50">
        <v>1</v>
      </c>
      <c r="T564" s="50">
        <v>0</v>
      </c>
      <c r="U564" s="56" t="s">
        <v>2798</v>
      </c>
      <c r="V564" s="57">
        <v>0.98</v>
      </c>
      <c r="W564" s="56"/>
      <c r="X564" s="50"/>
      <c r="Y564" s="50"/>
      <c r="Z564" s="50"/>
      <c r="AA564" s="56"/>
      <c r="AB564" s="57"/>
      <c r="AC564" s="54">
        <v>1</v>
      </c>
      <c r="AD564" s="69">
        <f>SUM(AE564:AK564)</f>
        <v>0</v>
      </c>
      <c r="AE564" s="66"/>
      <c r="AF564" s="66"/>
      <c r="AG564" s="66"/>
      <c r="AH564" s="66"/>
      <c r="AI564" s="66"/>
      <c r="AJ564" s="66"/>
      <c r="AK564" s="66"/>
      <c r="AL564" s="54">
        <f>IF((AC564-SUM(AE564:AK564))&lt;0,0,AC564-SUM(AE564:AK564))</f>
        <v>1</v>
      </c>
      <c r="AM564" s="69">
        <f>SUM(AN564:AT564)</f>
        <v>0</v>
      </c>
      <c r="AN564" s="60"/>
      <c r="AO564" s="52"/>
      <c r="AP564" s="52"/>
      <c r="AQ564" s="52"/>
      <c r="AR564" s="52"/>
      <c r="AS564" s="52"/>
      <c r="AT564" s="61"/>
      <c r="AU564" s="66">
        <f>MAX(0,$AM564-$AC564-$AW564)</f>
        <v>0</v>
      </c>
      <c r="AV564" s="66"/>
      <c r="AW564" s="66"/>
      <c r="AX564" s="65">
        <v>0</v>
      </c>
      <c r="AY564" s="65">
        <f>IF(AND($AU564&gt;0,ISNUMBER($AX564)),$AU564*$AX564,0)</f>
        <v>0</v>
      </c>
      <c r="AZ564" s="46"/>
      <c r="BA564" s="52"/>
      <c r="BB564" s="52"/>
      <c r="BC564" s="52"/>
      <c r="BD564" s="52"/>
      <c r="BE564" s="52"/>
      <c r="BF564" s="52"/>
    </row>
    <row r="565" spans="1:58" ht="15" customHeight="1">
      <c r="A565" s="46" t="s">
        <v>3291</v>
      </c>
      <c r="B565" s="53" t="s">
        <v>3292</v>
      </c>
      <c r="C565" s="66" t="s">
        <v>118</v>
      </c>
      <c r="D565" s="67">
        <v>3</v>
      </c>
      <c r="E565" s="53" t="s">
        <v>110</v>
      </c>
      <c r="F565" s="50">
        <v>2</v>
      </c>
      <c r="G565" s="50">
        <v>2</v>
      </c>
      <c r="H565" s="51" t="s">
        <v>127</v>
      </c>
      <c r="I565" s="50" t="s">
        <v>3293</v>
      </c>
      <c r="J565" s="54" t="s">
        <v>73</v>
      </c>
      <c r="K565" s="58" t="s">
        <v>705</v>
      </c>
      <c r="L565" s="58" t="s">
        <v>3294</v>
      </c>
      <c r="M565" s="58" t="s">
        <v>3295</v>
      </c>
      <c r="N565" s="58"/>
      <c r="O565" s="56">
        <v>2108</v>
      </c>
      <c r="P565" s="56" t="s">
        <v>185</v>
      </c>
      <c r="Q565" s="58" t="s">
        <v>2210</v>
      </c>
      <c r="R565" s="50"/>
      <c r="S565" s="50"/>
      <c r="T565" s="50"/>
      <c r="U565" s="56"/>
      <c r="V565" s="57">
        <v>0.97</v>
      </c>
      <c r="W565" s="68"/>
      <c r="X565" s="50"/>
      <c r="Y565" s="50"/>
      <c r="Z565" s="50"/>
      <c r="AA565" s="56"/>
      <c r="AB565" s="57"/>
      <c r="AC565" s="54">
        <v>1</v>
      </c>
      <c r="AD565" s="69">
        <f>SUM(AE565:AK565)</f>
        <v>0</v>
      </c>
      <c r="AE565" s="66"/>
      <c r="AF565" s="66"/>
      <c r="AG565" s="66"/>
      <c r="AH565" s="66"/>
      <c r="AI565" s="66"/>
      <c r="AJ565" s="66"/>
      <c r="AK565" s="66"/>
      <c r="AL565" s="54">
        <f>IF((AC565-SUM(AE565:AK565))&lt;0,0,AC565-SUM(AE565:AK565))</f>
        <v>1</v>
      </c>
      <c r="AM565" s="69">
        <f>SUM(AN565:AT565)</f>
        <v>0</v>
      </c>
      <c r="AN565" s="60"/>
      <c r="AO565" s="52"/>
      <c r="AP565" s="52"/>
      <c r="AQ565" s="52"/>
      <c r="AR565" s="52"/>
      <c r="AS565" s="52"/>
      <c r="AT565" s="61"/>
      <c r="AU565" s="66">
        <f>MAX(0,$AM565-$AC565-$AW565)</f>
        <v>0</v>
      </c>
      <c r="AV565" s="66"/>
      <c r="AW565" s="66"/>
      <c r="AX565" s="65">
        <v>0</v>
      </c>
      <c r="AY565" s="65">
        <f>IF(AND($AU565&gt;0,ISNUMBER($AX565)),$AU565*$AX565,0)</f>
        <v>0</v>
      </c>
      <c r="AZ565" s="46"/>
      <c r="BA565" s="52"/>
      <c r="BB565" s="52"/>
      <c r="BC565" s="52"/>
      <c r="BD565" s="52"/>
      <c r="BE565" s="52"/>
      <c r="BF565" s="52"/>
    </row>
    <row r="566" spans="1:58" ht="15" customHeight="1">
      <c r="A566" s="46" t="s">
        <v>3296</v>
      </c>
      <c r="B566" s="53" t="s">
        <v>3297</v>
      </c>
      <c r="C566" s="66" t="s">
        <v>70</v>
      </c>
      <c r="D566" s="67">
        <v>4</v>
      </c>
      <c r="E566" s="53" t="s">
        <v>81</v>
      </c>
      <c r="F566" s="50">
        <v>2</v>
      </c>
      <c r="G566" s="50">
        <v>2</v>
      </c>
      <c r="H566" s="51" t="s">
        <v>245</v>
      </c>
      <c r="I566" s="50" t="s">
        <v>3298</v>
      </c>
      <c r="J566" s="54" t="s">
        <v>73</v>
      </c>
      <c r="K566" s="58" t="s">
        <v>2664</v>
      </c>
      <c r="L566" s="58" t="s">
        <v>3299</v>
      </c>
      <c r="M566" s="58" t="s">
        <v>3300</v>
      </c>
      <c r="N566" s="58"/>
      <c r="O566" s="54"/>
      <c r="P566" s="56" t="s">
        <v>185</v>
      </c>
      <c r="Q566" s="58" t="s">
        <v>420</v>
      </c>
      <c r="R566" s="50"/>
      <c r="S566" s="50"/>
      <c r="T566" s="50"/>
      <c r="U566" s="50"/>
      <c r="V566" s="57">
        <v>0.96</v>
      </c>
      <c r="W566" s="68"/>
      <c r="X566" s="50"/>
      <c r="Y566" s="50"/>
      <c r="Z566" s="50"/>
      <c r="AA566" s="50"/>
      <c r="AB566" s="57"/>
      <c r="AC566" s="54">
        <v>1</v>
      </c>
      <c r="AD566" s="69">
        <f>SUM(AE566:AK566)</f>
        <v>1</v>
      </c>
      <c r="AE566" s="66"/>
      <c r="AF566" s="66"/>
      <c r="AG566" s="66"/>
      <c r="AH566" s="66"/>
      <c r="AI566" s="66"/>
      <c r="AJ566" s="66">
        <v>1</v>
      </c>
      <c r="AK566" s="66"/>
      <c r="AL566" s="54">
        <f>IF((AC566-SUM(AE566:AK566))&lt;0,0,AC566-SUM(AE566:AK566))</f>
        <v>0</v>
      </c>
      <c r="AM566" s="69">
        <f>SUM(AN566:AT566)</f>
        <v>1</v>
      </c>
      <c r="AN566" s="60"/>
      <c r="AO566" s="52"/>
      <c r="AP566" s="52"/>
      <c r="AQ566" s="52"/>
      <c r="AR566" s="52"/>
      <c r="AS566" s="52">
        <v>1</v>
      </c>
      <c r="AT566" s="61"/>
      <c r="AU566" s="66">
        <f>MAX(0,$AM566-$AC566-$AW566)</f>
        <v>0</v>
      </c>
      <c r="AV566" s="66"/>
      <c r="AW566" s="66"/>
      <c r="AX566" s="65">
        <v>0</v>
      </c>
      <c r="AY566" s="65">
        <f>IF(AND($AU566&gt;0,ISNUMBER($AX566)),$AU566*$AX566,0)</f>
        <v>0</v>
      </c>
      <c r="AZ566" s="46"/>
      <c r="BA566" s="52"/>
      <c r="BB566" s="52"/>
      <c r="BC566" s="52"/>
      <c r="BD566" s="52"/>
      <c r="BE566" s="52"/>
      <c r="BF566" s="52"/>
    </row>
    <row r="567" spans="1:58" ht="15" customHeight="1">
      <c r="A567" s="46" t="s">
        <v>3301</v>
      </c>
      <c r="B567" s="53" t="s">
        <v>3302</v>
      </c>
      <c r="C567" s="66" t="s">
        <v>181</v>
      </c>
      <c r="D567" s="67">
        <v>2</v>
      </c>
      <c r="E567" s="53" t="s">
        <v>189</v>
      </c>
      <c r="F567" s="50"/>
      <c r="G567" s="50"/>
      <c r="H567" s="51"/>
      <c r="I567" s="50" t="s">
        <v>3303</v>
      </c>
      <c r="J567" s="54" t="s">
        <v>73</v>
      </c>
      <c r="K567" s="53" t="s">
        <v>135</v>
      </c>
      <c r="L567" s="53" t="s">
        <v>3304</v>
      </c>
      <c r="M567" s="53" t="s">
        <v>3305</v>
      </c>
      <c r="N567" s="53"/>
      <c r="O567" s="54"/>
      <c r="P567" s="56" t="s">
        <v>185</v>
      </c>
      <c r="Q567" s="53" t="s">
        <v>691</v>
      </c>
      <c r="R567" s="50" t="s">
        <v>3306</v>
      </c>
      <c r="S567" s="50">
        <v>1</v>
      </c>
      <c r="T567" s="50">
        <v>0</v>
      </c>
      <c r="U567" s="56" t="s">
        <v>3307</v>
      </c>
      <c r="V567" s="57">
        <v>0.95</v>
      </c>
      <c r="W567" s="56"/>
      <c r="X567" s="50"/>
      <c r="Y567" s="50"/>
      <c r="Z567" s="50"/>
      <c r="AA567" s="56"/>
      <c r="AB567" s="57"/>
      <c r="AC567" s="54">
        <v>1</v>
      </c>
      <c r="AD567" s="69">
        <f>SUM(AE567:AK567)</f>
        <v>0</v>
      </c>
      <c r="AE567" s="66"/>
      <c r="AF567" s="66"/>
      <c r="AG567" s="66"/>
      <c r="AH567" s="66"/>
      <c r="AI567" s="66"/>
      <c r="AJ567" s="66"/>
      <c r="AK567" s="66"/>
      <c r="AL567" s="54">
        <f>IF((AC567-SUM(AE567:AK567))&lt;0,0,AC567-SUM(AE567:AK567))</f>
        <v>1</v>
      </c>
      <c r="AM567" s="69">
        <f>SUM(AN567:AT567)</f>
        <v>0</v>
      </c>
      <c r="AN567" s="60"/>
      <c r="AO567" s="52"/>
      <c r="AP567" s="52"/>
      <c r="AQ567" s="52"/>
      <c r="AR567" s="52"/>
      <c r="AS567" s="52"/>
      <c r="AT567" s="61"/>
      <c r="AU567" s="66">
        <f>MAX(0,$AM567-$AC567-$AW567)</f>
        <v>0</v>
      </c>
      <c r="AV567" s="66"/>
      <c r="AW567" s="66"/>
      <c r="AX567" s="65">
        <v>0</v>
      </c>
      <c r="AY567" s="65">
        <f>IF(AND($AU567&gt;0,ISNUMBER($AX567)),$AU567*$AX567,0)</f>
        <v>0</v>
      </c>
      <c r="AZ567" s="46"/>
      <c r="BA567" s="52"/>
      <c r="BB567" s="52"/>
      <c r="BC567" s="52"/>
      <c r="BD567" s="52"/>
      <c r="BE567" s="52"/>
      <c r="BF567" s="52"/>
    </row>
    <row r="568" spans="1:58" ht="15" customHeight="1">
      <c r="A568" s="46" t="s">
        <v>3308</v>
      </c>
      <c r="B568" s="53" t="s">
        <v>3309</v>
      </c>
      <c r="C568" s="66" t="s">
        <v>118</v>
      </c>
      <c r="D568" s="67">
        <v>2</v>
      </c>
      <c r="E568" s="53" t="s">
        <v>81</v>
      </c>
      <c r="F568" s="50">
        <v>3</v>
      </c>
      <c r="G568" s="50">
        <v>2</v>
      </c>
      <c r="H568" s="51" t="s">
        <v>1232</v>
      </c>
      <c r="I568" s="50" t="s">
        <v>3310</v>
      </c>
      <c r="J568" s="54" t="s">
        <v>73</v>
      </c>
      <c r="K568" s="53" t="s">
        <v>676</v>
      </c>
      <c r="L568" s="53" t="s">
        <v>3311</v>
      </c>
      <c r="M568" s="53"/>
      <c r="N568" s="53"/>
      <c r="O568" s="54"/>
      <c r="P568" s="56" t="s">
        <v>86</v>
      </c>
      <c r="Q568" s="53" t="s">
        <v>691</v>
      </c>
      <c r="R568" s="50" t="s">
        <v>3312</v>
      </c>
      <c r="S568" s="50">
        <v>1</v>
      </c>
      <c r="T568" s="50">
        <v>0</v>
      </c>
      <c r="U568" s="56" t="s">
        <v>693</v>
      </c>
      <c r="V568" s="57">
        <v>0.95</v>
      </c>
      <c r="W568" s="56"/>
      <c r="X568" s="50"/>
      <c r="Y568" s="50"/>
      <c r="Z568" s="50"/>
      <c r="AA568" s="56"/>
      <c r="AB568" s="57"/>
      <c r="AC568" s="54">
        <v>1</v>
      </c>
      <c r="AD568" s="69">
        <f>SUM(AE568:AK568)</f>
        <v>0</v>
      </c>
      <c r="AE568" s="66"/>
      <c r="AF568" s="66"/>
      <c r="AG568" s="66"/>
      <c r="AH568" s="66"/>
      <c r="AI568" s="66"/>
      <c r="AJ568" s="66"/>
      <c r="AK568" s="66"/>
      <c r="AL568" s="54">
        <f>IF((AC568-SUM(AE568:AK568))&lt;0,0,AC568-SUM(AE568:AK568))</f>
        <v>1</v>
      </c>
      <c r="AM568" s="69">
        <f>SUM(AN568:AT568)</f>
        <v>0</v>
      </c>
      <c r="AN568" s="60"/>
      <c r="AO568" s="52"/>
      <c r="AP568" s="52"/>
      <c r="AQ568" s="52"/>
      <c r="AR568" s="52"/>
      <c r="AS568" s="52"/>
      <c r="AT568" s="61"/>
      <c r="AU568" s="66">
        <f>MAX(0,$AM568-$AC568-$AW568)</f>
        <v>0</v>
      </c>
      <c r="AV568" s="66"/>
      <c r="AW568" s="66"/>
      <c r="AX568" s="65">
        <v>0</v>
      </c>
      <c r="AY568" s="65">
        <f>IF(AND($AU568&gt;0,ISNUMBER($AX568)),$AU568*$AX568,0)</f>
        <v>0</v>
      </c>
      <c r="AZ568" s="46"/>
      <c r="BA568" s="52"/>
      <c r="BB568" s="52"/>
      <c r="BC568" s="52"/>
      <c r="BD568" s="52"/>
      <c r="BE568" s="52"/>
      <c r="BF568" s="52"/>
    </row>
    <row r="569" spans="1:58" ht="15" customHeight="1">
      <c r="A569" s="46" t="s">
        <v>3313</v>
      </c>
      <c r="B569" s="53" t="s">
        <v>3314</v>
      </c>
      <c r="C569" s="66" t="s">
        <v>70</v>
      </c>
      <c r="D569" s="67">
        <v>9</v>
      </c>
      <c r="E569" s="53" t="s">
        <v>71</v>
      </c>
      <c r="F569" s="50"/>
      <c r="G569" s="50"/>
      <c r="H569" s="51"/>
      <c r="I569" s="50" t="s">
        <v>3315</v>
      </c>
      <c r="J569" s="54" t="s">
        <v>196</v>
      </c>
      <c r="K569" s="58" t="s">
        <v>424</v>
      </c>
      <c r="L569" s="58" t="s">
        <v>3316</v>
      </c>
      <c r="M569" s="58" t="s">
        <v>3317</v>
      </c>
      <c r="N569" s="58"/>
      <c r="O569" s="54"/>
      <c r="P569" s="56" t="s">
        <v>86</v>
      </c>
      <c r="Q569" s="58" t="s">
        <v>1360</v>
      </c>
      <c r="R569" s="50"/>
      <c r="S569" s="50"/>
      <c r="T569" s="50"/>
      <c r="U569" s="56"/>
      <c r="V569" s="57">
        <v>0.93</v>
      </c>
      <c r="W569" s="68"/>
      <c r="X569" s="50"/>
      <c r="Y569" s="50"/>
      <c r="Z569" s="50"/>
      <c r="AA569" s="56"/>
      <c r="AB569" s="57"/>
      <c r="AC569" s="54">
        <v>1</v>
      </c>
      <c r="AD569" s="69">
        <f>SUM(AE569:AK569)</f>
        <v>0</v>
      </c>
      <c r="AE569" s="66"/>
      <c r="AF569" s="66"/>
      <c r="AG569" s="66"/>
      <c r="AH569" s="66"/>
      <c r="AI569" s="66"/>
      <c r="AJ569" s="66"/>
      <c r="AK569" s="66"/>
      <c r="AL569" s="54">
        <f>IF((AC569-SUM(AE569:AK569))&lt;0,0,AC569-SUM(AE569:AK569))</f>
        <v>1</v>
      </c>
      <c r="AM569" s="69">
        <f>SUM(AN569:AT569)</f>
        <v>0</v>
      </c>
      <c r="AN569" s="60"/>
      <c r="AO569" s="52"/>
      <c r="AP569" s="52"/>
      <c r="AQ569" s="52"/>
      <c r="AR569" s="52"/>
      <c r="AS569" s="52"/>
      <c r="AT569" s="61"/>
      <c r="AU569" s="66">
        <f>MAX(0,$AM569-$AC569-$AW569)</f>
        <v>0</v>
      </c>
      <c r="AV569" s="66"/>
      <c r="AW569" s="66"/>
      <c r="AX569" s="65">
        <v>0</v>
      </c>
      <c r="AY569" s="65">
        <f>IF(AND($AU569&gt;0,ISNUMBER($AX569)),$AU569*$AX569,0)</f>
        <v>0</v>
      </c>
      <c r="AZ569" s="46"/>
      <c r="BA569" s="52"/>
      <c r="BB569" s="52"/>
      <c r="BC569" s="52"/>
      <c r="BD569" s="52"/>
      <c r="BE569" s="52"/>
      <c r="BF569" s="52"/>
    </row>
    <row r="570" spans="1:58" ht="15" customHeight="1">
      <c r="A570" s="46" t="s">
        <v>3318</v>
      </c>
      <c r="B570" s="53" t="s">
        <v>3319</v>
      </c>
      <c r="C570" s="66" t="s">
        <v>232</v>
      </c>
      <c r="D570" s="67">
        <v>6</v>
      </c>
      <c r="E570" s="53" t="s">
        <v>531</v>
      </c>
      <c r="F570" s="50">
        <v>6</v>
      </c>
      <c r="G570" s="50">
        <v>6</v>
      </c>
      <c r="H570" s="51" t="s">
        <v>3320</v>
      </c>
      <c r="I570" s="50" t="s">
        <v>3321</v>
      </c>
      <c r="J570" s="54" t="s">
        <v>73</v>
      </c>
      <c r="K570" s="58" t="s">
        <v>254</v>
      </c>
      <c r="L570" s="58" t="s">
        <v>3322</v>
      </c>
      <c r="M570" s="58" t="s">
        <v>3323</v>
      </c>
      <c r="N570" s="58"/>
      <c r="O570" s="54"/>
      <c r="P570" s="56" t="s">
        <v>114</v>
      </c>
      <c r="Q570" s="58" t="s">
        <v>1107</v>
      </c>
      <c r="R570" s="50"/>
      <c r="S570" s="50"/>
      <c r="T570" s="50"/>
      <c r="U570" s="50"/>
      <c r="V570" s="57">
        <v>0.91</v>
      </c>
      <c r="W570" s="68"/>
      <c r="X570" s="50"/>
      <c r="Y570" s="50"/>
      <c r="Z570" s="50"/>
      <c r="AA570" s="50"/>
      <c r="AB570" s="57"/>
      <c r="AC570" s="54">
        <v>1</v>
      </c>
      <c r="AD570" s="69">
        <f>SUM(AE570:AK570)</f>
        <v>0</v>
      </c>
      <c r="AE570" s="66"/>
      <c r="AF570" s="66"/>
      <c r="AG570" s="66"/>
      <c r="AH570" s="66"/>
      <c r="AI570" s="66"/>
      <c r="AJ570" s="66"/>
      <c r="AK570" s="66"/>
      <c r="AL570" s="54">
        <f>IF((AC570-SUM(AE570:AK570))&lt;0,0,AC570-SUM(AE570:AK570))</f>
        <v>1</v>
      </c>
      <c r="AM570" s="69">
        <f>SUM(AN570:AT570)</f>
        <v>0</v>
      </c>
      <c r="AN570" s="60"/>
      <c r="AO570" s="52"/>
      <c r="AP570" s="52"/>
      <c r="AQ570" s="52"/>
      <c r="AR570" s="52"/>
      <c r="AS570" s="52"/>
      <c r="AT570" s="61"/>
      <c r="AU570" s="66">
        <f>MAX(0,$AM570-$AC570-$AW570)</f>
        <v>0</v>
      </c>
      <c r="AV570" s="66"/>
      <c r="AW570" s="66"/>
      <c r="AX570" s="65">
        <v>0</v>
      </c>
      <c r="AY570" s="65">
        <f>IF(AND($AU570&gt;0,ISNUMBER($AX570)),$AU570*$AX570,0)</f>
        <v>0</v>
      </c>
      <c r="AZ570" s="46"/>
      <c r="BA570" s="52"/>
      <c r="BB570" s="52"/>
      <c r="BC570" s="52"/>
      <c r="BD570" s="52"/>
      <c r="BE570" s="52"/>
      <c r="BF570" s="52"/>
    </row>
    <row r="571" spans="1:58" ht="15" customHeight="1">
      <c r="A571" s="46" t="s">
        <v>3324</v>
      </c>
      <c r="B571" s="53" t="s">
        <v>3325</v>
      </c>
      <c r="C571" s="66" t="s">
        <v>101</v>
      </c>
      <c r="D571" s="67">
        <v>2</v>
      </c>
      <c r="E571" s="53" t="s">
        <v>81</v>
      </c>
      <c r="F571" s="50">
        <v>1</v>
      </c>
      <c r="G571" s="50">
        <v>1</v>
      </c>
      <c r="H571" s="51" t="s">
        <v>157</v>
      </c>
      <c r="I571" s="50" t="s">
        <v>3326</v>
      </c>
      <c r="J571" s="54" t="s">
        <v>73</v>
      </c>
      <c r="K571" s="53" t="s">
        <v>676</v>
      </c>
      <c r="L571" s="53" t="s">
        <v>242</v>
      </c>
      <c r="M571" s="53" t="s">
        <v>3106</v>
      </c>
      <c r="N571" s="53"/>
      <c r="O571" s="54"/>
      <c r="P571" s="56" t="s">
        <v>76</v>
      </c>
      <c r="Q571" s="53" t="s">
        <v>691</v>
      </c>
      <c r="R571" s="50" t="s">
        <v>3327</v>
      </c>
      <c r="S571" s="50">
        <v>1</v>
      </c>
      <c r="T571" s="50">
        <v>0</v>
      </c>
      <c r="U571" s="56" t="s">
        <v>1332</v>
      </c>
      <c r="V571" s="57">
        <v>0.91</v>
      </c>
      <c r="W571" s="56"/>
      <c r="X571" s="50"/>
      <c r="Y571" s="50"/>
      <c r="Z571" s="50"/>
      <c r="AA571" s="56"/>
      <c r="AB571" s="57"/>
      <c r="AC571" s="54">
        <v>1</v>
      </c>
      <c r="AD571" s="69">
        <f>SUM(AE571:AK571)</f>
        <v>0</v>
      </c>
      <c r="AE571" s="66"/>
      <c r="AF571" s="66"/>
      <c r="AG571" s="66"/>
      <c r="AH571" s="66"/>
      <c r="AI571" s="66"/>
      <c r="AJ571" s="66"/>
      <c r="AK571" s="66"/>
      <c r="AL571" s="54">
        <f>IF((AC571-SUM(AE571:AK571))&lt;0,0,AC571-SUM(AE571:AK571))</f>
        <v>1</v>
      </c>
      <c r="AM571" s="69">
        <f>SUM(AN571:AT571)</f>
        <v>0</v>
      </c>
      <c r="AN571" s="60"/>
      <c r="AO571" s="52"/>
      <c r="AP571" s="52"/>
      <c r="AQ571" s="52"/>
      <c r="AR571" s="52"/>
      <c r="AS571" s="52"/>
      <c r="AT571" s="61"/>
      <c r="AU571" s="66">
        <f>MAX(0,$AM571-$AC571-$AW571)</f>
        <v>0</v>
      </c>
      <c r="AV571" s="66"/>
      <c r="AW571" s="66"/>
      <c r="AX571" s="65">
        <v>0</v>
      </c>
      <c r="AY571" s="65">
        <f>IF(AND($AU571&gt;0,ISNUMBER($AX571)),$AU571*$AX571,0)</f>
        <v>0</v>
      </c>
      <c r="AZ571" s="46"/>
      <c r="BA571" s="52"/>
      <c r="BB571" s="52"/>
      <c r="BC571" s="52"/>
      <c r="BD571" s="52"/>
      <c r="BE571" s="52"/>
      <c r="BF571" s="52"/>
    </row>
    <row r="572" spans="1:58" ht="15" customHeight="1">
      <c r="A572" s="46" t="s">
        <v>3328</v>
      </c>
      <c r="B572" s="53" t="s">
        <v>3329</v>
      </c>
      <c r="C572" s="66" t="s">
        <v>181</v>
      </c>
      <c r="D572" s="67">
        <v>1</v>
      </c>
      <c r="E572" s="53" t="s">
        <v>189</v>
      </c>
      <c r="F572" s="50"/>
      <c r="G572" s="50"/>
      <c r="H572" s="51"/>
      <c r="I572" s="50" t="s">
        <v>3330</v>
      </c>
      <c r="J572" s="54" t="s">
        <v>73</v>
      </c>
      <c r="K572" s="58" t="s">
        <v>247</v>
      </c>
      <c r="L572" s="58" t="s">
        <v>3331</v>
      </c>
      <c r="M572" s="58"/>
      <c r="N572" s="58"/>
      <c r="O572" s="54"/>
      <c r="P572" s="56" t="s">
        <v>76</v>
      </c>
      <c r="Q572" s="58" t="s">
        <v>256</v>
      </c>
      <c r="R572" s="50"/>
      <c r="S572" s="50"/>
      <c r="T572" s="50"/>
      <c r="U572" s="50"/>
      <c r="V572" s="57">
        <v>0.88</v>
      </c>
      <c r="W572" s="68"/>
      <c r="X572" s="50"/>
      <c r="Y572" s="50"/>
      <c r="Z572" s="50"/>
      <c r="AA572" s="50"/>
      <c r="AB572" s="57"/>
      <c r="AC572" s="54">
        <v>1</v>
      </c>
      <c r="AD572" s="69">
        <f>SUM(AE572:AK572)</f>
        <v>1</v>
      </c>
      <c r="AE572" s="66"/>
      <c r="AF572" s="66"/>
      <c r="AG572" s="66"/>
      <c r="AH572" s="66"/>
      <c r="AI572" s="66">
        <v>1</v>
      </c>
      <c r="AJ572" s="66"/>
      <c r="AK572" s="66"/>
      <c r="AL572" s="54">
        <f>IF((AC572-SUM(AE572:AK572))&lt;0,0,AC572-SUM(AE572:AK572))</f>
        <v>0</v>
      </c>
      <c r="AM572" s="69">
        <f>SUM(AN572:AT572)</f>
        <v>1</v>
      </c>
      <c r="AN572" s="60"/>
      <c r="AO572" s="52"/>
      <c r="AP572" s="52"/>
      <c r="AQ572" s="52"/>
      <c r="AR572" s="52">
        <v>1</v>
      </c>
      <c r="AS572" s="52"/>
      <c r="AT572" s="61"/>
      <c r="AU572" s="66">
        <f>MAX(0,$AM572-$AC572-$AW572)</f>
        <v>0</v>
      </c>
      <c r="AV572" s="66"/>
      <c r="AW572" s="66"/>
      <c r="AX572" s="65">
        <v>0</v>
      </c>
      <c r="AY572" s="65">
        <f>IF(AND($AU572&gt;0,ISNUMBER($AX572)),$AU572*$AX572,0)</f>
        <v>0</v>
      </c>
      <c r="AZ572" s="46"/>
      <c r="BA572" s="52"/>
      <c r="BB572" s="52"/>
      <c r="BC572" s="52"/>
      <c r="BD572" s="52"/>
      <c r="BE572" s="52"/>
      <c r="BF572" s="52"/>
    </row>
    <row r="573" spans="1:58" ht="15" customHeight="1">
      <c r="A573" s="46" t="s">
        <v>3332</v>
      </c>
      <c r="B573" s="53" t="s">
        <v>3333</v>
      </c>
      <c r="C573" s="66" t="s">
        <v>70</v>
      </c>
      <c r="D573" s="67">
        <v>5</v>
      </c>
      <c r="E573" s="53" t="s">
        <v>110</v>
      </c>
      <c r="F573" s="50">
        <v>4</v>
      </c>
      <c r="G573" s="50">
        <v>4</v>
      </c>
      <c r="H573" s="51" t="s">
        <v>3334</v>
      </c>
      <c r="I573" s="50" t="s">
        <v>3335</v>
      </c>
      <c r="J573" s="54" t="s">
        <v>73</v>
      </c>
      <c r="K573" s="53" t="s">
        <v>1099</v>
      </c>
      <c r="L573" s="53" t="s">
        <v>3336</v>
      </c>
      <c r="M573" s="53" t="s">
        <v>3337</v>
      </c>
      <c r="N573" s="53" t="s">
        <v>778</v>
      </c>
      <c r="O573" s="56">
        <v>3057</v>
      </c>
      <c r="P573" s="56" t="s">
        <v>185</v>
      </c>
      <c r="Q573" s="53" t="s">
        <v>691</v>
      </c>
      <c r="R573" s="50" t="s">
        <v>3338</v>
      </c>
      <c r="S573" s="50">
        <v>1</v>
      </c>
      <c r="T573" s="50">
        <v>0</v>
      </c>
      <c r="U573" s="56" t="s">
        <v>1229</v>
      </c>
      <c r="V573" s="57">
        <v>0.87</v>
      </c>
      <c r="W573" s="56"/>
      <c r="X573" s="50"/>
      <c r="Y573" s="50"/>
      <c r="Z573" s="50"/>
      <c r="AA573" s="56"/>
      <c r="AB573" s="57"/>
      <c r="AC573" s="54">
        <v>1</v>
      </c>
      <c r="AD573" s="69">
        <f>SUM(AE573:AK573)</f>
        <v>0</v>
      </c>
      <c r="AE573" s="66"/>
      <c r="AF573" s="66"/>
      <c r="AG573" s="66"/>
      <c r="AH573" s="66"/>
      <c r="AI573" s="66"/>
      <c r="AJ573" s="66"/>
      <c r="AK573" s="66"/>
      <c r="AL573" s="54">
        <f>IF((AC573-SUM(AE573:AK573))&lt;0,0,AC573-SUM(AE573:AK573))</f>
        <v>1</v>
      </c>
      <c r="AM573" s="69">
        <f>SUM(AN573:AT573)</f>
        <v>0</v>
      </c>
      <c r="AN573" s="60"/>
      <c r="AO573" s="52"/>
      <c r="AP573" s="52"/>
      <c r="AQ573" s="52"/>
      <c r="AR573" s="52"/>
      <c r="AS573" s="52"/>
      <c r="AT573" s="61"/>
      <c r="AU573" s="66">
        <f>MAX(0,$AM573-$AC573-$AW573)</f>
        <v>0</v>
      </c>
      <c r="AV573" s="66"/>
      <c r="AW573" s="66"/>
      <c r="AX573" s="65">
        <v>0</v>
      </c>
      <c r="AY573" s="65">
        <f>IF(AND($AU573&gt;0,ISNUMBER($AX573)),$AU573*$AX573,0)</f>
        <v>0</v>
      </c>
      <c r="AZ573" s="46"/>
      <c r="BA573" s="52"/>
      <c r="BB573" s="52"/>
      <c r="BC573" s="52"/>
      <c r="BD573" s="52"/>
      <c r="BE573" s="52"/>
      <c r="BF573" s="52"/>
    </row>
    <row r="574" spans="1:58" ht="15" customHeight="1">
      <c r="A574" s="46" t="s">
        <v>3339</v>
      </c>
      <c r="B574" s="53" t="s">
        <v>3340</v>
      </c>
      <c r="C574" s="66" t="s">
        <v>311</v>
      </c>
      <c r="D574" s="67">
        <v>0</v>
      </c>
      <c r="E574" s="53" t="s">
        <v>312</v>
      </c>
      <c r="F574" s="50"/>
      <c r="G574" s="50"/>
      <c r="H574" s="51"/>
      <c r="I574" s="50" t="s">
        <v>3341</v>
      </c>
      <c r="J574" s="54" t="s">
        <v>73</v>
      </c>
      <c r="K574" s="58" t="s">
        <v>312</v>
      </c>
      <c r="L574" s="58" t="s">
        <v>740</v>
      </c>
      <c r="M574" s="58" t="s">
        <v>3342</v>
      </c>
      <c r="N574" s="58"/>
      <c r="O574" s="54"/>
      <c r="P574" s="56" t="s">
        <v>86</v>
      </c>
      <c r="Q574" s="58" t="s">
        <v>1102</v>
      </c>
      <c r="R574" s="50"/>
      <c r="S574" s="50"/>
      <c r="T574" s="50"/>
      <c r="U574" s="50"/>
      <c r="V574" s="57">
        <v>0.86</v>
      </c>
      <c r="W574" s="68"/>
      <c r="X574" s="50"/>
      <c r="Y574" s="50"/>
      <c r="Z574" s="50"/>
      <c r="AA574" s="50"/>
      <c r="AB574" s="57"/>
      <c r="AC574" s="54">
        <v>1</v>
      </c>
      <c r="AD574" s="69">
        <f>SUM(AE574:AK574)</f>
        <v>1</v>
      </c>
      <c r="AE574" s="66"/>
      <c r="AF574" s="66"/>
      <c r="AG574" s="66"/>
      <c r="AH574" s="66"/>
      <c r="AI574" s="66">
        <v>1</v>
      </c>
      <c r="AJ574" s="66"/>
      <c r="AK574" s="66"/>
      <c r="AL574" s="54">
        <f>IF((AC574-SUM(AE574:AK574))&lt;0,0,AC574-SUM(AE574:AK574))</f>
        <v>0</v>
      </c>
      <c r="AM574" s="69">
        <f>SUM(AN574:AT574)</f>
        <v>1</v>
      </c>
      <c r="AN574" s="60"/>
      <c r="AO574" s="52"/>
      <c r="AP574" s="52"/>
      <c r="AQ574" s="52"/>
      <c r="AR574" s="52">
        <v>1</v>
      </c>
      <c r="AS574" s="52"/>
      <c r="AT574" s="61"/>
      <c r="AU574" s="66">
        <f>MAX(0,$AM574-$AC574-$AW574)</f>
        <v>0</v>
      </c>
      <c r="AV574" s="66"/>
      <c r="AW574" s="66"/>
      <c r="AX574" s="65">
        <v>0</v>
      </c>
      <c r="AY574" s="65">
        <f>IF(AND($AU574&gt;0,ISNUMBER($AX574)),$AU574*$AX574,0)</f>
        <v>0</v>
      </c>
      <c r="AZ574" s="46"/>
      <c r="BA574" s="52"/>
      <c r="BB574" s="52"/>
      <c r="BC574" s="52"/>
      <c r="BD574" s="52"/>
      <c r="BE574" s="52"/>
      <c r="BF574" s="52"/>
    </row>
    <row r="575" spans="1:58" ht="15" customHeight="1">
      <c r="A575" s="46" t="s">
        <v>3343</v>
      </c>
      <c r="B575" s="53" t="s">
        <v>3344</v>
      </c>
      <c r="C575" s="66" t="s">
        <v>118</v>
      </c>
      <c r="D575" s="67">
        <v>6</v>
      </c>
      <c r="E575" s="53" t="s">
        <v>81</v>
      </c>
      <c r="F575" s="50">
        <v>5</v>
      </c>
      <c r="G575" s="50">
        <v>5</v>
      </c>
      <c r="H575" s="51" t="s">
        <v>2245</v>
      </c>
      <c r="I575" s="50" t="s">
        <v>3345</v>
      </c>
      <c r="J575" s="54" t="s">
        <v>196</v>
      </c>
      <c r="K575" s="58" t="s">
        <v>129</v>
      </c>
      <c r="L575" s="58" t="s">
        <v>3346</v>
      </c>
      <c r="M575" s="58" t="s">
        <v>3347</v>
      </c>
      <c r="N575" s="58"/>
      <c r="O575" s="54"/>
      <c r="P575" s="56" t="s">
        <v>86</v>
      </c>
      <c r="Q575" s="58" t="s">
        <v>1102</v>
      </c>
      <c r="R575" s="50"/>
      <c r="S575" s="50"/>
      <c r="T575" s="50"/>
      <c r="U575" s="50"/>
      <c r="V575" s="57">
        <v>0.83</v>
      </c>
      <c r="W575" s="68"/>
      <c r="X575" s="50"/>
      <c r="Y575" s="50"/>
      <c r="Z575" s="50"/>
      <c r="AA575" s="50"/>
      <c r="AB575" s="57"/>
      <c r="AC575" s="54">
        <v>1</v>
      </c>
      <c r="AD575" s="69">
        <f>SUM(AE575:AK575)</f>
        <v>1</v>
      </c>
      <c r="AE575" s="66"/>
      <c r="AF575" s="66"/>
      <c r="AG575" s="66"/>
      <c r="AH575" s="66"/>
      <c r="AI575" s="66">
        <v>1</v>
      </c>
      <c r="AJ575" s="66"/>
      <c r="AK575" s="66"/>
      <c r="AL575" s="54">
        <f>IF((AC575-SUM(AE575:AK575))&lt;0,0,AC575-SUM(AE575:AK575))</f>
        <v>0</v>
      </c>
      <c r="AM575" s="69">
        <f>SUM(AN575:AT575)</f>
        <v>1</v>
      </c>
      <c r="AN575" s="60"/>
      <c r="AO575" s="52"/>
      <c r="AP575" s="52"/>
      <c r="AQ575" s="52"/>
      <c r="AR575" s="52">
        <v>1</v>
      </c>
      <c r="AS575" s="52"/>
      <c r="AT575" s="61"/>
      <c r="AU575" s="66">
        <f>MAX(0,$AM575-$AC575-$AW575)</f>
        <v>0</v>
      </c>
      <c r="AV575" s="66"/>
      <c r="AW575" s="66"/>
      <c r="AX575" s="65">
        <v>0</v>
      </c>
      <c r="AY575" s="65">
        <f>IF(AND($AU575&gt;0,ISNUMBER($AX575)),$AU575*$AX575,0)</f>
        <v>0</v>
      </c>
      <c r="AZ575" s="46"/>
      <c r="BA575" s="52"/>
      <c r="BB575" s="52"/>
      <c r="BC575" s="52"/>
      <c r="BD575" s="52"/>
      <c r="BE575" s="52"/>
      <c r="BF575" s="52"/>
    </row>
    <row r="576" spans="1:58" ht="15" customHeight="1">
      <c r="A576" s="46" t="s">
        <v>3348</v>
      </c>
      <c r="B576" s="53" t="s">
        <v>3349</v>
      </c>
      <c r="C576" s="66" t="s">
        <v>311</v>
      </c>
      <c r="D576" s="67">
        <v>0</v>
      </c>
      <c r="E576" s="53" t="s">
        <v>312</v>
      </c>
      <c r="F576" s="50"/>
      <c r="G576" s="50"/>
      <c r="H576" s="51"/>
      <c r="I576" s="50" t="s">
        <v>3350</v>
      </c>
      <c r="J576" s="54" t="s">
        <v>73</v>
      </c>
      <c r="K576" s="58" t="s">
        <v>312</v>
      </c>
      <c r="L576" s="58" t="s">
        <v>3351</v>
      </c>
      <c r="M576" s="58"/>
      <c r="N576" s="58"/>
      <c r="O576" s="54"/>
      <c r="P576" s="56" t="s">
        <v>86</v>
      </c>
      <c r="Q576" s="58" t="s">
        <v>420</v>
      </c>
      <c r="R576" s="50"/>
      <c r="S576" s="50"/>
      <c r="T576" s="50"/>
      <c r="U576" s="50"/>
      <c r="V576" s="57">
        <v>0.82</v>
      </c>
      <c r="W576" s="68"/>
      <c r="X576" s="50"/>
      <c r="Y576" s="50"/>
      <c r="Z576" s="50"/>
      <c r="AA576" s="50"/>
      <c r="AB576" s="57"/>
      <c r="AC576" s="54">
        <v>1</v>
      </c>
      <c r="AD576" s="69">
        <f>SUM(AE576:AK576)</f>
        <v>1</v>
      </c>
      <c r="AE576" s="66"/>
      <c r="AF576" s="66"/>
      <c r="AG576" s="66"/>
      <c r="AH576" s="66">
        <v>1</v>
      </c>
      <c r="AI576" s="66"/>
      <c r="AJ576" s="66"/>
      <c r="AK576" s="66"/>
      <c r="AL576" s="54">
        <f>IF((AC576-SUM(AE576:AK576))&lt;0,0,AC576-SUM(AE576:AK576))</f>
        <v>0</v>
      </c>
      <c r="AM576" s="69">
        <f>SUM(AN576:AT576)</f>
        <v>1</v>
      </c>
      <c r="AN576" s="60"/>
      <c r="AO576" s="52"/>
      <c r="AP576" s="52"/>
      <c r="AQ576" s="52">
        <v>1</v>
      </c>
      <c r="AR576" s="52"/>
      <c r="AS576" s="52"/>
      <c r="AT576" s="61"/>
      <c r="AU576" s="66">
        <f>MAX(0,$AM576-$AC576-$AW576)</f>
        <v>0</v>
      </c>
      <c r="AV576" s="66"/>
      <c r="AW576" s="66"/>
      <c r="AX576" s="65">
        <v>0</v>
      </c>
      <c r="AY576" s="65">
        <f>IF(AND($AU576&gt;0,ISNUMBER($AX576)),$AU576*$AX576,0)</f>
        <v>0</v>
      </c>
      <c r="AZ576" s="46"/>
      <c r="BA576" s="52"/>
      <c r="BB576" s="52"/>
      <c r="BC576" s="52"/>
      <c r="BD576" s="52"/>
      <c r="BE576" s="52"/>
      <c r="BF576" s="52"/>
    </row>
    <row r="577" spans="1:58" ht="15" customHeight="1">
      <c r="A577" s="46" t="s">
        <v>3352</v>
      </c>
      <c r="B577" s="53" t="s">
        <v>3353</v>
      </c>
      <c r="C577" s="66" t="s">
        <v>109</v>
      </c>
      <c r="D577" s="67">
        <v>3</v>
      </c>
      <c r="E577" s="53" t="s">
        <v>71</v>
      </c>
      <c r="F577" s="50"/>
      <c r="G577" s="50"/>
      <c r="H577" s="51"/>
      <c r="I577" s="50" t="s">
        <v>3354</v>
      </c>
      <c r="J577" s="54" t="s">
        <v>73</v>
      </c>
      <c r="K577" s="58" t="s">
        <v>135</v>
      </c>
      <c r="L577" s="58" t="s">
        <v>3355</v>
      </c>
      <c r="M577" s="58"/>
      <c r="N577" s="58"/>
      <c r="O577" s="54"/>
      <c r="P577" s="56" t="s">
        <v>86</v>
      </c>
      <c r="Q577" s="58" t="s">
        <v>420</v>
      </c>
      <c r="R577" s="50"/>
      <c r="S577" s="50"/>
      <c r="T577" s="50"/>
      <c r="U577" s="50"/>
      <c r="V577" s="57">
        <v>0.81</v>
      </c>
      <c r="W577" s="68"/>
      <c r="X577" s="50"/>
      <c r="Y577" s="50"/>
      <c r="Z577" s="50"/>
      <c r="AA577" s="50"/>
      <c r="AB577" s="57"/>
      <c r="AC577" s="54">
        <v>1</v>
      </c>
      <c r="AD577" s="69">
        <f>SUM(AE577:AK577)</f>
        <v>1</v>
      </c>
      <c r="AE577" s="66"/>
      <c r="AF577" s="66"/>
      <c r="AG577" s="66"/>
      <c r="AH577" s="66">
        <v>1</v>
      </c>
      <c r="AI577" s="66"/>
      <c r="AJ577" s="66"/>
      <c r="AK577" s="66"/>
      <c r="AL577" s="54">
        <f>IF((AC577-SUM(AE577:AK577))&lt;0,0,AC577-SUM(AE577:AK577))</f>
        <v>0</v>
      </c>
      <c r="AM577" s="69">
        <f>SUM(AN577:AT577)</f>
        <v>1</v>
      </c>
      <c r="AN577" s="60"/>
      <c r="AO577" s="52"/>
      <c r="AP577" s="52"/>
      <c r="AQ577" s="52">
        <v>1</v>
      </c>
      <c r="AR577" s="52"/>
      <c r="AS577" s="52"/>
      <c r="AT577" s="61"/>
      <c r="AU577" s="66">
        <f>MAX(0,$AM577-$AC577-$AW577)</f>
        <v>0</v>
      </c>
      <c r="AV577" s="66"/>
      <c r="AW577" s="66"/>
      <c r="AX577" s="65">
        <v>0</v>
      </c>
      <c r="AY577" s="65">
        <f>IF(AND($AU577&gt;0,ISNUMBER($AX577)),$AU577*$AX577,0)</f>
        <v>0</v>
      </c>
      <c r="AZ577" s="46"/>
      <c r="BA577" s="52"/>
      <c r="BB577" s="52"/>
      <c r="BC577" s="52"/>
      <c r="BD577" s="52"/>
      <c r="BE577" s="52"/>
      <c r="BF577" s="52"/>
    </row>
    <row r="578" spans="1:58" ht="15" customHeight="1">
      <c r="A578" s="46" t="s">
        <v>3356</v>
      </c>
      <c r="B578" s="53" t="s">
        <v>3357</v>
      </c>
      <c r="C578" s="66" t="s">
        <v>118</v>
      </c>
      <c r="D578" s="67">
        <v>4</v>
      </c>
      <c r="E578" s="53" t="s">
        <v>2195</v>
      </c>
      <c r="F578" s="50"/>
      <c r="G578" s="50"/>
      <c r="H578" s="51" t="s">
        <v>3358</v>
      </c>
      <c r="I578" s="50" t="s">
        <v>3359</v>
      </c>
      <c r="J578" s="54" t="s">
        <v>196</v>
      </c>
      <c r="K578" s="58" t="s">
        <v>129</v>
      </c>
      <c r="L578" s="58" t="s">
        <v>3360</v>
      </c>
      <c r="M578" s="58" t="s">
        <v>3361</v>
      </c>
      <c r="N578" s="58" t="s">
        <v>3362</v>
      </c>
      <c r="O578" s="54"/>
      <c r="P578" s="56" t="s">
        <v>114</v>
      </c>
      <c r="Q578" s="58" t="s">
        <v>581</v>
      </c>
      <c r="R578" s="50"/>
      <c r="S578" s="50"/>
      <c r="T578" s="50"/>
      <c r="U578" s="50"/>
      <c r="V578" s="57">
        <v>0.8</v>
      </c>
      <c r="W578" s="68"/>
      <c r="X578" s="50"/>
      <c r="Y578" s="50"/>
      <c r="Z578" s="50"/>
      <c r="AA578" s="50"/>
      <c r="AB578" s="57"/>
      <c r="AC578" s="54">
        <v>1</v>
      </c>
      <c r="AD578" s="69">
        <f>SUM(AE578:AK578)</f>
        <v>1</v>
      </c>
      <c r="AE578" s="66"/>
      <c r="AF578" s="66"/>
      <c r="AG578" s="66"/>
      <c r="AH578" s="66"/>
      <c r="AI578" s="66">
        <v>1</v>
      </c>
      <c r="AJ578" s="66"/>
      <c r="AK578" s="66"/>
      <c r="AL578" s="54">
        <f>IF((AC578-SUM(AE578:AK578))&lt;0,0,AC578-SUM(AE578:AK578))</f>
        <v>0</v>
      </c>
      <c r="AM578" s="69">
        <f>SUM(AN578:AT578)</f>
        <v>1</v>
      </c>
      <c r="AN578" s="60"/>
      <c r="AO578" s="52"/>
      <c r="AP578" s="52"/>
      <c r="AQ578" s="52"/>
      <c r="AR578" s="52">
        <v>1</v>
      </c>
      <c r="AS578" s="52"/>
      <c r="AT578" s="61"/>
      <c r="AU578" s="66">
        <f>MAX(0,$AM578-$AC578-$AW578)</f>
        <v>0</v>
      </c>
      <c r="AV578" s="66"/>
      <c r="AW578" s="66"/>
      <c r="AX578" s="65">
        <v>0</v>
      </c>
      <c r="AY578" s="65">
        <f>IF(AND($AU578&gt;0,ISNUMBER($AX578)),$AU578*$AX578,0)</f>
        <v>0</v>
      </c>
      <c r="AZ578" s="46"/>
      <c r="BA578" s="52"/>
      <c r="BB578" s="52"/>
      <c r="BC578" s="52"/>
      <c r="BD578" s="52"/>
      <c r="BE578" s="52"/>
      <c r="BF578" s="52"/>
    </row>
    <row r="579" spans="1:58" ht="15" customHeight="1">
      <c r="A579" s="46" t="s">
        <v>3363</v>
      </c>
      <c r="B579" s="53" t="s">
        <v>3364</v>
      </c>
      <c r="C579" s="66" t="s">
        <v>70</v>
      </c>
      <c r="D579" s="67">
        <v>5</v>
      </c>
      <c r="E579" s="53" t="s">
        <v>71</v>
      </c>
      <c r="F579" s="50"/>
      <c r="G579" s="50"/>
      <c r="H579" s="51"/>
      <c r="I579" s="50" t="s">
        <v>3365</v>
      </c>
      <c r="J579" s="54" t="s">
        <v>73</v>
      </c>
      <c r="K579" s="53" t="s">
        <v>135</v>
      </c>
      <c r="L579" s="53" t="s">
        <v>3366</v>
      </c>
      <c r="M579" s="53" t="s">
        <v>3367</v>
      </c>
      <c r="N579" s="53" t="s">
        <v>825</v>
      </c>
      <c r="O579" s="54"/>
      <c r="P579" s="56" t="s">
        <v>76</v>
      </c>
      <c r="Q579" s="53" t="s">
        <v>691</v>
      </c>
      <c r="R579" s="50" t="s">
        <v>3368</v>
      </c>
      <c r="S579" s="50">
        <v>1</v>
      </c>
      <c r="T579" s="50">
        <v>0</v>
      </c>
      <c r="U579" s="56" t="s">
        <v>1832</v>
      </c>
      <c r="V579" s="57">
        <v>0.79</v>
      </c>
      <c r="W579" s="56"/>
      <c r="X579" s="50"/>
      <c r="Y579" s="50"/>
      <c r="Z579" s="50"/>
      <c r="AA579" s="56"/>
      <c r="AB579" s="57"/>
      <c r="AC579" s="54">
        <v>1</v>
      </c>
      <c r="AD579" s="69">
        <f>SUM(AE579:AK579)</f>
        <v>0</v>
      </c>
      <c r="AE579" s="66"/>
      <c r="AF579" s="66"/>
      <c r="AG579" s="66"/>
      <c r="AH579" s="66"/>
      <c r="AI579" s="66"/>
      <c r="AJ579" s="66"/>
      <c r="AK579" s="66"/>
      <c r="AL579" s="54">
        <f>IF((AC579-SUM(AE579:AK579))&lt;0,0,AC579-SUM(AE579:AK579))</f>
        <v>1</v>
      </c>
      <c r="AM579" s="69">
        <f>SUM(AN579:AT579)</f>
        <v>0</v>
      </c>
      <c r="AN579" s="60"/>
      <c r="AO579" s="52"/>
      <c r="AP579" s="52"/>
      <c r="AQ579" s="52"/>
      <c r="AR579" s="52"/>
      <c r="AS579" s="52"/>
      <c r="AT579" s="61"/>
      <c r="AU579" s="66">
        <f>MAX(0,$AM579-$AC579-$AW579)</f>
        <v>0</v>
      </c>
      <c r="AV579" s="66"/>
      <c r="AW579" s="66"/>
      <c r="AX579" s="65">
        <v>0</v>
      </c>
      <c r="AY579" s="65">
        <f>IF(AND($AU579&gt;0,ISNUMBER($AX579)),$AU579*$AX579,0)</f>
        <v>0</v>
      </c>
      <c r="AZ579" s="46"/>
      <c r="BA579" s="52"/>
      <c r="BB579" s="52"/>
      <c r="BC579" s="52"/>
      <c r="BD579" s="52"/>
      <c r="BE579" s="52"/>
      <c r="BF579" s="52"/>
    </row>
    <row r="580" spans="1:58" ht="15" customHeight="1">
      <c r="A580" s="46" t="s">
        <v>3369</v>
      </c>
      <c r="B580" s="53" t="s">
        <v>3370</v>
      </c>
      <c r="C580" s="66" t="s">
        <v>80</v>
      </c>
      <c r="D580" s="67">
        <v>5</v>
      </c>
      <c r="E580" s="53" t="s">
        <v>81</v>
      </c>
      <c r="F580" s="50">
        <v>3</v>
      </c>
      <c r="G580" s="50">
        <v>5</v>
      </c>
      <c r="H580" s="51" t="s">
        <v>3371</v>
      </c>
      <c r="I580" s="50" t="s">
        <v>3372</v>
      </c>
      <c r="J580" s="54" t="s">
        <v>73</v>
      </c>
      <c r="K580" s="53" t="s">
        <v>676</v>
      </c>
      <c r="L580" s="53" t="s">
        <v>136</v>
      </c>
      <c r="M580" s="53" t="s">
        <v>3373</v>
      </c>
      <c r="N580" s="53" t="s">
        <v>825</v>
      </c>
      <c r="O580" s="54"/>
      <c r="P580" s="56" t="s">
        <v>76</v>
      </c>
      <c r="Q580" s="53" t="s">
        <v>691</v>
      </c>
      <c r="R580" s="50" t="s">
        <v>3374</v>
      </c>
      <c r="S580" s="50">
        <v>1</v>
      </c>
      <c r="T580" s="50">
        <v>0</v>
      </c>
      <c r="U580" s="56" t="s">
        <v>3375</v>
      </c>
      <c r="V580" s="57">
        <v>0.79</v>
      </c>
      <c r="W580" s="56"/>
      <c r="X580" s="50"/>
      <c r="Y580" s="50"/>
      <c r="Z580" s="50"/>
      <c r="AA580" s="56"/>
      <c r="AB580" s="57"/>
      <c r="AC580" s="54">
        <v>1</v>
      </c>
      <c r="AD580" s="69">
        <f>SUM(AE580:AK580)</f>
        <v>0</v>
      </c>
      <c r="AE580" s="66"/>
      <c r="AF580" s="66"/>
      <c r="AG580" s="66"/>
      <c r="AH580" s="66"/>
      <c r="AI580" s="66"/>
      <c r="AJ580" s="66"/>
      <c r="AK580" s="66"/>
      <c r="AL580" s="54">
        <f>IF((AC580-SUM(AE580:AK580))&lt;0,0,AC580-SUM(AE580:AK580))</f>
        <v>1</v>
      </c>
      <c r="AM580" s="69">
        <f>SUM(AN580:AT580)</f>
        <v>0</v>
      </c>
      <c r="AN580" s="60"/>
      <c r="AO580" s="52"/>
      <c r="AP580" s="52"/>
      <c r="AQ580" s="52"/>
      <c r="AR580" s="52"/>
      <c r="AS580" s="52"/>
      <c r="AT580" s="61"/>
      <c r="AU580" s="66">
        <f>MAX(0,$AM580-$AC580-$AW580)</f>
        <v>0</v>
      </c>
      <c r="AV580" s="66"/>
      <c r="AW580" s="66"/>
      <c r="AX580" s="65">
        <v>0</v>
      </c>
      <c r="AY580" s="65">
        <f>IF(AND($AU580&gt;0,ISNUMBER($AX580)),$AU580*$AX580,0)</f>
        <v>0</v>
      </c>
      <c r="AZ580" s="46"/>
      <c r="BA580" s="52"/>
      <c r="BB580" s="52"/>
      <c r="BC580" s="52"/>
      <c r="BD580" s="52"/>
      <c r="BE580" s="52"/>
      <c r="BF580" s="52"/>
    </row>
    <row r="581" spans="1:58" ht="15" customHeight="1">
      <c r="A581" s="46" t="s">
        <v>3376</v>
      </c>
      <c r="B581" s="53" t="s">
        <v>3377</v>
      </c>
      <c r="C581" s="66" t="s">
        <v>80</v>
      </c>
      <c r="D581" s="67">
        <v>2</v>
      </c>
      <c r="E581" s="53" t="s">
        <v>110</v>
      </c>
      <c r="F581" s="50">
        <v>1</v>
      </c>
      <c r="G581" s="50">
        <v>2</v>
      </c>
      <c r="H581" s="51" t="s">
        <v>1086</v>
      </c>
      <c r="I581" s="50" t="s">
        <v>3378</v>
      </c>
      <c r="J581" s="54" t="s">
        <v>73</v>
      </c>
      <c r="K581" s="53" t="s">
        <v>705</v>
      </c>
      <c r="L581" s="53" t="s">
        <v>3379</v>
      </c>
      <c r="M581" s="53" t="s">
        <v>136</v>
      </c>
      <c r="N581" s="53"/>
      <c r="O581" s="56">
        <v>2530</v>
      </c>
      <c r="P581" s="56" t="s">
        <v>185</v>
      </c>
      <c r="Q581" s="53" t="s">
        <v>691</v>
      </c>
      <c r="R581" s="50" t="s">
        <v>3380</v>
      </c>
      <c r="S581" s="50">
        <v>1</v>
      </c>
      <c r="T581" s="50">
        <v>0</v>
      </c>
      <c r="U581" s="56" t="s">
        <v>3381</v>
      </c>
      <c r="V581" s="57">
        <v>0.77</v>
      </c>
      <c r="W581" s="56"/>
      <c r="X581" s="50"/>
      <c r="Y581" s="50"/>
      <c r="Z581" s="50"/>
      <c r="AA581" s="56"/>
      <c r="AB581" s="57"/>
      <c r="AC581" s="54">
        <v>1</v>
      </c>
      <c r="AD581" s="69">
        <f>SUM(AE581:AK581)</f>
        <v>0</v>
      </c>
      <c r="AE581" s="66"/>
      <c r="AF581" s="66"/>
      <c r="AG581" s="66"/>
      <c r="AH581" s="66"/>
      <c r="AI581" s="66"/>
      <c r="AJ581" s="66"/>
      <c r="AK581" s="66"/>
      <c r="AL581" s="54">
        <f>IF((AC581-SUM(AE581:AK581))&lt;0,0,AC581-SUM(AE581:AK581))</f>
        <v>1</v>
      </c>
      <c r="AM581" s="69">
        <f>SUM(AN581:AT581)</f>
        <v>0</v>
      </c>
      <c r="AN581" s="60"/>
      <c r="AO581" s="52"/>
      <c r="AP581" s="52"/>
      <c r="AQ581" s="52"/>
      <c r="AR581" s="52"/>
      <c r="AS581" s="52"/>
      <c r="AT581" s="61"/>
      <c r="AU581" s="66">
        <f>MAX(0,$AM581-$AC581-$AW581)</f>
        <v>0</v>
      </c>
      <c r="AV581" s="66"/>
      <c r="AW581" s="66"/>
      <c r="AX581" s="65">
        <v>0</v>
      </c>
      <c r="AY581" s="65">
        <f>IF(AND($AU581&gt;0,ISNUMBER($AX581)),$AU581*$AX581,0)</f>
        <v>0</v>
      </c>
      <c r="AZ581" s="46"/>
      <c r="BA581" s="52"/>
      <c r="BB581" s="52"/>
      <c r="BC581" s="52"/>
      <c r="BD581" s="52"/>
      <c r="BE581" s="52"/>
      <c r="BF581" s="52"/>
    </row>
    <row r="582" spans="1:58" ht="15" customHeight="1">
      <c r="A582" s="46" t="s">
        <v>3382</v>
      </c>
      <c r="B582" s="53" t="s">
        <v>3383</v>
      </c>
      <c r="C582" s="66" t="s">
        <v>70</v>
      </c>
      <c r="D582" s="67">
        <v>3</v>
      </c>
      <c r="E582" s="53" t="s">
        <v>110</v>
      </c>
      <c r="F582" s="50">
        <v>2</v>
      </c>
      <c r="G582" s="50">
        <v>2</v>
      </c>
      <c r="H582" s="51" t="s">
        <v>3384</v>
      </c>
      <c r="I582" s="50" t="s">
        <v>3385</v>
      </c>
      <c r="J582" s="54" t="s">
        <v>73</v>
      </c>
      <c r="K582" s="58" t="s">
        <v>129</v>
      </c>
      <c r="L582" s="58" t="s">
        <v>2241</v>
      </c>
      <c r="M582" s="58" t="s">
        <v>3386</v>
      </c>
      <c r="N582" s="58" t="s">
        <v>3387</v>
      </c>
      <c r="O582" s="56">
        <v>3588</v>
      </c>
      <c r="P582" s="56" t="s">
        <v>86</v>
      </c>
      <c r="Q582" s="58" t="s">
        <v>528</v>
      </c>
      <c r="R582" s="50"/>
      <c r="S582" s="50"/>
      <c r="T582" s="50"/>
      <c r="U582" s="50"/>
      <c r="V582" s="57">
        <v>0.77</v>
      </c>
      <c r="W582" s="68"/>
      <c r="X582" s="50"/>
      <c r="Y582" s="50"/>
      <c r="Z582" s="50"/>
      <c r="AA582" s="50"/>
      <c r="AB582" s="57"/>
      <c r="AC582" s="54">
        <v>1</v>
      </c>
      <c r="AD582" s="69">
        <f>SUM(AE582:AK582)</f>
        <v>1</v>
      </c>
      <c r="AE582" s="66"/>
      <c r="AF582" s="66"/>
      <c r="AG582" s="66"/>
      <c r="AH582" s="66"/>
      <c r="AI582" s="66"/>
      <c r="AJ582" s="66">
        <v>1</v>
      </c>
      <c r="AK582" s="66"/>
      <c r="AL582" s="54">
        <f>IF((AC582-SUM(AE582:AK582))&lt;0,0,AC582-SUM(AE582:AK582))</f>
        <v>0</v>
      </c>
      <c r="AM582" s="69">
        <f>SUM(AN582:AT582)</f>
        <v>1</v>
      </c>
      <c r="AN582" s="60"/>
      <c r="AO582" s="52"/>
      <c r="AP582" s="52"/>
      <c r="AQ582" s="52"/>
      <c r="AR582" s="52"/>
      <c r="AS582" s="52">
        <v>1</v>
      </c>
      <c r="AT582" s="61"/>
      <c r="AU582" s="66">
        <f>MAX(0,$AM582-$AC582-$AW582)</f>
        <v>0</v>
      </c>
      <c r="AV582" s="66"/>
      <c r="AW582" s="66"/>
      <c r="AX582" s="65">
        <v>0</v>
      </c>
      <c r="AY582" s="65">
        <f>IF(AND($AU582&gt;0,ISNUMBER($AX582)),$AU582*$AX582,0)</f>
        <v>0</v>
      </c>
      <c r="AZ582" s="46"/>
      <c r="BA582" s="52"/>
      <c r="BB582" s="52"/>
      <c r="BC582" s="52"/>
      <c r="BD582" s="52"/>
      <c r="BE582" s="52"/>
      <c r="BF582" s="52"/>
    </row>
    <row r="583" spans="1:58" ht="15" customHeight="1">
      <c r="A583" s="46" t="s">
        <v>3388</v>
      </c>
      <c r="B583" s="53" t="s">
        <v>3389</v>
      </c>
      <c r="C583" s="66" t="s">
        <v>311</v>
      </c>
      <c r="D583" s="67">
        <v>0</v>
      </c>
      <c r="E583" s="53" t="s">
        <v>312</v>
      </c>
      <c r="F583" s="50"/>
      <c r="G583" s="50"/>
      <c r="H583" s="51"/>
      <c r="I583" s="50" t="s">
        <v>3390</v>
      </c>
      <c r="J583" s="54" t="s">
        <v>73</v>
      </c>
      <c r="K583" s="53" t="s">
        <v>312</v>
      </c>
      <c r="L583" s="53" t="s">
        <v>3391</v>
      </c>
      <c r="M583" s="53" t="s">
        <v>1320</v>
      </c>
      <c r="N583" s="53"/>
      <c r="O583" s="54"/>
      <c r="P583" s="56" t="s">
        <v>312</v>
      </c>
      <c r="Q583" s="53" t="s">
        <v>691</v>
      </c>
      <c r="R583" s="50" t="s">
        <v>3392</v>
      </c>
      <c r="S583" s="50">
        <v>1</v>
      </c>
      <c r="T583" s="50">
        <v>0</v>
      </c>
      <c r="U583" s="56" t="s">
        <v>1322</v>
      </c>
      <c r="V583" s="57">
        <v>0.75</v>
      </c>
      <c r="W583" s="56"/>
      <c r="X583" s="50"/>
      <c r="Y583" s="50"/>
      <c r="Z583" s="50"/>
      <c r="AA583" s="56"/>
      <c r="AB583" s="57"/>
      <c r="AC583" s="54">
        <v>1</v>
      </c>
      <c r="AD583" s="69">
        <f>SUM(AE583:AK583)</f>
        <v>0</v>
      </c>
      <c r="AE583" s="66"/>
      <c r="AF583" s="66"/>
      <c r="AG583" s="66"/>
      <c r="AH583" s="66"/>
      <c r="AI583" s="66"/>
      <c r="AJ583" s="66"/>
      <c r="AK583" s="66"/>
      <c r="AL583" s="54">
        <f>IF((AC583-SUM(AE583:AK583))&lt;0,0,AC583-SUM(AE583:AK583))</f>
        <v>1</v>
      </c>
      <c r="AM583" s="69">
        <f>SUM(AN583:AT583)</f>
        <v>0</v>
      </c>
      <c r="AN583" s="60"/>
      <c r="AO583" s="52"/>
      <c r="AP583" s="52"/>
      <c r="AQ583" s="52"/>
      <c r="AR583" s="52"/>
      <c r="AS583" s="52"/>
      <c r="AT583" s="61"/>
      <c r="AU583" s="66">
        <f>MAX(0,$AM583-$AC583-$AW583)</f>
        <v>0</v>
      </c>
      <c r="AV583" s="66"/>
      <c r="AW583" s="66"/>
      <c r="AX583" s="65">
        <v>0</v>
      </c>
      <c r="AY583" s="65">
        <f>IF(AND($AU583&gt;0,ISNUMBER($AX583)),$AU583*$AX583,0)</f>
        <v>0</v>
      </c>
      <c r="AZ583" s="46"/>
      <c r="BA583" s="52"/>
      <c r="BB583" s="52"/>
      <c r="BC583" s="52"/>
      <c r="BD583" s="52"/>
      <c r="BE583" s="52"/>
      <c r="BF583" s="52"/>
    </row>
    <row r="584" spans="1:58" ht="15" customHeight="1">
      <c r="A584" s="46" t="s">
        <v>3393</v>
      </c>
      <c r="B584" s="53" t="s">
        <v>3394</v>
      </c>
      <c r="C584" s="66" t="s">
        <v>311</v>
      </c>
      <c r="D584" s="67">
        <v>0</v>
      </c>
      <c r="E584" s="53" t="s">
        <v>312</v>
      </c>
      <c r="F584" s="50"/>
      <c r="G584" s="50"/>
      <c r="H584" s="51"/>
      <c r="I584" s="50" t="s">
        <v>3395</v>
      </c>
      <c r="J584" s="54" t="s">
        <v>73</v>
      </c>
      <c r="K584" s="53" t="s">
        <v>312</v>
      </c>
      <c r="L584" s="53" t="s">
        <v>1933</v>
      </c>
      <c r="M584" s="53" t="s">
        <v>1320</v>
      </c>
      <c r="N584" s="53"/>
      <c r="O584" s="54"/>
      <c r="P584" s="56" t="s">
        <v>312</v>
      </c>
      <c r="Q584" s="53" t="s">
        <v>691</v>
      </c>
      <c r="R584" s="50" t="s">
        <v>3396</v>
      </c>
      <c r="S584" s="50">
        <v>1</v>
      </c>
      <c r="T584" s="50">
        <v>1</v>
      </c>
      <c r="U584" s="56" t="s">
        <v>1322</v>
      </c>
      <c r="V584" s="57">
        <v>0.75</v>
      </c>
      <c r="W584" s="56"/>
      <c r="X584" s="50"/>
      <c r="Y584" s="50"/>
      <c r="Z584" s="50"/>
      <c r="AA584" s="56"/>
      <c r="AB584" s="57"/>
      <c r="AC584" s="54">
        <v>1</v>
      </c>
      <c r="AD584" s="69">
        <f>SUM(AE584:AK584)</f>
        <v>0</v>
      </c>
      <c r="AE584" s="66"/>
      <c r="AF584" s="66"/>
      <c r="AG584" s="66"/>
      <c r="AH584" s="66"/>
      <c r="AI584" s="66"/>
      <c r="AJ584" s="66"/>
      <c r="AK584" s="66"/>
      <c r="AL584" s="54">
        <f>IF((AC584-SUM(AE584:AK584))&lt;0,0,AC584-SUM(AE584:AK584))</f>
        <v>1</v>
      </c>
      <c r="AM584" s="69">
        <f>SUM(AN584:AT584)</f>
        <v>0</v>
      </c>
      <c r="AN584" s="60"/>
      <c r="AO584" s="52"/>
      <c r="AP584" s="52"/>
      <c r="AQ584" s="52"/>
      <c r="AR584" s="52"/>
      <c r="AS584" s="52"/>
      <c r="AT584" s="61"/>
      <c r="AU584" s="66">
        <f>MAX(0,$AM584-$AC584-$AW584)</f>
        <v>0</v>
      </c>
      <c r="AV584" s="66"/>
      <c r="AW584" s="66"/>
      <c r="AX584" s="65">
        <v>0</v>
      </c>
      <c r="AY584" s="65">
        <f>IF(AND($AU584&gt;0,ISNUMBER($AX584)),$AU584*$AX584,0)</f>
        <v>0</v>
      </c>
      <c r="AZ584" s="46"/>
      <c r="BA584" s="52"/>
      <c r="BB584" s="52"/>
      <c r="BC584" s="52"/>
      <c r="BD584" s="52"/>
      <c r="BE584" s="52"/>
      <c r="BF584" s="52"/>
    </row>
    <row r="585" spans="1:58" ht="15" customHeight="1">
      <c r="A585" s="46" t="s">
        <v>3397</v>
      </c>
      <c r="B585" s="53" t="s">
        <v>3398</v>
      </c>
      <c r="C585" s="66" t="s">
        <v>311</v>
      </c>
      <c r="D585" s="67">
        <v>0</v>
      </c>
      <c r="E585" s="53" t="s">
        <v>312</v>
      </c>
      <c r="F585" s="50"/>
      <c r="G585" s="50"/>
      <c r="H585" s="51"/>
      <c r="I585" s="50" t="s">
        <v>3399</v>
      </c>
      <c r="J585" s="54" t="s">
        <v>73</v>
      </c>
      <c r="K585" s="53" t="s">
        <v>312</v>
      </c>
      <c r="L585" s="53" t="s">
        <v>683</v>
      </c>
      <c r="M585" s="53" t="s">
        <v>1320</v>
      </c>
      <c r="N585" s="53"/>
      <c r="O585" s="54"/>
      <c r="P585" s="56" t="s">
        <v>312</v>
      </c>
      <c r="Q585" s="53" t="s">
        <v>691</v>
      </c>
      <c r="R585" s="50" t="s">
        <v>3400</v>
      </c>
      <c r="S585" s="50">
        <v>1</v>
      </c>
      <c r="T585" s="50">
        <v>0</v>
      </c>
      <c r="U585" s="56" t="s">
        <v>3401</v>
      </c>
      <c r="V585" s="57">
        <v>0.73</v>
      </c>
      <c r="W585" s="56"/>
      <c r="X585" s="50"/>
      <c r="Y585" s="50"/>
      <c r="Z585" s="50"/>
      <c r="AA585" s="56"/>
      <c r="AB585" s="57"/>
      <c r="AC585" s="54">
        <v>1</v>
      </c>
      <c r="AD585" s="69">
        <f>SUM(AE585:AK585)</f>
        <v>0</v>
      </c>
      <c r="AE585" s="66"/>
      <c r="AF585" s="66"/>
      <c r="AG585" s="66"/>
      <c r="AH585" s="66"/>
      <c r="AI585" s="66"/>
      <c r="AJ585" s="66"/>
      <c r="AK585" s="66"/>
      <c r="AL585" s="54">
        <f>IF((AC585-SUM(AE585:AK585))&lt;0,0,AC585-SUM(AE585:AK585))</f>
        <v>1</v>
      </c>
      <c r="AM585" s="69">
        <f>SUM(AN585:AT585)</f>
        <v>0</v>
      </c>
      <c r="AN585" s="60"/>
      <c r="AO585" s="52"/>
      <c r="AP585" s="52"/>
      <c r="AQ585" s="52"/>
      <c r="AR585" s="52"/>
      <c r="AS585" s="52"/>
      <c r="AT585" s="61"/>
      <c r="AU585" s="66">
        <f>MAX(0,$AM585-$AC585-$AW585)</f>
        <v>0</v>
      </c>
      <c r="AV585" s="66"/>
      <c r="AW585" s="66"/>
      <c r="AX585" s="65">
        <v>0</v>
      </c>
      <c r="AY585" s="65">
        <f>IF(AND($AU585&gt;0,ISNUMBER($AX585)),$AU585*$AX585,0)</f>
        <v>0</v>
      </c>
      <c r="AZ585" s="46"/>
      <c r="BA585" s="52"/>
      <c r="BB585" s="52"/>
      <c r="BC585" s="52"/>
      <c r="BD585" s="52"/>
      <c r="BE585" s="52"/>
      <c r="BF585" s="52"/>
    </row>
    <row r="586" spans="1:58" ht="15" customHeight="1">
      <c r="A586" s="46" t="s">
        <v>3402</v>
      </c>
      <c r="B586" s="53" t="s">
        <v>3403</v>
      </c>
      <c r="C586" s="66" t="s">
        <v>101</v>
      </c>
      <c r="D586" s="67">
        <v>4</v>
      </c>
      <c r="E586" s="53" t="s">
        <v>71</v>
      </c>
      <c r="F586" s="50"/>
      <c r="G586" s="50"/>
      <c r="H586" s="51"/>
      <c r="I586" s="50" t="s">
        <v>3404</v>
      </c>
      <c r="J586" s="54" t="s">
        <v>73</v>
      </c>
      <c r="K586" s="58" t="s">
        <v>104</v>
      </c>
      <c r="L586" s="58" t="s">
        <v>3405</v>
      </c>
      <c r="M586" s="58"/>
      <c r="N586" s="58"/>
      <c r="O586" s="54"/>
      <c r="P586" s="56" t="s">
        <v>76</v>
      </c>
      <c r="Q586" s="58" t="s">
        <v>3406</v>
      </c>
      <c r="R586" s="54"/>
      <c r="S586" s="54"/>
      <c r="T586" s="54"/>
      <c r="U586" s="54"/>
      <c r="V586" s="57">
        <v>0.73</v>
      </c>
      <c r="W586" s="68"/>
      <c r="X586" s="54"/>
      <c r="Y586" s="54"/>
      <c r="Z586" s="54"/>
      <c r="AA586" s="54"/>
      <c r="AB586" s="57"/>
      <c r="AC586" s="54">
        <v>1</v>
      </c>
      <c r="AD586" s="69">
        <f>SUM(AE586:AK586)</f>
        <v>0</v>
      </c>
      <c r="AE586" s="66"/>
      <c r="AF586" s="66"/>
      <c r="AG586" s="66"/>
      <c r="AH586" s="66"/>
      <c r="AI586" s="66"/>
      <c r="AJ586" s="66"/>
      <c r="AK586" s="66"/>
      <c r="AL586" s="54">
        <f>IF((AC586-SUM(AE586:AK586))&lt;0,0,AC586-SUM(AE586:AK586))</f>
        <v>1</v>
      </c>
      <c r="AM586" s="69">
        <f>SUM(AN586:AT586)</f>
        <v>0</v>
      </c>
      <c r="AN586" s="60"/>
      <c r="AO586" s="52"/>
      <c r="AP586" s="52"/>
      <c r="AQ586" s="52"/>
      <c r="AR586" s="52"/>
      <c r="AS586" s="52"/>
      <c r="AT586" s="61"/>
      <c r="AU586" s="66">
        <f>MAX(0,$AM586-$AC586-$AW586)</f>
        <v>0</v>
      </c>
      <c r="AV586" s="66"/>
      <c r="AW586" s="66"/>
      <c r="AX586" s="65">
        <v>0</v>
      </c>
      <c r="AY586" s="65">
        <f>IF(AND($AU586&gt;0,ISNUMBER($AX586)),$AU586*$AX586,0)</f>
        <v>0</v>
      </c>
      <c r="AZ586" s="46"/>
      <c r="BA586" s="52"/>
      <c r="BB586" s="52"/>
      <c r="BC586" s="52"/>
      <c r="BD586" s="52"/>
      <c r="BE586" s="52"/>
      <c r="BF586" s="52"/>
    </row>
    <row r="587" spans="1:58" ht="15" customHeight="1">
      <c r="A587" s="46" t="s">
        <v>3407</v>
      </c>
      <c r="B587" s="53" t="s">
        <v>3408</v>
      </c>
      <c r="C587" s="66" t="s">
        <v>101</v>
      </c>
      <c r="D587" s="67">
        <v>3</v>
      </c>
      <c r="E587" s="53" t="s">
        <v>71</v>
      </c>
      <c r="F587" s="50"/>
      <c r="G587" s="50"/>
      <c r="H587" s="51"/>
      <c r="I587" s="50" t="s">
        <v>3409</v>
      </c>
      <c r="J587" s="54" t="s">
        <v>73</v>
      </c>
      <c r="K587" s="58" t="s">
        <v>104</v>
      </c>
      <c r="L587" s="58" t="s">
        <v>3410</v>
      </c>
      <c r="M587" s="58"/>
      <c r="N587" s="58"/>
      <c r="O587" s="54"/>
      <c r="P587" s="56" t="s">
        <v>76</v>
      </c>
      <c r="Q587" s="58" t="s">
        <v>1115</v>
      </c>
      <c r="R587" s="50"/>
      <c r="S587" s="50"/>
      <c r="T587" s="50"/>
      <c r="U587" s="50"/>
      <c r="V587" s="57">
        <v>0.73</v>
      </c>
      <c r="W587" s="68"/>
      <c r="X587" s="50"/>
      <c r="Y587" s="50"/>
      <c r="Z587" s="50"/>
      <c r="AA587" s="50"/>
      <c r="AB587" s="57"/>
      <c r="AC587" s="54">
        <v>1</v>
      </c>
      <c r="AD587" s="69">
        <f>SUM(AE587:AK587)</f>
        <v>0</v>
      </c>
      <c r="AE587" s="66"/>
      <c r="AF587" s="66"/>
      <c r="AG587" s="66"/>
      <c r="AH587" s="66"/>
      <c r="AI587" s="66"/>
      <c r="AJ587" s="66"/>
      <c r="AK587" s="66"/>
      <c r="AL587" s="54">
        <f>IF((AC587-SUM(AE587:AK587))&lt;0,0,AC587-SUM(AE587:AK587))</f>
        <v>1</v>
      </c>
      <c r="AM587" s="69">
        <f>SUM(AN587:AT587)</f>
        <v>0</v>
      </c>
      <c r="AN587" s="60"/>
      <c r="AO587" s="52"/>
      <c r="AP587" s="52"/>
      <c r="AQ587" s="52"/>
      <c r="AR587" s="52"/>
      <c r="AS587" s="52"/>
      <c r="AT587" s="61"/>
      <c r="AU587" s="66">
        <f>MAX(0,$AM587-$AC587-$AW587)</f>
        <v>0</v>
      </c>
      <c r="AV587" s="66"/>
      <c r="AW587" s="66"/>
      <c r="AX587" s="65">
        <v>0</v>
      </c>
      <c r="AY587" s="65">
        <f>IF(AND($AU587&gt;0,ISNUMBER($AX587)),$AU587*$AX587,0)</f>
        <v>0</v>
      </c>
      <c r="AZ587" s="46"/>
      <c r="BA587" s="52"/>
      <c r="BB587" s="52"/>
      <c r="BC587" s="52"/>
      <c r="BD587" s="52"/>
      <c r="BE587" s="52"/>
      <c r="BF587" s="52"/>
    </row>
    <row r="588" spans="1:58" ht="15" customHeight="1">
      <c r="A588" s="46" t="s">
        <v>3411</v>
      </c>
      <c r="B588" s="47" t="s">
        <v>3412</v>
      </c>
      <c r="C588" s="48" t="s">
        <v>311</v>
      </c>
      <c r="D588" s="49">
        <v>0</v>
      </c>
      <c r="E588" s="47" t="s">
        <v>312</v>
      </c>
      <c r="F588" s="50"/>
      <c r="G588" s="50"/>
      <c r="H588" s="51"/>
      <c r="I588" s="50" t="s">
        <v>3413</v>
      </c>
      <c r="J588" s="52" t="s">
        <v>73</v>
      </c>
      <c r="K588" s="47" t="s">
        <v>312</v>
      </c>
      <c r="L588" s="53" t="s">
        <v>740</v>
      </c>
      <c r="M588" s="53" t="s">
        <v>3414</v>
      </c>
      <c r="N588" s="53"/>
      <c r="O588" s="54"/>
      <c r="P588" s="55" t="s">
        <v>185</v>
      </c>
      <c r="Q588" s="47" t="s">
        <v>669</v>
      </c>
      <c r="R588" s="75" t="s">
        <v>3415</v>
      </c>
      <c r="S588" s="75">
        <v>1</v>
      </c>
      <c r="T588" s="75">
        <v>0</v>
      </c>
      <c r="U588" s="56"/>
      <c r="V588" s="57">
        <v>0.72</v>
      </c>
      <c r="W588" s="68"/>
      <c r="X588" s="46"/>
      <c r="Y588" s="46"/>
      <c r="Z588" s="46"/>
      <c r="AA588" s="56"/>
      <c r="AB588" s="57"/>
      <c r="AC588" s="54">
        <v>1</v>
      </c>
      <c r="AD588" s="69">
        <f>SUM(AE588:AK588)</f>
        <v>0</v>
      </c>
      <c r="AE588" s="66"/>
      <c r="AF588" s="66"/>
      <c r="AG588" s="66"/>
      <c r="AH588" s="66"/>
      <c r="AI588" s="66"/>
      <c r="AJ588" s="66"/>
      <c r="AK588" s="66"/>
      <c r="AL588" s="54">
        <f>IF((AC588-SUM(AE588:AK588))&lt;0,0,AC588-SUM(AE588:AK588))</f>
        <v>1</v>
      </c>
      <c r="AM588" s="69">
        <f>SUM(AN588:AT588)</f>
        <v>0</v>
      </c>
      <c r="AN588" s="60"/>
      <c r="AO588" s="52"/>
      <c r="AP588" s="52"/>
      <c r="AQ588" s="52"/>
      <c r="AR588" s="52"/>
      <c r="AS588" s="52"/>
      <c r="AT588" s="61"/>
      <c r="AU588" s="66">
        <f>MAX(0,$AM588-$AC588-$AW588)</f>
        <v>0</v>
      </c>
      <c r="AV588" s="48"/>
      <c r="AW588" s="48"/>
      <c r="AX588" s="65">
        <v>0</v>
      </c>
      <c r="AY588" s="65">
        <f>IF(AND($AU588&gt;0,ISNUMBER($AX588)),$AU588*$AX588,0)</f>
        <v>0</v>
      </c>
      <c r="AZ588" s="46"/>
      <c r="BA588" s="52"/>
      <c r="BB588" s="52"/>
      <c r="BC588" s="52"/>
      <c r="BD588" s="52"/>
      <c r="BE588" s="52"/>
      <c r="BF588" s="52"/>
    </row>
    <row r="589" spans="1:58" ht="15" customHeight="1">
      <c r="A589" s="46" t="s">
        <v>3416</v>
      </c>
      <c r="B589" s="53" t="s">
        <v>3417</v>
      </c>
      <c r="C589" s="66" t="s">
        <v>109</v>
      </c>
      <c r="D589" s="67">
        <v>2</v>
      </c>
      <c r="E589" s="53" t="s">
        <v>81</v>
      </c>
      <c r="F589" s="50">
        <v>2</v>
      </c>
      <c r="G589" s="50">
        <v>2</v>
      </c>
      <c r="H589" s="51" t="s">
        <v>3418</v>
      </c>
      <c r="I589" s="50" t="s">
        <v>3419</v>
      </c>
      <c r="J589" s="54" t="s">
        <v>73</v>
      </c>
      <c r="K589" s="58" t="s">
        <v>273</v>
      </c>
      <c r="L589" s="58" t="s">
        <v>3420</v>
      </c>
      <c r="M589" s="58"/>
      <c r="N589" s="58"/>
      <c r="O589" s="54"/>
      <c r="P589" s="56" t="s">
        <v>185</v>
      </c>
      <c r="Q589" s="58" t="s">
        <v>2358</v>
      </c>
      <c r="R589" s="50"/>
      <c r="S589" s="50"/>
      <c r="T589" s="50"/>
      <c r="U589" s="50"/>
      <c r="V589" s="57">
        <v>0.69</v>
      </c>
      <c r="W589" s="68"/>
      <c r="X589" s="50"/>
      <c r="Y589" s="50"/>
      <c r="Z589" s="50"/>
      <c r="AA589" s="50"/>
      <c r="AB589" s="57"/>
      <c r="AC589" s="54">
        <v>1</v>
      </c>
      <c r="AD589" s="69">
        <f>SUM(AE589:AK589)</f>
        <v>1</v>
      </c>
      <c r="AE589" s="66"/>
      <c r="AF589" s="66"/>
      <c r="AG589" s="66"/>
      <c r="AH589" s="66"/>
      <c r="AI589" s="66">
        <v>1</v>
      </c>
      <c r="AJ589" s="66"/>
      <c r="AK589" s="66"/>
      <c r="AL589" s="54">
        <f>IF((AC589-SUM(AE589:AK589))&lt;0,0,AC589-SUM(AE589:AK589))</f>
        <v>0</v>
      </c>
      <c r="AM589" s="69">
        <f>SUM(AN589:AT589)</f>
        <v>1</v>
      </c>
      <c r="AN589" s="60"/>
      <c r="AO589" s="52"/>
      <c r="AP589" s="52"/>
      <c r="AQ589" s="52"/>
      <c r="AR589" s="52">
        <v>1</v>
      </c>
      <c r="AS589" s="52"/>
      <c r="AT589" s="61"/>
      <c r="AU589" s="66">
        <f>MAX(0,$AM589-$AC589-$AW589)</f>
        <v>0</v>
      </c>
      <c r="AV589" s="66"/>
      <c r="AW589" s="66"/>
      <c r="AX589" s="65">
        <v>0</v>
      </c>
      <c r="AY589" s="65">
        <f>IF(AND($AU589&gt;0,ISNUMBER($AX589)),$AU589*$AX589,0)</f>
        <v>0</v>
      </c>
      <c r="AZ589" s="46"/>
      <c r="BA589" s="52"/>
      <c r="BB589" s="52"/>
      <c r="BC589" s="52"/>
      <c r="BD589" s="52"/>
      <c r="BE589" s="52"/>
      <c r="BF589" s="52"/>
    </row>
    <row r="590" spans="1:58" ht="15" customHeight="1">
      <c r="A590" s="46" t="s">
        <v>3421</v>
      </c>
      <c r="B590" s="53" t="s">
        <v>3422</v>
      </c>
      <c r="C590" s="66" t="s">
        <v>118</v>
      </c>
      <c r="D590" s="67">
        <v>4</v>
      </c>
      <c r="E590" s="53" t="s">
        <v>81</v>
      </c>
      <c r="F590" s="50">
        <v>3</v>
      </c>
      <c r="G590" s="50">
        <v>4</v>
      </c>
      <c r="H590" s="51" t="s">
        <v>1232</v>
      </c>
      <c r="I590" s="50" t="s">
        <v>3423</v>
      </c>
      <c r="J590" s="54" t="s">
        <v>73</v>
      </c>
      <c r="K590" s="58" t="s">
        <v>550</v>
      </c>
      <c r="L590" s="58" t="s">
        <v>3424</v>
      </c>
      <c r="M590" s="58" t="s">
        <v>3425</v>
      </c>
      <c r="N590" s="58"/>
      <c r="O590" s="54"/>
      <c r="P590" s="56" t="s">
        <v>86</v>
      </c>
      <c r="Q590" s="58" t="s">
        <v>141</v>
      </c>
      <c r="R590" s="50"/>
      <c r="S590" s="50"/>
      <c r="T590" s="50"/>
      <c r="U590" s="50"/>
      <c r="V590" s="57">
        <v>0.67</v>
      </c>
      <c r="W590" s="68"/>
      <c r="X590" s="50"/>
      <c r="Y590" s="50"/>
      <c r="Z590" s="50"/>
      <c r="AA590" s="50"/>
      <c r="AB590" s="57"/>
      <c r="AC590" s="54">
        <v>1</v>
      </c>
      <c r="AD590" s="69">
        <f>SUM(AE590:AK590)</f>
        <v>0</v>
      </c>
      <c r="AE590" s="66"/>
      <c r="AF590" s="66"/>
      <c r="AG590" s="66"/>
      <c r="AH590" s="66"/>
      <c r="AI590" s="66"/>
      <c r="AJ590" s="66"/>
      <c r="AK590" s="66"/>
      <c r="AL590" s="54">
        <f>IF((AC590-SUM(AE590:AK590))&lt;0,0,AC590-SUM(AE590:AK590))</f>
        <v>1</v>
      </c>
      <c r="AM590" s="69">
        <f>SUM(AN590:AT590)</f>
        <v>0</v>
      </c>
      <c r="AN590" s="60"/>
      <c r="AO590" s="52"/>
      <c r="AP590" s="52"/>
      <c r="AQ590" s="52"/>
      <c r="AR590" s="52"/>
      <c r="AS590" s="52"/>
      <c r="AT590" s="61"/>
      <c r="AU590" s="66">
        <f>MAX(0,$AM590-$AC590-$AW590)</f>
        <v>0</v>
      </c>
      <c r="AV590" s="66"/>
      <c r="AW590" s="66"/>
      <c r="AX590" s="65">
        <v>0</v>
      </c>
      <c r="AY590" s="65">
        <f>IF(AND($AU590&gt;0,ISNUMBER($AX590)),$AU590*$AX590,0)</f>
        <v>0</v>
      </c>
      <c r="AZ590" s="46"/>
      <c r="BA590" s="52"/>
      <c r="BB590" s="52"/>
      <c r="BC590" s="52"/>
      <c r="BD590" s="52"/>
      <c r="BE590" s="52"/>
      <c r="BF590" s="52"/>
    </row>
    <row r="591" spans="1:58" ht="15" customHeight="1">
      <c r="A591" s="46" t="s">
        <v>3426</v>
      </c>
      <c r="B591" s="53" t="s">
        <v>3427</v>
      </c>
      <c r="C591" s="66" t="s">
        <v>70</v>
      </c>
      <c r="D591" s="67">
        <v>3</v>
      </c>
      <c r="E591" s="53" t="s">
        <v>81</v>
      </c>
      <c r="F591" s="50">
        <v>2</v>
      </c>
      <c r="G591" s="50">
        <v>2</v>
      </c>
      <c r="H591" s="51" t="s">
        <v>318</v>
      </c>
      <c r="I591" s="50" t="s">
        <v>3428</v>
      </c>
      <c r="J591" s="54" t="s">
        <v>196</v>
      </c>
      <c r="K591" s="58" t="s">
        <v>129</v>
      </c>
      <c r="L591" s="58" t="s">
        <v>3429</v>
      </c>
      <c r="M591" s="58" t="s">
        <v>3430</v>
      </c>
      <c r="N591" s="58"/>
      <c r="O591" s="54"/>
      <c r="P591" s="56" t="s">
        <v>86</v>
      </c>
      <c r="Q591" s="58" t="s">
        <v>1107</v>
      </c>
      <c r="R591" s="50"/>
      <c r="S591" s="50"/>
      <c r="T591" s="50"/>
      <c r="U591" s="50"/>
      <c r="V591" s="57">
        <v>0.65</v>
      </c>
      <c r="W591" s="68"/>
      <c r="X591" s="50"/>
      <c r="Y591" s="50"/>
      <c r="Z591" s="50"/>
      <c r="AA591" s="50"/>
      <c r="AB591" s="57"/>
      <c r="AC591" s="54">
        <v>1</v>
      </c>
      <c r="AD591" s="69">
        <f>SUM(AE591:AK591)</f>
        <v>1</v>
      </c>
      <c r="AE591" s="66"/>
      <c r="AF591" s="66"/>
      <c r="AG591" s="66"/>
      <c r="AH591" s="66"/>
      <c r="AI591" s="66"/>
      <c r="AJ591" s="66">
        <v>1</v>
      </c>
      <c r="AK591" s="66"/>
      <c r="AL591" s="54">
        <f>IF((AC591-SUM(AE591:AK591))&lt;0,0,AC591-SUM(AE591:AK591))</f>
        <v>0</v>
      </c>
      <c r="AM591" s="69">
        <f>SUM(AN591:AT591)</f>
        <v>1</v>
      </c>
      <c r="AN591" s="60"/>
      <c r="AO591" s="52"/>
      <c r="AP591" s="52"/>
      <c r="AQ591" s="52"/>
      <c r="AR591" s="52"/>
      <c r="AS591" s="52">
        <v>1</v>
      </c>
      <c r="AT591" s="61"/>
      <c r="AU591" s="66">
        <f>MAX(0,$AM591-$AC591-$AW591)</f>
        <v>0</v>
      </c>
      <c r="AV591" s="66"/>
      <c r="AW591" s="66"/>
      <c r="AX591" s="65">
        <v>0</v>
      </c>
      <c r="AY591" s="65">
        <f>IF(AND($AU591&gt;0,ISNUMBER($AX591)),$AU591*$AX591,0)</f>
        <v>0</v>
      </c>
      <c r="AZ591" s="46"/>
      <c r="BA591" s="52"/>
      <c r="BB591" s="52"/>
      <c r="BC591" s="52"/>
      <c r="BD591" s="52"/>
      <c r="BE591" s="52"/>
      <c r="BF591" s="52"/>
    </row>
    <row r="592" spans="1:58" ht="15" customHeight="1">
      <c r="A592" s="46" t="s">
        <v>3431</v>
      </c>
      <c r="B592" s="53" t="s">
        <v>3432</v>
      </c>
      <c r="C592" s="66" t="s">
        <v>109</v>
      </c>
      <c r="D592" s="67">
        <v>2</v>
      </c>
      <c r="E592" s="53" t="s">
        <v>189</v>
      </c>
      <c r="F592" s="50"/>
      <c r="G592" s="50"/>
      <c r="H592" s="51"/>
      <c r="I592" s="50" t="s">
        <v>3433</v>
      </c>
      <c r="J592" s="54" t="s">
        <v>73</v>
      </c>
      <c r="K592" s="58" t="s">
        <v>135</v>
      </c>
      <c r="L592" s="58" t="s">
        <v>3434</v>
      </c>
      <c r="M592" s="58"/>
      <c r="N592" s="58"/>
      <c r="O592" s="54"/>
      <c r="P592" s="56" t="s">
        <v>185</v>
      </c>
      <c r="Q592" s="58" t="s">
        <v>1970</v>
      </c>
      <c r="R592" s="50"/>
      <c r="S592" s="50"/>
      <c r="T592" s="50"/>
      <c r="U592" s="50"/>
      <c r="V592" s="57">
        <v>0.63</v>
      </c>
      <c r="W592" s="68"/>
      <c r="X592" s="50"/>
      <c r="Y592" s="50"/>
      <c r="Z592" s="50"/>
      <c r="AA592" s="50"/>
      <c r="AB592" s="57"/>
      <c r="AC592" s="54">
        <v>1</v>
      </c>
      <c r="AD592" s="69">
        <f>SUM(AE592:AK592)</f>
        <v>1</v>
      </c>
      <c r="AE592" s="66"/>
      <c r="AF592" s="66"/>
      <c r="AG592" s="66"/>
      <c r="AH592" s="66"/>
      <c r="AI592" s="66">
        <v>1</v>
      </c>
      <c r="AJ592" s="66"/>
      <c r="AK592" s="66"/>
      <c r="AL592" s="54">
        <f>IF((AC592-SUM(AE592:AK592))&lt;0,0,AC592-SUM(AE592:AK592))</f>
        <v>0</v>
      </c>
      <c r="AM592" s="69">
        <f>SUM(AN592:AT592)</f>
        <v>1</v>
      </c>
      <c r="AN592" s="60"/>
      <c r="AO592" s="52"/>
      <c r="AP592" s="52"/>
      <c r="AQ592" s="52"/>
      <c r="AR592" s="52">
        <v>1</v>
      </c>
      <c r="AS592" s="52"/>
      <c r="AT592" s="61"/>
      <c r="AU592" s="66">
        <f>MAX(0,$AM592-$AC592-$AW592)</f>
        <v>0</v>
      </c>
      <c r="AV592" s="66"/>
      <c r="AW592" s="66"/>
      <c r="AX592" s="65">
        <v>0</v>
      </c>
      <c r="AY592" s="65">
        <f>IF(AND($AU592&gt;0,ISNUMBER($AX592)),$AU592*$AX592,0)</f>
        <v>0</v>
      </c>
      <c r="AZ592" s="46"/>
      <c r="BA592" s="52"/>
      <c r="BB592" s="52"/>
      <c r="BC592" s="52"/>
      <c r="BD592" s="52"/>
      <c r="BE592" s="52"/>
      <c r="BF592" s="52"/>
    </row>
    <row r="593" spans="1:58" ht="15" customHeight="1">
      <c r="A593" s="46" t="s">
        <v>3435</v>
      </c>
      <c r="B593" s="53" t="s">
        <v>3436</v>
      </c>
      <c r="C593" s="66" t="s">
        <v>80</v>
      </c>
      <c r="D593" s="67">
        <v>4</v>
      </c>
      <c r="E593" s="53" t="s">
        <v>189</v>
      </c>
      <c r="F593" s="50"/>
      <c r="G593" s="50"/>
      <c r="H593" s="51"/>
      <c r="I593" s="50" t="s">
        <v>3437</v>
      </c>
      <c r="J593" s="54" t="s">
        <v>73</v>
      </c>
      <c r="K593" s="58" t="s">
        <v>98</v>
      </c>
      <c r="L593" s="58" t="s">
        <v>3438</v>
      </c>
      <c r="M593" s="58"/>
      <c r="N593" s="58"/>
      <c r="O593" s="54"/>
      <c r="P593" s="56" t="s">
        <v>185</v>
      </c>
      <c r="Q593" s="58" t="s">
        <v>482</v>
      </c>
      <c r="R593" s="50"/>
      <c r="S593" s="50"/>
      <c r="T593" s="50"/>
      <c r="U593" s="56"/>
      <c r="V593" s="57">
        <v>0.62</v>
      </c>
      <c r="W593" s="68"/>
      <c r="X593" s="50"/>
      <c r="Y593" s="50"/>
      <c r="Z593" s="50"/>
      <c r="AA593" s="56"/>
      <c r="AB593" s="57"/>
      <c r="AC593" s="54">
        <v>1</v>
      </c>
      <c r="AD593" s="69">
        <f>SUM(AE593:AK593)</f>
        <v>1</v>
      </c>
      <c r="AE593" s="66"/>
      <c r="AF593" s="66"/>
      <c r="AG593" s="66"/>
      <c r="AH593" s="66"/>
      <c r="AI593" s="66"/>
      <c r="AJ593" s="66"/>
      <c r="AK593" s="66">
        <v>1</v>
      </c>
      <c r="AL593" s="54">
        <f>IF((AC593-SUM(AE593:AK593))&lt;0,0,AC593-SUM(AE593:AK593))</f>
        <v>0</v>
      </c>
      <c r="AM593" s="69">
        <f>SUM(AN593:AT593)</f>
        <v>0</v>
      </c>
      <c r="AN593" s="60"/>
      <c r="AO593" s="52"/>
      <c r="AP593" s="52"/>
      <c r="AQ593" s="52"/>
      <c r="AR593" s="52"/>
      <c r="AS593" s="52"/>
      <c r="AT593" s="61"/>
      <c r="AU593" s="66">
        <f>MAX(0,$AM593-$AC593-$AW593)</f>
        <v>0</v>
      </c>
      <c r="AV593" s="66"/>
      <c r="AW593" s="66"/>
      <c r="AX593" s="65">
        <v>0</v>
      </c>
      <c r="AY593" s="65">
        <f>IF(AND($AU593&gt;0,ISNUMBER($AX593)),$AU593*$AX593,0)</f>
        <v>0</v>
      </c>
      <c r="AZ593" s="46"/>
      <c r="BA593" s="52"/>
      <c r="BB593" s="52"/>
      <c r="BC593" s="52"/>
      <c r="BD593" s="52"/>
      <c r="BE593" s="52"/>
      <c r="BF593" s="52" t="s">
        <v>553</v>
      </c>
    </row>
    <row r="594" spans="1:58" ht="15" customHeight="1">
      <c r="A594" s="46" t="s">
        <v>3439</v>
      </c>
      <c r="B594" s="53" t="s">
        <v>3440</v>
      </c>
      <c r="C594" s="66" t="s">
        <v>70</v>
      </c>
      <c r="D594" s="67">
        <v>4</v>
      </c>
      <c r="E594" s="53" t="s">
        <v>81</v>
      </c>
      <c r="F594" s="50">
        <v>2</v>
      </c>
      <c r="G594" s="50">
        <v>2</v>
      </c>
      <c r="H594" s="51" t="s">
        <v>3441</v>
      </c>
      <c r="I594" s="50" t="s">
        <v>3442</v>
      </c>
      <c r="J594" s="54" t="s">
        <v>73</v>
      </c>
      <c r="K594" s="58" t="s">
        <v>261</v>
      </c>
      <c r="L594" s="58" t="s">
        <v>3443</v>
      </c>
      <c r="M594" s="58"/>
      <c r="N594" s="58"/>
      <c r="O594" s="54"/>
      <c r="P594" s="56" t="s">
        <v>185</v>
      </c>
      <c r="Q594" s="58" t="s">
        <v>392</v>
      </c>
      <c r="R594" s="50"/>
      <c r="S594" s="50"/>
      <c r="T594" s="50"/>
      <c r="U594" s="50"/>
      <c r="V594" s="57">
        <v>0.6</v>
      </c>
      <c r="W594" s="68"/>
      <c r="X594" s="50"/>
      <c r="Y594" s="50"/>
      <c r="Z594" s="50"/>
      <c r="AA594" s="50"/>
      <c r="AB594" s="57"/>
      <c r="AC594" s="54">
        <v>1</v>
      </c>
      <c r="AD594" s="69">
        <f>SUM(AE594:AK594)</f>
        <v>1</v>
      </c>
      <c r="AE594" s="66"/>
      <c r="AF594" s="66"/>
      <c r="AG594" s="66"/>
      <c r="AH594" s="66"/>
      <c r="AI594" s="66"/>
      <c r="AJ594" s="66">
        <v>1</v>
      </c>
      <c r="AK594" s="66"/>
      <c r="AL594" s="54">
        <f>IF((AC594-SUM(AE594:AK594))&lt;0,0,AC594-SUM(AE594:AK594))</f>
        <v>0</v>
      </c>
      <c r="AM594" s="69">
        <f>SUM(AN594:AT594)</f>
        <v>0</v>
      </c>
      <c r="AN594" s="60"/>
      <c r="AO594" s="52"/>
      <c r="AP594" s="52"/>
      <c r="AQ594" s="52"/>
      <c r="AR594" s="52"/>
      <c r="AS594" s="52"/>
      <c r="AT594" s="61"/>
      <c r="AU594" s="66">
        <f>MAX(0,$AM594-$AC594-$AW594)</f>
        <v>0</v>
      </c>
      <c r="AV594" s="66"/>
      <c r="AW594" s="66"/>
      <c r="AX594" s="65">
        <v>0</v>
      </c>
      <c r="AY594" s="65">
        <f>IF(AND($AU594&gt;0,ISNUMBER($AX594)),$AU594*$AX594,0)</f>
        <v>0</v>
      </c>
      <c r="AZ594" s="46"/>
      <c r="BA594" s="52"/>
      <c r="BB594" s="52"/>
      <c r="BC594" s="52"/>
      <c r="BD594" s="52"/>
      <c r="BE594" s="52" t="s">
        <v>596</v>
      </c>
      <c r="BF594" s="52"/>
    </row>
    <row r="595" spans="1:58" ht="15" customHeight="1">
      <c r="A595" s="46" t="s">
        <v>3444</v>
      </c>
      <c r="B595" s="53" t="s">
        <v>3445</v>
      </c>
      <c r="C595" s="66" t="s">
        <v>101</v>
      </c>
      <c r="D595" s="67">
        <v>4</v>
      </c>
      <c r="E595" s="53" t="s">
        <v>81</v>
      </c>
      <c r="F595" s="50">
        <v>0</v>
      </c>
      <c r="G595" s="50">
        <v>13</v>
      </c>
      <c r="H595" s="51" t="s">
        <v>221</v>
      </c>
      <c r="I595" s="50" t="s">
        <v>3446</v>
      </c>
      <c r="J595" s="54" t="s">
        <v>73</v>
      </c>
      <c r="K595" s="58" t="s">
        <v>121</v>
      </c>
      <c r="L595" s="58" t="s">
        <v>3447</v>
      </c>
      <c r="M595" s="58"/>
      <c r="N595" s="58"/>
      <c r="O595" s="54"/>
      <c r="P595" s="56" t="s">
        <v>114</v>
      </c>
      <c r="Q595" s="58" t="s">
        <v>1360</v>
      </c>
      <c r="R595" s="50"/>
      <c r="S595" s="50"/>
      <c r="T595" s="50"/>
      <c r="U595" s="50"/>
      <c r="V595" s="57">
        <v>0.59</v>
      </c>
      <c r="W595" s="68"/>
      <c r="X595" s="50"/>
      <c r="Y595" s="50"/>
      <c r="Z595" s="50"/>
      <c r="AA595" s="50"/>
      <c r="AB595" s="57"/>
      <c r="AC595" s="54">
        <v>1</v>
      </c>
      <c r="AD595" s="69">
        <f>SUM(AE595:AK595)</f>
        <v>1</v>
      </c>
      <c r="AE595" s="66"/>
      <c r="AF595" s="66"/>
      <c r="AG595" s="66"/>
      <c r="AH595" s="66">
        <v>1</v>
      </c>
      <c r="AI595" s="66"/>
      <c r="AJ595" s="66"/>
      <c r="AK595" s="66"/>
      <c r="AL595" s="54">
        <f>IF((AC595-SUM(AE595:AK595))&lt;0,0,AC595-SUM(AE595:AK595))</f>
        <v>0</v>
      </c>
      <c r="AM595" s="69">
        <f>SUM(AN595:AT595)</f>
        <v>1</v>
      </c>
      <c r="AN595" s="60"/>
      <c r="AO595" s="52"/>
      <c r="AP595" s="52"/>
      <c r="AQ595" s="52">
        <v>1</v>
      </c>
      <c r="AR595" s="52"/>
      <c r="AS595" s="52"/>
      <c r="AT595" s="61"/>
      <c r="AU595" s="66">
        <f>MAX(0,$AM595-$AC595-$AW595)</f>
        <v>0</v>
      </c>
      <c r="AV595" s="66"/>
      <c r="AW595" s="66"/>
      <c r="AX595" s="65">
        <v>0</v>
      </c>
      <c r="AY595" s="65">
        <f>IF(AND($AU595&gt;0,ISNUMBER($AX595)),$AU595*$AX595,0)</f>
        <v>0</v>
      </c>
      <c r="AZ595" s="46"/>
      <c r="BA595" s="52"/>
      <c r="BB595" s="52"/>
      <c r="BC595" s="52"/>
      <c r="BD595" s="52"/>
      <c r="BE595" s="52"/>
      <c r="BF595" s="52"/>
    </row>
    <row r="596" spans="1:58" ht="15" customHeight="1">
      <c r="A596" s="46" t="s">
        <v>3448</v>
      </c>
      <c r="B596" s="53" t="s">
        <v>3449</v>
      </c>
      <c r="C596" s="66" t="s">
        <v>118</v>
      </c>
      <c r="D596" s="67">
        <v>3</v>
      </c>
      <c r="E596" s="53" t="s">
        <v>81</v>
      </c>
      <c r="F596" s="50">
        <v>3</v>
      </c>
      <c r="G596" s="50">
        <v>2</v>
      </c>
      <c r="H596" s="51" t="s">
        <v>2590</v>
      </c>
      <c r="I596" s="50" t="s">
        <v>3450</v>
      </c>
      <c r="J596" s="54" t="s">
        <v>73</v>
      </c>
      <c r="K596" s="58" t="s">
        <v>254</v>
      </c>
      <c r="L596" s="58" t="s">
        <v>718</v>
      </c>
      <c r="M596" s="58" t="s">
        <v>3451</v>
      </c>
      <c r="N596" s="58"/>
      <c r="O596" s="54"/>
      <c r="P596" s="56" t="s">
        <v>86</v>
      </c>
      <c r="Q596" s="58" t="s">
        <v>546</v>
      </c>
      <c r="R596" s="50"/>
      <c r="S596" s="50"/>
      <c r="T596" s="50"/>
      <c r="U596" s="50"/>
      <c r="V596" s="57">
        <v>0.59</v>
      </c>
      <c r="W596" s="68"/>
      <c r="X596" s="50"/>
      <c r="Y596" s="50"/>
      <c r="Z596" s="50"/>
      <c r="AA596" s="50"/>
      <c r="AB596" s="57"/>
      <c r="AC596" s="54">
        <v>1</v>
      </c>
      <c r="AD596" s="69">
        <f>SUM(AE596:AK596)</f>
        <v>1</v>
      </c>
      <c r="AE596" s="66"/>
      <c r="AF596" s="66"/>
      <c r="AG596" s="66"/>
      <c r="AH596" s="66">
        <v>1</v>
      </c>
      <c r="AI596" s="66"/>
      <c r="AJ596" s="66"/>
      <c r="AK596" s="66"/>
      <c r="AL596" s="54">
        <f>IF((AC596-SUM(AE596:AK596))&lt;0,0,AC596-SUM(AE596:AK596))</f>
        <v>0</v>
      </c>
      <c r="AM596" s="69">
        <f>SUM(AN596:AT596)</f>
        <v>1</v>
      </c>
      <c r="AN596" s="60"/>
      <c r="AO596" s="52"/>
      <c r="AP596" s="52"/>
      <c r="AQ596" s="52">
        <v>1</v>
      </c>
      <c r="AR596" s="52"/>
      <c r="AS596" s="52"/>
      <c r="AT596" s="61"/>
      <c r="AU596" s="66">
        <f>MAX(0,$AM596-$AC596-$AW596)</f>
        <v>0</v>
      </c>
      <c r="AV596" s="66"/>
      <c r="AW596" s="66"/>
      <c r="AX596" s="65">
        <v>0</v>
      </c>
      <c r="AY596" s="65">
        <f>IF(AND($AU596&gt;0,ISNUMBER($AX596)),$AU596*$AX596,0)</f>
        <v>0</v>
      </c>
      <c r="AZ596" s="46"/>
      <c r="BA596" s="52"/>
      <c r="BB596" s="52"/>
      <c r="BC596" s="52"/>
      <c r="BD596" s="52"/>
      <c r="BE596" s="52"/>
      <c r="BF596" s="52"/>
    </row>
    <row r="597" spans="1:58" ht="15" customHeight="1">
      <c r="A597" s="46" t="s">
        <v>3452</v>
      </c>
      <c r="B597" s="47" t="s">
        <v>3453</v>
      </c>
      <c r="C597" s="48" t="s">
        <v>109</v>
      </c>
      <c r="D597" s="49">
        <v>5</v>
      </c>
      <c r="E597" s="47" t="s">
        <v>110</v>
      </c>
      <c r="F597" s="50">
        <v>5</v>
      </c>
      <c r="G597" s="50">
        <v>6</v>
      </c>
      <c r="H597" s="51" t="s">
        <v>3454</v>
      </c>
      <c r="I597" s="50" t="s">
        <v>3455</v>
      </c>
      <c r="J597" s="52" t="s">
        <v>73</v>
      </c>
      <c r="K597" s="47" t="s">
        <v>92</v>
      </c>
      <c r="L597" s="53" t="s">
        <v>3456</v>
      </c>
      <c r="M597" s="53" t="s">
        <v>3457</v>
      </c>
      <c r="N597" s="53"/>
      <c r="O597" s="56">
        <v>254</v>
      </c>
      <c r="P597" s="56" t="s">
        <v>86</v>
      </c>
      <c r="Q597" s="47" t="s">
        <v>633</v>
      </c>
      <c r="R597" s="75" t="s">
        <v>3458</v>
      </c>
      <c r="S597" s="75">
        <v>1</v>
      </c>
      <c r="T597" s="75">
        <v>0</v>
      </c>
      <c r="U597" s="56" t="s">
        <v>3459</v>
      </c>
      <c r="V597" s="63">
        <v>0.56000000000000005</v>
      </c>
      <c r="W597" s="64"/>
      <c r="X597" s="50"/>
      <c r="Y597" s="46"/>
      <c r="Z597" s="46"/>
      <c r="AA597" s="56"/>
      <c r="AB597" s="63"/>
      <c r="AC597" s="52">
        <v>1</v>
      </c>
      <c r="AD597" s="69">
        <f>SUM(AE597:AK597)</f>
        <v>0</v>
      </c>
      <c r="AE597" s="66"/>
      <c r="AF597" s="66"/>
      <c r="AG597" s="66"/>
      <c r="AH597" s="66"/>
      <c r="AI597" s="66"/>
      <c r="AJ597" s="66"/>
      <c r="AK597" s="66"/>
      <c r="AL597" s="54">
        <f>IF((AC597-SUM(AE597:AK597))&lt;0,0,AC597-SUM(AE597:AK597))</f>
        <v>1</v>
      </c>
      <c r="AM597" s="69">
        <f>SUM(AN597:AT597)</f>
        <v>0</v>
      </c>
      <c r="AN597" s="60"/>
      <c r="AO597" s="52"/>
      <c r="AP597" s="52"/>
      <c r="AQ597" s="52"/>
      <c r="AR597" s="52"/>
      <c r="AS597" s="52"/>
      <c r="AT597" s="61"/>
      <c r="AU597" s="66">
        <f>MAX(0,$AM597-$AC597-$AW597)</f>
        <v>0</v>
      </c>
      <c r="AV597" s="48"/>
      <c r="AW597" s="48"/>
      <c r="AX597" s="65">
        <v>0</v>
      </c>
      <c r="AY597" s="65">
        <f>IF(AND($AU597&gt;0,ISNUMBER($AX597)),$AU597*$AX597,0)</f>
        <v>0</v>
      </c>
      <c r="AZ597" s="46"/>
      <c r="BA597" s="52"/>
      <c r="BB597" s="52"/>
      <c r="BC597" s="52"/>
      <c r="BD597" s="52"/>
      <c r="BE597" s="52"/>
      <c r="BF597" s="52"/>
    </row>
    <row r="598" spans="1:58" ht="15" customHeight="1">
      <c r="A598" s="46" t="s">
        <v>3460</v>
      </c>
      <c r="B598" s="53" t="s">
        <v>3461</v>
      </c>
      <c r="C598" s="66" t="s">
        <v>70</v>
      </c>
      <c r="D598" s="67">
        <v>3</v>
      </c>
      <c r="E598" s="53" t="s">
        <v>71</v>
      </c>
      <c r="F598" s="50"/>
      <c r="G598" s="50"/>
      <c r="H598" s="51"/>
      <c r="I598" s="50" t="s">
        <v>3462</v>
      </c>
      <c r="J598" s="54" t="s">
        <v>73</v>
      </c>
      <c r="K598" s="58" t="s">
        <v>129</v>
      </c>
      <c r="L598" s="58" t="s">
        <v>3463</v>
      </c>
      <c r="M598" s="58"/>
      <c r="N598" s="58"/>
      <c r="O598" s="54"/>
      <c r="P598" s="56" t="s">
        <v>76</v>
      </c>
      <c r="Q598" s="58" t="s">
        <v>1030</v>
      </c>
      <c r="R598" s="50"/>
      <c r="S598" s="50"/>
      <c r="T598" s="50"/>
      <c r="U598" s="50"/>
      <c r="V598" s="57">
        <v>0.53</v>
      </c>
      <c r="W598" s="68"/>
      <c r="X598" s="50"/>
      <c r="Y598" s="50"/>
      <c r="Z598" s="50"/>
      <c r="AA598" s="50"/>
      <c r="AB598" s="57"/>
      <c r="AC598" s="54">
        <v>1</v>
      </c>
      <c r="AD598" s="69">
        <f>SUM(AE598:AK598)</f>
        <v>1</v>
      </c>
      <c r="AE598" s="66"/>
      <c r="AF598" s="66"/>
      <c r="AG598" s="66"/>
      <c r="AH598" s="66"/>
      <c r="AI598" s="66"/>
      <c r="AJ598" s="66">
        <v>1</v>
      </c>
      <c r="AK598" s="66"/>
      <c r="AL598" s="54">
        <f>IF((AC598-SUM(AE598:AK598))&lt;0,0,AC598-SUM(AE598:AK598))</f>
        <v>0</v>
      </c>
      <c r="AM598" s="69">
        <f>SUM(AN598:AT598)</f>
        <v>1</v>
      </c>
      <c r="AN598" s="60"/>
      <c r="AO598" s="52"/>
      <c r="AP598" s="52"/>
      <c r="AQ598" s="52"/>
      <c r="AR598" s="52"/>
      <c r="AS598" s="52">
        <v>1</v>
      </c>
      <c r="AT598" s="61"/>
      <c r="AU598" s="66">
        <f>MAX(0,$AM598-$AC598-$AW598)</f>
        <v>0</v>
      </c>
      <c r="AV598" s="66"/>
      <c r="AW598" s="66"/>
      <c r="AX598" s="65">
        <v>0</v>
      </c>
      <c r="AY598" s="65">
        <f>IF(AND($AU598&gt;0,ISNUMBER($AX598)),$AU598*$AX598,0)</f>
        <v>0</v>
      </c>
      <c r="AZ598" s="46"/>
      <c r="BA598" s="52"/>
      <c r="BB598" s="52"/>
      <c r="BC598" s="52"/>
      <c r="BD598" s="52"/>
      <c r="BE598" s="52"/>
      <c r="BF598" s="52"/>
    </row>
    <row r="599" spans="1:58" ht="15" customHeight="1">
      <c r="A599" s="46" t="s">
        <v>3464</v>
      </c>
      <c r="B599" s="53" t="s">
        <v>3465</v>
      </c>
      <c r="C599" s="66" t="s">
        <v>70</v>
      </c>
      <c r="D599" s="67">
        <v>4</v>
      </c>
      <c r="E599" s="53" t="s">
        <v>110</v>
      </c>
      <c r="F599" s="50">
        <v>4</v>
      </c>
      <c r="G599" s="50">
        <v>4</v>
      </c>
      <c r="H599" s="51" t="s">
        <v>3334</v>
      </c>
      <c r="I599" s="50" t="s">
        <v>3466</v>
      </c>
      <c r="J599" s="54" t="s">
        <v>73</v>
      </c>
      <c r="K599" s="58" t="s">
        <v>170</v>
      </c>
      <c r="L599" s="58" t="s">
        <v>3467</v>
      </c>
      <c r="M599" s="58" t="s">
        <v>3468</v>
      </c>
      <c r="N599" s="58" t="s">
        <v>3469</v>
      </c>
      <c r="O599" s="56">
        <v>296</v>
      </c>
      <c r="P599" s="56" t="s">
        <v>185</v>
      </c>
      <c r="Q599" s="58" t="s">
        <v>2507</v>
      </c>
      <c r="R599" s="50"/>
      <c r="S599" s="50"/>
      <c r="T599" s="50"/>
      <c r="U599" s="50"/>
      <c r="V599" s="57">
        <v>0.48</v>
      </c>
      <c r="W599" s="68"/>
      <c r="X599" s="50"/>
      <c r="Y599" s="50"/>
      <c r="Z599" s="50"/>
      <c r="AA599" s="50"/>
      <c r="AB599" s="57"/>
      <c r="AC599" s="54">
        <v>1</v>
      </c>
      <c r="AD599" s="69">
        <f>SUM(AE599:AK599)</f>
        <v>0</v>
      </c>
      <c r="AE599" s="66"/>
      <c r="AF599" s="66"/>
      <c r="AG599" s="66"/>
      <c r="AH599" s="66"/>
      <c r="AI599" s="66"/>
      <c r="AJ599" s="66"/>
      <c r="AK599" s="66"/>
      <c r="AL599" s="54">
        <f>IF((AC599-SUM(AE599:AK599))&lt;0,0,AC599-SUM(AE599:AK599))</f>
        <v>1</v>
      </c>
      <c r="AM599" s="69">
        <f>SUM(AN599:AT599)</f>
        <v>0</v>
      </c>
      <c r="AN599" s="60"/>
      <c r="AO599" s="52"/>
      <c r="AP599" s="52"/>
      <c r="AQ599" s="52"/>
      <c r="AR599" s="52"/>
      <c r="AS599" s="52"/>
      <c r="AT599" s="61"/>
      <c r="AU599" s="66">
        <f>MAX(0,$AM599-$AC599-$AW599)</f>
        <v>0</v>
      </c>
      <c r="AV599" s="66"/>
      <c r="AW599" s="66"/>
      <c r="AX599" s="65">
        <v>0</v>
      </c>
      <c r="AY599" s="65">
        <f>IF(AND($AU599&gt;0,ISNUMBER($AX599)),$AU599*$AX599,0)</f>
        <v>0</v>
      </c>
      <c r="AZ599" s="46"/>
      <c r="BA599" s="52"/>
      <c r="BB599" s="52"/>
      <c r="BC599" s="52"/>
      <c r="BD599" s="52"/>
      <c r="BE599" s="52"/>
      <c r="BF599" s="52"/>
    </row>
    <row r="600" spans="1:58" ht="15" customHeight="1">
      <c r="A600" s="46" t="s">
        <v>3470</v>
      </c>
      <c r="B600" s="53" t="s">
        <v>3471</v>
      </c>
      <c r="C600" s="66" t="s">
        <v>80</v>
      </c>
      <c r="D600" s="67">
        <v>2</v>
      </c>
      <c r="E600" s="53" t="s">
        <v>189</v>
      </c>
      <c r="F600" s="50"/>
      <c r="G600" s="50"/>
      <c r="H600" s="51"/>
      <c r="I600" s="50" t="s">
        <v>3472</v>
      </c>
      <c r="J600" s="54" t="s">
        <v>73</v>
      </c>
      <c r="K600" s="53" t="s">
        <v>98</v>
      </c>
      <c r="L600" s="53" t="s">
        <v>3473</v>
      </c>
      <c r="M600" s="53"/>
      <c r="N600" s="53"/>
      <c r="O600" s="54"/>
      <c r="P600" s="56" t="s">
        <v>185</v>
      </c>
      <c r="Q600" s="53" t="s">
        <v>691</v>
      </c>
      <c r="R600" s="50" t="s">
        <v>3474</v>
      </c>
      <c r="S600" s="50">
        <v>1</v>
      </c>
      <c r="T600" s="50">
        <v>0</v>
      </c>
      <c r="U600" s="56" t="s">
        <v>3475</v>
      </c>
      <c r="V600" s="57">
        <v>0.48</v>
      </c>
      <c r="W600" s="56"/>
      <c r="X600" s="50"/>
      <c r="Y600" s="50"/>
      <c r="Z600" s="50"/>
      <c r="AA600" s="56"/>
      <c r="AB600" s="57"/>
      <c r="AC600" s="54">
        <v>1</v>
      </c>
      <c r="AD600" s="69">
        <f>SUM(AE600:AK600)</f>
        <v>0</v>
      </c>
      <c r="AE600" s="66"/>
      <c r="AF600" s="66"/>
      <c r="AG600" s="66"/>
      <c r="AH600" s="66"/>
      <c r="AI600" s="66"/>
      <c r="AJ600" s="66"/>
      <c r="AK600" s="66"/>
      <c r="AL600" s="54">
        <f>IF((AC600-SUM(AE600:AK600))&lt;0,0,AC600-SUM(AE600:AK600))</f>
        <v>1</v>
      </c>
      <c r="AM600" s="69">
        <f>SUM(AN600:AT600)</f>
        <v>0</v>
      </c>
      <c r="AN600" s="60"/>
      <c r="AO600" s="52"/>
      <c r="AP600" s="52"/>
      <c r="AQ600" s="52"/>
      <c r="AR600" s="52"/>
      <c r="AS600" s="52"/>
      <c r="AT600" s="61"/>
      <c r="AU600" s="66">
        <f>MAX(0,$AM600-$AC600-$AW600)</f>
        <v>0</v>
      </c>
      <c r="AV600" s="66"/>
      <c r="AW600" s="66"/>
      <c r="AX600" s="65">
        <v>0</v>
      </c>
      <c r="AY600" s="65">
        <f>IF(AND($AU600&gt;0,ISNUMBER($AX600)),$AU600*$AX600,0)</f>
        <v>0</v>
      </c>
      <c r="AZ600" s="46"/>
      <c r="BA600" s="52"/>
      <c r="BB600" s="52"/>
      <c r="BC600" s="52"/>
      <c r="BD600" s="52"/>
      <c r="BE600" s="52"/>
      <c r="BF600" s="52"/>
    </row>
    <row r="601" spans="1:58" ht="15" customHeight="1">
      <c r="A601" s="46" t="s">
        <v>3476</v>
      </c>
      <c r="B601" s="53" t="s">
        <v>3477</v>
      </c>
      <c r="C601" s="66" t="s">
        <v>232</v>
      </c>
      <c r="D601" s="67">
        <v>9</v>
      </c>
      <c r="E601" s="53" t="s">
        <v>81</v>
      </c>
      <c r="F601" s="50">
        <v>10</v>
      </c>
      <c r="G601" s="50">
        <v>9</v>
      </c>
      <c r="H601" s="51" t="s">
        <v>1388</v>
      </c>
      <c r="I601" s="50" t="s">
        <v>3478</v>
      </c>
      <c r="J601" s="54" t="s">
        <v>73</v>
      </c>
      <c r="K601" s="58" t="s">
        <v>2794</v>
      </c>
      <c r="L601" s="58" t="s">
        <v>3479</v>
      </c>
      <c r="M601" s="58" t="s">
        <v>3480</v>
      </c>
      <c r="N601" s="58" t="s">
        <v>3481</v>
      </c>
      <c r="O601" s="54"/>
      <c r="P601" s="56" t="s">
        <v>185</v>
      </c>
      <c r="Q601" s="58" t="s">
        <v>466</v>
      </c>
      <c r="R601" s="50"/>
      <c r="S601" s="50"/>
      <c r="T601" s="50"/>
      <c r="U601" s="56"/>
      <c r="V601" s="57">
        <v>0.48</v>
      </c>
      <c r="W601" s="68"/>
      <c r="X601" s="50"/>
      <c r="Y601" s="50"/>
      <c r="Z601" s="50"/>
      <c r="AA601" s="56"/>
      <c r="AB601" s="57"/>
      <c r="AC601" s="54">
        <v>1</v>
      </c>
      <c r="AD601" s="69">
        <f>SUM(AE601:AK601)</f>
        <v>0</v>
      </c>
      <c r="AE601" s="66"/>
      <c r="AF601" s="66"/>
      <c r="AG601" s="66"/>
      <c r="AH601" s="66"/>
      <c r="AI601" s="66"/>
      <c r="AJ601" s="66"/>
      <c r="AK601" s="66"/>
      <c r="AL601" s="54">
        <f>IF((AC601-SUM(AE601:AK601))&lt;0,0,AC601-SUM(AE601:AK601))</f>
        <v>1</v>
      </c>
      <c r="AM601" s="69">
        <f>SUM(AN601:AT601)</f>
        <v>0</v>
      </c>
      <c r="AN601" s="60"/>
      <c r="AO601" s="52"/>
      <c r="AP601" s="52"/>
      <c r="AQ601" s="52"/>
      <c r="AR601" s="52"/>
      <c r="AS601" s="52"/>
      <c r="AT601" s="61"/>
      <c r="AU601" s="66">
        <f>MAX(0,$AM601-$AC601-$AW601)</f>
        <v>0</v>
      </c>
      <c r="AV601" s="66"/>
      <c r="AW601" s="66"/>
      <c r="AX601" s="65">
        <v>0</v>
      </c>
      <c r="AY601" s="65">
        <f>IF(AND($AU601&gt;0,ISNUMBER($AX601)),$AU601*$AX601,0)</f>
        <v>0</v>
      </c>
      <c r="AZ601" s="46"/>
      <c r="BA601" s="52"/>
      <c r="BB601" s="52"/>
      <c r="BC601" s="52"/>
      <c r="BD601" s="52"/>
      <c r="BE601" s="52"/>
      <c r="BF601" s="52"/>
    </row>
    <row r="602" spans="1:58" ht="15" customHeight="1">
      <c r="A602" s="46" t="s">
        <v>3482</v>
      </c>
      <c r="B602" s="53" t="s">
        <v>3483</v>
      </c>
      <c r="C602" s="66" t="s">
        <v>118</v>
      </c>
      <c r="D602" s="67">
        <v>2</v>
      </c>
      <c r="E602" s="53" t="s">
        <v>71</v>
      </c>
      <c r="F602" s="50"/>
      <c r="G602" s="50"/>
      <c r="H602" s="51"/>
      <c r="I602" s="50" t="s">
        <v>3484</v>
      </c>
      <c r="J602" s="54" t="s">
        <v>73</v>
      </c>
      <c r="K602" s="53" t="s">
        <v>135</v>
      </c>
      <c r="L602" s="53" t="s">
        <v>3485</v>
      </c>
      <c r="M602" s="53" t="s">
        <v>3486</v>
      </c>
      <c r="N602" s="53"/>
      <c r="O602" s="54"/>
      <c r="P602" s="56" t="s">
        <v>185</v>
      </c>
      <c r="Q602" s="53" t="s">
        <v>691</v>
      </c>
      <c r="R602" s="50" t="s">
        <v>3487</v>
      </c>
      <c r="S602" s="50">
        <v>1</v>
      </c>
      <c r="T602" s="50">
        <v>0</v>
      </c>
      <c r="U602" s="56" t="s">
        <v>3488</v>
      </c>
      <c r="V602" s="57">
        <v>0.48</v>
      </c>
      <c r="W602" s="56"/>
      <c r="X602" s="50"/>
      <c r="Y602" s="50"/>
      <c r="Z602" s="50"/>
      <c r="AA602" s="56"/>
      <c r="AB602" s="57"/>
      <c r="AC602" s="54">
        <v>1</v>
      </c>
      <c r="AD602" s="69">
        <f>SUM(AE602:AK602)</f>
        <v>0</v>
      </c>
      <c r="AE602" s="66"/>
      <c r="AF602" s="66"/>
      <c r="AG602" s="66"/>
      <c r="AH602" s="66"/>
      <c r="AI602" s="66"/>
      <c r="AJ602" s="66"/>
      <c r="AK602" s="66"/>
      <c r="AL602" s="54">
        <f>IF((AC602-SUM(AE602:AK602))&lt;0,0,AC602-SUM(AE602:AK602))</f>
        <v>1</v>
      </c>
      <c r="AM602" s="69">
        <f>SUM(AN602:AT602)</f>
        <v>0</v>
      </c>
      <c r="AN602" s="60"/>
      <c r="AO602" s="52"/>
      <c r="AP602" s="52"/>
      <c r="AQ602" s="52"/>
      <c r="AR602" s="52"/>
      <c r="AS602" s="52"/>
      <c r="AT602" s="61"/>
      <c r="AU602" s="66">
        <f>MAX(0,$AM602-$AC602-$AW602)</f>
        <v>0</v>
      </c>
      <c r="AV602" s="66"/>
      <c r="AW602" s="66"/>
      <c r="AX602" s="65">
        <v>0</v>
      </c>
      <c r="AY602" s="65">
        <f>IF(AND($AU602&gt;0,ISNUMBER($AX602)),$AU602*$AX602,0)</f>
        <v>0</v>
      </c>
      <c r="AZ602" s="46"/>
      <c r="BA602" s="52"/>
      <c r="BB602" s="52"/>
      <c r="BC602" s="52"/>
      <c r="BD602" s="52"/>
      <c r="BE602" s="52"/>
      <c r="BF602" s="52"/>
    </row>
    <row r="603" spans="1:58" ht="15" customHeight="1">
      <c r="A603" s="46" t="s">
        <v>908</v>
      </c>
      <c r="B603" s="53" t="s">
        <v>3489</v>
      </c>
      <c r="C603" s="66" t="s">
        <v>232</v>
      </c>
      <c r="D603" s="67">
        <v>4</v>
      </c>
      <c r="E603" s="53" t="s">
        <v>531</v>
      </c>
      <c r="F603" s="50">
        <v>2</v>
      </c>
      <c r="G603" s="50">
        <v>2</v>
      </c>
      <c r="H603" s="51" t="s">
        <v>2993</v>
      </c>
      <c r="I603" s="50" t="s">
        <v>3490</v>
      </c>
      <c r="J603" s="54" t="s">
        <v>73</v>
      </c>
      <c r="K603" s="58" t="s">
        <v>104</v>
      </c>
      <c r="L603" s="58" t="s">
        <v>3491</v>
      </c>
      <c r="M603" s="58" t="s">
        <v>3492</v>
      </c>
      <c r="N603" s="58"/>
      <c r="O603" s="54"/>
      <c r="P603" s="56" t="s">
        <v>86</v>
      </c>
      <c r="Q603" s="58" t="s">
        <v>523</v>
      </c>
      <c r="R603" s="50"/>
      <c r="S603" s="50"/>
      <c r="T603" s="50"/>
      <c r="U603" s="50"/>
      <c r="V603" s="57">
        <v>0.36</v>
      </c>
      <c r="W603" s="68"/>
      <c r="X603" s="50"/>
      <c r="Y603" s="50"/>
      <c r="Z603" s="50"/>
      <c r="AA603" s="50"/>
      <c r="AB603" s="57"/>
      <c r="AC603" s="54">
        <v>1</v>
      </c>
      <c r="AD603" s="69">
        <f>SUM(AE603:AK603)</f>
        <v>0</v>
      </c>
      <c r="AE603" s="66"/>
      <c r="AF603" s="66"/>
      <c r="AG603" s="66"/>
      <c r="AH603" s="66"/>
      <c r="AI603" s="66"/>
      <c r="AJ603" s="66"/>
      <c r="AK603" s="66"/>
      <c r="AL603" s="54">
        <f>IF((AC603-SUM(AE603:AK603))&lt;0,0,AC603-SUM(AE603:AK603))</f>
        <v>1</v>
      </c>
      <c r="AM603" s="69">
        <f>SUM(AN603:AT603)</f>
        <v>1</v>
      </c>
      <c r="AN603" s="70"/>
      <c r="AO603" s="54">
        <v>1</v>
      </c>
      <c r="AP603" s="54"/>
      <c r="AQ603" s="54"/>
      <c r="AR603" s="54"/>
      <c r="AS603" s="54"/>
      <c r="AT603" s="71"/>
      <c r="AU603" s="66">
        <f>MAX(0,$AM603-$AC603-$AW603)</f>
        <v>0</v>
      </c>
      <c r="AV603" s="66"/>
      <c r="AW603" s="66"/>
      <c r="AX603" s="65">
        <v>0</v>
      </c>
      <c r="AY603" s="65">
        <f>IF(AND($AU603&gt;0,ISNUMBER($AX603)),$AU603*$AX603,0)</f>
        <v>0</v>
      </c>
      <c r="AZ603" s="72"/>
      <c r="BA603" s="73"/>
      <c r="BB603" s="73"/>
      <c r="BC603" s="73"/>
      <c r="BD603" s="73"/>
      <c r="BE603" s="73"/>
      <c r="BF603" s="73"/>
    </row>
    <row r="604" spans="1:58" ht="15" customHeight="1">
      <c r="A604" s="46" t="s">
        <v>3493</v>
      </c>
      <c r="B604" s="53" t="s">
        <v>3494</v>
      </c>
      <c r="C604" s="66" t="s">
        <v>109</v>
      </c>
      <c r="D604" s="67">
        <v>3</v>
      </c>
      <c r="E604" s="53" t="s">
        <v>81</v>
      </c>
      <c r="F604" s="50">
        <v>2</v>
      </c>
      <c r="G604" s="50">
        <v>3</v>
      </c>
      <c r="H604" s="51" t="s">
        <v>205</v>
      </c>
      <c r="I604" s="50" t="s">
        <v>3495</v>
      </c>
      <c r="J604" s="54" t="s">
        <v>73</v>
      </c>
      <c r="K604" s="58" t="s">
        <v>135</v>
      </c>
      <c r="L604" s="58" t="s">
        <v>3496</v>
      </c>
      <c r="M604" s="58" t="s">
        <v>3497</v>
      </c>
      <c r="N604" s="58"/>
      <c r="O604" s="54"/>
      <c r="P604" s="56" t="s">
        <v>185</v>
      </c>
      <c r="Q604" s="58" t="s">
        <v>1070</v>
      </c>
      <c r="R604" s="54"/>
      <c r="S604" s="54"/>
      <c r="T604" s="54"/>
      <c r="U604" s="54"/>
      <c r="V604" s="57">
        <v>0.48</v>
      </c>
      <c r="W604" s="68"/>
      <c r="X604" s="54"/>
      <c r="Y604" s="54"/>
      <c r="Z604" s="54"/>
      <c r="AA604" s="54"/>
      <c r="AB604" s="57"/>
      <c r="AC604" s="54">
        <v>1</v>
      </c>
      <c r="AD604" s="69">
        <f>SUM(AE604:AK604)</f>
        <v>1</v>
      </c>
      <c r="AE604" s="66"/>
      <c r="AF604" s="66">
        <v>1</v>
      </c>
      <c r="AG604" s="66"/>
      <c r="AH604" s="66"/>
      <c r="AI604" s="66"/>
      <c r="AJ604" s="66"/>
      <c r="AK604" s="66"/>
      <c r="AL604" s="54">
        <f>IF((AC604-SUM(AE604:AK604))&lt;0,0,AC604-SUM(AE604:AK604))</f>
        <v>0</v>
      </c>
      <c r="AM604" s="69">
        <f>SUM(AN604:AT604)</f>
        <v>1</v>
      </c>
      <c r="AN604" s="60"/>
      <c r="AO604" s="52">
        <v>1</v>
      </c>
      <c r="AP604" s="52"/>
      <c r="AQ604" s="52"/>
      <c r="AR604" s="52"/>
      <c r="AS604" s="52"/>
      <c r="AT604" s="61"/>
      <c r="AU604" s="66">
        <f>MAX(0,$AM604-$AC604-$AW604)</f>
        <v>0</v>
      </c>
      <c r="AV604" s="66"/>
      <c r="AW604" s="66"/>
      <c r="AX604" s="65">
        <v>0</v>
      </c>
      <c r="AY604" s="65">
        <f>IF(AND($AU604&gt;0,ISNUMBER($AX604)),$AU604*$AX604,0)</f>
        <v>0</v>
      </c>
      <c r="AZ604" s="46"/>
      <c r="BA604" s="52"/>
      <c r="BB604" s="52"/>
      <c r="BC604" s="52"/>
      <c r="BD604" s="52"/>
      <c r="BE604" s="52"/>
      <c r="BF604" s="52"/>
    </row>
    <row r="605" spans="1:58" ht="15" customHeight="1">
      <c r="A605" s="46" t="s">
        <v>3498</v>
      </c>
      <c r="B605" s="53" t="s">
        <v>3499</v>
      </c>
      <c r="C605" s="66" t="s">
        <v>109</v>
      </c>
      <c r="D605" s="67">
        <v>5</v>
      </c>
      <c r="E605" s="53" t="s">
        <v>110</v>
      </c>
      <c r="F605" s="50">
        <v>4</v>
      </c>
      <c r="G605" s="50">
        <v>5</v>
      </c>
      <c r="H605" s="51" t="s">
        <v>3500</v>
      </c>
      <c r="I605" s="50" t="s">
        <v>3501</v>
      </c>
      <c r="J605" s="54" t="s">
        <v>73</v>
      </c>
      <c r="K605" s="58" t="s">
        <v>1163</v>
      </c>
      <c r="L605" s="58" t="s">
        <v>3502</v>
      </c>
      <c r="M605" s="58" t="s">
        <v>3503</v>
      </c>
      <c r="N605" s="58"/>
      <c r="O605" s="56">
        <v>48</v>
      </c>
      <c r="P605" s="56" t="s">
        <v>86</v>
      </c>
      <c r="Q605" s="58" t="s">
        <v>669</v>
      </c>
      <c r="R605" s="50"/>
      <c r="S605" s="50"/>
      <c r="T605" s="50"/>
      <c r="U605" s="56"/>
      <c r="V605" s="57">
        <v>0.47</v>
      </c>
      <c r="W605" s="68"/>
      <c r="X605" s="50"/>
      <c r="Y605" s="50"/>
      <c r="Z605" s="50"/>
      <c r="AA605" s="56"/>
      <c r="AB605" s="57"/>
      <c r="AC605" s="54">
        <v>1</v>
      </c>
      <c r="AD605" s="69">
        <f>SUM(AE605:AK605)</f>
        <v>1</v>
      </c>
      <c r="AE605" s="66"/>
      <c r="AF605" s="66"/>
      <c r="AG605" s="66"/>
      <c r="AH605" s="66"/>
      <c r="AI605" s="66"/>
      <c r="AJ605" s="66"/>
      <c r="AK605" s="66">
        <v>1</v>
      </c>
      <c r="AL605" s="54">
        <f>IF((AC605-SUM(AE605:AK605))&lt;0,0,AC605-SUM(AE605:AK605))</f>
        <v>0</v>
      </c>
      <c r="AM605" s="69">
        <f>SUM(AN605:AT605)</f>
        <v>1</v>
      </c>
      <c r="AN605" s="60"/>
      <c r="AO605" s="52"/>
      <c r="AP605" s="52"/>
      <c r="AQ605" s="52"/>
      <c r="AR605" s="52"/>
      <c r="AS605" s="52"/>
      <c r="AT605" s="61">
        <v>1</v>
      </c>
      <c r="AU605" s="66">
        <f>MAX(0,$AM605-$AC605-$AW605)</f>
        <v>0</v>
      </c>
      <c r="AV605" s="66"/>
      <c r="AW605" s="66"/>
      <c r="AX605" s="65">
        <v>0</v>
      </c>
      <c r="AY605" s="65">
        <f>IF(AND($AU605&gt;0,ISNUMBER($AX605)),$AU605*$AX605,0)</f>
        <v>0</v>
      </c>
      <c r="AZ605" s="46"/>
      <c r="BA605" s="52"/>
      <c r="BB605" s="52"/>
      <c r="BC605" s="52"/>
      <c r="BD605" s="52"/>
      <c r="BE605" s="52"/>
      <c r="BF605" s="52"/>
    </row>
    <row r="606" spans="1:58" ht="15" customHeight="1">
      <c r="A606" s="46" t="s">
        <v>3504</v>
      </c>
      <c r="B606" s="53" t="s">
        <v>3505</v>
      </c>
      <c r="C606" s="66" t="s">
        <v>311</v>
      </c>
      <c r="D606" s="67">
        <v>0</v>
      </c>
      <c r="E606" s="53" t="s">
        <v>312</v>
      </c>
      <c r="F606" s="50"/>
      <c r="G606" s="50"/>
      <c r="H606" s="51"/>
      <c r="I606" s="50" t="s">
        <v>3506</v>
      </c>
      <c r="J606" s="54" t="s">
        <v>73</v>
      </c>
      <c r="K606" s="58" t="s">
        <v>312</v>
      </c>
      <c r="L606" s="58" t="s">
        <v>740</v>
      </c>
      <c r="M606" s="58" t="s">
        <v>3507</v>
      </c>
      <c r="N606" s="58"/>
      <c r="O606" s="54"/>
      <c r="P606" s="56" t="s">
        <v>185</v>
      </c>
      <c r="Q606" s="58" t="s">
        <v>1970</v>
      </c>
      <c r="R606" s="50"/>
      <c r="S606" s="50"/>
      <c r="T606" s="50"/>
      <c r="U606" s="56"/>
      <c r="V606" s="57">
        <v>0.47</v>
      </c>
      <c r="W606" s="68"/>
      <c r="X606" s="50"/>
      <c r="Y606" s="50"/>
      <c r="Z606" s="50"/>
      <c r="AA606" s="56"/>
      <c r="AB606" s="57"/>
      <c r="AC606" s="54">
        <v>1</v>
      </c>
      <c r="AD606" s="69">
        <f>SUM(AE606:AK606)</f>
        <v>0</v>
      </c>
      <c r="AE606" s="66"/>
      <c r="AF606" s="66"/>
      <c r="AG606" s="66"/>
      <c r="AH606" s="66"/>
      <c r="AI606" s="66"/>
      <c r="AJ606" s="66"/>
      <c r="AK606" s="66"/>
      <c r="AL606" s="54">
        <f>IF((AC606-SUM(AE606:AK606))&lt;0,0,AC606-SUM(AE606:AK606))</f>
        <v>1</v>
      </c>
      <c r="AM606" s="69">
        <f>SUM(AN606:AT606)</f>
        <v>0</v>
      </c>
      <c r="AN606" s="60"/>
      <c r="AO606" s="52"/>
      <c r="AP606" s="52"/>
      <c r="AQ606" s="52"/>
      <c r="AR606" s="52"/>
      <c r="AS606" s="52"/>
      <c r="AT606" s="61"/>
      <c r="AU606" s="66">
        <f>MAX(0,$AM606-$AC606-$AW606)</f>
        <v>0</v>
      </c>
      <c r="AV606" s="66"/>
      <c r="AW606" s="66"/>
      <c r="AX606" s="65">
        <v>0</v>
      </c>
      <c r="AY606" s="65">
        <f>IF(AND($AU606&gt;0,ISNUMBER($AX606)),$AU606*$AX606,0)</f>
        <v>0</v>
      </c>
      <c r="AZ606" s="46"/>
      <c r="BA606" s="52"/>
      <c r="BB606" s="52"/>
      <c r="BC606" s="52"/>
      <c r="BD606" s="52"/>
      <c r="BE606" s="52"/>
      <c r="BF606" s="52"/>
    </row>
    <row r="607" spans="1:58" ht="15" customHeight="1">
      <c r="A607" s="46" t="s">
        <v>3508</v>
      </c>
      <c r="B607" s="53" t="s">
        <v>3509</v>
      </c>
      <c r="C607" s="66" t="s">
        <v>109</v>
      </c>
      <c r="D607" s="67">
        <v>5</v>
      </c>
      <c r="E607" s="53" t="s">
        <v>110</v>
      </c>
      <c r="F607" s="50">
        <v>3</v>
      </c>
      <c r="G607" s="50">
        <v>7</v>
      </c>
      <c r="H607" s="51" t="s">
        <v>3510</v>
      </c>
      <c r="I607" s="50" t="s">
        <v>3511</v>
      </c>
      <c r="J607" s="54" t="s">
        <v>73</v>
      </c>
      <c r="K607" s="58" t="s">
        <v>121</v>
      </c>
      <c r="L607" s="58" t="s">
        <v>3512</v>
      </c>
      <c r="M607" s="58" t="s">
        <v>3513</v>
      </c>
      <c r="N607" s="58"/>
      <c r="O607" s="56">
        <v>3619</v>
      </c>
      <c r="P607" s="56" t="s">
        <v>114</v>
      </c>
      <c r="Q607" s="58" t="s">
        <v>1865</v>
      </c>
      <c r="R607" s="50"/>
      <c r="S607" s="50"/>
      <c r="T607" s="50"/>
      <c r="U607" s="50"/>
      <c r="V607" s="57">
        <v>0.47</v>
      </c>
      <c r="W607" s="68"/>
      <c r="X607" s="50"/>
      <c r="Y607" s="50"/>
      <c r="Z607" s="50"/>
      <c r="AA607" s="50"/>
      <c r="AB607" s="57"/>
      <c r="AC607" s="54">
        <v>1</v>
      </c>
      <c r="AD607" s="69">
        <f>SUM(AE607:AK607)</f>
        <v>1</v>
      </c>
      <c r="AE607" s="66"/>
      <c r="AF607" s="66"/>
      <c r="AG607" s="66"/>
      <c r="AH607" s="66">
        <v>1</v>
      </c>
      <c r="AI607" s="66"/>
      <c r="AJ607" s="66"/>
      <c r="AK607" s="66"/>
      <c r="AL607" s="54">
        <f>IF((AC607-SUM(AE607:AK607))&lt;0,0,AC607-SUM(AE607:AK607))</f>
        <v>0</v>
      </c>
      <c r="AM607" s="69">
        <f>SUM(AN607:AT607)</f>
        <v>1</v>
      </c>
      <c r="AN607" s="60"/>
      <c r="AO607" s="52"/>
      <c r="AP607" s="52"/>
      <c r="AQ607" s="52">
        <v>1</v>
      </c>
      <c r="AR607" s="52"/>
      <c r="AS607" s="52"/>
      <c r="AT607" s="61"/>
      <c r="AU607" s="66">
        <f>MAX(0,$AM607-$AC607-$AW607)</f>
        <v>0</v>
      </c>
      <c r="AV607" s="66"/>
      <c r="AW607" s="66"/>
      <c r="AX607" s="65">
        <v>0</v>
      </c>
      <c r="AY607" s="65">
        <f>IF(AND($AU607&gt;0,ISNUMBER($AX607)),$AU607*$AX607,0)</f>
        <v>0</v>
      </c>
      <c r="AZ607" s="46"/>
      <c r="BA607" s="52"/>
      <c r="BB607" s="52"/>
      <c r="BC607" s="52"/>
      <c r="BD607" s="52"/>
      <c r="BE607" s="52"/>
      <c r="BF607" s="52"/>
    </row>
    <row r="608" spans="1:58" ht="15" customHeight="1">
      <c r="A608" s="46" t="s">
        <v>3514</v>
      </c>
      <c r="B608" s="53" t="s">
        <v>3515</v>
      </c>
      <c r="C608" s="66" t="s">
        <v>109</v>
      </c>
      <c r="D608" s="67">
        <v>3</v>
      </c>
      <c r="E608" s="53" t="s">
        <v>81</v>
      </c>
      <c r="F608" s="50">
        <v>0</v>
      </c>
      <c r="G608" s="50">
        <v>0</v>
      </c>
      <c r="H608" s="51" t="s">
        <v>3516</v>
      </c>
      <c r="I608" s="50" t="s">
        <v>3517</v>
      </c>
      <c r="J608" s="54" t="s">
        <v>73</v>
      </c>
      <c r="K608" s="58" t="s">
        <v>104</v>
      </c>
      <c r="L608" s="58" t="s">
        <v>3518</v>
      </c>
      <c r="M608" s="58" t="s">
        <v>3519</v>
      </c>
      <c r="N608" s="58"/>
      <c r="O608" s="54"/>
      <c r="P608" s="56" t="s">
        <v>86</v>
      </c>
      <c r="Q608" s="58" t="s">
        <v>229</v>
      </c>
      <c r="R608" s="54"/>
      <c r="S608" s="54"/>
      <c r="T608" s="54"/>
      <c r="U608" s="54"/>
      <c r="V608" s="57">
        <v>0.47</v>
      </c>
      <c r="W608" s="68"/>
      <c r="X608" s="54"/>
      <c r="Y608" s="54"/>
      <c r="Z608" s="54"/>
      <c r="AA608" s="54"/>
      <c r="AB608" s="57"/>
      <c r="AC608" s="54">
        <v>1</v>
      </c>
      <c r="AD608" s="69">
        <f>SUM(AE608:AK608)</f>
        <v>1</v>
      </c>
      <c r="AE608" s="66"/>
      <c r="AF608" s="66">
        <v>1</v>
      </c>
      <c r="AG608" s="66"/>
      <c r="AH608" s="66"/>
      <c r="AI608" s="66"/>
      <c r="AJ608" s="66"/>
      <c r="AK608" s="66"/>
      <c r="AL608" s="54">
        <f>IF((AC608-SUM(AE608:AK608))&lt;0,0,AC608-SUM(AE608:AK608))</f>
        <v>0</v>
      </c>
      <c r="AM608" s="69">
        <f>SUM(AN608:AT608)</f>
        <v>1</v>
      </c>
      <c r="AN608" s="60"/>
      <c r="AO608" s="52">
        <v>1</v>
      </c>
      <c r="AP608" s="52"/>
      <c r="AQ608" s="52"/>
      <c r="AR608" s="52"/>
      <c r="AS608" s="52"/>
      <c r="AT608" s="61"/>
      <c r="AU608" s="66">
        <f>MAX(0,$AM608-$AC608-$AW608)</f>
        <v>0</v>
      </c>
      <c r="AV608" s="66"/>
      <c r="AW608" s="66"/>
      <c r="AX608" s="65">
        <v>0</v>
      </c>
      <c r="AY608" s="65">
        <f>IF(AND($AU608&gt;0,ISNUMBER($AX608)),$AU608*$AX608,0)</f>
        <v>0</v>
      </c>
      <c r="AZ608" s="46"/>
      <c r="BA608" s="52"/>
      <c r="BB608" s="52"/>
      <c r="BC608" s="52"/>
      <c r="BD608" s="52"/>
      <c r="BE608" s="52"/>
      <c r="BF608" s="52"/>
    </row>
    <row r="609" spans="1:58" ht="15" customHeight="1">
      <c r="A609" s="46" t="s">
        <v>3520</v>
      </c>
      <c r="B609" s="53" t="s">
        <v>3521</v>
      </c>
      <c r="C609" s="66" t="s">
        <v>101</v>
      </c>
      <c r="D609" s="67">
        <v>2</v>
      </c>
      <c r="E609" s="53" t="s">
        <v>71</v>
      </c>
      <c r="F609" s="50"/>
      <c r="G609" s="50"/>
      <c r="H609" s="51"/>
      <c r="I609" s="50" t="s">
        <v>3522</v>
      </c>
      <c r="J609" s="54" t="s">
        <v>73</v>
      </c>
      <c r="K609" s="58" t="s">
        <v>104</v>
      </c>
      <c r="L609" s="58" t="s">
        <v>3523</v>
      </c>
      <c r="M609" s="58"/>
      <c r="N609" s="58"/>
      <c r="O609" s="54"/>
      <c r="P609" s="56" t="s">
        <v>76</v>
      </c>
      <c r="Q609" s="58" t="s">
        <v>487</v>
      </c>
      <c r="R609" s="54"/>
      <c r="S609" s="54"/>
      <c r="T609" s="54"/>
      <c r="U609" s="54"/>
      <c r="V609" s="57">
        <v>0.44</v>
      </c>
      <c r="W609" s="68"/>
      <c r="X609" s="54"/>
      <c r="Y609" s="54"/>
      <c r="Z609" s="54"/>
      <c r="AA609" s="54"/>
      <c r="AB609" s="57"/>
      <c r="AC609" s="54">
        <v>1</v>
      </c>
      <c r="AD609" s="69">
        <f>SUM(AE609:AK609)</f>
        <v>1</v>
      </c>
      <c r="AE609" s="66"/>
      <c r="AF609" s="66"/>
      <c r="AG609" s="66"/>
      <c r="AH609" s="66"/>
      <c r="AI609" s="66"/>
      <c r="AJ609" s="66"/>
      <c r="AK609" s="66">
        <v>1</v>
      </c>
      <c r="AL609" s="54">
        <f>IF((AC609-SUM(AE609:AK609))&lt;0,0,AC609-SUM(AE609:AK609))</f>
        <v>0</v>
      </c>
      <c r="AM609" s="69">
        <f>SUM(AN609:AT609)</f>
        <v>0</v>
      </c>
      <c r="AN609" s="60"/>
      <c r="AO609" s="52"/>
      <c r="AP609" s="52"/>
      <c r="AQ609" s="52"/>
      <c r="AR609" s="52"/>
      <c r="AS609" s="52"/>
      <c r="AT609" s="61"/>
      <c r="AU609" s="66">
        <f>MAX(0,$AM609-$AC609-$AW609)</f>
        <v>0</v>
      </c>
      <c r="AV609" s="66"/>
      <c r="AW609" s="66"/>
      <c r="AX609" s="65">
        <v>0</v>
      </c>
      <c r="AY609" s="65">
        <f>IF(AND($AU609&gt;0,ISNUMBER($AX609)),$AU609*$AX609,0)</f>
        <v>0</v>
      </c>
      <c r="AZ609" s="46"/>
      <c r="BA609" s="52"/>
      <c r="BB609" s="52"/>
      <c r="BC609" s="52"/>
      <c r="BD609" s="52"/>
      <c r="BE609" s="52"/>
      <c r="BF609" s="52" t="s">
        <v>300</v>
      </c>
    </row>
    <row r="610" spans="1:58" ht="15" customHeight="1">
      <c r="A610" s="46" t="s">
        <v>3524</v>
      </c>
      <c r="B610" s="53" t="s">
        <v>3525</v>
      </c>
      <c r="C610" s="66" t="s">
        <v>118</v>
      </c>
      <c r="D610" s="67">
        <v>2</v>
      </c>
      <c r="E610" s="53" t="s">
        <v>233</v>
      </c>
      <c r="F610" s="50"/>
      <c r="G610" s="50"/>
      <c r="H610" s="51"/>
      <c r="I610" s="50" t="s">
        <v>3526</v>
      </c>
      <c r="J610" s="54" t="s">
        <v>73</v>
      </c>
      <c r="K610" s="58" t="s">
        <v>129</v>
      </c>
      <c r="L610" s="58" t="s">
        <v>3527</v>
      </c>
      <c r="M610" s="58" t="s">
        <v>3528</v>
      </c>
      <c r="N610" s="58" t="s">
        <v>3529</v>
      </c>
      <c r="O610" s="54"/>
      <c r="P610" s="56" t="s">
        <v>86</v>
      </c>
      <c r="Q610" s="58" t="s">
        <v>3530</v>
      </c>
      <c r="R610" s="50"/>
      <c r="S610" s="50"/>
      <c r="T610" s="50"/>
      <c r="U610" s="50"/>
      <c r="V610" s="57">
        <v>0.44</v>
      </c>
      <c r="W610" s="68"/>
      <c r="X610" s="50"/>
      <c r="Y610" s="50"/>
      <c r="Z610" s="50"/>
      <c r="AA610" s="50"/>
      <c r="AB610" s="57"/>
      <c r="AC610" s="54">
        <v>1</v>
      </c>
      <c r="AD610" s="69">
        <f>SUM(AE610:AK610)</f>
        <v>1</v>
      </c>
      <c r="AE610" s="66"/>
      <c r="AF610" s="66"/>
      <c r="AG610" s="66"/>
      <c r="AH610" s="66"/>
      <c r="AI610" s="66">
        <v>1</v>
      </c>
      <c r="AJ610" s="66"/>
      <c r="AK610" s="66"/>
      <c r="AL610" s="54">
        <f>IF((AC610-SUM(AE610:AK610))&lt;0,0,AC610-SUM(AE610:AK610))</f>
        <v>0</v>
      </c>
      <c r="AM610" s="69">
        <f>SUM(AN610:AT610)</f>
        <v>1</v>
      </c>
      <c r="AN610" s="60"/>
      <c r="AO610" s="52"/>
      <c r="AP610" s="52"/>
      <c r="AQ610" s="52"/>
      <c r="AR610" s="52">
        <v>1</v>
      </c>
      <c r="AS610" s="52"/>
      <c r="AT610" s="61"/>
      <c r="AU610" s="66">
        <f>MAX(0,$AM610-$AC610-$AW610)</f>
        <v>0</v>
      </c>
      <c r="AV610" s="66"/>
      <c r="AW610" s="66"/>
      <c r="AX610" s="65">
        <v>0</v>
      </c>
      <c r="AY610" s="65">
        <f>IF(AND($AU610&gt;0,ISNUMBER($AX610)),$AU610*$AX610,0)</f>
        <v>0</v>
      </c>
      <c r="AZ610" s="46"/>
      <c r="BA610" s="52"/>
      <c r="BB610" s="52"/>
      <c r="BC610" s="52"/>
      <c r="BD610" s="52"/>
      <c r="BE610" s="52"/>
      <c r="BF610" s="52"/>
    </row>
    <row r="611" spans="1:58" ht="15" customHeight="1">
      <c r="A611" s="46" t="s">
        <v>3531</v>
      </c>
      <c r="B611" s="53" t="s">
        <v>3532</v>
      </c>
      <c r="C611" s="66" t="s">
        <v>109</v>
      </c>
      <c r="D611" s="67">
        <v>3</v>
      </c>
      <c r="E611" s="53" t="s">
        <v>2195</v>
      </c>
      <c r="F611" s="50"/>
      <c r="G611" s="50"/>
      <c r="H611" s="51" t="s">
        <v>3533</v>
      </c>
      <c r="I611" s="50" t="s">
        <v>3534</v>
      </c>
      <c r="J611" s="54" t="s">
        <v>73</v>
      </c>
      <c r="K611" s="58" t="s">
        <v>497</v>
      </c>
      <c r="L611" s="58" t="s">
        <v>2784</v>
      </c>
      <c r="M611" s="58" t="s">
        <v>3535</v>
      </c>
      <c r="N611" s="58"/>
      <c r="O611" s="54"/>
      <c r="P611" s="56" t="s">
        <v>185</v>
      </c>
      <c r="Q611" s="58" t="s">
        <v>462</v>
      </c>
      <c r="R611" s="50"/>
      <c r="S611" s="50"/>
      <c r="T611" s="50"/>
      <c r="U611" s="50"/>
      <c r="V611" s="57">
        <v>0.44</v>
      </c>
      <c r="W611" s="68"/>
      <c r="X611" s="50"/>
      <c r="Y611" s="50"/>
      <c r="Z611" s="50"/>
      <c r="AA611" s="50"/>
      <c r="AB611" s="57"/>
      <c r="AC611" s="54">
        <v>1</v>
      </c>
      <c r="AD611" s="69">
        <f>SUM(AE611:AK611)</f>
        <v>1</v>
      </c>
      <c r="AE611" s="66"/>
      <c r="AF611" s="66"/>
      <c r="AG611" s="66"/>
      <c r="AH611" s="66">
        <v>1</v>
      </c>
      <c r="AI611" s="66"/>
      <c r="AJ611" s="66"/>
      <c r="AK611" s="66"/>
      <c r="AL611" s="54">
        <f>IF((AC611-SUM(AE611:AK611))&lt;0,0,AC611-SUM(AE611:AK611))</f>
        <v>0</v>
      </c>
      <c r="AM611" s="69">
        <f>SUM(AN611:AT611)</f>
        <v>1</v>
      </c>
      <c r="AN611" s="60"/>
      <c r="AO611" s="52"/>
      <c r="AP611" s="52"/>
      <c r="AQ611" s="52">
        <v>1</v>
      </c>
      <c r="AR611" s="52"/>
      <c r="AS611" s="52"/>
      <c r="AT611" s="61"/>
      <c r="AU611" s="66">
        <f>MAX(0,$AM611-$AC611-$AW611)</f>
        <v>0</v>
      </c>
      <c r="AV611" s="66"/>
      <c r="AW611" s="66"/>
      <c r="AX611" s="65">
        <v>0</v>
      </c>
      <c r="AY611" s="65">
        <f>IF(AND($AU611&gt;0,ISNUMBER($AX611)),$AU611*$AX611,0)</f>
        <v>0</v>
      </c>
      <c r="AZ611" s="46"/>
      <c r="BA611" s="52"/>
      <c r="BB611" s="52"/>
      <c r="BC611" s="52"/>
      <c r="BD611" s="52"/>
      <c r="BE611" s="52"/>
      <c r="BF611" s="52"/>
    </row>
    <row r="612" spans="1:58" ht="15" customHeight="1">
      <c r="A612" s="46" t="s">
        <v>3536</v>
      </c>
      <c r="B612" s="53" t="s">
        <v>3537</v>
      </c>
      <c r="C612" s="66" t="s">
        <v>118</v>
      </c>
      <c r="D612" s="67">
        <v>3</v>
      </c>
      <c r="E612" s="53" t="s">
        <v>81</v>
      </c>
      <c r="F612" s="50">
        <v>3</v>
      </c>
      <c r="G612" s="50">
        <v>3</v>
      </c>
      <c r="H612" s="51" t="s">
        <v>3538</v>
      </c>
      <c r="I612" s="50" t="s">
        <v>3539</v>
      </c>
      <c r="J612" s="54" t="s">
        <v>73</v>
      </c>
      <c r="K612" s="58" t="s">
        <v>104</v>
      </c>
      <c r="L612" s="58" t="s">
        <v>3540</v>
      </c>
      <c r="M612" s="58" t="s">
        <v>3541</v>
      </c>
      <c r="N612" s="58"/>
      <c r="O612" s="54"/>
      <c r="P612" s="56" t="s">
        <v>86</v>
      </c>
      <c r="Q612" s="58" t="s">
        <v>2628</v>
      </c>
      <c r="R612" s="50"/>
      <c r="S612" s="50"/>
      <c r="T612" s="50"/>
      <c r="U612" s="56"/>
      <c r="V612" s="57">
        <v>0.43</v>
      </c>
      <c r="W612" s="68"/>
      <c r="X612" s="50"/>
      <c r="Y612" s="50"/>
      <c r="Z612" s="50"/>
      <c r="AA612" s="56"/>
      <c r="AB612" s="57"/>
      <c r="AC612" s="54">
        <v>1</v>
      </c>
      <c r="AD612" s="69">
        <f>SUM(AE612:AK612)</f>
        <v>1</v>
      </c>
      <c r="AE612" s="66"/>
      <c r="AF612" s="66">
        <v>1</v>
      </c>
      <c r="AG612" s="66"/>
      <c r="AH612" s="66"/>
      <c r="AI612" s="66"/>
      <c r="AJ612" s="66"/>
      <c r="AK612" s="66"/>
      <c r="AL612" s="54">
        <f>IF((AC612-SUM(AE612:AK612))&lt;0,0,AC612-SUM(AE612:AK612))</f>
        <v>0</v>
      </c>
      <c r="AM612" s="69">
        <f>SUM(AN612:AT612)</f>
        <v>1</v>
      </c>
      <c r="AN612" s="60"/>
      <c r="AO612" s="52">
        <v>1</v>
      </c>
      <c r="AP612" s="52"/>
      <c r="AQ612" s="52"/>
      <c r="AR612" s="52"/>
      <c r="AS612" s="52"/>
      <c r="AT612" s="61"/>
      <c r="AU612" s="66">
        <f>MAX(0,$AM612-$AC612-$AW612)</f>
        <v>0</v>
      </c>
      <c r="AV612" s="66"/>
      <c r="AW612" s="66"/>
      <c r="AX612" s="65">
        <v>0</v>
      </c>
      <c r="AY612" s="65">
        <f>IF(AND($AU612&gt;0,ISNUMBER($AX612)),$AU612*$AX612,0)</f>
        <v>0</v>
      </c>
      <c r="AZ612" s="46"/>
      <c r="BA612" s="52"/>
      <c r="BB612" s="52"/>
      <c r="BC612" s="52"/>
      <c r="BD612" s="52"/>
      <c r="BE612" s="52"/>
      <c r="BF612" s="52"/>
    </row>
    <row r="613" spans="1:58" ht="15" customHeight="1">
      <c r="A613" s="46" t="s">
        <v>3542</v>
      </c>
      <c r="B613" s="53" t="s">
        <v>3543</v>
      </c>
      <c r="C613" s="66" t="s">
        <v>232</v>
      </c>
      <c r="D613" s="67">
        <v>2</v>
      </c>
      <c r="E613" s="53" t="s">
        <v>233</v>
      </c>
      <c r="F613" s="50"/>
      <c r="G613" s="50"/>
      <c r="H613" s="51"/>
      <c r="I613" s="50" t="s">
        <v>3544</v>
      </c>
      <c r="J613" s="54" t="s">
        <v>73</v>
      </c>
      <c r="K613" s="53" t="s">
        <v>235</v>
      </c>
      <c r="L613" s="53" t="s">
        <v>3545</v>
      </c>
      <c r="M613" s="53"/>
      <c r="N613" s="53"/>
      <c r="O613" s="54"/>
      <c r="P613" s="56" t="s">
        <v>185</v>
      </c>
      <c r="Q613" s="53" t="s">
        <v>606</v>
      </c>
      <c r="R613" s="50"/>
      <c r="S613" s="50"/>
      <c r="T613" s="50"/>
      <c r="U613" s="50"/>
      <c r="V613" s="57">
        <v>0.42</v>
      </c>
      <c r="W613" s="68"/>
      <c r="X613" s="50"/>
      <c r="Y613" s="50"/>
      <c r="Z613" s="50"/>
      <c r="AA613" s="50"/>
      <c r="AB613" s="57"/>
      <c r="AC613" s="54">
        <v>1</v>
      </c>
      <c r="AD613" s="69">
        <f>SUM(AE613:AK613)</f>
        <v>1</v>
      </c>
      <c r="AE613" s="66"/>
      <c r="AF613" s="66"/>
      <c r="AG613" s="66"/>
      <c r="AH613" s="66">
        <v>1</v>
      </c>
      <c r="AI613" s="66"/>
      <c r="AJ613" s="66"/>
      <c r="AK613" s="66"/>
      <c r="AL613" s="54">
        <f>IF((AC613-SUM(AE613:AK613))&lt;0,0,AC613-SUM(AE613:AK613))</f>
        <v>0</v>
      </c>
      <c r="AM613" s="69">
        <f>SUM(AN613:AT613)</f>
        <v>1</v>
      </c>
      <c r="AN613" s="60"/>
      <c r="AO613" s="52"/>
      <c r="AP613" s="52"/>
      <c r="AQ613" s="52">
        <v>1</v>
      </c>
      <c r="AR613" s="52"/>
      <c r="AS613" s="52"/>
      <c r="AT613" s="61"/>
      <c r="AU613" s="66">
        <f>MAX(0,$AM613-$AC613-$AW613)</f>
        <v>0</v>
      </c>
      <c r="AV613" s="66"/>
      <c r="AW613" s="66"/>
      <c r="AX613" s="65">
        <v>0</v>
      </c>
      <c r="AY613" s="65">
        <f>IF(AND($AU613&gt;0,ISNUMBER($AX613)),$AU613*$AX613,0)</f>
        <v>0</v>
      </c>
      <c r="AZ613" s="46"/>
      <c r="BA613" s="52"/>
      <c r="BB613" s="52"/>
      <c r="BC613" s="52"/>
      <c r="BD613" s="52"/>
      <c r="BE613" s="52"/>
      <c r="BF613" s="52"/>
    </row>
    <row r="614" spans="1:58" ht="15" customHeight="1">
      <c r="A614" s="46" t="s">
        <v>3546</v>
      </c>
      <c r="B614" s="53" t="s">
        <v>3547</v>
      </c>
      <c r="C614" s="66" t="s">
        <v>181</v>
      </c>
      <c r="D614" s="67">
        <v>1</v>
      </c>
      <c r="E614" s="53" t="s">
        <v>81</v>
      </c>
      <c r="F614" s="50">
        <v>1</v>
      </c>
      <c r="G614" s="50">
        <v>1</v>
      </c>
      <c r="H614" s="51" t="s">
        <v>3548</v>
      </c>
      <c r="I614" s="50" t="s">
        <v>3549</v>
      </c>
      <c r="J614" s="54" t="s">
        <v>73</v>
      </c>
      <c r="K614" s="58" t="s">
        <v>247</v>
      </c>
      <c r="L614" s="58" t="s">
        <v>3550</v>
      </c>
      <c r="M614" s="58"/>
      <c r="N614" s="58"/>
      <c r="O614" s="54"/>
      <c r="P614" s="56" t="s">
        <v>76</v>
      </c>
      <c r="Q614" s="58" t="s">
        <v>1115</v>
      </c>
      <c r="R614" s="50"/>
      <c r="S614" s="50"/>
      <c r="T614" s="50"/>
      <c r="U614" s="50"/>
      <c r="V614" s="57">
        <v>0.42</v>
      </c>
      <c r="W614" s="68"/>
      <c r="X614" s="50"/>
      <c r="Y614" s="50"/>
      <c r="Z614" s="50"/>
      <c r="AA614" s="50"/>
      <c r="AB614" s="57"/>
      <c r="AC614" s="54">
        <v>1</v>
      </c>
      <c r="AD614" s="69">
        <f>SUM(AE614:AK614)</f>
        <v>1</v>
      </c>
      <c r="AE614" s="66"/>
      <c r="AF614" s="66"/>
      <c r="AG614" s="66"/>
      <c r="AH614" s="66"/>
      <c r="AI614" s="66">
        <v>1</v>
      </c>
      <c r="AJ614" s="66"/>
      <c r="AK614" s="66"/>
      <c r="AL614" s="54">
        <f>IF((AC614-SUM(AE614:AK614))&lt;0,0,AC614-SUM(AE614:AK614))</f>
        <v>0</v>
      </c>
      <c r="AM614" s="69">
        <f>SUM(AN614:AT614)</f>
        <v>0</v>
      </c>
      <c r="AN614" s="60"/>
      <c r="AO614" s="52"/>
      <c r="AP614" s="52"/>
      <c r="AQ614" s="52"/>
      <c r="AR614" s="52"/>
      <c r="AS614" s="52"/>
      <c r="AT614" s="61"/>
      <c r="AU614" s="66">
        <f>MAX(0,$AM614-$AC614-$AW614)</f>
        <v>0</v>
      </c>
      <c r="AV614" s="66"/>
      <c r="AW614" s="66"/>
      <c r="AX614" s="65">
        <v>0</v>
      </c>
      <c r="AY614" s="65">
        <f>IF(AND($AU614&gt;0,ISNUMBER($AX614)),$AU614*$AX614,0)</f>
        <v>0</v>
      </c>
      <c r="AZ614" s="46"/>
      <c r="BA614" s="52"/>
      <c r="BB614" s="52"/>
      <c r="BC614" s="52"/>
      <c r="BD614" s="52" t="s">
        <v>576</v>
      </c>
      <c r="BE614" s="52"/>
      <c r="BF614" s="52"/>
    </row>
    <row r="615" spans="1:58" ht="15" customHeight="1">
      <c r="A615" s="46" t="s">
        <v>3551</v>
      </c>
      <c r="B615" s="53" t="s">
        <v>3552</v>
      </c>
      <c r="C615" s="66" t="s">
        <v>232</v>
      </c>
      <c r="D615" s="67">
        <v>2</v>
      </c>
      <c r="E615" s="53" t="s">
        <v>233</v>
      </c>
      <c r="F615" s="50"/>
      <c r="G615" s="50"/>
      <c r="H615" s="51" t="s">
        <v>519</v>
      </c>
      <c r="I615" s="50" t="s">
        <v>3553</v>
      </c>
      <c r="J615" s="54" t="s">
        <v>73</v>
      </c>
      <c r="K615" s="58" t="s">
        <v>129</v>
      </c>
      <c r="L615" s="58" t="s">
        <v>986</v>
      </c>
      <c r="M615" s="58" t="s">
        <v>3554</v>
      </c>
      <c r="N615" s="58"/>
      <c r="O615" s="54"/>
      <c r="P615" s="55" t="s">
        <v>76</v>
      </c>
      <c r="Q615" s="58" t="s">
        <v>305</v>
      </c>
      <c r="R615" s="74" t="s">
        <v>3555</v>
      </c>
      <c r="S615" s="74">
        <v>1</v>
      </c>
      <c r="T615" s="74">
        <v>1</v>
      </c>
      <c r="U615" s="56" t="s">
        <v>3556</v>
      </c>
      <c r="V615" s="57">
        <v>0.42</v>
      </c>
      <c r="W615" s="68"/>
      <c r="X615" s="46"/>
      <c r="Y615" s="50"/>
      <c r="Z615" s="50"/>
      <c r="AA615" s="56"/>
      <c r="AB615" s="57"/>
      <c r="AC615" s="54">
        <v>1</v>
      </c>
      <c r="AD615" s="69">
        <f>SUM(AE615:AK615)</f>
        <v>1</v>
      </c>
      <c r="AE615" s="66"/>
      <c r="AF615" s="66"/>
      <c r="AG615" s="66"/>
      <c r="AH615" s="66"/>
      <c r="AI615" s="66">
        <v>1</v>
      </c>
      <c r="AJ615" s="66"/>
      <c r="AK615" s="66"/>
      <c r="AL615" s="54">
        <f>IF((AC615-SUM(AE615:AK615))&lt;0,0,AC615-SUM(AE615:AK615))</f>
        <v>0</v>
      </c>
      <c r="AM615" s="69">
        <f>SUM(AN615:AT615)</f>
        <v>1</v>
      </c>
      <c r="AN615" s="60"/>
      <c r="AO615" s="52"/>
      <c r="AP615" s="52"/>
      <c r="AQ615" s="52"/>
      <c r="AR615" s="52">
        <v>1</v>
      </c>
      <c r="AS615" s="52"/>
      <c r="AT615" s="61"/>
      <c r="AU615" s="66">
        <f>MAX(0,$AM615-$AC615-$AW615)</f>
        <v>0</v>
      </c>
      <c r="AV615" s="66"/>
      <c r="AW615" s="66"/>
      <c r="AX615" s="65">
        <v>0</v>
      </c>
      <c r="AY615" s="65">
        <f>IF(AND($AU615&gt;0,ISNUMBER($AX615)),$AU615*$AX615,0)</f>
        <v>0</v>
      </c>
      <c r="AZ615" s="46"/>
      <c r="BA615" s="52"/>
      <c r="BB615" s="52"/>
      <c r="BC615" s="52"/>
      <c r="BD615" s="52"/>
      <c r="BE615" s="52"/>
      <c r="BF615" s="52"/>
    </row>
    <row r="616" spans="1:58" ht="15" customHeight="1">
      <c r="A616" s="46" t="s">
        <v>3557</v>
      </c>
      <c r="B616" s="53" t="s">
        <v>3558</v>
      </c>
      <c r="C616" s="66" t="s">
        <v>232</v>
      </c>
      <c r="D616" s="67">
        <v>4</v>
      </c>
      <c r="E616" s="53" t="s">
        <v>531</v>
      </c>
      <c r="F616" s="50">
        <v>1</v>
      </c>
      <c r="G616" s="50">
        <v>3</v>
      </c>
      <c r="H616" s="51" t="s">
        <v>2993</v>
      </c>
      <c r="I616" s="50" t="s">
        <v>3559</v>
      </c>
      <c r="J616" s="54" t="s">
        <v>73</v>
      </c>
      <c r="K616" s="58" t="s">
        <v>2664</v>
      </c>
      <c r="L616" s="58" t="s">
        <v>594</v>
      </c>
      <c r="M616" s="58" t="s">
        <v>3560</v>
      </c>
      <c r="N616" s="58"/>
      <c r="O616" s="54"/>
      <c r="P616" s="56" t="s">
        <v>76</v>
      </c>
      <c r="Q616" s="58" t="s">
        <v>528</v>
      </c>
      <c r="R616" s="50"/>
      <c r="S616" s="50"/>
      <c r="T616" s="50"/>
      <c r="U616" s="50"/>
      <c r="V616" s="57">
        <v>0.41</v>
      </c>
      <c r="W616" s="68"/>
      <c r="X616" s="50"/>
      <c r="Y616" s="50"/>
      <c r="Z616" s="50"/>
      <c r="AA616" s="50"/>
      <c r="AB616" s="57"/>
      <c r="AC616" s="54">
        <v>1</v>
      </c>
      <c r="AD616" s="69">
        <f>SUM(AE616:AK616)</f>
        <v>1</v>
      </c>
      <c r="AE616" s="66"/>
      <c r="AF616" s="66"/>
      <c r="AG616" s="66"/>
      <c r="AH616" s="66">
        <v>1</v>
      </c>
      <c r="AI616" s="66"/>
      <c r="AJ616" s="66"/>
      <c r="AK616" s="66"/>
      <c r="AL616" s="54">
        <f>IF((AC616-SUM(AE616:AK616))&lt;0,0,AC616-SUM(AE616:AK616))</f>
        <v>0</v>
      </c>
      <c r="AM616" s="69">
        <f>SUM(AN616:AT616)</f>
        <v>1</v>
      </c>
      <c r="AN616" s="60"/>
      <c r="AO616" s="52"/>
      <c r="AP616" s="52"/>
      <c r="AQ616" s="52">
        <v>1</v>
      </c>
      <c r="AR616" s="52"/>
      <c r="AS616" s="52"/>
      <c r="AT616" s="61"/>
      <c r="AU616" s="66">
        <f>MAX(0,$AM616-$AC616-$AW616)</f>
        <v>0</v>
      </c>
      <c r="AV616" s="66"/>
      <c r="AW616" s="66"/>
      <c r="AX616" s="65">
        <v>0</v>
      </c>
      <c r="AY616" s="65">
        <f>IF(AND($AU616&gt;0,ISNUMBER($AX616)),$AU616*$AX616,0)</f>
        <v>0</v>
      </c>
      <c r="AZ616" s="46"/>
      <c r="BA616" s="52"/>
      <c r="BB616" s="52"/>
      <c r="BC616" s="52"/>
      <c r="BD616" s="52"/>
      <c r="BE616" s="52"/>
      <c r="BF616" s="52"/>
    </row>
    <row r="617" spans="1:58" ht="15" customHeight="1">
      <c r="A617" s="46" t="s">
        <v>3561</v>
      </c>
      <c r="B617" s="53" t="s">
        <v>3562</v>
      </c>
      <c r="C617" s="66" t="s">
        <v>181</v>
      </c>
      <c r="D617" s="67">
        <v>4</v>
      </c>
      <c r="E617" s="53" t="s">
        <v>110</v>
      </c>
      <c r="F617" s="50">
        <v>3</v>
      </c>
      <c r="G617" s="50">
        <v>1</v>
      </c>
      <c r="H617" s="51" t="s">
        <v>1701</v>
      </c>
      <c r="I617" s="50" t="s">
        <v>3563</v>
      </c>
      <c r="J617" s="54" t="s">
        <v>73</v>
      </c>
      <c r="K617" s="53" t="s">
        <v>864</v>
      </c>
      <c r="L617" s="53" t="s">
        <v>85</v>
      </c>
      <c r="M617" s="53" t="s">
        <v>3564</v>
      </c>
      <c r="N617" s="53"/>
      <c r="O617" s="56">
        <v>6607</v>
      </c>
      <c r="P617" s="56" t="s">
        <v>185</v>
      </c>
      <c r="Q617" s="53" t="s">
        <v>691</v>
      </c>
      <c r="R617" s="50" t="s">
        <v>3565</v>
      </c>
      <c r="S617" s="50">
        <v>1</v>
      </c>
      <c r="T617" s="50">
        <v>0</v>
      </c>
      <c r="U617" s="56" t="s">
        <v>1253</v>
      </c>
      <c r="V617" s="57">
        <v>0.4</v>
      </c>
      <c r="W617" s="56"/>
      <c r="X617" s="50"/>
      <c r="Y617" s="50"/>
      <c r="Z617" s="50"/>
      <c r="AA617" s="56"/>
      <c r="AB617" s="57"/>
      <c r="AC617" s="54">
        <v>1</v>
      </c>
      <c r="AD617" s="69">
        <f>SUM(AE617:AK617)</f>
        <v>0</v>
      </c>
      <c r="AE617" s="66"/>
      <c r="AF617" s="66"/>
      <c r="AG617" s="66"/>
      <c r="AH617" s="66"/>
      <c r="AI617" s="66"/>
      <c r="AJ617" s="66"/>
      <c r="AK617" s="66"/>
      <c r="AL617" s="54">
        <f>IF((AC617-SUM(AE617:AK617))&lt;0,0,AC617-SUM(AE617:AK617))</f>
        <v>1</v>
      </c>
      <c r="AM617" s="69">
        <f>SUM(AN617:AT617)</f>
        <v>0</v>
      </c>
      <c r="AN617" s="60"/>
      <c r="AO617" s="52"/>
      <c r="AP617" s="52"/>
      <c r="AQ617" s="52"/>
      <c r="AR617" s="52"/>
      <c r="AS617" s="52"/>
      <c r="AT617" s="61"/>
      <c r="AU617" s="66">
        <f>MAX(0,$AM617-$AC617-$AW617)</f>
        <v>0</v>
      </c>
      <c r="AV617" s="66"/>
      <c r="AW617" s="66"/>
      <c r="AX617" s="65">
        <v>0</v>
      </c>
      <c r="AY617" s="65">
        <f>IF(AND($AU617&gt;0,ISNUMBER($AX617)),$AU617*$AX617,0)</f>
        <v>0</v>
      </c>
      <c r="AZ617" s="46"/>
      <c r="BA617" s="52"/>
      <c r="BB617" s="52"/>
      <c r="BC617" s="52"/>
      <c r="BD617" s="52"/>
      <c r="BE617" s="52"/>
      <c r="BF617" s="52"/>
    </row>
    <row r="618" spans="1:58" ht="15" customHeight="1">
      <c r="A618" s="46" t="s">
        <v>3566</v>
      </c>
      <c r="B618" s="53" t="s">
        <v>3567</v>
      </c>
      <c r="C618" s="66" t="s">
        <v>118</v>
      </c>
      <c r="D618" s="67">
        <v>6</v>
      </c>
      <c r="E618" s="53" t="s">
        <v>81</v>
      </c>
      <c r="F618" s="50">
        <v>5</v>
      </c>
      <c r="G618" s="50">
        <v>5</v>
      </c>
      <c r="H618" s="51" t="s">
        <v>3568</v>
      </c>
      <c r="I618" s="50" t="s">
        <v>3569</v>
      </c>
      <c r="J618" s="54" t="s">
        <v>73</v>
      </c>
      <c r="K618" s="58" t="s">
        <v>474</v>
      </c>
      <c r="L618" s="58" t="s">
        <v>3570</v>
      </c>
      <c r="M618" s="58" t="s">
        <v>3571</v>
      </c>
      <c r="N618" s="58" t="s">
        <v>2768</v>
      </c>
      <c r="O618" s="54"/>
      <c r="P618" s="56" t="s">
        <v>86</v>
      </c>
      <c r="Q618" s="58" t="s">
        <v>329</v>
      </c>
      <c r="R618" s="50"/>
      <c r="S618" s="50"/>
      <c r="T618" s="50"/>
      <c r="U618" s="50"/>
      <c r="V618" s="57">
        <v>0.4</v>
      </c>
      <c r="W618" s="68"/>
      <c r="X618" s="50"/>
      <c r="Y618" s="50"/>
      <c r="Z618" s="50"/>
      <c r="AA618" s="50"/>
      <c r="AB618" s="57"/>
      <c r="AC618" s="54">
        <v>1</v>
      </c>
      <c r="AD618" s="69">
        <f>SUM(AE618:AK618)</f>
        <v>1</v>
      </c>
      <c r="AE618" s="66"/>
      <c r="AF618" s="66"/>
      <c r="AG618" s="66"/>
      <c r="AH618" s="66"/>
      <c r="AI618" s="66">
        <v>1</v>
      </c>
      <c r="AJ618" s="66"/>
      <c r="AK618" s="66"/>
      <c r="AL618" s="54">
        <f>IF((AC618-SUM(AE618:AK618))&lt;0,0,AC618-SUM(AE618:AK618))</f>
        <v>0</v>
      </c>
      <c r="AM618" s="69">
        <f>SUM(AN618:AT618)</f>
        <v>1</v>
      </c>
      <c r="AN618" s="60"/>
      <c r="AO618" s="52"/>
      <c r="AP618" s="52"/>
      <c r="AQ618" s="52"/>
      <c r="AR618" s="52">
        <v>1</v>
      </c>
      <c r="AS618" s="52"/>
      <c r="AT618" s="61"/>
      <c r="AU618" s="66">
        <f>MAX(0,$AM618-$AC618-$AW618)</f>
        <v>0</v>
      </c>
      <c r="AV618" s="66"/>
      <c r="AW618" s="66"/>
      <c r="AX618" s="65">
        <v>0</v>
      </c>
      <c r="AY618" s="65">
        <f>IF(AND($AU618&gt;0,ISNUMBER($AX618)),$AU618*$AX618,0)</f>
        <v>0</v>
      </c>
      <c r="AZ618" s="46"/>
      <c r="BA618" s="52"/>
      <c r="BB618" s="52"/>
      <c r="BC618" s="52"/>
      <c r="BD618" s="52"/>
      <c r="BE618" s="52"/>
      <c r="BF618" s="52"/>
    </row>
    <row r="619" spans="1:58" ht="15" customHeight="1">
      <c r="A619" s="46" t="s">
        <v>3572</v>
      </c>
      <c r="B619" s="53" t="s">
        <v>3573</v>
      </c>
      <c r="C619" s="66" t="s">
        <v>118</v>
      </c>
      <c r="D619" s="67">
        <v>2</v>
      </c>
      <c r="E619" s="53" t="s">
        <v>189</v>
      </c>
      <c r="F619" s="50"/>
      <c r="G619" s="50"/>
      <c r="H619" s="51"/>
      <c r="I619" s="50" t="s">
        <v>3574</v>
      </c>
      <c r="J619" s="54" t="s">
        <v>73</v>
      </c>
      <c r="K619" s="58" t="s">
        <v>135</v>
      </c>
      <c r="L619" s="58" t="s">
        <v>2040</v>
      </c>
      <c r="M619" s="58" t="s">
        <v>3575</v>
      </c>
      <c r="N619" s="58"/>
      <c r="O619" s="54"/>
      <c r="P619" s="56" t="s">
        <v>86</v>
      </c>
      <c r="Q619" s="58" t="s">
        <v>575</v>
      </c>
      <c r="R619" s="50"/>
      <c r="S619" s="50"/>
      <c r="T619" s="50"/>
      <c r="U619" s="50"/>
      <c r="V619" s="57">
        <v>0.4</v>
      </c>
      <c r="W619" s="68"/>
      <c r="X619" s="50"/>
      <c r="Y619" s="50"/>
      <c r="Z619" s="50"/>
      <c r="AA619" s="50"/>
      <c r="AB619" s="57"/>
      <c r="AC619" s="54">
        <v>1</v>
      </c>
      <c r="AD619" s="69">
        <f>SUM(AE619:AK619)</f>
        <v>1</v>
      </c>
      <c r="AE619" s="66"/>
      <c r="AF619" s="66"/>
      <c r="AG619" s="66"/>
      <c r="AH619" s="66">
        <v>1</v>
      </c>
      <c r="AI619" s="66"/>
      <c r="AJ619" s="66"/>
      <c r="AK619" s="66"/>
      <c r="AL619" s="54">
        <f>IF((AC619-SUM(AE619:AK619))&lt;0,0,AC619-SUM(AE619:AK619))</f>
        <v>0</v>
      </c>
      <c r="AM619" s="69">
        <f>SUM(AN619:AT619)</f>
        <v>1</v>
      </c>
      <c r="AN619" s="60"/>
      <c r="AO619" s="52"/>
      <c r="AP619" s="52"/>
      <c r="AQ619" s="52">
        <v>1</v>
      </c>
      <c r="AR619" s="52"/>
      <c r="AS619" s="52"/>
      <c r="AT619" s="61"/>
      <c r="AU619" s="66">
        <f>MAX(0,$AM619-$AC619-$AW619)</f>
        <v>0</v>
      </c>
      <c r="AV619" s="66"/>
      <c r="AW619" s="66"/>
      <c r="AX619" s="65">
        <v>0</v>
      </c>
      <c r="AY619" s="65">
        <f>IF(AND($AU619&gt;0,ISNUMBER($AX619)),$AU619*$AX619,0)</f>
        <v>0</v>
      </c>
      <c r="AZ619" s="46"/>
      <c r="BA619" s="52"/>
      <c r="BB619" s="52"/>
      <c r="BC619" s="52"/>
      <c r="BD619" s="52"/>
      <c r="BE619" s="52"/>
      <c r="BF619" s="52"/>
    </row>
    <row r="620" spans="1:58" ht="15" customHeight="1">
      <c r="A620" s="46" t="s">
        <v>3576</v>
      </c>
      <c r="B620" s="53" t="s">
        <v>3577</v>
      </c>
      <c r="C620" s="66" t="s">
        <v>181</v>
      </c>
      <c r="D620" s="67">
        <v>5</v>
      </c>
      <c r="E620" s="53" t="s">
        <v>71</v>
      </c>
      <c r="F620" s="50"/>
      <c r="G620" s="50"/>
      <c r="H620" s="51"/>
      <c r="I620" s="50" t="s">
        <v>3578</v>
      </c>
      <c r="J620" s="54" t="s">
        <v>73</v>
      </c>
      <c r="K620" s="58" t="s">
        <v>129</v>
      </c>
      <c r="L620" s="58" t="s">
        <v>3579</v>
      </c>
      <c r="M620" s="58"/>
      <c r="N620" s="58"/>
      <c r="O620" s="54"/>
      <c r="P620" s="56" t="s">
        <v>86</v>
      </c>
      <c r="Q620" s="58" t="s">
        <v>410</v>
      </c>
      <c r="R620" s="50"/>
      <c r="S620" s="50"/>
      <c r="T620" s="50"/>
      <c r="U620" s="56"/>
      <c r="V620" s="57">
        <v>0.4</v>
      </c>
      <c r="W620" s="68"/>
      <c r="X620" s="50"/>
      <c r="Y620" s="50"/>
      <c r="Z620" s="50"/>
      <c r="AA620" s="56"/>
      <c r="AB620" s="57"/>
      <c r="AC620" s="54">
        <v>1</v>
      </c>
      <c r="AD620" s="69">
        <f>SUM(AE620:AK620)</f>
        <v>0</v>
      </c>
      <c r="AE620" s="66"/>
      <c r="AF620" s="66"/>
      <c r="AG620" s="66"/>
      <c r="AH620" s="66"/>
      <c r="AI620" s="66"/>
      <c r="AJ620" s="66"/>
      <c r="AK620" s="66"/>
      <c r="AL620" s="54">
        <f>IF((AC620-SUM(AE620:AK620))&lt;0,0,AC620-SUM(AE620:AK620))</f>
        <v>1</v>
      </c>
      <c r="AM620" s="69">
        <f>SUM(AN620:AT620)</f>
        <v>0</v>
      </c>
      <c r="AN620" s="60"/>
      <c r="AO620" s="52"/>
      <c r="AP620" s="52"/>
      <c r="AQ620" s="52"/>
      <c r="AR620" s="52"/>
      <c r="AS620" s="52"/>
      <c r="AT620" s="61"/>
      <c r="AU620" s="66">
        <f>MAX(0,$AM620-$AC620-$AW620)</f>
        <v>0</v>
      </c>
      <c r="AV620" s="66"/>
      <c r="AW620" s="66"/>
      <c r="AX620" s="65">
        <v>0</v>
      </c>
      <c r="AY620" s="65">
        <f>IF(AND($AU620&gt;0,ISNUMBER($AX620)),$AU620*$AX620,0)</f>
        <v>0</v>
      </c>
      <c r="AZ620" s="46"/>
      <c r="BA620" s="52"/>
      <c r="BB620" s="52"/>
      <c r="BC620" s="52"/>
      <c r="BD620" s="52"/>
      <c r="BE620" s="52"/>
      <c r="BF620" s="52"/>
    </row>
    <row r="621" spans="1:58" ht="15" customHeight="1">
      <c r="A621" s="46" t="s">
        <v>3580</v>
      </c>
      <c r="B621" s="53" t="s">
        <v>3581</v>
      </c>
      <c r="C621" s="66" t="s">
        <v>70</v>
      </c>
      <c r="D621" s="67">
        <v>2</v>
      </c>
      <c r="E621" s="53" t="s">
        <v>81</v>
      </c>
      <c r="F621" s="50">
        <v>1</v>
      </c>
      <c r="G621" s="50">
        <v>1</v>
      </c>
      <c r="H621" s="51" t="s">
        <v>856</v>
      </c>
      <c r="I621" s="50" t="s">
        <v>3582</v>
      </c>
      <c r="J621" s="54" t="s">
        <v>73</v>
      </c>
      <c r="K621" s="58" t="s">
        <v>129</v>
      </c>
      <c r="L621" s="58" t="s">
        <v>3583</v>
      </c>
      <c r="M621" s="58"/>
      <c r="N621" s="58"/>
      <c r="O621" s="54"/>
      <c r="P621" s="56" t="s">
        <v>76</v>
      </c>
      <c r="Q621" s="58" t="s">
        <v>600</v>
      </c>
      <c r="R621" s="50"/>
      <c r="S621" s="50"/>
      <c r="T621" s="50"/>
      <c r="U621" s="50"/>
      <c r="V621" s="57">
        <v>0.4</v>
      </c>
      <c r="W621" s="68"/>
      <c r="X621" s="50"/>
      <c r="Y621" s="50"/>
      <c r="Z621" s="50"/>
      <c r="AA621" s="50"/>
      <c r="AB621" s="57"/>
      <c r="AC621" s="54">
        <v>1</v>
      </c>
      <c r="AD621" s="69">
        <f>SUM(AE621:AK621)</f>
        <v>1</v>
      </c>
      <c r="AE621" s="66"/>
      <c r="AF621" s="66"/>
      <c r="AG621" s="66"/>
      <c r="AH621" s="66"/>
      <c r="AI621" s="66"/>
      <c r="AJ621" s="66">
        <v>1</v>
      </c>
      <c r="AK621" s="66"/>
      <c r="AL621" s="54">
        <f>IF((AC621-SUM(AE621:AK621))&lt;0,0,AC621-SUM(AE621:AK621))</f>
        <v>0</v>
      </c>
      <c r="AM621" s="69">
        <f>SUM(AN621:AT621)</f>
        <v>1</v>
      </c>
      <c r="AN621" s="60"/>
      <c r="AO621" s="52"/>
      <c r="AP621" s="52"/>
      <c r="AQ621" s="52"/>
      <c r="AR621" s="52"/>
      <c r="AS621" s="52">
        <v>1</v>
      </c>
      <c r="AT621" s="61"/>
      <c r="AU621" s="66">
        <f>MAX(0,$AM621-$AC621-$AW621)</f>
        <v>0</v>
      </c>
      <c r="AV621" s="66"/>
      <c r="AW621" s="66"/>
      <c r="AX621" s="65">
        <v>0</v>
      </c>
      <c r="AY621" s="65">
        <f>IF(AND($AU621&gt;0,ISNUMBER($AX621)),$AU621*$AX621,0)</f>
        <v>0</v>
      </c>
      <c r="AZ621" s="46"/>
      <c r="BA621" s="52"/>
      <c r="BB621" s="52"/>
      <c r="BC621" s="52"/>
      <c r="BD621" s="52"/>
      <c r="BE621" s="52"/>
      <c r="BF621" s="52"/>
    </row>
    <row r="622" spans="1:58" ht="15" customHeight="1">
      <c r="A622" s="46" t="s">
        <v>3584</v>
      </c>
      <c r="B622" s="53" t="s">
        <v>3585</v>
      </c>
      <c r="C622" s="66" t="s">
        <v>311</v>
      </c>
      <c r="D622" s="67">
        <v>0</v>
      </c>
      <c r="E622" s="53" t="s">
        <v>312</v>
      </c>
      <c r="F622" s="50"/>
      <c r="G622" s="50"/>
      <c r="H622" s="51"/>
      <c r="I622" s="50" t="s">
        <v>3586</v>
      </c>
      <c r="J622" s="54" t="s">
        <v>73</v>
      </c>
      <c r="K622" s="58" t="s">
        <v>312</v>
      </c>
      <c r="L622" s="58" t="s">
        <v>1319</v>
      </c>
      <c r="M622" s="58" t="s">
        <v>3587</v>
      </c>
      <c r="N622" s="58"/>
      <c r="O622" s="54"/>
      <c r="P622" s="56" t="s">
        <v>86</v>
      </c>
      <c r="Q622" s="58" t="s">
        <v>1016</v>
      </c>
      <c r="R622" s="50"/>
      <c r="S622" s="50"/>
      <c r="T622" s="50"/>
      <c r="U622" s="50"/>
      <c r="V622" s="57">
        <v>0.39</v>
      </c>
      <c r="W622" s="68"/>
      <c r="X622" s="50"/>
      <c r="Y622" s="50"/>
      <c r="Z622" s="50"/>
      <c r="AA622" s="50"/>
      <c r="AB622" s="57"/>
      <c r="AC622" s="54">
        <v>1</v>
      </c>
      <c r="AD622" s="69">
        <f>SUM(AE622:AK622)</f>
        <v>1</v>
      </c>
      <c r="AE622" s="66"/>
      <c r="AF622" s="66">
        <v>1</v>
      </c>
      <c r="AG622" s="66"/>
      <c r="AH622" s="66"/>
      <c r="AI622" s="66"/>
      <c r="AJ622" s="66"/>
      <c r="AK622" s="66"/>
      <c r="AL622" s="54">
        <f>IF((AC622-SUM(AE622:AK622))&lt;0,0,AC622-SUM(AE622:AK622))</f>
        <v>0</v>
      </c>
      <c r="AM622" s="69">
        <f>SUM(AN622:AT622)</f>
        <v>1</v>
      </c>
      <c r="AN622" s="60"/>
      <c r="AO622" s="52">
        <v>1</v>
      </c>
      <c r="AP622" s="52"/>
      <c r="AQ622" s="52"/>
      <c r="AR622" s="52"/>
      <c r="AS622" s="52"/>
      <c r="AT622" s="61"/>
      <c r="AU622" s="66">
        <f>MAX(0,$AM622-$AC622-$AW622)</f>
        <v>0</v>
      </c>
      <c r="AV622" s="66"/>
      <c r="AW622" s="66"/>
      <c r="AX622" s="65">
        <v>0</v>
      </c>
      <c r="AY622" s="65">
        <f>IF(AND($AU622&gt;0,ISNUMBER($AX622)),$AU622*$AX622,0)</f>
        <v>0</v>
      </c>
      <c r="AZ622" s="46"/>
      <c r="BA622" s="52"/>
      <c r="BB622" s="52"/>
      <c r="BC622" s="52"/>
      <c r="BD622" s="52"/>
      <c r="BE622" s="52"/>
      <c r="BF622" s="52"/>
    </row>
    <row r="623" spans="1:58" ht="15" customHeight="1">
      <c r="A623" s="46" t="s">
        <v>3588</v>
      </c>
      <c r="B623" s="53" t="s">
        <v>3589</v>
      </c>
      <c r="C623" s="66" t="s">
        <v>109</v>
      </c>
      <c r="D623" s="67">
        <v>5</v>
      </c>
      <c r="E623" s="53" t="s">
        <v>189</v>
      </c>
      <c r="F623" s="50"/>
      <c r="G623" s="50"/>
      <c r="H623" s="51"/>
      <c r="I623" s="50" t="s">
        <v>3590</v>
      </c>
      <c r="J623" s="54" t="s">
        <v>73</v>
      </c>
      <c r="K623" s="58" t="s">
        <v>135</v>
      </c>
      <c r="L623" s="58" t="s">
        <v>3591</v>
      </c>
      <c r="M623" s="58" t="s">
        <v>3592</v>
      </c>
      <c r="N623" s="58" t="s">
        <v>3593</v>
      </c>
      <c r="O623" s="54"/>
      <c r="P623" s="56" t="s">
        <v>86</v>
      </c>
      <c r="Q623" s="58" t="s">
        <v>1970</v>
      </c>
      <c r="R623" s="50"/>
      <c r="S623" s="50"/>
      <c r="T623" s="50"/>
      <c r="U623" s="50"/>
      <c r="V623" s="57">
        <v>0.39</v>
      </c>
      <c r="W623" s="68"/>
      <c r="X623" s="50"/>
      <c r="Y623" s="50"/>
      <c r="Z623" s="50"/>
      <c r="AA623" s="50"/>
      <c r="AB623" s="57"/>
      <c r="AC623" s="54">
        <v>1</v>
      </c>
      <c r="AD623" s="69">
        <f>SUM(AE623:AK623)</f>
        <v>0</v>
      </c>
      <c r="AE623" s="66"/>
      <c r="AF623" s="66"/>
      <c r="AG623" s="66"/>
      <c r="AH623" s="66"/>
      <c r="AI623" s="66"/>
      <c r="AJ623" s="66"/>
      <c r="AK623" s="66"/>
      <c r="AL623" s="54">
        <f>IF((AC623-SUM(AE623:AK623))&lt;0,0,AC623-SUM(AE623:AK623))</f>
        <v>1</v>
      </c>
      <c r="AM623" s="69">
        <f>SUM(AN623:AT623)</f>
        <v>0</v>
      </c>
      <c r="AN623" s="60"/>
      <c r="AO623" s="52"/>
      <c r="AP623" s="52"/>
      <c r="AQ623" s="52"/>
      <c r="AR623" s="52"/>
      <c r="AS623" s="52"/>
      <c r="AT623" s="61"/>
      <c r="AU623" s="66">
        <f>MAX(0,$AM623-$AC623-$AW623)</f>
        <v>0</v>
      </c>
      <c r="AV623" s="66"/>
      <c r="AW623" s="66"/>
      <c r="AX623" s="65">
        <v>0</v>
      </c>
      <c r="AY623" s="65">
        <f>IF(AND($AU623&gt;0,ISNUMBER($AX623)),$AU623*$AX623,0)</f>
        <v>0</v>
      </c>
      <c r="AZ623" s="46"/>
      <c r="BA623" s="52"/>
      <c r="BB623" s="52"/>
      <c r="BC623" s="52"/>
      <c r="BD623" s="52"/>
      <c r="BE623" s="52"/>
      <c r="BF623" s="52"/>
    </row>
    <row r="624" spans="1:58" ht="15" customHeight="1">
      <c r="A624" s="46" t="s">
        <v>3594</v>
      </c>
      <c r="B624" s="53" t="s">
        <v>3595</v>
      </c>
      <c r="C624" s="66" t="s">
        <v>232</v>
      </c>
      <c r="D624" s="67">
        <v>7</v>
      </c>
      <c r="E624" s="53" t="s">
        <v>531</v>
      </c>
      <c r="F624" s="50">
        <v>4</v>
      </c>
      <c r="G624" s="50">
        <v>7</v>
      </c>
      <c r="H624" s="51" t="s">
        <v>3596</v>
      </c>
      <c r="I624" s="50" t="s">
        <v>3597</v>
      </c>
      <c r="J624" s="54" t="s">
        <v>73</v>
      </c>
      <c r="K624" s="58" t="s">
        <v>129</v>
      </c>
      <c r="L624" s="58" t="s">
        <v>3598</v>
      </c>
      <c r="M624" s="58" t="s">
        <v>3599</v>
      </c>
      <c r="N624" s="58"/>
      <c r="O624" s="54"/>
      <c r="P624" s="56" t="s">
        <v>86</v>
      </c>
      <c r="Q624" s="58" t="s">
        <v>616</v>
      </c>
      <c r="R624" s="50"/>
      <c r="S624" s="50"/>
      <c r="T624" s="50"/>
      <c r="U624" s="50"/>
      <c r="V624" s="57">
        <v>0.39</v>
      </c>
      <c r="W624" s="68"/>
      <c r="X624" s="50"/>
      <c r="Y624" s="50"/>
      <c r="Z624" s="50"/>
      <c r="AA624" s="50"/>
      <c r="AB624" s="57"/>
      <c r="AC624" s="54">
        <v>1</v>
      </c>
      <c r="AD624" s="69">
        <f>SUM(AE624:AK624)</f>
        <v>0</v>
      </c>
      <c r="AE624" s="66"/>
      <c r="AF624" s="66"/>
      <c r="AG624" s="66"/>
      <c r="AH624" s="66"/>
      <c r="AI624" s="66"/>
      <c r="AJ624" s="66"/>
      <c r="AK624" s="66"/>
      <c r="AL624" s="54">
        <f>IF((AC624-SUM(AE624:AK624))&lt;0,0,AC624-SUM(AE624:AK624))</f>
        <v>1</v>
      </c>
      <c r="AM624" s="69">
        <f>SUM(AN624:AT624)</f>
        <v>0</v>
      </c>
      <c r="AN624" s="60"/>
      <c r="AO624" s="52"/>
      <c r="AP624" s="52"/>
      <c r="AQ624" s="52"/>
      <c r="AR624" s="52"/>
      <c r="AS624" s="52"/>
      <c r="AT624" s="61"/>
      <c r="AU624" s="66">
        <f>MAX(0,$AM624-$AC624-$AW624)</f>
        <v>0</v>
      </c>
      <c r="AV624" s="66"/>
      <c r="AW624" s="66"/>
      <c r="AX624" s="65">
        <v>0</v>
      </c>
      <c r="AY624" s="65">
        <f>IF(AND($AU624&gt;0,ISNUMBER($AX624)),$AU624*$AX624,0)</f>
        <v>0</v>
      </c>
      <c r="AZ624" s="46"/>
      <c r="BA624" s="52"/>
      <c r="BB624" s="52"/>
      <c r="BC624" s="52"/>
      <c r="BD624" s="52"/>
      <c r="BE624" s="52"/>
      <c r="BF624" s="52"/>
    </row>
    <row r="625" spans="1:58" ht="15" customHeight="1">
      <c r="A625" s="46" t="s">
        <v>3600</v>
      </c>
      <c r="B625" s="53" t="s">
        <v>3601</v>
      </c>
      <c r="C625" s="66" t="s">
        <v>70</v>
      </c>
      <c r="D625" s="67">
        <v>4</v>
      </c>
      <c r="E625" s="53" t="s">
        <v>110</v>
      </c>
      <c r="F625" s="50">
        <v>4</v>
      </c>
      <c r="G625" s="50">
        <v>4</v>
      </c>
      <c r="H625" s="51" t="s">
        <v>3602</v>
      </c>
      <c r="I625" s="50" t="s">
        <v>3603</v>
      </c>
      <c r="J625" s="54" t="s">
        <v>73</v>
      </c>
      <c r="K625" s="58" t="s">
        <v>550</v>
      </c>
      <c r="L625" s="58" t="s">
        <v>3604</v>
      </c>
      <c r="M625" s="58" t="s">
        <v>3605</v>
      </c>
      <c r="N625" s="58" t="s">
        <v>3606</v>
      </c>
      <c r="O625" s="56">
        <v>2844</v>
      </c>
      <c r="P625" s="56" t="s">
        <v>114</v>
      </c>
      <c r="Q625" s="58" t="s">
        <v>2294</v>
      </c>
      <c r="R625" s="54"/>
      <c r="S625" s="54"/>
      <c r="T625" s="54"/>
      <c r="U625" s="54"/>
      <c r="V625" s="57">
        <v>0.39</v>
      </c>
      <c r="W625" s="68"/>
      <c r="X625" s="54"/>
      <c r="Y625" s="54"/>
      <c r="Z625" s="54"/>
      <c r="AA625" s="54"/>
      <c r="AB625" s="57"/>
      <c r="AC625" s="54">
        <v>1</v>
      </c>
      <c r="AD625" s="69">
        <f>SUM(AE625:AK625)</f>
        <v>0</v>
      </c>
      <c r="AE625" s="66"/>
      <c r="AF625" s="66"/>
      <c r="AG625" s="66"/>
      <c r="AH625" s="66"/>
      <c r="AI625" s="66"/>
      <c r="AJ625" s="66"/>
      <c r="AK625" s="66"/>
      <c r="AL625" s="54">
        <f>IF((AC625-SUM(AE625:AK625))&lt;0,0,AC625-SUM(AE625:AK625))</f>
        <v>1</v>
      </c>
      <c r="AM625" s="69">
        <f>SUM(AN625:AT625)</f>
        <v>0</v>
      </c>
      <c r="AN625" s="60"/>
      <c r="AO625" s="52"/>
      <c r="AP625" s="52"/>
      <c r="AQ625" s="52"/>
      <c r="AR625" s="52"/>
      <c r="AS625" s="52"/>
      <c r="AT625" s="61"/>
      <c r="AU625" s="66">
        <f>MAX(0,$AM625-$AC625-$AW625)</f>
        <v>0</v>
      </c>
      <c r="AV625" s="66"/>
      <c r="AW625" s="66"/>
      <c r="AX625" s="65">
        <v>0</v>
      </c>
      <c r="AY625" s="65">
        <f>IF(AND($AU625&gt;0,ISNUMBER($AX625)),$AU625*$AX625,0)</f>
        <v>0</v>
      </c>
      <c r="AZ625" s="46"/>
      <c r="BA625" s="52"/>
      <c r="BB625" s="52"/>
      <c r="BC625" s="52"/>
      <c r="BD625" s="52"/>
      <c r="BE625" s="52"/>
      <c r="BF625" s="52"/>
    </row>
    <row r="626" spans="1:58" ht="15" customHeight="1">
      <c r="A626" s="46" t="s">
        <v>3607</v>
      </c>
      <c r="B626" s="53" t="s">
        <v>3608</v>
      </c>
      <c r="C626" s="66" t="s">
        <v>181</v>
      </c>
      <c r="D626" s="67">
        <v>3</v>
      </c>
      <c r="E626" s="53" t="s">
        <v>81</v>
      </c>
      <c r="F626" s="50">
        <v>1</v>
      </c>
      <c r="G626" s="50">
        <v>3</v>
      </c>
      <c r="H626" s="51" t="s">
        <v>144</v>
      </c>
      <c r="I626" s="50" t="s">
        <v>3609</v>
      </c>
      <c r="J626" s="54" t="s">
        <v>73</v>
      </c>
      <c r="K626" s="58" t="s">
        <v>273</v>
      </c>
      <c r="L626" s="58" t="s">
        <v>3610</v>
      </c>
      <c r="M626" s="58"/>
      <c r="N626" s="58"/>
      <c r="O626" s="54"/>
      <c r="P626" s="56" t="s">
        <v>185</v>
      </c>
      <c r="Q626" s="58" t="s">
        <v>141</v>
      </c>
      <c r="R626" s="50"/>
      <c r="S626" s="50"/>
      <c r="T626" s="50"/>
      <c r="U626" s="50"/>
      <c r="V626" s="57">
        <v>0.38</v>
      </c>
      <c r="W626" s="68"/>
      <c r="X626" s="50"/>
      <c r="Y626" s="50"/>
      <c r="Z626" s="50"/>
      <c r="AA626" s="50"/>
      <c r="AB626" s="57"/>
      <c r="AC626" s="54">
        <v>1</v>
      </c>
      <c r="AD626" s="69">
        <f>SUM(AE626:AK626)</f>
        <v>1</v>
      </c>
      <c r="AE626" s="66"/>
      <c r="AF626" s="66"/>
      <c r="AG626" s="66"/>
      <c r="AH626" s="66"/>
      <c r="AI626" s="66">
        <v>1</v>
      </c>
      <c r="AJ626" s="66"/>
      <c r="AK626" s="66"/>
      <c r="AL626" s="54">
        <f>IF((AC626-SUM(AE626:AK626))&lt;0,0,AC626-SUM(AE626:AK626))</f>
        <v>0</v>
      </c>
      <c r="AM626" s="69">
        <f>SUM(AN626:AT626)</f>
        <v>1</v>
      </c>
      <c r="AN626" s="60"/>
      <c r="AO626" s="52"/>
      <c r="AP626" s="52"/>
      <c r="AQ626" s="52"/>
      <c r="AR626" s="52">
        <v>1</v>
      </c>
      <c r="AS626" s="52"/>
      <c r="AT626" s="61"/>
      <c r="AU626" s="66">
        <f>MAX(0,$AM626-$AC626-$AW626)</f>
        <v>0</v>
      </c>
      <c r="AV626" s="66"/>
      <c r="AW626" s="66"/>
      <c r="AX626" s="65">
        <v>0</v>
      </c>
      <c r="AY626" s="65">
        <f>IF(AND($AU626&gt;0,ISNUMBER($AX626)),$AU626*$AX626,0)</f>
        <v>0</v>
      </c>
      <c r="AZ626" s="46"/>
      <c r="BA626" s="52"/>
      <c r="BB626" s="52"/>
      <c r="BC626" s="52"/>
      <c r="BD626" s="52"/>
      <c r="BE626" s="52"/>
      <c r="BF626" s="52"/>
    </row>
    <row r="627" spans="1:58" ht="15" customHeight="1">
      <c r="A627" s="46" t="s">
        <v>3611</v>
      </c>
      <c r="B627" s="53" t="s">
        <v>3612</v>
      </c>
      <c r="C627" s="66" t="s">
        <v>311</v>
      </c>
      <c r="D627" s="67">
        <v>0</v>
      </c>
      <c r="E627" s="53" t="s">
        <v>312</v>
      </c>
      <c r="F627" s="50"/>
      <c r="G627" s="50"/>
      <c r="H627" s="51"/>
      <c r="I627" s="50" t="s">
        <v>3613</v>
      </c>
      <c r="J627" s="54" t="s">
        <v>73</v>
      </c>
      <c r="K627" s="58" t="s">
        <v>312</v>
      </c>
      <c r="L627" s="58" t="s">
        <v>740</v>
      </c>
      <c r="M627" s="58" t="s">
        <v>3614</v>
      </c>
      <c r="N627" s="58"/>
      <c r="O627" s="54"/>
      <c r="P627" s="56" t="s">
        <v>76</v>
      </c>
      <c r="Q627" s="58" t="s">
        <v>1963</v>
      </c>
      <c r="R627" s="50"/>
      <c r="S627" s="50"/>
      <c r="T627" s="50"/>
      <c r="U627" s="50"/>
      <c r="V627" s="57">
        <v>0.38</v>
      </c>
      <c r="W627" s="68"/>
      <c r="X627" s="50"/>
      <c r="Y627" s="50"/>
      <c r="Z627" s="50"/>
      <c r="AA627" s="50"/>
      <c r="AB627" s="57"/>
      <c r="AC627" s="54">
        <v>1</v>
      </c>
      <c r="AD627" s="69">
        <f>SUM(AE627:AK627)</f>
        <v>0</v>
      </c>
      <c r="AE627" s="66"/>
      <c r="AF627" s="66"/>
      <c r="AG627" s="66"/>
      <c r="AH627" s="66"/>
      <c r="AI627" s="66"/>
      <c r="AJ627" s="66"/>
      <c r="AK627" s="66"/>
      <c r="AL627" s="54">
        <f>IF((AC627-SUM(AE627:AK627))&lt;0,0,AC627-SUM(AE627:AK627))</f>
        <v>1</v>
      </c>
      <c r="AM627" s="69">
        <f>SUM(AN627:AT627)</f>
        <v>0</v>
      </c>
      <c r="AN627" s="60"/>
      <c r="AO627" s="52"/>
      <c r="AP627" s="52"/>
      <c r="AQ627" s="52"/>
      <c r="AR627" s="52"/>
      <c r="AS627" s="52"/>
      <c r="AT627" s="61"/>
      <c r="AU627" s="66">
        <f>MAX(0,$AM627-$AC627-$AW627)</f>
        <v>0</v>
      </c>
      <c r="AV627" s="66"/>
      <c r="AW627" s="66"/>
      <c r="AX627" s="65">
        <v>0</v>
      </c>
      <c r="AY627" s="65">
        <f>IF(AND($AU627&gt;0,ISNUMBER($AX627)),$AU627*$AX627,0)</f>
        <v>0</v>
      </c>
      <c r="AZ627" s="46"/>
      <c r="BA627" s="52"/>
      <c r="BB627" s="52"/>
      <c r="BC627" s="52"/>
      <c r="BD627" s="52"/>
      <c r="BE627" s="52"/>
      <c r="BF627" s="52"/>
    </row>
    <row r="628" spans="1:58" ht="15" customHeight="1">
      <c r="A628" s="46" t="s">
        <v>3615</v>
      </c>
      <c r="B628" s="53" t="s">
        <v>3616</v>
      </c>
      <c r="C628" s="66" t="s">
        <v>109</v>
      </c>
      <c r="D628" s="67">
        <v>5</v>
      </c>
      <c r="E628" s="53" t="s">
        <v>110</v>
      </c>
      <c r="F628" s="50">
        <v>3</v>
      </c>
      <c r="G628" s="50">
        <v>4</v>
      </c>
      <c r="H628" s="51" t="s">
        <v>2985</v>
      </c>
      <c r="I628" s="50" t="s">
        <v>3617</v>
      </c>
      <c r="J628" s="54" t="s">
        <v>73</v>
      </c>
      <c r="K628" s="58" t="s">
        <v>84</v>
      </c>
      <c r="L628" s="58" t="s">
        <v>3618</v>
      </c>
      <c r="M628" s="58" t="s">
        <v>3619</v>
      </c>
      <c r="N628" s="58"/>
      <c r="O628" s="56">
        <v>2970</v>
      </c>
      <c r="P628" s="56" t="s">
        <v>86</v>
      </c>
      <c r="Q628" s="58" t="s">
        <v>2507</v>
      </c>
      <c r="R628" s="50"/>
      <c r="S628" s="50"/>
      <c r="T628" s="50"/>
      <c r="U628" s="56"/>
      <c r="V628" s="57">
        <v>0.38</v>
      </c>
      <c r="W628" s="68"/>
      <c r="X628" s="50"/>
      <c r="Y628" s="50"/>
      <c r="Z628" s="50"/>
      <c r="AA628" s="56"/>
      <c r="AB628" s="57"/>
      <c r="AC628" s="54">
        <v>1</v>
      </c>
      <c r="AD628" s="69">
        <f>SUM(AE628:AK628)</f>
        <v>0</v>
      </c>
      <c r="AE628" s="66"/>
      <c r="AF628" s="66"/>
      <c r="AG628" s="66"/>
      <c r="AH628" s="66"/>
      <c r="AI628" s="66"/>
      <c r="AJ628" s="66"/>
      <c r="AK628" s="66"/>
      <c r="AL628" s="54">
        <f>IF((AC628-SUM(AE628:AK628))&lt;0,0,AC628-SUM(AE628:AK628))</f>
        <v>1</v>
      </c>
      <c r="AM628" s="69">
        <f>SUM(AN628:AT628)</f>
        <v>0</v>
      </c>
      <c r="AN628" s="60"/>
      <c r="AO628" s="52"/>
      <c r="AP628" s="52"/>
      <c r="AQ628" s="52"/>
      <c r="AR628" s="52"/>
      <c r="AS628" s="52"/>
      <c r="AT628" s="61"/>
      <c r="AU628" s="66">
        <f>MAX(0,$AM628-$AC628-$AW628)</f>
        <v>0</v>
      </c>
      <c r="AV628" s="66"/>
      <c r="AW628" s="66"/>
      <c r="AX628" s="65">
        <v>0</v>
      </c>
      <c r="AY628" s="65">
        <f>IF(AND($AU628&gt;0,ISNUMBER($AX628)),$AU628*$AX628,0)</f>
        <v>0</v>
      </c>
      <c r="AZ628" s="46"/>
      <c r="BA628" s="52"/>
      <c r="BB628" s="52"/>
      <c r="BC628" s="52"/>
      <c r="BD628" s="52"/>
      <c r="BE628" s="52"/>
      <c r="BF628" s="52"/>
    </row>
    <row r="629" spans="1:58" ht="15" customHeight="1">
      <c r="A629" s="46" t="s">
        <v>3620</v>
      </c>
      <c r="B629" s="53" t="s">
        <v>3621</v>
      </c>
      <c r="C629" s="66" t="s">
        <v>70</v>
      </c>
      <c r="D629" s="67">
        <v>3</v>
      </c>
      <c r="E629" s="53" t="s">
        <v>81</v>
      </c>
      <c r="F629" s="50">
        <v>2</v>
      </c>
      <c r="G629" s="50">
        <v>2</v>
      </c>
      <c r="H629" s="51" t="s">
        <v>674</v>
      </c>
      <c r="I629" s="50" t="s">
        <v>3622</v>
      </c>
      <c r="J629" s="54" t="s">
        <v>73</v>
      </c>
      <c r="K629" s="58" t="s">
        <v>129</v>
      </c>
      <c r="L629" s="58" t="s">
        <v>3623</v>
      </c>
      <c r="M629" s="58" t="s">
        <v>3624</v>
      </c>
      <c r="N629" s="58"/>
      <c r="O629" s="54"/>
      <c r="P629" s="56" t="s">
        <v>86</v>
      </c>
      <c r="Q629" s="58" t="s">
        <v>492</v>
      </c>
      <c r="R629" s="50"/>
      <c r="S629" s="50"/>
      <c r="T629" s="50"/>
      <c r="U629" s="50"/>
      <c r="V629" s="57">
        <v>0.38</v>
      </c>
      <c r="W629" s="68"/>
      <c r="X629" s="50"/>
      <c r="Y629" s="50"/>
      <c r="Z629" s="50"/>
      <c r="AA629" s="50"/>
      <c r="AB629" s="57"/>
      <c r="AC629" s="54">
        <v>1</v>
      </c>
      <c r="AD629" s="69">
        <f>SUM(AE629:AK629)</f>
        <v>1</v>
      </c>
      <c r="AE629" s="66"/>
      <c r="AF629" s="66"/>
      <c r="AG629" s="66"/>
      <c r="AH629" s="66"/>
      <c r="AI629" s="66"/>
      <c r="AJ629" s="66">
        <v>1</v>
      </c>
      <c r="AK629" s="66"/>
      <c r="AL629" s="54">
        <f>IF((AC629-SUM(AE629:AK629))&lt;0,0,AC629-SUM(AE629:AK629))</f>
        <v>0</v>
      </c>
      <c r="AM629" s="69">
        <f>SUM(AN629:AT629)</f>
        <v>1</v>
      </c>
      <c r="AN629" s="60"/>
      <c r="AO629" s="52"/>
      <c r="AP629" s="52"/>
      <c r="AQ629" s="52"/>
      <c r="AR629" s="52"/>
      <c r="AS629" s="52">
        <v>1</v>
      </c>
      <c r="AT629" s="61"/>
      <c r="AU629" s="66">
        <f>MAX(0,$AM629-$AC629-$AW629)</f>
        <v>0</v>
      </c>
      <c r="AV629" s="66"/>
      <c r="AW629" s="66"/>
      <c r="AX629" s="65">
        <v>0</v>
      </c>
      <c r="AY629" s="65">
        <f>IF(AND($AU629&gt;0,ISNUMBER($AX629)),$AU629*$AX629,0)</f>
        <v>0</v>
      </c>
      <c r="AZ629" s="46"/>
      <c r="BA629" s="52"/>
      <c r="BB629" s="52"/>
      <c r="BC629" s="52"/>
      <c r="BD629" s="52"/>
      <c r="BE629" s="52"/>
      <c r="BF629" s="52"/>
    </row>
    <row r="630" spans="1:58" ht="15" customHeight="1">
      <c r="A630" s="46" t="s">
        <v>3625</v>
      </c>
      <c r="B630" s="53" t="s">
        <v>3626</v>
      </c>
      <c r="C630" s="66" t="s">
        <v>181</v>
      </c>
      <c r="D630" s="67">
        <v>2</v>
      </c>
      <c r="E630" s="53" t="s">
        <v>110</v>
      </c>
      <c r="F630" s="50">
        <v>1</v>
      </c>
      <c r="G630" s="50">
        <v>3</v>
      </c>
      <c r="H630" s="51" t="s">
        <v>2985</v>
      </c>
      <c r="I630" s="50" t="s">
        <v>3627</v>
      </c>
      <c r="J630" s="54" t="s">
        <v>73</v>
      </c>
      <c r="K630" s="58" t="s">
        <v>676</v>
      </c>
      <c r="L630" s="58" t="s">
        <v>3628</v>
      </c>
      <c r="M630" s="58" t="s">
        <v>3629</v>
      </c>
      <c r="N630" s="58"/>
      <c r="O630" s="56">
        <v>2875</v>
      </c>
      <c r="P630" s="56" t="s">
        <v>86</v>
      </c>
      <c r="Q630" s="58" t="s">
        <v>2507</v>
      </c>
      <c r="R630" s="50"/>
      <c r="S630" s="50"/>
      <c r="T630" s="50"/>
      <c r="U630" s="56"/>
      <c r="V630" s="57">
        <v>0.38</v>
      </c>
      <c r="W630" s="68"/>
      <c r="X630" s="50"/>
      <c r="Y630" s="50"/>
      <c r="Z630" s="50"/>
      <c r="AA630" s="56"/>
      <c r="AB630" s="57"/>
      <c r="AC630" s="54">
        <v>1</v>
      </c>
      <c r="AD630" s="69">
        <f>SUM(AE630:AK630)</f>
        <v>0</v>
      </c>
      <c r="AE630" s="66"/>
      <c r="AF630" s="66"/>
      <c r="AG630" s="66"/>
      <c r="AH630" s="66"/>
      <c r="AI630" s="66"/>
      <c r="AJ630" s="66"/>
      <c r="AK630" s="66"/>
      <c r="AL630" s="54">
        <f>IF((AC630-SUM(AE630:AK630))&lt;0,0,AC630-SUM(AE630:AK630))</f>
        <v>1</v>
      </c>
      <c r="AM630" s="69">
        <f>SUM(AN630:AT630)</f>
        <v>0</v>
      </c>
      <c r="AN630" s="60"/>
      <c r="AO630" s="52"/>
      <c r="AP630" s="52"/>
      <c r="AQ630" s="52"/>
      <c r="AR630" s="52"/>
      <c r="AS630" s="52"/>
      <c r="AT630" s="61"/>
      <c r="AU630" s="66">
        <f>MAX(0,$AM630-$AC630-$AW630)</f>
        <v>0</v>
      </c>
      <c r="AV630" s="66"/>
      <c r="AW630" s="66"/>
      <c r="AX630" s="65">
        <v>0</v>
      </c>
      <c r="AY630" s="65">
        <f>IF(AND($AU630&gt;0,ISNUMBER($AX630)),$AU630*$AX630,0)</f>
        <v>0</v>
      </c>
      <c r="AZ630" s="46"/>
      <c r="BA630" s="52"/>
      <c r="BB630" s="52"/>
      <c r="BC630" s="52"/>
      <c r="BD630" s="52"/>
      <c r="BE630" s="52"/>
      <c r="BF630" s="52"/>
    </row>
    <row r="631" spans="1:58" ht="15" customHeight="1">
      <c r="A631" s="46" t="s">
        <v>3630</v>
      </c>
      <c r="B631" s="53" t="s">
        <v>3631</v>
      </c>
      <c r="C631" s="66" t="s">
        <v>232</v>
      </c>
      <c r="D631" s="67">
        <v>6</v>
      </c>
      <c r="E631" s="53" t="s">
        <v>81</v>
      </c>
      <c r="F631" s="50">
        <v>5</v>
      </c>
      <c r="G631" s="50">
        <v>5</v>
      </c>
      <c r="H631" s="51" t="s">
        <v>1388</v>
      </c>
      <c r="I631" s="50" t="s">
        <v>3632</v>
      </c>
      <c r="J631" s="54" t="s">
        <v>73</v>
      </c>
      <c r="K631" s="58" t="s">
        <v>676</v>
      </c>
      <c r="L631" s="58" t="s">
        <v>3633</v>
      </c>
      <c r="M631" s="58" t="s">
        <v>3634</v>
      </c>
      <c r="N631" s="58" t="s">
        <v>3635</v>
      </c>
      <c r="O631" s="54"/>
      <c r="P631" s="56" t="s">
        <v>86</v>
      </c>
      <c r="Q631" s="58" t="s">
        <v>1070</v>
      </c>
      <c r="R631" s="50"/>
      <c r="S631" s="50"/>
      <c r="T631" s="50"/>
      <c r="U631" s="56"/>
      <c r="V631" s="57">
        <v>0.38</v>
      </c>
      <c r="W631" s="68"/>
      <c r="X631" s="50"/>
      <c r="Y631" s="50"/>
      <c r="Z631" s="50"/>
      <c r="AA631" s="56"/>
      <c r="AB631" s="57"/>
      <c r="AC631" s="54">
        <v>1</v>
      </c>
      <c r="AD631" s="69">
        <f>SUM(AE631:AK631)</f>
        <v>0</v>
      </c>
      <c r="AE631" s="66"/>
      <c r="AF631" s="66"/>
      <c r="AG631" s="66"/>
      <c r="AH631" s="66"/>
      <c r="AI631" s="66"/>
      <c r="AJ631" s="66"/>
      <c r="AK631" s="66"/>
      <c r="AL631" s="54">
        <f>IF((AC631-SUM(AE631:AK631))&lt;0,0,AC631-SUM(AE631:AK631))</f>
        <v>1</v>
      </c>
      <c r="AM631" s="69">
        <f>SUM(AN631:AT631)</f>
        <v>0</v>
      </c>
      <c r="AN631" s="60"/>
      <c r="AO631" s="52"/>
      <c r="AP631" s="52"/>
      <c r="AQ631" s="52"/>
      <c r="AR631" s="52"/>
      <c r="AS631" s="52"/>
      <c r="AT631" s="61"/>
      <c r="AU631" s="66">
        <f>MAX(0,$AM631-$AC631-$AW631)</f>
        <v>0</v>
      </c>
      <c r="AV631" s="66"/>
      <c r="AW631" s="66"/>
      <c r="AX631" s="65">
        <v>0</v>
      </c>
      <c r="AY631" s="65">
        <f>IF(AND($AU631&gt;0,ISNUMBER($AX631)),$AU631*$AX631,0)</f>
        <v>0</v>
      </c>
      <c r="AZ631" s="46"/>
      <c r="BA631" s="52"/>
      <c r="BB631" s="52"/>
      <c r="BC631" s="52"/>
      <c r="BD631" s="52"/>
      <c r="BE631" s="52"/>
      <c r="BF631" s="52"/>
    </row>
    <row r="632" spans="1:58" ht="15" customHeight="1">
      <c r="A632" s="46" t="s">
        <v>3636</v>
      </c>
      <c r="B632" s="47" t="s">
        <v>3637</v>
      </c>
      <c r="C632" s="48" t="s">
        <v>118</v>
      </c>
      <c r="D632" s="49">
        <v>2</v>
      </c>
      <c r="E632" s="47" t="s">
        <v>81</v>
      </c>
      <c r="F632" s="50">
        <v>2</v>
      </c>
      <c r="G632" s="50">
        <v>2</v>
      </c>
      <c r="H632" s="51" t="s">
        <v>3638</v>
      </c>
      <c r="I632" s="50" t="s">
        <v>3639</v>
      </c>
      <c r="J632" s="52" t="s">
        <v>73</v>
      </c>
      <c r="K632" s="47" t="s">
        <v>92</v>
      </c>
      <c r="L632" s="53" t="s">
        <v>3640</v>
      </c>
      <c r="M632" s="53" t="s">
        <v>3641</v>
      </c>
      <c r="N632" s="53" t="s">
        <v>1415</v>
      </c>
      <c r="O632" s="54"/>
      <c r="P632" s="56" t="s">
        <v>86</v>
      </c>
      <c r="Q632" s="47" t="s">
        <v>645</v>
      </c>
      <c r="R632" s="75" t="s">
        <v>3642</v>
      </c>
      <c r="S632" s="75">
        <v>1</v>
      </c>
      <c r="T632" s="75">
        <v>0</v>
      </c>
      <c r="U632" s="56"/>
      <c r="V632" s="57">
        <v>0.37</v>
      </c>
      <c r="W632" s="68"/>
      <c r="X632" s="50"/>
      <c r="Y632" s="46"/>
      <c r="Z632" s="46"/>
      <c r="AA632" s="56"/>
      <c r="AB632" s="57"/>
      <c r="AC632" s="54">
        <v>1</v>
      </c>
      <c r="AD632" s="69">
        <f>SUM(AE632:AK632)</f>
        <v>0</v>
      </c>
      <c r="AE632" s="66"/>
      <c r="AF632" s="66"/>
      <c r="AG632" s="66"/>
      <c r="AH632" s="66"/>
      <c r="AI632" s="66"/>
      <c r="AJ632" s="66"/>
      <c r="AK632" s="66"/>
      <c r="AL632" s="54">
        <f>IF((AC632-SUM(AE632:AK632))&lt;0,0,AC632-SUM(AE632:AK632))</f>
        <v>1</v>
      </c>
      <c r="AM632" s="69">
        <f>SUM(AN632:AT632)</f>
        <v>0</v>
      </c>
      <c r="AN632" s="60"/>
      <c r="AO632" s="52"/>
      <c r="AP632" s="52"/>
      <c r="AQ632" s="52"/>
      <c r="AR632" s="52"/>
      <c r="AS632" s="52"/>
      <c r="AT632" s="61"/>
      <c r="AU632" s="66">
        <f>MAX(0,$AM632-$AC632-$AW632)</f>
        <v>0</v>
      </c>
      <c r="AV632" s="48"/>
      <c r="AW632" s="48"/>
      <c r="AX632" s="65">
        <v>0</v>
      </c>
      <c r="AY632" s="65">
        <f>IF(AND($AU632&gt;0,ISNUMBER($AX632)),$AU632*$AX632,0)</f>
        <v>0</v>
      </c>
      <c r="AZ632" s="46"/>
      <c r="BA632" s="52"/>
      <c r="BB632" s="52"/>
      <c r="BC632" s="52"/>
      <c r="BD632" s="52"/>
      <c r="BE632" s="52"/>
      <c r="BF632" s="52"/>
    </row>
    <row r="633" spans="1:58" ht="15" customHeight="1">
      <c r="A633" s="46" t="s">
        <v>3643</v>
      </c>
      <c r="B633" s="53" t="s">
        <v>3644</v>
      </c>
      <c r="C633" s="66" t="s">
        <v>311</v>
      </c>
      <c r="D633" s="67">
        <v>0</v>
      </c>
      <c r="E633" s="53" t="s">
        <v>312</v>
      </c>
      <c r="F633" s="50"/>
      <c r="G633" s="50"/>
      <c r="H633" s="51"/>
      <c r="I633" s="50" t="s">
        <v>3645</v>
      </c>
      <c r="J633" s="54" t="s">
        <v>73</v>
      </c>
      <c r="K633" s="58" t="s">
        <v>312</v>
      </c>
      <c r="L633" s="58" t="s">
        <v>3646</v>
      </c>
      <c r="M633" s="58"/>
      <c r="N633" s="58"/>
      <c r="O633" s="54"/>
      <c r="P633" s="56" t="s">
        <v>185</v>
      </c>
      <c r="Q633" s="58" t="s">
        <v>3028</v>
      </c>
      <c r="R633" s="50"/>
      <c r="S633" s="50"/>
      <c r="T633" s="50"/>
      <c r="U633" s="56"/>
      <c r="V633" s="57">
        <v>0.37</v>
      </c>
      <c r="W633" s="68"/>
      <c r="X633" s="50"/>
      <c r="Y633" s="50"/>
      <c r="Z633" s="50"/>
      <c r="AA633" s="56"/>
      <c r="AB633" s="57"/>
      <c r="AC633" s="54">
        <v>1</v>
      </c>
      <c r="AD633" s="69">
        <f>SUM(AE633:AK633)</f>
        <v>0</v>
      </c>
      <c r="AE633" s="66"/>
      <c r="AF633" s="66"/>
      <c r="AG633" s="66"/>
      <c r="AH633" s="66"/>
      <c r="AI633" s="66"/>
      <c r="AJ633" s="66"/>
      <c r="AK633" s="66"/>
      <c r="AL633" s="54">
        <f>IF((AC633-SUM(AE633:AK633))&lt;0,0,AC633-SUM(AE633:AK633))</f>
        <v>1</v>
      </c>
      <c r="AM633" s="69">
        <f>SUM(AN633:AT633)</f>
        <v>0</v>
      </c>
      <c r="AN633" s="60"/>
      <c r="AO633" s="52"/>
      <c r="AP633" s="52"/>
      <c r="AQ633" s="52"/>
      <c r="AR633" s="52"/>
      <c r="AS633" s="52"/>
      <c r="AT633" s="61"/>
      <c r="AU633" s="66">
        <f>MAX(0,$AM633-$AC633-$AW633)</f>
        <v>0</v>
      </c>
      <c r="AV633" s="66"/>
      <c r="AW633" s="66"/>
      <c r="AX633" s="65">
        <v>0</v>
      </c>
      <c r="AY633" s="65">
        <f>IF(AND($AU633&gt;0,ISNUMBER($AX633)),$AU633*$AX633,0)</f>
        <v>0</v>
      </c>
      <c r="AZ633" s="46"/>
      <c r="BA633" s="52"/>
      <c r="BB633" s="52"/>
      <c r="BC633" s="52"/>
      <c r="BD633" s="52"/>
      <c r="BE633" s="52"/>
      <c r="BF633" s="52"/>
    </row>
    <row r="634" spans="1:58" ht="15" customHeight="1">
      <c r="A634" s="46" t="s">
        <v>3647</v>
      </c>
      <c r="B634" s="53" t="s">
        <v>3648</v>
      </c>
      <c r="C634" s="66" t="s">
        <v>118</v>
      </c>
      <c r="D634" s="67">
        <v>4</v>
      </c>
      <c r="E634" s="53" t="s">
        <v>81</v>
      </c>
      <c r="F634" s="50">
        <v>2</v>
      </c>
      <c r="G634" s="50">
        <v>10</v>
      </c>
      <c r="H634" s="51" t="s">
        <v>3649</v>
      </c>
      <c r="I634" s="50" t="s">
        <v>3650</v>
      </c>
      <c r="J634" s="54" t="s">
        <v>73</v>
      </c>
      <c r="K634" s="58" t="s">
        <v>676</v>
      </c>
      <c r="L634" s="58" t="s">
        <v>3088</v>
      </c>
      <c r="M634" s="58"/>
      <c r="N634" s="58"/>
      <c r="O634" s="54"/>
      <c r="P634" s="56" t="s">
        <v>86</v>
      </c>
      <c r="Q634" s="58" t="s">
        <v>873</v>
      </c>
      <c r="R634" s="50"/>
      <c r="S634" s="50"/>
      <c r="T634" s="50"/>
      <c r="U634" s="50"/>
      <c r="V634" s="57">
        <v>0.37</v>
      </c>
      <c r="W634" s="68"/>
      <c r="X634" s="50"/>
      <c r="Y634" s="50"/>
      <c r="Z634" s="50"/>
      <c r="AA634" s="50"/>
      <c r="AB634" s="57"/>
      <c r="AC634" s="54">
        <v>1</v>
      </c>
      <c r="AD634" s="69">
        <f>SUM(AE634:AK634)</f>
        <v>1</v>
      </c>
      <c r="AE634" s="66"/>
      <c r="AF634" s="66"/>
      <c r="AG634" s="66"/>
      <c r="AH634" s="66">
        <v>1</v>
      </c>
      <c r="AI634" s="66"/>
      <c r="AJ634" s="66"/>
      <c r="AK634" s="66"/>
      <c r="AL634" s="54">
        <f>IF((AC634-SUM(AE634:AK634))&lt;0,0,AC634-SUM(AE634:AK634))</f>
        <v>0</v>
      </c>
      <c r="AM634" s="69">
        <f>SUM(AN634:AT634)</f>
        <v>1</v>
      </c>
      <c r="AN634" s="60"/>
      <c r="AO634" s="52"/>
      <c r="AP634" s="52"/>
      <c r="AQ634" s="52">
        <v>1</v>
      </c>
      <c r="AR634" s="52"/>
      <c r="AS634" s="52"/>
      <c r="AT634" s="61"/>
      <c r="AU634" s="66">
        <f>MAX(0,$AM634-$AC634-$AW634)</f>
        <v>0</v>
      </c>
      <c r="AV634" s="66"/>
      <c r="AW634" s="66"/>
      <c r="AX634" s="65">
        <v>0</v>
      </c>
      <c r="AY634" s="65">
        <f>IF(AND($AU634&gt;0,ISNUMBER($AX634)),$AU634*$AX634,0)</f>
        <v>0</v>
      </c>
      <c r="AZ634" s="46"/>
      <c r="BA634" s="52"/>
      <c r="BB634" s="52"/>
      <c r="BC634" s="52"/>
      <c r="BD634" s="52"/>
      <c r="BE634" s="52"/>
      <c r="BF634" s="52"/>
    </row>
    <row r="635" spans="1:58" ht="15" customHeight="1">
      <c r="A635" s="46" t="s">
        <v>3651</v>
      </c>
      <c r="B635" s="53" t="s">
        <v>3652</v>
      </c>
      <c r="C635" s="66" t="s">
        <v>109</v>
      </c>
      <c r="D635" s="67">
        <v>2</v>
      </c>
      <c r="E635" s="53" t="s">
        <v>81</v>
      </c>
      <c r="F635" s="50">
        <v>2</v>
      </c>
      <c r="G635" s="50">
        <v>3</v>
      </c>
      <c r="H635" s="51" t="s">
        <v>1543</v>
      </c>
      <c r="I635" s="50" t="s">
        <v>3653</v>
      </c>
      <c r="J635" s="54" t="s">
        <v>73</v>
      </c>
      <c r="K635" s="58" t="s">
        <v>2811</v>
      </c>
      <c r="L635" s="58" t="s">
        <v>3654</v>
      </c>
      <c r="M635" s="58"/>
      <c r="N635" s="58"/>
      <c r="O635" s="54"/>
      <c r="P635" s="56" t="s">
        <v>185</v>
      </c>
      <c r="Q635" s="58" t="s">
        <v>669</v>
      </c>
      <c r="R635" s="50"/>
      <c r="S635" s="50"/>
      <c r="T635" s="50"/>
      <c r="U635" s="50"/>
      <c r="V635" s="57">
        <v>0.36</v>
      </c>
      <c r="W635" s="68"/>
      <c r="X635" s="50"/>
      <c r="Y635" s="50"/>
      <c r="Z635" s="50"/>
      <c r="AA635" s="50"/>
      <c r="AB635" s="57"/>
      <c r="AC635" s="54">
        <v>1</v>
      </c>
      <c r="AD635" s="69">
        <f>SUM(AE635:AK635)</f>
        <v>0</v>
      </c>
      <c r="AE635" s="66"/>
      <c r="AF635" s="66"/>
      <c r="AG635" s="66"/>
      <c r="AH635" s="66"/>
      <c r="AI635" s="66"/>
      <c r="AJ635" s="66"/>
      <c r="AK635" s="66"/>
      <c r="AL635" s="54">
        <f>IF((AC635-SUM(AE635:AK635))&lt;0,0,AC635-SUM(AE635:AK635))</f>
        <v>1</v>
      </c>
      <c r="AM635" s="69">
        <f>SUM(AN635:AT635)</f>
        <v>0</v>
      </c>
      <c r="AN635" s="60"/>
      <c r="AO635" s="52"/>
      <c r="AP635" s="52"/>
      <c r="AQ635" s="52"/>
      <c r="AR635" s="52"/>
      <c r="AS635" s="52"/>
      <c r="AT635" s="61"/>
      <c r="AU635" s="66">
        <f>MAX(0,$AM635-$AC635-$AW635)</f>
        <v>0</v>
      </c>
      <c r="AV635" s="66"/>
      <c r="AW635" s="66"/>
      <c r="AX635" s="65">
        <v>0</v>
      </c>
      <c r="AY635" s="65">
        <f>IF(AND($AU635&gt;0,ISNUMBER($AX635)),$AU635*$AX635,0)</f>
        <v>0</v>
      </c>
      <c r="AZ635" s="46"/>
      <c r="BA635" s="52"/>
      <c r="BB635" s="52"/>
      <c r="BC635" s="52"/>
      <c r="BD635" s="52"/>
      <c r="BE635" s="52"/>
      <c r="BF635" s="52"/>
    </row>
    <row r="636" spans="1:58" ht="15" customHeight="1">
      <c r="A636" s="46" t="s">
        <v>3655</v>
      </c>
      <c r="B636" s="47" t="s">
        <v>3656</v>
      </c>
      <c r="C636" s="48" t="s">
        <v>118</v>
      </c>
      <c r="D636" s="49">
        <v>1</v>
      </c>
      <c r="E636" s="47" t="s">
        <v>71</v>
      </c>
      <c r="F636" s="50"/>
      <c r="G636" s="50"/>
      <c r="H636" s="51"/>
      <c r="I636" s="50" t="s">
        <v>3657</v>
      </c>
      <c r="J636" s="52" t="s">
        <v>73</v>
      </c>
      <c r="K636" s="47" t="s">
        <v>202</v>
      </c>
      <c r="L636" s="53" t="s">
        <v>3658</v>
      </c>
      <c r="M636" s="53" t="s">
        <v>3659</v>
      </c>
      <c r="N636" s="53"/>
      <c r="O636" s="54"/>
      <c r="P636" s="55" t="s">
        <v>185</v>
      </c>
      <c r="Q636" s="47" t="s">
        <v>645</v>
      </c>
      <c r="R636" s="75" t="s">
        <v>3660</v>
      </c>
      <c r="S636" s="75">
        <v>1</v>
      </c>
      <c r="T636" s="75">
        <v>0</v>
      </c>
      <c r="U636" s="56"/>
      <c r="V636" s="57">
        <v>0.36</v>
      </c>
      <c r="W636" s="68"/>
      <c r="X636" s="46"/>
      <c r="Y636" s="46"/>
      <c r="Z636" s="46"/>
      <c r="AA636" s="56"/>
      <c r="AB636" s="57"/>
      <c r="AC636" s="54">
        <v>1</v>
      </c>
      <c r="AD636" s="69">
        <f>SUM(AE636:AK636)</f>
        <v>0</v>
      </c>
      <c r="AE636" s="66"/>
      <c r="AF636" s="66"/>
      <c r="AG636" s="66"/>
      <c r="AH636" s="66"/>
      <c r="AI636" s="66"/>
      <c r="AJ636" s="66"/>
      <c r="AK636" s="66"/>
      <c r="AL636" s="54">
        <f>IF((AC636-SUM(AE636:AK636))&lt;0,0,AC636-SUM(AE636:AK636))</f>
        <v>1</v>
      </c>
      <c r="AM636" s="69">
        <f>SUM(AN636:AT636)</f>
        <v>0</v>
      </c>
      <c r="AN636" s="60"/>
      <c r="AO636" s="52"/>
      <c r="AP636" s="52"/>
      <c r="AQ636" s="52"/>
      <c r="AR636" s="52"/>
      <c r="AS636" s="52"/>
      <c r="AT636" s="61"/>
      <c r="AU636" s="66">
        <f>MAX(0,$AM636-$AC636-$AW636)</f>
        <v>0</v>
      </c>
      <c r="AV636" s="48"/>
      <c r="AW636" s="48"/>
      <c r="AX636" s="65">
        <v>0</v>
      </c>
      <c r="AY636" s="65">
        <f>IF(AND($AU636&gt;0,ISNUMBER($AX636)),$AU636*$AX636,0)</f>
        <v>0</v>
      </c>
      <c r="AZ636" s="46"/>
      <c r="BA636" s="52"/>
      <c r="BB636" s="52"/>
      <c r="BC636" s="52"/>
      <c r="BD636" s="52"/>
      <c r="BE636" s="52"/>
      <c r="BF636" s="52"/>
    </row>
    <row r="637" spans="1:58" ht="15" customHeight="1">
      <c r="A637" s="46" t="s">
        <v>3661</v>
      </c>
      <c r="B637" s="53" t="s">
        <v>3662</v>
      </c>
      <c r="C637" s="66" t="s">
        <v>118</v>
      </c>
      <c r="D637" s="67">
        <v>3</v>
      </c>
      <c r="E637" s="53" t="s">
        <v>384</v>
      </c>
      <c r="F637" s="50"/>
      <c r="G637" s="50"/>
      <c r="H637" s="51" t="s">
        <v>3663</v>
      </c>
      <c r="I637" s="50" t="s">
        <v>3664</v>
      </c>
      <c r="J637" s="54" t="s">
        <v>73</v>
      </c>
      <c r="K637" s="58" t="s">
        <v>424</v>
      </c>
      <c r="L637" s="58" t="s">
        <v>3665</v>
      </c>
      <c r="M637" s="58" t="s">
        <v>3666</v>
      </c>
      <c r="N637" s="58" t="s">
        <v>3667</v>
      </c>
      <c r="O637" s="54"/>
      <c r="P637" s="56" t="s">
        <v>185</v>
      </c>
      <c r="Q637" s="58" t="s">
        <v>2507</v>
      </c>
      <c r="R637" s="50"/>
      <c r="S637" s="50"/>
      <c r="T637" s="50"/>
      <c r="U637" s="50"/>
      <c r="V637" s="57">
        <v>0.36</v>
      </c>
      <c r="W637" s="68"/>
      <c r="X637" s="50"/>
      <c r="Y637" s="50"/>
      <c r="Z637" s="50"/>
      <c r="AA637" s="50"/>
      <c r="AB637" s="57"/>
      <c r="AC637" s="54">
        <v>1</v>
      </c>
      <c r="AD637" s="69">
        <f>SUM(AE637:AK637)</f>
        <v>0</v>
      </c>
      <c r="AE637" s="66"/>
      <c r="AF637" s="66"/>
      <c r="AG637" s="66"/>
      <c r="AH637" s="66"/>
      <c r="AI637" s="66"/>
      <c r="AJ637" s="66"/>
      <c r="AK637" s="66"/>
      <c r="AL637" s="54">
        <f>IF((AC637-SUM(AE637:AK637))&lt;0,0,AC637-SUM(AE637:AK637))</f>
        <v>1</v>
      </c>
      <c r="AM637" s="69">
        <f>SUM(AN637:AT637)</f>
        <v>0</v>
      </c>
      <c r="AN637" s="60"/>
      <c r="AO637" s="52"/>
      <c r="AP637" s="52"/>
      <c r="AQ637" s="52"/>
      <c r="AR637" s="52"/>
      <c r="AS637" s="52"/>
      <c r="AT637" s="61"/>
      <c r="AU637" s="66">
        <f>MAX(0,$AM637-$AC637-$AW637)</f>
        <v>0</v>
      </c>
      <c r="AV637" s="66"/>
      <c r="AW637" s="66"/>
      <c r="AX637" s="65">
        <v>0</v>
      </c>
      <c r="AY637" s="65">
        <f>IF(AND($AU637&gt;0,ISNUMBER($AX637)),$AU637*$AX637,0)</f>
        <v>0</v>
      </c>
      <c r="AZ637" s="46"/>
      <c r="BA637" s="52"/>
      <c r="BB637" s="52"/>
      <c r="BC637" s="52"/>
      <c r="BD637" s="52"/>
      <c r="BE637" s="52"/>
      <c r="BF637" s="52"/>
    </row>
    <row r="638" spans="1:58" ht="15" customHeight="1">
      <c r="A638" s="46" t="s">
        <v>3668</v>
      </c>
      <c r="B638" s="53" t="s">
        <v>3669</v>
      </c>
      <c r="C638" s="66" t="s">
        <v>70</v>
      </c>
      <c r="D638" s="67">
        <v>1</v>
      </c>
      <c r="E638" s="53" t="s">
        <v>81</v>
      </c>
      <c r="F638" s="50">
        <v>1</v>
      </c>
      <c r="G638" s="50">
        <v>1</v>
      </c>
      <c r="H638" s="51" t="s">
        <v>1156</v>
      </c>
      <c r="I638" s="50" t="s">
        <v>3670</v>
      </c>
      <c r="J638" s="54" t="s">
        <v>73</v>
      </c>
      <c r="K638" s="58" t="s">
        <v>386</v>
      </c>
      <c r="L638" s="58" t="s">
        <v>3671</v>
      </c>
      <c r="M638" s="58" t="s">
        <v>3672</v>
      </c>
      <c r="N638" s="58"/>
      <c r="O638" s="54"/>
      <c r="P638" s="56" t="s">
        <v>76</v>
      </c>
      <c r="Q638" s="58" t="s">
        <v>1159</v>
      </c>
      <c r="R638" s="50"/>
      <c r="S638" s="50"/>
      <c r="T638" s="50"/>
      <c r="U638" s="50"/>
      <c r="V638" s="57">
        <v>0.36</v>
      </c>
      <c r="W638" s="68"/>
      <c r="X638" s="50"/>
      <c r="Y638" s="50"/>
      <c r="Z638" s="50"/>
      <c r="AA638" s="50"/>
      <c r="AB638" s="57"/>
      <c r="AC638" s="54">
        <v>1</v>
      </c>
      <c r="AD638" s="69">
        <f>SUM(AE638:AK638)</f>
        <v>0</v>
      </c>
      <c r="AE638" s="66"/>
      <c r="AF638" s="66"/>
      <c r="AG638" s="66"/>
      <c r="AH638" s="66"/>
      <c r="AI638" s="66"/>
      <c r="AJ638" s="66"/>
      <c r="AK638" s="66"/>
      <c r="AL638" s="54">
        <f>IF((AC638-SUM(AE638:AK638))&lt;0,0,AC638-SUM(AE638:AK638))</f>
        <v>1</v>
      </c>
      <c r="AM638" s="69">
        <f>SUM(AN638:AT638)</f>
        <v>0</v>
      </c>
      <c r="AN638" s="60"/>
      <c r="AO638" s="52"/>
      <c r="AP638" s="52"/>
      <c r="AQ638" s="52"/>
      <c r="AR638" s="52"/>
      <c r="AS638" s="52"/>
      <c r="AT638" s="61"/>
      <c r="AU638" s="66">
        <f>MAX(0,$AM638-$AC638-$AW638)</f>
        <v>0</v>
      </c>
      <c r="AV638" s="66"/>
      <c r="AW638" s="66"/>
      <c r="AX638" s="65">
        <v>0</v>
      </c>
      <c r="AY638" s="65">
        <f>IF(AND($AU638&gt;0,ISNUMBER($AX638)),$AU638*$AX638,0)</f>
        <v>0</v>
      </c>
      <c r="AZ638" s="46"/>
      <c r="BA638" s="52"/>
      <c r="BB638" s="52"/>
      <c r="BC638" s="52"/>
      <c r="BD638" s="52"/>
      <c r="BE638" s="52"/>
      <c r="BF638" s="52"/>
    </row>
    <row r="639" spans="1:58" ht="15" customHeight="1">
      <c r="A639" s="46" t="s">
        <v>3673</v>
      </c>
      <c r="B639" s="53" t="s">
        <v>3674</v>
      </c>
      <c r="C639" s="66" t="s">
        <v>70</v>
      </c>
      <c r="D639" s="67">
        <v>3</v>
      </c>
      <c r="E639" s="53" t="s">
        <v>71</v>
      </c>
      <c r="F639" s="50"/>
      <c r="G639" s="50"/>
      <c r="H639" s="51"/>
      <c r="I639" s="50" t="s">
        <v>3675</v>
      </c>
      <c r="J639" s="54" t="s">
        <v>73</v>
      </c>
      <c r="K639" s="58" t="s">
        <v>92</v>
      </c>
      <c r="L639" s="58" t="s">
        <v>3676</v>
      </c>
      <c r="M639" s="58" t="s">
        <v>3677</v>
      </c>
      <c r="N639" s="58"/>
      <c r="O639" s="54"/>
      <c r="P639" s="56" t="s">
        <v>185</v>
      </c>
      <c r="Q639" s="58" t="s">
        <v>410</v>
      </c>
      <c r="R639" s="50"/>
      <c r="S639" s="50"/>
      <c r="T639" s="50"/>
      <c r="U639" s="50"/>
      <c r="V639" s="57">
        <v>0.36</v>
      </c>
      <c r="W639" s="68"/>
      <c r="X639" s="50"/>
      <c r="Y639" s="50"/>
      <c r="Z639" s="50"/>
      <c r="AA639" s="50"/>
      <c r="AB639" s="57"/>
      <c r="AC639" s="54">
        <v>1</v>
      </c>
      <c r="AD639" s="69">
        <f>SUM(AE639:AK639)</f>
        <v>1</v>
      </c>
      <c r="AE639" s="66"/>
      <c r="AF639" s="66"/>
      <c r="AG639" s="66"/>
      <c r="AH639" s="66"/>
      <c r="AI639" s="66"/>
      <c r="AJ639" s="66">
        <v>1</v>
      </c>
      <c r="AK639" s="66"/>
      <c r="AL639" s="54">
        <f>IF((AC639-SUM(AE639:AK639))&lt;0,0,AC639-SUM(AE639:AK639))</f>
        <v>0</v>
      </c>
      <c r="AM639" s="69">
        <f>SUM(AN639:AT639)</f>
        <v>0</v>
      </c>
      <c r="AN639" s="60"/>
      <c r="AO639" s="52"/>
      <c r="AP639" s="52"/>
      <c r="AQ639" s="52"/>
      <c r="AR639" s="52"/>
      <c r="AS639" s="52"/>
      <c r="AT639" s="61"/>
      <c r="AU639" s="66">
        <f>MAX(0,$AM639-$AC639-$AW639)</f>
        <v>0</v>
      </c>
      <c r="AV639" s="66"/>
      <c r="AW639" s="66"/>
      <c r="AX639" s="65">
        <v>0</v>
      </c>
      <c r="AY639" s="65">
        <f>IF(AND($AU639&gt;0,ISNUMBER($AX639)),$AU639*$AX639,0)</f>
        <v>0</v>
      </c>
      <c r="AZ639" s="46"/>
      <c r="BA639" s="52"/>
      <c r="BB639" s="52"/>
      <c r="BC639" s="52"/>
      <c r="BD639" s="52"/>
      <c r="BE639" s="52" t="s">
        <v>411</v>
      </c>
      <c r="BF639" s="52"/>
    </row>
    <row r="640" spans="1:58" ht="15" customHeight="1">
      <c r="A640" s="46" t="s">
        <v>3678</v>
      </c>
      <c r="B640" s="53" t="s">
        <v>3679</v>
      </c>
      <c r="C640" s="66" t="s">
        <v>109</v>
      </c>
      <c r="D640" s="67">
        <v>5</v>
      </c>
      <c r="E640" s="53" t="s">
        <v>110</v>
      </c>
      <c r="F640" s="50">
        <v>2</v>
      </c>
      <c r="G640" s="50">
        <v>5</v>
      </c>
      <c r="H640" s="51" t="s">
        <v>2695</v>
      </c>
      <c r="I640" s="50" t="s">
        <v>3680</v>
      </c>
      <c r="J640" s="54" t="s">
        <v>73</v>
      </c>
      <c r="K640" s="58" t="s">
        <v>1163</v>
      </c>
      <c r="L640" s="58" t="s">
        <v>3681</v>
      </c>
      <c r="M640" s="58" t="s">
        <v>3682</v>
      </c>
      <c r="N640" s="58" t="s">
        <v>3683</v>
      </c>
      <c r="O640" s="56">
        <v>794</v>
      </c>
      <c r="P640" s="56" t="s">
        <v>114</v>
      </c>
      <c r="Q640" s="58" t="s">
        <v>1970</v>
      </c>
      <c r="R640" s="50"/>
      <c r="S640" s="50"/>
      <c r="T640" s="50"/>
      <c r="U640" s="50"/>
      <c r="V640" s="57">
        <v>0.36</v>
      </c>
      <c r="W640" s="68"/>
      <c r="X640" s="50"/>
      <c r="Y640" s="50"/>
      <c r="Z640" s="50"/>
      <c r="AA640" s="50"/>
      <c r="AB640" s="57"/>
      <c r="AC640" s="54">
        <v>1</v>
      </c>
      <c r="AD640" s="69">
        <f>SUM(AE640:AK640)</f>
        <v>1</v>
      </c>
      <c r="AE640" s="66"/>
      <c r="AF640" s="66"/>
      <c r="AG640" s="66"/>
      <c r="AH640" s="66"/>
      <c r="AI640" s="66">
        <v>1</v>
      </c>
      <c r="AJ640" s="66"/>
      <c r="AK640" s="66"/>
      <c r="AL640" s="54">
        <f>IF((AC640-SUM(AE640:AK640))&lt;0,0,AC640-SUM(AE640:AK640))</f>
        <v>0</v>
      </c>
      <c r="AM640" s="69">
        <f>SUM(AN640:AT640)</f>
        <v>1</v>
      </c>
      <c r="AN640" s="60"/>
      <c r="AO640" s="52"/>
      <c r="AP640" s="52"/>
      <c r="AQ640" s="52"/>
      <c r="AR640" s="52">
        <v>1</v>
      </c>
      <c r="AS640" s="52"/>
      <c r="AT640" s="61"/>
      <c r="AU640" s="66">
        <f>MAX(0,$AM640-$AC640-$AW640)</f>
        <v>0</v>
      </c>
      <c r="AV640" s="66"/>
      <c r="AW640" s="66"/>
      <c r="AX640" s="65">
        <v>0</v>
      </c>
      <c r="AY640" s="65">
        <f>IF(AND($AU640&gt;0,ISNUMBER($AX640)),$AU640*$AX640,0)</f>
        <v>0</v>
      </c>
      <c r="AZ640" s="46"/>
      <c r="BA640" s="52"/>
      <c r="BB640" s="52"/>
      <c r="BC640" s="52"/>
      <c r="BD640" s="52"/>
      <c r="BE640" s="52"/>
      <c r="BF640" s="52"/>
    </row>
    <row r="641" spans="1:58" ht="15" customHeight="1">
      <c r="A641" s="46" t="s">
        <v>3684</v>
      </c>
      <c r="B641" s="76" t="s">
        <v>3685</v>
      </c>
      <c r="C641" s="77" t="s">
        <v>311</v>
      </c>
      <c r="D641" s="74">
        <v>0</v>
      </c>
      <c r="E641" s="76" t="s">
        <v>312</v>
      </c>
      <c r="F641" s="50"/>
      <c r="G641" s="50"/>
      <c r="H641" s="51"/>
      <c r="I641" s="50" t="s">
        <v>3686</v>
      </c>
      <c r="J641" s="54" t="s">
        <v>73</v>
      </c>
      <c r="K641" s="56" t="s">
        <v>312</v>
      </c>
      <c r="L641" s="56" t="s">
        <v>740</v>
      </c>
      <c r="M641" s="56" t="s">
        <v>3687</v>
      </c>
      <c r="N641" s="56"/>
      <c r="O641" s="54"/>
      <c r="P641" s="56" t="s">
        <v>76</v>
      </c>
      <c r="Q641" s="56" t="s">
        <v>1963</v>
      </c>
      <c r="R641" s="54"/>
      <c r="S641" s="54"/>
      <c r="T641" s="54"/>
      <c r="U641" s="54"/>
      <c r="V641" s="57">
        <v>0.36</v>
      </c>
      <c r="W641" s="68"/>
      <c r="X641" s="54"/>
      <c r="Y641" s="54"/>
      <c r="Z641" s="54"/>
      <c r="AA641" s="54"/>
      <c r="AB641" s="57"/>
      <c r="AC641" s="54">
        <v>1</v>
      </c>
      <c r="AD641" s="69">
        <f>SUM(AE641:AK641)</f>
        <v>1</v>
      </c>
      <c r="AE641" s="66"/>
      <c r="AF641" s="66">
        <v>1</v>
      </c>
      <c r="AG641" s="66"/>
      <c r="AH641" s="66"/>
      <c r="AI641" s="66"/>
      <c r="AJ641" s="66"/>
      <c r="AK641" s="66"/>
      <c r="AL641" s="54">
        <f>IF((AC641-SUM(AE641:AK641))&lt;0,0,AC641-SUM(AE641:AK641))</f>
        <v>0</v>
      </c>
      <c r="AM641" s="69">
        <f>SUM(AN641:AT641)</f>
        <v>0</v>
      </c>
      <c r="AN641" s="60"/>
      <c r="AO641" s="52"/>
      <c r="AP641" s="52"/>
      <c r="AQ641" s="52"/>
      <c r="AR641" s="52"/>
      <c r="AS641" s="52"/>
      <c r="AT641" s="61"/>
      <c r="AU641" s="66">
        <f>MAX(0,$AM641-$AC641-$AW641)</f>
        <v>0</v>
      </c>
      <c r="AV641" s="54"/>
      <c r="AW641" s="54"/>
      <c r="AX641" s="65">
        <v>0</v>
      </c>
      <c r="AY641" s="57">
        <f>IF(AND($AU641&gt;0,ISNUMBER($AX641)),$AU641*$AX641,0)</f>
        <v>0</v>
      </c>
      <c r="AZ641" s="46"/>
      <c r="BA641" s="52" t="s">
        <v>309</v>
      </c>
      <c r="BB641" s="52"/>
      <c r="BC641" s="52"/>
      <c r="BD641" s="52"/>
      <c r="BE641" s="52"/>
      <c r="BF641" s="52"/>
    </row>
    <row r="642" spans="1:58" ht="15" customHeight="1">
      <c r="A642" s="46" t="s">
        <v>3688</v>
      </c>
      <c r="B642" s="46" t="s">
        <v>3689</v>
      </c>
      <c r="C642" s="52" t="s">
        <v>118</v>
      </c>
      <c r="D642" s="75">
        <v>5</v>
      </c>
      <c r="E642" s="46" t="s">
        <v>384</v>
      </c>
      <c r="F642" s="50"/>
      <c r="G642" s="50"/>
      <c r="H642" s="51"/>
      <c r="I642" s="50" t="s">
        <v>3690</v>
      </c>
      <c r="J642" s="52" t="s">
        <v>73</v>
      </c>
      <c r="K642" s="46" t="s">
        <v>84</v>
      </c>
      <c r="L642" s="50" t="s">
        <v>3691</v>
      </c>
      <c r="M642" s="50" t="s">
        <v>3692</v>
      </c>
      <c r="N642" s="50"/>
      <c r="O642" s="54"/>
      <c r="P642" s="56" t="s">
        <v>86</v>
      </c>
      <c r="Q642" s="46" t="s">
        <v>669</v>
      </c>
      <c r="R642" s="75" t="s">
        <v>1734</v>
      </c>
      <c r="S642" s="75">
        <v>1</v>
      </c>
      <c r="T642" s="75">
        <v>0</v>
      </c>
      <c r="U642" s="56"/>
      <c r="V642" s="57">
        <v>0.36</v>
      </c>
      <c r="W642" s="68"/>
      <c r="X642" s="50"/>
      <c r="Y642" s="46"/>
      <c r="Z642" s="46"/>
      <c r="AA642" s="56"/>
      <c r="AB642" s="57"/>
      <c r="AC642" s="54">
        <v>1</v>
      </c>
      <c r="AD642" s="69">
        <f>SUM(AE642:AK642)</f>
        <v>0</v>
      </c>
      <c r="AE642" s="66"/>
      <c r="AF642" s="66"/>
      <c r="AG642" s="66"/>
      <c r="AH642" s="66"/>
      <c r="AI642" s="66"/>
      <c r="AJ642" s="66"/>
      <c r="AK642" s="66"/>
      <c r="AL642" s="54">
        <f>IF((AC642-SUM(AE642:AK642))&lt;0,0,AC642-SUM(AE642:AK642))</f>
        <v>1</v>
      </c>
      <c r="AM642" s="69">
        <f>SUM(AN642:AT642)</f>
        <v>0</v>
      </c>
      <c r="AN642" s="60"/>
      <c r="AO642" s="52"/>
      <c r="AP642" s="52"/>
      <c r="AQ642" s="52"/>
      <c r="AR642" s="52"/>
      <c r="AS642" s="52"/>
      <c r="AT642" s="61"/>
      <c r="AU642" s="66">
        <f>MAX(0,$AM642-$AC642-$AW642)</f>
        <v>0</v>
      </c>
      <c r="AV642" s="52"/>
      <c r="AW642" s="52"/>
      <c r="AX642" s="65">
        <v>0</v>
      </c>
      <c r="AY642" s="57">
        <f>IF(AND($AU642&gt;0,ISNUMBER($AX642)),$AU642*$AX642,0)</f>
        <v>0</v>
      </c>
      <c r="AZ642" s="46"/>
      <c r="BA642" s="52"/>
      <c r="BB642" s="52"/>
      <c r="BC642" s="52"/>
      <c r="BD642" s="52"/>
      <c r="BE642" s="52"/>
      <c r="BF642" s="52"/>
    </row>
    <row r="643" spans="1:58" ht="15" customHeight="1">
      <c r="A643" s="46" t="s">
        <v>3693</v>
      </c>
      <c r="B643" s="46" t="s">
        <v>3694</v>
      </c>
      <c r="C643" s="52" t="s">
        <v>101</v>
      </c>
      <c r="D643" s="75">
        <v>2</v>
      </c>
      <c r="E643" s="46" t="s">
        <v>71</v>
      </c>
      <c r="F643" s="50"/>
      <c r="G643" s="50"/>
      <c r="H643" s="51" t="s">
        <v>724</v>
      </c>
      <c r="I643" s="50" t="s">
        <v>3695</v>
      </c>
      <c r="J643" s="52" t="s">
        <v>73</v>
      </c>
      <c r="K643" s="46" t="s">
        <v>104</v>
      </c>
      <c r="L643" s="50" t="s">
        <v>3696</v>
      </c>
      <c r="M643" s="50"/>
      <c r="N643" s="50"/>
      <c r="O643" s="54"/>
      <c r="P643" s="55" t="s">
        <v>185</v>
      </c>
      <c r="Q643" s="46" t="s">
        <v>2004</v>
      </c>
      <c r="R643" s="75" t="s">
        <v>3697</v>
      </c>
      <c r="S643" s="75">
        <v>1</v>
      </c>
      <c r="T643" s="75">
        <v>0</v>
      </c>
      <c r="U643" s="56" t="s">
        <v>3698</v>
      </c>
      <c r="V643" s="57">
        <v>0.36</v>
      </c>
      <c r="W643" s="68"/>
      <c r="X643" s="46"/>
      <c r="Y643" s="46"/>
      <c r="Z643" s="46"/>
      <c r="AA643" s="56"/>
      <c r="AB643" s="57"/>
      <c r="AC643" s="54">
        <v>1</v>
      </c>
      <c r="AD643" s="69">
        <f>SUM(AE643:AK643)</f>
        <v>1</v>
      </c>
      <c r="AE643" s="66"/>
      <c r="AF643" s="66"/>
      <c r="AG643" s="66"/>
      <c r="AH643" s="66"/>
      <c r="AI643" s="66"/>
      <c r="AJ643" s="66"/>
      <c r="AK643" s="66">
        <v>1</v>
      </c>
      <c r="AL643" s="54">
        <f>IF((AC643-SUM(AE643:AK643))&lt;0,0,AC643-SUM(AE643:AK643))</f>
        <v>0</v>
      </c>
      <c r="AM643" s="69">
        <f>SUM(AN643:AT643)</f>
        <v>1</v>
      </c>
      <c r="AN643" s="60"/>
      <c r="AO643" s="52"/>
      <c r="AP643" s="52"/>
      <c r="AQ643" s="52"/>
      <c r="AR643" s="52"/>
      <c r="AS643" s="52"/>
      <c r="AT643" s="61">
        <v>1</v>
      </c>
      <c r="AU643" s="66">
        <f>MAX(0,$AM643-$AC643-$AW643)</f>
        <v>0</v>
      </c>
      <c r="AV643" s="52"/>
      <c r="AW643" s="52"/>
      <c r="AX643" s="65">
        <v>0</v>
      </c>
      <c r="AY643" s="57">
        <f>IF(AND($AU643&gt;0,ISNUMBER($AX643)),$AU643*$AX643,0)</f>
        <v>0</v>
      </c>
      <c r="AZ643" s="46"/>
      <c r="BA643" s="52"/>
      <c r="BB643" s="52"/>
      <c r="BC643" s="52"/>
      <c r="BD643" s="52"/>
      <c r="BE643" s="52"/>
      <c r="BF643" s="52"/>
    </row>
    <row r="644" spans="1:58" ht="15" customHeight="1">
      <c r="A644" s="46" t="s">
        <v>3699</v>
      </c>
      <c r="B644" s="50" t="s">
        <v>3700</v>
      </c>
      <c r="C644" s="54" t="s">
        <v>101</v>
      </c>
      <c r="D644" s="74">
        <v>4</v>
      </c>
      <c r="E644" s="50" t="s">
        <v>71</v>
      </c>
      <c r="F644" s="50"/>
      <c r="G644" s="50"/>
      <c r="H644" s="51"/>
      <c r="I644" s="50" t="s">
        <v>3701</v>
      </c>
      <c r="J644" s="54" t="s">
        <v>73</v>
      </c>
      <c r="K644" s="56" t="s">
        <v>104</v>
      </c>
      <c r="L644" s="56" t="s">
        <v>3702</v>
      </c>
      <c r="M644" s="56" t="s">
        <v>3703</v>
      </c>
      <c r="N644" s="56"/>
      <c r="O644" s="54"/>
      <c r="P644" s="56" t="s">
        <v>185</v>
      </c>
      <c r="Q644" s="56" t="s">
        <v>3704</v>
      </c>
      <c r="R644" s="50"/>
      <c r="S644" s="50"/>
      <c r="T644" s="50"/>
      <c r="U644" s="56"/>
      <c r="V644" s="57">
        <v>0.36</v>
      </c>
      <c r="W644" s="68"/>
      <c r="X644" s="50"/>
      <c r="Y644" s="50"/>
      <c r="Z644" s="50"/>
      <c r="AA644" s="56"/>
      <c r="AB644" s="57"/>
      <c r="AC644" s="54">
        <v>1</v>
      </c>
      <c r="AD644" s="69">
        <f>SUM(AE644:AK644)</f>
        <v>0</v>
      </c>
      <c r="AE644" s="66"/>
      <c r="AF644" s="66"/>
      <c r="AG644" s="66"/>
      <c r="AH644" s="66"/>
      <c r="AI644" s="66"/>
      <c r="AJ644" s="66"/>
      <c r="AK644" s="66"/>
      <c r="AL644" s="54">
        <f>IF((AC644-SUM(AE644:AK644))&lt;0,0,AC644-SUM(AE644:AK644))</f>
        <v>1</v>
      </c>
      <c r="AM644" s="69">
        <f>SUM(AN644:AT644)</f>
        <v>0</v>
      </c>
      <c r="AN644" s="60"/>
      <c r="AO644" s="52"/>
      <c r="AP644" s="52"/>
      <c r="AQ644" s="52"/>
      <c r="AR644" s="52"/>
      <c r="AS644" s="52"/>
      <c r="AT644" s="61"/>
      <c r="AU644" s="66">
        <f>MAX(0,$AM644-$AC644-$AW644)</f>
        <v>0</v>
      </c>
      <c r="AV644" s="54"/>
      <c r="AW644" s="54"/>
      <c r="AX644" s="65">
        <v>0</v>
      </c>
      <c r="AY644" s="57">
        <f>IF(AND($AU644&gt;0,ISNUMBER($AX644)),$AU644*$AX644,0)</f>
        <v>0</v>
      </c>
      <c r="AZ644" s="46"/>
      <c r="BA644" s="52"/>
      <c r="BB644" s="52"/>
      <c r="BC644" s="52"/>
      <c r="BD644" s="52"/>
      <c r="BE644" s="52"/>
      <c r="BF644" s="52"/>
    </row>
    <row r="645" spans="1:58" ht="15" customHeight="1">
      <c r="A645" s="46" t="s">
        <v>3705</v>
      </c>
      <c r="B645" s="50" t="s">
        <v>3706</v>
      </c>
      <c r="C645" s="54" t="s">
        <v>70</v>
      </c>
      <c r="D645" s="74">
        <v>5</v>
      </c>
      <c r="E645" s="50" t="s">
        <v>71</v>
      </c>
      <c r="F645" s="50"/>
      <c r="G645" s="50"/>
      <c r="H645" s="51"/>
      <c r="I645" s="50" t="s">
        <v>3707</v>
      </c>
      <c r="J645" s="54" t="s">
        <v>73</v>
      </c>
      <c r="K645" s="56" t="s">
        <v>129</v>
      </c>
      <c r="L645" s="56" t="s">
        <v>3708</v>
      </c>
      <c r="M645" s="56"/>
      <c r="N645" s="56"/>
      <c r="O645" s="54"/>
      <c r="P645" s="56" t="s">
        <v>185</v>
      </c>
      <c r="Q645" s="56" t="s">
        <v>833</v>
      </c>
      <c r="R645" s="50"/>
      <c r="S645" s="50"/>
      <c r="T645" s="50"/>
      <c r="U645" s="50"/>
      <c r="V645" s="57">
        <v>0.36</v>
      </c>
      <c r="W645" s="68"/>
      <c r="X645" s="50"/>
      <c r="Y645" s="50"/>
      <c r="Z645" s="50"/>
      <c r="AA645" s="50"/>
      <c r="AB645" s="57"/>
      <c r="AC645" s="54">
        <v>1</v>
      </c>
      <c r="AD645" s="69">
        <f>SUM(AE645:AK645)</f>
        <v>1</v>
      </c>
      <c r="AE645" s="66"/>
      <c r="AF645" s="66"/>
      <c r="AG645" s="66"/>
      <c r="AH645" s="66"/>
      <c r="AI645" s="66"/>
      <c r="AJ645" s="66">
        <v>1</v>
      </c>
      <c r="AK645" s="66"/>
      <c r="AL645" s="54">
        <f>IF((AC645-SUM(AE645:AK645))&lt;0,0,AC645-SUM(AE645:AK645))</f>
        <v>0</v>
      </c>
      <c r="AM645" s="69">
        <f>SUM(AN645:AT645)</f>
        <v>1</v>
      </c>
      <c r="AN645" s="60"/>
      <c r="AO645" s="52"/>
      <c r="AP645" s="52"/>
      <c r="AQ645" s="52"/>
      <c r="AR645" s="52"/>
      <c r="AS645" s="52">
        <v>1</v>
      </c>
      <c r="AT645" s="61"/>
      <c r="AU645" s="66">
        <f>MAX(0,$AM645-$AC645-$AW645)</f>
        <v>0</v>
      </c>
      <c r="AV645" s="54"/>
      <c r="AW645" s="54"/>
      <c r="AX645" s="65">
        <v>0</v>
      </c>
      <c r="AY645" s="57">
        <f>IF(AND($AU645&gt;0,ISNUMBER($AX645)),$AU645*$AX645,0)</f>
        <v>0</v>
      </c>
      <c r="AZ645" s="46"/>
      <c r="BA645" s="52"/>
      <c r="BB645" s="52"/>
      <c r="BC645" s="52"/>
      <c r="BD645" s="52"/>
      <c r="BE645" s="52"/>
      <c r="BF645" s="52"/>
    </row>
    <row r="646" spans="1:58" ht="15" customHeight="1">
      <c r="A646" s="46" t="s">
        <v>3709</v>
      </c>
      <c r="B646" s="50" t="s">
        <v>3710</v>
      </c>
      <c r="C646" s="54" t="s">
        <v>101</v>
      </c>
      <c r="D646" s="74">
        <v>2</v>
      </c>
      <c r="E646" s="50" t="s">
        <v>384</v>
      </c>
      <c r="F646" s="50"/>
      <c r="G646" s="50"/>
      <c r="H646" s="51"/>
      <c r="I646" s="50" t="s">
        <v>3711</v>
      </c>
      <c r="J646" s="54" t="s">
        <v>73</v>
      </c>
      <c r="K646" s="56" t="s">
        <v>497</v>
      </c>
      <c r="L646" s="56" t="s">
        <v>3712</v>
      </c>
      <c r="M646" s="56" t="s">
        <v>3713</v>
      </c>
      <c r="N646" s="56" t="s">
        <v>3714</v>
      </c>
      <c r="O646" s="54"/>
      <c r="P646" s="56" t="s">
        <v>86</v>
      </c>
      <c r="Q646" s="56" t="s">
        <v>874</v>
      </c>
      <c r="R646" s="50"/>
      <c r="S646" s="50"/>
      <c r="T646" s="50"/>
      <c r="U646" s="56"/>
      <c r="V646" s="57">
        <v>0.36</v>
      </c>
      <c r="W646" s="68"/>
      <c r="X646" s="50"/>
      <c r="Y646" s="50"/>
      <c r="Z646" s="50"/>
      <c r="AA646" s="56"/>
      <c r="AB646" s="57"/>
      <c r="AC646" s="54">
        <v>1</v>
      </c>
      <c r="AD646" s="69">
        <f>SUM(AE646:AK646)</f>
        <v>1</v>
      </c>
      <c r="AE646" s="66"/>
      <c r="AF646" s="66"/>
      <c r="AG646" s="66"/>
      <c r="AH646" s="66">
        <v>1</v>
      </c>
      <c r="AI646" s="66"/>
      <c r="AJ646" s="66"/>
      <c r="AK646" s="66"/>
      <c r="AL646" s="54">
        <f>IF((AC646-SUM(AE646:AK646))&lt;0,0,AC646-SUM(AE646:AK646))</f>
        <v>0</v>
      </c>
      <c r="AM646" s="69">
        <f>SUM(AN646:AT646)</f>
        <v>1</v>
      </c>
      <c r="AN646" s="60"/>
      <c r="AO646" s="52"/>
      <c r="AP646" s="52"/>
      <c r="AQ646" s="52">
        <v>1</v>
      </c>
      <c r="AR646" s="52"/>
      <c r="AS646" s="52"/>
      <c r="AT646" s="61"/>
      <c r="AU646" s="66">
        <f>MAX(0,$AM646-$AC646-$AW646)</f>
        <v>0</v>
      </c>
      <c r="AV646" s="54"/>
      <c r="AW646" s="54"/>
      <c r="AX646" s="65">
        <v>0</v>
      </c>
      <c r="AY646" s="57">
        <f>IF(AND($AU646&gt;0,ISNUMBER($AX646)),$AU646*$AX646,0)</f>
        <v>0</v>
      </c>
      <c r="AZ646" s="46"/>
      <c r="BA646" s="52"/>
      <c r="BB646" s="52"/>
      <c r="BC646" s="52"/>
      <c r="BD646" s="52"/>
      <c r="BE646" s="52"/>
      <c r="BF646" s="52"/>
    </row>
    <row r="647" spans="1:58" ht="15" customHeight="1">
      <c r="A647" s="46" t="s">
        <v>3715</v>
      </c>
      <c r="B647" s="50" t="s">
        <v>3716</v>
      </c>
      <c r="C647" s="54" t="s">
        <v>80</v>
      </c>
      <c r="D647" s="74">
        <v>2</v>
      </c>
      <c r="E647" s="50" t="s">
        <v>110</v>
      </c>
      <c r="F647" s="50">
        <v>1</v>
      </c>
      <c r="G647" s="50">
        <v>1</v>
      </c>
      <c r="H647" s="51" t="s">
        <v>1765</v>
      </c>
      <c r="I647" s="50" t="s">
        <v>3717</v>
      </c>
      <c r="J647" s="54" t="s">
        <v>73</v>
      </c>
      <c r="K647" s="56" t="s">
        <v>92</v>
      </c>
      <c r="L647" s="56" t="s">
        <v>3718</v>
      </c>
      <c r="M647" s="56" t="s">
        <v>3719</v>
      </c>
      <c r="N647" s="56"/>
      <c r="O647" s="56">
        <v>1841</v>
      </c>
      <c r="P647" s="56" t="s">
        <v>86</v>
      </c>
      <c r="Q647" s="56" t="s">
        <v>462</v>
      </c>
      <c r="R647" s="50"/>
      <c r="S647" s="50"/>
      <c r="T647" s="50"/>
      <c r="U647" s="50"/>
      <c r="V647" s="57">
        <v>0.35</v>
      </c>
      <c r="W647" s="68"/>
      <c r="X647" s="50"/>
      <c r="Y647" s="50"/>
      <c r="Z647" s="50"/>
      <c r="AA647" s="50"/>
      <c r="AB647" s="57"/>
      <c r="AC647" s="54">
        <v>1</v>
      </c>
      <c r="AD647" s="69">
        <f>SUM(AE647:AK647)</f>
        <v>1</v>
      </c>
      <c r="AE647" s="66"/>
      <c r="AF647" s="66">
        <v>1</v>
      </c>
      <c r="AG647" s="66"/>
      <c r="AH647" s="66"/>
      <c r="AI647" s="66"/>
      <c r="AJ647" s="66"/>
      <c r="AK647" s="66"/>
      <c r="AL647" s="54">
        <f>IF((AC647-SUM(AE647:AK647))&lt;0,0,AC647-SUM(AE647:AK647))</f>
        <v>0</v>
      </c>
      <c r="AM647" s="69">
        <f>SUM(AN647:AT647)</f>
        <v>1</v>
      </c>
      <c r="AN647" s="60"/>
      <c r="AO647" s="52">
        <v>1</v>
      </c>
      <c r="AP647" s="52"/>
      <c r="AQ647" s="52"/>
      <c r="AR647" s="52"/>
      <c r="AS647" s="52"/>
      <c r="AT647" s="61"/>
      <c r="AU647" s="66">
        <f>MAX(0,$AM647-$AC647-$AW647)</f>
        <v>0</v>
      </c>
      <c r="AV647" s="54"/>
      <c r="AW647" s="54"/>
      <c r="AX647" s="65">
        <v>0</v>
      </c>
      <c r="AY647" s="57">
        <f>IF(AND($AU647&gt;0,ISNUMBER($AX647)),$AU647*$AX647,0)</f>
        <v>0</v>
      </c>
      <c r="AZ647" s="46"/>
      <c r="BA647" s="52"/>
      <c r="BB647" s="52"/>
      <c r="BC647" s="52"/>
      <c r="BD647" s="52"/>
      <c r="BE647" s="52"/>
      <c r="BF647" s="52"/>
    </row>
    <row r="648" spans="1:58" ht="15" customHeight="1">
      <c r="A648" s="46" t="s">
        <v>3720</v>
      </c>
      <c r="B648" s="50" t="s">
        <v>3721</v>
      </c>
      <c r="C648" s="54" t="s">
        <v>109</v>
      </c>
      <c r="D648" s="74">
        <v>3</v>
      </c>
      <c r="E648" s="50" t="s">
        <v>81</v>
      </c>
      <c r="F648" s="50">
        <v>1</v>
      </c>
      <c r="G648" s="50">
        <v>4</v>
      </c>
      <c r="H648" s="51" t="s">
        <v>3045</v>
      </c>
      <c r="I648" s="50" t="s">
        <v>3722</v>
      </c>
      <c r="J648" s="54" t="s">
        <v>73</v>
      </c>
      <c r="K648" s="56" t="s">
        <v>273</v>
      </c>
      <c r="L648" s="56" t="s">
        <v>3723</v>
      </c>
      <c r="M648" s="56" t="s">
        <v>1503</v>
      </c>
      <c r="N648" s="56"/>
      <c r="O648" s="54"/>
      <c r="P648" s="56" t="s">
        <v>185</v>
      </c>
      <c r="Q648" s="56" t="s">
        <v>256</v>
      </c>
      <c r="R648" s="50"/>
      <c r="S648" s="50"/>
      <c r="T648" s="50"/>
      <c r="U648" s="50"/>
      <c r="V648" s="57">
        <v>0.35</v>
      </c>
      <c r="W648" s="68"/>
      <c r="X648" s="50"/>
      <c r="Y648" s="50"/>
      <c r="Z648" s="50"/>
      <c r="AA648" s="50"/>
      <c r="AB648" s="57"/>
      <c r="AC648" s="54">
        <v>1</v>
      </c>
      <c r="AD648" s="69">
        <f>SUM(AE648:AK648)</f>
        <v>1</v>
      </c>
      <c r="AE648" s="66"/>
      <c r="AF648" s="66"/>
      <c r="AG648" s="66"/>
      <c r="AH648" s="66"/>
      <c r="AI648" s="66">
        <v>1</v>
      </c>
      <c r="AJ648" s="66"/>
      <c r="AK648" s="66"/>
      <c r="AL648" s="54">
        <f>IF((AC648-SUM(AE648:AK648))&lt;0,0,AC648-SUM(AE648:AK648))</f>
        <v>0</v>
      </c>
      <c r="AM648" s="69">
        <f>SUM(AN648:AT648)</f>
        <v>1</v>
      </c>
      <c r="AN648" s="60"/>
      <c r="AO648" s="52"/>
      <c r="AP648" s="52"/>
      <c r="AQ648" s="52"/>
      <c r="AR648" s="52">
        <v>1</v>
      </c>
      <c r="AS648" s="52"/>
      <c r="AT648" s="61"/>
      <c r="AU648" s="66">
        <f>MAX(0,$AM648-$AC648-$AW648)</f>
        <v>0</v>
      </c>
      <c r="AV648" s="54"/>
      <c r="AW648" s="54"/>
      <c r="AX648" s="65">
        <v>0</v>
      </c>
      <c r="AY648" s="57">
        <f>IF(AND($AU648&gt;0,ISNUMBER($AX648)),$AU648*$AX648,0)</f>
        <v>0</v>
      </c>
      <c r="AZ648" s="46"/>
      <c r="BA648" s="52"/>
      <c r="BB648" s="52"/>
      <c r="BC648" s="52"/>
      <c r="BD648" s="52"/>
      <c r="BE648" s="52"/>
      <c r="BF648" s="52"/>
    </row>
    <row r="649" spans="1:58" ht="15" customHeight="1">
      <c r="A649" s="46" t="s">
        <v>3724</v>
      </c>
      <c r="B649" s="46" t="s">
        <v>3725</v>
      </c>
      <c r="C649" s="52" t="s">
        <v>70</v>
      </c>
      <c r="D649" s="75">
        <v>4</v>
      </c>
      <c r="E649" s="46" t="s">
        <v>81</v>
      </c>
      <c r="F649" s="50">
        <v>4</v>
      </c>
      <c r="G649" s="50">
        <v>4</v>
      </c>
      <c r="H649" s="51" t="s">
        <v>1019</v>
      </c>
      <c r="I649" s="50" t="s">
        <v>3726</v>
      </c>
      <c r="J649" s="52" t="s">
        <v>73</v>
      </c>
      <c r="K649" s="46" t="s">
        <v>261</v>
      </c>
      <c r="L649" s="50" t="s">
        <v>3727</v>
      </c>
      <c r="M649" s="50"/>
      <c r="N649" s="50"/>
      <c r="O649" s="54"/>
      <c r="P649" s="56" t="s">
        <v>86</v>
      </c>
      <c r="Q649" s="46" t="s">
        <v>669</v>
      </c>
      <c r="R649" s="75" t="s">
        <v>3728</v>
      </c>
      <c r="S649" s="75">
        <v>1</v>
      </c>
      <c r="T649" s="75">
        <v>0</v>
      </c>
      <c r="U649" s="56" t="s">
        <v>3729</v>
      </c>
      <c r="V649" s="63">
        <v>0.35</v>
      </c>
      <c r="W649" s="64"/>
      <c r="X649" s="50"/>
      <c r="Y649" s="46"/>
      <c r="Z649" s="46"/>
      <c r="AA649" s="56"/>
      <c r="AB649" s="63"/>
      <c r="AC649" s="52">
        <v>1</v>
      </c>
      <c r="AD649" s="69">
        <f>SUM(AE649:AK649)</f>
        <v>0</v>
      </c>
      <c r="AE649" s="66"/>
      <c r="AF649" s="66"/>
      <c r="AG649" s="66"/>
      <c r="AH649" s="66"/>
      <c r="AI649" s="66"/>
      <c r="AJ649" s="66"/>
      <c r="AK649" s="66"/>
      <c r="AL649" s="54">
        <f>IF((AC649-SUM(AE649:AK649))&lt;0,0,AC649-SUM(AE649:AK649))</f>
        <v>1</v>
      </c>
      <c r="AM649" s="69">
        <f>SUM(AN649:AT649)</f>
        <v>0</v>
      </c>
      <c r="AN649" s="60"/>
      <c r="AO649" s="52"/>
      <c r="AP649" s="52"/>
      <c r="AQ649" s="52"/>
      <c r="AR649" s="52"/>
      <c r="AS649" s="52"/>
      <c r="AT649" s="61"/>
      <c r="AU649" s="66">
        <f>MAX(0,$AM649-$AC649-$AW649)</f>
        <v>0</v>
      </c>
      <c r="AV649" s="52"/>
      <c r="AW649" s="52"/>
      <c r="AX649" s="65">
        <v>0</v>
      </c>
      <c r="AY649" s="57">
        <f>IF(AND($AU649&gt;0,ISNUMBER($AX649)),$AU649*$AX649,0)</f>
        <v>0</v>
      </c>
      <c r="AZ649" s="46"/>
      <c r="BA649" s="52"/>
      <c r="BB649" s="52"/>
      <c r="BC649" s="52"/>
      <c r="BD649" s="52"/>
      <c r="BE649" s="52"/>
      <c r="BF649" s="52"/>
    </row>
    <row r="650" spans="1:58" ht="15" customHeight="1">
      <c r="A650" s="46" t="s">
        <v>3730</v>
      </c>
      <c r="B650" s="50" t="s">
        <v>3731</v>
      </c>
      <c r="C650" s="54" t="s">
        <v>311</v>
      </c>
      <c r="D650" s="74">
        <v>0</v>
      </c>
      <c r="E650" s="50" t="s">
        <v>312</v>
      </c>
      <c r="F650" s="50"/>
      <c r="G650" s="50"/>
      <c r="H650" s="51"/>
      <c r="I650" s="50" t="s">
        <v>3732</v>
      </c>
      <c r="J650" s="54" t="s">
        <v>73</v>
      </c>
      <c r="K650" s="56" t="s">
        <v>312</v>
      </c>
      <c r="L650" s="56" t="s">
        <v>3733</v>
      </c>
      <c r="M650" s="56" t="s">
        <v>3734</v>
      </c>
      <c r="N650" s="56"/>
      <c r="O650" s="54"/>
      <c r="P650" s="56" t="s">
        <v>185</v>
      </c>
      <c r="Q650" s="56" t="s">
        <v>1006</v>
      </c>
      <c r="R650" s="50"/>
      <c r="S650" s="50"/>
      <c r="T650" s="50"/>
      <c r="U650" s="50"/>
      <c r="V650" s="57">
        <v>0.35</v>
      </c>
      <c r="W650" s="68"/>
      <c r="X650" s="50"/>
      <c r="Y650" s="50"/>
      <c r="Z650" s="50"/>
      <c r="AA650" s="50"/>
      <c r="AB650" s="57"/>
      <c r="AC650" s="54">
        <v>1</v>
      </c>
      <c r="AD650" s="69">
        <f>SUM(AE650:AK650)</f>
        <v>1</v>
      </c>
      <c r="AE650" s="66"/>
      <c r="AF650" s="66">
        <v>1</v>
      </c>
      <c r="AG650" s="66"/>
      <c r="AH650" s="66"/>
      <c r="AI650" s="66"/>
      <c r="AJ650" s="66"/>
      <c r="AK650" s="66"/>
      <c r="AL650" s="54">
        <f>IF((AC650-SUM(AE650:AK650))&lt;0,0,AC650-SUM(AE650:AK650))</f>
        <v>0</v>
      </c>
      <c r="AM650" s="69">
        <f>SUM(AN650:AT650)</f>
        <v>1</v>
      </c>
      <c r="AN650" s="60"/>
      <c r="AO650" s="52">
        <v>1</v>
      </c>
      <c r="AP650" s="52"/>
      <c r="AQ650" s="52"/>
      <c r="AR650" s="52"/>
      <c r="AS650" s="52"/>
      <c r="AT650" s="61"/>
      <c r="AU650" s="66">
        <f>MAX(0,$AM650-$AC650-$AW650)</f>
        <v>0</v>
      </c>
      <c r="AV650" s="54"/>
      <c r="AW650" s="54"/>
      <c r="AX650" s="65">
        <v>0</v>
      </c>
      <c r="AY650" s="57">
        <f>IF(AND($AU650&gt;0,ISNUMBER($AX650)),$AU650*$AX650,0)</f>
        <v>0</v>
      </c>
      <c r="AZ650" s="46"/>
      <c r="BA650" s="52"/>
      <c r="BB650" s="52"/>
      <c r="BC650" s="52"/>
      <c r="BD650" s="52"/>
      <c r="BE650" s="52"/>
      <c r="BF650" s="52"/>
    </row>
    <row r="651" spans="1:58" ht="15" customHeight="1">
      <c r="A651" s="46" t="s">
        <v>3735</v>
      </c>
      <c r="B651" s="50" t="s">
        <v>3736</v>
      </c>
      <c r="C651" s="54" t="s">
        <v>311</v>
      </c>
      <c r="D651" s="74">
        <v>0</v>
      </c>
      <c r="E651" s="50" t="s">
        <v>312</v>
      </c>
      <c r="F651" s="50"/>
      <c r="G651" s="50"/>
      <c r="H651" s="51"/>
      <c r="I651" s="50" t="s">
        <v>3737</v>
      </c>
      <c r="J651" s="54" t="s">
        <v>73</v>
      </c>
      <c r="K651" s="56" t="s">
        <v>312</v>
      </c>
      <c r="L651" s="56" t="s">
        <v>3738</v>
      </c>
      <c r="M651" s="56" t="s">
        <v>747</v>
      </c>
      <c r="N651" s="56"/>
      <c r="O651" s="54"/>
      <c r="P651" s="56" t="s">
        <v>185</v>
      </c>
      <c r="Q651" s="56" t="s">
        <v>1030</v>
      </c>
      <c r="R651" s="50"/>
      <c r="S651" s="50"/>
      <c r="T651" s="50"/>
      <c r="U651" s="50"/>
      <c r="V651" s="57">
        <v>0.35</v>
      </c>
      <c r="W651" s="68"/>
      <c r="X651" s="50"/>
      <c r="Y651" s="50"/>
      <c r="Z651" s="50"/>
      <c r="AA651" s="50"/>
      <c r="AB651" s="57"/>
      <c r="AC651" s="54">
        <v>1</v>
      </c>
      <c r="AD651" s="69">
        <f>SUM(AE651:AK651)</f>
        <v>1</v>
      </c>
      <c r="AE651" s="66"/>
      <c r="AF651" s="66"/>
      <c r="AG651" s="66"/>
      <c r="AH651" s="66">
        <v>1</v>
      </c>
      <c r="AI651" s="66"/>
      <c r="AJ651" s="66"/>
      <c r="AK651" s="66"/>
      <c r="AL651" s="54">
        <f>IF((AC651-SUM(AE651:AK651))&lt;0,0,AC651-SUM(AE651:AK651))</f>
        <v>0</v>
      </c>
      <c r="AM651" s="69">
        <f>SUM(AN651:AT651)</f>
        <v>1</v>
      </c>
      <c r="AN651" s="60"/>
      <c r="AO651" s="52"/>
      <c r="AP651" s="52"/>
      <c r="AQ651" s="52">
        <v>1</v>
      </c>
      <c r="AR651" s="52"/>
      <c r="AS651" s="52"/>
      <c r="AT651" s="61"/>
      <c r="AU651" s="66">
        <f>MAX(0,$AM651-$AC651-$AW651)</f>
        <v>0</v>
      </c>
      <c r="AV651" s="54"/>
      <c r="AW651" s="54"/>
      <c r="AX651" s="65">
        <v>0</v>
      </c>
      <c r="AY651" s="57">
        <f>IF(AND($AU651&gt;0,ISNUMBER($AX651)),$AU651*$AX651,0)</f>
        <v>0</v>
      </c>
      <c r="AZ651" s="46"/>
      <c r="BA651" s="52"/>
      <c r="BB651" s="52"/>
      <c r="BC651" s="52"/>
      <c r="BD651" s="52"/>
      <c r="BE651" s="52"/>
      <c r="BF651" s="52"/>
    </row>
    <row r="652" spans="1:58" ht="15" customHeight="1">
      <c r="A652" s="46" t="s">
        <v>3739</v>
      </c>
      <c r="B652" s="50" t="s">
        <v>3740</v>
      </c>
      <c r="C652" s="54" t="s">
        <v>109</v>
      </c>
      <c r="D652" s="74">
        <v>5</v>
      </c>
      <c r="E652" s="50" t="s">
        <v>81</v>
      </c>
      <c r="F652" s="50">
        <v>2</v>
      </c>
      <c r="G652" s="50">
        <v>4</v>
      </c>
      <c r="H652" s="51" t="s">
        <v>3741</v>
      </c>
      <c r="I652" s="50" t="s">
        <v>3742</v>
      </c>
      <c r="J652" s="54" t="s">
        <v>73</v>
      </c>
      <c r="K652" s="56" t="s">
        <v>84</v>
      </c>
      <c r="L652" s="56" t="s">
        <v>3743</v>
      </c>
      <c r="M652" s="56" t="s">
        <v>3744</v>
      </c>
      <c r="N652" s="56" t="s">
        <v>3745</v>
      </c>
      <c r="O652" s="54"/>
      <c r="P652" s="56" t="s">
        <v>86</v>
      </c>
      <c r="Q652" s="56" t="s">
        <v>2285</v>
      </c>
      <c r="R652" s="54"/>
      <c r="S652" s="54"/>
      <c r="T652" s="54"/>
      <c r="U652" s="54"/>
      <c r="V652" s="57">
        <v>0.35</v>
      </c>
      <c r="W652" s="68"/>
      <c r="X652" s="54"/>
      <c r="Y652" s="54"/>
      <c r="Z652" s="54"/>
      <c r="AA652" s="54"/>
      <c r="AB652" s="57"/>
      <c r="AC652" s="54">
        <v>1</v>
      </c>
      <c r="AD652" s="69">
        <f>SUM(AE652:AK652)</f>
        <v>0</v>
      </c>
      <c r="AE652" s="66"/>
      <c r="AF652" s="66"/>
      <c r="AG652" s="66"/>
      <c r="AH652" s="66"/>
      <c r="AI652" s="66"/>
      <c r="AJ652" s="66"/>
      <c r="AK652" s="66"/>
      <c r="AL652" s="54">
        <f>IF((AC652-SUM(AE652:AK652))&lt;0,0,AC652-SUM(AE652:AK652))</f>
        <v>1</v>
      </c>
      <c r="AM652" s="69">
        <f>SUM(AN652:AT652)</f>
        <v>0</v>
      </c>
      <c r="AN652" s="60"/>
      <c r="AO652" s="52"/>
      <c r="AP652" s="52"/>
      <c r="AQ652" s="52"/>
      <c r="AR652" s="52"/>
      <c r="AS652" s="52"/>
      <c r="AT652" s="61"/>
      <c r="AU652" s="66">
        <f>MAX(0,$AM652-$AC652-$AW652)</f>
        <v>0</v>
      </c>
      <c r="AV652" s="54"/>
      <c r="AW652" s="54"/>
      <c r="AX652" s="65">
        <v>0</v>
      </c>
      <c r="AY652" s="57">
        <f>IF(AND($AU652&gt;0,ISNUMBER($AX652)),$AU652*$AX652,0)</f>
        <v>0</v>
      </c>
      <c r="AZ652" s="46"/>
      <c r="BA652" s="52"/>
      <c r="BB652" s="52"/>
      <c r="BC652" s="52"/>
      <c r="BD652" s="52"/>
      <c r="BE652" s="52"/>
      <c r="BF652" s="52"/>
    </row>
    <row r="653" spans="1:58" ht="15" customHeight="1">
      <c r="A653" s="46" t="s">
        <v>3746</v>
      </c>
      <c r="B653" s="50" t="s">
        <v>3747</v>
      </c>
      <c r="C653" s="54" t="s">
        <v>118</v>
      </c>
      <c r="D653" s="74">
        <v>2</v>
      </c>
      <c r="E653" s="50" t="s">
        <v>233</v>
      </c>
      <c r="F653" s="50"/>
      <c r="G653" s="50"/>
      <c r="H653" s="51"/>
      <c r="I653" s="50" t="s">
        <v>3748</v>
      </c>
      <c r="J653" s="54" t="s">
        <v>73</v>
      </c>
      <c r="K653" s="56" t="s">
        <v>254</v>
      </c>
      <c r="L653" s="56" t="s">
        <v>3749</v>
      </c>
      <c r="M653" s="56"/>
      <c r="N653" s="56"/>
      <c r="O653" s="54"/>
      <c r="P653" s="56" t="s">
        <v>185</v>
      </c>
      <c r="Q653" s="56" t="s">
        <v>2507</v>
      </c>
      <c r="R653" s="50"/>
      <c r="S653" s="50"/>
      <c r="T653" s="50"/>
      <c r="U653" s="56"/>
      <c r="V653" s="57">
        <v>0.35</v>
      </c>
      <c r="W653" s="68"/>
      <c r="X653" s="50"/>
      <c r="Y653" s="50"/>
      <c r="Z653" s="50"/>
      <c r="AA653" s="56"/>
      <c r="AB653" s="57"/>
      <c r="AC653" s="54">
        <v>1</v>
      </c>
      <c r="AD653" s="69">
        <f>SUM(AE653:AK653)</f>
        <v>0</v>
      </c>
      <c r="AE653" s="66"/>
      <c r="AF653" s="66"/>
      <c r="AG653" s="66"/>
      <c r="AH653" s="66"/>
      <c r="AI653" s="66"/>
      <c r="AJ653" s="66"/>
      <c r="AK653" s="66"/>
      <c r="AL653" s="54">
        <f>IF((AC653-SUM(AE653:AK653))&lt;0,0,AC653-SUM(AE653:AK653))</f>
        <v>1</v>
      </c>
      <c r="AM653" s="69">
        <f>SUM(AN653:AT653)</f>
        <v>0</v>
      </c>
      <c r="AN653" s="60"/>
      <c r="AO653" s="52"/>
      <c r="AP653" s="52"/>
      <c r="AQ653" s="52"/>
      <c r="AR653" s="52"/>
      <c r="AS653" s="52"/>
      <c r="AT653" s="61"/>
      <c r="AU653" s="66">
        <f>MAX(0,$AM653-$AC653-$AW653)</f>
        <v>0</v>
      </c>
      <c r="AV653" s="54"/>
      <c r="AW653" s="54"/>
      <c r="AX653" s="65">
        <v>0</v>
      </c>
      <c r="AY653" s="57">
        <f>IF(AND($AU653&gt;0,ISNUMBER($AX653)),$AU653*$AX653,0)</f>
        <v>0</v>
      </c>
      <c r="AZ653" s="46"/>
      <c r="BA653" s="52"/>
      <c r="BB653" s="52"/>
      <c r="BC653" s="52"/>
      <c r="BD653" s="52"/>
      <c r="BE653" s="52"/>
      <c r="BF653" s="52"/>
    </row>
    <row r="654" spans="1:58" ht="15" customHeight="1">
      <c r="A654" s="46" t="s">
        <v>3750</v>
      </c>
      <c r="B654" s="46" t="s">
        <v>3751</v>
      </c>
      <c r="C654" s="52" t="s">
        <v>70</v>
      </c>
      <c r="D654" s="75">
        <v>3</v>
      </c>
      <c r="E654" s="46" t="s">
        <v>81</v>
      </c>
      <c r="F654" s="50">
        <v>2</v>
      </c>
      <c r="G654" s="50">
        <v>3</v>
      </c>
      <c r="H654" s="51" t="s">
        <v>1461</v>
      </c>
      <c r="I654" s="50" t="s">
        <v>3752</v>
      </c>
      <c r="J654" s="52" t="s">
        <v>73</v>
      </c>
      <c r="K654" s="46" t="s">
        <v>104</v>
      </c>
      <c r="L654" s="50" t="s">
        <v>3753</v>
      </c>
      <c r="M654" s="50" t="s">
        <v>3754</v>
      </c>
      <c r="N654" s="50"/>
      <c r="O654" s="54"/>
      <c r="P654" s="55" t="s">
        <v>185</v>
      </c>
      <c r="Q654" s="46" t="s">
        <v>645</v>
      </c>
      <c r="R654" s="75" t="s">
        <v>939</v>
      </c>
      <c r="S654" s="75">
        <v>1</v>
      </c>
      <c r="T654" s="75">
        <v>0</v>
      </c>
      <c r="U654" s="56"/>
      <c r="V654" s="57">
        <v>0.35</v>
      </c>
      <c r="W654" s="68"/>
      <c r="X654" s="46"/>
      <c r="Y654" s="46"/>
      <c r="Z654" s="46"/>
      <c r="AA654" s="56"/>
      <c r="AB654" s="57"/>
      <c r="AC654" s="54">
        <v>1</v>
      </c>
      <c r="AD654" s="69">
        <f>SUM(AE654:AK654)</f>
        <v>0</v>
      </c>
      <c r="AE654" s="66"/>
      <c r="AF654" s="66"/>
      <c r="AG654" s="66"/>
      <c r="AH654" s="66"/>
      <c r="AI654" s="66"/>
      <c r="AJ654" s="66"/>
      <c r="AK654" s="66"/>
      <c r="AL654" s="54">
        <f>IF((AC654-SUM(AE654:AK654))&lt;0,0,AC654-SUM(AE654:AK654))</f>
        <v>1</v>
      </c>
      <c r="AM654" s="69">
        <f>SUM(AN654:AT654)</f>
        <v>0</v>
      </c>
      <c r="AN654" s="60"/>
      <c r="AO654" s="52"/>
      <c r="AP654" s="52"/>
      <c r="AQ654" s="52"/>
      <c r="AR654" s="52"/>
      <c r="AS654" s="52"/>
      <c r="AT654" s="61"/>
      <c r="AU654" s="66">
        <f>MAX(0,$AM654-$AC654-$AW654)</f>
        <v>0</v>
      </c>
      <c r="AV654" s="52"/>
      <c r="AW654" s="52"/>
      <c r="AX654" s="65">
        <v>0</v>
      </c>
      <c r="AY654" s="57">
        <f>IF(AND($AU654&gt;0,ISNUMBER($AX654)),$AU654*$AX654,0)</f>
        <v>0</v>
      </c>
      <c r="AZ654" s="46"/>
      <c r="BA654" s="52"/>
      <c r="BB654" s="52"/>
      <c r="BC654" s="52"/>
      <c r="BD654" s="52"/>
      <c r="BE654" s="52"/>
      <c r="BF654" s="52"/>
    </row>
    <row r="655" spans="1:58" ht="15" customHeight="1">
      <c r="A655" s="46" t="s">
        <v>3755</v>
      </c>
      <c r="B655" s="50" t="s">
        <v>3756</v>
      </c>
      <c r="C655" s="54" t="s">
        <v>109</v>
      </c>
      <c r="D655" s="74">
        <v>3</v>
      </c>
      <c r="E655" s="50" t="s">
        <v>81</v>
      </c>
      <c r="F655" s="50">
        <v>1</v>
      </c>
      <c r="G655" s="50">
        <v>3</v>
      </c>
      <c r="H655" s="51" t="s">
        <v>3757</v>
      </c>
      <c r="I655" s="50" t="s">
        <v>3758</v>
      </c>
      <c r="J655" s="54" t="s">
        <v>73</v>
      </c>
      <c r="K655" s="56" t="s">
        <v>135</v>
      </c>
      <c r="L655" s="56" t="s">
        <v>3759</v>
      </c>
      <c r="M655" s="56"/>
      <c r="N655" s="56"/>
      <c r="O655" s="54"/>
      <c r="P655" s="56" t="s">
        <v>86</v>
      </c>
      <c r="Q655" s="56" t="s">
        <v>410</v>
      </c>
      <c r="R655" s="54"/>
      <c r="S655" s="54"/>
      <c r="T655" s="54"/>
      <c r="U655" s="54"/>
      <c r="V655" s="57">
        <v>0.35</v>
      </c>
      <c r="W655" s="68"/>
      <c r="X655" s="54"/>
      <c r="Y655" s="54"/>
      <c r="Z655" s="54"/>
      <c r="AA655" s="54"/>
      <c r="AB655" s="57"/>
      <c r="AC655" s="54">
        <v>1</v>
      </c>
      <c r="AD655" s="69">
        <f>SUM(AE655:AK655)</f>
        <v>1</v>
      </c>
      <c r="AE655" s="66"/>
      <c r="AF655" s="66">
        <v>1</v>
      </c>
      <c r="AG655" s="66"/>
      <c r="AH655" s="66"/>
      <c r="AI655" s="66"/>
      <c r="AJ655" s="66"/>
      <c r="AK655" s="66"/>
      <c r="AL655" s="54">
        <f>IF((AC655-SUM(AE655:AK655))&lt;0,0,AC655-SUM(AE655:AK655))</f>
        <v>0</v>
      </c>
      <c r="AM655" s="69">
        <f>SUM(AN655:AT655)</f>
        <v>1</v>
      </c>
      <c r="AN655" s="60"/>
      <c r="AO655" s="52">
        <v>1</v>
      </c>
      <c r="AP655" s="52"/>
      <c r="AQ655" s="52"/>
      <c r="AR655" s="52"/>
      <c r="AS655" s="52"/>
      <c r="AT655" s="61"/>
      <c r="AU655" s="66">
        <f>MAX(0,$AM655-$AC655-$AW655)</f>
        <v>0</v>
      </c>
      <c r="AV655" s="54"/>
      <c r="AW655" s="54"/>
      <c r="AX655" s="65">
        <v>0</v>
      </c>
      <c r="AY655" s="57">
        <f>IF(AND($AU655&gt;0,ISNUMBER($AX655)),$AU655*$AX655,0)</f>
        <v>0</v>
      </c>
      <c r="AZ655" s="46"/>
      <c r="BA655" s="52"/>
      <c r="BB655" s="52"/>
      <c r="BC655" s="52"/>
      <c r="BD655" s="52"/>
      <c r="BE655" s="52"/>
      <c r="BF655" s="52"/>
    </row>
    <row r="656" spans="1:58" ht="15" customHeight="1">
      <c r="A656" s="46" t="s">
        <v>3760</v>
      </c>
      <c r="B656" s="50" t="s">
        <v>3761</v>
      </c>
      <c r="C656" s="54" t="s">
        <v>118</v>
      </c>
      <c r="D656" s="74">
        <v>2</v>
      </c>
      <c r="E656" s="50" t="s">
        <v>81</v>
      </c>
      <c r="F656" s="50">
        <v>2</v>
      </c>
      <c r="G656" s="50">
        <v>1</v>
      </c>
      <c r="H656" s="51" t="s">
        <v>1232</v>
      </c>
      <c r="I656" s="50" t="s">
        <v>3762</v>
      </c>
      <c r="J656" s="54" t="s">
        <v>73</v>
      </c>
      <c r="K656" s="56" t="s">
        <v>3168</v>
      </c>
      <c r="L656" s="56" t="s">
        <v>3763</v>
      </c>
      <c r="M656" s="56" t="s">
        <v>3764</v>
      </c>
      <c r="N656" s="56"/>
      <c r="O656" s="54"/>
      <c r="P656" s="56" t="s">
        <v>86</v>
      </c>
      <c r="Q656" s="56" t="s">
        <v>410</v>
      </c>
      <c r="R656" s="50"/>
      <c r="S656" s="50"/>
      <c r="T656" s="50"/>
      <c r="U656" s="50"/>
      <c r="V656" s="57">
        <v>0.35</v>
      </c>
      <c r="W656" s="68"/>
      <c r="X656" s="50"/>
      <c r="Y656" s="50"/>
      <c r="Z656" s="50"/>
      <c r="AA656" s="50"/>
      <c r="AB656" s="57"/>
      <c r="AC656" s="54">
        <v>1</v>
      </c>
      <c r="AD656" s="69">
        <f>SUM(AE656:AK656)</f>
        <v>0</v>
      </c>
      <c r="AE656" s="66"/>
      <c r="AF656" s="66"/>
      <c r="AG656" s="66"/>
      <c r="AH656" s="66"/>
      <c r="AI656" s="66"/>
      <c r="AJ656" s="66"/>
      <c r="AK656" s="66"/>
      <c r="AL656" s="54">
        <f>IF((AC656-SUM(AE656:AK656))&lt;0,0,AC656-SUM(AE656:AK656))</f>
        <v>1</v>
      </c>
      <c r="AM656" s="69">
        <f>SUM(AN656:AT656)</f>
        <v>0</v>
      </c>
      <c r="AN656" s="60"/>
      <c r="AO656" s="52"/>
      <c r="AP656" s="52"/>
      <c r="AQ656" s="52"/>
      <c r="AR656" s="52"/>
      <c r="AS656" s="52"/>
      <c r="AT656" s="61"/>
      <c r="AU656" s="66">
        <f>MAX(0,$AM656-$AC656-$AW656)</f>
        <v>0</v>
      </c>
      <c r="AV656" s="54"/>
      <c r="AW656" s="54"/>
      <c r="AX656" s="65">
        <v>0</v>
      </c>
      <c r="AY656" s="57">
        <f>IF(AND($AU656&gt;0,ISNUMBER($AX656)),$AU656*$AX656,0)</f>
        <v>0</v>
      </c>
      <c r="AZ656" s="46"/>
      <c r="BA656" s="52"/>
      <c r="BB656" s="52"/>
      <c r="BC656" s="52"/>
      <c r="BD656" s="52"/>
      <c r="BE656" s="52"/>
      <c r="BF656" s="52"/>
    </row>
    <row r="657" spans="1:58" ht="15" customHeight="1">
      <c r="A657" s="46" t="s">
        <v>3765</v>
      </c>
      <c r="B657" s="50" t="s">
        <v>3766</v>
      </c>
      <c r="C657" s="54" t="s">
        <v>118</v>
      </c>
      <c r="D657" s="74">
        <v>5</v>
      </c>
      <c r="E657" s="50" t="s">
        <v>110</v>
      </c>
      <c r="F657" s="50">
        <v>5</v>
      </c>
      <c r="G657" s="50">
        <v>4</v>
      </c>
      <c r="H657" s="51" t="s">
        <v>3602</v>
      </c>
      <c r="I657" s="50" t="s">
        <v>3767</v>
      </c>
      <c r="J657" s="54" t="s">
        <v>73</v>
      </c>
      <c r="K657" s="56" t="s">
        <v>550</v>
      </c>
      <c r="L657" s="56" t="s">
        <v>3768</v>
      </c>
      <c r="M657" s="56" t="s">
        <v>3769</v>
      </c>
      <c r="N657" s="56"/>
      <c r="O657" s="56">
        <v>1915</v>
      </c>
      <c r="P657" s="56" t="s">
        <v>114</v>
      </c>
      <c r="Q657" s="56" t="s">
        <v>2294</v>
      </c>
      <c r="R657" s="50"/>
      <c r="S657" s="50"/>
      <c r="T657" s="50"/>
      <c r="U657" s="56"/>
      <c r="V657" s="57">
        <v>0.35</v>
      </c>
      <c r="W657" s="68"/>
      <c r="X657" s="50"/>
      <c r="Y657" s="50"/>
      <c r="Z657" s="50"/>
      <c r="AA657" s="56"/>
      <c r="AB657" s="57"/>
      <c r="AC657" s="54">
        <v>1</v>
      </c>
      <c r="AD657" s="69">
        <f>SUM(AE657:AK657)</f>
        <v>0</v>
      </c>
      <c r="AE657" s="66"/>
      <c r="AF657" s="66"/>
      <c r="AG657" s="66"/>
      <c r="AH657" s="66"/>
      <c r="AI657" s="66"/>
      <c r="AJ657" s="66"/>
      <c r="AK657" s="66"/>
      <c r="AL657" s="54">
        <f>IF((AC657-SUM(AE657:AK657))&lt;0,0,AC657-SUM(AE657:AK657))</f>
        <v>1</v>
      </c>
      <c r="AM657" s="69">
        <f>SUM(AN657:AT657)</f>
        <v>0</v>
      </c>
      <c r="AN657" s="60"/>
      <c r="AO657" s="52"/>
      <c r="AP657" s="52"/>
      <c r="AQ657" s="52"/>
      <c r="AR657" s="52"/>
      <c r="AS657" s="52"/>
      <c r="AT657" s="61"/>
      <c r="AU657" s="66">
        <f>MAX(0,$AM657-$AC657-$AW657)</f>
        <v>0</v>
      </c>
      <c r="AV657" s="54"/>
      <c r="AW657" s="54"/>
      <c r="AX657" s="65">
        <v>0</v>
      </c>
      <c r="AY657" s="57">
        <f>IF(AND($AU657&gt;0,ISNUMBER($AX657)),$AU657*$AX657,0)</f>
        <v>0</v>
      </c>
      <c r="AZ657" s="46"/>
      <c r="BA657" s="52"/>
      <c r="BB657" s="52"/>
      <c r="BC657" s="52"/>
      <c r="BD657" s="52"/>
      <c r="BE657" s="52"/>
      <c r="BF657" s="52"/>
    </row>
    <row r="658" spans="1:58" ht="15" customHeight="1">
      <c r="A658" s="46" t="s">
        <v>3770</v>
      </c>
      <c r="B658" s="46" t="s">
        <v>3771</v>
      </c>
      <c r="C658" s="52" t="s">
        <v>181</v>
      </c>
      <c r="D658" s="75">
        <v>5</v>
      </c>
      <c r="E658" s="46" t="s">
        <v>71</v>
      </c>
      <c r="F658" s="50"/>
      <c r="G658" s="50"/>
      <c r="H658" s="51"/>
      <c r="I658" s="50" t="s">
        <v>3772</v>
      </c>
      <c r="J658" s="52" t="s">
        <v>73</v>
      </c>
      <c r="K658" s="46" t="s">
        <v>424</v>
      </c>
      <c r="L658" s="50" t="s">
        <v>3773</v>
      </c>
      <c r="M658" s="50"/>
      <c r="N658" s="50"/>
      <c r="O658" s="54"/>
      <c r="P658" s="56" t="s">
        <v>86</v>
      </c>
      <c r="Q658" s="46" t="s">
        <v>645</v>
      </c>
      <c r="R658" s="75" t="s">
        <v>3774</v>
      </c>
      <c r="S658" s="75">
        <v>1</v>
      </c>
      <c r="T658" s="75">
        <v>0</v>
      </c>
      <c r="U658" s="56" t="s">
        <v>3775</v>
      </c>
      <c r="V658" s="57">
        <v>0.34</v>
      </c>
      <c r="W658" s="68"/>
      <c r="X658" s="50"/>
      <c r="Y658" s="46"/>
      <c r="Z658" s="46"/>
      <c r="AA658" s="56"/>
      <c r="AB658" s="57"/>
      <c r="AC658" s="54">
        <v>1</v>
      </c>
      <c r="AD658" s="69">
        <f>SUM(AE658:AK658)</f>
        <v>1</v>
      </c>
      <c r="AE658" s="66"/>
      <c r="AF658" s="66"/>
      <c r="AG658" s="66"/>
      <c r="AH658" s="66"/>
      <c r="AI658" s="66"/>
      <c r="AJ658" s="66"/>
      <c r="AK658" s="66">
        <v>1</v>
      </c>
      <c r="AL658" s="54">
        <f>IF((AC658-SUM(AE658:AK658))&lt;0,0,AC658-SUM(AE658:AK658))</f>
        <v>0</v>
      </c>
      <c r="AM658" s="69">
        <f>SUM(AN658:AT658)</f>
        <v>0</v>
      </c>
      <c r="AN658" s="60"/>
      <c r="AO658" s="52"/>
      <c r="AP658" s="52"/>
      <c r="AQ658" s="52"/>
      <c r="AR658" s="52"/>
      <c r="AS658" s="52"/>
      <c r="AT658" s="61"/>
      <c r="AU658" s="66">
        <f>MAX(0,$AM658-$AC658-$AW658)</f>
        <v>0</v>
      </c>
      <c r="AV658" s="54"/>
      <c r="AW658" s="54"/>
      <c r="AX658" s="65">
        <v>0</v>
      </c>
      <c r="AY658" s="57">
        <f>IF(AND($AU658&gt;0,ISNUMBER($AX658)),$AU658*$AX658,0)</f>
        <v>0</v>
      </c>
      <c r="AZ658" s="46"/>
      <c r="BA658" s="52"/>
      <c r="BB658" s="52"/>
      <c r="BC658" s="52"/>
      <c r="BD658" s="52"/>
      <c r="BE658" s="52"/>
      <c r="BF658" s="52" t="s">
        <v>225</v>
      </c>
    </row>
    <row r="659" spans="1:58" ht="15" customHeight="1">
      <c r="A659" s="46" t="s">
        <v>3776</v>
      </c>
      <c r="B659" s="53" t="s">
        <v>3777</v>
      </c>
      <c r="C659" s="66" t="s">
        <v>109</v>
      </c>
      <c r="D659" s="67">
        <v>2</v>
      </c>
      <c r="E659" s="53" t="s">
        <v>71</v>
      </c>
      <c r="F659" s="50"/>
      <c r="G659" s="50"/>
      <c r="H659" s="51"/>
      <c r="I659" s="50" t="s">
        <v>3778</v>
      </c>
      <c r="J659" s="54" t="s">
        <v>73</v>
      </c>
      <c r="K659" s="53" t="s">
        <v>152</v>
      </c>
      <c r="L659" s="53" t="s">
        <v>3779</v>
      </c>
      <c r="M659" s="53" t="s">
        <v>3780</v>
      </c>
      <c r="N659" s="53"/>
      <c r="O659" s="54"/>
      <c r="P659" s="56" t="s">
        <v>76</v>
      </c>
      <c r="Q659" s="53" t="s">
        <v>691</v>
      </c>
      <c r="R659" s="50" t="s">
        <v>3781</v>
      </c>
      <c r="S659" s="50">
        <v>1</v>
      </c>
      <c r="T659" s="50">
        <v>0</v>
      </c>
      <c r="U659" s="56" t="s">
        <v>3782</v>
      </c>
      <c r="V659" s="57">
        <v>0.34</v>
      </c>
      <c r="W659" s="56"/>
      <c r="X659" s="50"/>
      <c r="Y659" s="50"/>
      <c r="Z659" s="50"/>
      <c r="AA659" s="56"/>
      <c r="AB659" s="57"/>
      <c r="AC659" s="54">
        <v>1</v>
      </c>
      <c r="AD659" s="69">
        <f>SUM(AE659:AK659)</f>
        <v>0</v>
      </c>
      <c r="AE659" s="66"/>
      <c r="AF659" s="66"/>
      <c r="AG659" s="66"/>
      <c r="AH659" s="66"/>
      <c r="AI659" s="66"/>
      <c r="AJ659" s="66"/>
      <c r="AK659" s="66"/>
      <c r="AL659" s="54">
        <f>IF((AC659-SUM(AE659:AK659))&lt;0,0,AC659-SUM(AE659:AK659))</f>
        <v>1</v>
      </c>
      <c r="AM659" s="69">
        <f>SUM(AN659:AT659)</f>
        <v>0</v>
      </c>
      <c r="AN659" s="60"/>
      <c r="AO659" s="52"/>
      <c r="AP659" s="52"/>
      <c r="AQ659" s="52"/>
      <c r="AR659" s="52"/>
      <c r="AS659" s="52"/>
      <c r="AT659" s="61"/>
      <c r="AU659" s="66">
        <f>MAX(0,$AM659-$AC659-$AW659)</f>
        <v>0</v>
      </c>
      <c r="AV659" s="66"/>
      <c r="AW659" s="66"/>
      <c r="AX659" s="65">
        <v>0</v>
      </c>
      <c r="AY659" s="65">
        <f>IF(AND($AU659&gt;0,ISNUMBER($AX659)),$AU659*$AX659,0)</f>
        <v>0</v>
      </c>
      <c r="AZ659" s="46"/>
      <c r="BA659" s="52"/>
      <c r="BB659" s="52"/>
      <c r="BC659" s="52"/>
      <c r="BD659" s="52"/>
      <c r="BE659" s="52"/>
      <c r="BF659" s="52"/>
    </row>
    <row r="660" spans="1:58" ht="15" customHeight="1">
      <c r="A660" s="46" t="s">
        <v>3783</v>
      </c>
      <c r="B660" s="53" t="s">
        <v>3784</v>
      </c>
      <c r="C660" s="66" t="s">
        <v>181</v>
      </c>
      <c r="D660" s="67">
        <v>3</v>
      </c>
      <c r="E660" s="53" t="s">
        <v>384</v>
      </c>
      <c r="F660" s="50"/>
      <c r="G660" s="50"/>
      <c r="H660" s="51"/>
      <c r="I660" s="50" t="s">
        <v>3785</v>
      </c>
      <c r="J660" s="54" t="s">
        <v>73</v>
      </c>
      <c r="K660" s="58" t="s">
        <v>273</v>
      </c>
      <c r="L660" s="58" t="s">
        <v>3786</v>
      </c>
      <c r="M660" s="58" t="s">
        <v>3787</v>
      </c>
      <c r="N660" s="58"/>
      <c r="O660" s="54"/>
      <c r="P660" s="56" t="s">
        <v>185</v>
      </c>
      <c r="Q660" s="58" t="s">
        <v>3704</v>
      </c>
      <c r="R660" s="50"/>
      <c r="S660" s="50"/>
      <c r="T660" s="50"/>
      <c r="U660" s="50"/>
      <c r="V660" s="57">
        <v>0.34</v>
      </c>
      <c r="W660" s="68"/>
      <c r="X660" s="50"/>
      <c r="Y660" s="50"/>
      <c r="Z660" s="50"/>
      <c r="AA660" s="50"/>
      <c r="AB660" s="57"/>
      <c r="AC660" s="54">
        <v>1</v>
      </c>
      <c r="AD660" s="69">
        <f>SUM(AE660:AK660)</f>
        <v>1</v>
      </c>
      <c r="AE660" s="66"/>
      <c r="AF660" s="66"/>
      <c r="AG660" s="66"/>
      <c r="AH660" s="66"/>
      <c r="AI660" s="66">
        <v>1</v>
      </c>
      <c r="AJ660" s="66"/>
      <c r="AK660" s="66"/>
      <c r="AL660" s="54">
        <f>IF((AC660-SUM(AE660:AK660))&lt;0,0,AC660-SUM(AE660:AK660))</f>
        <v>0</v>
      </c>
      <c r="AM660" s="69">
        <f>SUM(AN660:AT660)</f>
        <v>1</v>
      </c>
      <c r="AN660" s="60"/>
      <c r="AO660" s="52"/>
      <c r="AP660" s="52"/>
      <c r="AQ660" s="52"/>
      <c r="AR660" s="52">
        <v>1</v>
      </c>
      <c r="AS660" s="52"/>
      <c r="AT660" s="61"/>
      <c r="AU660" s="66">
        <f>MAX(0,$AM660-$AC660-$AW660)</f>
        <v>0</v>
      </c>
      <c r="AV660" s="66"/>
      <c r="AW660" s="66"/>
      <c r="AX660" s="65">
        <v>0</v>
      </c>
      <c r="AY660" s="65">
        <f>IF(AND($AU660&gt;0,ISNUMBER($AX660)),$AU660*$AX660,0)</f>
        <v>0</v>
      </c>
      <c r="AZ660" s="46"/>
      <c r="BA660" s="52"/>
      <c r="BB660" s="52"/>
      <c r="BC660" s="52"/>
      <c r="BD660" s="52"/>
      <c r="BE660" s="52"/>
      <c r="BF660" s="52"/>
    </row>
    <row r="661" spans="1:58" ht="15" customHeight="1">
      <c r="A661" s="46" t="s">
        <v>3788</v>
      </c>
      <c r="B661" s="81" t="s">
        <v>3789</v>
      </c>
      <c r="C661" s="54" t="s">
        <v>70</v>
      </c>
      <c r="D661" s="74">
        <v>4</v>
      </c>
      <c r="E661" s="50" t="s">
        <v>81</v>
      </c>
      <c r="F661" s="50">
        <v>3</v>
      </c>
      <c r="G661" s="50">
        <v>3</v>
      </c>
      <c r="H661" s="51" t="s">
        <v>3261</v>
      </c>
      <c r="I661" s="50" t="s">
        <v>3790</v>
      </c>
      <c r="J661" s="54" t="s">
        <v>73</v>
      </c>
      <c r="K661" s="56" t="s">
        <v>261</v>
      </c>
      <c r="L661" s="56" t="s">
        <v>3791</v>
      </c>
      <c r="M661" s="56"/>
      <c r="N661" s="56"/>
      <c r="O661" s="54"/>
      <c r="P661" s="56" t="s">
        <v>86</v>
      </c>
      <c r="Q661" s="56" t="s">
        <v>3792</v>
      </c>
      <c r="R661" s="50"/>
      <c r="S661" s="50"/>
      <c r="T661" s="50"/>
      <c r="U661" s="50"/>
      <c r="V661" s="57">
        <v>0.34</v>
      </c>
      <c r="W661" s="68"/>
      <c r="X661" s="50"/>
      <c r="Y661" s="50"/>
      <c r="Z661" s="50"/>
      <c r="AA661" s="50"/>
      <c r="AB661" s="57"/>
      <c r="AC661" s="54">
        <v>1</v>
      </c>
      <c r="AD661" s="69">
        <f>SUM(AE661:AK661)</f>
        <v>1</v>
      </c>
      <c r="AE661" s="66"/>
      <c r="AF661" s="66"/>
      <c r="AG661" s="66"/>
      <c r="AH661" s="66"/>
      <c r="AI661" s="66"/>
      <c r="AJ661" s="66">
        <v>1</v>
      </c>
      <c r="AK661" s="66"/>
      <c r="AL661" s="54">
        <f>IF((AC661-SUM(AE661:AK661))&lt;0,0,AC661-SUM(AE661:AK661))</f>
        <v>0</v>
      </c>
      <c r="AM661" s="69">
        <f>SUM(AN661:AT661)</f>
        <v>0</v>
      </c>
      <c r="AN661" s="60"/>
      <c r="AO661" s="52"/>
      <c r="AP661" s="52"/>
      <c r="AQ661" s="52"/>
      <c r="AR661" s="52"/>
      <c r="AS661" s="52"/>
      <c r="AT661" s="61"/>
      <c r="AU661" s="66">
        <f>MAX(0,$AM661-$AC661-$AW661)</f>
        <v>0</v>
      </c>
      <c r="AV661" s="54"/>
      <c r="AW661" s="54"/>
      <c r="AX661" s="65">
        <v>0</v>
      </c>
      <c r="AY661" s="57">
        <f>IF(AND($AU661&gt;0,ISNUMBER($AX661)),$AU661*$AX661,0)</f>
        <v>0</v>
      </c>
      <c r="AZ661" s="46"/>
      <c r="BA661" s="52"/>
      <c r="BB661" s="52"/>
      <c r="BC661" s="52"/>
      <c r="BD661" s="52"/>
      <c r="BE661" s="52" t="s">
        <v>257</v>
      </c>
      <c r="BF661" s="52"/>
    </row>
    <row r="662" spans="1:58" ht="15" customHeight="1">
      <c r="A662" s="46" t="s">
        <v>3793</v>
      </c>
      <c r="B662" s="81" t="s">
        <v>3794</v>
      </c>
      <c r="C662" s="54" t="s">
        <v>101</v>
      </c>
      <c r="D662" s="74">
        <v>2</v>
      </c>
      <c r="E662" s="50" t="s">
        <v>81</v>
      </c>
      <c r="F662" s="50">
        <v>1</v>
      </c>
      <c r="G662" s="50">
        <v>1</v>
      </c>
      <c r="H662" s="51" t="s">
        <v>3795</v>
      </c>
      <c r="I662" s="50" t="s">
        <v>3796</v>
      </c>
      <c r="J662" s="54" t="s">
        <v>73</v>
      </c>
      <c r="K662" s="56" t="s">
        <v>104</v>
      </c>
      <c r="L662" s="56" t="s">
        <v>3797</v>
      </c>
      <c r="M662" s="56"/>
      <c r="N662" s="56"/>
      <c r="O662" s="54"/>
      <c r="P662" s="56" t="s">
        <v>76</v>
      </c>
      <c r="Q662" s="56" t="s">
        <v>1115</v>
      </c>
      <c r="R662" s="54"/>
      <c r="S662" s="54"/>
      <c r="T662" s="54"/>
      <c r="U662" s="54"/>
      <c r="V662" s="57">
        <v>0.34</v>
      </c>
      <c r="W662" s="68"/>
      <c r="X662" s="54"/>
      <c r="Y662" s="54"/>
      <c r="Z662" s="54"/>
      <c r="AA662" s="54"/>
      <c r="AB662" s="57"/>
      <c r="AC662" s="54">
        <v>1</v>
      </c>
      <c r="AD662" s="69">
        <f>SUM(AE662:AK662)</f>
        <v>1</v>
      </c>
      <c r="AE662" s="66"/>
      <c r="AF662" s="66">
        <v>1</v>
      </c>
      <c r="AG662" s="66"/>
      <c r="AH662" s="66"/>
      <c r="AI662" s="66"/>
      <c r="AJ662" s="66"/>
      <c r="AK662" s="66"/>
      <c r="AL662" s="54">
        <f>IF((AC662-SUM(AE662:AK662))&lt;0,0,AC662-SUM(AE662:AK662))</f>
        <v>0</v>
      </c>
      <c r="AM662" s="69">
        <f>SUM(AN662:AT662)</f>
        <v>1</v>
      </c>
      <c r="AN662" s="60"/>
      <c r="AO662" s="52"/>
      <c r="AP662" s="52"/>
      <c r="AQ662" s="52"/>
      <c r="AR662" s="52"/>
      <c r="AS662" s="52"/>
      <c r="AT662" s="61">
        <v>1</v>
      </c>
      <c r="AU662" s="66">
        <f>MAX(0,$AM662-$AC662-$AW662)</f>
        <v>0</v>
      </c>
      <c r="AV662" s="54"/>
      <c r="AW662" s="54"/>
      <c r="AX662" s="65">
        <v>0</v>
      </c>
      <c r="AY662" s="57">
        <f>IF(AND($AU662&gt;0,ISNUMBER($AX662)),$AU662*$AX662,0)</f>
        <v>0</v>
      </c>
      <c r="AZ662" s="46"/>
      <c r="BA662" s="52" t="s">
        <v>173</v>
      </c>
      <c r="BB662" s="52"/>
      <c r="BC662" s="52"/>
      <c r="BD662" s="52"/>
      <c r="BE662" s="52"/>
      <c r="BF662" s="52"/>
    </row>
    <row r="663" spans="1:58" ht="15" customHeight="1">
      <c r="A663" s="46" t="s">
        <v>3798</v>
      </c>
      <c r="B663" s="81" t="s">
        <v>3799</v>
      </c>
      <c r="C663" s="54" t="s">
        <v>70</v>
      </c>
      <c r="D663" s="74">
        <v>3</v>
      </c>
      <c r="E663" s="50" t="s">
        <v>189</v>
      </c>
      <c r="F663" s="50"/>
      <c r="G663" s="50"/>
      <c r="H663" s="51"/>
      <c r="I663" s="50" t="s">
        <v>3800</v>
      </c>
      <c r="J663" s="54" t="s">
        <v>73</v>
      </c>
      <c r="K663" s="56" t="s">
        <v>135</v>
      </c>
      <c r="L663" s="56" t="s">
        <v>3801</v>
      </c>
      <c r="M663" s="56"/>
      <c r="N663" s="56"/>
      <c r="O663" s="54"/>
      <c r="P663" s="56" t="s">
        <v>86</v>
      </c>
      <c r="Q663" s="56" t="s">
        <v>444</v>
      </c>
      <c r="R663" s="50"/>
      <c r="S663" s="50"/>
      <c r="T663" s="50"/>
      <c r="U663" s="50"/>
      <c r="V663" s="57">
        <v>0.34</v>
      </c>
      <c r="W663" s="68"/>
      <c r="X663" s="50"/>
      <c r="Y663" s="50"/>
      <c r="Z663" s="50"/>
      <c r="AA663" s="50"/>
      <c r="AB663" s="57"/>
      <c r="AC663" s="54">
        <v>1</v>
      </c>
      <c r="AD663" s="69">
        <f>SUM(AE663:AK663)</f>
        <v>1</v>
      </c>
      <c r="AE663" s="66"/>
      <c r="AF663" s="66"/>
      <c r="AG663" s="66"/>
      <c r="AH663" s="66"/>
      <c r="AI663" s="66"/>
      <c r="AJ663" s="66">
        <v>1</v>
      </c>
      <c r="AK663" s="66"/>
      <c r="AL663" s="54">
        <f>IF((AC663-SUM(AE663:AK663))&lt;0,0,AC663-SUM(AE663:AK663))</f>
        <v>0</v>
      </c>
      <c r="AM663" s="69">
        <f>SUM(AN663:AT663)</f>
        <v>1</v>
      </c>
      <c r="AN663" s="60"/>
      <c r="AO663" s="52"/>
      <c r="AP663" s="52"/>
      <c r="AQ663" s="52"/>
      <c r="AR663" s="52"/>
      <c r="AS663" s="52">
        <v>1</v>
      </c>
      <c r="AT663" s="61"/>
      <c r="AU663" s="66">
        <f>MAX(0,$AM663-$AC663-$AW663)</f>
        <v>0</v>
      </c>
      <c r="AV663" s="54"/>
      <c r="AW663" s="54"/>
      <c r="AX663" s="65">
        <v>0</v>
      </c>
      <c r="AY663" s="57">
        <f>IF(AND($AU663&gt;0,ISNUMBER($AX663)),$AU663*$AX663,0)</f>
        <v>0</v>
      </c>
      <c r="AZ663" s="46"/>
      <c r="BA663" s="52"/>
      <c r="BB663" s="52"/>
      <c r="BC663" s="52"/>
      <c r="BD663" s="52"/>
      <c r="BE663" s="52"/>
      <c r="BF663" s="52"/>
    </row>
    <row r="664" spans="1:58" ht="15" customHeight="1">
      <c r="A664" s="46" t="s">
        <v>3802</v>
      </c>
      <c r="B664" s="81" t="s">
        <v>3803</v>
      </c>
      <c r="C664" s="54" t="s">
        <v>118</v>
      </c>
      <c r="D664" s="74">
        <v>6</v>
      </c>
      <c r="E664" s="50" t="s">
        <v>71</v>
      </c>
      <c r="F664" s="50"/>
      <c r="G664" s="50"/>
      <c r="H664" s="51"/>
      <c r="I664" s="50" t="s">
        <v>3804</v>
      </c>
      <c r="J664" s="54" t="s">
        <v>73</v>
      </c>
      <c r="K664" s="56" t="s">
        <v>129</v>
      </c>
      <c r="L664" s="56" t="s">
        <v>3805</v>
      </c>
      <c r="M664" s="56"/>
      <c r="N664" s="56"/>
      <c r="O664" s="54"/>
      <c r="P664" s="56" t="s">
        <v>185</v>
      </c>
      <c r="Q664" s="56" t="s">
        <v>2386</v>
      </c>
      <c r="R664" s="50"/>
      <c r="S664" s="50"/>
      <c r="T664" s="50"/>
      <c r="U664" s="50"/>
      <c r="V664" s="57">
        <v>0.34</v>
      </c>
      <c r="W664" s="68"/>
      <c r="X664" s="50"/>
      <c r="Y664" s="50"/>
      <c r="Z664" s="50"/>
      <c r="AA664" s="50"/>
      <c r="AB664" s="57"/>
      <c r="AC664" s="54">
        <v>1</v>
      </c>
      <c r="AD664" s="69">
        <f>SUM(AE664:AK664)</f>
        <v>1</v>
      </c>
      <c r="AE664" s="66"/>
      <c r="AF664" s="66"/>
      <c r="AG664" s="66"/>
      <c r="AH664" s="66"/>
      <c r="AI664" s="66">
        <v>1</v>
      </c>
      <c r="AJ664" s="66"/>
      <c r="AK664" s="66"/>
      <c r="AL664" s="54">
        <f>IF((AC664-SUM(AE664:AK664))&lt;0,0,AC664-SUM(AE664:AK664))</f>
        <v>0</v>
      </c>
      <c r="AM664" s="69">
        <f>SUM(AN664:AT664)</f>
        <v>0</v>
      </c>
      <c r="AN664" s="60"/>
      <c r="AO664" s="52"/>
      <c r="AP664" s="52"/>
      <c r="AQ664" s="52"/>
      <c r="AR664" s="52"/>
      <c r="AS664" s="52"/>
      <c r="AT664" s="61"/>
      <c r="AU664" s="66">
        <f>MAX(0,$AM664-$AC664-$AW664)</f>
        <v>0</v>
      </c>
      <c r="AV664" s="54"/>
      <c r="AW664" s="54"/>
      <c r="AX664" s="65">
        <v>0</v>
      </c>
      <c r="AY664" s="57">
        <f>IF(AND($AU664&gt;0,ISNUMBER($AX664)),$AU664*$AX664,0)</f>
        <v>0</v>
      </c>
      <c r="AZ664" s="46"/>
      <c r="BA664" s="52"/>
      <c r="BB664" s="52"/>
      <c r="BC664" s="52"/>
      <c r="BD664" s="52" t="s">
        <v>388</v>
      </c>
      <c r="BE664" s="52"/>
      <c r="BF664" s="52"/>
    </row>
    <row r="665" spans="1:58" ht="15" customHeight="1">
      <c r="A665" s="46" t="s">
        <v>3806</v>
      </c>
      <c r="B665" s="81" t="s">
        <v>3807</v>
      </c>
      <c r="C665" s="54" t="s">
        <v>232</v>
      </c>
      <c r="D665" s="74">
        <v>1</v>
      </c>
      <c r="E665" s="50" t="s">
        <v>233</v>
      </c>
      <c r="F665" s="50"/>
      <c r="G665" s="50"/>
      <c r="H665" s="51"/>
      <c r="I665" s="50" t="s">
        <v>3808</v>
      </c>
      <c r="J665" s="54" t="s">
        <v>73</v>
      </c>
      <c r="K665" s="56" t="s">
        <v>202</v>
      </c>
      <c r="L665" s="56" t="s">
        <v>3809</v>
      </c>
      <c r="M665" s="56"/>
      <c r="N665" s="56"/>
      <c r="O665" s="54"/>
      <c r="P665" s="56" t="s">
        <v>185</v>
      </c>
      <c r="Q665" s="56" t="s">
        <v>487</v>
      </c>
      <c r="R665" s="50"/>
      <c r="S665" s="50"/>
      <c r="T665" s="50"/>
      <c r="U665" s="50"/>
      <c r="V665" s="57">
        <v>0.33</v>
      </c>
      <c r="W665" s="68"/>
      <c r="X665" s="50"/>
      <c r="Y665" s="50"/>
      <c r="Z665" s="50"/>
      <c r="AA665" s="50"/>
      <c r="AB665" s="57"/>
      <c r="AC665" s="54">
        <v>1</v>
      </c>
      <c r="AD665" s="69">
        <f>SUM(AE665:AK665)</f>
        <v>0</v>
      </c>
      <c r="AE665" s="66"/>
      <c r="AF665" s="66"/>
      <c r="AG665" s="66"/>
      <c r="AH665" s="66"/>
      <c r="AI665" s="66"/>
      <c r="AJ665" s="66"/>
      <c r="AK665" s="66"/>
      <c r="AL665" s="54">
        <f>IF((AC665-SUM(AE665:AK665))&lt;0,0,AC665-SUM(AE665:AK665))</f>
        <v>1</v>
      </c>
      <c r="AM665" s="69">
        <f>SUM(AN665:AT665)</f>
        <v>0</v>
      </c>
      <c r="AN665" s="60"/>
      <c r="AO665" s="52"/>
      <c r="AP665" s="52"/>
      <c r="AQ665" s="52"/>
      <c r="AR665" s="52"/>
      <c r="AS665" s="52"/>
      <c r="AT665" s="61"/>
      <c r="AU665" s="66">
        <f>MAX(0,$AM665-$AC665-$AW665)</f>
        <v>0</v>
      </c>
      <c r="AV665" s="54"/>
      <c r="AW665" s="54"/>
      <c r="AX665" s="65">
        <v>0</v>
      </c>
      <c r="AY665" s="57">
        <f>IF(AND($AU665&gt;0,ISNUMBER($AX665)),$AU665*$AX665,0)</f>
        <v>0</v>
      </c>
      <c r="AZ665" s="46"/>
      <c r="BA665" s="52"/>
      <c r="BB665" s="52"/>
      <c r="BC665" s="52"/>
      <c r="BD665" s="52"/>
      <c r="BE665" s="52"/>
      <c r="BF665" s="52"/>
    </row>
    <row r="666" spans="1:58" ht="15" customHeight="1">
      <c r="A666" s="46" t="s">
        <v>3810</v>
      </c>
      <c r="B666" s="81" t="s">
        <v>3811</v>
      </c>
      <c r="C666" s="54" t="s">
        <v>118</v>
      </c>
      <c r="D666" s="74">
        <v>3</v>
      </c>
      <c r="E666" s="50" t="s">
        <v>71</v>
      </c>
      <c r="F666" s="50"/>
      <c r="G666" s="50"/>
      <c r="H666" s="51"/>
      <c r="I666" s="50" t="s">
        <v>3812</v>
      </c>
      <c r="J666" s="54" t="s">
        <v>73</v>
      </c>
      <c r="K666" s="56" t="s">
        <v>92</v>
      </c>
      <c r="L666" s="56" t="s">
        <v>3813</v>
      </c>
      <c r="M666" s="56"/>
      <c r="N666" s="56"/>
      <c r="O666" s="54"/>
      <c r="P666" s="56" t="s">
        <v>185</v>
      </c>
      <c r="Q666" s="56" t="s">
        <v>1970</v>
      </c>
      <c r="R666" s="50"/>
      <c r="S666" s="50"/>
      <c r="T666" s="50"/>
      <c r="U666" s="50"/>
      <c r="V666" s="57">
        <v>0.33</v>
      </c>
      <c r="W666" s="68"/>
      <c r="X666" s="50"/>
      <c r="Y666" s="50"/>
      <c r="Z666" s="50"/>
      <c r="AA666" s="50"/>
      <c r="AB666" s="57"/>
      <c r="AC666" s="54">
        <v>1</v>
      </c>
      <c r="AD666" s="69">
        <f>SUM(AE666:AK666)</f>
        <v>1</v>
      </c>
      <c r="AE666" s="66"/>
      <c r="AF666" s="66"/>
      <c r="AG666" s="66"/>
      <c r="AH666" s="66"/>
      <c r="AI666" s="66">
        <v>1</v>
      </c>
      <c r="AJ666" s="66"/>
      <c r="AK666" s="66"/>
      <c r="AL666" s="54">
        <f>IF((AC666-SUM(AE666:AK666))&lt;0,0,AC666-SUM(AE666:AK666))</f>
        <v>0</v>
      </c>
      <c r="AM666" s="69">
        <f>SUM(AN666:AT666)</f>
        <v>0</v>
      </c>
      <c r="AN666" s="60"/>
      <c r="AO666" s="52"/>
      <c r="AP666" s="52"/>
      <c r="AQ666" s="52"/>
      <c r="AR666" s="52"/>
      <c r="AS666" s="52"/>
      <c r="AT666" s="61"/>
      <c r="AU666" s="66">
        <f>MAX(0,$AM666-$AC666-$AW666)</f>
        <v>0</v>
      </c>
      <c r="AV666" s="54"/>
      <c r="AW666" s="54"/>
      <c r="AX666" s="65">
        <v>0</v>
      </c>
      <c r="AY666" s="57">
        <f>IF(AND($AU666&gt;0,ISNUMBER($AX666)),$AU666*$AX666,0)</f>
        <v>0</v>
      </c>
      <c r="AZ666" s="46"/>
      <c r="BA666" s="52"/>
      <c r="BB666" s="52"/>
      <c r="BC666" s="52"/>
      <c r="BD666" s="52" t="s">
        <v>529</v>
      </c>
      <c r="BE666" s="52"/>
      <c r="BF666" s="52"/>
    </row>
    <row r="667" spans="1:58" ht="15" customHeight="1">
      <c r="A667" s="46" t="s">
        <v>3814</v>
      </c>
      <c r="B667" s="82" t="s">
        <v>3815</v>
      </c>
      <c r="C667" s="52" t="s">
        <v>70</v>
      </c>
      <c r="D667" s="75">
        <v>1</v>
      </c>
      <c r="E667" s="46" t="s">
        <v>71</v>
      </c>
      <c r="F667" s="50"/>
      <c r="G667" s="50"/>
      <c r="H667" s="51"/>
      <c r="I667" s="50" t="s">
        <v>3816</v>
      </c>
      <c r="J667" s="52" t="s">
        <v>73</v>
      </c>
      <c r="K667" s="46" t="s">
        <v>864</v>
      </c>
      <c r="L667" s="50" t="s">
        <v>3817</v>
      </c>
      <c r="M667" s="50" t="s">
        <v>590</v>
      </c>
      <c r="N667" s="50"/>
      <c r="O667" s="54"/>
      <c r="P667" s="55" t="s">
        <v>185</v>
      </c>
      <c r="Q667" s="46" t="s">
        <v>669</v>
      </c>
      <c r="R667" s="75" t="s">
        <v>3818</v>
      </c>
      <c r="S667" s="75">
        <v>1</v>
      </c>
      <c r="T667" s="75">
        <v>0</v>
      </c>
      <c r="U667" s="56"/>
      <c r="V667" s="57">
        <v>0.33</v>
      </c>
      <c r="W667" s="68"/>
      <c r="X667" s="46"/>
      <c r="Y667" s="46"/>
      <c r="Z667" s="46"/>
      <c r="AA667" s="56"/>
      <c r="AB667" s="57"/>
      <c r="AC667" s="54">
        <v>1</v>
      </c>
      <c r="AD667" s="69">
        <f>SUM(AE667:AK667)</f>
        <v>0</v>
      </c>
      <c r="AE667" s="66"/>
      <c r="AF667" s="66"/>
      <c r="AG667" s="66"/>
      <c r="AH667" s="66"/>
      <c r="AI667" s="66"/>
      <c r="AJ667" s="66"/>
      <c r="AK667" s="66"/>
      <c r="AL667" s="54">
        <f>IF((AC667-SUM(AE667:AK667))&lt;0,0,AC667-SUM(AE667:AK667))</f>
        <v>1</v>
      </c>
      <c r="AM667" s="69">
        <f>SUM(AN667:AT667)</f>
        <v>0</v>
      </c>
      <c r="AN667" s="60"/>
      <c r="AO667" s="52"/>
      <c r="AP667" s="52"/>
      <c r="AQ667" s="52"/>
      <c r="AR667" s="52"/>
      <c r="AS667" s="52"/>
      <c r="AT667" s="61"/>
      <c r="AU667" s="66">
        <f>MAX(0,$AM667-$AC667-$AW667)</f>
        <v>0</v>
      </c>
      <c r="AV667" s="52"/>
      <c r="AW667" s="52"/>
      <c r="AX667" s="65">
        <v>0</v>
      </c>
      <c r="AY667" s="57">
        <f>IF(AND($AU667&gt;0,ISNUMBER($AX667)),$AU667*$AX667,0)</f>
        <v>0</v>
      </c>
      <c r="AZ667" s="46"/>
      <c r="BA667" s="52"/>
      <c r="BB667" s="52"/>
      <c r="BC667" s="52"/>
      <c r="BD667" s="52"/>
      <c r="BE667" s="52"/>
      <c r="BF667" s="52"/>
    </row>
    <row r="668" spans="1:58" ht="15" customHeight="1">
      <c r="A668" s="46" t="s">
        <v>1755</v>
      </c>
      <c r="B668" s="53" t="s">
        <v>3819</v>
      </c>
      <c r="C668" s="66" t="s">
        <v>232</v>
      </c>
      <c r="D668" s="67">
        <v>3</v>
      </c>
      <c r="E668" s="53" t="s">
        <v>81</v>
      </c>
      <c r="F668" s="50">
        <v>1</v>
      </c>
      <c r="G668" s="50">
        <v>2</v>
      </c>
      <c r="H668" s="51" t="s">
        <v>150</v>
      </c>
      <c r="I668" s="50" t="s">
        <v>3820</v>
      </c>
      <c r="J668" s="54" t="s">
        <v>73</v>
      </c>
      <c r="K668" s="53" t="s">
        <v>1752</v>
      </c>
      <c r="L668" s="53" t="s">
        <v>3821</v>
      </c>
      <c r="M668" s="53" t="s">
        <v>3822</v>
      </c>
      <c r="N668" s="53"/>
      <c r="O668" s="54"/>
      <c r="P668" s="55" t="s">
        <v>76</v>
      </c>
      <c r="Q668" s="53" t="s">
        <v>669</v>
      </c>
      <c r="R668" s="74" t="s">
        <v>3823</v>
      </c>
      <c r="S668" s="74">
        <v>1</v>
      </c>
      <c r="T668" s="74">
        <v>1</v>
      </c>
      <c r="U668" s="56" t="s">
        <v>786</v>
      </c>
      <c r="V668" s="57">
        <v>0.33</v>
      </c>
      <c r="W668" s="68"/>
      <c r="X668" s="46"/>
      <c r="Y668" s="50"/>
      <c r="Z668" s="50"/>
      <c r="AA668" s="56"/>
      <c r="AB668" s="57"/>
      <c r="AC668" s="54">
        <v>1</v>
      </c>
      <c r="AD668" s="69">
        <f>SUM(AE668:AK668)</f>
        <v>1</v>
      </c>
      <c r="AE668" s="66"/>
      <c r="AF668" s="66">
        <v>1</v>
      </c>
      <c r="AG668" s="66"/>
      <c r="AH668" s="66"/>
      <c r="AI668" s="66"/>
      <c r="AJ668" s="66"/>
      <c r="AK668" s="66"/>
      <c r="AL668" s="54">
        <f>IF((AC668-SUM(AE668:AK668))&lt;0,0,AC668-SUM(AE668:AK668))</f>
        <v>0</v>
      </c>
      <c r="AM668" s="69">
        <f>SUM(AN668:AT668)</f>
        <v>1</v>
      </c>
      <c r="AN668" s="60"/>
      <c r="AO668" s="52"/>
      <c r="AP668" s="52"/>
      <c r="AQ668" s="52"/>
      <c r="AR668" s="52"/>
      <c r="AS668" s="52"/>
      <c r="AT668" s="61">
        <v>1</v>
      </c>
      <c r="AU668" s="66">
        <f>MAX(0,$AM668-$AC668-$AW668)</f>
        <v>0</v>
      </c>
      <c r="AV668" s="66"/>
      <c r="AW668" s="66"/>
      <c r="AX668" s="65">
        <v>0</v>
      </c>
      <c r="AY668" s="65">
        <f>IF(AND($AU668&gt;0,ISNUMBER($AX668)),$AU668*$AX668,0)</f>
        <v>0</v>
      </c>
      <c r="AZ668" s="46"/>
      <c r="BA668" s="52" t="s">
        <v>209</v>
      </c>
      <c r="BB668" s="52"/>
      <c r="BC668" s="52"/>
      <c r="BD668" s="52"/>
      <c r="BE668" s="52"/>
      <c r="BF668" s="52"/>
    </row>
    <row r="669" spans="1:58" ht="15" customHeight="1">
      <c r="A669" s="46" t="s">
        <v>3824</v>
      </c>
      <c r="B669" s="53" t="s">
        <v>3825</v>
      </c>
      <c r="C669" s="66" t="s">
        <v>311</v>
      </c>
      <c r="D669" s="67">
        <v>0</v>
      </c>
      <c r="E669" s="53" t="s">
        <v>312</v>
      </c>
      <c r="F669" s="50"/>
      <c r="G669" s="50"/>
      <c r="H669" s="51"/>
      <c r="I669" s="50" t="s">
        <v>3826</v>
      </c>
      <c r="J669" s="54" t="s">
        <v>73</v>
      </c>
      <c r="K669" s="58" t="s">
        <v>312</v>
      </c>
      <c r="L669" s="58" t="s">
        <v>640</v>
      </c>
      <c r="M669" s="58" t="s">
        <v>3827</v>
      </c>
      <c r="N669" s="58"/>
      <c r="O669" s="54"/>
      <c r="P669" s="56" t="s">
        <v>86</v>
      </c>
      <c r="Q669" s="58" t="s">
        <v>229</v>
      </c>
      <c r="R669" s="50"/>
      <c r="S669" s="50"/>
      <c r="T669" s="50"/>
      <c r="U669" s="50"/>
      <c r="V669" s="57">
        <v>0.33</v>
      </c>
      <c r="W669" s="68"/>
      <c r="X669" s="50"/>
      <c r="Y669" s="50"/>
      <c r="Z669" s="50"/>
      <c r="AA669" s="50"/>
      <c r="AB669" s="57"/>
      <c r="AC669" s="54">
        <v>1</v>
      </c>
      <c r="AD669" s="69">
        <f>SUM(AE669:AK669)</f>
        <v>1</v>
      </c>
      <c r="AE669" s="66"/>
      <c r="AF669" s="66"/>
      <c r="AG669" s="66"/>
      <c r="AH669" s="66"/>
      <c r="AI669" s="66"/>
      <c r="AJ669" s="66">
        <v>1</v>
      </c>
      <c r="AK669" s="66"/>
      <c r="AL669" s="54">
        <f>IF((AC669-SUM(AE669:AK669))&lt;0,0,AC669-SUM(AE669:AK669))</f>
        <v>0</v>
      </c>
      <c r="AM669" s="69">
        <f>SUM(AN669:AT669)</f>
        <v>1</v>
      </c>
      <c r="AN669" s="60"/>
      <c r="AO669" s="52"/>
      <c r="AP669" s="52"/>
      <c r="AQ669" s="52"/>
      <c r="AR669" s="52"/>
      <c r="AS669" s="52">
        <v>1</v>
      </c>
      <c r="AT669" s="61"/>
      <c r="AU669" s="66">
        <f>MAX(0,$AM669-$AC669-$AW669)</f>
        <v>0</v>
      </c>
      <c r="AV669" s="66"/>
      <c r="AW669" s="66"/>
      <c r="AX669" s="65">
        <v>0</v>
      </c>
      <c r="AY669" s="65">
        <f>IF(AND($AU669&gt;0,ISNUMBER($AX669)),$AU669*$AX669,0)</f>
        <v>0</v>
      </c>
      <c r="AZ669" s="46"/>
      <c r="BA669" s="52"/>
      <c r="BB669" s="52"/>
      <c r="BC669" s="52"/>
      <c r="BD669" s="52"/>
      <c r="BE669" s="52"/>
      <c r="BF669" s="52"/>
    </row>
    <row r="670" spans="1:58" ht="15" customHeight="1">
      <c r="A670" s="46" t="s">
        <v>3828</v>
      </c>
      <c r="B670" s="53" t="s">
        <v>3829</v>
      </c>
      <c r="C670" s="66" t="s">
        <v>311</v>
      </c>
      <c r="D670" s="67">
        <v>0</v>
      </c>
      <c r="E670" s="53" t="s">
        <v>312</v>
      </c>
      <c r="F670" s="50"/>
      <c r="G670" s="50"/>
      <c r="H670" s="51"/>
      <c r="I670" s="50" t="s">
        <v>3830</v>
      </c>
      <c r="J670" s="54" t="s">
        <v>73</v>
      </c>
      <c r="K670" s="58" t="s">
        <v>312</v>
      </c>
      <c r="L670" s="58" t="s">
        <v>1050</v>
      </c>
      <c r="M670" s="58" t="s">
        <v>3831</v>
      </c>
      <c r="N670" s="58"/>
      <c r="O670" s="54"/>
      <c r="P670" s="56" t="s">
        <v>86</v>
      </c>
      <c r="Q670" s="58" t="s">
        <v>1360</v>
      </c>
      <c r="R670" s="54"/>
      <c r="S670" s="54"/>
      <c r="T670" s="54"/>
      <c r="U670" s="54"/>
      <c r="V670" s="57">
        <v>0.33</v>
      </c>
      <c r="W670" s="68"/>
      <c r="X670" s="54"/>
      <c r="Y670" s="54"/>
      <c r="Z670" s="54"/>
      <c r="AA670" s="54"/>
      <c r="AB670" s="57"/>
      <c r="AC670" s="54">
        <v>1</v>
      </c>
      <c r="AD670" s="69">
        <f>SUM(AE670:AK670)</f>
        <v>1</v>
      </c>
      <c r="AE670" s="66"/>
      <c r="AF670" s="66">
        <v>1</v>
      </c>
      <c r="AG670" s="66"/>
      <c r="AH670" s="66"/>
      <c r="AI670" s="66"/>
      <c r="AJ670" s="66"/>
      <c r="AK670" s="66"/>
      <c r="AL670" s="54">
        <f>IF((AC670-SUM(AE670:AK670))&lt;0,0,AC670-SUM(AE670:AK670))</f>
        <v>0</v>
      </c>
      <c r="AM670" s="69">
        <f>SUM(AN670:AT670)</f>
        <v>1</v>
      </c>
      <c r="AN670" s="60"/>
      <c r="AO670" s="52">
        <v>1</v>
      </c>
      <c r="AP670" s="52"/>
      <c r="AQ670" s="52"/>
      <c r="AR670" s="52"/>
      <c r="AS670" s="52"/>
      <c r="AT670" s="61"/>
      <c r="AU670" s="66">
        <f>MAX(0,$AM670-$AC670-$AW670)</f>
        <v>0</v>
      </c>
      <c r="AV670" s="66"/>
      <c r="AW670" s="66"/>
      <c r="AX670" s="65">
        <v>0</v>
      </c>
      <c r="AY670" s="65">
        <f>IF(AND($AU670&gt;0,ISNUMBER($AX670)),$AU670*$AX670,0)</f>
        <v>0</v>
      </c>
      <c r="AZ670" s="46"/>
      <c r="BA670" s="52"/>
      <c r="BB670" s="52"/>
      <c r="BC670" s="52"/>
      <c r="BD670" s="52"/>
      <c r="BE670" s="52"/>
      <c r="BF670" s="52"/>
    </row>
    <row r="671" spans="1:58" ht="15" customHeight="1">
      <c r="A671" s="46" t="s">
        <v>853</v>
      </c>
      <c r="B671" s="53" t="s">
        <v>3832</v>
      </c>
      <c r="C671" s="66" t="s">
        <v>101</v>
      </c>
      <c r="D671" s="67">
        <v>1</v>
      </c>
      <c r="E671" s="53" t="s">
        <v>81</v>
      </c>
      <c r="F671" s="50">
        <v>1</v>
      </c>
      <c r="G671" s="50">
        <v>1</v>
      </c>
      <c r="H671" s="51" t="s">
        <v>102</v>
      </c>
      <c r="I671" s="50" t="s">
        <v>3833</v>
      </c>
      <c r="J671" s="54" t="s">
        <v>73</v>
      </c>
      <c r="K671" s="58" t="s">
        <v>104</v>
      </c>
      <c r="L671" s="58" t="s">
        <v>3834</v>
      </c>
      <c r="M671" s="58"/>
      <c r="N671" s="58"/>
      <c r="O671" s="54"/>
      <c r="P671" s="56" t="s">
        <v>76</v>
      </c>
      <c r="Q671" s="58" t="s">
        <v>452</v>
      </c>
      <c r="R671" s="50"/>
      <c r="S671" s="50"/>
      <c r="T671" s="50"/>
      <c r="U671" s="50"/>
      <c r="V671" s="57">
        <v>0.33</v>
      </c>
      <c r="W671" s="68"/>
      <c r="X671" s="50"/>
      <c r="Y671" s="50"/>
      <c r="Z671" s="50"/>
      <c r="AA671" s="50"/>
      <c r="AB671" s="57"/>
      <c r="AC671" s="54">
        <v>1</v>
      </c>
      <c r="AD671" s="69">
        <f>SUM(AE671:AK671)</f>
        <v>1</v>
      </c>
      <c r="AE671" s="66"/>
      <c r="AF671" s="66">
        <v>1</v>
      </c>
      <c r="AG671" s="66"/>
      <c r="AH671" s="66"/>
      <c r="AI671" s="66"/>
      <c r="AJ671" s="66"/>
      <c r="AK671" s="66"/>
      <c r="AL671" s="54">
        <f>IF((AC671-SUM(AE671:AK671))&lt;0,0,AC671-SUM(AE671:AK671))</f>
        <v>0</v>
      </c>
      <c r="AM671" s="69">
        <f>SUM(AN671:AT671)</f>
        <v>1</v>
      </c>
      <c r="AN671" s="60"/>
      <c r="AO671" s="52"/>
      <c r="AP671" s="52"/>
      <c r="AQ671" s="52"/>
      <c r="AR671" s="52"/>
      <c r="AS671" s="52"/>
      <c r="AT671" s="61">
        <v>1</v>
      </c>
      <c r="AU671" s="66">
        <f>MAX(0,$AM671-$AC671-$AW671)</f>
        <v>0</v>
      </c>
      <c r="AV671" s="66"/>
      <c r="AW671" s="66"/>
      <c r="AX671" s="65">
        <v>0</v>
      </c>
      <c r="AY671" s="65">
        <f>IF(AND($AU671&gt;0,ISNUMBER($AX671)),$AU671*$AX671,0)</f>
        <v>0</v>
      </c>
      <c r="AZ671" s="46"/>
      <c r="BA671" s="52" t="s">
        <v>219</v>
      </c>
      <c r="BB671" s="52"/>
      <c r="BC671" s="52"/>
      <c r="BD671" s="52"/>
      <c r="BE671" s="52"/>
      <c r="BF671" s="52"/>
    </row>
    <row r="672" spans="1:58" ht="15" customHeight="1">
      <c r="A672" s="46" t="s">
        <v>3835</v>
      </c>
      <c r="B672" s="53" t="s">
        <v>3836</v>
      </c>
      <c r="C672" s="66" t="s">
        <v>118</v>
      </c>
      <c r="D672" s="67">
        <v>3</v>
      </c>
      <c r="E672" s="53" t="s">
        <v>384</v>
      </c>
      <c r="F672" s="50"/>
      <c r="G672" s="50"/>
      <c r="H672" s="51"/>
      <c r="I672" s="50" t="s">
        <v>3837</v>
      </c>
      <c r="J672" s="54" t="s">
        <v>73</v>
      </c>
      <c r="K672" s="53" t="s">
        <v>135</v>
      </c>
      <c r="L672" s="53" t="s">
        <v>3838</v>
      </c>
      <c r="M672" s="53"/>
      <c r="N672" s="53"/>
      <c r="O672" s="54"/>
      <c r="P672" s="56" t="s">
        <v>76</v>
      </c>
      <c r="Q672" s="53" t="s">
        <v>691</v>
      </c>
      <c r="R672" s="50" t="s">
        <v>3839</v>
      </c>
      <c r="S672" s="50">
        <v>1</v>
      </c>
      <c r="T672" s="50">
        <v>1</v>
      </c>
      <c r="U672" s="56" t="s">
        <v>2609</v>
      </c>
      <c r="V672" s="57">
        <v>0.33</v>
      </c>
      <c r="W672" s="56"/>
      <c r="X672" s="50"/>
      <c r="Y672" s="50"/>
      <c r="Z672" s="50"/>
      <c r="AA672" s="56"/>
      <c r="AB672" s="57"/>
      <c r="AC672" s="54">
        <v>1</v>
      </c>
      <c r="AD672" s="69">
        <f>SUM(AE672:AK672)</f>
        <v>0</v>
      </c>
      <c r="AE672" s="66"/>
      <c r="AF672" s="66"/>
      <c r="AG672" s="66"/>
      <c r="AH672" s="66"/>
      <c r="AI672" s="66"/>
      <c r="AJ672" s="66"/>
      <c r="AK672" s="66"/>
      <c r="AL672" s="54">
        <f>IF((AC672-SUM(AE672:AK672))&lt;0,0,AC672-SUM(AE672:AK672))</f>
        <v>1</v>
      </c>
      <c r="AM672" s="69">
        <f>SUM(AN672:AT672)</f>
        <v>0</v>
      </c>
      <c r="AN672" s="60"/>
      <c r="AO672" s="52"/>
      <c r="AP672" s="52"/>
      <c r="AQ672" s="52"/>
      <c r="AR672" s="52"/>
      <c r="AS672" s="52"/>
      <c r="AT672" s="61"/>
      <c r="AU672" s="66">
        <f>MAX(0,$AM672-$AC672-$AW672)</f>
        <v>0</v>
      </c>
      <c r="AV672" s="66"/>
      <c r="AW672" s="66"/>
      <c r="AX672" s="65">
        <v>0</v>
      </c>
      <c r="AY672" s="65">
        <f>IF(AND($AU672&gt;0,ISNUMBER($AX672)),$AU672*$AX672,0)</f>
        <v>0</v>
      </c>
      <c r="AZ672" s="46"/>
      <c r="BA672" s="52"/>
      <c r="BB672" s="52"/>
      <c r="BC672" s="52"/>
      <c r="BD672" s="52"/>
      <c r="BE672" s="52"/>
      <c r="BF672" s="52"/>
    </row>
    <row r="673" spans="1:58" ht="15" customHeight="1">
      <c r="A673" s="46" t="s">
        <v>3840</v>
      </c>
      <c r="B673" s="53" t="s">
        <v>3841</v>
      </c>
      <c r="C673" s="66" t="s">
        <v>70</v>
      </c>
      <c r="D673" s="67">
        <v>1</v>
      </c>
      <c r="E673" s="53" t="s">
        <v>71</v>
      </c>
      <c r="F673" s="50"/>
      <c r="G673" s="50"/>
      <c r="H673" s="51"/>
      <c r="I673" s="50" t="s">
        <v>3842</v>
      </c>
      <c r="J673" s="54" t="s">
        <v>73</v>
      </c>
      <c r="K673" s="58" t="s">
        <v>129</v>
      </c>
      <c r="L673" s="58" t="s">
        <v>3843</v>
      </c>
      <c r="M673" s="58" t="s">
        <v>3844</v>
      </c>
      <c r="N673" s="58"/>
      <c r="O673" s="54"/>
      <c r="P673" s="56" t="s">
        <v>86</v>
      </c>
      <c r="Q673" s="58" t="s">
        <v>1379</v>
      </c>
      <c r="R673" s="50"/>
      <c r="S673" s="50"/>
      <c r="T673" s="50"/>
      <c r="U673" s="56"/>
      <c r="V673" s="57">
        <v>0.33</v>
      </c>
      <c r="W673" s="68"/>
      <c r="X673" s="50"/>
      <c r="Y673" s="50"/>
      <c r="Z673" s="50"/>
      <c r="AA673" s="56"/>
      <c r="AB673" s="57"/>
      <c r="AC673" s="54">
        <v>1</v>
      </c>
      <c r="AD673" s="69">
        <f>SUM(AE673:AK673)</f>
        <v>0</v>
      </c>
      <c r="AE673" s="66"/>
      <c r="AF673" s="66"/>
      <c r="AG673" s="66"/>
      <c r="AH673" s="66"/>
      <c r="AI673" s="66"/>
      <c r="AJ673" s="66"/>
      <c r="AK673" s="66"/>
      <c r="AL673" s="54">
        <f>IF((AC673-SUM(AE673:AK673))&lt;0,0,AC673-SUM(AE673:AK673))</f>
        <v>1</v>
      </c>
      <c r="AM673" s="69">
        <f>SUM(AN673:AT673)</f>
        <v>0</v>
      </c>
      <c r="AN673" s="60"/>
      <c r="AO673" s="52"/>
      <c r="AP673" s="52"/>
      <c r="AQ673" s="52"/>
      <c r="AR673" s="52"/>
      <c r="AS673" s="52"/>
      <c r="AT673" s="61"/>
      <c r="AU673" s="66">
        <f>MAX(0,$AM673-$AC673-$AW673)</f>
        <v>0</v>
      </c>
      <c r="AV673" s="66"/>
      <c r="AW673" s="66"/>
      <c r="AX673" s="65">
        <v>0</v>
      </c>
      <c r="AY673" s="65">
        <f>IF(AND($AU673&gt;0,ISNUMBER($AX673)),$AU673*$AX673,0)</f>
        <v>0</v>
      </c>
      <c r="AZ673" s="46"/>
      <c r="BA673" s="52"/>
      <c r="BB673" s="52"/>
      <c r="BC673" s="52"/>
      <c r="BD673" s="52"/>
      <c r="BE673" s="52"/>
      <c r="BF673" s="52"/>
    </row>
    <row r="674" spans="1:58" ht="15" customHeight="1">
      <c r="A674" s="46" t="s">
        <v>3845</v>
      </c>
      <c r="B674" s="53" t="s">
        <v>3846</v>
      </c>
      <c r="C674" s="66" t="s">
        <v>80</v>
      </c>
      <c r="D674" s="67">
        <v>3</v>
      </c>
      <c r="E674" s="53" t="s">
        <v>81</v>
      </c>
      <c r="F674" s="50">
        <v>2</v>
      </c>
      <c r="G674" s="50">
        <v>3</v>
      </c>
      <c r="H674" s="51" t="s">
        <v>1491</v>
      </c>
      <c r="I674" s="50" t="s">
        <v>3847</v>
      </c>
      <c r="J674" s="54" t="s">
        <v>73</v>
      </c>
      <c r="K674" s="58" t="s">
        <v>2664</v>
      </c>
      <c r="L674" s="58" t="s">
        <v>3848</v>
      </c>
      <c r="M674" s="58" t="s">
        <v>3849</v>
      </c>
      <c r="N674" s="58"/>
      <c r="O674" s="54"/>
      <c r="P674" s="56" t="s">
        <v>185</v>
      </c>
      <c r="Q674" s="58" t="s">
        <v>2507</v>
      </c>
      <c r="R674" s="50"/>
      <c r="S674" s="50"/>
      <c r="T674" s="50"/>
      <c r="U674" s="56"/>
      <c r="V674" s="57">
        <v>0.33</v>
      </c>
      <c r="W674" s="68"/>
      <c r="X674" s="50"/>
      <c r="Y674" s="50"/>
      <c r="Z674" s="50"/>
      <c r="AA674" s="56"/>
      <c r="AB674" s="57"/>
      <c r="AC674" s="54">
        <v>1</v>
      </c>
      <c r="AD674" s="69">
        <f>SUM(AE674:AK674)</f>
        <v>0</v>
      </c>
      <c r="AE674" s="66"/>
      <c r="AF674" s="66"/>
      <c r="AG674" s="66"/>
      <c r="AH674" s="66"/>
      <c r="AI674" s="66"/>
      <c r="AJ674" s="66"/>
      <c r="AK674" s="66"/>
      <c r="AL674" s="54">
        <f>IF((AC674-SUM(AE674:AK674))&lt;0,0,AC674-SUM(AE674:AK674))</f>
        <v>1</v>
      </c>
      <c r="AM674" s="69">
        <f>SUM(AN674:AT674)</f>
        <v>0</v>
      </c>
      <c r="AN674" s="60"/>
      <c r="AO674" s="52"/>
      <c r="AP674" s="52"/>
      <c r="AQ674" s="52"/>
      <c r="AR674" s="52"/>
      <c r="AS674" s="52"/>
      <c r="AT674" s="61"/>
      <c r="AU674" s="66">
        <f>MAX(0,$AM674-$AC674-$AW674)</f>
        <v>0</v>
      </c>
      <c r="AV674" s="66"/>
      <c r="AW674" s="66"/>
      <c r="AX674" s="65">
        <v>0</v>
      </c>
      <c r="AY674" s="65">
        <f>IF(AND($AU674&gt;0,ISNUMBER($AX674)),$AU674*$AX674,0)</f>
        <v>0</v>
      </c>
      <c r="AZ674" s="46"/>
      <c r="BA674" s="52"/>
      <c r="BB674" s="52"/>
      <c r="BC674" s="52"/>
      <c r="BD674" s="52"/>
      <c r="BE674" s="52"/>
      <c r="BF674" s="52"/>
    </row>
    <row r="675" spans="1:58" ht="15" customHeight="1">
      <c r="A675" s="46" t="s">
        <v>3850</v>
      </c>
      <c r="B675" s="53" t="s">
        <v>3851</v>
      </c>
      <c r="C675" s="66" t="s">
        <v>101</v>
      </c>
      <c r="D675" s="67">
        <v>3</v>
      </c>
      <c r="E675" s="53" t="s">
        <v>81</v>
      </c>
      <c r="F675" s="50">
        <v>2</v>
      </c>
      <c r="G675" s="50">
        <v>1</v>
      </c>
      <c r="H675" s="51" t="s">
        <v>3852</v>
      </c>
      <c r="I675" s="50" t="s">
        <v>3853</v>
      </c>
      <c r="J675" s="54" t="s">
        <v>73</v>
      </c>
      <c r="K675" s="58" t="s">
        <v>726</v>
      </c>
      <c r="L675" s="58" t="s">
        <v>3854</v>
      </c>
      <c r="M675" s="58"/>
      <c r="N675" s="58"/>
      <c r="O675" s="54"/>
      <c r="P675" s="56" t="s">
        <v>185</v>
      </c>
      <c r="Q675" s="58" t="s">
        <v>1107</v>
      </c>
      <c r="R675" s="54"/>
      <c r="S675" s="54"/>
      <c r="T675" s="54"/>
      <c r="U675" s="54"/>
      <c r="V675" s="57">
        <v>0.32</v>
      </c>
      <c r="W675" s="68"/>
      <c r="X675" s="54"/>
      <c r="Y675" s="54"/>
      <c r="Z675" s="54"/>
      <c r="AA675" s="54"/>
      <c r="AB675" s="57"/>
      <c r="AC675" s="54">
        <v>1</v>
      </c>
      <c r="AD675" s="69">
        <f>SUM(AE675:AK675)</f>
        <v>1</v>
      </c>
      <c r="AE675" s="66"/>
      <c r="AF675" s="66">
        <v>1</v>
      </c>
      <c r="AG675" s="66"/>
      <c r="AH675" s="66"/>
      <c r="AI675" s="66"/>
      <c r="AJ675" s="66"/>
      <c r="AK675" s="66"/>
      <c r="AL675" s="54">
        <f>IF((AC675-SUM(AE675:AK675))&lt;0,0,AC675-SUM(AE675:AK675))</f>
        <v>0</v>
      </c>
      <c r="AM675" s="69">
        <f>SUM(AN675:AT675)</f>
        <v>1</v>
      </c>
      <c r="AN675" s="60"/>
      <c r="AO675" s="52">
        <v>1</v>
      </c>
      <c r="AP675" s="52"/>
      <c r="AQ675" s="52"/>
      <c r="AR675" s="52"/>
      <c r="AS675" s="52"/>
      <c r="AT675" s="61"/>
      <c r="AU675" s="66">
        <f>MAX(0,$AM675-$AC675-$AW675)</f>
        <v>0</v>
      </c>
      <c r="AV675" s="66"/>
      <c r="AW675" s="66"/>
      <c r="AX675" s="65">
        <v>0</v>
      </c>
      <c r="AY675" s="65">
        <f>IF(AND($AU675&gt;0,ISNUMBER($AX675)),$AU675*$AX675,0)</f>
        <v>0</v>
      </c>
      <c r="AZ675" s="46"/>
      <c r="BA675" s="52"/>
      <c r="BB675" s="52"/>
      <c r="BC675" s="52"/>
      <c r="BD675" s="52"/>
      <c r="BE675" s="52"/>
      <c r="BF675" s="52"/>
    </row>
    <row r="676" spans="1:58" ht="15" customHeight="1">
      <c r="A676" s="46" t="s">
        <v>3855</v>
      </c>
      <c r="B676" s="53" t="s">
        <v>3856</v>
      </c>
      <c r="C676" s="66" t="s">
        <v>118</v>
      </c>
      <c r="D676" s="67">
        <v>3</v>
      </c>
      <c r="E676" s="53" t="s">
        <v>71</v>
      </c>
      <c r="F676" s="50"/>
      <c r="G676" s="50"/>
      <c r="H676" s="51"/>
      <c r="I676" s="50" t="s">
        <v>3857</v>
      </c>
      <c r="J676" s="54" t="s">
        <v>73</v>
      </c>
      <c r="K676" s="58" t="s">
        <v>424</v>
      </c>
      <c r="L676" s="58" t="s">
        <v>3858</v>
      </c>
      <c r="M676" s="58"/>
      <c r="N676" s="58"/>
      <c r="O676" s="54"/>
      <c r="P676" s="56" t="s">
        <v>185</v>
      </c>
      <c r="Q676" s="58" t="s">
        <v>1405</v>
      </c>
      <c r="R676" s="50"/>
      <c r="S676" s="50"/>
      <c r="T676" s="50"/>
      <c r="U676" s="50"/>
      <c r="V676" s="57">
        <v>0.32</v>
      </c>
      <c r="W676" s="68"/>
      <c r="X676" s="50"/>
      <c r="Y676" s="50"/>
      <c r="Z676" s="50"/>
      <c r="AA676" s="50"/>
      <c r="AB676" s="57"/>
      <c r="AC676" s="54">
        <v>1</v>
      </c>
      <c r="AD676" s="69">
        <f>SUM(AE676:AK676)</f>
        <v>1</v>
      </c>
      <c r="AE676" s="66"/>
      <c r="AF676" s="66"/>
      <c r="AG676" s="66"/>
      <c r="AH676" s="66">
        <v>1</v>
      </c>
      <c r="AI676" s="66"/>
      <c r="AJ676" s="66"/>
      <c r="AK676" s="66"/>
      <c r="AL676" s="54">
        <f>IF((AC676-SUM(AE676:AK676))&lt;0,0,AC676-SUM(AE676:AK676))</f>
        <v>0</v>
      </c>
      <c r="AM676" s="69">
        <f>SUM(AN676:AT676)</f>
        <v>1</v>
      </c>
      <c r="AN676" s="60"/>
      <c r="AO676" s="52"/>
      <c r="AP676" s="52"/>
      <c r="AQ676" s="52">
        <v>1</v>
      </c>
      <c r="AR676" s="52"/>
      <c r="AS676" s="52"/>
      <c r="AT676" s="61"/>
      <c r="AU676" s="66">
        <f>MAX(0,$AM676-$AC676-$AW676)</f>
        <v>0</v>
      </c>
      <c r="AV676" s="66"/>
      <c r="AW676" s="66"/>
      <c r="AX676" s="65">
        <v>0</v>
      </c>
      <c r="AY676" s="65">
        <f>IF(AND($AU676&gt;0,ISNUMBER($AX676)),$AU676*$AX676,0)</f>
        <v>0</v>
      </c>
      <c r="AZ676" s="46"/>
      <c r="BA676" s="52"/>
      <c r="BB676" s="52"/>
      <c r="BC676" s="52"/>
      <c r="BD676" s="52"/>
      <c r="BE676" s="52"/>
      <c r="BF676" s="52"/>
    </row>
    <row r="677" spans="1:58" ht="15" customHeight="1">
      <c r="A677" s="46" t="s">
        <v>3859</v>
      </c>
      <c r="B677" s="53" t="s">
        <v>3860</v>
      </c>
      <c r="C677" s="66" t="s">
        <v>118</v>
      </c>
      <c r="D677" s="67">
        <v>6</v>
      </c>
      <c r="E677" s="53" t="s">
        <v>71</v>
      </c>
      <c r="F677" s="50"/>
      <c r="G677" s="50"/>
      <c r="H677" s="51"/>
      <c r="I677" s="50" t="s">
        <v>3861</v>
      </c>
      <c r="J677" s="54" t="s">
        <v>73</v>
      </c>
      <c r="K677" s="58" t="s">
        <v>424</v>
      </c>
      <c r="L677" s="58" t="s">
        <v>3862</v>
      </c>
      <c r="M677" s="58" t="s">
        <v>1653</v>
      </c>
      <c r="N677" s="58"/>
      <c r="O677" s="54"/>
      <c r="P677" s="56" t="s">
        <v>86</v>
      </c>
      <c r="Q677" s="58" t="s">
        <v>669</v>
      </c>
      <c r="R677" s="54"/>
      <c r="S677" s="54"/>
      <c r="T677" s="54"/>
      <c r="U677" s="54"/>
      <c r="V677" s="57">
        <v>0.32</v>
      </c>
      <c r="W677" s="68"/>
      <c r="X677" s="54"/>
      <c r="Y677" s="54"/>
      <c r="Z677" s="54"/>
      <c r="AA677" s="54"/>
      <c r="AB677" s="57"/>
      <c r="AC677" s="54">
        <v>1</v>
      </c>
      <c r="AD677" s="69">
        <f>SUM(AE677:AK677)</f>
        <v>0</v>
      </c>
      <c r="AE677" s="66"/>
      <c r="AF677" s="66"/>
      <c r="AG677" s="66"/>
      <c r="AH677" s="66"/>
      <c r="AI677" s="66"/>
      <c r="AJ677" s="66"/>
      <c r="AK677" s="66"/>
      <c r="AL677" s="54">
        <f>IF((AC677-SUM(AE677:AK677))&lt;0,0,AC677-SUM(AE677:AK677))</f>
        <v>1</v>
      </c>
      <c r="AM677" s="69">
        <f>SUM(AN677:AT677)</f>
        <v>0</v>
      </c>
      <c r="AN677" s="60"/>
      <c r="AO677" s="52"/>
      <c r="AP677" s="52"/>
      <c r="AQ677" s="52"/>
      <c r="AR677" s="52"/>
      <c r="AS677" s="52"/>
      <c r="AT677" s="61"/>
      <c r="AU677" s="66">
        <f>MAX(0,$AM677-$AC677-$AW677)</f>
        <v>0</v>
      </c>
      <c r="AV677" s="66"/>
      <c r="AW677" s="66"/>
      <c r="AX677" s="65">
        <v>0</v>
      </c>
      <c r="AY677" s="65">
        <f>IF(AND($AU677&gt;0,ISNUMBER($AX677)),$AU677*$AX677,0)</f>
        <v>0</v>
      </c>
      <c r="AZ677" s="46"/>
      <c r="BA677" s="52"/>
      <c r="BB677" s="52"/>
      <c r="BC677" s="52"/>
      <c r="BD677" s="52"/>
      <c r="BE677" s="52"/>
      <c r="BF677" s="52"/>
    </row>
    <row r="678" spans="1:58" ht="15" customHeight="1">
      <c r="A678" s="46" t="s">
        <v>3863</v>
      </c>
      <c r="B678" s="53" t="s">
        <v>3864</v>
      </c>
      <c r="C678" s="66" t="s">
        <v>70</v>
      </c>
      <c r="D678" s="67">
        <v>3</v>
      </c>
      <c r="E678" s="53" t="s">
        <v>384</v>
      </c>
      <c r="F678" s="50"/>
      <c r="G678" s="50"/>
      <c r="H678" s="51"/>
      <c r="I678" s="50" t="s">
        <v>3865</v>
      </c>
      <c r="J678" s="54" t="s">
        <v>73</v>
      </c>
      <c r="K678" s="58" t="s">
        <v>386</v>
      </c>
      <c r="L678" s="58" t="s">
        <v>3866</v>
      </c>
      <c r="M678" s="58"/>
      <c r="N678" s="58"/>
      <c r="O678" s="54"/>
      <c r="P678" s="56" t="s">
        <v>76</v>
      </c>
      <c r="Q678" s="58" t="s">
        <v>466</v>
      </c>
      <c r="R678" s="50"/>
      <c r="S678" s="50"/>
      <c r="T678" s="50"/>
      <c r="U678" s="50"/>
      <c r="V678" s="57">
        <v>0.32</v>
      </c>
      <c r="W678" s="68"/>
      <c r="X678" s="50"/>
      <c r="Y678" s="50"/>
      <c r="Z678" s="50"/>
      <c r="AA678" s="50"/>
      <c r="AB678" s="57"/>
      <c r="AC678" s="54">
        <v>1</v>
      </c>
      <c r="AD678" s="69">
        <f>SUM(AE678:AK678)</f>
        <v>0</v>
      </c>
      <c r="AE678" s="66"/>
      <c r="AF678" s="66"/>
      <c r="AG678" s="66"/>
      <c r="AH678" s="66"/>
      <c r="AI678" s="66"/>
      <c r="AJ678" s="66"/>
      <c r="AK678" s="66"/>
      <c r="AL678" s="54">
        <f>IF((AC678-SUM(AE678:AK678))&lt;0,0,AC678-SUM(AE678:AK678))</f>
        <v>1</v>
      </c>
      <c r="AM678" s="69">
        <f>SUM(AN678:AT678)</f>
        <v>0</v>
      </c>
      <c r="AN678" s="60"/>
      <c r="AO678" s="52"/>
      <c r="AP678" s="52"/>
      <c r="AQ678" s="52"/>
      <c r="AR678" s="52"/>
      <c r="AS678" s="52"/>
      <c r="AT678" s="61"/>
      <c r="AU678" s="66">
        <f>MAX(0,$AM678-$AC678-$AW678)</f>
        <v>0</v>
      </c>
      <c r="AV678" s="66"/>
      <c r="AW678" s="66"/>
      <c r="AX678" s="65">
        <v>0</v>
      </c>
      <c r="AY678" s="65">
        <f>IF(AND($AU678&gt;0,ISNUMBER($AX678)),$AU678*$AX678,0)</f>
        <v>0</v>
      </c>
      <c r="AZ678" s="46"/>
      <c r="BA678" s="52"/>
      <c r="BB678" s="52"/>
      <c r="BC678" s="52"/>
      <c r="BD678" s="52"/>
      <c r="BE678" s="52"/>
      <c r="BF678" s="52"/>
    </row>
    <row r="679" spans="1:58" ht="15" customHeight="1">
      <c r="A679" s="46" t="s">
        <v>3867</v>
      </c>
      <c r="B679" s="53" t="s">
        <v>3868</v>
      </c>
      <c r="C679" s="66" t="s">
        <v>101</v>
      </c>
      <c r="D679" s="67">
        <v>3</v>
      </c>
      <c r="E679" s="53" t="s">
        <v>81</v>
      </c>
      <c r="F679" s="50">
        <v>2</v>
      </c>
      <c r="G679" s="50">
        <v>5</v>
      </c>
      <c r="H679" s="51" t="s">
        <v>1977</v>
      </c>
      <c r="I679" s="50" t="s">
        <v>3869</v>
      </c>
      <c r="J679" s="54" t="s">
        <v>73</v>
      </c>
      <c r="K679" s="58" t="s">
        <v>92</v>
      </c>
      <c r="L679" s="58" t="s">
        <v>430</v>
      </c>
      <c r="M679" s="58" t="s">
        <v>431</v>
      </c>
      <c r="N679" s="58"/>
      <c r="O679" s="54"/>
      <c r="P679" s="56" t="s">
        <v>185</v>
      </c>
      <c r="Q679" s="58" t="s">
        <v>487</v>
      </c>
      <c r="R679" s="50"/>
      <c r="S679" s="50"/>
      <c r="T679" s="50"/>
      <c r="U679" s="50"/>
      <c r="V679" s="57">
        <v>0.32</v>
      </c>
      <c r="W679" s="68"/>
      <c r="X679" s="50"/>
      <c r="Y679" s="50"/>
      <c r="Z679" s="50"/>
      <c r="AA679" s="50"/>
      <c r="AB679" s="57"/>
      <c r="AC679" s="54">
        <v>1</v>
      </c>
      <c r="AD679" s="69">
        <f>SUM(AE679:AK679)</f>
        <v>1</v>
      </c>
      <c r="AE679" s="66"/>
      <c r="AF679" s="66"/>
      <c r="AG679" s="66"/>
      <c r="AH679" s="66">
        <v>1</v>
      </c>
      <c r="AI679" s="66"/>
      <c r="AJ679" s="66"/>
      <c r="AK679" s="66"/>
      <c r="AL679" s="54">
        <f>IF((AC679-SUM(AE679:AK679))&lt;0,0,AC679-SUM(AE679:AK679))</f>
        <v>0</v>
      </c>
      <c r="AM679" s="69">
        <f>SUM(AN679:AT679)</f>
        <v>1</v>
      </c>
      <c r="AN679" s="60"/>
      <c r="AO679" s="52"/>
      <c r="AP679" s="52"/>
      <c r="AQ679" s="52">
        <v>1</v>
      </c>
      <c r="AR679" s="52"/>
      <c r="AS679" s="52"/>
      <c r="AT679" s="61"/>
      <c r="AU679" s="66">
        <f>MAX(0,$AM679-$AC679-$AW679)</f>
        <v>0</v>
      </c>
      <c r="AV679" s="66"/>
      <c r="AW679" s="66"/>
      <c r="AX679" s="65">
        <v>0</v>
      </c>
      <c r="AY679" s="65">
        <f>IF(AND($AU679&gt;0,ISNUMBER($AX679)),$AU679*$AX679,0)</f>
        <v>0</v>
      </c>
      <c r="AZ679" s="46"/>
      <c r="BA679" s="52"/>
      <c r="BB679" s="52"/>
      <c r="BC679" s="52"/>
      <c r="BD679" s="52"/>
      <c r="BE679" s="52"/>
      <c r="BF679" s="52"/>
    </row>
    <row r="680" spans="1:58" ht="15" customHeight="1">
      <c r="A680" s="46" t="s">
        <v>3870</v>
      </c>
      <c r="B680" s="53" t="s">
        <v>3871</v>
      </c>
      <c r="C680" s="66" t="s">
        <v>311</v>
      </c>
      <c r="D680" s="67">
        <v>0</v>
      </c>
      <c r="E680" s="53" t="s">
        <v>312</v>
      </c>
      <c r="F680" s="50"/>
      <c r="G680" s="50"/>
      <c r="H680" s="51"/>
      <c r="I680" s="50" t="s">
        <v>3872</v>
      </c>
      <c r="J680" s="54" t="s">
        <v>73</v>
      </c>
      <c r="K680" s="58" t="s">
        <v>312</v>
      </c>
      <c r="L680" s="58" t="s">
        <v>740</v>
      </c>
      <c r="M680" s="58" t="s">
        <v>3873</v>
      </c>
      <c r="N680" s="58"/>
      <c r="O680" s="54"/>
      <c r="P680" s="56" t="s">
        <v>76</v>
      </c>
      <c r="Q680" s="58" t="s">
        <v>1865</v>
      </c>
      <c r="R680" s="50"/>
      <c r="S680" s="50"/>
      <c r="T680" s="50"/>
      <c r="U680" s="50"/>
      <c r="V680" s="57">
        <v>0.32</v>
      </c>
      <c r="W680" s="68"/>
      <c r="X680" s="50"/>
      <c r="Y680" s="50"/>
      <c r="Z680" s="50"/>
      <c r="AA680" s="50"/>
      <c r="AB680" s="57"/>
      <c r="AC680" s="54">
        <v>1</v>
      </c>
      <c r="AD680" s="69">
        <f>SUM(AE680:AK680)</f>
        <v>1</v>
      </c>
      <c r="AE680" s="66"/>
      <c r="AF680" s="66"/>
      <c r="AG680" s="66"/>
      <c r="AH680" s="66">
        <v>1</v>
      </c>
      <c r="AI680" s="66"/>
      <c r="AJ680" s="66"/>
      <c r="AK680" s="66"/>
      <c r="AL680" s="54">
        <f>IF((AC680-SUM(AE680:AK680))&lt;0,0,AC680-SUM(AE680:AK680))</f>
        <v>0</v>
      </c>
      <c r="AM680" s="69">
        <f>SUM(AN680:AT680)</f>
        <v>0</v>
      </c>
      <c r="AN680" s="60"/>
      <c r="AO680" s="52"/>
      <c r="AP680" s="52"/>
      <c r="AQ680" s="52"/>
      <c r="AR680" s="52"/>
      <c r="AS680" s="52"/>
      <c r="AT680" s="61"/>
      <c r="AU680" s="66">
        <f>MAX(0,$AM680-$AC680-$AW680)</f>
        <v>0</v>
      </c>
      <c r="AV680" s="66"/>
      <c r="AW680" s="66"/>
      <c r="AX680" s="65">
        <v>0</v>
      </c>
      <c r="AY680" s="65">
        <f>IF(AND($AU680&gt;0,ISNUMBER($AX680)),$AU680*$AX680,0)</f>
        <v>0</v>
      </c>
      <c r="AZ680" s="46"/>
      <c r="BA680" s="52"/>
      <c r="BB680" s="52"/>
      <c r="BC680" s="52" t="s">
        <v>442</v>
      </c>
      <c r="BD680" s="52"/>
      <c r="BE680" s="52"/>
      <c r="BF680" s="52"/>
    </row>
    <row r="681" spans="1:58" ht="15" customHeight="1">
      <c r="A681" s="46" t="s">
        <v>3874</v>
      </c>
      <c r="B681" s="53" t="s">
        <v>3875</v>
      </c>
      <c r="C681" s="66" t="s">
        <v>311</v>
      </c>
      <c r="D681" s="67">
        <v>0</v>
      </c>
      <c r="E681" s="53" t="s">
        <v>3876</v>
      </c>
      <c r="F681" s="50"/>
      <c r="G681" s="50"/>
      <c r="H681" s="51"/>
      <c r="I681" s="50" t="s">
        <v>3877</v>
      </c>
      <c r="J681" s="54" t="s">
        <v>73</v>
      </c>
      <c r="K681" s="58" t="s">
        <v>312</v>
      </c>
      <c r="L681" s="58" t="s">
        <v>740</v>
      </c>
      <c r="M681" s="58" t="s">
        <v>3878</v>
      </c>
      <c r="N681" s="58"/>
      <c r="O681" s="54"/>
      <c r="P681" s="56" t="s">
        <v>86</v>
      </c>
      <c r="Q681" s="58" t="s">
        <v>2307</v>
      </c>
      <c r="R681" s="50"/>
      <c r="S681" s="50"/>
      <c r="T681" s="50"/>
      <c r="U681" s="50"/>
      <c r="V681" s="57">
        <v>0.32</v>
      </c>
      <c r="W681" s="68"/>
      <c r="X681" s="50"/>
      <c r="Y681" s="50"/>
      <c r="Z681" s="50"/>
      <c r="AA681" s="50"/>
      <c r="AB681" s="57"/>
      <c r="AC681" s="54">
        <v>1</v>
      </c>
      <c r="AD681" s="69">
        <f>SUM(AE681:AK681)</f>
        <v>1</v>
      </c>
      <c r="AE681" s="66"/>
      <c r="AF681" s="66"/>
      <c r="AG681" s="66"/>
      <c r="AH681" s="66"/>
      <c r="AI681" s="66"/>
      <c r="AJ681" s="66">
        <v>1</v>
      </c>
      <c r="AK681" s="66"/>
      <c r="AL681" s="54">
        <f>IF((AC681-SUM(AE681:AK681))&lt;0,0,AC681-SUM(AE681:AK681))</f>
        <v>0</v>
      </c>
      <c r="AM681" s="69">
        <f>SUM(AN681:AT681)</f>
        <v>0</v>
      </c>
      <c r="AN681" s="60"/>
      <c r="AO681" s="52"/>
      <c r="AP681" s="52"/>
      <c r="AQ681" s="52"/>
      <c r="AR681" s="52"/>
      <c r="AS681" s="52"/>
      <c r="AT681" s="61"/>
      <c r="AU681" s="66">
        <f>MAX(0,$AM681-$AC681-$AW681)</f>
        <v>0</v>
      </c>
      <c r="AV681" s="66"/>
      <c r="AW681" s="66"/>
      <c r="AX681" s="65">
        <v>0</v>
      </c>
      <c r="AY681" s="65">
        <f>IF(AND($AU681&gt;0,ISNUMBER($AX681)),$AU681*$AX681,0)</f>
        <v>0</v>
      </c>
      <c r="AZ681" s="46"/>
      <c r="BA681" s="52"/>
      <c r="BB681" s="52"/>
      <c r="BC681" s="52"/>
      <c r="BD681" s="52"/>
      <c r="BE681" s="52" t="s">
        <v>542</v>
      </c>
      <c r="BF681" s="52"/>
    </row>
    <row r="682" spans="1:58" ht="15" customHeight="1">
      <c r="A682" s="46" t="s">
        <v>3879</v>
      </c>
      <c r="B682" s="53" t="s">
        <v>3880</v>
      </c>
      <c r="C682" s="66" t="s">
        <v>311</v>
      </c>
      <c r="D682" s="67">
        <v>0</v>
      </c>
      <c r="E682" s="53" t="s">
        <v>312</v>
      </c>
      <c r="F682" s="50"/>
      <c r="G682" s="50"/>
      <c r="H682" s="51"/>
      <c r="I682" s="50" t="s">
        <v>3881</v>
      </c>
      <c r="J682" s="54" t="s">
        <v>73</v>
      </c>
      <c r="K682" s="58" t="s">
        <v>312</v>
      </c>
      <c r="L682" s="58" t="s">
        <v>3882</v>
      </c>
      <c r="M682" s="58" t="s">
        <v>747</v>
      </c>
      <c r="N682" s="58"/>
      <c r="O682" s="54"/>
      <c r="P682" s="56" t="s">
        <v>185</v>
      </c>
      <c r="Q682" s="58" t="s">
        <v>1963</v>
      </c>
      <c r="R682" s="50"/>
      <c r="S682" s="50"/>
      <c r="T682" s="50"/>
      <c r="U682" s="50"/>
      <c r="V682" s="57">
        <v>0.32</v>
      </c>
      <c r="W682" s="68"/>
      <c r="X682" s="50"/>
      <c r="Y682" s="50"/>
      <c r="Z682" s="50"/>
      <c r="AA682" s="50"/>
      <c r="AB682" s="57"/>
      <c r="AC682" s="54">
        <v>1</v>
      </c>
      <c r="AD682" s="69">
        <f>SUM(AE682:AK682)</f>
        <v>1</v>
      </c>
      <c r="AE682" s="66"/>
      <c r="AF682" s="66">
        <v>1</v>
      </c>
      <c r="AG682" s="66"/>
      <c r="AH682" s="66"/>
      <c r="AI682" s="66"/>
      <c r="AJ682" s="66"/>
      <c r="AK682" s="66"/>
      <c r="AL682" s="54">
        <f>IF((AC682-SUM(AE682:AK682))&lt;0,0,AC682-SUM(AE682:AK682))</f>
        <v>0</v>
      </c>
      <c r="AM682" s="69">
        <f>SUM(AN682:AT682)</f>
        <v>1</v>
      </c>
      <c r="AN682" s="60"/>
      <c r="AO682" s="52">
        <v>1</v>
      </c>
      <c r="AP682" s="52"/>
      <c r="AQ682" s="52"/>
      <c r="AR682" s="52"/>
      <c r="AS682" s="52"/>
      <c r="AT682" s="61"/>
      <c r="AU682" s="66">
        <f>MAX(0,$AM682-$AC682-$AW682)</f>
        <v>0</v>
      </c>
      <c r="AV682" s="66"/>
      <c r="AW682" s="66"/>
      <c r="AX682" s="65">
        <v>0</v>
      </c>
      <c r="AY682" s="65">
        <f>IF(AND($AU682&gt;0,ISNUMBER($AX682)),$AU682*$AX682,0)</f>
        <v>0</v>
      </c>
      <c r="AZ682" s="46"/>
      <c r="BA682" s="52"/>
      <c r="BB682" s="52"/>
      <c r="BC682" s="52"/>
      <c r="BD682" s="52"/>
      <c r="BE682" s="52"/>
      <c r="BF682" s="52"/>
    </row>
    <row r="683" spans="1:58" ht="15" customHeight="1">
      <c r="A683" s="46" t="s">
        <v>3883</v>
      </c>
      <c r="B683" s="53" t="s">
        <v>3884</v>
      </c>
      <c r="C683" s="66" t="s">
        <v>311</v>
      </c>
      <c r="D683" s="67">
        <v>0</v>
      </c>
      <c r="E683" s="53" t="s">
        <v>312</v>
      </c>
      <c r="F683" s="50"/>
      <c r="G683" s="50"/>
      <c r="H683" s="51"/>
      <c r="I683" s="50" t="s">
        <v>3885</v>
      </c>
      <c r="J683" s="54" t="s">
        <v>73</v>
      </c>
      <c r="K683" s="58" t="s">
        <v>312</v>
      </c>
      <c r="L683" s="58" t="s">
        <v>1358</v>
      </c>
      <c r="M683" s="58" t="s">
        <v>3886</v>
      </c>
      <c r="N683" s="58"/>
      <c r="O683" s="54"/>
      <c r="P683" s="56" t="s">
        <v>86</v>
      </c>
      <c r="Q683" s="58" t="s">
        <v>2129</v>
      </c>
      <c r="R683" s="50"/>
      <c r="S683" s="50"/>
      <c r="T683" s="50"/>
      <c r="U683" s="50"/>
      <c r="V683" s="57">
        <v>0.32</v>
      </c>
      <c r="W683" s="68"/>
      <c r="X683" s="50"/>
      <c r="Y683" s="50"/>
      <c r="Z683" s="50"/>
      <c r="AA683" s="50"/>
      <c r="AB683" s="57"/>
      <c r="AC683" s="54">
        <v>1</v>
      </c>
      <c r="AD683" s="69">
        <f>SUM(AE683:AK683)</f>
        <v>1</v>
      </c>
      <c r="AE683" s="66"/>
      <c r="AF683" s="66"/>
      <c r="AG683" s="66"/>
      <c r="AH683" s="66"/>
      <c r="AI683" s="66">
        <v>1</v>
      </c>
      <c r="AJ683" s="66"/>
      <c r="AK683" s="66"/>
      <c r="AL683" s="54">
        <f>IF((AC683-SUM(AE683:AK683))&lt;0,0,AC683-SUM(AE683:AK683))</f>
        <v>0</v>
      </c>
      <c r="AM683" s="69">
        <f>SUM(AN683:AT683)</f>
        <v>1</v>
      </c>
      <c r="AN683" s="60"/>
      <c r="AO683" s="52"/>
      <c r="AP683" s="52"/>
      <c r="AQ683" s="52"/>
      <c r="AR683" s="52">
        <v>1</v>
      </c>
      <c r="AS683" s="52"/>
      <c r="AT683" s="61"/>
      <c r="AU683" s="66">
        <f>MAX(0,$AM683-$AC683-$AW683)</f>
        <v>0</v>
      </c>
      <c r="AV683" s="66"/>
      <c r="AW683" s="66"/>
      <c r="AX683" s="65">
        <v>0</v>
      </c>
      <c r="AY683" s="65">
        <f>IF(AND($AU683&gt;0,ISNUMBER($AX683)),$AU683*$AX683,0)</f>
        <v>0</v>
      </c>
      <c r="AZ683" s="46"/>
      <c r="BA683" s="52"/>
      <c r="BB683" s="52"/>
      <c r="BC683" s="52"/>
      <c r="BD683" s="52"/>
      <c r="BE683" s="52"/>
      <c r="BF683" s="52"/>
    </row>
    <row r="684" spans="1:58" ht="15" customHeight="1">
      <c r="A684" s="46" t="s">
        <v>3887</v>
      </c>
      <c r="B684" s="53" t="s">
        <v>3888</v>
      </c>
      <c r="C684" s="66" t="s">
        <v>118</v>
      </c>
      <c r="D684" s="67">
        <v>2</v>
      </c>
      <c r="E684" s="53" t="s">
        <v>81</v>
      </c>
      <c r="F684" s="50">
        <v>2</v>
      </c>
      <c r="G684" s="50">
        <v>2</v>
      </c>
      <c r="H684" s="51" t="s">
        <v>119</v>
      </c>
      <c r="I684" s="50" t="s">
        <v>3889</v>
      </c>
      <c r="J684" s="54" t="s">
        <v>73</v>
      </c>
      <c r="K684" s="58" t="s">
        <v>121</v>
      </c>
      <c r="L684" s="58" t="s">
        <v>3890</v>
      </c>
      <c r="M684" s="58"/>
      <c r="N684" s="58"/>
      <c r="O684" s="54"/>
      <c r="P684" s="56" t="s">
        <v>76</v>
      </c>
      <c r="Q684" s="58" t="s">
        <v>410</v>
      </c>
      <c r="R684" s="50"/>
      <c r="S684" s="50"/>
      <c r="T684" s="50"/>
      <c r="U684" s="50"/>
      <c r="V684" s="57">
        <v>0.32</v>
      </c>
      <c r="W684" s="68"/>
      <c r="X684" s="50"/>
      <c r="Y684" s="50"/>
      <c r="Z684" s="50"/>
      <c r="AA684" s="50"/>
      <c r="AB684" s="57"/>
      <c r="AC684" s="54">
        <v>1</v>
      </c>
      <c r="AD684" s="69">
        <f>SUM(AE684:AK684)</f>
        <v>1</v>
      </c>
      <c r="AE684" s="66"/>
      <c r="AF684" s="66"/>
      <c r="AG684" s="66"/>
      <c r="AH684" s="66"/>
      <c r="AI684" s="66">
        <v>1</v>
      </c>
      <c r="AJ684" s="66"/>
      <c r="AK684" s="66"/>
      <c r="AL684" s="54">
        <f>IF((AC684-SUM(AE684:AK684))&lt;0,0,AC684-SUM(AE684:AK684))</f>
        <v>0</v>
      </c>
      <c r="AM684" s="69">
        <f>SUM(AN684:AT684)</f>
        <v>0</v>
      </c>
      <c r="AN684" s="60"/>
      <c r="AO684" s="52"/>
      <c r="AP684" s="52"/>
      <c r="AQ684" s="52"/>
      <c r="AR684" s="52"/>
      <c r="AS684" s="52"/>
      <c r="AT684" s="61"/>
      <c r="AU684" s="66">
        <f>MAX(0,$AM684-$AC684-$AW684)</f>
        <v>0</v>
      </c>
      <c r="AV684" s="66"/>
      <c r="AW684" s="66"/>
      <c r="AX684" s="65">
        <v>0</v>
      </c>
      <c r="AY684" s="65">
        <f>IF(AND($AU684&gt;0,ISNUMBER($AX684)),$AU684*$AX684,0)</f>
        <v>0</v>
      </c>
      <c r="AZ684" s="46"/>
      <c r="BA684" s="52"/>
      <c r="BB684" s="52"/>
      <c r="BC684" s="52"/>
      <c r="BD684" s="52" t="s">
        <v>116</v>
      </c>
      <c r="BE684" s="52"/>
      <c r="BF684" s="52"/>
    </row>
    <row r="685" spans="1:58" ht="15" customHeight="1">
      <c r="A685" s="46" t="s">
        <v>3891</v>
      </c>
      <c r="B685" s="53" t="s">
        <v>3892</v>
      </c>
      <c r="C685" s="66" t="s">
        <v>118</v>
      </c>
      <c r="D685" s="67">
        <v>2</v>
      </c>
      <c r="E685" s="53" t="s">
        <v>384</v>
      </c>
      <c r="F685" s="50"/>
      <c r="G685" s="50"/>
      <c r="H685" s="51"/>
      <c r="I685" s="50" t="s">
        <v>3893</v>
      </c>
      <c r="J685" s="54" t="s">
        <v>73</v>
      </c>
      <c r="K685" s="58" t="s">
        <v>84</v>
      </c>
      <c r="L685" s="58" t="s">
        <v>3894</v>
      </c>
      <c r="M685" s="58" t="s">
        <v>3895</v>
      </c>
      <c r="N685" s="58"/>
      <c r="O685" s="54"/>
      <c r="P685" s="56" t="s">
        <v>185</v>
      </c>
      <c r="Q685" s="58" t="s">
        <v>1360</v>
      </c>
      <c r="R685" s="50"/>
      <c r="S685" s="50"/>
      <c r="T685" s="50"/>
      <c r="U685" s="50"/>
      <c r="V685" s="57">
        <v>0.32</v>
      </c>
      <c r="W685" s="68"/>
      <c r="X685" s="50"/>
      <c r="Y685" s="50"/>
      <c r="Z685" s="50"/>
      <c r="AA685" s="50"/>
      <c r="AB685" s="57"/>
      <c r="AC685" s="54">
        <v>1</v>
      </c>
      <c r="AD685" s="69">
        <f>SUM(AE685:AK685)</f>
        <v>1</v>
      </c>
      <c r="AE685" s="66"/>
      <c r="AF685" s="66"/>
      <c r="AG685" s="66"/>
      <c r="AH685" s="66"/>
      <c r="AI685" s="66">
        <v>1</v>
      </c>
      <c r="AJ685" s="66"/>
      <c r="AK685" s="66"/>
      <c r="AL685" s="54">
        <f>IF((AC685-SUM(AE685:AK685))&lt;0,0,AC685-SUM(AE685:AK685))</f>
        <v>0</v>
      </c>
      <c r="AM685" s="69">
        <f>SUM(AN685:AT685)</f>
        <v>1</v>
      </c>
      <c r="AN685" s="60"/>
      <c r="AO685" s="52"/>
      <c r="AP685" s="52"/>
      <c r="AQ685" s="52"/>
      <c r="AR685" s="52">
        <v>1</v>
      </c>
      <c r="AS685" s="52"/>
      <c r="AT685" s="61"/>
      <c r="AU685" s="66">
        <f>MAX(0,$AM685-$AC685-$AW685)</f>
        <v>0</v>
      </c>
      <c r="AV685" s="66"/>
      <c r="AW685" s="66"/>
      <c r="AX685" s="65">
        <v>0</v>
      </c>
      <c r="AY685" s="65">
        <f>IF(AND($AU685&gt;0,ISNUMBER($AX685)),$AU685*$AX685,0)</f>
        <v>0</v>
      </c>
      <c r="AZ685" s="46"/>
      <c r="BA685" s="52"/>
      <c r="BB685" s="52"/>
      <c r="BC685" s="52"/>
      <c r="BD685" s="52"/>
      <c r="BE685" s="52"/>
      <c r="BF685" s="52"/>
    </row>
    <row r="686" spans="1:58" ht="15" customHeight="1">
      <c r="A686" s="46" t="s">
        <v>3896</v>
      </c>
      <c r="B686" s="53" t="s">
        <v>3897</v>
      </c>
      <c r="C686" s="66" t="s">
        <v>232</v>
      </c>
      <c r="D686" s="67">
        <v>2</v>
      </c>
      <c r="E686" s="53" t="s">
        <v>233</v>
      </c>
      <c r="F686" s="50"/>
      <c r="G686" s="50"/>
      <c r="H686" s="51"/>
      <c r="I686" s="50" t="s">
        <v>3898</v>
      </c>
      <c r="J686" s="54" t="s">
        <v>73</v>
      </c>
      <c r="K686" s="53" t="s">
        <v>235</v>
      </c>
      <c r="L686" s="53" t="s">
        <v>3899</v>
      </c>
      <c r="M686" s="53"/>
      <c r="N686" s="53"/>
      <c r="O686" s="54"/>
      <c r="P686" s="56" t="s">
        <v>185</v>
      </c>
      <c r="Q686" s="53" t="s">
        <v>487</v>
      </c>
      <c r="R686" s="50"/>
      <c r="S686" s="50"/>
      <c r="T686" s="50"/>
      <c r="U686" s="50"/>
      <c r="V686" s="57">
        <v>0.32</v>
      </c>
      <c r="W686" s="68"/>
      <c r="X686" s="50"/>
      <c r="Y686" s="50"/>
      <c r="Z686" s="50"/>
      <c r="AA686" s="50"/>
      <c r="AB686" s="57"/>
      <c r="AC686" s="54">
        <v>1</v>
      </c>
      <c r="AD686" s="69">
        <f>SUM(AE686:AK686)</f>
        <v>1</v>
      </c>
      <c r="AE686" s="66"/>
      <c r="AF686" s="66"/>
      <c r="AG686" s="66"/>
      <c r="AH686" s="66">
        <v>1</v>
      </c>
      <c r="AI686" s="66"/>
      <c r="AJ686" s="66"/>
      <c r="AK686" s="66"/>
      <c r="AL686" s="54">
        <f>IF((AC686-SUM(AE686:AK686))&lt;0,0,AC686-SUM(AE686:AK686))</f>
        <v>0</v>
      </c>
      <c r="AM686" s="69">
        <f>SUM(AN686:AT686)</f>
        <v>1</v>
      </c>
      <c r="AN686" s="60"/>
      <c r="AO686" s="52"/>
      <c r="AP686" s="52"/>
      <c r="AQ686" s="52">
        <v>1</v>
      </c>
      <c r="AR686" s="52"/>
      <c r="AS686" s="52"/>
      <c r="AT686" s="61"/>
      <c r="AU686" s="66">
        <f>MAX(0,$AM686-$AC686-$AW686)</f>
        <v>0</v>
      </c>
      <c r="AV686" s="66"/>
      <c r="AW686" s="66"/>
      <c r="AX686" s="65">
        <v>0</v>
      </c>
      <c r="AY686" s="65">
        <f>IF(AND($AU686&gt;0,ISNUMBER($AX686)),$AU686*$AX686,0)</f>
        <v>0</v>
      </c>
      <c r="AZ686" s="46"/>
      <c r="BA686" s="52"/>
      <c r="BB686" s="52"/>
      <c r="BC686" s="52"/>
      <c r="BD686" s="52"/>
      <c r="BE686" s="52"/>
      <c r="BF686" s="52"/>
    </row>
    <row r="687" spans="1:58" ht="15" customHeight="1">
      <c r="A687" s="46" t="s">
        <v>3900</v>
      </c>
      <c r="B687" s="53" t="s">
        <v>3901</v>
      </c>
      <c r="C687" s="66" t="s">
        <v>101</v>
      </c>
      <c r="D687" s="67">
        <v>4</v>
      </c>
      <c r="E687" s="53" t="s">
        <v>2971</v>
      </c>
      <c r="F687" s="50"/>
      <c r="G687" s="50"/>
      <c r="H687" s="51" t="s">
        <v>3902</v>
      </c>
      <c r="I687" s="50" t="s">
        <v>3903</v>
      </c>
      <c r="J687" s="54" t="s">
        <v>73</v>
      </c>
      <c r="K687" s="58" t="s">
        <v>104</v>
      </c>
      <c r="L687" s="58" t="s">
        <v>3904</v>
      </c>
      <c r="M687" s="58" t="s">
        <v>3905</v>
      </c>
      <c r="N687" s="58"/>
      <c r="O687" s="54"/>
      <c r="P687" s="56" t="s">
        <v>185</v>
      </c>
      <c r="Q687" s="58" t="s">
        <v>729</v>
      </c>
      <c r="R687" s="50"/>
      <c r="S687" s="50"/>
      <c r="T687" s="50"/>
      <c r="U687" s="56"/>
      <c r="V687" s="57">
        <v>0.32</v>
      </c>
      <c r="W687" s="68"/>
      <c r="X687" s="50"/>
      <c r="Y687" s="50"/>
      <c r="Z687" s="50"/>
      <c r="AA687" s="56"/>
      <c r="AB687" s="57"/>
      <c r="AC687" s="54">
        <v>1</v>
      </c>
      <c r="AD687" s="69">
        <f>SUM(AE687:AK687)</f>
        <v>1</v>
      </c>
      <c r="AE687" s="66"/>
      <c r="AF687" s="66"/>
      <c r="AG687" s="66"/>
      <c r="AH687" s="66"/>
      <c r="AI687" s="66"/>
      <c r="AJ687" s="66"/>
      <c r="AK687" s="66">
        <v>1</v>
      </c>
      <c r="AL687" s="54">
        <f>IF((AC687-SUM(AE687:AK687))&lt;0,0,AC687-SUM(AE687:AK687))</f>
        <v>0</v>
      </c>
      <c r="AM687" s="69">
        <f>SUM(AN687:AT687)</f>
        <v>0</v>
      </c>
      <c r="AN687" s="60"/>
      <c r="AO687" s="52"/>
      <c r="AP687" s="52"/>
      <c r="AQ687" s="52"/>
      <c r="AR687" s="52"/>
      <c r="AS687" s="52"/>
      <c r="AT687" s="61"/>
      <c r="AU687" s="66">
        <f>MAX(0,$AM687-$AC687-$AW687)</f>
        <v>0</v>
      </c>
      <c r="AV687" s="66"/>
      <c r="AW687" s="66"/>
      <c r="AX687" s="65">
        <v>0</v>
      </c>
      <c r="AY687" s="65">
        <f>IF(AND($AU687&gt;0,ISNUMBER($AX687)),$AU687*$AX687,0)</f>
        <v>0</v>
      </c>
      <c r="AZ687" s="46"/>
      <c r="BA687" s="52"/>
      <c r="BB687" s="52"/>
      <c r="BC687" s="52"/>
      <c r="BD687" s="52"/>
      <c r="BE687" s="52"/>
      <c r="BF687" s="52" t="s">
        <v>395</v>
      </c>
    </row>
    <row r="688" spans="1:58" ht="15" customHeight="1">
      <c r="A688" s="46" t="s">
        <v>3906</v>
      </c>
      <c r="B688" s="53" t="s">
        <v>3907</v>
      </c>
      <c r="C688" s="66" t="s">
        <v>118</v>
      </c>
      <c r="D688" s="67">
        <v>2</v>
      </c>
      <c r="E688" s="53" t="s">
        <v>189</v>
      </c>
      <c r="F688" s="50"/>
      <c r="G688" s="50"/>
      <c r="H688" s="51"/>
      <c r="I688" s="50" t="s">
        <v>3908</v>
      </c>
      <c r="J688" s="54" t="s">
        <v>73</v>
      </c>
      <c r="K688" s="58" t="s">
        <v>474</v>
      </c>
      <c r="L688" s="58" t="s">
        <v>3909</v>
      </c>
      <c r="M688" s="58"/>
      <c r="N688" s="58"/>
      <c r="O688" s="54"/>
      <c r="P688" s="56" t="s">
        <v>86</v>
      </c>
      <c r="Q688" s="58" t="s">
        <v>900</v>
      </c>
      <c r="R688" s="50"/>
      <c r="S688" s="50"/>
      <c r="T688" s="50"/>
      <c r="U688" s="50"/>
      <c r="V688" s="57">
        <v>0.32</v>
      </c>
      <c r="W688" s="68"/>
      <c r="X688" s="50"/>
      <c r="Y688" s="50"/>
      <c r="Z688" s="50"/>
      <c r="AA688" s="50"/>
      <c r="AB688" s="57"/>
      <c r="AC688" s="54">
        <v>1</v>
      </c>
      <c r="AD688" s="69">
        <f>SUM(AE688:AK688)</f>
        <v>0</v>
      </c>
      <c r="AE688" s="66"/>
      <c r="AF688" s="66"/>
      <c r="AG688" s="66"/>
      <c r="AH688" s="66"/>
      <c r="AI688" s="66"/>
      <c r="AJ688" s="66"/>
      <c r="AK688" s="66"/>
      <c r="AL688" s="54">
        <f>IF((AC688-SUM(AE688:AK688))&lt;0,0,AC688-SUM(AE688:AK688))</f>
        <v>1</v>
      </c>
      <c r="AM688" s="69">
        <f>SUM(AN688:AT688)</f>
        <v>0</v>
      </c>
      <c r="AN688" s="60"/>
      <c r="AO688" s="52"/>
      <c r="AP688" s="52"/>
      <c r="AQ688" s="52"/>
      <c r="AR688" s="52"/>
      <c r="AS688" s="52"/>
      <c r="AT688" s="61"/>
      <c r="AU688" s="66">
        <f>MAX(0,$AM688-$AC688-$AW688)</f>
        <v>0</v>
      </c>
      <c r="AV688" s="66"/>
      <c r="AW688" s="66"/>
      <c r="AX688" s="65">
        <v>0</v>
      </c>
      <c r="AY688" s="65">
        <f>IF(AND($AU688&gt;0,ISNUMBER($AX688)),$AU688*$AX688,0)</f>
        <v>0</v>
      </c>
      <c r="AZ688" s="46"/>
      <c r="BA688" s="52"/>
      <c r="BB688" s="52"/>
      <c r="BC688" s="52"/>
      <c r="BD688" s="52"/>
      <c r="BE688" s="52"/>
      <c r="BF688" s="52"/>
    </row>
    <row r="689" spans="1:58" ht="15" customHeight="1">
      <c r="A689" s="46" t="s">
        <v>3910</v>
      </c>
      <c r="B689" s="53" t="s">
        <v>3911</v>
      </c>
      <c r="C689" s="66" t="s">
        <v>181</v>
      </c>
      <c r="D689" s="67">
        <v>4</v>
      </c>
      <c r="E689" s="53" t="s">
        <v>189</v>
      </c>
      <c r="F689" s="50"/>
      <c r="G689" s="50"/>
      <c r="H689" s="51"/>
      <c r="I689" s="50" t="s">
        <v>3912</v>
      </c>
      <c r="J689" s="54" t="s">
        <v>73</v>
      </c>
      <c r="K689" s="58" t="s">
        <v>135</v>
      </c>
      <c r="L689" s="58" t="s">
        <v>3913</v>
      </c>
      <c r="M689" s="58" t="s">
        <v>3914</v>
      </c>
      <c r="N689" s="58" t="s">
        <v>3915</v>
      </c>
      <c r="O689" s="54"/>
      <c r="P689" s="56" t="s">
        <v>185</v>
      </c>
      <c r="Q689" s="58" t="s">
        <v>2507</v>
      </c>
      <c r="R689" s="50"/>
      <c r="S689" s="50"/>
      <c r="T689" s="50"/>
      <c r="U689" s="50"/>
      <c r="V689" s="57">
        <v>0.32</v>
      </c>
      <c r="W689" s="68"/>
      <c r="X689" s="50"/>
      <c r="Y689" s="50"/>
      <c r="Z689" s="50"/>
      <c r="AA689" s="50"/>
      <c r="AB689" s="57"/>
      <c r="AC689" s="54">
        <v>1</v>
      </c>
      <c r="AD689" s="69">
        <f>SUM(AE689:AK689)</f>
        <v>1</v>
      </c>
      <c r="AE689" s="66"/>
      <c r="AF689" s="66"/>
      <c r="AG689" s="66"/>
      <c r="AH689" s="66"/>
      <c r="AI689" s="66"/>
      <c r="AJ689" s="66"/>
      <c r="AK689" s="66">
        <v>1</v>
      </c>
      <c r="AL689" s="54">
        <f>IF((AC689-SUM(AE689:AK689))&lt;0,0,AC689-SUM(AE689:AK689))</f>
        <v>0</v>
      </c>
      <c r="AM689" s="69">
        <f>SUM(AN689:AT689)</f>
        <v>0</v>
      </c>
      <c r="AN689" s="60"/>
      <c r="AO689" s="52"/>
      <c r="AP689" s="52"/>
      <c r="AQ689" s="52"/>
      <c r="AR689" s="52"/>
      <c r="AS689" s="52"/>
      <c r="AT689" s="61"/>
      <c r="AU689" s="66">
        <f>MAX(0,$AM689-$AC689-$AW689)</f>
        <v>0</v>
      </c>
      <c r="AV689" s="66"/>
      <c r="AW689" s="66"/>
      <c r="AX689" s="65">
        <v>0</v>
      </c>
      <c r="AY689" s="65">
        <f>IF(AND($AU689&gt;0,ISNUMBER($AX689)),$AU689*$AX689,0)</f>
        <v>0</v>
      </c>
      <c r="AZ689" s="46"/>
      <c r="BA689" s="52"/>
      <c r="BB689" s="52"/>
      <c r="BC689" s="52"/>
      <c r="BD689" s="52"/>
      <c r="BE689" s="52"/>
      <c r="BF689" s="52" t="s">
        <v>346</v>
      </c>
    </row>
    <row r="690" spans="1:58" ht="15" customHeight="1">
      <c r="A690" s="46" t="s">
        <v>3916</v>
      </c>
      <c r="B690" s="53" t="s">
        <v>3917</v>
      </c>
      <c r="C690" s="66" t="s">
        <v>118</v>
      </c>
      <c r="D690" s="67">
        <v>2</v>
      </c>
      <c r="E690" s="53" t="s">
        <v>384</v>
      </c>
      <c r="F690" s="50"/>
      <c r="G690" s="50"/>
      <c r="H690" s="51" t="s">
        <v>1256</v>
      </c>
      <c r="I690" s="50" t="s">
        <v>3918</v>
      </c>
      <c r="J690" s="54" t="s">
        <v>196</v>
      </c>
      <c r="K690" s="58" t="s">
        <v>135</v>
      </c>
      <c r="L690" s="58" t="s">
        <v>3919</v>
      </c>
      <c r="M690" s="58"/>
      <c r="N690" s="58"/>
      <c r="O690" s="54"/>
      <c r="P690" s="56" t="s">
        <v>185</v>
      </c>
      <c r="Q690" s="58" t="s">
        <v>1870</v>
      </c>
      <c r="R690" s="50"/>
      <c r="S690" s="50"/>
      <c r="T690" s="50"/>
      <c r="U690" s="50"/>
      <c r="V690" s="57">
        <v>0.32</v>
      </c>
      <c r="W690" s="68"/>
      <c r="X690" s="50"/>
      <c r="Y690" s="50"/>
      <c r="Z690" s="50"/>
      <c r="AA690" s="50"/>
      <c r="AB690" s="57"/>
      <c r="AC690" s="54">
        <v>1</v>
      </c>
      <c r="AD690" s="69">
        <f>SUM(AE690:AK690)</f>
        <v>1</v>
      </c>
      <c r="AE690" s="66"/>
      <c r="AF690" s="66"/>
      <c r="AG690" s="66"/>
      <c r="AH690" s="66"/>
      <c r="AI690" s="66">
        <v>1</v>
      </c>
      <c r="AJ690" s="66"/>
      <c r="AK690" s="66"/>
      <c r="AL690" s="54">
        <f>IF((AC690-SUM(AE690:AK690))&lt;0,0,AC690-SUM(AE690:AK690))</f>
        <v>0</v>
      </c>
      <c r="AM690" s="69">
        <f>SUM(AN690:AT690)</f>
        <v>1</v>
      </c>
      <c r="AN690" s="60"/>
      <c r="AO690" s="52"/>
      <c r="AP690" s="52"/>
      <c r="AQ690" s="52"/>
      <c r="AR690" s="52">
        <v>1</v>
      </c>
      <c r="AS690" s="52"/>
      <c r="AT690" s="61"/>
      <c r="AU690" s="66">
        <f>MAX(0,$AM690-$AC690-$AW690)</f>
        <v>0</v>
      </c>
      <c r="AV690" s="66"/>
      <c r="AW690" s="66"/>
      <c r="AX690" s="65">
        <v>0</v>
      </c>
      <c r="AY690" s="65">
        <f>IF(AND($AU690&gt;0,ISNUMBER($AX690)),$AU690*$AX690,0)</f>
        <v>0</v>
      </c>
      <c r="AZ690" s="46"/>
      <c r="BA690" s="52"/>
      <c r="BB690" s="52"/>
      <c r="BC690" s="52"/>
      <c r="BD690" s="52"/>
      <c r="BE690" s="52"/>
      <c r="BF690" s="52"/>
    </row>
    <row r="691" spans="1:58" ht="15" customHeight="1">
      <c r="A691" s="46" t="s">
        <v>3920</v>
      </c>
      <c r="B691" s="53" t="s">
        <v>3921</v>
      </c>
      <c r="C691" s="66" t="s">
        <v>181</v>
      </c>
      <c r="D691" s="67">
        <v>2</v>
      </c>
      <c r="E691" s="53" t="s">
        <v>189</v>
      </c>
      <c r="F691" s="50"/>
      <c r="G691" s="50"/>
      <c r="H691" s="51"/>
      <c r="I691" s="50" t="s">
        <v>3922</v>
      </c>
      <c r="J691" s="54" t="s">
        <v>73</v>
      </c>
      <c r="K691" s="58" t="s">
        <v>247</v>
      </c>
      <c r="L691" s="58" t="s">
        <v>3923</v>
      </c>
      <c r="M691" s="58"/>
      <c r="N691" s="58"/>
      <c r="O691" s="54"/>
      <c r="P691" s="56" t="s">
        <v>76</v>
      </c>
      <c r="Q691" s="58" t="s">
        <v>546</v>
      </c>
      <c r="R691" s="50"/>
      <c r="S691" s="50"/>
      <c r="T691" s="50"/>
      <c r="U691" s="50"/>
      <c r="V691" s="57">
        <v>0.32</v>
      </c>
      <c r="W691" s="68"/>
      <c r="X691" s="50"/>
      <c r="Y691" s="50"/>
      <c r="Z691" s="50"/>
      <c r="AA691" s="50"/>
      <c r="AB691" s="57"/>
      <c r="AC691" s="54">
        <v>1</v>
      </c>
      <c r="AD691" s="69">
        <f>SUM(AE691:AK691)</f>
        <v>1</v>
      </c>
      <c r="AE691" s="66"/>
      <c r="AF691" s="66"/>
      <c r="AG691" s="66"/>
      <c r="AH691" s="66"/>
      <c r="AI691" s="66">
        <v>1</v>
      </c>
      <c r="AJ691" s="66"/>
      <c r="AK691" s="66"/>
      <c r="AL691" s="54">
        <f>IF((AC691-SUM(AE691:AK691))&lt;0,0,AC691-SUM(AE691:AK691))</f>
        <v>0</v>
      </c>
      <c r="AM691" s="69">
        <f>SUM(AN691:AT691)</f>
        <v>0</v>
      </c>
      <c r="AN691" s="60"/>
      <c r="AO691" s="52"/>
      <c r="AP691" s="52"/>
      <c r="AQ691" s="52"/>
      <c r="AR691" s="52"/>
      <c r="AS691" s="52"/>
      <c r="AT691" s="61"/>
      <c r="AU691" s="66">
        <f>MAX(0,$AM691-$AC691-$AW691)</f>
        <v>0</v>
      </c>
      <c r="AV691" s="66"/>
      <c r="AW691" s="66"/>
      <c r="AX691" s="65">
        <v>0</v>
      </c>
      <c r="AY691" s="65">
        <f>IF(AND($AU691&gt;0,ISNUMBER($AX691)),$AU691*$AX691,0)</f>
        <v>0</v>
      </c>
      <c r="AZ691" s="46"/>
      <c r="BA691" s="52"/>
      <c r="BB691" s="52"/>
      <c r="BC691" s="52"/>
      <c r="BD691" s="52" t="s">
        <v>567</v>
      </c>
      <c r="BE691" s="52"/>
      <c r="BF691" s="52"/>
    </row>
    <row r="692" spans="1:58" ht="15" customHeight="1">
      <c r="A692" s="46" t="s">
        <v>3924</v>
      </c>
      <c r="B692" s="53" t="s">
        <v>3925</v>
      </c>
      <c r="C692" s="66" t="s">
        <v>70</v>
      </c>
      <c r="D692" s="67">
        <v>1</v>
      </c>
      <c r="E692" s="53" t="s">
        <v>384</v>
      </c>
      <c r="F692" s="50"/>
      <c r="G692" s="50"/>
      <c r="H692" s="51"/>
      <c r="I692" s="50" t="s">
        <v>3926</v>
      </c>
      <c r="J692" s="54" t="s">
        <v>73</v>
      </c>
      <c r="K692" s="58" t="s">
        <v>247</v>
      </c>
      <c r="L692" s="58" t="s">
        <v>3927</v>
      </c>
      <c r="M692" s="58"/>
      <c r="N692" s="58"/>
      <c r="O692" s="54"/>
      <c r="P692" s="56" t="s">
        <v>185</v>
      </c>
      <c r="Q692" s="58" t="s">
        <v>3792</v>
      </c>
      <c r="R692" s="50"/>
      <c r="S692" s="50"/>
      <c r="T692" s="50"/>
      <c r="U692" s="50"/>
      <c r="V692" s="57">
        <v>0.32</v>
      </c>
      <c r="W692" s="68"/>
      <c r="X692" s="50"/>
      <c r="Y692" s="50"/>
      <c r="Z692" s="50"/>
      <c r="AA692" s="50"/>
      <c r="AB692" s="57"/>
      <c r="AC692" s="54">
        <v>1</v>
      </c>
      <c r="AD692" s="69">
        <f>SUM(AE692:AK692)</f>
        <v>1</v>
      </c>
      <c r="AE692" s="66"/>
      <c r="AF692" s="66"/>
      <c r="AG692" s="66"/>
      <c r="AH692" s="66"/>
      <c r="AI692" s="66"/>
      <c r="AJ692" s="66">
        <v>1</v>
      </c>
      <c r="AK692" s="66"/>
      <c r="AL692" s="54">
        <f>IF((AC692-SUM(AE692:AK692))&lt;0,0,AC692-SUM(AE692:AK692))</f>
        <v>0</v>
      </c>
      <c r="AM692" s="69">
        <f>SUM(AN692:AT692)</f>
        <v>0</v>
      </c>
      <c r="AN692" s="60"/>
      <c r="AO692" s="52"/>
      <c r="AP692" s="52"/>
      <c r="AQ692" s="52"/>
      <c r="AR692" s="52"/>
      <c r="AS692" s="52"/>
      <c r="AT692" s="61"/>
      <c r="AU692" s="66">
        <f>MAX(0,$AM692-$AC692-$AW692)</f>
        <v>0</v>
      </c>
      <c r="AV692" s="66"/>
      <c r="AW692" s="66"/>
      <c r="AX692" s="65">
        <v>0</v>
      </c>
      <c r="AY692" s="65">
        <f>IF(AND($AU692&gt;0,ISNUMBER($AX692)),$AU692*$AX692,0)</f>
        <v>0</v>
      </c>
      <c r="AZ692" s="46"/>
      <c r="BA692" s="52"/>
      <c r="BB692" s="52"/>
      <c r="BC692" s="52"/>
      <c r="BD692" s="52"/>
      <c r="BE692" s="52" t="s">
        <v>243</v>
      </c>
      <c r="BF692" s="52"/>
    </row>
    <row r="693" spans="1:58" ht="15" customHeight="1">
      <c r="A693" s="46" t="s">
        <v>3928</v>
      </c>
      <c r="B693" s="53" t="s">
        <v>3929</v>
      </c>
      <c r="C693" s="66" t="s">
        <v>70</v>
      </c>
      <c r="D693" s="67">
        <v>1</v>
      </c>
      <c r="E693" s="53" t="s">
        <v>81</v>
      </c>
      <c r="F693" s="50">
        <v>1</v>
      </c>
      <c r="G693" s="50">
        <v>1</v>
      </c>
      <c r="H693" s="51" t="s">
        <v>245</v>
      </c>
      <c r="I693" s="50" t="s">
        <v>3930</v>
      </c>
      <c r="J693" s="54" t="s">
        <v>73</v>
      </c>
      <c r="K693" s="58" t="s">
        <v>247</v>
      </c>
      <c r="L693" s="58" t="s">
        <v>3931</v>
      </c>
      <c r="M693" s="58"/>
      <c r="N693" s="58"/>
      <c r="O693" s="54"/>
      <c r="P693" s="56" t="s">
        <v>76</v>
      </c>
      <c r="Q693" s="58" t="s">
        <v>1127</v>
      </c>
      <c r="R693" s="50"/>
      <c r="S693" s="50"/>
      <c r="T693" s="50"/>
      <c r="U693" s="50"/>
      <c r="V693" s="57">
        <v>0.32</v>
      </c>
      <c r="W693" s="68"/>
      <c r="X693" s="50"/>
      <c r="Y693" s="50"/>
      <c r="Z693" s="50"/>
      <c r="AA693" s="50"/>
      <c r="AB693" s="57"/>
      <c r="AC693" s="54">
        <v>1</v>
      </c>
      <c r="AD693" s="69">
        <f>SUM(AE693:AK693)</f>
        <v>1</v>
      </c>
      <c r="AE693" s="66"/>
      <c r="AF693" s="66"/>
      <c r="AG693" s="66"/>
      <c r="AH693" s="66"/>
      <c r="AI693" s="66"/>
      <c r="AJ693" s="66">
        <v>1</v>
      </c>
      <c r="AK693" s="66"/>
      <c r="AL693" s="54">
        <f>IF((AC693-SUM(AE693:AK693))&lt;0,0,AC693-SUM(AE693:AK693))</f>
        <v>0</v>
      </c>
      <c r="AM693" s="69">
        <f>SUM(AN693:AT693)</f>
        <v>1</v>
      </c>
      <c r="AN693" s="60"/>
      <c r="AO693" s="52"/>
      <c r="AP693" s="52"/>
      <c r="AQ693" s="52"/>
      <c r="AR693" s="52"/>
      <c r="AS693" s="52">
        <v>1</v>
      </c>
      <c r="AT693" s="61"/>
      <c r="AU693" s="66">
        <f>MAX(0,$AM693-$AC693-$AW693)</f>
        <v>0</v>
      </c>
      <c r="AV693" s="66"/>
      <c r="AW693" s="66"/>
      <c r="AX693" s="65">
        <v>0</v>
      </c>
      <c r="AY693" s="65">
        <f>IF(AND($AU693&gt;0,ISNUMBER($AX693)),$AU693*$AX693,0)</f>
        <v>0</v>
      </c>
      <c r="AZ693" s="46"/>
      <c r="BA693" s="52"/>
      <c r="BB693" s="52"/>
      <c r="BC693" s="52"/>
      <c r="BD693" s="52"/>
      <c r="BE693" s="52"/>
      <c r="BF693" s="52"/>
    </row>
    <row r="694" spans="1:58" ht="15" customHeight="1">
      <c r="A694" s="46" t="s">
        <v>3932</v>
      </c>
      <c r="B694" s="50" t="s">
        <v>3933</v>
      </c>
      <c r="C694" s="54" t="s">
        <v>118</v>
      </c>
      <c r="D694" s="74">
        <v>3</v>
      </c>
      <c r="E694" s="50" t="s">
        <v>71</v>
      </c>
      <c r="F694" s="50"/>
      <c r="G694" s="50"/>
      <c r="H694" s="51"/>
      <c r="I694" s="50" t="s">
        <v>3934</v>
      </c>
      <c r="J694" s="54" t="s">
        <v>73</v>
      </c>
      <c r="K694" s="56" t="s">
        <v>129</v>
      </c>
      <c r="L694" s="56" t="s">
        <v>3935</v>
      </c>
      <c r="M694" s="56" t="s">
        <v>3936</v>
      </c>
      <c r="N694" s="56"/>
      <c r="O694" s="54"/>
      <c r="P694" s="56" t="s">
        <v>185</v>
      </c>
      <c r="Q694" s="56" t="s">
        <v>1102</v>
      </c>
      <c r="R694" s="50"/>
      <c r="S694" s="50"/>
      <c r="T694" s="50"/>
      <c r="U694" s="50"/>
      <c r="V694" s="57">
        <v>0.32</v>
      </c>
      <c r="W694" s="68"/>
      <c r="X694" s="50"/>
      <c r="Y694" s="50"/>
      <c r="Z694" s="50"/>
      <c r="AA694" s="50"/>
      <c r="AB694" s="57"/>
      <c r="AC694" s="54">
        <v>1</v>
      </c>
      <c r="AD694" s="69">
        <f>SUM(AE694:AK694)</f>
        <v>1</v>
      </c>
      <c r="AE694" s="66"/>
      <c r="AF694" s="66"/>
      <c r="AG694" s="66"/>
      <c r="AH694" s="66"/>
      <c r="AI694" s="66">
        <v>1</v>
      </c>
      <c r="AJ694" s="66"/>
      <c r="AK694" s="66"/>
      <c r="AL694" s="54">
        <f>IF((AC694-SUM(AE694:AK694))&lt;0,0,AC694-SUM(AE694:AK694))</f>
        <v>0</v>
      </c>
      <c r="AM694" s="69">
        <f>SUM(AN694:AT694)</f>
        <v>1</v>
      </c>
      <c r="AN694" s="60"/>
      <c r="AO694" s="52"/>
      <c r="AP694" s="52"/>
      <c r="AQ694" s="52"/>
      <c r="AR694" s="52">
        <v>1</v>
      </c>
      <c r="AS694" s="52"/>
      <c r="AT694" s="61"/>
      <c r="AU694" s="54">
        <f>MAX(0,$AM694-$AC694-$AW694)</f>
        <v>0</v>
      </c>
      <c r="AV694" s="54"/>
      <c r="AW694" s="54"/>
      <c r="AX694" s="65">
        <v>0</v>
      </c>
      <c r="AY694" s="57">
        <f>IF(AND($AU694&gt;0,ISNUMBER($AX694)),$AU694*$AX694,0)</f>
        <v>0</v>
      </c>
      <c r="AZ694" s="46"/>
      <c r="BA694" s="52"/>
      <c r="BB694" s="52"/>
      <c r="BC694" s="52"/>
      <c r="BD694" s="52"/>
      <c r="BE694" s="52"/>
      <c r="BF694" s="52"/>
    </row>
    <row r="695" spans="1:58" ht="15" customHeight="1">
      <c r="A695" s="46" t="s">
        <v>3937</v>
      </c>
      <c r="B695" s="50" t="s">
        <v>3938</v>
      </c>
      <c r="C695" s="54" t="s">
        <v>118</v>
      </c>
      <c r="D695" s="74">
        <v>3</v>
      </c>
      <c r="E695" s="50" t="s">
        <v>81</v>
      </c>
      <c r="F695" s="50">
        <v>2</v>
      </c>
      <c r="G695" s="50">
        <v>1</v>
      </c>
      <c r="H695" s="51" t="s">
        <v>119</v>
      </c>
      <c r="I695" s="50" t="s">
        <v>3939</v>
      </c>
      <c r="J695" s="54" t="s">
        <v>73</v>
      </c>
      <c r="K695" s="56" t="s">
        <v>129</v>
      </c>
      <c r="L695" s="56" t="s">
        <v>3940</v>
      </c>
      <c r="M695" s="56"/>
      <c r="N695" s="56"/>
      <c r="O695" s="54"/>
      <c r="P695" s="56" t="s">
        <v>185</v>
      </c>
      <c r="Q695" s="56" t="s">
        <v>410</v>
      </c>
      <c r="R695" s="50"/>
      <c r="S695" s="50"/>
      <c r="T695" s="50"/>
      <c r="U695" s="50"/>
      <c r="V695" s="57">
        <v>0.32</v>
      </c>
      <c r="W695" s="68"/>
      <c r="X695" s="50"/>
      <c r="Y695" s="50"/>
      <c r="Z695" s="50"/>
      <c r="AA695" s="50"/>
      <c r="AB695" s="57"/>
      <c r="AC695" s="54">
        <v>1</v>
      </c>
      <c r="AD695" s="69">
        <f>SUM(AE695:AK695)</f>
        <v>1</v>
      </c>
      <c r="AE695" s="66"/>
      <c r="AF695" s="66"/>
      <c r="AG695" s="66"/>
      <c r="AH695" s="66"/>
      <c r="AI695" s="66">
        <v>1</v>
      </c>
      <c r="AJ695" s="66"/>
      <c r="AK695" s="66"/>
      <c r="AL695" s="54">
        <f>IF((AC695-SUM(AE695:AK695))&lt;0,0,AC695-SUM(AE695:AK695))</f>
        <v>0</v>
      </c>
      <c r="AM695" s="69">
        <f>SUM(AN695:AT695)</f>
        <v>1</v>
      </c>
      <c r="AN695" s="60"/>
      <c r="AO695" s="52"/>
      <c r="AP695" s="52"/>
      <c r="AQ695" s="52"/>
      <c r="AR695" s="52">
        <v>1</v>
      </c>
      <c r="AS695" s="52"/>
      <c r="AT695" s="61"/>
      <c r="AU695" s="54">
        <f>MAX(0,$AM695-$AC695-$AW695)</f>
        <v>0</v>
      </c>
      <c r="AV695" s="54"/>
      <c r="AW695" s="54"/>
      <c r="AX695" s="65">
        <v>0</v>
      </c>
      <c r="AY695" s="57">
        <f>IF(AND($AU695&gt;0,ISNUMBER($AX695)),$AU695*$AX695,0)</f>
        <v>0</v>
      </c>
      <c r="AZ695" s="46"/>
      <c r="BA695" s="52"/>
      <c r="BB695" s="52"/>
      <c r="BC695" s="52"/>
      <c r="BD695" s="52"/>
      <c r="BE695" s="52"/>
      <c r="BF695" s="52"/>
    </row>
    <row r="696" spans="1:58" ht="15" customHeight="1">
      <c r="A696" s="46" t="s">
        <v>3941</v>
      </c>
      <c r="B696" s="50" t="s">
        <v>3942</v>
      </c>
      <c r="C696" s="54" t="s">
        <v>80</v>
      </c>
      <c r="D696" s="74">
        <v>2</v>
      </c>
      <c r="E696" s="50" t="s">
        <v>81</v>
      </c>
      <c r="F696" s="50">
        <v>1</v>
      </c>
      <c r="G696" s="50">
        <v>5</v>
      </c>
      <c r="H696" s="51" t="s">
        <v>2833</v>
      </c>
      <c r="I696" s="50" t="s">
        <v>3943</v>
      </c>
      <c r="J696" s="54" t="s">
        <v>73</v>
      </c>
      <c r="K696" s="56" t="s">
        <v>202</v>
      </c>
      <c r="L696" s="56" t="s">
        <v>3944</v>
      </c>
      <c r="M696" s="56"/>
      <c r="N696" s="56"/>
      <c r="O696" s="54"/>
      <c r="P696" s="56" t="s">
        <v>76</v>
      </c>
      <c r="Q696" s="56" t="s">
        <v>2307</v>
      </c>
      <c r="R696" s="50"/>
      <c r="S696" s="50"/>
      <c r="T696" s="50"/>
      <c r="U696" s="50"/>
      <c r="V696" s="57">
        <v>0.28999999999999998</v>
      </c>
      <c r="W696" s="68"/>
      <c r="X696" s="50"/>
      <c r="Y696" s="50"/>
      <c r="Z696" s="50"/>
      <c r="AA696" s="50"/>
      <c r="AB696" s="57"/>
      <c r="AC696" s="54">
        <v>1</v>
      </c>
      <c r="AD696" s="69">
        <f>SUM(AE696:AK696)</f>
        <v>0</v>
      </c>
      <c r="AE696" s="66"/>
      <c r="AF696" s="66"/>
      <c r="AG696" s="66"/>
      <c r="AH696" s="66"/>
      <c r="AI696" s="66"/>
      <c r="AJ696" s="66"/>
      <c r="AK696" s="66"/>
      <c r="AL696" s="54">
        <f>IF((AC696-SUM(AE696:AK696))&lt;0,0,AC696-SUM(AE696:AK696))</f>
        <v>1</v>
      </c>
      <c r="AM696" s="69">
        <f>SUM(AN696:AT696)</f>
        <v>0</v>
      </c>
      <c r="AN696" s="70"/>
      <c r="AO696" s="54"/>
      <c r="AP696" s="54"/>
      <c r="AQ696" s="54"/>
      <c r="AR696" s="54"/>
      <c r="AS696" s="54"/>
      <c r="AT696" s="71"/>
      <c r="AU696" s="54">
        <f>MAX(0,$AM696-$AC696-$AW696)</f>
        <v>0</v>
      </c>
      <c r="AV696" s="54"/>
      <c r="AW696" s="54"/>
      <c r="AX696" s="65">
        <v>0</v>
      </c>
      <c r="AY696" s="57">
        <f>IF(AND($AU696&gt;0,ISNUMBER($AX696)),$AU696*$AX696,0)</f>
        <v>0</v>
      </c>
      <c r="AZ696" s="72"/>
      <c r="BA696" s="73"/>
      <c r="BB696" s="73"/>
      <c r="BC696" s="73"/>
      <c r="BD696" s="73"/>
      <c r="BE696" s="73"/>
      <c r="BF696" s="73"/>
    </row>
    <row r="697" spans="1:58" ht="15" customHeight="1">
      <c r="A697" s="46" t="s">
        <v>3945</v>
      </c>
      <c r="B697" s="50" t="s">
        <v>3946</v>
      </c>
      <c r="C697" s="54" t="s">
        <v>118</v>
      </c>
      <c r="D697" s="74">
        <v>4</v>
      </c>
      <c r="E697" s="50" t="s">
        <v>81</v>
      </c>
      <c r="F697" s="50">
        <v>0</v>
      </c>
      <c r="G697" s="50">
        <v>3</v>
      </c>
      <c r="H697" s="51" t="s">
        <v>119</v>
      </c>
      <c r="I697" s="50" t="s">
        <v>3947</v>
      </c>
      <c r="J697" s="54" t="s">
        <v>73</v>
      </c>
      <c r="K697" s="56" t="s">
        <v>129</v>
      </c>
      <c r="L697" s="56" t="s">
        <v>3948</v>
      </c>
      <c r="M697" s="56" t="s">
        <v>3949</v>
      </c>
      <c r="N697" s="56"/>
      <c r="O697" s="54"/>
      <c r="P697" s="56" t="s">
        <v>185</v>
      </c>
      <c r="Q697" s="56" t="s">
        <v>528</v>
      </c>
      <c r="R697" s="50"/>
      <c r="S697" s="50"/>
      <c r="T697" s="50"/>
      <c r="U697" s="50"/>
      <c r="V697" s="57">
        <v>0.32</v>
      </c>
      <c r="W697" s="68"/>
      <c r="X697" s="50"/>
      <c r="Y697" s="50"/>
      <c r="Z697" s="50"/>
      <c r="AA697" s="50"/>
      <c r="AB697" s="57"/>
      <c r="AC697" s="54">
        <v>1</v>
      </c>
      <c r="AD697" s="69">
        <f>SUM(AE697:AK697)</f>
        <v>1</v>
      </c>
      <c r="AE697" s="66"/>
      <c r="AF697" s="66"/>
      <c r="AG697" s="66"/>
      <c r="AH697" s="66">
        <v>1</v>
      </c>
      <c r="AI697" s="66"/>
      <c r="AJ697" s="66"/>
      <c r="AK697" s="66"/>
      <c r="AL697" s="54">
        <f>IF((AC697-SUM(AE697:AK697))&lt;0,0,AC697-SUM(AE697:AK697))</f>
        <v>0</v>
      </c>
      <c r="AM697" s="69">
        <f>SUM(AN697:AT697)</f>
        <v>1</v>
      </c>
      <c r="AN697" s="60"/>
      <c r="AO697" s="52"/>
      <c r="AP697" s="52"/>
      <c r="AQ697" s="52">
        <v>1</v>
      </c>
      <c r="AR697" s="52"/>
      <c r="AS697" s="52"/>
      <c r="AT697" s="61"/>
      <c r="AU697" s="54">
        <f>MAX(0,$AM697-$AC697-$AW697)</f>
        <v>0</v>
      </c>
      <c r="AV697" s="54"/>
      <c r="AW697" s="54"/>
      <c r="AX697" s="65">
        <v>0</v>
      </c>
      <c r="AY697" s="57">
        <f>IF(AND($AU697&gt;0,ISNUMBER($AX697)),$AU697*$AX697,0)</f>
        <v>0</v>
      </c>
      <c r="AZ697" s="46"/>
      <c r="BA697" s="52"/>
      <c r="BB697" s="52"/>
      <c r="BC697" s="52"/>
      <c r="BD697" s="52"/>
      <c r="BE697" s="52"/>
      <c r="BF697" s="52"/>
    </row>
    <row r="698" spans="1:58" ht="15" customHeight="1">
      <c r="A698" s="46" t="s">
        <v>3950</v>
      </c>
      <c r="B698" s="50" t="s">
        <v>3951</v>
      </c>
      <c r="C698" s="54" t="s">
        <v>70</v>
      </c>
      <c r="D698" s="74">
        <v>2</v>
      </c>
      <c r="E698" s="50" t="s">
        <v>81</v>
      </c>
      <c r="F698" s="50">
        <v>2</v>
      </c>
      <c r="G698" s="50">
        <v>2</v>
      </c>
      <c r="H698" s="51" t="s">
        <v>1156</v>
      </c>
      <c r="I698" s="50" t="s">
        <v>3952</v>
      </c>
      <c r="J698" s="54" t="s">
        <v>73</v>
      </c>
      <c r="K698" s="56" t="s">
        <v>676</v>
      </c>
      <c r="L698" s="56" t="s">
        <v>817</v>
      </c>
      <c r="M698" s="56" t="s">
        <v>3953</v>
      </c>
      <c r="N698" s="56"/>
      <c r="O698" s="54"/>
      <c r="P698" s="56" t="s">
        <v>114</v>
      </c>
      <c r="Q698" s="56" t="s">
        <v>575</v>
      </c>
      <c r="R698" s="50"/>
      <c r="S698" s="50"/>
      <c r="T698" s="50"/>
      <c r="U698" s="56"/>
      <c r="V698" s="57">
        <v>0.32</v>
      </c>
      <c r="W698" s="68"/>
      <c r="X698" s="50"/>
      <c r="Y698" s="50"/>
      <c r="Z698" s="50"/>
      <c r="AA698" s="56"/>
      <c r="AB698" s="57"/>
      <c r="AC698" s="54">
        <v>1</v>
      </c>
      <c r="AD698" s="69">
        <f>SUM(AE698:AK698)</f>
        <v>0</v>
      </c>
      <c r="AE698" s="66"/>
      <c r="AF698" s="66"/>
      <c r="AG698" s="66"/>
      <c r="AH698" s="66"/>
      <c r="AI698" s="66"/>
      <c r="AJ698" s="66"/>
      <c r="AK698" s="66"/>
      <c r="AL698" s="54">
        <f>IF((AC698-SUM(AE698:AK698))&lt;0,0,AC698-SUM(AE698:AK698))</f>
        <v>1</v>
      </c>
      <c r="AM698" s="69">
        <f>SUM(AN698:AT698)</f>
        <v>0</v>
      </c>
      <c r="AN698" s="60"/>
      <c r="AO698" s="52"/>
      <c r="AP698" s="52"/>
      <c r="AQ698" s="52"/>
      <c r="AR698" s="52"/>
      <c r="AS698" s="52"/>
      <c r="AT698" s="61"/>
      <c r="AU698" s="54">
        <f>MAX(0,$AM698-$AC698-$AW698)</f>
        <v>0</v>
      </c>
      <c r="AV698" s="54"/>
      <c r="AW698" s="54"/>
      <c r="AX698" s="65">
        <v>0</v>
      </c>
      <c r="AY698" s="57">
        <f>IF(AND($AU698&gt;0,ISNUMBER($AX698)),$AU698*$AX698,0)</f>
        <v>0</v>
      </c>
      <c r="AZ698" s="46"/>
      <c r="BA698" s="52"/>
      <c r="BB698" s="52"/>
      <c r="BC698" s="52"/>
      <c r="BD698" s="52"/>
      <c r="BE698" s="52"/>
      <c r="BF698" s="52"/>
    </row>
    <row r="699" spans="1:58" ht="15" customHeight="1">
      <c r="A699" s="46" t="s">
        <v>3954</v>
      </c>
      <c r="B699" s="50" t="s">
        <v>3955</v>
      </c>
      <c r="C699" s="54" t="s">
        <v>118</v>
      </c>
      <c r="D699" s="74">
        <v>2</v>
      </c>
      <c r="E699" s="50" t="s">
        <v>81</v>
      </c>
      <c r="F699" s="50">
        <v>2</v>
      </c>
      <c r="G699" s="50">
        <v>2</v>
      </c>
      <c r="H699" s="51" t="s">
        <v>3956</v>
      </c>
      <c r="I699" s="50" t="s">
        <v>3957</v>
      </c>
      <c r="J699" s="54" t="s">
        <v>73</v>
      </c>
      <c r="K699" s="56" t="s">
        <v>202</v>
      </c>
      <c r="L699" s="56" t="s">
        <v>3958</v>
      </c>
      <c r="M699" s="56"/>
      <c r="N699" s="56"/>
      <c r="O699" s="54"/>
      <c r="P699" s="56" t="s">
        <v>86</v>
      </c>
      <c r="Q699" s="56" t="s">
        <v>229</v>
      </c>
      <c r="R699" s="50"/>
      <c r="S699" s="50"/>
      <c r="T699" s="50"/>
      <c r="U699" s="50"/>
      <c r="V699" s="57">
        <v>0.31</v>
      </c>
      <c r="W699" s="68"/>
      <c r="X699" s="50"/>
      <c r="Y699" s="50"/>
      <c r="Z699" s="50"/>
      <c r="AA699" s="50"/>
      <c r="AB699" s="57"/>
      <c r="AC699" s="54">
        <v>1</v>
      </c>
      <c r="AD699" s="69">
        <f>SUM(AE699:AK699)</f>
        <v>1</v>
      </c>
      <c r="AE699" s="66"/>
      <c r="AF699" s="66">
        <v>1</v>
      </c>
      <c r="AG699" s="66"/>
      <c r="AH699" s="66"/>
      <c r="AI699" s="66"/>
      <c r="AJ699" s="66"/>
      <c r="AK699" s="66"/>
      <c r="AL699" s="54">
        <f>IF((AC699-SUM(AE699:AK699))&lt;0,0,AC699-SUM(AE699:AK699))</f>
        <v>0</v>
      </c>
      <c r="AM699" s="69">
        <f>SUM(AN699:AT699)</f>
        <v>1</v>
      </c>
      <c r="AN699" s="60"/>
      <c r="AO699" s="52">
        <v>1</v>
      </c>
      <c r="AP699" s="52"/>
      <c r="AQ699" s="52"/>
      <c r="AR699" s="52"/>
      <c r="AS699" s="52"/>
      <c r="AT699" s="61"/>
      <c r="AU699" s="54">
        <f>MAX(0,$AM699-$AC699-$AW699)</f>
        <v>0</v>
      </c>
      <c r="AV699" s="54"/>
      <c r="AW699" s="54"/>
      <c r="AX699" s="65">
        <v>0</v>
      </c>
      <c r="AY699" s="57">
        <f>IF(AND($AU699&gt;0,ISNUMBER($AX699)),$AU699*$AX699,0)</f>
        <v>0</v>
      </c>
      <c r="AZ699" s="46"/>
      <c r="BA699" s="52"/>
      <c r="BB699" s="52"/>
      <c r="BC699" s="52"/>
      <c r="BD699" s="52"/>
      <c r="BE699" s="52"/>
      <c r="BF699" s="52"/>
    </row>
    <row r="700" spans="1:58" ht="15" customHeight="1">
      <c r="A700" s="46" t="s">
        <v>3959</v>
      </c>
      <c r="B700" s="50" t="s">
        <v>3960</v>
      </c>
      <c r="C700" s="54" t="s">
        <v>181</v>
      </c>
      <c r="D700" s="74">
        <v>3</v>
      </c>
      <c r="E700" s="50" t="s">
        <v>71</v>
      </c>
      <c r="F700" s="50"/>
      <c r="G700" s="50"/>
      <c r="H700" s="51"/>
      <c r="I700" s="50" t="s">
        <v>3961</v>
      </c>
      <c r="J700" s="54" t="s">
        <v>73</v>
      </c>
      <c r="K700" s="56" t="s">
        <v>92</v>
      </c>
      <c r="L700" s="56" t="s">
        <v>3962</v>
      </c>
      <c r="M700" s="56" t="s">
        <v>3963</v>
      </c>
      <c r="N700" s="56"/>
      <c r="O700" s="54"/>
      <c r="P700" s="56" t="s">
        <v>76</v>
      </c>
      <c r="Q700" s="56" t="s">
        <v>2129</v>
      </c>
      <c r="R700" s="50"/>
      <c r="S700" s="50"/>
      <c r="T700" s="50"/>
      <c r="U700" s="50"/>
      <c r="V700" s="57">
        <v>0.31</v>
      </c>
      <c r="W700" s="68"/>
      <c r="X700" s="50"/>
      <c r="Y700" s="50"/>
      <c r="Z700" s="50"/>
      <c r="AA700" s="50"/>
      <c r="AB700" s="57"/>
      <c r="AC700" s="54">
        <v>1</v>
      </c>
      <c r="AD700" s="69">
        <f>SUM(AE700:AK700)</f>
        <v>0</v>
      </c>
      <c r="AE700" s="66"/>
      <c r="AF700" s="66"/>
      <c r="AG700" s="66"/>
      <c r="AH700" s="66"/>
      <c r="AI700" s="66"/>
      <c r="AJ700" s="66"/>
      <c r="AK700" s="66"/>
      <c r="AL700" s="54">
        <f>IF((AC700-SUM(AE700:AK700))&lt;0,0,AC700-SUM(AE700:AK700))</f>
        <v>1</v>
      </c>
      <c r="AM700" s="69">
        <f>SUM(AN700:AT700)</f>
        <v>0</v>
      </c>
      <c r="AN700" s="60"/>
      <c r="AO700" s="52"/>
      <c r="AP700" s="52"/>
      <c r="AQ700" s="52"/>
      <c r="AR700" s="52"/>
      <c r="AS700" s="52"/>
      <c r="AT700" s="61"/>
      <c r="AU700" s="54">
        <f>MAX(0,$AM700-$AC700-$AW700)</f>
        <v>0</v>
      </c>
      <c r="AV700" s="54"/>
      <c r="AW700" s="54"/>
      <c r="AX700" s="65">
        <v>0</v>
      </c>
      <c r="AY700" s="57">
        <f>IF(AND($AU700&gt;0,ISNUMBER($AX700)),$AU700*$AX700,0)</f>
        <v>0</v>
      </c>
      <c r="AZ700" s="46"/>
      <c r="BA700" s="52"/>
      <c r="BB700" s="52"/>
      <c r="BC700" s="52"/>
      <c r="BD700" s="52"/>
      <c r="BE700" s="52"/>
      <c r="BF700" s="52"/>
    </row>
    <row r="701" spans="1:58" ht="15" customHeight="1">
      <c r="A701" s="46" t="s">
        <v>3964</v>
      </c>
      <c r="B701" s="50" t="s">
        <v>3965</v>
      </c>
      <c r="C701" s="54" t="s">
        <v>109</v>
      </c>
      <c r="D701" s="74">
        <v>5</v>
      </c>
      <c r="E701" s="50" t="s">
        <v>81</v>
      </c>
      <c r="F701" s="50">
        <v>3</v>
      </c>
      <c r="G701" s="50">
        <v>2</v>
      </c>
      <c r="H701" s="51" t="s">
        <v>1019</v>
      </c>
      <c r="I701" s="50" t="s">
        <v>3966</v>
      </c>
      <c r="J701" s="54" t="s">
        <v>73</v>
      </c>
      <c r="K701" s="56" t="s">
        <v>92</v>
      </c>
      <c r="L701" s="56" t="s">
        <v>3967</v>
      </c>
      <c r="M701" s="56" t="s">
        <v>3968</v>
      </c>
      <c r="N701" s="56"/>
      <c r="O701" s="54"/>
      <c r="P701" s="56" t="s">
        <v>76</v>
      </c>
      <c r="Q701" s="56" t="s">
        <v>2757</v>
      </c>
      <c r="R701" s="54"/>
      <c r="S701" s="54"/>
      <c r="T701" s="54"/>
      <c r="U701" s="54"/>
      <c r="V701" s="57">
        <v>0.31</v>
      </c>
      <c r="W701" s="68"/>
      <c r="X701" s="54"/>
      <c r="Y701" s="54"/>
      <c r="Z701" s="54"/>
      <c r="AA701" s="54"/>
      <c r="AB701" s="57"/>
      <c r="AC701" s="54">
        <v>1</v>
      </c>
      <c r="AD701" s="69">
        <f>SUM(AE701:AK701)</f>
        <v>1</v>
      </c>
      <c r="AE701" s="66"/>
      <c r="AF701" s="66">
        <v>1</v>
      </c>
      <c r="AG701" s="66"/>
      <c r="AH701" s="66"/>
      <c r="AI701" s="66"/>
      <c r="AJ701" s="66"/>
      <c r="AK701" s="66"/>
      <c r="AL701" s="54">
        <f>IF((AC701-SUM(AE701:AK701))&lt;0,0,AC701-SUM(AE701:AK701))</f>
        <v>0</v>
      </c>
      <c r="AM701" s="69">
        <f>SUM(AN701:AT701)</f>
        <v>0</v>
      </c>
      <c r="AN701" s="60"/>
      <c r="AO701" s="52"/>
      <c r="AP701" s="52"/>
      <c r="AQ701" s="52"/>
      <c r="AR701" s="52"/>
      <c r="AS701" s="52"/>
      <c r="AT701" s="61"/>
      <c r="AU701" s="54">
        <f>MAX(0,$AM701-$AC701-$AW701)</f>
        <v>0</v>
      </c>
      <c r="AV701" s="54"/>
      <c r="AW701" s="54"/>
      <c r="AX701" s="65">
        <v>0</v>
      </c>
      <c r="AY701" s="57">
        <f>IF(AND($AU701&gt;0,ISNUMBER($AX701)),$AU701*$AX701,0)</f>
        <v>0</v>
      </c>
      <c r="AZ701" s="46"/>
      <c r="BA701" s="52" t="s">
        <v>198</v>
      </c>
      <c r="BB701" s="52"/>
      <c r="BC701" s="52"/>
      <c r="BD701" s="52"/>
      <c r="BE701" s="52"/>
      <c r="BF701" s="52"/>
    </row>
    <row r="702" spans="1:58" ht="15" customHeight="1">
      <c r="A702" s="46" t="s">
        <v>3969</v>
      </c>
      <c r="B702" s="50" t="s">
        <v>3970</v>
      </c>
      <c r="C702" s="54" t="s">
        <v>80</v>
      </c>
      <c r="D702" s="74">
        <v>6</v>
      </c>
      <c r="E702" s="50" t="s">
        <v>81</v>
      </c>
      <c r="F702" s="50">
        <v>3</v>
      </c>
      <c r="G702" s="50">
        <v>3</v>
      </c>
      <c r="H702" s="51" t="s">
        <v>1019</v>
      </c>
      <c r="I702" s="50" t="s">
        <v>3971</v>
      </c>
      <c r="J702" s="54" t="s">
        <v>73</v>
      </c>
      <c r="K702" s="56" t="s">
        <v>92</v>
      </c>
      <c r="L702" s="56" t="s">
        <v>3972</v>
      </c>
      <c r="M702" s="56"/>
      <c r="N702" s="56"/>
      <c r="O702" s="54"/>
      <c r="P702" s="56" t="s">
        <v>185</v>
      </c>
      <c r="Q702" s="56" t="s">
        <v>669</v>
      </c>
      <c r="R702" s="54"/>
      <c r="S702" s="54"/>
      <c r="T702" s="54"/>
      <c r="U702" s="54"/>
      <c r="V702" s="57">
        <v>0.31</v>
      </c>
      <c r="W702" s="68"/>
      <c r="X702" s="54"/>
      <c r="Y702" s="54"/>
      <c r="Z702" s="54"/>
      <c r="AA702" s="54"/>
      <c r="AB702" s="57"/>
      <c r="AC702" s="54">
        <v>1</v>
      </c>
      <c r="AD702" s="69">
        <f>SUM(AE702:AK702)</f>
        <v>1</v>
      </c>
      <c r="AE702" s="66"/>
      <c r="AF702" s="66">
        <v>1</v>
      </c>
      <c r="AG702" s="66"/>
      <c r="AH702" s="66"/>
      <c r="AI702" s="66"/>
      <c r="AJ702" s="66"/>
      <c r="AK702" s="66"/>
      <c r="AL702" s="54">
        <f>IF((AC702-SUM(AE702:AK702))&lt;0,0,AC702-SUM(AE702:AK702))</f>
        <v>0</v>
      </c>
      <c r="AM702" s="69">
        <f>SUM(AN702:AT702)</f>
        <v>0</v>
      </c>
      <c r="AN702" s="60"/>
      <c r="AO702" s="52"/>
      <c r="AP702" s="52"/>
      <c r="AQ702" s="52"/>
      <c r="AR702" s="52"/>
      <c r="AS702" s="52"/>
      <c r="AT702" s="61"/>
      <c r="AU702" s="54">
        <f>MAX(0,$AM702-$AC702-$AW702)</f>
        <v>0</v>
      </c>
      <c r="AV702" s="54"/>
      <c r="AW702" s="54"/>
      <c r="AX702" s="65">
        <v>0</v>
      </c>
      <c r="AY702" s="57">
        <f>IF(AND($AU702&gt;0,ISNUMBER($AX702)),$AU702*$AX702,0)</f>
        <v>0</v>
      </c>
      <c r="AZ702" s="46"/>
      <c r="BA702" s="52" t="s">
        <v>250</v>
      </c>
      <c r="BB702" s="52"/>
      <c r="BC702" s="52"/>
      <c r="BD702" s="52"/>
      <c r="BE702" s="52"/>
      <c r="BF702" s="52"/>
    </row>
    <row r="703" spans="1:58" ht="15" customHeight="1">
      <c r="A703" s="46" t="s">
        <v>3973</v>
      </c>
      <c r="B703" s="50" t="s">
        <v>3974</v>
      </c>
      <c r="C703" s="54" t="s">
        <v>80</v>
      </c>
      <c r="D703" s="74">
        <v>1</v>
      </c>
      <c r="E703" s="50" t="s">
        <v>110</v>
      </c>
      <c r="F703" s="50">
        <v>1</v>
      </c>
      <c r="G703" s="50">
        <v>2</v>
      </c>
      <c r="H703" s="51" t="s">
        <v>3975</v>
      </c>
      <c r="I703" s="50" t="s">
        <v>3976</v>
      </c>
      <c r="J703" s="54" t="s">
        <v>73</v>
      </c>
      <c r="K703" s="56" t="s">
        <v>1099</v>
      </c>
      <c r="L703" s="56" t="s">
        <v>3977</v>
      </c>
      <c r="M703" s="56" t="s">
        <v>3978</v>
      </c>
      <c r="N703" s="56"/>
      <c r="O703" s="56">
        <v>1848</v>
      </c>
      <c r="P703" s="56" t="s">
        <v>185</v>
      </c>
      <c r="Q703" s="56" t="s">
        <v>729</v>
      </c>
      <c r="R703" s="54"/>
      <c r="S703" s="54"/>
      <c r="T703" s="54"/>
      <c r="U703" s="56"/>
      <c r="V703" s="57">
        <v>0.31</v>
      </c>
      <c r="W703" s="68"/>
      <c r="X703" s="54"/>
      <c r="Y703" s="54"/>
      <c r="Z703" s="54"/>
      <c r="AA703" s="56"/>
      <c r="AB703" s="57"/>
      <c r="AC703" s="54">
        <v>1</v>
      </c>
      <c r="AD703" s="69">
        <f>SUM(AE703:AK703)</f>
        <v>0</v>
      </c>
      <c r="AE703" s="66"/>
      <c r="AF703" s="66"/>
      <c r="AG703" s="66"/>
      <c r="AH703" s="66"/>
      <c r="AI703" s="66"/>
      <c r="AJ703" s="66"/>
      <c r="AK703" s="66"/>
      <c r="AL703" s="54">
        <f>IF((AC703-SUM(AE703:AK703))&lt;0,0,AC703-SUM(AE703:AK703))</f>
        <v>1</v>
      </c>
      <c r="AM703" s="69">
        <f>SUM(AN703:AT703)</f>
        <v>0</v>
      </c>
      <c r="AN703" s="60"/>
      <c r="AO703" s="52"/>
      <c r="AP703" s="52"/>
      <c r="AQ703" s="52"/>
      <c r="AR703" s="52"/>
      <c r="AS703" s="52"/>
      <c r="AT703" s="61"/>
      <c r="AU703" s="54">
        <f>MAX(0,$AM703-$AC703-$AW703)</f>
        <v>0</v>
      </c>
      <c r="AV703" s="54"/>
      <c r="AW703" s="54"/>
      <c r="AX703" s="65">
        <v>0</v>
      </c>
      <c r="AY703" s="57">
        <f>IF(AND($AU703&gt;0,ISNUMBER($AX703)),$AU703*$AX703,0)</f>
        <v>0</v>
      </c>
      <c r="AZ703" s="46"/>
      <c r="BA703" s="52"/>
      <c r="BB703" s="52"/>
      <c r="BC703" s="52"/>
      <c r="BD703" s="52"/>
      <c r="BE703" s="52"/>
      <c r="BF703" s="52"/>
    </row>
    <row r="704" spans="1:58" ht="15" customHeight="1">
      <c r="A704" s="46" t="s">
        <v>3979</v>
      </c>
      <c r="B704" s="50" t="s">
        <v>3980</v>
      </c>
      <c r="C704" s="54" t="s">
        <v>101</v>
      </c>
      <c r="D704" s="74">
        <v>3</v>
      </c>
      <c r="E704" s="50" t="s">
        <v>81</v>
      </c>
      <c r="F704" s="50">
        <v>2</v>
      </c>
      <c r="G704" s="50">
        <v>2</v>
      </c>
      <c r="H704" s="51" t="s">
        <v>3981</v>
      </c>
      <c r="I704" s="50" t="s">
        <v>3982</v>
      </c>
      <c r="J704" s="54" t="s">
        <v>73</v>
      </c>
      <c r="K704" s="56" t="s">
        <v>121</v>
      </c>
      <c r="L704" s="56" t="s">
        <v>3983</v>
      </c>
      <c r="M704" s="56"/>
      <c r="N704" s="56"/>
      <c r="O704" s="54"/>
      <c r="P704" s="56" t="s">
        <v>76</v>
      </c>
      <c r="Q704" s="56" t="s">
        <v>928</v>
      </c>
      <c r="R704" s="50"/>
      <c r="S704" s="50"/>
      <c r="T704" s="50"/>
      <c r="U704" s="56"/>
      <c r="V704" s="57">
        <v>0.31</v>
      </c>
      <c r="W704" s="68"/>
      <c r="X704" s="50"/>
      <c r="Y704" s="50"/>
      <c r="Z704" s="50"/>
      <c r="AA704" s="56"/>
      <c r="AB704" s="57"/>
      <c r="AC704" s="54">
        <v>1</v>
      </c>
      <c r="AD704" s="69">
        <f>SUM(AE704:AK704)</f>
        <v>0</v>
      </c>
      <c r="AE704" s="66"/>
      <c r="AF704" s="66"/>
      <c r="AG704" s="66"/>
      <c r="AH704" s="66"/>
      <c r="AI704" s="66"/>
      <c r="AJ704" s="66"/>
      <c r="AK704" s="66"/>
      <c r="AL704" s="54">
        <f>IF((AC704-SUM(AE704:AK704))&lt;0,0,AC704-SUM(AE704:AK704))</f>
        <v>1</v>
      </c>
      <c r="AM704" s="69">
        <f>SUM(AN704:AT704)</f>
        <v>0</v>
      </c>
      <c r="AN704" s="60"/>
      <c r="AO704" s="52"/>
      <c r="AP704" s="52"/>
      <c r="AQ704" s="52"/>
      <c r="AR704" s="52"/>
      <c r="AS704" s="52"/>
      <c r="AT704" s="61"/>
      <c r="AU704" s="54">
        <f>MAX(0,$AM704-$AC704-$AW704)</f>
        <v>0</v>
      </c>
      <c r="AV704" s="54"/>
      <c r="AW704" s="54"/>
      <c r="AX704" s="65">
        <v>0</v>
      </c>
      <c r="AY704" s="57">
        <f>IF(AND($AU704&gt;0,ISNUMBER($AX704)),$AU704*$AX704,0)</f>
        <v>0</v>
      </c>
      <c r="AZ704" s="46"/>
      <c r="BA704" s="52"/>
      <c r="BB704" s="52"/>
      <c r="BC704" s="52"/>
      <c r="BD704" s="52"/>
      <c r="BE704" s="52"/>
      <c r="BF704" s="52"/>
    </row>
    <row r="705" spans="1:58" ht="15" customHeight="1">
      <c r="A705" s="46" t="s">
        <v>3984</v>
      </c>
      <c r="B705" s="50" t="s">
        <v>3985</v>
      </c>
      <c r="C705" s="54" t="s">
        <v>118</v>
      </c>
      <c r="D705" s="74">
        <v>2</v>
      </c>
      <c r="E705" s="50" t="s">
        <v>266</v>
      </c>
      <c r="F705" s="50">
        <v>0</v>
      </c>
      <c r="G705" s="50">
        <v>5</v>
      </c>
      <c r="H705" s="51" t="s">
        <v>3986</v>
      </c>
      <c r="I705" s="50" t="s">
        <v>3987</v>
      </c>
      <c r="J705" s="54" t="s">
        <v>73</v>
      </c>
      <c r="K705" s="56" t="s">
        <v>121</v>
      </c>
      <c r="L705" s="56" t="s">
        <v>3988</v>
      </c>
      <c r="M705" s="56"/>
      <c r="N705" s="56"/>
      <c r="O705" s="54"/>
      <c r="P705" s="56" t="s">
        <v>185</v>
      </c>
      <c r="Q705" s="56" t="s">
        <v>3989</v>
      </c>
      <c r="R705" s="50"/>
      <c r="S705" s="50"/>
      <c r="T705" s="50"/>
      <c r="U705" s="50"/>
      <c r="V705" s="57">
        <v>0.31</v>
      </c>
      <c r="W705" s="68"/>
      <c r="X705" s="50"/>
      <c r="Y705" s="50"/>
      <c r="Z705" s="50"/>
      <c r="AA705" s="50"/>
      <c r="AB705" s="57"/>
      <c r="AC705" s="54">
        <v>1</v>
      </c>
      <c r="AD705" s="69">
        <f>SUM(AE705:AK705)</f>
        <v>1</v>
      </c>
      <c r="AE705" s="66"/>
      <c r="AF705" s="66"/>
      <c r="AG705" s="66"/>
      <c r="AH705" s="66">
        <v>1</v>
      </c>
      <c r="AI705" s="66"/>
      <c r="AJ705" s="66"/>
      <c r="AK705" s="66"/>
      <c r="AL705" s="54">
        <f>IF((AC705-SUM(AE705:AK705))&lt;0,0,AC705-SUM(AE705:AK705))</f>
        <v>0</v>
      </c>
      <c r="AM705" s="69">
        <f>SUM(AN705:AT705)</f>
        <v>1</v>
      </c>
      <c r="AN705" s="60"/>
      <c r="AO705" s="52"/>
      <c r="AP705" s="52"/>
      <c r="AQ705" s="52">
        <v>1</v>
      </c>
      <c r="AR705" s="52"/>
      <c r="AS705" s="52"/>
      <c r="AT705" s="61"/>
      <c r="AU705" s="54">
        <f>MAX(0,$AM705-$AC705-$AW705)</f>
        <v>0</v>
      </c>
      <c r="AV705" s="54"/>
      <c r="AW705" s="54"/>
      <c r="AX705" s="65">
        <v>0</v>
      </c>
      <c r="AY705" s="57">
        <f>IF(AND($AU705&gt;0,ISNUMBER($AX705)),$AU705*$AX705,0)</f>
        <v>0</v>
      </c>
      <c r="AZ705" s="46"/>
      <c r="BA705" s="52"/>
      <c r="BB705" s="52"/>
      <c r="BC705" s="52"/>
      <c r="BD705" s="52"/>
      <c r="BE705" s="52"/>
      <c r="BF705" s="52"/>
    </row>
    <row r="706" spans="1:58" ht="15" customHeight="1">
      <c r="A706" s="46" t="s">
        <v>3990</v>
      </c>
      <c r="B706" s="46" t="s">
        <v>3991</v>
      </c>
      <c r="C706" s="52" t="s">
        <v>118</v>
      </c>
      <c r="D706" s="75">
        <v>4</v>
      </c>
      <c r="E706" s="46" t="s">
        <v>384</v>
      </c>
      <c r="F706" s="50"/>
      <c r="G706" s="50"/>
      <c r="H706" s="51"/>
      <c r="I706" s="50" t="s">
        <v>3992</v>
      </c>
      <c r="J706" s="52" t="s">
        <v>73</v>
      </c>
      <c r="K706" s="46" t="s">
        <v>84</v>
      </c>
      <c r="L706" s="50" t="s">
        <v>3993</v>
      </c>
      <c r="M706" s="50" t="s">
        <v>3994</v>
      </c>
      <c r="N706" s="50"/>
      <c r="O706" s="54"/>
      <c r="P706" s="56" t="s">
        <v>86</v>
      </c>
      <c r="Q706" s="46" t="s">
        <v>633</v>
      </c>
      <c r="R706" s="75" t="s">
        <v>3995</v>
      </c>
      <c r="S706" s="75">
        <v>1</v>
      </c>
      <c r="T706" s="75">
        <v>0</v>
      </c>
      <c r="U706" s="56" t="s">
        <v>2798</v>
      </c>
      <c r="V706" s="57">
        <v>0.31</v>
      </c>
      <c r="W706" s="68"/>
      <c r="X706" s="50"/>
      <c r="Y706" s="46"/>
      <c r="Z706" s="46"/>
      <c r="AA706" s="56"/>
      <c r="AB706" s="57"/>
      <c r="AC706" s="54">
        <v>1</v>
      </c>
      <c r="AD706" s="69">
        <f>SUM(AE706:AK706)</f>
        <v>0</v>
      </c>
      <c r="AE706" s="66"/>
      <c r="AF706" s="66"/>
      <c r="AG706" s="66"/>
      <c r="AH706" s="66"/>
      <c r="AI706" s="66"/>
      <c r="AJ706" s="66"/>
      <c r="AK706" s="66"/>
      <c r="AL706" s="54">
        <f>IF((AC706-SUM(AE706:AK706))&lt;0,0,AC706-SUM(AE706:AK706))</f>
        <v>1</v>
      </c>
      <c r="AM706" s="69">
        <f>SUM(AN706:AT706)</f>
        <v>0</v>
      </c>
      <c r="AN706" s="60"/>
      <c r="AO706" s="52"/>
      <c r="AP706" s="52"/>
      <c r="AQ706" s="52"/>
      <c r="AR706" s="52"/>
      <c r="AS706" s="52"/>
      <c r="AT706" s="61"/>
      <c r="AU706" s="54">
        <f>MAX(0,$AM706-$AC706-$AW706)</f>
        <v>0</v>
      </c>
      <c r="AV706" s="52"/>
      <c r="AW706" s="52"/>
      <c r="AX706" s="65">
        <v>0</v>
      </c>
      <c r="AY706" s="57">
        <f>IF(AND($AU706&gt;0,ISNUMBER($AX706)),$AU706*$AX706,0)</f>
        <v>0</v>
      </c>
      <c r="AZ706" s="46"/>
      <c r="BA706" s="52"/>
      <c r="BB706" s="52"/>
      <c r="BC706" s="52"/>
      <c r="BD706" s="52"/>
      <c r="BE706" s="52"/>
      <c r="BF706" s="52"/>
    </row>
    <row r="707" spans="1:58" ht="15" customHeight="1">
      <c r="A707" s="46" t="s">
        <v>3996</v>
      </c>
      <c r="B707" s="50" t="s">
        <v>3997</v>
      </c>
      <c r="C707" s="54" t="s">
        <v>232</v>
      </c>
      <c r="D707" s="74">
        <v>5</v>
      </c>
      <c r="E707" s="50" t="s">
        <v>531</v>
      </c>
      <c r="F707" s="50">
        <v>5</v>
      </c>
      <c r="G707" s="50">
        <v>5</v>
      </c>
      <c r="H707" s="51" t="s">
        <v>3998</v>
      </c>
      <c r="I707" s="50" t="s">
        <v>3999</v>
      </c>
      <c r="J707" s="54" t="s">
        <v>73</v>
      </c>
      <c r="K707" s="56" t="s">
        <v>135</v>
      </c>
      <c r="L707" s="56" t="s">
        <v>4000</v>
      </c>
      <c r="M707" s="56" t="s">
        <v>4001</v>
      </c>
      <c r="N707" s="56" t="s">
        <v>4002</v>
      </c>
      <c r="O707" s="54"/>
      <c r="P707" s="56" t="s">
        <v>86</v>
      </c>
      <c r="Q707" s="56" t="s">
        <v>1870</v>
      </c>
      <c r="R707" s="50"/>
      <c r="S707" s="50"/>
      <c r="T707" s="50"/>
      <c r="U707" s="56"/>
      <c r="V707" s="57">
        <v>0.31</v>
      </c>
      <c r="W707" s="68"/>
      <c r="X707" s="50"/>
      <c r="Y707" s="50"/>
      <c r="Z707" s="50"/>
      <c r="AA707" s="56"/>
      <c r="AB707" s="57"/>
      <c r="AC707" s="54">
        <v>1</v>
      </c>
      <c r="AD707" s="69">
        <f>SUM(AE707:AK707)</f>
        <v>1</v>
      </c>
      <c r="AE707" s="66"/>
      <c r="AF707" s="66"/>
      <c r="AG707" s="66"/>
      <c r="AH707" s="66"/>
      <c r="AI707" s="66"/>
      <c r="AJ707" s="66"/>
      <c r="AK707" s="66">
        <v>1</v>
      </c>
      <c r="AL707" s="54">
        <f>IF((AC707-SUM(AE707:AK707))&lt;0,0,AC707-SUM(AE707:AK707))</f>
        <v>0</v>
      </c>
      <c r="AM707" s="69">
        <f>SUM(AN707:AT707)</f>
        <v>0</v>
      </c>
      <c r="AN707" s="60"/>
      <c r="AO707" s="52"/>
      <c r="AP707" s="52"/>
      <c r="AQ707" s="52"/>
      <c r="AR707" s="52"/>
      <c r="AS707" s="52"/>
      <c r="AT707" s="61"/>
      <c r="AU707" s="54">
        <f>MAX(0,$AM707-$AC707-$AW707)</f>
        <v>0</v>
      </c>
      <c r="AV707" s="54"/>
      <c r="AW707" s="54"/>
      <c r="AX707" s="65">
        <v>0</v>
      </c>
      <c r="AY707" s="57">
        <f>IF(AND($AU707&gt;0,ISNUMBER($AX707)),$AU707*$AX707,0)</f>
        <v>0</v>
      </c>
      <c r="AZ707" s="46"/>
      <c r="BA707" s="52"/>
      <c r="BB707" s="52"/>
      <c r="BC707" s="52"/>
      <c r="BD707" s="52"/>
      <c r="BE707" s="52"/>
      <c r="BF707" s="52" t="s">
        <v>179</v>
      </c>
    </row>
    <row r="708" spans="1:58" ht="15" customHeight="1">
      <c r="A708" s="46" t="s">
        <v>4003</v>
      </c>
      <c r="B708" s="50" t="s">
        <v>4004</v>
      </c>
      <c r="C708" s="54" t="s">
        <v>70</v>
      </c>
      <c r="D708" s="74">
        <v>2</v>
      </c>
      <c r="E708" s="50" t="s">
        <v>189</v>
      </c>
      <c r="F708" s="50"/>
      <c r="G708" s="50"/>
      <c r="H708" s="51" t="s">
        <v>724</v>
      </c>
      <c r="I708" s="50" t="s">
        <v>4005</v>
      </c>
      <c r="J708" s="54" t="s">
        <v>73</v>
      </c>
      <c r="K708" s="56" t="s">
        <v>135</v>
      </c>
      <c r="L708" s="56" t="s">
        <v>4006</v>
      </c>
      <c r="M708" s="56" t="s">
        <v>4007</v>
      </c>
      <c r="N708" s="56"/>
      <c r="O708" s="54"/>
      <c r="P708" s="56" t="s">
        <v>185</v>
      </c>
      <c r="Q708" s="56" t="s">
        <v>729</v>
      </c>
      <c r="R708" s="50"/>
      <c r="S708" s="50"/>
      <c r="T708" s="50"/>
      <c r="U708" s="56"/>
      <c r="V708" s="57">
        <v>0.31</v>
      </c>
      <c r="W708" s="68"/>
      <c r="X708" s="50"/>
      <c r="Y708" s="50"/>
      <c r="Z708" s="50"/>
      <c r="AA708" s="56"/>
      <c r="AB708" s="57"/>
      <c r="AC708" s="54">
        <v>1</v>
      </c>
      <c r="AD708" s="69">
        <f>SUM(AE708:AK708)</f>
        <v>0</v>
      </c>
      <c r="AE708" s="66"/>
      <c r="AF708" s="66"/>
      <c r="AG708" s="66"/>
      <c r="AH708" s="66"/>
      <c r="AI708" s="66"/>
      <c r="AJ708" s="66"/>
      <c r="AK708" s="66"/>
      <c r="AL708" s="54">
        <f>IF((AC708-SUM(AE708:AK708))&lt;0,0,AC708-SUM(AE708:AK708))</f>
        <v>1</v>
      </c>
      <c r="AM708" s="69">
        <f>SUM(AN708:AT708)</f>
        <v>0</v>
      </c>
      <c r="AN708" s="60"/>
      <c r="AO708" s="52"/>
      <c r="AP708" s="52"/>
      <c r="AQ708" s="52"/>
      <c r="AR708" s="52"/>
      <c r="AS708" s="52"/>
      <c r="AT708" s="61"/>
      <c r="AU708" s="54">
        <f>MAX(0,$AM708-$AC708-$AW708)</f>
        <v>0</v>
      </c>
      <c r="AV708" s="54"/>
      <c r="AW708" s="54"/>
      <c r="AX708" s="65">
        <v>0</v>
      </c>
      <c r="AY708" s="57">
        <f>IF(AND($AU708&gt;0,ISNUMBER($AX708)),$AU708*$AX708,0)</f>
        <v>0</v>
      </c>
      <c r="AZ708" s="46"/>
      <c r="BA708" s="52"/>
      <c r="BB708" s="52"/>
      <c r="BC708" s="52"/>
      <c r="BD708" s="52"/>
      <c r="BE708" s="52"/>
      <c r="BF708" s="52"/>
    </row>
    <row r="709" spans="1:58" ht="15" customHeight="1">
      <c r="A709" s="46" t="s">
        <v>4008</v>
      </c>
      <c r="B709" s="46" t="s">
        <v>4009</v>
      </c>
      <c r="C709" s="52" t="s">
        <v>109</v>
      </c>
      <c r="D709" s="75">
        <v>2</v>
      </c>
      <c r="E709" s="46" t="s">
        <v>81</v>
      </c>
      <c r="F709" s="50">
        <v>2</v>
      </c>
      <c r="G709" s="50">
        <v>2</v>
      </c>
      <c r="H709" s="51" t="s">
        <v>674</v>
      </c>
      <c r="I709" s="50" t="s">
        <v>4010</v>
      </c>
      <c r="J709" s="52" t="s">
        <v>73</v>
      </c>
      <c r="K709" s="46" t="s">
        <v>247</v>
      </c>
      <c r="L709" s="50" t="s">
        <v>4011</v>
      </c>
      <c r="M709" s="50"/>
      <c r="N709" s="50"/>
      <c r="O709" s="54"/>
      <c r="P709" s="56" t="s">
        <v>86</v>
      </c>
      <c r="Q709" s="46" t="s">
        <v>633</v>
      </c>
      <c r="R709" s="75" t="s">
        <v>4012</v>
      </c>
      <c r="S709" s="75">
        <v>1</v>
      </c>
      <c r="T709" s="75">
        <v>0</v>
      </c>
      <c r="U709" s="56" t="s">
        <v>4013</v>
      </c>
      <c r="V709" s="63">
        <v>0.31</v>
      </c>
      <c r="W709" s="64"/>
      <c r="X709" s="50"/>
      <c r="Y709" s="46"/>
      <c r="Z709" s="46"/>
      <c r="AA709" s="56"/>
      <c r="AB709" s="63"/>
      <c r="AC709" s="52">
        <v>1</v>
      </c>
      <c r="AD709" s="69">
        <f>SUM(AE709:AK709)</f>
        <v>0</v>
      </c>
      <c r="AE709" s="66"/>
      <c r="AF709" s="66"/>
      <c r="AG709" s="66"/>
      <c r="AH709" s="66"/>
      <c r="AI709" s="66"/>
      <c r="AJ709" s="66"/>
      <c r="AK709" s="66"/>
      <c r="AL709" s="54">
        <f>IF((AC709-SUM(AE709:AK709))&lt;0,0,AC709-SUM(AE709:AK709))</f>
        <v>1</v>
      </c>
      <c r="AM709" s="69">
        <f>SUM(AN709:AT709)</f>
        <v>0</v>
      </c>
      <c r="AN709" s="60"/>
      <c r="AO709" s="52"/>
      <c r="AP709" s="52"/>
      <c r="AQ709" s="52"/>
      <c r="AR709" s="52"/>
      <c r="AS709" s="52"/>
      <c r="AT709" s="61"/>
      <c r="AU709" s="54">
        <f>MAX(0,$AM709-$AC709-$AW709)</f>
        <v>0</v>
      </c>
      <c r="AV709" s="52"/>
      <c r="AW709" s="52"/>
      <c r="AX709" s="65">
        <v>0</v>
      </c>
      <c r="AY709" s="57">
        <f>IF(AND($AU709&gt;0,ISNUMBER($AX709)),$AU709*$AX709,0)</f>
        <v>0</v>
      </c>
      <c r="AZ709" s="46"/>
      <c r="BA709" s="52"/>
      <c r="BB709" s="52"/>
      <c r="BC709" s="52"/>
      <c r="BD709" s="52"/>
      <c r="BE709" s="52"/>
      <c r="BF709" s="52"/>
    </row>
    <row r="710" spans="1:58" ht="15" customHeight="1">
      <c r="A710" s="46" t="s">
        <v>4014</v>
      </c>
      <c r="B710" s="50" t="s">
        <v>4015</v>
      </c>
      <c r="C710" s="54" t="s">
        <v>181</v>
      </c>
      <c r="D710" s="74">
        <v>3</v>
      </c>
      <c r="E710" s="50" t="s">
        <v>4016</v>
      </c>
      <c r="F710" s="50"/>
      <c r="G710" s="50"/>
      <c r="H710" s="51" t="s">
        <v>245</v>
      </c>
      <c r="I710" s="50" t="s">
        <v>4017</v>
      </c>
      <c r="J710" s="54" t="s">
        <v>73</v>
      </c>
      <c r="K710" s="56" t="s">
        <v>129</v>
      </c>
      <c r="L710" s="56" t="s">
        <v>4018</v>
      </c>
      <c r="M710" s="56" t="s">
        <v>4019</v>
      </c>
      <c r="N710" s="56"/>
      <c r="O710" s="54"/>
      <c r="P710" s="56" t="s">
        <v>185</v>
      </c>
      <c r="Q710" s="56" t="s">
        <v>669</v>
      </c>
      <c r="R710" s="50"/>
      <c r="S710" s="50"/>
      <c r="T710" s="50"/>
      <c r="U710" s="50"/>
      <c r="V710" s="57">
        <v>0.31</v>
      </c>
      <c r="W710" s="68"/>
      <c r="X710" s="50"/>
      <c r="Y710" s="50"/>
      <c r="Z710" s="50"/>
      <c r="AA710" s="50"/>
      <c r="AB710" s="57"/>
      <c r="AC710" s="54">
        <v>1</v>
      </c>
      <c r="AD710" s="69">
        <f>SUM(AE710:AK710)</f>
        <v>1</v>
      </c>
      <c r="AE710" s="66"/>
      <c r="AF710" s="66"/>
      <c r="AG710" s="66"/>
      <c r="AH710" s="66"/>
      <c r="AI710" s="66">
        <v>1</v>
      </c>
      <c r="AJ710" s="66"/>
      <c r="AK710" s="66"/>
      <c r="AL710" s="54">
        <f>IF((AC710-SUM(AE710:AK710))&lt;0,0,AC710-SUM(AE710:AK710))</f>
        <v>0</v>
      </c>
      <c r="AM710" s="69">
        <f>SUM(AN710:AT710)</f>
        <v>1</v>
      </c>
      <c r="AN710" s="60"/>
      <c r="AO710" s="52"/>
      <c r="AP710" s="52"/>
      <c r="AQ710" s="52"/>
      <c r="AR710" s="52">
        <v>1</v>
      </c>
      <c r="AS710" s="52"/>
      <c r="AT710" s="61"/>
      <c r="AU710" s="54">
        <f>MAX(0,$AM710-$AC710-$AW710)</f>
        <v>0</v>
      </c>
      <c r="AV710" s="54"/>
      <c r="AW710" s="54"/>
      <c r="AX710" s="65">
        <v>0</v>
      </c>
      <c r="AY710" s="57">
        <f>IF(AND($AU710&gt;0,ISNUMBER($AX710)),$AU710*$AX710,0)</f>
        <v>0</v>
      </c>
      <c r="AZ710" s="46"/>
      <c r="BA710" s="52"/>
      <c r="BB710" s="52"/>
      <c r="BC710" s="52"/>
      <c r="BD710" s="52"/>
      <c r="BE710" s="52"/>
      <c r="BF710" s="52"/>
    </row>
    <row r="711" spans="1:58" ht="15" customHeight="1">
      <c r="A711" s="46" t="s">
        <v>4020</v>
      </c>
      <c r="B711" s="50" t="s">
        <v>4021</v>
      </c>
      <c r="C711" s="54" t="s">
        <v>70</v>
      </c>
      <c r="D711" s="74">
        <v>4</v>
      </c>
      <c r="E711" s="50" t="s">
        <v>81</v>
      </c>
      <c r="F711" s="50">
        <v>2</v>
      </c>
      <c r="G711" s="50">
        <v>2</v>
      </c>
      <c r="H711" s="51" t="s">
        <v>318</v>
      </c>
      <c r="I711" s="50" t="s">
        <v>4022</v>
      </c>
      <c r="J711" s="54" t="s">
        <v>73</v>
      </c>
      <c r="K711" s="56" t="s">
        <v>129</v>
      </c>
      <c r="L711" s="56" t="s">
        <v>4023</v>
      </c>
      <c r="M711" s="56"/>
      <c r="N711" s="56"/>
      <c r="O711" s="54"/>
      <c r="P711" s="56" t="s">
        <v>185</v>
      </c>
      <c r="Q711" s="56" t="s">
        <v>4024</v>
      </c>
      <c r="R711" s="50"/>
      <c r="S711" s="50"/>
      <c r="T711" s="50"/>
      <c r="U711" s="50"/>
      <c r="V711" s="57">
        <v>0.31</v>
      </c>
      <c r="W711" s="68"/>
      <c r="X711" s="50"/>
      <c r="Y711" s="50"/>
      <c r="Z711" s="50"/>
      <c r="AA711" s="50"/>
      <c r="AB711" s="57"/>
      <c r="AC711" s="54">
        <v>1</v>
      </c>
      <c r="AD711" s="69">
        <f>SUM(AE711:AK711)</f>
        <v>1</v>
      </c>
      <c r="AE711" s="66"/>
      <c r="AF711" s="66"/>
      <c r="AG711" s="66"/>
      <c r="AH711" s="66"/>
      <c r="AI711" s="66"/>
      <c r="AJ711" s="66">
        <v>1</v>
      </c>
      <c r="AK711" s="66"/>
      <c r="AL711" s="54">
        <f>IF((AC711-SUM(AE711:AK711))&lt;0,0,AC711-SUM(AE711:AK711))</f>
        <v>0</v>
      </c>
      <c r="AM711" s="69">
        <f>SUM(AN711:AT711)</f>
        <v>1</v>
      </c>
      <c r="AN711" s="60"/>
      <c r="AO711" s="52"/>
      <c r="AP711" s="52"/>
      <c r="AQ711" s="52"/>
      <c r="AR711" s="52"/>
      <c r="AS711" s="52">
        <v>1</v>
      </c>
      <c r="AT711" s="61"/>
      <c r="AU711" s="54">
        <f>MAX(0,$AM711-$AC711-$AW711)</f>
        <v>0</v>
      </c>
      <c r="AV711" s="54"/>
      <c r="AW711" s="54"/>
      <c r="AX711" s="65">
        <v>0</v>
      </c>
      <c r="AY711" s="57">
        <f>IF(AND($AU711&gt;0,ISNUMBER($AX711)),$AU711*$AX711,0)</f>
        <v>0</v>
      </c>
      <c r="AZ711" s="46"/>
      <c r="BA711" s="52"/>
      <c r="BB711" s="52"/>
      <c r="BC711" s="52"/>
      <c r="BD711" s="52"/>
      <c r="BE711" s="52"/>
      <c r="BF711" s="52"/>
    </row>
    <row r="712" spans="1:58" ht="15" customHeight="1">
      <c r="A712" s="46" t="s">
        <v>4025</v>
      </c>
      <c r="B712" s="50" t="s">
        <v>4026</v>
      </c>
      <c r="C712" s="54" t="s">
        <v>70</v>
      </c>
      <c r="D712" s="74">
        <v>5</v>
      </c>
      <c r="E712" s="50" t="s">
        <v>81</v>
      </c>
      <c r="F712" s="50">
        <v>2</v>
      </c>
      <c r="G712" s="50">
        <v>2</v>
      </c>
      <c r="H712" s="51" t="s">
        <v>245</v>
      </c>
      <c r="I712" s="50" t="s">
        <v>4027</v>
      </c>
      <c r="J712" s="54" t="s">
        <v>73</v>
      </c>
      <c r="K712" s="56" t="s">
        <v>129</v>
      </c>
      <c r="L712" s="56" t="s">
        <v>4028</v>
      </c>
      <c r="M712" s="56" t="s">
        <v>4029</v>
      </c>
      <c r="N712" s="56"/>
      <c r="O712" s="54"/>
      <c r="P712" s="56" t="s">
        <v>86</v>
      </c>
      <c r="Q712" s="56" t="s">
        <v>3028</v>
      </c>
      <c r="R712" s="50"/>
      <c r="S712" s="50"/>
      <c r="T712" s="50"/>
      <c r="U712" s="50"/>
      <c r="V712" s="57">
        <v>0.31</v>
      </c>
      <c r="W712" s="68"/>
      <c r="X712" s="50"/>
      <c r="Y712" s="50"/>
      <c r="Z712" s="50"/>
      <c r="AA712" s="50"/>
      <c r="AB712" s="57"/>
      <c r="AC712" s="54">
        <v>1</v>
      </c>
      <c r="AD712" s="69">
        <f>SUM(AE712:AK712)</f>
        <v>1</v>
      </c>
      <c r="AE712" s="66"/>
      <c r="AF712" s="66"/>
      <c r="AG712" s="66"/>
      <c r="AH712" s="66"/>
      <c r="AI712" s="66"/>
      <c r="AJ712" s="66">
        <v>1</v>
      </c>
      <c r="AK712" s="66"/>
      <c r="AL712" s="54">
        <f>IF((AC712-SUM(AE712:AK712))&lt;0,0,AC712-SUM(AE712:AK712))</f>
        <v>0</v>
      </c>
      <c r="AM712" s="69">
        <f>SUM(AN712:AT712)</f>
        <v>1</v>
      </c>
      <c r="AN712" s="60"/>
      <c r="AO712" s="52"/>
      <c r="AP712" s="52"/>
      <c r="AQ712" s="52"/>
      <c r="AR712" s="52"/>
      <c r="AS712" s="52">
        <v>1</v>
      </c>
      <c r="AT712" s="61"/>
      <c r="AU712" s="54">
        <f>MAX(0,$AM712-$AC712-$AW712)</f>
        <v>0</v>
      </c>
      <c r="AV712" s="54"/>
      <c r="AW712" s="54"/>
      <c r="AX712" s="65">
        <v>0</v>
      </c>
      <c r="AY712" s="57">
        <f>IF(AND($AU712&gt;0,ISNUMBER($AX712)),$AU712*$AX712,0)</f>
        <v>0</v>
      </c>
      <c r="AZ712" s="46"/>
      <c r="BA712" s="52"/>
      <c r="BB712" s="52"/>
      <c r="BC712" s="52"/>
      <c r="BD712" s="52"/>
      <c r="BE712" s="52"/>
      <c r="BF712" s="52"/>
    </row>
    <row r="713" spans="1:58" ht="15" customHeight="1">
      <c r="A713" s="46" t="s">
        <v>4030</v>
      </c>
      <c r="B713" s="46" t="s">
        <v>4031</v>
      </c>
      <c r="C713" s="52" t="s">
        <v>109</v>
      </c>
      <c r="D713" s="75">
        <v>5</v>
      </c>
      <c r="E713" s="46" t="s">
        <v>110</v>
      </c>
      <c r="F713" s="50">
        <v>5</v>
      </c>
      <c r="G713" s="50">
        <v>5</v>
      </c>
      <c r="H713" s="51" t="s">
        <v>4032</v>
      </c>
      <c r="I713" s="50" t="s">
        <v>4033</v>
      </c>
      <c r="J713" s="52" t="s">
        <v>73</v>
      </c>
      <c r="K713" s="46" t="s">
        <v>92</v>
      </c>
      <c r="L713" s="50" t="s">
        <v>4034</v>
      </c>
      <c r="M713" s="50" t="s">
        <v>4035</v>
      </c>
      <c r="N713" s="50"/>
      <c r="O713" s="56">
        <v>1290</v>
      </c>
      <c r="P713" s="56" t="s">
        <v>86</v>
      </c>
      <c r="Q713" s="46" t="s">
        <v>633</v>
      </c>
      <c r="R713" s="75" t="s">
        <v>4036</v>
      </c>
      <c r="S713" s="75">
        <v>1</v>
      </c>
      <c r="T713" s="75">
        <v>0</v>
      </c>
      <c r="U713" s="56"/>
      <c r="V713" s="57">
        <v>0.3</v>
      </c>
      <c r="W713" s="68"/>
      <c r="X713" s="50"/>
      <c r="Y713" s="46"/>
      <c r="Z713" s="46"/>
      <c r="AA713" s="56"/>
      <c r="AB713" s="57"/>
      <c r="AC713" s="54">
        <v>1</v>
      </c>
      <c r="AD713" s="69">
        <f>SUM(AE713:AK713)</f>
        <v>1</v>
      </c>
      <c r="AE713" s="66"/>
      <c r="AF713" s="66"/>
      <c r="AG713" s="66"/>
      <c r="AH713" s="66"/>
      <c r="AI713" s="66"/>
      <c r="AJ713" s="66"/>
      <c r="AK713" s="66">
        <v>1</v>
      </c>
      <c r="AL713" s="54">
        <f>IF((AC713-SUM(AE713:AK713))&lt;0,0,AC713-SUM(AE713:AK713))</f>
        <v>0</v>
      </c>
      <c r="AM713" s="69">
        <f>SUM(AN713:AT713)</f>
        <v>0</v>
      </c>
      <c r="AN713" s="60"/>
      <c r="AO713" s="52"/>
      <c r="AP713" s="52"/>
      <c r="AQ713" s="52"/>
      <c r="AR713" s="52"/>
      <c r="AS713" s="52"/>
      <c r="AT713" s="61"/>
      <c r="AU713" s="54">
        <f>MAX(0,$AM713-$AC713-$AW713)</f>
        <v>0</v>
      </c>
      <c r="AV713" s="52"/>
      <c r="AW713" s="52"/>
      <c r="AX713" s="65">
        <v>0</v>
      </c>
      <c r="AY713" s="57">
        <f>IF(AND($AU713&gt;0,ISNUMBER($AX713)),$AU713*$AX713,0)</f>
        <v>0</v>
      </c>
      <c r="AZ713" s="46"/>
      <c r="BA713" s="52"/>
      <c r="BB713" s="52"/>
      <c r="BC713" s="52"/>
      <c r="BD713" s="52"/>
      <c r="BE713" s="52"/>
      <c r="BF713" s="52" t="s">
        <v>374</v>
      </c>
    </row>
    <row r="714" spans="1:58" ht="15" customHeight="1">
      <c r="A714" s="46" t="s">
        <v>4037</v>
      </c>
      <c r="B714" s="50" t="s">
        <v>4038</v>
      </c>
      <c r="C714" s="54" t="s">
        <v>101</v>
      </c>
      <c r="D714" s="74">
        <v>2</v>
      </c>
      <c r="E714" s="50" t="s">
        <v>81</v>
      </c>
      <c r="F714" s="50">
        <v>6</v>
      </c>
      <c r="G714" s="50">
        <v>6</v>
      </c>
      <c r="H714" s="51" t="s">
        <v>4039</v>
      </c>
      <c r="I714" s="50" t="s">
        <v>4040</v>
      </c>
      <c r="J714" s="54" t="s">
        <v>73</v>
      </c>
      <c r="K714" s="56" t="s">
        <v>661</v>
      </c>
      <c r="L714" s="56" t="s">
        <v>4041</v>
      </c>
      <c r="M714" s="56" t="s">
        <v>4042</v>
      </c>
      <c r="N714" s="56"/>
      <c r="O714" s="54"/>
      <c r="P714" s="56" t="s">
        <v>86</v>
      </c>
      <c r="Q714" s="56" t="s">
        <v>669</v>
      </c>
      <c r="R714" s="50"/>
      <c r="S714" s="50"/>
      <c r="T714" s="50"/>
      <c r="U714" s="50"/>
      <c r="V714" s="57">
        <v>0.3</v>
      </c>
      <c r="W714" s="68"/>
      <c r="X714" s="50"/>
      <c r="Y714" s="50"/>
      <c r="Z714" s="50"/>
      <c r="AA714" s="50"/>
      <c r="AB714" s="57"/>
      <c r="AC714" s="54">
        <v>1</v>
      </c>
      <c r="AD714" s="69">
        <f>SUM(AE714:AK714)</f>
        <v>0</v>
      </c>
      <c r="AE714" s="66"/>
      <c r="AF714" s="66"/>
      <c r="AG714" s="66"/>
      <c r="AH714" s="66"/>
      <c r="AI714" s="66"/>
      <c r="AJ714" s="66"/>
      <c r="AK714" s="66"/>
      <c r="AL714" s="54">
        <f>IF((AC714-SUM(AE714:AK714))&lt;0,0,AC714-SUM(AE714:AK714))</f>
        <v>1</v>
      </c>
      <c r="AM714" s="69">
        <f>SUM(AN714:AT714)</f>
        <v>0</v>
      </c>
      <c r="AN714" s="60"/>
      <c r="AO714" s="52"/>
      <c r="AP714" s="52"/>
      <c r="AQ714" s="52"/>
      <c r="AR714" s="52"/>
      <c r="AS714" s="52"/>
      <c r="AT714" s="61"/>
      <c r="AU714" s="54">
        <f>MAX(0,$AM714-$AC714-$AW714)</f>
        <v>0</v>
      </c>
      <c r="AV714" s="54"/>
      <c r="AW714" s="54"/>
      <c r="AX714" s="65">
        <v>0</v>
      </c>
      <c r="AY714" s="57">
        <f>IF(AND($AU714&gt;0,ISNUMBER($AX714)),$AU714*$AX714,0)</f>
        <v>0</v>
      </c>
      <c r="AZ714" s="46"/>
      <c r="BA714" s="52"/>
      <c r="BB714" s="52"/>
      <c r="BC714" s="52"/>
      <c r="BD714" s="52"/>
      <c r="BE714" s="52"/>
      <c r="BF714" s="52"/>
    </row>
    <row r="715" spans="1:58" ht="15" customHeight="1">
      <c r="A715" s="46" t="s">
        <v>4043</v>
      </c>
      <c r="B715" s="50" t="s">
        <v>4044</v>
      </c>
      <c r="C715" s="54" t="s">
        <v>70</v>
      </c>
      <c r="D715" s="74">
        <v>2</v>
      </c>
      <c r="E715" s="50" t="s">
        <v>81</v>
      </c>
      <c r="F715" s="50">
        <v>1</v>
      </c>
      <c r="G715" s="50">
        <v>3</v>
      </c>
      <c r="H715" s="51" t="s">
        <v>4045</v>
      </c>
      <c r="I715" s="50" t="s">
        <v>4046</v>
      </c>
      <c r="J715" s="54" t="s">
        <v>73</v>
      </c>
      <c r="K715" s="56" t="s">
        <v>1099</v>
      </c>
      <c r="L715" s="56" t="s">
        <v>4047</v>
      </c>
      <c r="M715" s="56"/>
      <c r="N715" s="56"/>
      <c r="O715" s="54"/>
      <c r="P715" s="55" t="s">
        <v>76</v>
      </c>
      <c r="Q715" s="56" t="s">
        <v>669</v>
      </c>
      <c r="R715" s="74" t="s">
        <v>4048</v>
      </c>
      <c r="S715" s="74">
        <v>1</v>
      </c>
      <c r="T715" s="74">
        <v>1</v>
      </c>
      <c r="U715" s="56" t="s">
        <v>1222</v>
      </c>
      <c r="V715" s="57">
        <v>0.3</v>
      </c>
      <c r="W715" s="68"/>
      <c r="X715" s="46"/>
      <c r="Y715" s="50"/>
      <c r="Z715" s="50"/>
      <c r="AA715" s="56"/>
      <c r="AB715" s="57"/>
      <c r="AC715" s="54">
        <v>1</v>
      </c>
      <c r="AD715" s="69">
        <f>SUM(AE715:AK715)</f>
        <v>0</v>
      </c>
      <c r="AE715" s="66"/>
      <c r="AF715" s="66"/>
      <c r="AG715" s="66"/>
      <c r="AH715" s="66"/>
      <c r="AI715" s="66"/>
      <c r="AJ715" s="66"/>
      <c r="AK715" s="66"/>
      <c r="AL715" s="54">
        <f>IF((AC715-SUM(AE715:AK715))&lt;0,0,AC715-SUM(AE715:AK715))</f>
        <v>1</v>
      </c>
      <c r="AM715" s="69">
        <f>SUM(AN715:AT715)</f>
        <v>0</v>
      </c>
      <c r="AN715" s="60"/>
      <c r="AO715" s="52"/>
      <c r="AP715" s="52"/>
      <c r="AQ715" s="52"/>
      <c r="AR715" s="52"/>
      <c r="AS715" s="52"/>
      <c r="AT715" s="61"/>
      <c r="AU715" s="54">
        <f>MAX(0,$AM715-$AC715-$AW715)</f>
        <v>0</v>
      </c>
      <c r="AV715" s="54"/>
      <c r="AW715" s="54"/>
      <c r="AX715" s="65">
        <v>0</v>
      </c>
      <c r="AY715" s="57">
        <f>IF(AND($AU715&gt;0,ISNUMBER($AX715)),$AU715*$AX715,0)</f>
        <v>0</v>
      </c>
      <c r="AZ715" s="46"/>
      <c r="BA715" s="52"/>
      <c r="BB715" s="52"/>
      <c r="BC715" s="52"/>
      <c r="BD715" s="52"/>
      <c r="BE715" s="52"/>
      <c r="BF715" s="52"/>
    </row>
    <row r="716" spans="1:58" ht="15" customHeight="1">
      <c r="A716" s="46" t="s">
        <v>4049</v>
      </c>
      <c r="B716" s="50" t="s">
        <v>4050</v>
      </c>
      <c r="C716" s="54" t="s">
        <v>109</v>
      </c>
      <c r="D716" s="74">
        <v>4</v>
      </c>
      <c r="E716" s="50" t="s">
        <v>110</v>
      </c>
      <c r="F716" s="50">
        <v>2</v>
      </c>
      <c r="G716" s="50">
        <v>5</v>
      </c>
      <c r="H716" s="51" t="s">
        <v>127</v>
      </c>
      <c r="I716" s="50" t="s">
        <v>4051</v>
      </c>
      <c r="J716" s="54" t="s">
        <v>73</v>
      </c>
      <c r="K716" s="56" t="s">
        <v>2888</v>
      </c>
      <c r="L716" s="56" t="s">
        <v>4052</v>
      </c>
      <c r="M716" s="56" t="s">
        <v>3513</v>
      </c>
      <c r="N716" s="56"/>
      <c r="O716" s="56">
        <v>3863</v>
      </c>
      <c r="P716" s="56" t="s">
        <v>114</v>
      </c>
      <c r="Q716" s="56" t="s">
        <v>1865</v>
      </c>
      <c r="R716" s="50"/>
      <c r="S716" s="50"/>
      <c r="T716" s="50"/>
      <c r="U716" s="50"/>
      <c r="V716" s="57">
        <v>0.3</v>
      </c>
      <c r="W716" s="68"/>
      <c r="X716" s="50"/>
      <c r="Y716" s="50"/>
      <c r="Z716" s="50"/>
      <c r="AA716" s="50"/>
      <c r="AB716" s="57"/>
      <c r="AC716" s="54">
        <v>1</v>
      </c>
      <c r="AD716" s="69">
        <f>SUM(AE716:AK716)</f>
        <v>1</v>
      </c>
      <c r="AE716" s="66"/>
      <c r="AF716" s="66"/>
      <c r="AG716" s="66"/>
      <c r="AH716" s="66">
        <v>1</v>
      </c>
      <c r="AI716" s="66"/>
      <c r="AJ716" s="66"/>
      <c r="AK716" s="66"/>
      <c r="AL716" s="54">
        <f>IF((AC716-SUM(AE716:AK716))&lt;0,0,AC716-SUM(AE716:AK716))</f>
        <v>0</v>
      </c>
      <c r="AM716" s="69">
        <f>SUM(AN716:AT716)</f>
        <v>1</v>
      </c>
      <c r="AN716" s="60"/>
      <c r="AO716" s="52"/>
      <c r="AP716" s="52"/>
      <c r="AQ716" s="52">
        <v>1</v>
      </c>
      <c r="AR716" s="52"/>
      <c r="AS716" s="52"/>
      <c r="AT716" s="61"/>
      <c r="AU716" s="54">
        <f>MAX(0,$AM716-$AC716-$AW716)</f>
        <v>0</v>
      </c>
      <c r="AV716" s="54"/>
      <c r="AW716" s="54"/>
      <c r="AX716" s="65">
        <v>0</v>
      </c>
      <c r="AY716" s="57">
        <f>IF(AND($AU716&gt;0,ISNUMBER($AX716)),$AU716*$AX716,0)</f>
        <v>0</v>
      </c>
      <c r="AZ716" s="46"/>
      <c r="BA716" s="52"/>
      <c r="BB716" s="52"/>
      <c r="BC716" s="52"/>
      <c r="BD716" s="52"/>
      <c r="BE716" s="52"/>
      <c r="BF716" s="52"/>
    </row>
    <row r="717" spans="1:58" ht="15" customHeight="1">
      <c r="A717" s="46" t="s">
        <v>4053</v>
      </c>
      <c r="B717" s="50" t="s">
        <v>4054</v>
      </c>
      <c r="C717" s="54" t="s">
        <v>311</v>
      </c>
      <c r="D717" s="74">
        <v>0</v>
      </c>
      <c r="E717" s="50" t="s">
        <v>312</v>
      </c>
      <c r="F717" s="50"/>
      <c r="G717" s="50"/>
      <c r="H717" s="51"/>
      <c r="I717" s="50" t="s">
        <v>4055</v>
      </c>
      <c r="J717" s="54" t="s">
        <v>73</v>
      </c>
      <c r="K717" s="56" t="s">
        <v>312</v>
      </c>
      <c r="L717" s="56" t="s">
        <v>4056</v>
      </c>
      <c r="M717" s="56" t="s">
        <v>747</v>
      </c>
      <c r="N717" s="56" t="s">
        <v>4057</v>
      </c>
      <c r="O717" s="54"/>
      <c r="P717" s="55" t="s">
        <v>76</v>
      </c>
      <c r="Q717" s="56" t="s">
        <v>4058</v>
      </c>
      <c r="R717" s="74" t="s">
        <v>4059</v>
      </c>
      <c r="S717" s="74">
        <v>1</v>
      </c>
      <c r="T717" s="74">
        <v>1</v>
      </c>
      <c r="U717" s="56" t="s">
        <v>4060</v>
      </c>
      <c r="V717" s="57">
        <v>0.3</v>
      </c>
      <c r="W717" s="68"/>
      <c r="X717" s="46"/>
      <c r="Y717" s="54"/>
      <c r="Z717" s="54"/>
      <c r="AA717" s="56"/>
      <c r="AB717" s="57"/>
      <c r="AC717" s="54">
        <v>1</v>
      </c>
      <c r="AD717" s="69">
        <f>SUM(AE717:AK717)</f>
        <v>0</v>
      </c>
      <c r="AE717" s="66"/>
      <c r="AF717" s="66"/>
      <c r="AG717" s="66"/>
      <c r="AH717" s="66"/>
      <c r="AI717" s="66"/>
      <c r="AJ717" s="66"/>
      <c r="AK717" s="66"/>
      <c r="AL717" s="54">
        <f>IF((AC717-SUM(AE717:AK717))&lt;0,0,AC717-SUM(AE717:AK717))</f>
        <v>1</v>
      </c>
      <c r="AM717" s="69">
        <f>SUM(AN717:AT717)</f>
        <v>0</v>
      </c>
      <c r="AN717" s="60"/>
      <c r="AO717" s="52"/>
      <c r="AP717" s="52"/>
      <c r="AQ717" s="52"/>
      <c r="AR717" s="52"/>
      <c r="AS717" s="52"/>
      <c r="AT717" s="61"/>
      <c r="AU717" s="54">
        <f>MAX(0,$AM717-$AC717-$AW717)</f>
        <v>0</v>
      </c>
      <c r="AV717" s="54"/>
      <c r="AW717" s="54"/>
      <c r="AX717" s="65">
        <v>0</v>
      </c>
      <c r="AY717" s="57">
        <f>IF(AND($AU717&gt;0,ISNUMBER($AX717)),$AU717*$AX717,0)</f>
        <v>0</v>
      </c>
      <c r="AZ717" s="46"/>
      <c r="BA717" s="52"/>
      <c r="BB717" s="52"/>
      <c r="BC717" s="52"/>
      <c r="BD717" s="52"/>
      <c r="BE717" s="52"/>
      <c r="BF717" s="52"/>
    </row>
    <row r="718" spans="1:58" ht="15" customHeight="1">
      <c r="A718" s="46" t="s">
        <v>4061</v>
      </c>
      <c r="B718" s="50" t="s">
        <v>4062</v>
      </c>
      <c r="C718" s="54" t="s">
        <v>101</v>
      </c>
      <c r="D718" s="74">
        <v>1</v>
      </c>
      <c r="E718" s="50" t="s">
        <v>81</v>
      </c>
      <c r="F718" s="50">
        <v>0</v>
      </c>
      <c r="G718" s="50">
        <v>3</v>
      </c>
      <c r="H718" s="51" t="s">
        <v>4063</v>
      </c>
      <c r="I718" s="50" t="s">
        <v>4064</v>
      </c>
      <c r="J718" s="54" t="s">
        <v>73</v>
      </c>
      <c r="K718" s="56" t="s">
        <v>104</v>
      </c>
      <c r="L718" s="56" t="s">
        <v>4065</v>
      </c>
      <c r="M718" s="56" t="s">
        <v>4066</v>
      </c>
      <c r="N718" s="56"/>
      <c r="O718" s="54"/>
      <c r="P718" s="56" t="s">
        <v>76</v>
      </c>
      <c r="Q718" s="56" t="s">
        <v>462</v>
      </c>
      <c r="R718" s="50"/>
      <c r="S718" s="50"/>
      <c r="T718" s="50"/>
      <c r="U718" s="50"/>
      <c r="V718" s="57">
        <v>0.3</v>
      </c>
      <c r="W718" s="68"/>
      <c r="X718" s="50"/>
      <c r="Y718" s="50"/>
      <c r="Z718" s="50"/>
      <c r="AA718" s="50"/>
      <c r="AB718" s="57"/>
      <c r="AC718" s="54">
        <v>1</v>
      </c>
      <c r="AD718" s="69">
        <f>SUM(AE718:AK718)</f>
        <v>1</v>
      </c>
      <c r="AE718" s="66"/>
      <c r="AF718" s="66"/>
      <c r="AG718" s="66"/>
      <c r="AH718" s="66">
        <v>1</v>
      </c>
      <c r="AI718" s="66"/>
      <c r="AJ718" s="66"/>
      <c r="AK718" s="66"/>
      <c r="AL718" s="54">
        <f>IF((AC718-SUM(AE718:AK718))&lt;0,0,AC718-SUM(AE718:AK718))</f>
        <v>0</v>
      </c>
      <c r="AM718" s="69">
        <f>SUM(AN718:AT718)</f>
        <v>0</v>
      </c>
      <c r="AN718" s="60"/>
      <c r="AO718" s="52"/>
      <c r="AP718" s="52"/>
      <c r="AQ718" s="52"/>
      <c r="AR718" s="52"/>
      <c r="AS718" s="52"/>
      <c r="AT718" s="61"/>
      <c r="AU718" s="54">
        <f>MAX(0,$AM718-$AC718-$AW718)</f>
        <v>0</v>
      </c>
      <c r="AV718" s="54"/>
      <c r="AW718" s="54"/>
      <c r="AX718" s="65">
        <v>0</v>
      </c>
      <c r="AY718" s="57">
        <f>IF(AND($AU718&gt;0,ISNUMBER($AX718)),$AU718*$AX718,0)</f>
        <v>0</v>
      </c>
      <c r="AZ718" s="46"/>
      <c r="BA718" s="52"/>
      <c r="BB718" s="52"/>
      <c r="BC718" s="52" t="s">
        <v>591</v>
      </c>
      <c r="BD718" s="52"/>
      <c r="BE718" s="52"/>
      <c r="BF718" s="52"/>
    </row>
    <row r="719" spans="1:58" ht="15" customHeight="1">
      <c r="A719" s="46" t="s">
        <v>4067</v>
      </c>
      <c r="B719" s="50" t="s">
        <v>4068</v>
      </c>
      <c r="C719" s="54" t="s">
        <v>109</v>
      </c>
      <c r="D719" s="74">
        <v>2</v>
      </c>
      <c r="E719" s="50" t="s">
        <v>110</v>
      </c>
      <c r="F719" s="50">
        <v>1</v>
      </c>
      <c r="G719" s="50">
        <v>1</v>
      </c>
      <c r="H719" s="51" t="s">
        <v>4069</v>
      </c>
      <c r="I719" s="50" t="s">
        <v>4070</v>
      </c>
      <c r="J719" s="54" t="s">
        <v>73</v>
      </c>
      <c r="K719" s="56" t="s">
        <v>135</v>
      </c>
      <c r="L719" s="56" t="s">
        <v>4071</v>
      </c>
      <c r="M719" s="56" t="s">
        <v>1503</v>
      </c>
      <c r="N719" s="56"/>
      <c r="O719" s="56">
        <v>804</v>
      </c>
      <c r="P719" s="56" t="s">
        <v>86</v>
      </c>
      <c r="Q719" s="56" t="s">
        <v>669</v>
      </c>
      <c r="R719" s="50"/>
      <c r="S719" s="50"/>
      <c r="T719" s="50"/>
      <c r="U719" s="56"/>
      <c r="V719" s="57">
        <v>0.3</v>
      </c>
      <c r="W719" s="68"/>
      <c r="X719" s="50"/>
      <c r="Y719" s="50"/>
      <c r="Z719" s="50"/>
      <c r="AA719" s="56"/>
      <c r="AB719" s="57"/>
      <c r="AC719" s="54">
        <v>1</v>
      </c>
      <c r="AD719" s="69">
        <f>SUM(AE719:AK719)</f>
        <v>1</v>
      </c>
      <c r="AE719" s="66"/>
      <c r="AF719" s="66"/>
      <c r="AG719" s="66"/>
      <c r="AH719" s="66"/>
      <c r="AI719" s="66">
        <v>1</v>
      </c>
      <c r="AJ719" s="66"/>
      <c r="AK719" s="66"/>
      <c r="AL719" s="54">
        <f>IF((AC719-SUM(AE719:AK719))&lt;0,0,AC719-SUM(AE719:AK719))</f>
        <v>0</v>
      </c>
      <c r="AM719" s="69">
        <f>SUM(AN719:AT719)</f>
        <v>1</v>
      </c>
      <c r="AN719" s="60"/>
      <c r="AO719" s="52"/>
      <c r="AP719" s="52"/>
      <c r="AQ719" s="52"/>
      <c r="AR719" s="52">
        <v>1</v>
      </c>
      <c r="AS719" s="52"/>
      <c r="AT719" s="61"/>
      <c r="AU719" s="54">
        <f>MAX(0,$AM719-$AC719-$AW719)</f>
        <v>0</v>
      </c>
      <c r="AV719" s="54"/>
      <c r="AW719" s="54"/>
      <c r="AX719" s="65">
        <v>0</v>
      </c>
      <c r="AY719" s="57">
        <f>IF(AND($AU719&gt;0,ISNUMBER($AX719)),$AU719*$AX719,0)</f>
        <v>0</v>
      </c>
      <c r="AZ719" s="46"/>
      <c r="BA719" s="52"/>
      <c r="BB719" s="52"/>
      <c r="BC719" s="52"/>
      <c r="BD719" s="52"/>
      <c r="BE719" s="52"/>
      <c r="BF719" s="52"/>
    </row>
    <row r="720" spans="1:58" ht="15" customHeight="1">
      <c r="A720" s="46" t="s">
        <v>4072</v>
      </c>
      <c r="B720" s="50" t="s">
        <v>4073</v>
      </c>
      <c r="C720" s="54" t="s">
        <v>181</v>
      </c>
      <c r="D720" s="74">
        <v>5</v>
      </c>
      <c r="E720" s="50" t="s">
        <v>81</v>
      </c>
      <c r="F720" s="50">
        <v>4</v>
      </c>
      <c r="G720" s="50">
        <v>4</v>
      </c>
      <c r="H720" s="51" t="s">
        <v>4074</v>
      </c>
      <c r="I720" s="50" t="s">
        <v>4075</v>
      </c>
      <c r="J720" s="54" t="s">
        <v>73</v>
      </c>
      <c r="K720" s="56" t="s">
        <v>135</v>
      </c>
      <c r="L720" s="56" t="s">
        <v>4076</v>
      </c>
      <c r="M720" s="56" t="s">
        <v>4077</v>
      </c>
      <c r="N720" s="56"/>
      <c r="O720" s="54"/>
      <c r="P720" s="56" t="s">
        <v>86</v>
      </c>
      <c r="Q720" s="56" t="s">
        <v>669</v>
      </c>
      <c r="R720" s="50"/>
      <c r="S720" s="50"/>
      <c r="T720" s="50"/>
      <c r="U720" s="56"/>
      <c r="V720" s="57">
        <v>0.3</v>
      </c>
      <c r="W720" s="68"/>
      <c r="X720" s="50"/>
      <c r="Y720" s="50"/>
      <c r="Z720" s="50"/>
      <c r="AA720" s="56"/>
      <c r="AB720" s="57"/>
      <c r="AC720" s="54">
        <v>1</v>
      </c>
      <c r="AD720" s="69">
        <f>SUM(AE720:AK720)</f>
        <v>1</v>
      </c>
      <c r="AE720" s="66"/>
      <c r="AF720" s="66"/>
      <c r="AG720" s="66"/>
      <c r="AH720" s="66"/>
      <c r="AI720" s="66"/>
      <c r="AJ720" s="66"/>
      <c r="AK720" s="66">
        <v>1</v>
      </c>
      <c r="AL720" s="54">
        <f>IF((AC720-SUM(AE720:AK720))&lt;0,0,AC720-SUM(AE720:AK720))</f>
        <v>0</v>
      </c>
      <c r="AM720" s="69">
        <f>SUM(AN720:AT720)</f>
        <v>0</v>
      </c>
      <c r="AN720" s="60"/>
      <c r="AO720" s="52"/>
      <c r="AP720" s="52"/>
      <c r="AQ720" s="52"/>
      <c r="AR720" s="52"/>
      <c r="AS720" s="52"/>
      <c r="AT720" s="61"/>
      <c r="AU720" s="54">
        <f>MAX(0,$AM720-$AC720-$AW720)</f>
        <v>0</v>
      </c>
      <c r="AV720" s="54"/>
      <c r="AW720" s="54"/>
      <c r="AX720" s="65">
        <v>0</v>
      </c>
      <c r="AY720" s="57">
        <f>IF(AND($AU720&gt;0,ISNUMBER($AX720)),$AU720*$AX720,0)</f>
        <v>0</v>
      </c>
      <c r="AZ720" s="46"/>
      <c r="BA720" s="52"/>
      <c r="BB720" s="52"/>
      <c r="BC720" s="52"/>
      <c r="BD720" s="52"/>
      <c r="BE720" s="52"/>
      <c r="BF720" s="52" t="s">
        <v>88</v>
      </c>
    </row>
    <row r="721" spans="1:58" ht="15" customHeight="1">
      <c r="A721" s="46" t="s">
        <v>4078</v>
      </c>
      <c r="B721" s="50" t="s">
        <v>4079</v>
      </c>
      <c r="C721" s="54" t="s">
        <v>70</v>
      </c>
      <c r="D721" s="74">
        <v>2</v>
      </c>
      <c r="E721" s="50" t="s">
        <v>189</v>
      </c>
      <c r="F721" s="50"/>
      <c r="G721" s="50"/>
      <c r="H721" s="51"/>
      <c r="I721" s="50" t="s">
        <v>4080</v>
      </c>
      <c r="J721" s="54" t="s">
        <v>73</v>
      </c>
      <c r="K721" s="56" t="s">
        <v>135</v>
      </c>
      <c r="L721" s="56" t="s">
        <v>4081</v>
      </c>
      <c r="M721" s="56"/>
      <c r="N721" s="56"/>
      <c r="O721" s="54"/>
      <c r="P721" s="56" t="s">
        <v>185</v>
      </c>
      <c r="Q721" s="56" t="s">
        <v>4082</v>
      </c>
      <c r="R721" s="50"/>
      <c r="S721" s="50"/>
      <c r="T721" s="50"/>
      <c r="U721" s="50"/>
      <c r="V721" s="57">
        <v>0.3</v>
      </c>
      <c r="W721" s="68"/>
      <c r="X721" s="50"/>
      <c r="Y721" s="50"/>
      <c r="Z721" s="50"/>
      <c r="AA721" s="50"/>
      <c r="AB721" s="57"/>
      <c r="AC721" s="54">
        <v>1</v>
      </c>
      <c r="AD721" s="69">
        <f>SUM(AE721:AK721)</f>
        <v>1</v>
      </c>
      <c r="AE721" s="66"/>
      <c r="AF721" s="66"/>
      <c r="AG721" s="66"/>
      <c r="AH721" s="66"/>
      <c r="AI721" s="66"/>
      <c r="AJ721" s="66">
        <v>1</v>
      </c>
      <c r="AK721" s="66"/>
      <c r="AL721" s="54">
        <f>IF((AC721-SUM(AE721:AK721))&lt;0,0,AC721-SUM(AE721:AK721))</f>
        <v>0</v>
      </c>
      <c r="AM721" s="69">
        <f>SUM(AN721:AT721)</f>
        <v>1</v>
      </c>
      <c r="AN721" s="60"/>
      <c r="AO721" s="52"/>
      <c r="AP721" s="52"/>
      <c r="AQ721" s="52"/>
      <c r="AR721" s="52"/>
      <c r="AS721" s="52">
        <v>1</v>
      </c>
      <c r="AT721" s="61"/>
      <c r="AU721" s="54">
        <f>MAX(0,$AM721-$AC721-$AW721)</f>
        <v>0</v>
      </c>
      <c r="AV721" s="54"/>
      <c r="AW721" s="54"/>
      <c r="AX721" s="65">
        <v>0</v>
      </c>
      <c r="AY721" s="57">
        <f>IF(AND($AU721&gt;0,ISNUMBER($AX721)),$AU721*$AX721,0)</f>
        <v>0</v>
      </c>
      <c r="AZ721" s="46"/>
      <c r="BA721" s="52"/>
      <c r="BB721" s="52"/>
      <c r="BC721" s="52"/>
      <c r="BD721" s="52"/>
      <c r="BE721" s="52"/>
      <c r="BF721" s="52"/>
    </row>
    <row r="722" spans="1:58" ht="15" customHeight="1">
      <c r="A722" s="46" t="s">
        <v>4083</v>
      </c>
      <c r="B722" s="50" t="s">
        <v>4084</v>
      </c>
      <c r="C722" s="54" t="s">
        <v>232</v>
      </c>
      <c r="D722" s="74">
        <v>1</v>
      </c>
      <c r="E722" s="50" t="s">
        <v>531</v>
      </c>
      <c r="F722" s="50">
        <v>0</v>
      </c>
      <c r="G722" s="50">
        <v>3</v>
      </c>
      <c r="H722" s="51" t="s">
        <v>2993</v>
      </c>
      <c r="I722" s="50" t="s">
        <v>4085</v>
      </c>
      <c r="J722" s="54" t="s">
        <v>73</v>
      </c>
      <c r="K722" s="56" t="s">
        <v>497</v>
      </c>
      <c r="L722" s="56" t="s">
        <v>4086</v>
      </c>
      <c r="M722" s="56" t="s">
        <v>4087</v>
      </c>
      <c r="N722" s="56"/>
      <c r="O722" s="54"/>
      <c r="P722" s="56" t="s">
        <v>185</v>
      </c>
      <c r="Q722" s="56" t="s">
        <v>528</v>
      </c>
      <c r="R722" s="50"/>
      <c r="S722" s="50"/>
      <c r="T722" s="50"/>
      <c r="U722" s="50"/>
      <c r="V722" s="57">
        <v>0.3</v>
      </c>
      <c r="W722" s="68"/>
      <c r="X722" s="50"/>
      <c r="Y722" s="50"/>
      <c r="Z722" s="50"/>
      <c r="AA722" s="50"/>
      <c r="AB722" s="57"/>
      <c r="AC722" s="54">
        <v>1</v>
      </c>
      <c r="AD722" s="69">
        <f>SUM(AE722:AK722)</f>
        <v>1</v>
      </c>
      <c r="AE722" s="66"/>
      <c r="AF722" s="66"/>
      <c r="AG722" s="66"/>
      <c r="AH722" s="66">
        <v>1</v>
      </c>
      <c r="AI722" s="66"/>
      <c r="AJ722" s="66"/>
      <c r="AK722" s="66"/>
      <c r="AL722" s="54">
        <f>IF((AC722-SUM(AE722:AK722))&lt;0,0,AC722-SUM(AE722:AK722))</f>
        <v>0</v>
      </c>
      <c r="AM722" s="69">
        <f>SUM(AN722:AT722)</f>
        <v>1</v>
      </c>
      <c r="AN722" s="60"/>
      <c r="AO722" s="52"/>
      <c r="AP722" s="52"/>
      <c r="AQ722" s="52">
        <v>1</v>
      </c>
      <c r="AR722" s="52"/>
      <c r="AS722" s="52"/>
      <c r="AT722" s="61"/>
      <c r="AU722" s="54">
        <f>MAX(0,$AM722-$AC722-$AW722)</f>
        <v>0</v>
      </c>
      <c r="AV722" s="54"/>
      <c r="AW722" s="54"/>
      <c r="AX722" s="65">
        <v>0</v>
      </c>
      <c r="AY722" s="57">
        <f>IF(AND($AU722&gt;0,ISNUMBER($AX722)),$AU722*$AX722,0)</f>
        <v>0</v>
      </c>
      <c r="AZ722" s="46"/>
      <c r="BA722" s="52"/>
      <c r="BB722" s="52"/>
      <c r="BC722" s="52"/>
      <c r="BD722" s="52"/>
      <c r="BE722" s="52"/>
      <c r="BF722" s="52"/>
    </row>
    <row r="723" spans="1:58" ht="15" customHeight="1">
      <c r="A723" s="46" t="s">
        <v>4088</v>
      </c>
      <c r="B723" s="46" t="s">
        <v>4089</v>
      </c>
      <c r="C723" s="52" t="s">
        <v>181</v>
      </c>
      <c r="D723" s="75">
        <v>1</v>
      </c>
      <c r="E723" s="46" t="s">
        <v>81</v>
      </c>
      <c r="F723" s="50">
        <v>1</v>
      </c>
      <c r="G723" s="50">
        <v>1</v>
      </c>
      <c r="H723" s="51" t="s">
        <v>775</v>
      </c>
      <c r="I723" s="50" t="s">
        <v>4090</v>
      </c>
      <c r="J723" s="52" t="s">
        <v>73</v>
      </c>
      <c r="K723" s="46" t="s">
        <v>676</v>
      </c>
      <c r="L723" s="50" t="s">
        <v>4091</v>
      </c>
      <c r="M723" s="50"/>
      <c r="N723" s="50"/>
      <c r="O723" s="54"/>
      <c r="P723" s="55" t="s">
        <v>185</v>
      </c>
      <c r="Q723" s="46" t="s">
        <v>633</v>
      </c>
      <c r="R723" s="75" t="s">
        <v>1589</v>
      </c>
      <c r="S723" s="75">
        <v>1</v>
      </c>
      <c r="T723" s="75">
        <v>0</v>
      </c>
      <c r="U723" s="56" t="s">
        <v>4092</v>
      </c>
      <c r="V723" s="63">
        <v>0.3</v>
      </c>
      <c r="W723" s="64"/>
      <c r="X723" s="46"/>
      <c r="Y723" s="46"/>
      <c r="Z723" s="46"/>
      <c r="AA723" s="56"/>
      <c r="AB723" s="63"/>
      <c r="AC723" s="52">
        <v>1</v>
      </c>
      <c r="AD723" s="69">
        <f>SUM(AE723:AK723)</f>
        <v>0</v>
      </c>
      <c r="AE723" s="66"/>
      <c r="AF723" s="66"/>
      <c r="AG723" s="66"/>
      <c r="AH723" s="66"/>
      <c r="AI723" s="66"/>
      <c r="AJ723" s="66"/>
      <c r="AK723" s="66"/>
      <c r="AL723" s="54">
        <f>IF((AC723-SUM(AE723:AK723))&lt;0,0,AC723-SUM(AE723:AK723))</f>
        <v>1</v>
      </c>
      <c r="AM723" s="69">
        <f>SUM(AN723:AT723)</f>
        <v>0</v>
      </c>
      <c r="AN723" s="60"/>
      <c r="AO723" s="52"/>
      <c r="AP723" s="52"/>
      <c r="AQ723" s="52"/>
      <c r="AR723" s="52"/>
      <c r="AS723" s="52"/>
      <c r="AT723" s="61"/>
      <c r="AU723" s="54">
        <f>MAX(0,$AM723-$AC723-$AW723)</f>
        <v>0</v>
      </c>
      <c r="AV723" s="52"/>
      <c r="AW723" s="52"/>
      <c r="AX723" s="65">
        <v>0</v>
      </c>
      <c r="AY723" s="57">
        <f>IF(AND($AU723&gt;0,ISNUMBER($AX723)),$AU723*$AX723,0)</f>
        <v>0</v>
      </c>
      <c r="AZ723" s="46"/>
      <c r="BA723" s="52"/>
      <c r="BB723" s="52"/>
      <c r="BC723" s="52"/>
      <c r="BD723" s="52"/>
      <c r="BE723" s="52"/>
      <c r="BF723" s="52"/>
    </row>
    <row r="724" spans="1:58" ht="15" customHeight="1">
      <c r="A724" s="46" t="s">
        <v>4093</v>
      </c>
      <c r="B724" s="50" t="s">
        <v>4094</v>
      </c>
      <c r="C724" s="54" t="s">
        <v>109</v>
      </c>
      <c r="D724" s="74">
        <v>2</v>
      </c>
      <c r="E724" s="50" t="s">
        <v>110</v>
      </c>
      <c r="F724" s="50">
        <v>2</v>
      </c>
      <c r="G724" s="50">
        <v>2</v>
      </c>
      <c r="H724" s="51" t="s">
        <v>2985</v>
      </c>
      <c r="I724" s="50" t="s">
        <v>4095</v>
      </c>
      <c r="J724" s="54" t="s">
        <v>73</v>
      </c>
      <c r="K724" s="56" t="s">
        <v>550</v>
      </c>
      <c r="L724" s="56" t="s">
        <v>4096</v>
      </c>
      <c r="M724" s="56"/>
      <c r="N724" s="56"/>
      <c r="O724" s="56">
        <v>1186</v>
      </c>
      <c r="P724" s="56" t="s">
        <v>185</v>
      </c>
      <c r="Q724" s="56" t="s">
        <v>2507</v>
      </c>
      <c r="R724" s="74" t="s">
        <v>4097</v>
      </c>
      <c r="S724" s="74">
        <v>1</v>
      </c>
      <c r="T724" s="74">
        <v>0</v>
      </c>
      <c r="U724" s="56" t="s">
        <v>4098</v>
      </c>
      <c r="V724" s="57">
        <v>0.3</v>
      </c>
      <c r="W724" s="68"/>
      <c r="X724" s="50"/>
      <c r="Y724" s="50"/>
      <c r="Z724" s="50"/>
      <c r="AA724" s="56"/>
      <c r="AB724" s="57"/>
      <c r="AC724" s="54">
        <v>1</v>
      </c>
      <c r="AD724" s="69">
        <f>SUM(AE724:AK724)</f>
        <v>0</v>
      </c>
      <c r="AE724" s="66"/>
      <c r="AF724" s="66"/>
      <c r="AG724" s="66"/>
      <c r="AH724" s="66"/>
      <c r="AI724" s="66"/>
      <c r="AJ724" s="66"/>
      <c r="AK724" s="66"/>
      <c r="AL724" s="54">
        <f>IF((AC724-SUM(AE724:AK724))&lt;0,0,AC724-SUM(AE724:AK724))</f>
        <v>1</v>
      </c>
      <c r="AM724" s="69">
        <f>SUM(AN724:AT724)</f>
        <v>0</v>
      </c>
      <c r="AN724" s="60"/>
      <c r="AO724" s="52"/>
      <c r="AP724" s="52"/>
      <c r="AQ724" s="52"/>
      <c r="AR724" s="52"/>
      <c r="AS724" s="52"/>
      <c r="AT724" s="61"/>
      <c r="AU724" s="54">
        <f>MAX(0,$AM724-$AC724-$AW724)</f>
        <v>0</v>
      </c>
      <c r="AV724" s="54"/>
      <c r="AW724" s="54"/>
      <c r="AX724" s="65">
        <v>0</v>
      </c>
      <c r="AY724" s="57">
        <f>IF(AND($AU724&gt;0,ISNUMBER($AX724)),$AU724*$AX724,0)</f>
        <v>0</v>
      </c>
      <c r="AZ724" s="46"/>
      <c r="BA724" s="52"/>
      <c r="BB724" s="52"/>
      <c r="BC724" s="52"/>
      <c r="BD724" s="52"/>
      <c r="BE724" s="52"/>
      <c r="BF724" s="52"/>
    </row>
    <row r="725" spans="1:58" ht="15" customHeight="1">
      <c r="A725" s="46" t="s">
        <v>4099</v>
      </c>
      <c r="B725" s="46" t="s">
        <v>4100</v>
      </c>
      <c r="C725" s="52" t="s">
        <v>109</v>
      </c>
      <c r="D725" s="75">
        <v>4</v>
      </c>
      <c r="E725" s="46" t="s">
        <v>110</v>
      </c>
      <c r="F725" s="50">
        <v>4</v>
      </c>
      <c r="G725" s="50">
        <v>3</v>
      </c>
      <c r="H725" s="51" t="s">
        <v>2670</v>
      </c>
      <c r="I725" s="50" t="s">
        <v>4101</v>
      </c>
      <c r="J725" s="52" t="s">
        <v>73</v>
      </c>
      <c r="K725" s="46" t="s">
        <v>92</v>
      </c>
      <c r="L725" s="50" t="s">
        <v>4102</v>
      </c>
      <c r="M725" s="50" t="s">
        <v>4103</v>
      </c>
      <c r="N725" s="50"/>
      <c r="O725" s="56">
        <v>2234</v>
      </c>
      <c r="P725" s="55" t="s">
        <v>185</v>
      </c>
      <c r="Q725" s="46" t="s">
        <v>645</v>
      </c>
      <c r="R725" s="75" t="s">
        <v>4104</v>
      </c>
      <c r="S725" s="75">
        <v>1</v>
      </c>
      <c r="T725" s="75">
        <v>0</v>
      </c>
      <c r="U725" s="56" t="s">
        <v>4105</v>
      </c>
      <c r="V725" s="57">
        <v>0.28999999999999998</v>
      </c>
      <c r="W725" s="68"/>
      <c r="X725" s="46"/>
      <c r="Y725" s="46"/>
      <c r="Z725" s="46"/>
      <c r="AA725" s="56"/>
      <c r="AB725" s="57"/>
      <c r="AC725" s="54">
        <v>1</v>
      </c>
      <c r="AD725" s="69">
        <f>SUM(AE725:AK725)</f>
        <v>0</v>
      </c>
      <c r="AE725" s="66"/>
      <c r="AF725" s="66"/>
      <c r="AG725" s="66"/>
      <c r="AH725" s="66"/>
      <c r="AI725" s="66"/>
      <c r="AJ725" s="66"/>
      <c r="AK725" s="66"/>
      <c r="AL725" s="54">
        <f>IF((AC725-SUM(AE725:AK725))&lt;0,0,AC725-SUM(AE725:AK725))</f>
        <v>1</v>
      </c>
      <c r="AM725" s="69">
        <f>SUM(AN725:AT725)</f>
        <v>0</v>
      </c>
      <c r="AN725" s="60"/>
      <c r="AO725" s="52"/>
      <c r="AP725" s="52"/>
      <c r="AQ725" s="52"/>
      <c r="AR725" s="52"/>
      <c r="AS725" s="52"/>
      <c r="AT725" s="61"/>
      <c r="AU725" s="54">
        <f>MAX(0,$AM725-$AC725-$AW725)</f>
        <v>0</v>
      </c>
      <c r="AV725" s="52"/>
      <c r="AW725" s="52"/>
      <c r="AX725" s="65">
        <v>0</v>
      </c>
      <c r="AY725" s="57">
        <f>IF(AND($AU725&gt;0,ISNUMBER($AX725)),$AU725*$AX725,0)</f>
        <v>0</v>
      </c>
      <c r="AZ725" s="46"/>
      <c r="BA725" s="52"/>
      <c r="BB725" s="52"/>
      <c r="BC725" s="52"/>
      <c r="BD725" s="52"/>
      <c r="BE725" s="52"/>
      <c r="BF725" s="52"/>
    </row>
    <row r="726" spans="1:58" ht="15" customHeight="1">
      <c r="A726" s="46" t="s">
        <v>4106</v>
      </c>
      <c r="B726" s="50" t="s">
        <v>4107</v>
      </c>
      <c r="C726" s="54" t="s">
        <v>101</v>
      </c>
      <c r="D726" s="74">
        <v>2</v>
      </c>
      <c r="E726" s="50" t="s">
        <v>189</v>
      </c>
      <c r="F726" s="50"/>
      <c r="G726" s="50"/>
      <c r="H726" s="51"/>
      <c r="I726" s="50" t="s">
        <v>4108</v>
      </c>
      <c r="J726" s="54" t="s">
        <v>73</v>
      </c>
      <c r="K726" s="56" t="s">
        <v>864</v>
      </c>
      <c r="L726" s="56" t="s">
        <v>4109</v>
      </c>
      <c r="M726" s="56"/>
      <c r="N726" s="56"/>
      <c r="O726" s="54"/>
      <c r="P726" s="56" t="s">
        <v>185</v>
      </c>
      <c r="Q726" s="56" t="s">
        <v>482</v>
      </c>
      <c r="R726" s="50"/>
      <c r="S726" s="50"/>
      <c r="T726" s="50"/>
      <c r="U726" s="56"/>
      <c r="V726" s="57">
        <v>0.28999999999999998</v>
      </c>
      <c r="W726" s="68"/>
      <c r="X726" s="50"/>
      <c r="Y726" s="50"/>
      <c r="Z726" s="50"/>
      <c r="AA726" s="56"/>
      <c r="AB726" s="57"/>
      <c r="AC726" s="54">
        <v>1</v>
      </c>
      <c r="AD726" s="69">
        <f>SUM(AE726:AK726)</f>
        <v>0</v>
      </c>
      <c r="AE726" s="66"/>
      <c r="AF726" s="66"/>
      <c r="AG726" s="66"/>
      <c r="AH726" s="66"/>
      <c r="AI726" s="66"/>
      <c r="AJ726" s="66"/>
      <c r="AK726" s="66"/>
      <c r="AL726" s="54">
        <f>IF((AC726-SUM(AE726:AK726))&lt;0,0,AC726-SUM(AE726:AK726))</f>
        <v>1</v>
      </c>
      <c r="AM726" s="69">
        <f>SUM(AN726:AT726)</f>
        <v>1</v>
      </c>
      <c r="AN726" s="60"/>
      <c r="AO726" s="52"/>
      <c r="AP726" s="52"/>
      <c r="AQ726" s="52">
        <v>1</v>
      </c>
      <c r="AR726" s="52"/>
      <c r="AS726" s="52"/>
      <c r="AT726" s="61"/>
      <c r="AU726" s="54">
        <f>MAX(0,$AM726-$AC726-$AW726)</f>
        <v>0</v>
      </c>
      <c r="AV726" s="54"/>
      <c r="AW726" s="54"/>
      <c r="AX726" s="65">
        <v>0</v>
      </c>
      <c r="AY726" s="57">
        <f>IF(AND($AU726&gt;0,ISNUMBER($AX726)),$AU726*$AX726,0)</f>
        <v>0</v>
      </c>
      <c r="AZ726" s="46"/>
      <c r="BA726" s="52"/>
      <c r="BB726" s="52"/>
      <c r="BC726" s="52"/>
      <c r="BD726" s="52"/>
      <c r="BE726" s="52"/>
      <c r="BF726" s="52"/>
    </row>
    <row r="727" spans="1:58" ht="15" customHeight="1">
      <c r="A727" s="46" t="s">
        <v>4110</v>
      </c>
      <c r="B727" s="50" t="s">
        <v>4111</v>
      </c>
      <c r="C727" s="54" t="s">
        <v>311</v>
      </c>
      <c r="D727" s="74">
        <v>0</v>
      </c>
      <c r="E727" s="50" t="s">
        <v>312</v>
      </c>
      <c r="F727" s="50"/>
      <c r="G727" s="50"/>
      <c r="H727" s="51"/>
      <c r="I727" s="50" t="s">
        <v>4112</v>
      </c>
      <c r="J727" s="54" t="s">
        <v>73</v>
      </c>
      <c r="K727" s="56" t="s">
        <v>312</v>
      </c>
      <c r="L727" s="56" t="s">
        <v>4113</v>
      </c>
      <c r="M727" s="56" t="s">
        <v>4114</v>
      </c>
      <c r="N727" s="56"/>
      <c r="O727" s="54"/>
      <c r="P727" s="56" t="s">
        <v>312</v>
      </c>
      <c r="Q727" s="56" t="s">
        <v>729</v>
      </c>
      <c r="R727" s="74" t="s">
        <v>4115</v>
      </c>
      <c r="S727" s="74">
        <v>1</v>
      </c>
      <c r="T727" s="74">
        <v>1</v>
      </c>
      <c r="U727" s="56" t="s">
        <v>4116</v>
      </c>
      <c r="V727" s="57">
        <v>0.28999999999999998</v>
      </c>
      <c r="W727" s="68"/>
      <c r="X727" s="50"/>
      <c r="Y727" s="50"/>
      <c r="Z727" s="50"/>
      <c r="AA727" s="56"/>
      <c r="AB727" s="57"/>
      <c r="AC727" s="54">
        <v>1</v>
      </c>
      <c r="AD727" s="69">
        <f>SUM(AE727:AK727)</f>
        <v>0</v>
      </c>
      <c r="AE727" s="66"/>
      <c r="AF727" s="66"/>
      <c r="AG727" s="66"/>
      <c r="AH727" s="66"/>
      <c r="AI727" s="66"/>
      <c r="AJ727" s="66"/>
      <c r="AK727" s="66"/>
      <c r="AL727" s="54">
        <f>IF((AC727-SUM(AE727:AK727))&lt;0,0,AC727-SUM(AE727:AK727))</f>
        <v>1</v>
      </c>
      <c r="AM727" s="69">
        <f>SUM(AN727:AT727)</f>
        <v>0</v>
      </c>
      <c r="AN727" s="60"/>
      <c r="AO727" s="52"/>
      <c r="AP727" s="52"/>
      <c r="AQ727" s="52"/>
      <c r="AR727" s="52"/>
      <c r="AS727" s="52"/>
      <c r="AT727" s="61"/>
      <c r="AU727" s="54">
        <f>MAX(0,$AM727-$AC727-$AW727)</f>
        <v>0</v>
      </c>
      <c r="AV727" s="54"/>
      <c r="AW727" s="54"/>
      <c r="AX727" s="65">
        <v>0</v>
      </c>
      <c r="AY727" s="57">
        <f>IF(AND($AU727&gt;0,ISNUMBER($AX727)),$AU727*$AX727,0)</f>
        <v>0</v>
      </c>
      <c r="AZ727" s="46"/>
      <c r="BA727" s="52"/>
      <c r="BB727" s="52"/>
      <c r="BC727" s="52"/>
      <c r="BD727" s="52"/>
      <c r="BE727" s="52"/>
      <c r="BF727" s="52"/>
    </row>
    <row r="728" spans="1:58" ht="15" customHeight="1">
      <c r="A728" s="46" t="s">
        <v>4117</v>
      </c>
      <c r="B728" s="50" t="s">
        <v>4118</v>
      </c>
      <c r="C728" s="54" t="s">
        <v>311</v>
      </c>
      <c r="D728" s="74">
        <v>0</v>
      </c>
      <c r="E728" s="50" t="s">
        <v>312</v>
      </c>
      <c r="F728" s="50"/>
      <c r="G728" s="50"/>
      <c r="H728" s="51"/>
      <c r="I728" s="50" t="s">
        <v>4119</v>
      </c>
      <c r="J728" s="54" t="s">
        <v>73</v>
      </c>
      <c r="K728" s="56" t="s">
        <v>312</v>
      </c>
      <c r="L728" s="56" t="s">
        <v>4120</v>
      </c>
      <c r="M728" s="56" t="s">
        <v>3734</v>
      </c>
      <c r="N728" s="56"/>
      <c r="O728" s="54"/>
      <c r="P728" s="56" t="s">
        <v>185</v>
      </c>
      <c r="Q728" s="56" t="s">
        <v>1365</v>
      </c>
      <c r="R728" s="50"/>
      <c r="S728" s="50"/>
      <c r="T728" s="50"/>
      <c r="U728" s="50"/>
      <c r="V728" s="57">
        <v>0.28999999999999998</v>
      </c>
      <c r="W728" s="68"/>
      <c r="X728" s="50"/>
      <c r="Y728" s="50"/>
      <c r="Z728" s="50"/>
      <c r="AA728" s="50"/>
      <c r="AB728" s="57"/>
      <c r="AC728" s="54">
        <v>1</v>
      </c>
      <c r="AD728" s="69">
        <f>SUM(AE728:AK728)</f>
        <v>1</v>
      </c>
      <c r="AE728" s="66"/>
      <c r="AF728" s="66"/>
      <c r="AG728" s="66"/>
      <c r="AH728" s="66"/>
      <c r="AI728" s="66">
        <v>1</v>
      </c>
      <c r="AJ728" s="66"/>
      <c r="AK728" s="66"/>
      <c r="AL728" s="54">
        <f>IF((AC728-SUM(AE728:AK728))&lt;0,0,AC728-SUM(AE728:AK728))</f>
        <v>0</v>
      </c>
      <c r="AM728" s="69">
        <f>SUM(AN728:AT728)</f>
        <v>1</v>
      </c>
      <c r="AN728" s="60"/>
      <c r="AO728" s="52"/>
      <c r="AP728" s="52"/>
      <c r="AQ728" s="52"/>
      <c r="AR728" s="52">
        <v>1</v>
      </c>
      <c r="AS728" s="52"/>
      <c r="AT728" s="61"/>
      <c r="AU728" s="54">
        <f>MAX(0,$AM728-$AC728-$AW728)</f>
        <v>0</v>
      </c>
      <c r="AV728" s="54"/>
      <c r="AW728" s="54"/>
      <c r="AX728" s="65">
        <v>0</v>
      </c>
      <c r="AY728" s="57">
        <f>IF(AND($AU728&gt;0,ISNUMBER($AX728)),$AU728*$AX728,0)</f>
        <v>0</v>
      </c>
      <c r="AZ728" s="46"/>
      <c r="BA728" s="52"/>
      <c r="BB728" s="52"/>
      <c r="BC728" s="52"/>
      <c r="BD728" s="52"/>
      <c r="BE728" s="52"/>
      <c r="BF728" s="52"/>
    </row>
    <row r="729" spans="1:58" ht="15" customHeight="1">
      <c r="A729" s="46" t="s">
        <v>4121</v>
      </c>
      <c r="B729" s="50" t="s">
        <v>4122</v>
      </c>
      <c r="C729" s="54" t="s">
        <v>101</v>
      </c>
      <c r="D729" s="74">
        <v>1</v>
      </c>
      <c r="E729" s="50" t="s">
        <v>81</v>
      </c>
      <c r="F729" s="50">
        <v>0</v>
      </c>
      <c r="G729" s="50">
        <v>3</v>
      </c>
      <c r="H729" s="51" t="s">
        <v>221</v>
      </c>
      <c r="I729" s="50" t="s">
        <v>4123</v>
      </c>
      <c r="J729" s="54" t="s">
        <v>73</v>
      </c>
      <c r="K729" s="56" t="s">
        <v>121</v>
      </c>
      <c r="L729" s="56" t="s">
        <v>4124</v>
      </c>
      <c r="M729" s="56" t="s">
        <v>431</v>
      </c>
      <c r="N729" s="56"/>
      <c r="O729" s="54"/>
      <c r="P729" s="56" t="s">
        <v>185</v>
      </c>
      <c r="Q729" s="56" t="s">
        <v>2051</v>
      </c>
      <c r="R729" s="50"/>
      <c r="S729" s="50"/>
      <c r="T729" s="50"/>
      <c r="U729" s="50"/>
      <c r="V729" s="57">
        <v>0.28999999999999998</v>
      </c>
      <c r="W729" s="68"/>
      <c r="X729" s="50"/>
      <c r="Y729" s="50"/>
      <c r="Z729" s="50"/>
      <c r="AA729" s="50"/>
      <c r="AB729" s="57"/>
      <c r="AC729" s="54">
        <v>1</v>
      </c>
      <c r="AD729" s="69">
        <f>SUM(AE729:AK729)</f>
        <v>1</v>
      </c>
      <c r="AE729" s="66"/>
      <c r="AF729" s="66"/>
      <c r="AG729" s="66"/>
      <c r="AH729" s="66">
        <v>1</v>
      </c>
      <c r="AI729" s="66"/>
      <c r="AJ729" s="66"/>
      <c r="AK729" s="66"/>
      <c r="AL729" s="54">
        <f>IF((AC729-SUM(AE729:AK729))&lt;0,0,AC729-SUM(AE729:AK729))</f>
        <v>0</v>
      </c>
      <c r="AM729" s="69">
        <f>SUM(AN729:AT729)</f>
        <v>1</v>
      </c>
      <c r="AN729" s="60"/>
      <c r="AO729" s="52"/>
      <c r="AP729" s="52"/>
      <c r="AQ729" s="52">
        <v>1</v>
      </c>
      <c r="AR729" s="52"/>
      <c r="AS729" s="52"/>
      <c r="AT729" s="61"/>
      <c r="AU729" s="54">
        <f>MAX(0,$AM729-$AC729-$AW729)</f>
        <v>0</v>
      </c>
      <c r="AV729" s="54"/>
      <c r="AW729" s="54"/>
      <c r="AX729" s="65">
        <v>0</v>
      </c>
      <c r="AY729" s="57">
        <f>IF(AND($AU729&gt;0,ISNUMBER($AX729)),$AU729*$AX729,0)</f>
        <v>0</v>
      </c>
      <c r="AZ729" s="46"/>
      <c r="BA729" s="52"/>
      <c r="BB729" s="52"/>
      <c r="BC729" s="52"/>
      <c r="BD729" s="52"/>
      <c r="BE729" s="52"/>
      <c r="BF729" s="52"/>
    </row>
    <row r="730" spans="1:58" ht="15" customHeight="1">
      <c r="A730" s="46" t="s">
        <v>4125</v>
      </c>
      <c r="B730" s="46" t="s">
        <v>4126</v>
      </c>
      <c r="C730" s="52" t="s">
        <v>109</v>
      </c>
      <c r="D730" s="75">
        <v>3</v>
      </c>
      <c r="E730" s="46" t="s">
        <v>81</v>
      </c>
      <c r="F730" s="50">
        <v>2</v>
      </c>
      <c r="G730" s="50">
        <v>2</v>
      </c>
      <c r="H730" s="51" t="s">
        <v>4127</v>
      </c>
      <c r="I730" s="50" t="s">
        <v>4128</v>
      </c>
      <c r="J730" s="52" t="s">
        <v>73</v>
      </c>
      <c r="K730" s="46" t="s">
        <v>104</v>
      </c>
      <c r="L730" s="50" t="s">
        <v>4129</v>
      </c>
      <c r="M730" s="50"/>
      <c r="N730" s="50"/>
      <c r="O730" s="54"/>
      <c r="P730" s="55" t="s">
        <v>185</v>
      </c>
      <c r="Q730" s="46" t="s">
        <v>645</v>
      </c>
      <c r="R730" s="75" t="s">
        <v>4130</v>
      </c>
      <c r="S730" s="75">
        <v>1</v>
      </c>
      <c r="T730" s="75">
        <v>0</v>
      </c>
      <c r="U730" s="56" t="s">
        <v>1399</v>
      </c>
      <c r="V730" s="57">
        <v>0.28999999999999998</v>
      </c>
      <c r="W730" s="68"/>
      <c r="X730" s="46"/>
      <c r="Y730" s="46"/>
      <c r="Z730" s="46"/>
      <c r="AA730" s="56"/>
      <c r="AB730" s="57"/>
      <c r="AC730" s="54">
        <v>1</v>
      </c>
      <c r="AD730" s="69">
        <f>SUM(AE730:AK730)</f>
        <v>0</v>
      </c>
      <c r="AE730" s="66"/>
      <c r="AF730" s="66"/>
      <c r="AG730" s="66"/>
      <c r="AH730" s="66"/>
      <c r="AI730" s="66"/>
      <c r="AJ730" s="66"/>
      <c r="AK730" s="66"/>
      <c r="AL730" s="54">
        <f>IF((AC730-SUM(AE730:AK730))&lt;0,0,AC730-SUM(AE730:AK730))</f>
        <v>1</v>
      </c>
      <c r="AM730" s="69">
        <f>SUM(AN730:AT730)</f>
        <v>0</v>
      </c>
      <c r="AN730" s="60"/>
      <c r="AO730" s="52"/>
      <c r="AP730" s="52"/>
      <c r="AQ730" s="52"/>
      <c r="AR730" s="52"/>
      <c r="AS730" s="52"/>
      <c r="AT730" s="61"/>
      <c r="AU730" s="54">
        <f>MAX(0,$AM730-$AC730-$AW730)</f>
        <v>0</v>
      </c>
      <c r="AV730" s="52"/>
      <c r="AW730" s="52"/>
      <c r="AX730" s="65">
        <v>0</v>
      </c>
      <c r="AY730" s="57">
        <f>IF(AND($AU730&gt;0,ISNUMBER($AX730)),$AU730*$AX730,0)</f>
        <v>0</v>
      </c>
      <c r="AZ730" s="46"/>
      <c r="BA730" s="52"/>
      <c r="BB730" s="52"/>
      <c r="BC730" s="52"/>
      <c r="BD730" s="52"/>
      <c r="BE730" s="52"/>
      <c r="BF730" s="52"/>
    </row>
    <row r="731" spans="1:58" ht="15" customHeight="1">
      <c r="A731" s="46" t="s">
        <v>4131</v>
      </c>
      <c r="B731" s="50" t="s">
        <v>4132</v>
      </c>
      <c r="C731" s="54" t="s">
        <v>109</v>
      </c>
      <c r="D731" s="74">
        <v>2</v>
      </c>
      <c r="E731" s="50" t="s">
        <v>81</v>
      </c>
      <c r="F731" s="50">
        <v>1</v>
      </c>
      <c r="G731" s="50">
        <v>1</v>
      </c>
      <c r="H731" s="51" t="s">
        <v>4133</v>
      </c>
      <c r="I731" s="50" t="s">
        <v>4134</v>
      </c>
      <c r="J731" s="54" t="s">
        <v>73</v>
      </c>
      <c r="K731" s="56" t="s">
        <v>104</v>
      </c>
      <c r="L731" s="56" t="s">
        <v>4135</v>
      </c>
      <c r="M731" s="56"/>
      <c r="N731" s="56"/>
      <c r="O731" s="54"/>
      <c r="P731" s="56" t="s">
        <v>76</v>
      </c>
      <c r="Q731" s="56" t="s">
        <v>1006</v>
      </c>
      <c r="R731" s="54"/>
      <c r="S731" s="54"/>
      <c r="T731" s="54"/>
      <c r="U731" s="54"/>
      <c r="V731" s="57">
        <v>0.28999999999999998</v>
      </c>
      <c r="W731" s="68"/>
      <c r="X731" s="54"/>
      <c r="Y731" s="54"/>
      <c r="Z731" s="54"/>
      <c r="AA731" s="54"/>
      <c r="AB731" s="57"/>
      <c r="AC731" s="54">
        <v>1</v>
      </c>
      <c r="AD731" s="69">
        <f>SUM(AE731:AK731)</f>
        <v>1</v>
      </c>
      <c r="AE731" s="66"/>
      <c r="AF731" s="66">
        <v>1</v>
      </c>
      <c r="AG731" s="66"/>
      <c r="AH731" s="66"/>
      <c r="AI731" s="66"/>
      <c r="AJ731" s="66"/>
      <c r="AK731" s="66"/>
      <c r="AL731" s="54">
        <f>IF((AC731-SUM(AE731:AK731))&lt;0,0,AC731-SUM(AE731:AK731))</f>
        <v>0</v>
      </c>
      <c r="AM731" s="69">
        <f>SUM(AN731:AT731)</f>
        <v>1</v>
      </c>
      <c r="AN731" s="60"/>
      <c r="AO731" s="52">
        <v>1</v>
      </c>
      <c r="AP731" s="52"/>
      <c r="AQ731" s="52"/>
      <c r="AR731" s="52"/>
      <c r="AS731" s="52"/>
      <c r="AT731" s="61"/>
      <c r="AU731" s="54">
        <f>MAX(0,$AM731-$AC731-$AW731)</f>
        <v>0</v>
      </c>
      <c r="AV731" s="54"/>
      <c r="AW731" s="54"/>
      <c r="AX731" s="65">
        <v>0</v>
      </c>
      <c r="AY731" s="57">
        <f>IF(AND($AU731&gt;0,ISNUMBER($AX731)),$AU731*$AX731,0)</f>
        <v>0</v>
      </c>
      <c r="AZ731" s="46"/>
      <c r="BA731" s="52"/>
      <c r="BB731" s="52"/>
      <c r="BC731" s="52"/>
      <c r="BD731" s="52"/>
      <c r="BE731" s="52"/>
      <c r="BF731" s="52"/>
    </row>
    <row r="732" spans="1:58" ht="15" customHeight="1">
      <c r="A732" s="46" t="s">
        <v>4136</v>
      </c>
      <c r="B732" s="50" t="s">
        <v>4137</v>
      </c>
      <c r="C732" s="54" t="s">
        <v>70</v>
      </c>
      <c r="D732" s="74">
        <v>3</v>
      </c>
      <c r="E732" s="50" t="s">
        <v>81</v>
      </c>
      <c r="F732" s="50">
        <v>1</v>
      </c>
      <c r="G732" s="50">
        <v>1</v>
      </c>
      <c r="H732" s="51" t="s">
        <v>245</v>
      </c>
      <c r="I732" s="50" t="s">
        <v>4138</v>
      </c>
      <c r="J732" s="54" t="s">
        <v>73</v>
      </c>
      <c r="K732" s="56" t="s">
        <v>2664</v>
      </c>
      <c r="L732" s="56" t="s">
        <v>4139</v>
      </c>
      <c r="M732" s="56"/>
      <c r="N732" s="56"/>
      <c r="O732" s="54"/>
      <c r="P732" s="56" t="s">
        <v>76</v>
      </c>
      <c r="Q732" s="56" t="s">
        <v>4140</v>
      </c>
      <c r="R732" s="50"/>
      <c r="S732" s="50"/>
      <c r="T732" s="50"/>
      <c r="U732" s="50"/>
      <c r="V732" s="57">
        <v>0.28999999999999998</v>
      </c>
      <c r="W732" s="68"/>
      <c r="X732" s="50"/>
      <c r="Y732" s="50"/>
      <c r="Z732" s="50"/>
      <c r="AA732" s="50"/>
      <c r="AB732" s="57"/>
      <c r="AC732" s="54">
        <v>1</v>
      </c>
      <c r="AD732" s="69">
        <f>SUM(AE732:AK732)</f>
        <v>1</v>
      </c>
      <c r="AE732" s="66"/>
      <c r="AF732" s="66"/>
      <c r="AG732" s="66"/>
      <c r="AH732" s="66"/>
      <c r="AI732" s="66"/>
      <c r="AJ732" s="66">
        <v>1</v>
      </c>
      <c r="AK732" s="66"/>
      <c r="AL732" s="54">
        <f>IF((AC732-SUM(AE732:AK732))&lt;0,0,AC732-SUM(AE732:AK732))</f>
        <v>0</v>
      </c>
      <c r="AM732" s="69">
        <f>SUM(AN732:AT732)</f>
        <v>1</v>
      </c>
      <c r="AN732" s="60"/>
      <c r="AO732" s="52"/>
      <c r="AP732" s="52"/>
      <c r="AQ732" s="52"/>
      <c r="AR732" s="52"/>
      <c r="AS732" s="52">
        <v>1</v>
      </c>
      <c r="AT732" s="61"/>
      <c r="AU732" s="54">
        <f>MAX(0,$AM732-$AC732-$AW732)</f>
        <v>0</v>
      </c>
      <c r="AV732" s="54"/>
      <c r="AW732" s="54"/>
      <c r="AX732" s="65">
        <v>0</v>
      </c>
      <c r="AY732" s="57">
        <f>IF(AND($AU732&gt;0,ISNUMBER($AX732)),$AU732*$AX732,0)</f>
        <v>0</v>
      </c>
      <c r="AZ732" s="46"/>
      <c r="BA732" s="52"/>
      <c r="BB732" s="52"/>
      <c r="BC732" s="52"/>
      <c r="BD732" s="52"/>
      <c r="BE732" s="52"/>
      <c r="BF732" s="52"/>
    </row>
    <row r="733" spans="1:58" ht="15" customHeight="1">
      <c r="A733" s="46" t="s">
        <v>4141</v>
      </c>
      <c r="B733" s="50" t="s">
        <v>4142</v>
      </c>
      <c r="C733" s="54" t="s">
        <v>70</v>
      </c>
      <c r="D733" s="74">
        <v>4</v>
      </c>
      <c r="E733" s="50" t="s">
        <v>384</v>
      </c>
      <c r="F733" s="50"/>
      <c r="G733" s="50"/>
      <c r="H733" s="51"/>
      <c r="I733" s="50" t="s">
        <v>4143</v>
      </c>
      <c r="J733" s="54" t="s">
        <v>73</v>
      </c>
      <c r="K733" s="56" t="s">
        <v>152</v>
      </c>
      <c r="L733" s="56" t="s">
        <v>4144</v>
      </c>
      <c r="M733" s="56" t="s">
        <v>4145</v>
      </c>
      <c r="N733" s="56" t="s">
        <v>4146</v>
      </c>
      <c r="O733" s="54"/>
      <c r="P733" s="56" t="s">
        <v>86</v>
      </c>
      <c r="Q733" s="56" t="s">
        <v>900</v>
      </c>
      <c r="R733" s="50"/>
      <c r="S733" s="50"/>
      <c r="T733" s="50"/>
      <c r="U733" s="50"/>
      <c r="V733" s="57">
        <v>0.28000000000000003</v>
      </c>
      <c r="W733" s="68"/>
      <c r="X733" s="50"/>
      <c r="Y733" s="50"/>
      <c r="Z733" s="50"/>
      <c r="AA733" s="50"/>
      <c r="AB733" s="57"/>
      <c r="AC733" s="54">
        <v>1</v>
      </c>
      <c r="AD733" s="69">
        <f>SUM(AE733:AK733)</f>
        <v>1</v>
      </c>
      <c r="AE733" s="66"/>
      <c r="AF733" s="66"/>
      <c r="AG733" s="66"/>
      <c r="AH733" s="66"/>
      <c r="AI733" s="66"/>
      <c r="AJ733" s="66">
        <v>1</v>
      </c>
      <c r="AK733" s="66"/>
      <c r="AL733" s="54">
        <f>IF((AC733-SUM(AE733:AK733))&lt;0,0,AC733-SUM(AE733:AK733))</f>
        <v>0</v>
      </c>
      <c r="AM733" s="69">
        <f>SUM(AN733:AT733)</f>
        <v>0</v>
      </c>
      <c r="AN733" s="60"/>
      <c r="AO733" s="52"/>
      <c r="AP733" s="52"/>
      <c r="AQ733" s="52"/>
      <c r="AR733" s="52"/>
      <c r="AS733" s="52"/>
      <c r="AT733" s="61"/>
      <c r="AU733" s="54">
        <f>MAX(0,$AM733-$AC733-$AW733)</f>
        <v>0</v>
      </c>
      <c r="AV733" s="54"/>
      <c r="AW733" s="54"/>
      <c r="AX733" s="65">
        <v>0</v>
      </c>
      <c r="AY733" s="57">
        <f>IF(AND($AU733&gt;0,ISNUMBER($AX733)),$AU733*$AX733,0)</f>
        <v>0</v>
      </c>
      <c r="AZ733" s="46"/>
      <c r="BA733" s="52"/>
      <c r="BB733" s="52"/>
      <c r="BC733" s="52"/>
      <c r="BD733" s="52"/>
      <c r="BE733" s="52" t="s">
        <v>524</v>
      </c>
      <c r="BF733" s="52"/>
    </row>
    <row r="734" spans="1:58" ht="15" customHeight="1">
      <c r="A734" s="46" t="s">
        <v>4147</v>
      </c>
      <c r="B734" s="46" t="s">
        <v>4148</v>
      </c>
      <c r="C734" s="52" t="s">
        <v>101</v>
      </c>
      <c r="D734" s="75">
        <v>1</v>
      </c>
      <c r="E734" s="46" t="s">
        <v>81</v>
      </c>
      <c r="F734" s="50">
        <v>1</v>
      </c>
      <c r="G734" s="50">
        <v>1</v>
      </c>
      <c r="H734" s="51" t="s">
        <v>4149</v>
      </c>
      <c r="I734" s="50" t="s">
        <v>4150</v>
      </c>
      <c r="J734" s="52" t="s">
        <v>73</v>
      </c>
      <c r="K734" s="46" t="s">
        <v>661</v>
      </c>
      <c r="L734" s="50" t="s">
        <v>4151</v>
      </c>
      <c r="M734" s="50" t="s">
        <v>4152</v>
      </c>
      <c r="N734" s="50"/>
      <c r="O734" s="54"/>
      <c r="P734" s="56" t="s">
        <v>86</v>
      </c>
      <c r="Q734" s="46" t="s">
        <v>645</v>
      </c>
      <c r="R734" s="75" t="s">
        <v>4153</v>
      </c>
      <c r="S734" s="75">
        <v>1</v>
      </c>
      <c r="T734" s="75">
        <v>0</v>
      </c>
      <c r="U734" s="56" t="s">
        <v>4154</v>
      </c>
      <c r="V734" s="57">
        <v>0.28000000000000003</v>
      </c>
      <c r="W734" s="68"/>
      <c r="X734" s="50"/>
      <c r="Y734" s="46"/>
      <c r="Z734" s="46"/>
      <c r="AA734" s="56"/>
      <c r="AB734" s="57"/>
      <c r="AC734" s="54">
        <v>1</v>
      </c>
      <c r="AD734" s="69">
        <f>SUM(AE734:AK734)</f>
        <v>0</v>
      </c>
      <c r="AE734" s="66"/>
      <c r="AF734" s="66"/>
      <c r="AG734" s="66"/>
      <c r="AH734" s="66"/>
      <c r="AI734" s="66"/>
      <c r="AJ734" s="66"/>
      <c r="AK734" s="66"/>
      <c r="AL734" s="54">
        <f>IF((AC734-SUM(AE734:AK734))&lt;0,0,AC734-SUM(AE734:AK734))</f>
        <v>1</v>
      </c>
      <c r="AM734" s="69">
        <f>SUM(AN734:AT734)</f>
        <v>0</v>
      </c>
      <c r="AN734" s="60"/>
      <c r="AO734" s="52"/>
      <c r="AP734" s="52"/>
      <c r="AQ734" s="52"/>
      <c r="AR734" s="52"/>
      <c r="AS734" s="52"/>
      <c r="AT734" s="61"/>
      <c r="AU734" s="54">
        <f>MAX(0,$AM734-$AC734-$AW734)</f>
        <v>0</v>
      </c>
      <c r="AV734" s="52"/>
      <c r="AW734" s="52"/>
      <c r="AX734" s="65">
        <v>0</v>
      </c>
      <c r="AY734" s="57">
        <f>IF(AND($AU734&gt;0,ISNUMBER($AX734)),$AU734*$AX734,0)</f>
        <v>0</v>
      </c>
      <c r="AZ734" s="46"/>
      <c r="BA734" s="52"/>
      <c r="BB734" s="52"/>
      <c r="BC734" s="52"/>
      <c r="BD734" s="52"/>
      <c r="BE734" s="52"/>
      <c r="BF734" s="52"/>
    </row>
    <row r="735" spans="1:58" ht="15" customHeight="1">
      <c r="A735" s="46" t="s">
        <v>4155</v>
      </c>
      <c r="B735" s="46" t="s">
        <v>4156</v>
      </c>
      <c r="C735" s="52" t="s">
        <v>70</v>
      </c>
      <c r="D735" s="75">
        <v>3</v>
      </c>
      <c r="E735" s="46" t="s">
        <v>71</v>
      </c>
      <c r="F735" s="50"/>
      <c r="G735" s="50"/>
      <c r="H735" s="51"/>
      <c r="I735" s="50" t="s">
        <v>4157</v>
      </c>
      <c r="J735" s="52" t="s">
        <v>73</v>
      </c>
      <c r="K735" s="46" t="s">
        <v>1099</v>
      </c>
      <c r="L735" s="50" t="s">
        <v>4158</v>
      </c>
      <c r="M735" s="50" t="s">
        <v>4159</v>
      </c>
      <c r="N735" s="50"/>
      <c r="O735" s="54"/>
      <c r="P735" s="56" t="s">
        <v>86</v>
      </c>
      <c r="Q735" s="46" t="s">
        <v>645</v>
      </c>
      <c r="R735" s="75" t="s">
        <v>4160</v>
      </c>
      <c r="S735" s="75">
        <v>1</v>
      </c>
      <c r="T735" s="75">
        <v>0</v>
      </c>
      <c r="U735" s="56" t="s">
        <v>3101</v>
      </c>
      <c r="V735" s="57">
        <v>0.28000000000000003</v>
      </c>
      <c r="W735" s="68"/>
      <c r="X735" s="50"/>
      <c r="Y735" s="46"/>
      <c r="Z735" s="46"/>
      <c r="AA735" s="56"/>
      <c r="AB735" s="57"/>
      <c r="AC735" s="54">
        <v>1</v>
      </c>
      <c r="AD735" s="69">
        <f>SUM(AE735:AK735)</f>
        <v>0</v>
      </c>
      <c r="AE735" s="66"/>
      <c r="AF735" s="66"/>
      <c r="AG735" s="66"/>
      <c r="AH735" s="66"/>
      <c r="AI735" s="66"/>
      <c r="AJ735" s="66"/>
      <c r="AK735" s="66"/>
      <c r="AL735" s="54">
        <f>IF((AC735-SUM(AE735:AK735))&lt;0,0,AC735-SUM(AE735:AK735))</f>
        <v>1</v>
      </c>
      <c r="AM735" s="69">
        <f>SUM(AN735:AT735)</f>
        <v>0</v>
      </c>
      <c r="AN735" s="60"/>
      <c r="AO735" s="52"/>
      <c r="AP735" s="52"/>
      <c r="AQ735" s="52"/>
      <c r="AR735" s="52"/>
      <c r="AS735" s="52"/>
      <c r="AT735" s="61"/>
      <c r="AU735" s="54">
        <f>MAX(0,$AM735-$AC735-$AW735)</f>
        <v>0</v>
      </c>
      <c r="AV735" s="52"/>
      <c r="AW735" s="52"/>
      <c r="AX735" s="65">
        <v>0</v>
      </c>
      <c r="AY735" s="57">
        <f>IF(AND($AU735&gt;0,ISNUMBER($AX735)),$AU735*$AX735,0)</f>
        <v>0</v>
      </c>
      <c r="AZ735" s="46"/>
      <c r="BA735" s="52"/>
      <c r="BB735" s="52"/>
      <c r="BC735" s="52"/>
      <c r="BD735" s="52"/>
      <c r="BE735" s="52"/>
      <c r="BF735" s="52"/>
    </row>
    <row r="736" spans="1:58" ht="15" customHeight="1">
      <c r="A736" s="46" t="s">
        <v>4161</v>
      </c>
      <c r="B736" s="50" t="s">
        <v>4162</v>
      </c>
      <c r="C736" s="54" t="s">
        <v>181</v>
      </c>
      <c r="D736" s="74">
        <v>4</v>
      </c>
      <c r="E736" s="50" t="s">
        <v>384</v>
      </c>
      <c r="F736" s="50"/>
      <c r="G736" s="50"/>
      <c r="H736" s="51"/>
      <c r="I736" s="50" t="s">
        <v>4163</v>
      </c>
      <c r="J736" s="54" t="s">
        <v>73</v>
      </c>
      <c r="K736" s="56" t="s">
        <v>170</v>
      </c>
      <c r="L736" s="56" t="s">
        <v>4164</v>
      </c>
      <c r="M736" s="56" t="s">
        <v>4165</v>
      </c>
      <c r="N736" s="56" t="s">
        <v>4166</v>
      </c>
      <c r="O736" s="54"/>
      <c r="P736" s="56" t="s">
        <v>185</v>
      </c>
      <c r="Q736" s="56" t="s">
        <v>1924</v>
      </c>
      <c r="R736" s="50"/>
      <c r="S736" s="50"/>
      <c r="T736" s="50"/>
      <c r="U736" s="56"/>
      <c r="V736" s="57">
        <v>0.28000000000000003</v>
      </c>
      <c r="W736" s="68"/>
      <c r="X736" s="50"/>
      <c r="Y736" s="50"/>
      <c r="Z736" s="50"/>
      <c r="AA736" s="56"/>
      <c r="AB736" s="57"/>
      <c r="AC736" s="54">
        <v>1</v>
      </c>
      <c r="AD736" s="69">
        <f>SUM(AE736:AK736)</f>
        <v>0</v>
      </c>
      <c r="AE736" s="66"/>
      <c r="AF736" s="66"/>
      <c r="AG736" s="66"/>
      <c r="AH736" s="66"/>
      <c r="AI736" s="66"/>
      <c r="AJ736" s="66"/>
      <c r="AK736" s="66"/>
      <c r="AL736" s="54">
        <f>IF((AC736-SUM(AE736:AK736))&lt;0,0,AC736-SUM(AE736:AK736))</f>
        <v>1</v>
      </c>
      <c r="AM736" s="69">
        <f>SUM(AN736:AT736)</f>
        <v>0</v>
      </c>
      <c r="AN736" s="60"/>
      <c r="AO736" s="52"/>
      <c r="AP736" s="52"/>
      <c r="AQ736" s="52"/>
      <c r="AR736" s="52"/>
      <c r="AS736" s="52"/>
      <c r="AT736" s="61"/>
      <c r="AU736" s="54">
        <f>MAX(0,$AM736-$AC736-$AW736)</f>
        <v>0</v>
      </c>
      <c r="AV736" s="54"/>
      <c r="AW736" s="54"/>
      <c r="AX736" s="65">
        <v>0</v>
      </c>
      <c r="AY736" s="57">
        <f>IF(AND($AU736&gt;0,ISNUMBER($AX736)),$AU736*$AX736,0)</f>
        <v>0</v>
      </c>
      <c r="AZ736" s="46"/>
      <c r="BA736" s="52"/>
      <c r="BB736" s="52"/>
      <c r="BC736" s="52"/>
      <c r="BD736" s="52"/>
      <c r="BE736" s="52"/>
      <c r="BF736" s="52"/>
    </row>
    <row r="737" spans="1:58" ht="15" customHeight="1">
      <c r="A737" s="46" t="s">
        <v>4167</v>
      </c>
      <c r="B737" s="50" t="s">
        <v>4168</v>
      </c>
      <c r="C737" s="54" t="s">
        <v>80</v>
      </c>
      <c r="D737" s="74">
        <v>5</v>
      </c>
      <c r="E737" s="50" t="s">
        <v>81</v>
      </c>
      <c r="F737" s="50">
        <v>2</v>
      </c>
      <c r="G737" s="50">
        <v>3</v>
      </c>
      <c r="H737" s="51" t="s">
        <v>4169</v>
      </c>
      <c r="I737" s="50" t="s">
        <v>4170</v>
      </c>
      <c r="J737" s="54" t="s">
        <v>73</v>
      </c>
      <c r="K737" s="56" t="s">
        <v>104</v>
      </c>
      <c r="L737" s="56" t="s">
        <v>4171</v>
      </c>
      <c r="M737" s="56" t="s">
        <v>995</v>
      </c>
      <c r="N737" s="56"/>
      <c r="O737" s="54"/>
      <c r="P737" s="56" t="s">
        <v>76</v>
      </c>
      <c r="Q737" s="56" t="s">
        <v>4172</v>
      </c>
      <c r="R737" s="50"/>
      <c r="S737" s="50"/>
      <c r="T737" s="50"/>
      <c r="U737" s="50"/>
      <c r="V737" s="57">
        <v>0.28000000000000003</v>
      </c>
      <c r="W737" s="68"/>
      <c r="X737" s="50"/>
      <c r="Y737" s="50"/>
      <c r="Z737" s="50"/>
      <c r="AA737" s="50"/>
      <c r="AB737" s="57"/>
      <c r="AC737" s="54">
        <v>1</v>
      </c>
      <c r="AD737" s="69">
        <f>SUM(AE737:AK737)</f>
        <v>1</v>
      </c>
      <c r="AE737" s="66"/>
      <c r="AF737" s="66">
        <v>1</v>
      </c>
      <c r="AG737" s="66"/>
      <c r="AH737" s="66"/>
      <c r="AI737" s="66"/>
      <c r="AJ737" s="66"/>
      <c r="AK737" s="66"/>
      <c r="AL737" s="54">
        <f>IF((AC737-SUM(AE737:AK737))&lt;0,0,AC737-SUM(AE737:AK737))</f>
        <v>0</v>
      </c>
      <c r="AM737" s="69">
        <f>SUM(AN737:AT737)</f>
        <v>0</v>
      </c>
      <c r="AN737" s="60"/>
      <c r="AO737" s="52"/>
      <c r="AP737" s="52"/>
      <c r="AQ737" s="52"/>
      <c r="AR737" s="52"/>
      <c r="AS737" s="52"/>
      <c r="AT737" s="61"/>
      <c r="AU737" s="54">
        <f>MAX(0,$AM737-$AC737-$AW737)</f>
        <v>0</v>
      </c>
      <c r="AV737" s="54"/>
      <c r="AW737" s="54"/>
      <c r="AX737" s="65">
        <v>0</v>
      </c>
      <c r="AY737" s="57">
        <f>IF(AND($AU737&gt;0,ISNUMBER($AX737)),$AU737*$AX737,0)</f>
        <v>0</v>
      </c>
      <c r="AZ737" s="46"/>
      <c r="BA737" s="52" t="s">
        <v>275</v>
      </c>
      <c r="BB737" s="52"/>
      <c r="BC737" s="52"/>
      <c r="BD737" s="52"/>
      <c r="BE737" s="52"/>
      <c r="BF737" s="52"/>
    </row>
    <row r="738" spans="1:58" ht="15" customHeight="1">
      <c r="A738" s="46" t="s">
        <v>4173</v>
      </c>
      <c r="B738" s="46" t="s">
        <v>4174</v>
      </c>
      <c r="C738" s="52" t="s">
        <v>118</v>
      </c>
      <c r="D738" s="75">
        <v>3</v>
      </c>
      <c r="E738" s="46" t="s">
        <v>71</v>
      </c>
      <c r="F738" s="50"/>
      <c r="G738" s="50"/>
      <c r="H738" s="51"/>
      <c r="I738" s="50" t="s">
        <v>4175</v>
      </c>
      <c r="J738" s="52" t="s">
        <v>73</v>
      </c>
      <c r="K738" s="46" t="s">
        <v>129</v>
      </c>
      <c r="L738" s="50" t="s">
        <v>4176</v>
      </c>
      <c r="M738" s="50"/>
      <c r="N738" s="50"/>
      <c r="O738" s="54"/>
      <c r="P738" s="55" t="s">
        <v>185</v>
      </c>
      <c r="Q738" s="46" t="s">
        <v>2004</v>
      </c>
      <c r="R738" s="75" t="s">
        <v>4177</v>
      </c>
      <c r="S738" s="75">
        <v>1</v>
      </c>
      <c r="T738" s="75">
        <v>0</v>
      </c>
      <c r="U738" s="56" t="s">
        <v>2487</v>
      </c>
      <c r="V738" s="57">
        <v>0.28000000000000003</v>
      </c>
      <c r="W738" s="68"/>
      <c r="X738" s="46"/>
      <c r="Y738" s="46"/>
      <c r="Z738" s="46"/>
      <c r="AA738" s="56"/>
      <c r="AB738" s="57"/>
      <c r="AC738" s="54">
        <v>1</v>
      </c>
      <c r="AD738" s="69">
        <f>SUM(AE738:AK738)</f>
        <v>0</v>
      </c>
      <c r="AE738" s="66"/>
      <c r="AF738" s="66"/>
      <c r="AG738" s="66"/>
      <c r="AH738" s="66"/>
      <c r="AI738" s="66"/>
      <c r="AJ738" s="66"/>
      <c r="AK738" s="66"/>
      <c r="AL738" s="54">
        <f>IF((AC738-SUM(AE738:AK738))&lt;0,0,AC738-SUM(AE738:AK738))</f>
        <v>1</v>
      </c>
      <c r="AM738" s="69">
        <f>SUM(AN738:AT738)</f>
        <v>0</v>
      </c>
      <c r="AN738" s="60"/>
      <c r="AO738" s="52"/>
      <c r="AP738" s="52"/>
      <c r="AQ738" s="52"/>
      <c r="AR738" s="52"/>
      <c r="AS738" s="52"/>
      <c r="AT738" s="61"/>
      <c r="AU738" s="54">
        <f>MAX(0,$AM738-$AC738-$AW738)</f>
        <v>0</v>
      </c>
      <c r="AV738" s="52"/>
      <c r="AW738" s="52"/>
      <c r="AX738" s="65">
        <v>0</v>
      </c>
      <c r="AY738" s="57">
        <f>IF(AND($AU738&gt;0,ISNUMBER($AX738)),$AU738*$AX738,0)</f>
        <v>0</v>
      </c>
      <c r="AZ738" s="46"/>
      <c r="BA738" s="52"/>
      <c r="BB738" s="52"/>
      <c r="BC738" s="52"/>
      <c r="BD738" s="52"/>
      <c r="BE738" s="52"/>
      <c r="BF738" s="52"/>
    </row>
    <row r="739" spans="1:58" ht="15" customHeight="1">
      <c r="A739" s="46" t="s">
        <v>4178</v>
      </c>
      <c r="B739" s="50" t="s">
        <v>4179</v>
      </c>
      <c r="C739" s="54" t="s">
        <v>109</v>
      </c>
      <c r="D739" s="74">
        <v>2</v>
      </c>
      <c r="E739" s="50" t="s">
        <v>384</v>
      </c>
      <c r="F739" s="50"/>
      <c r="G739" s="50"/>
      <c r="H739" s="51"/>
      <c r="I739" s="50" t="s">
        <v>4180</v>
      </c>
      <c r="J739" s="54" t="s">
        <v>73</v>
      </c>
      <c r="K739" s="56" t="s">
        <v>129</v>
      </c>
      <c r="L739" s="56" t="s">
        <v>4181</v>
      </c>
      <c r="M739" s="56" t="s">
        <v>4182</v>
      </c>
      <c r="N739" s="56"/>
      <c r="O739" s="54"/>
      <c r="P739" s="56" t="s">
        <v>185</v>
      </c>
      <c r="Q739" s="56" t="s">
        <v>4183</v>
      </c>
      <c r="R739" s="50"/>
      <c r="S739" s="50"/>
      <c r="T739" s="50"/>
      <c r="U739" s="50"/>
      <c r="V739" s="57">
        <v>0.28000000000000003</v>
      </c>
      <c r="W739" s="68"/>
      <c r="X739" s="50"/>
      <c r="Y739" s="50"/>
      <c r="Z739" s="50"/>
      <c r="AA739" s="50"/>
      <c r="AB739" s="57"/>
      <c r="AC739" s="54">
        <v>1</v>
      </c>
      <c r="AD739" s="69">
        <f>SUM(AE739:AK739)</f>
        <v>1</v>
      </c>
      <c r="AE739" s="66"/>
      <c r="AF739" s="66"/>
      <c r="AG739" s="66"/>
      <c r="AH739" s="66"/>
      <c r="AI739" s="66">
        <v>1</v>
      </c>
      <c r="AJ739" s="66"/>
      <c r="AK739" s="66"/>
      <c r="AL739" s="54">
        <f>IF((AC739-SUM(AE739:AK739))&lt;0,0,AC739-SUM(AE739:AK739))</f>
        <v>0</v>
      </c>
      <c r="AM739" s="69">
        <f>SUM(AN739:AT739)</f>
        <v>1</v>
      </c>
      <c r="AN739" s="60"/>
      <c r="AO739" s="52"/>
      <c r="AP739" s="52"/>
      <c r="AQ739" s="52"/>
      <c r="AR739" s="52">
        <v>1</v>
      </c>
      <c r="AS739" s="52"/>
      <c r="AT739" s="61"/>
      <c r="AU739" s="54">
        <f>MAX(0,$AM739-$AC739-$AW739)</f>
        <v>0</v>
      </c>
      <c r="AV739" s="54"/>
      <c r="AW739" s="54"/>
      <c r="AX739" s="65">
        <v>0</v>
      </c>
      <c r="AY739" s="57">
        <f>IF(AND($AU739&gt;0,ISNUMBER($AX739)),$AU739*$AX739,0)</f>
        <v>0</v>
      </c>
      <c r="AZ739" s="46"/>
      <c r="BA739" s="52"/>
      <c r="BB739" s="52"/>
      <c r="BC739" s="52"/>
      <c r="BD739" s="52"/>
      <c r="BE739" s="52"/>
      <c r="BF739" s="52"/>
    </row>
    <row r="740" spans="1:58" ht="15" customHeight="1">
      <c r="A740" s="46" t="s">
        <v>4184</v>
      </c>
      <c r="B740" s="50" t="s">
        <v>4185</v>
      </c>
      <c r="C740" s="54" t="s">
        <v>181</v>
      </c>
      <c r="D740" s="74">
        <v>3</v>
      </c>
      <c r="E740" s="50" t="s">
        <v>81</v>
      </c>
      <c r="F740" s="50">
        <v>0</v>
      </c>
      <c r="G740" s="50">
        <v>3</v>
      </c>
      <c r="H740" s="51" t="s">
        <v>4186</v>
      </c>
      <c r="I740" s="50" t="s">
        <v>4187</v>
      </c>
      <c r="J740" s="54" t="s">
        <v>73</v>
      </c>
      <c r="K740" s="56" t="s">
        <v>497</v>
      </c>
      <c r="L740" s="56" t="s">
        <v>4188</v>
      </c>
      <c r="M740" s="56" t="s">
        <v>4189</v>
      </c>
      <c r="N740" s="56" t="s">
        <v>431</v>
      </c>
      <c r="O740" s="54"/>
      <c r="P740" s="56" t="s">
        <v>185</v>
      </c>
      <c r="Q740" s="56" t="s">
        <v>1107</v>
      </c>
      <c r="R740" s="50"/>
      <c r="S740" s="50"/>
      <c r="T740" s="50"/>
      <c r="U740" s="50"/>
      <c r="V740" s="57">
        <v>0.28000000000000003</v>
      </c>
      <c r="W740" s="68"/>
      <c r="X740" s="50"/>
      <c r="Y740" s="50"/>
      <c r="Z740" s="50"/>
      <c r="AA740" s="50"/>
      <c r="AB740" s="57"/>
      <c r="AC740" s="54">
        <v>1</v>
      </c>
      <c r="AD740" s="69">
        <f>SUM(AE740:AK740)</f>
        <v>1</v>
      </c>
      <c r="AE740" s="66"/>
      <c r="AF740" s="66"/>
      <c r="AG740" s="66"/>
      <c r="AH740" s="66">
        <v>1</v>
      </c>
      <c r="AI740" s="66"/>
      <c r="AJ740" s="66"/>
      <c r="AK740" s="66"/>
      <c r="AL740" s="54">
        <f>IF((AC740-SUM(AE740:AK740))&lt;0,0,AC740-SUM(AE740:AK740))</f>
        <v>0</v>
      </c>
      <c r="AM740" s="69">
        <f>SUM(AN740:AT740)</f>
        <v>1</v>
      </c>
      <c r="AN740" s="60"/>
      <c r="AO740" s="52"/>
      <c r="AP740" s="52"/>
      <c r="AQ740" s="52">
        <v>1</v>
      </c>
      <c r="AR740" s="52"/>
      <c r="AS740" s="52"/>
      <c r="AT740" s="61"/>
      <c r="AU740" s="54">
        <f>MAX(0,$AM740-$AC740-$AW740)</f>
        <v>0</v>
      </c>
      <c r="AV740" s="54"/>
      <c r="AW740" s="54"/>
      <c r="AX740" s="65">
        <v>0</v>
      </c>
      <c r="AY740" s="57">
        <f>IF(AND($AU740&gt;0,ISNUMBER($AX740)),$AU740*$AX740,0)</f>
        <v>0</v>
      </c>
      <c r="AZ740" s="46"/>
      <c r="BA740" s="52"/>
      <c r="BB740" s="52"/>
      <c r="BC740" s="52"/>
      <c r="BD740" s="52"/>
      <c r="BE740" s="52"/>
      <c r="BF740" s="52"/>
    </row>
    <row r="741" spans="1:58" ht="15" customHeight="1">
      <c r="A741" s="46" t="s">
        <v>4190</v>
      </c>
      <c r="B741" s="50" t="s">
        <v>4191</v>
      </c>
      <c r="C741" s="54" t="s">
        <v>232</v>
      </c>
      <c r="D741" s="74">
        <v>3</v>
      </c>
      <c r="E741" s="50" t="s">
        <v>531</v>
      </c>
      <c r="F741" s="50">
        <v>2</v>
      </c>
      <c r="G741" s="50">
        <v>2</v>
      </c>
      <c r="H741" s="51" t="s">
        <v>4192</v>
      </c>
      <c r="I741" s="50" t="s">
        <v>4193</v>
      </c>
      <c r="J741" s="54" t="s">
        <v>73</v>
      </c>
      <c r="K741" s="56" t="s">
        <v>550</v>
      </c>
      <c r="L741" s="56" t="s">
        <v>4194</v>
      </c>
      <c r="M741" s="56" t="s">
        <v>3492</v>
      </c>
      <c r="N741" s="56"/>
      <c r="O741" s="54"/>
      <c r="P741" s="56" t="s">
        <v>76</v>
      </c>
      <c r="Q741" s="56" t="s">
        <v>2192</v>
      </c>
      <c r="R741" s="50"/>
      <c r="S741" s="50"/>
      <c r="T741" s="50"/>
      <c r="U741" s="50"/>
      <c r="V741" s="57">
        <v>0.28000000000000003</v>
      </c>
      <c r="W741" s="68"/>
      <c r="X741" s="50"/>
      <c r="Y741" s="50"/>
      <c r="Z741" s="50"/>
      <c r="AA741" s="50"/>
      <c r="AB741" s="57"/>
      <c r="AC741" s="54">
        <v>1</v>
      </c>
      <c r="AD741" s="69">
        <f>SUM(AE741:AK741)</f>
        <v>0</v>
      </c>
      <c r="AE741" s="66"/>
      <c r="AF741" s="66"/>
      <c r="AG741" s="66"/>
      <c r="AH741" s="66"/>
      <c r="AI741" s="66"/>
      <c r="AJ741" s="66"/>
      <c r="AK741" s="66"/>
      <c r="AL741" s="54">
        <f>IF((AC741-SUM(AE741:AK741))&lt;0,0,AC741-SUM(AE741:AK741))</f>
        <v>1</v>
      </c>
      <c r="AM741" s="69">
        <f>SUM(AN741:AT741)</f>
        <v>0</v>
      </c>
      <c r="AN741" s="60"/>
      <c r="AO741" s="52"/>
      <c r="AP741" s="52"/>
      <c r="AQ741" s="52"/>
      <c r="AR741" s="52"/>
      <c r="AS741" s="52"/>
      <c r="AT741" s="61"/>
      <c r="AU741" s="54">
        <f>MAX(0,$AM741-$AC741-$AW741)</f>
        <v>0</v>
      </c>
      <c r="AV741" s="54"/>
      <c r="AW741" s="54"/>
      <c r="AX741" s="65">
        <v>0</v>
      </c>
      <c r="AY741" s="57">
        <f>IF(AND($AU741&gt;0,ISNUMBER($AX741)),$AU741*$AX741,0)</f>
        <v>0</v>
      </c>
      <c r="AZ741" s="46"/>
      <c r="BA741" s="52"/>
      <c r="BB741" s="52"/>
      <c r="BC741" s="52"/>
      <c r="BD741" s="52"/>
      <c r="BE741" s="52"/>
      <c r="BF741" s="52"/>
    </row>
    <row r="742" spans="1:58" ht="15" customHeight="1">
      <c r="A742" s="46" t="s">
        <v>4195</v>
      </c>
      <c r="B742" s="50" t="s">
        <v>4196</v>
      </c>
      <c r="C742" s="54" t="s">
        <v>70</v>
      </c>
      <c r="D742" s="74">
        <v>2</v>
      </c>
      <c r="E742" s="50" t="s">
        <v>189</v>
      </c>
      <c r="F742" s="50"/>
      <c r="G742" s="50"/>
      <c r="H742" s="51"/>
      <c r="I742" s="50" t="s">
        <v>4197</v>
      </c>
      <c r="J742" s="54" t="s">
        <v>73</v>
      </c>
      <c r="K742" s="56" t="s">
        <v>726</v>
      </c>
      <c r="L742" s="56" t="s">
        <v>4198</v>
      </c>
      <c r="M742" s="56" t="s">
        <v>4199</v>
      </c>
      <c r="N742" s="56" t="s">
        <v>4200</v>
      </c>
      <c r="O742" s="54"/>
      <c r="P742" s="56" t="s">
        <v>76</v>
      </c>
      <c r="Q742" s="56" t="s">
        <v>627</v>
      </c>
      <c r="R742" s="50"/>
      <c r="S742" s="50"/>
      <c r="T742" s="50"/>
      <c r="U742" s="56"/>
      <c r="V742" s="57">
        <v>0.27</v>
      </c>
      <c r="W742" s="68"/>
      <c r="X742" s="50"/>
      <c r="Y742" s="50"/>
      <c r="Z742" s="50"/>
      <c r="AA742" s="56"/>
      <c r="AB742" s="57"/>
      <c r="AC742" s="54">
        <v>1</v>
      </c>
      <c r="AD742" s="69">
        <f>SUM(AE742:AK742)</f>
        <v>1</v>
      </c>
      <c r="AE742" s="66"/>
      <c r="AF742" s="66"/>
      <c r="AG742" s="66"/>
      <c r="AH742" s="66"/>
      <c r="AI742" s="66"/>
      <c r="AJ742" s="66">
        <v>1</v>
      </c>
      <c r="AK742" s="66"/>
      <c r="AL742" s="54">
        <f>IF((AC742-SUM(AE742:AK742))&lt;0,0,AC742-SUM(AE742:AK742))</f>
        <v>0</v>
      </c>
      <c r="AM742" s="69">
        <f>SUM(AN742:AT742)</f>
        <v>0</v>
      </c>
      <c r="AN742" s="60"/>
      <c r="AO742" s="52"/>
      <c r="AP742" s="52"/>
      <c r="AQ742" s="52"/>
      <c r="AR742" s="52"/>
      <c r="AS742" s="52"/>
      <c r="AT742" s="61"/>
      <c r="AU742" s="54">
        <f>MAX(0,$AM742-$AC742-$AW742)</f>
        <v>0</v>
      </c>
      <c r="AV742" s="54"/>
      <c r="AW742" s="54"/>
      <c r="AX742" s="65">
        <v>0</v>
      </c>
      <c r="AY742" s="57">
        <f>IF(AND($AU742&gt;0,ISNUMBER($AX742)),$AU742*$AX742,0)</f>
        <v>0</v>
      </c>
      <c r="AZ742" s="46"/>
      <c r="BA742" s="52"/>
      <c r="BB742" s="52"/>
      <c r="BC742" s="52"/>
      <c r="BD742" s="52"/>
      <c r="BE742" s="52" t="s">
        <v>316</v>
      </c>
      <c r="BF742" s="52"/>
    </row>
    <row r="743" spans="1:58" ht="15" customHeight="1">
      <c r="A743" s="46" t="s">
        <v>4201</v>
      </c>
      <c r="B743" s="50" t="s">
        <v>4202</v>
      </c>
      <c r="C743" s="54" t="s">
        <v>101</v>
      </c>
      <c r="D743" s="74">
        <v>2</v>
      </c>
      <c r="E743" s="50" t="s">
        <v>81</v>
      </c>
      <c r="F743" s="50">
        <v>0</v>
      </c>
      <c r="G743" s="50">
        <v>4</v>
      </c>
      <c r="H743" s="51" t="s">
        <v>465</v>
      </c>
      <c r="I743" s="50" t="s">
        <v>4203</v>
      </c>
      <c r="J743" s="54" t="s">
        <v>73</v>
      </c>
      <c r="K743" s="56" t="s">
        <v>92</v>
      </c>
      <c r="L743" s="56" t="s">
        <v>4204</v>
      </c>
      <c r="M743" s="56"/>
      <c r="N743" s="56"/>
      <c r="O743" s="54"/>
      <c r="P743" s="56" t="s">
        <v>185</v>
      </c>
      <c r="Q743" s="56" t="s">
        <v>1127</v>
      </c>
      <c r="R743" s="50"/>
      <c r="S743" s="50"/>
      <c r="T743" s="50"/>
      <c r="U743" s="50"/>
      <c r="V743" s="57">
        <v>0.27</v>
      </c>
      <c r="W743" s="68"/>
      <c r="X743" s="50"/>
      <c r="Y743" s="50"/>
      <c r="Z743" s="50"/>
      <c r="AA743" s="50"/>
      <c r="AB743" s="57"/>
      <c r="AC743" s="54">
        <v>1</v>
      </c>
      <c r="AD743" s="69">
        <f>SUM(AE743:AK743)</f>
        <v>1</v>
      </c>
      <c r="AE743" s="66"/>
      <c r="AF743" s="66"/>
      <c r="AG743" s="66"/>
      <c r="AH743" s="66">
        <v>1</v>
      </c>
      <c r="AI743" s="66"/>
      <c r="AJ743" s="66"/>
      <c r="AK743" s="66"/>
      <c r="AL743" s="54">
        <f>IF((AC743-SUM(AE743:AK743))&lt;0,0,AC743-SUM(AE743:AK743))</f>
        <v>0</v>
      </c>
      <c r="AM743" s="69">
        <f>SUM(AN743:AT743)</f>
        <v>1</v>
      </c>
      <c r="AN743" s="60"/>
      <c r="AO743" s="52"/>
      <c r="AP743" s="52"/>
      <c r="AQ743" s="52">
        <v>1</v>
      </c>
      <c r="AR743" s="52"/>
      <c r="AS743" s="52"/>
      <c r="AT743" s="61"/>
      <c r="AU743" s="54">
        <f>MAX(0,$AM743-$AC743-$AW743)</f>
        <v>0</v>
      </c>
      <c r="AV743" s="54"/>
      <c r="AW743" s="54"/>
      <c r="AX743" s="65">
        <v>0</v>
      </c>
      <c r="AY743" s="57">
        <f>IF(AND($AU743&gt;0,ISNUMBER($AX743)),$AU743*$AX743,0)</f>
        <v>0</v>
      </c>
      <c r="AZ743" s="46"/>
      <c r="BA743" s="52"/>
      <c r="BB743" s="52"/>
      <c r="BC743" s="52"/>
      <c r="BD743" s="52"/>
      <c r="BE743" s="52"/>
      <c r="BF743" s="52"/>
    </row>
    <row r="744" spans="1:58" ht="15" customHeight="1">
      <c r="A744" s="46" t="s">
        <v>4205</v>
      </c>
      <c r="B744" s="46" t="s">
        <v>4206</v>
      </c>
      <c r="C744" s="52" t="s">
        <v>101</v>
      </c>
      <c r="D744" s="75">
        <v>2</v>
      </c>
      <c r="E744" s="46" t="s">
        <v>4016</v>
      </c>
      <c r="F744" s="50"/>
      <c r="G744" s="50"/>
      <c r="H744" s="51" t="s">
        <v>348</v>
      </c>
      <c r="I744" s="50" t="s">
        <v>4207</v>
      </c>
      <c r="J744" s="52" t="s">
        <v>73</v>
      </c>
      <c r="K744" s="46" t="s">
        <v>74</v>
      </c>
      <c r="L744" s="50" t="s">
        <v>4208</v>
      </c>
      <c r="M744" s="50" t="s">
        <v>4209</v>
      </c>
      <c r="N744" s="50"/>
      <c r="O744" s="54"/>
      <c r="P744" s="55" t="s">
        <v>185</v>
      </c>
      <c r="Q744" s="46" t="s">
        <v>669</v>
      </c>
      <c r="R744" s="75" t="s">
        <v>1120</v>
      </c>
      <c r="S744" s="75">
        <v>1</v>
      </c>
      <c r="T744" s="75">
        <v>0</v>
      </c>
      <c r="U744" s="56" t="s">
        <v>4210</v>
      </c>
      <c r="V744" s="63">
        <v>0.27</v>
      </c>
      <c r="W744" s="64"/>
      <c r="X744" s="46"/>
      <c r="Y744" s="46"/>
      <c r="Z744" s="46"/>
      <c r="AA744" s="56"/>
      <c r="AB744" s="63"/>
      <c r="AC744" s="52">
        <v>1</v>
      </c>
      <c r="AD744" s="69">
        <f>SUM(AE744:AK744)</f>
        <v>0</v>
      </c>
      <c r="AE744" s="66"/>
      <c r="AF744" s="66"/>
      <c r="AG744" s="66"/>
      <c r="AH744" s="66"/>
      <c r="AI744" s="66"/>
      <c r="AJ744" s="66"/>
      <c r="AK744" s="66"/>
      <c r="AL744" s="54">
        <f>IF((AC744-SUM(AE744:AK744))&lt;0,0,AC744-SUM(AE744:AK744))</f>
        <v>1</v>
      </c>
      <c r="AM744" s="69">
        <f>SUM(AN744:AT744)</f>
        <v>0</v>
      </c>
      <c r="AN744" s="60"/>
      <c r="AO744" s="52"/>
      <c r="AP744" s="52"/>
      <c r="AQ744" s="52"/>
      <c r="AR744" s="52"/>
      <c r="AS744" s="52"/>
      <c r="AT744" s="61"/>
      <c r="AU744" s="54">
        <f>MAX(0,$AM744-$AC744-$AW744)</f>
        <v>0</v>
      </c>
      <c r="AV744" s="52"/>
      <c r="AW744" s="52"/>
      <c r="AX744" s="65">
        <v>0</v>
      </c>
      <c r="AY744" s="57">
        <f>IF(AND($AU744&gt;0,ISNUMBER($AX744)),$AU744*$AX744,0)</f>
        <v>0</v>
      </c>
      <c r="AZ744" s="46"/>
      <c r="BA744" s="52"/>
      <c r="BB744" s="52"/>
      <c r="BC744" s="52"/>
      <c r="BD744" s="52"/>
      <c r="BE744" s="52"/>
      <c r="BF744" s="52"/>
    </row>
    <row r="745" spans="1:58" ht="15" customHeight="1">
      <c r="A745" s="46" t="s">
        <v>4211</v>
      </c>
      <c r="B745" s="50" t="s">
        <v>4212</v>
      </c>
      <c r="C745" s="54" t="s">
        <v>101</v>
      </c>
      <c r="D745" s="74">
        <v>2</v>
      </c>
      <c r="E745" s="50" t="s">
        <v>189</v>
      </c>
      <c r="F745" s="50"/>
      <c r="G745" s="50"/>
      <c r="H745" s="51"/>
      <c r="I745" s="50" t="s">
        <v>4213</v>
      </c>
      <c r="J745" s="54" t="s">
        <v>73</v>
      </c>
      <c r="K745" s="56" t="s">
        <v>74</v>
      </c>
      <c r="L745" s="56" t="s">
        <v>4214</v>
      </c>
      <c r="M745" s="56"/>
      <c r="N745" s="56"/>
      <c r="O745" s="54"/>
      <c r="P745" s="56" t="s">
        <v>76</v>
      </c>
      <c r="Q745" s="56" t="s">
        <v>669</v>
      </c>
      <c r="R745" s="50"/>
      <c r="S745" s="50"/>
      <c r="T745" s="50"/>
      <c r="U745" s="56"/>
      <c r="V745" s="57">
        <v>0.27</v>
      </c>
      <c r="W745" s="68"/>
      <c r="X745" s="50"/>
      <c r="Y745" s="50"/>
      <c r="Z745" s="50"/>
      <c r="AA745" s="56"/>
      <c r="AB745" s="57"/>
      <c r="AC745" s="54">
        <v>1</v>
      </c>
      <c r="AD745" s="69">
        <f>SUM(AE745:AK745)</f>
        <v>0</v>
      </c>
      <c r="AE745" s="66"/>
      <c r="AF745" s="66"/>
      <c r="AG745" s="66"/>
      <c r="AH745" s="66"/>
      <c r="AI745" s="66"/>
      <c r="AJ745" s="66"/>
      <c r="AK745" s="66"/>
      <c r="AL745" s="54">
        <f>IF((AC745-SUM(AE745:AK745))&lt;0,0,AC745-SUM(AE745:AK745))</f>
        <v>1</v>
      </c>
      <c r="AM745" s="69">
        <f>SUM(AN745:AT745)</f>
        <v>0</v>
      </c>
      <c r="AN745" s="60"/>
      <c r="AO745" s="52"/>
      <c r="AP745" s="52"/>
      <c r="AQ745" s="52"/>
      <c r="AR745" s="52"/>
      <c r="AS745" s="52"/>
      <c r="AT745" s="61"/>
      <c r="AU745" s="54">
        <f>MAX(0,$AM745-$AC745-$AW745)</f>
        <v>0</v>
      </c>
      <c r="AV745" s="54"/>
      <c r="AW745" s="54"/>
      <c r="AX745" s="65">
        <v>0</v>
      </c>
      <c r="AY745" s="57">
        <f>IF(AND($AU745&gt;0,ISNUMBER($AX745)),$AU745*$AX745,0)</f>
        <v>0</v>
      </c>
      <c r="AZ745" s="46"/>
      <c r="BA745" s="52"/>
      <c r="BB745" s="52"/>
      <c r="BC745" s="52"/>
      <c r="BD745" s="52"/>
      <c r="BE745" s="52"/>
      <c r="BF745" s="52"/>
    </row>
    <row r="746" spans="1:58" ht="15" customHeight="1">
      <c r="A746" s="46" t="s">
        <v>4215</v>
      </c>
      <c r="B746" s="50" t="s">
        <v>4216</v>
      </c>
      <c r="C746" s="54" t="s">
        <v>101</v>
      </c>
      <c r="D746" s="74">
        <v>2</v>
      </c>
      <c r="E746" s="50" t="s">
        <v>71</v>
      </c>
      <c r="F746" s="50"/>
      <c r="G746" s="50"/>
      <c r="H746" s="51"/>
      <c r="I746" s="50" t="s">
        <v>4217</v>
      </c>
      <c r="J746" s="54" t="s">
        <v>73</v>
      </c>
      <c r="K746" s="56" t="s">
        <v>74</v>
      </c>
      <c r="L746" s="56" t="s">
        <v>4218</v>
      </c>
      <c r="M746" s="56"/>
      <c r="N746" s="56"/>
      <c r="O746" s="54"/>
      <c r="P746" s="56" t="s">
        <v>76</v>
      </c>
      <c r="Q746" s="56" t="s">
        <v>432</v>
      </c>
      <c r="R746" s="50"/>
      <c r="S746" s="50"/>
      <c r="T746" s="50"/>
      <c r="U746" s="56"/>
      <c r="V746" s="57">
        <v>0.27</v>
      </c>
      <c r="W746" s="68"/>
      <c r="X746" s="50"/>
      <c r="Y746" s="50"/>
      <c r="Z746" s="50"/>
      <c r="AA746" s="56"/>
      <c r="AB746" s="57"/>
      <c r="AC746" s="54">
        <v>1</v>
      </c>
      <c r="AD746" s="69">
        <f>SUM(AE746:AK746)</f>
        <v>0</v>
      </c>
      <c r="AE746" s="66"/>
      <c r="AF746" s="66"/>
      <c r="AG746" s="66"/>
      <c r="AH746" s="66"/>
      <c r="AI746" s="66"/>
      <c r="AJ746" s="66"/>
      <c r="AK746" s="66"/>
      <c r="AL746" s="54">
        <f>IF((AC746-SUM(AE746:AK746))&lt;0,0,AC746-SUM(AE746:AK746))</f>
        <v>1</v>
      </c>
      <c r="AM746" s="69">
        <f>SUM(AN746:AT746)</f>
        <v>0</v>
      </c>
      <c r="AN746" s="60"/>
      <c r="AO746" s="52"/>
      <c r="AP746" s="52"/>
      <c r="AQ746" s="52"/>
      <c r="AR746" s="52"/>
      <c r="AS746" s="52"/>
      <c r="AT746" s="61"/>
      <c r="AU746" s="54">
        <f>MAX(0,$AM746-$AC746-$AW746)</f>
        <v>0</v>
      </c>
      <c r="AV746" s="54"/>
      <c r="AW746" s="54"/>
      <c r="AX746" s="65">
        <v>0</v>
      </c>
      <c r="AY746" s="57">
        <f>IF(AND($AU746&gt;0,ISNUMBER($AX746)),$AU746*$AX746,0)</f>
        <v>0</v>
      </c>
      <c r="AZ746" s="46"/>
      <c r="BA746" s="52"/>
      <c r="BB746" s="52"/>
      <c r="BC746" s="52"/>
      <c r="BD746" s="52"/>
      <c r="BE746" s="52"/>
      <c r="BF746" s="52"/>
    </row>
    <row r="747" spans="1:58" ht="15" customHeight="1">
      <c r="A747" s="46" t="s">
        <v>4219</v>
      </c>
      <c r="B747" s="50" t="s">
        <v>4220</v>
      </c>
      <c r="C747" s="54" t="s">
        <v>70</v>
      </c>
      <c r="D747" s="74">
        <v>2</v>
      </c>
      <c r="E747" s="50" t="s">
        <v>189</v>
      </c>
      <c r="F747" s="50"/>
      <c r="G747" s="50"/>
      <c r="H747" s="51"/>
      <c r="I747" s="50" t="s">
        <v>4221</v>
      </c>
      <c r="J747" s="54" t="s">
        <v>73</v>
      </c>
      <c r="K747" s="56" t="s">
        <v>864</v>
      </c>
      <c r="L747" s="56" t="s">
        <v>4222</v>
      </c>
      <c r="M747" s="56" t="s">
        <v>4223</v>
      </c>
      <c r="N747" s="56"/>
      <c r="O747" s="54"/>
      <c r="P747" s="56" t="s">
        <v>76</v>
      </c>
      <c r="Q747" s="56" t="s">
        <v>669</v>
      </c>
      <c r="R747" s="50"/>
      <c r="S747" s="50"/>
      <c r="T747" s="50"/>
      <c r="U747" s="56"/>
      <c r="V747" s="57">
        <v>0.27</v>
      </c>
      <c r="W747" s="68"/>
      <c r="X747" s="50"/>
      <c r="Y747" s="50"/>
      <c r="Z747" s="50"/>
      <c r="AA747" s="56"/>
      <c r="AB747" s="57"/>
      <c r="AC747" s="54">
        <v>1</v>
      </c>
      <c r="AD747" s="69">
        <f>SUM(AE747:AK747)</f>
        <v>0</v>
      </c>
      <c r="AE747" s="66"/>
      <c r="AF747" s="66"/>
      <c r="AG747" s="66"/>
      <c r="AH747" s="66"/>
      <c r="AI747" s="66"/>
      <c r="AJ747" s="66"/>
      <c r="AK747" s="66"/>
      <c r="AL747" s="54">
        <f>IF((AC747-SUM(AE747:AK747))&lt;0,0,AC747-SUM(AE747:AK747))</f>
        <v>1</v>
      </c>
      <c r="AM747" s="69">
        <f>SUM(AN747:AT747)</f>
        <v>0</v>
      </c>
      <c r="AN747" s="60"/>
      <c r="AO747" s="52"/>
      <c r="AP747" s="52"/>
      <c r="AQ747" s="52"/>
      <c r="AR747" s="52"/>
      <c r="AS747" s="52"/>
      <c r="AT747" s="61"/>
      <c r="AU747" s="54">
        <f>MAX(0,$AM747-$AC747-$AW747)</f>
        <v>0</v>
      </c>
      <c r="AV747" s="54"/>
      <c r="AW747" s="54"/>
      <c r="AX747" s="65">
        <v>0</v>
      </c>
      <c r="AY747" s="57">
        <f>IF(AND($AU747&gt;0,ISNUMBER($AX747)),$AU747*$AX747,0)</f>
        <v>0</v>
      </c>
      <c r="AZ747" s="46"/>
      <c r="BA747" s="52"/>
      <c r="BB747" s="52"/>
      <c r="BC747" s="52"/>
      <c r="BD747" s="52"/>
      <c r="BE747" s="52"/>
      <c r="BF747" s="52"/>
    </row>
    <row r="748" spans="1:58" ht="15" customHeight="1">
      <c r="A748" s="46" t="s">
        <v>4224</v>
      </c>
      <c r="B748" s="50" t="s">
        <v>4225</v>
      </c>
      <c r="C748" s="54" t="s">
        <v>118</v>
      </c>
      <c r="D748" s="74">
        <v>4</v>
      </c>
      <c r="E748" s="50" t="s">
        <v>81</v>
      </c>
      <c r="F748" s="50">
        <v>3</v>
      </c>
      <c r="G748" s="50">
        <v>4</v>
      </c>
      <c r="H748" s="51" t="s">
        <v>1779</v>
      </c>
      <c r="I748" s="50" t="s">
        <v>4226</v>
      </c>
      <c r="J748" s="54" t="s">
        <v>73</v>
      </c>
      <c r="K748" s="56" t="s">
        <v>164</v>
      </c>
      <c r="L748" s="56" t="s">
        <v>4227</v>
      </c>
      <c r="M748" s="56" t="s">
        <v>4228</v>
      </c>
      <c r="N748" s="56"/>
      <c r="O748" s="54"/>
      <c r="P748" s="56" t="s">
        <v>86</v>
      </c>
      <c r="Q748" s="56" t="s">
        <v>1006</v>
      </c>
      <c r="R748" s="50"/>
      <c r="S748" s="50"/>
      <c r="T748" s="50"/>
      <c r="U748" s="50"/>
      <c r="V748" s="57">
        <v>0.27</v>
      </c>
      <c r="W748" s="68"/>
      <c r="X748" s="50"/>
      <c r="Y748" s="50"/>
      <c r="Z748" s="50"/>
      <c r="AA748" s="50"/>
      <c r="AB748" s="57"/>
      <c r="AC748" s="54">
        <v>1</v>
      </c>
      <c r="AD748" s="69">
        <f>SUM(AE748:AK748)</f>
        <v>1</v>
      </c>
      <c r="AE748" s="66"/>
      <c r="AF748" s="66"/>
      <c r="AG748" s="66"/>
      <c r="AH748" s="66">
        <v>1</v>
      </c>
      <c r="AI748" s="66"/>
      <c r="AJ748" s="66"/>
      <c r="AK748" s="66"/>
      <c r="AL748" s="54">
        <f>IF((AC748-SUM(AE748:AK748))&lt;0,0,AC748-SUM(AE748:AK748))</f>
        <v>0</v>
      </c>
      <c r="AM748" s="69">
        <f>SUM(AN748:AT748)</f>
        <v>1</v>
      </c>
      <c r="AN748" s="60"/>
      <c r="AO748" s="52"/>
      <c r="AP748" s="52"/>
      <c r="AQ748" s="52">
        <v>1</v>
      </c>
      <c r="AR748" s="52"/>
      <c r="AS748" s="52"/>
      <c r="AT748" s="61"/>
      <c r="AU748" s="54">
        <f>MAX(0,$AM748-$AC748-$AW748)</f>
        <v>0</v>
      </c>
      <c r="AV748" s="54"/>
      <c r="AW748" s="54"/>
      <c r="AX748" s="65">
        <v>0</v>
      </c>
      <c r="AY748" s="57">
        <f>IF(AND($AU748&gt;0,ISNUMBER($AX748)),$AU748*$AX748,0)</f>
        <v>0</v>
      </c>
      <c r="AZ748" s="46"/>
      <c r="BA748" s="52"/>
      <c r="BB748" s="52"/>
      <c r="BC748" s="52"/>
      <c r="BD748" s="52"/>
      <c r="BE748" s="52"/>
      <c r="BF748" s="52"/>
    </row>
    <row r="749" spans="1:58" ht="15" customHeight="1">
      <c r="A749" s="46" t="s">
        <v>4229</v>
      </c>
      <c r="B749" s="50" t="s">
        <v>4230</v>
      </c>
      <c r="C749" s="54" t="s">
        <v>232</v>
      </c>
      <c r="D749" s="74">
        <v>2</v>
      </c>
      <c r="E749" s="50" t="s">
        <v>531</v>
      </c>
      <c r="F749" s="50">
        <v>1</v>
      </c>
      <c r="G749" s="50">
        <v>3</v>
      </c>
      <c r="H749" s="51" t="s">
        <v>4231</v>
      </c>
      <c r="I749" s="50" t="s">
        <v>4232</v>
      </c>
      <c r="J749" s="54" t="s">
        <v>73</v>
      </c>
      <c r="K749" s="50" t="s">
        <v>1752</v>
      </c>
      <c r="L749" s="50" t="s">
        <v>4233</v>
      </c>
      <c r="M749" s="50" t="s">
        <v>4234</v>
      </c>
      <c r="N749" s="50"/>
      <c r="O749" s="54"/>
      <c r="P749" s="55" t="s">
        <v>76</v>
      </c>
      <c r="Q749" s="50" t="s">
        <v>669</v>
      </c>
      <c r="R749" s="74" t="s">
        <v>4235</v>
      </c>
      <c r="S749" s="74">
        <v>1</v>
      </c>
      <c r="T749" s="74">
        <v>1</v>
      </c>
      <c r="U749" s="56" t="s">
        <v>4236</v>
      </c>
      <c r="V749" s="57">
        <v>0.27</v>
      </c>
      <c r="W749" s="68"/>
      <c r="X749" s="46"/>
      <c r="Y749" s="50"/>
      <c r="Z749" s="50"/>
      <c r="AA749" s="56"/>
      <c r="AB749" s="57"/>
      <c r="AC749" s="54">
        <v>1</v>
      </c>
      <c r="AD749" s="69">
        <f>SUM(AE749:AK749)</f>
        <v>1</v>
      </c>
      <c r="AE749" s="66"/>
      <c r="AF749" s="66">
        <v>1</v>
      </c>
      <c r="AG749" s="66"/>
      <c r="AH749" s="66"/>
      <c r="AI749" s="66"/>
      <c r="AJ749" s="66"/>
      <c r="AK749" s="66"/>
      <c r="AL749" s="54">
        <f>IF((AC749-SUM(AE749:AK749))&lt;0,0,AC749-SUM(AE749:AK749))</f>
        <v>0</v>
      </c>
      <c r="AM749" s="69">
        <f>SUM(AN749:AT749)</f>
        <v>0</v>
      </c>
      <c r="AN749" s="60"/>
      <c r="AO749" s="52"/>
      <c r="AP749" s="52"/>
      <c r="AQ749" s="52"/>
      <c r="AR749" s="52"/>
      <c r="AS749" s="52"/>
      <c r="AT749" s="61"/>
      <c r="AU749" s="54">
        <f>MAX(0,$AM749-$AC749-$AW749)</f>
        <v>0</v>
      </c>
      <c r="AV749" s="54"/>
      <c r="AW749" s="54"/>
      <c r="AX749" s="65">
        <v>0</v>
      </c>
      <c r="AY749" s="57">
        <f>IF(AND($AU749&gt;0,ISNUMBER($AX749)),$AU749*$AX749,0)</f>
        <v>0</v>
      </c>
      <c r="AZ749" s="46"/>
      <c r="BA749" s="52" t="s">
        <v>356</v>
      </c>
      <c r="BB749" s="52"/>
      <c r="BC749" s="52"/>
      <c r="BD749" s="52"/>
      <c r="BE749" s="52"/>
      <c r="BF749" s="52"/>
    </row>
    <row r="750" spans="1:58" ht="15" customHeight="1">
      <c r="A750" s="46" t="s">
        <v>4237</v>
      </c>
      <c r="B750" s="50" t="s">
        <v>4238</v>
      </c>
      <c r="C750" s="54" t="s">
        <v>311</v>
      </c>
      <c r="D750" s="74">
        <v>0</v>
      </c>
      <c r="E750" s="50" t="s">
        <v>312</v>
      </c>
      <c r="F750" s="50"/>
      <c r="G750" s="50"/>
      <c r="H750" s="51"/>
      <c r="I750" s="50" t="s">
        <v>4239</v>
      </c>
      <c r="J750" s="54" t="s">
        <v>73</v>
      </c>
      <c r="K750" s="56" t="s">
        <v>1752</v>
      </c>
      <c r="L750" s="56" t="s">
        <v>740</v>
      </c>
      <c r="M750" s="56" t="s">
        <v>4240</v>
      </c>
      <c r="N750" s="56"/>
      <c r="O750" s="54"/>
      <c r="P750" s="56" t="s">
        <v>185</v>
      </c>
      <c r="Q750" s="56" t="s">
        <v>1410</v>
      </c>
      <c r="R750" s="50"/>
      <c r="S750" s="50"/>
      <c r="T750" s="50"/>
      <c r="U750" s="50"/>
      <c r="V750" s="57">
        <v>0.27</v>
      </c>
      <c r="W750" s="68"/>
      <c r="X750" s="50"/>
      <c r="Y750" s="50"/>
      <c r="Z750" s="50"/>
      <c r="AA750" s="50"/>
      <c r="AB750" s="57"/>
      <c r="AC750" s="54">
        <v>1</v>
      </c>
      <c r="AD750" s="69">
        <f>SUM(AE750:AK750)</f>
        <v>1</v>
      </c>
      <c r="AE750" s="66"/>
      <c r="AF750" s="66"/>
      <c r="AG750" s="66"/>
      <c r="AH750" s="66">
        <v>1</v>
      </c>
      <c r="AI750" s="66"/>
      <c r="AJ750" s="66"/>
      <c r="AK750" s="66"/>
      <c r="AL750" s="54">
        <f>IF((AC750-SUM(AE750:AK750))&lt;0,0,AC750-SUM(AE750:AK750))</f>
        <v>0</v>
      </c>
      <c r="AM750" s="69">
        <f>SUM(AN750:AT750)</f>
        <v>0</v>
      </c>
      <c r="AN750" s="60"/>
      <c r="AO750" s="52"/>
      <c r="AP750" s="52"/>
      <c r="AQ750" s="52"/>
      <c r="AR750" s="52"/>
      <c r="AS750" s="52"/>
      <c r="AT750" s="61"/>
      <c r="AU750" s="54">
        <f>MAX(0,$AM750-$AC750-$AW750)</f>
        <v>0</v>
      </c>
      <c r="AV750" s="54"/>
      <c r="AW750" s="54"/>
      <c r="AX750" s="65">
        <v>0</v>
      </c>
      <c r="AY750" s="57">
        <f>IF(AND($AU750&gt;0,ISNUMBER($AX750)),$AU750*$AX750,0)</f>
        <v>0</v>
      </c>
      <c r="AZ750" s="46"/>
      <c r="BA750" s="52"/>
      <c r="BB750" s="52"/>
      <c r="BC750" s="52" t="s">
        <v>416</v>
      </c>
      <c r="BD750" s="52"/>
      <c r="BE750" s="52"/>
      <c r="BF750" s="52"/>
    </row>
    <row r="751" spans="1:58" ht="15" customHeight="1">
      <c r="A751" s="46" t="s">
        <v>4241</v>
      </c>
      <c r="B751" s="46" t="s">
        <v>4242</v>
      </c>
      <c r="C751" s="52" t="s">
        <v>101</v>
      </c>
      <c r="D751" s="75">
        <v>1</v>
      </c>
      <c r="E751" s="46" t="s">
        <v>189</v>
      </c>
      <c r="F751" s="50"/>
      <c r="G751" s="50"/>
      <c r="H751" s="51"/>
      <c r="I751" s="50" t="s">
        <v>4243</v>
      </c>
      <c r="J751" s="52" t="s">
        <v>73</v>
      </c>
      <c r="K751" s="46" t="s">
        <v>254</v>
      </c>
      <c r="L751" s="50" t="s">
        <v>4244</v>
      </c>
      <c r="M751" s="50" t="s">
        <v>4245</v>
      </c>
      <c r="N751" s="50"/>
      <c r="O751" s="54"/>
      <c r="P751" s="55" t="s">
        <v>185</v>
      </c>
      <c r="Q751" s="46" t="s">
        <v>2004</v>
      </c>
      <c r="R751" s="75" t="s">
        <v>4246</v>
      </c>
      <c r="S751" s="75">
        <v>1</v>
      </c>
      <c r="T751" s="75">
        <v>0</v>
      </c>
      <c r="U751" s="56"/>
      <c r="V751" s="57">
        <v>0.27</v>
      </c>
      <c r="W751" s="68"/>
      <c r="X751" s="46"/>
      <c r="Y751" s="46"/>
      <c r="Z751" s="46"/>
      <c r="AA751" s="56"/>
      <c r="AB751" s="57"/>
      <c r="AC751" s="54">
        <v>1</v>
      </c>
      <c r="AD751" s="69">
        <f>SUM(AE751:AK751)</f>
        <v>0</v>
      </c>
      <c r="AE751" s="66"/>
      <c r="AF751" s="66"/>
      <c r="AG751" s="66"/>
      <c r="AH751" s="66"/>
      <c r="AI751" s="66"/>
      <c r="AJ751" s="66"/>
      <c r="AK751" s="66"/>
      <c r="AL751" s="54">
        <f>IF((AC751-SUM(AE751:AK751))&lt;0,0,AC751-SUM(AE751:AK751))</f>
        <v>1</v>
      </c>
      <c r="AM751" s="69">
        <f>SUM(AN751:AT751)</f>
        <v>0</v>
      </c>
      <c r="AN751" s="60"/>
      <c r="AO751" s="52"/>
      <c r="AP751" s="52"/>
      <c r="AQ751" s="52"/>
      <c r="AR751" s="52"/>
      <c r="AS751" s="52"/>
      <c r="AT751" s="61"/>
      <c r="AU751" s="54">
        <f>MAX(0,$AM751-$AC751-$AW751)</f>
        <v>0</v>
      </c>
      <c r="AV751" s="52"/>
      <c r="AW751" s="52"/>
      <c r="AX751" s="65">
        <v>0</v>
      </c>
      <c r="AY751" s="57">
        <f>IF(AND($AU751&gt;0,ISNUMBER($AX751)),$AU751*$AX751,0)</f>
        <v>0</v>
      </c>
      <c r="AZ751" s="46"/>
      <c r="BA751" s="52"/>
      <c r="BB751" s="52"/>
      <c r="BC751" s="52"/>
      <c r="BD751" s="52"/>
      <c r="BE751" s="52"/>
      <c r="BF751" s="52"/>
    </row>
    <row r="752" spans="1:58" ht="15" customHeight="1">
      <c r="A752" s="46" t="s">
        <v>4247</v>
      </c>
      <c r="B752" s="46" t="s">
        <v>4248</v>
      </c>
      <c r="C752" s="52" t="s">
        <v>101</v>
      </c>
      <c r="D752" s="75">
        <v>2</v>
      </c>
      <c r="E752" s="46" t="s">
        <v>81</v>
      </c>
      <c r="F752" s="50">
        <v>1</v>
      </c>
      <c r="G752" s="50">
        <v>2</v>
      </c>
      <c r="H752" s="51" t="s">
        <v>4249</v>
      </c>
      <c r="I752" s="50" t="s">
        <v>4250</v>
      </c>
      <c r="J752" s="52" t="s">
        <v>73</v>
      </c>
      <c r="K752" s="46" t="s">
        <v>104</v>
      </c>
      <c r="L752" s="50" t="s">
        <v>3834</v>
      </c>
      <c r="M752" s="50" t="s">
        <v>3015</v>
      </c>
      <c r="N752" s="50"/>
      <c r="O752" s="54"/>
      <c r="P752" s="55" t="s">
        <v>76</v>
      </c>
      <c r="Q752" s="46" t="s">
        <v>645</v>
      </c>
      <c r="R752" s="75" t="s">
        <v>4251</v>
      </c>
      <c r="S752" s="75">
        <v>1</v>
      </c>
      <c r="T752" s="75">
        <v>0</v>
      </c>
      <c r="U752" s="56"/>
      <c r="V752" s="57">
        <v>0.27</v>
      </c>
      <c r="W752" s="68"/>
      <c r="X752" s="46"/>
      <c r="Y752" s="46"/>
      <c r="Z752" s="46"/>
      <c r="AA752" s="56"/>
      <c r="AB752" s="57"/>
      <c r="AC752" s="54">
        <v>1</v>
      </c>
      <c r="AD752" s="69">
        <f>SUM(AE752:AK752)</f>
        <v>1</v>
      </c>
      <c r="AE752" s="66"/>
      <c r="AF752" s="66"/>
      <c r="AG752" s="66"/>
      <c r="AH752" s="66"/>
      <c r="AI752" s="66"/>
      <c r="AJ752" s="66"/>
      <c r="AK752" s="66">
        <v>1</v>
      </c>
      <c r="AL752" s="54">
        <f>IF((AC752-SUM(AE752:AK752))&lt;0,0,AC752-SUM(AE752:AK752))</f>
        <v>0</v>
      </c>
      <c r="AM752" s="69">
        <f>SUM(AN752:AT752)</f>
        <v>0</v>
      </c>
      <c r="AN752" s="60"/>
      <c r="AO752" s="52"/>
      <c r="AP752" s="52"/>
      <c r="AQ752" s="52"/>
      <c r="AR752" s="52"/>
      <c r="AS752" s="52"/>
      <c r="AT752" s="61"/>
      <c r="AU752" s="54">
        <f>MAX(0,$AM752-$AC752-$AW752)</f>
        <v>0</v>
      </c>
      <c r="AV752" s="52"/>
      <c r="AW752" s="52"/>
      <c r="AX752" s="65">
        <v>0</v>
      </c>
      <c r="AY752" s="57">
        <f>IF(AND($AU752&gt;0,ISNUMBER($AX752)),$AU752*$AX752,0)</f>
        <v>0</v>
      </c>
      <c r="AZ752" s="46"/>
      <c r="BA752" s="52"/>
      <c r="BB752" s="52"/>
      <c r="BC752" s="52"/>
      <c r="BD752" s="52"/>
      <c r="BE752" s="52"/>
      <c r="BF752" s="52" t="s">
        <v>138</v>
      </c>
    </row>
    <row r="753" spans="1:58" ht="15" customHeight="1">
      <c r="A753" s="46" t="s">
        <v>4252</v>
      </c>
      <c r="B753" s="50" t="s">
        <v>4253</v>
      </c>
      <c r="C753" s="54" t="s">
        <v>232</v>
      </c>
      <c r="D753" s="74">
        <v>3</v>
      </c>
      <c r="E753" s="50" t="s">
        <v>531</v>
      </c>
      <c r="F753" s="50">
        <v>2</v>
      </c>
      <c r="G753" s="50">
        <v>2</v>
      </c>
      <c r="H753" s="51" t="s">
        <v>4254</v>
      </c>
      <c r="I753" s="50" t="s">
        <v>4255</v>
      </c>
      <c r="J753" s="54" t="s">
        <v>73</v>
      </c>
      <c r="K753" s="56" t="s">
        <v>104</v>
      </c>
      <c r="L753" s="56" t="s">
        <v>1740</v>
      </c>
      <c r="M753" s="56" t="s">
        <v>4256</v>
      </c>
      <c r="N753" s="56"/>
      <c r="O753" s="54"/>
      <c r="P753" s="56" t="s">
        <v>185</v>
      </c>
      <c r="Q753" s="56" t="s">
        <v>2129</v>
      </c>
      <c r="R753" s="50"/>
      <c r="S753" s="50"/>
      <c r="T753" s="50"/>
      <c r="U753" s="50"/>
      <c r="V753" s="57">
        <v>0.27</v>
      </c>
      <c r="W753" s="68"/>
      <c r="X753" s="50"/>
      <c r="Y753" s="50"/>
      <c r="Z753" s="50"/>
      <c r="AA753" s="50"/>
      <c r="AB753" s="57"/>
      <c r="AC753" s="54">
        <v>1</v>
      </c>
      <c r="AD753" s="69">
        <f>SUM(AE753:AK753)</f>
        <v>1</v>
      </c>
      <c r="AE753" s="66"/>
      <c r="AF753" s="66"/>
      <c r="AG753" s="66"/>
      <c r="AH753" s="66">
        <v>1</v>
      </c>
      <c r="AI753" s="66"/>
      <c r="AJ753" s="66"/>
      <c r="AK753" s="66"/>
      <c r="AL753" s="54">
        <f>IF((AC753-SUM(AE753:AK753))&lt;0,0,AC753-SUM(AE753:AK753))</f>
        <v>0</v>
      </c>
      <c r="AM753" s="69">
        <f>SUM(AN753:AT753)</f>
        <v>1</v>
      </c>
      <c r="AN753" s="60"/>
      <c r="AO753" s="52"/>
      <c r="AP753" s="52"/>
      <c r="AQ753" s="52">
        <v>1</v>
      </c>
      <c r="AR753" s="52"/>
      <c r="AS753" s="52"/>
      <c r="AT753" s="61"/>
      <c r="AU753" s="54">
        <f>MAX(0,$AM753-$AC753-$AW753)</f>
        <v>0</v>
      </c>
      <c r="AV753" s="54"/>
      <c r="AW753" s="54"/>
      <c r="AX753" s="65">
        <v>0</v>
      </c>
      <c r="AY753" s="57">
        <f>IF(AND($AU753&gt;0,ISNUMBER($AX753)),$AU753*$AX753,0)</f>
        <v>0</v>
      </c>
      <c r="AZ753" s="46"/>
      <c r="BA753" s="52"/>
      <c r="BB753" s="52"/>
      <c r="BC753" s="52"/>
      <c r="BD753" s="52"/>
      <c r="BE753" s="52"/>
      <c r="BF753" s="52"/>
    </row>
    <row r="754" spans="1:58" ht="15" customHeight="1">
      <c r="A754" s="46" t="s">
        <v>4257</v>
      </c>
      <c r="B754" s="50" t="s">
        <v>4258</v>
      </c>
      <c r="C754" s="54" t="s">
        <v>70</v>
      </c>
      <c r="D754" s="74">
        <v>3</v>
      </c>
      <c r="E754" s="50" t="s">
        <v>110</v>
      </c>
      <c r="F754" s="50">
        <v>1</v>
      </c>
      <c r="G754" s="50">
        <v>1</v>
      </c>
      <c r="H754" s="51" t="s">
        <v>245</v>
      </c>
      <c r="I754" s="50" t="s">
        <v>4259</v>
      </c>
      <c r="J754" s="54" t="s">
        <v>73</v>
      </c>
      <c r="K754" s="56" t="s">
        <v>474</v>
      </c>
      <c r="L754" s="56" t="s">
        <v>4260</v>
      </c>
      <c r="M754" s="56"/>
      <c r="N754" s="56"/>
      <c r="O754" s="56">
        <v>3053</v>
      </c>
      <c r="P754" s="56" t="s">
        <v>185</v>
      </c>
      <c r="Q754" s="56" t="s">
        <v>1343</v>
      </c>
      <c r="R754" s="54"/>
      <c r="S754" s="54"/>
      <c r="T754" s="54"/>
      <c r="U754" s="56"/>
      <c r="V754" s="57">
        <v>0.27</v>
      </c>
      <c r="W754" s="68"/>
      <c r="X754" s="54"/>
      <c r="Y754" s="54"/>
      <c r="Z754" s="54"/>
      <c r="AA754" s="56"/>
      <c r="AB754" s="57"/>
      <c r="AC754" s="54">
        <v>1</v>
      </c>
      <c r="AD754" s="69">
        <f>SUM(AE754:AK754)</f>
        <v>0</v>
      </c>
      <c r="AE754" s="66"/>
      <c r="AF754" s="66"/>
      <c r="AG754" s="66"/>
      <c r="AH754" s="66"/>
      <c r="AI754" s="66"/>
      <c r="AJ754" s="66"/>
      <c r="AK754" s="66"/>
      <c r="AL754" s="54">
        <f>IF((AC754-SUM(AE754:AK754))&lt;0,0,AC754-SUM(AE754:AK754))</f>
        <v>1</v>
      </c>
      <c r="AM754" s="69">
        <f>SUM(AN754:AT754)</f>
        <v>0</v>
      </c>
      <c r="AN754" s="60"/>
      <c r="AO754" s="52"/>
      <c r="AP754" s="52"/>
      <c r="AQ754" s="52"/>
      <c r="AR754" s="52"/>
      <c r="AS754" s="52"/>
      <c r="AT754" s="61"/>
      <c r="AU754" s="54">
        <f>MAX(0,$AM754-$AC754-$AW754)</f>
        <v>0</v>
      </c>
      <c r="AV754" s="54"/>
      <c r="AW754" s="54"/>
      <c r="AX754" s="65">
        <v>0</v>
      </c>
      <c r="AY754" s="57">
        <f>IF(AND($AU754&gt;0,ISNUMBER($AX754)),$AU754*$AX754,0)</f>
        <v>0</v>
      </c>
      <c r="AZ754" s="46"/>
      <c r="BA754" s="52"/>
      <c r="BB754" s="52"/>
      <c r="BC754" s="52"/>
      <c r="BD754" s="52"/>
      <c r="BE754" s="52"/>
      <c r="BF754" s="52"/>
    </row>
    <row r="755" spans="1:58" ht="15" customHeight="1">
      <c r="A755" s="46" t="s">
        <v>4261</v>
      </c>
      <c r="B755" s="50" t="s">
        <v>4262</v>
      </c>
      <c r="C755" s="54" t="s">
        <v>181</v>
      </c>
      <c r="D755" s="74">
        <v>2</v>
      </c>
      <c r="E755" s="50" t="s">
        <v>189</v>
      </c>
      <c r="F755" s="50"/>
      <c r="G755" s="50"/>
      <c r="H755" s="51"/>
      <c r="I755" s="50" t="s">
        <v>4263</v>
      </c>
      <c r="J755" s="54" t="s">
        <v>73</v>
      </c>
      <c r="K755" s="56" t="s">
        <v>474</v>
      </c>
      <c r="L755" s="56" t="s">
        <v>4264</v>
      </c>
      <c r="M755" s="56" t="s">
        <v>4265</v>
      </c>
      <c r="N755" s="56"/>
      <c r="O755" s="54"/>
      <c r="P755" s="56" t="s">
        <v>185</v>
      </c>
      <c r="Q755" s="56" t="s">
        <v>669</v>
      </c>
      <c r="R755" s="50"/>
      <c r="S755" s="50"/>
      <c r="T755" s="50"/>
      <c r="U755" s="56"/>
      <c r="V755" s="57">
        <v>0.27</v>
      </c>
      <c r="W755" s="68"/>
      <c r="X755" s="50"/>
      <c r="Y755" s="50"/>
      <c r="Z755" s="50"/>
      <c r="AA755" s="56"/>
      <c r="AB755" s="57"/>
      <c r="AC755" s="54">
        <v>1</v>
      </c>
      <c r="AD755" s="69">
        <f>SUM(AE755:AK755)</f>
        <v>0</v>
      </c>
      <c r="AE755" s="66"/>
      <c r="AF755" s="66"/>
      <c r="AG755" s="66"/>
      <c r="AH755" s="66"/>
      <c r="AI755" s="66"/>
      <c r="AJ755" s="66"/>
      <c r="AK755" s="66"/>
      <c r="AL755" s="54">
        <f>IF((AC755-SUM(AE755:AK755))&lt;0,0,AC755-SUM(AE755:AK755))</f>
        <v>1</v>
      </c>
      <c r="AM755" s="69">
        <f>SUM(AN755:AT755)</f>
        <v>0</v>
      </c>
      <c r="AN755" s="60"/>
      <c r="AO755" s="52"/>
      <c r="AP755" s="52"/>
      <c r="AQ755" s="52"/>
      <c r="AR755" s="52"/>
      <c r="AS755" s="52"/>
      <c r="AT755" s="61"/>
      <c r="AU755" s="54">
        <f>MAX(0,$AM755-$AC755-$AW755)</f>
        <v>0</v>
      </c>
      <c r="AV755" s="54"/>
      <c r="AW755" s="54"/>
      <c r="AX755" s="65">
        <v>0</v>
      </c>
      <c r="AY755" s="57">
        <f>IF(AND($AU755&gt;0,ISNUMBER($AX755)),$AU755*$AX755,0)</f>
        <v>0</v>
      </c>
      <c r="AZ755" s="46"/>
      <c r="BA755" s="52"/>
      <c r="BB755" s="52"/>
      <c r="BC755" s="52"/>
      <c r="BD755" s="52"/>
      <c r="BE755" s="52"/>
      <c r="BF755" s="52"/>
    </row>
    <row r="756" spans="1:58" ht="15" customHeight="1">
      <c r="A756" s="46" t="s">
        <v>4266</v>
      </c>
      <c r="B756" s="50" t="s">
        <v>4267</v>
      </c>
      <c r="C756" s="54" t="s">
        <v>118</v>
      </c>
      <c r="D756" s="74">
        <v>2</v>
      </c>
      <c r="E756" s="50" t="s">
        <v>189</v>
      </c>
      <c r="F756" s="50"/>
      <c r="G756" s="50"/>
      <c r="H756" s="51"/>
      <c r="I756" s="50" t="s">
        <v>4268</v>
      </c>
      <c r="J756" s="54" t="s">
        <v>73</v>
      </c>
      <c r="K756" s="56" t="s">
        <v>135</v>
      </c>
      <c r="L756" s="56" t="s">
        <v>4269</v>
      </c>
      <c r="M756" s="56" t="s">
        <v>4270</v>
      </c>
      <c r="N756" s="56" t="s">
        <v>4271</v>
      </c>
      <c r="O756" s="54"/>
      <c r="P756" s="56" t="s">
        <v>86</v>
      </c>
      <c r="Q756" s="56" t="s">
        <v>1908</v>
      </c>
      <c r="R756" s="50"/>
      <c r="S756" s="50"/>
      <c r="T756" s="50"/>
      <c r="U756" s="56"/>
      <c r="V756" s="57">
        <v>0.27</v>
      </c>
      <c r="W756" s="68"/>
      <c r="X756" s="50"/>
      <c r="Y756" s="50"/>
      <c r="Z756" s="50"/>
      <c r="AA756" s="56"/>
      <c r="AB756" s="57"/>
      <c r="AC756" s="54">
        <v>1</v>
      </c>
      <c r="AD756" s="69">
        <f>SUM(AE756:AK756)</f>
        <v>0</v>
      </c>
      <c r="AE756" s="66"/>
      <c r="AF756" s="66"/>
      <c r="AG756" s="66"/>
      <c r="AH756" s="66"/>
      <c r="AI756" s="66"/>
      <c r="AJ756" s="66"/>
      <c r="AK756" s="66"/>
      <c r="AL756" s="54">
        <f>IF((AC756-SUM(AE756:AK756))&lt;0,0,AC756-SUM(AE756:AK756))</f>
        <v>1</v>
      </c>
      <c r="AM756" s="69">
        <f>SUM(AN756:AT756)</f>
        <v>0</v>
      </c>
      <c r="AN756" s="60"/>
      <c r="AO756" s="52"/>
      <c r="AP756" s="52"/>
      <c r="AQ756" s="52"/>
      <c r="AR756" s="52"/>
      <c r="AS756" s="52"/>
      <c r="AT756" s="61"/>
      <c r="AU756" s="54">
        <f>MAX(0,$AM756-$AC756-$AW756)</f>
        <v>0</v>
      </c>
      <c r="AV756" s="54"/>
      <c r="AW756" s="54"/>
      <c r="AX756" s="65">
        <v>0</v>
      </c>
      <c r="AY756" s="57">
        <f>IF(AND($AU756&gt;0,ISNUMBER($AX756)),$AU756*$AX756,0)</f>
        <v>0</v>
      </c>
      <c r="AZ756" s="46"/>
      <c r="BA756" s="52"/>
      <c r="BB756" s="52"/>
      <c r="BC756" s="52"/>
      <c r="BD756" s="52"/>
      <c r="BE756" s="52"/>
      <c r="BF756" s="52"/>
    </row>
    <row r="757" spans="1:58" ht="15" customHeight="1">
      <c r="A757" s="46" t="s">
        <v>4272</v>
      </c>
      <c r="B757" s="50" t="s">
        <v>4273</v>
      </c>
      <c r="C757" s="54" t="s">
        <v>118</v>
      </c>
      <c r="D757" s="74">
        <v>2</v>
      </c>
      <c r="E757" s="50" t="s">
        <v>81</v>
      </c>
      <c r="F757" s="50">
        <v>2</v>
      </c>
      <c r="G757" s="50">
        <v>2</v>
      </c>
      <c r="H757" s="51" t="s">
        <v>2590</v>
      </c>
      <c r="I757" s="50" t="s">
        <v>4274</v>
      </c>
      <c r="J757" s="54" t="s">
        <v>73</v>
      </c>
      <c r="K757" s="56" t="s">
        <v>135</v>
      </c>
      <c r="L757" s="56" t="s">
        <v>4275</v>
      </c>
      <c r="M757" s="56" t="s">
        <v>4276</v>
      </c>
      <c r="N757" s="56" t="s">
        <v>4277</v>
      </c>
      <c r="O757" s="54"/>
      <c r="P757" s="56" t="s">
        <v>86</v>
      </c>
      <c r="Q757" s="56" t="s">
        <v>627</v>
      </c>
      <c r="R757" s="54"/>
      <c r="S757" s="54"/>
      <c r="T757" s="54"/>
      <c r="U757" s="56"/>
      <c r="V757" s="57">
        <v>0.27</v>
      </c>
      <c r="W757" s="68"/>
      <c r="X757" s="54"/>
      <c r="Y757" s="54"/>
      <c r="Z757" s="54"/>
      <c r="AA757" s="56"/>
      <c r="AB757" s="57"/>
      <c r="AC757" s="54">
        <v>1</v>
      </c>
      <c r="AD757" s="69">
        <f>SUM(AE757:AK757)</f>
        <v>1</v>
      </c>
      <c r="AE757" s="66"/>
      <c r="AF757" s="66">
        <v>1</v>
      </c>
      <c r="AG757" s="66"/>
      <c r="AH757" s="66"/>
      <c r="AI757" s="66"/>
      <c r="AJ757" s="66"/>
      <c r="AK757" s="66"/>
      <c r="AL757" s="54">
        <f>IF((AC757-SUM(AE757:AK757))&lt;0,0,AC757-SUM(AE757:AK757))</f>
        <v>0</v>
      </c>
      <c r="AM757" s="69">
        <f>SUM(AN757:AT757)</f>
        <v>1</v>
      </c>
      <c r="AN757" s="60"/>
      <c r="AO757" s="52">
        <v>1</v>
      </c>
      <c r="AP757" s="52"/>
      <c r="AQ757" s="52"/>
      <c r="AR757" s="52"/>
      <c r="AS757" s="52"/>
      <c r="AT757" s="61"/>
      <c r="AU757" s="54">
        <f>MAX(0,$AM757-$AC757-$AW757)</f>
        <v>0</v>
      </c>
      <c r="AV757" s="54"/>
      <c r="AW757" s="54"/>
      <c r="AX757" s="65">
        <v>0</v>
      </c>
      <c r="AY757" s="57">
        <f>IF(AND($AU757&gt;0,ISNUMBER($AX757)),$AU757*$AX757,0)</f>
        <v>0</v>
      </c>
      <c r="AZ757" s="46"/>
      <c r="BA757" s="52"/>
      <c r="BB757" s="52"/>
      <c r="BC757" s="52"/>
      <c r="BD757" s="52"/>
      <c r="BE757" s="52"/>
      <c r="BF757" s="52"/>
    </row>
    <row r="758" spans="1:58" ht="15" customHeight="1">
      <c r="A758" s="46" t="s">
        <v>4278</v>
      </c>
      <c r="B758" s="50" t="s">
        <v>4279</v>
      </c>
      <c r="C758" s="54" t="s">
        <v>70</v>
      </c>
      <c r="D758" s="74">
        <v>2</v>
      </c>
      <c r="E758" s="50" t="s">
        <v>81</v>
      </c>
      <c r="F758" s="50">
        <v>1</v>
      </c>
      <c r="G758" s="50">
        <v>1</v>
      </c>
      <c r="H758" s="51" t="s">
        <v>318</v>
      </c>
      <c r="I758" s="50" t="s">
        <v>4280</v>
      </c>
      <c r="J758" s="54" t="s">
        <v>73</v>
      </c>
      <c r="K758" s="56" t="s">
        <v>129</v>
      </c>
      <c r="L758" s="56" t="s">
        <v>4281</v>
      </c>
      <c r="M758" s="56" t="s">
        <v>4282</v>
      </c>
      <c r="N758" s="56"/>
      <c r="O758" s="54"/>
      <c r="P758" s="56" t="s">
        <v>76</v>
      </c>
      <c r="Q758" s="56" t="s">
        <v>2307</v>
      </c>
      <c r="R758" s="50"/>
      <c r="S758" s="50"/>
      <c r="T758" s="50"/>
      <c r="U758" s="50"/>
      <c r="V758" s="57">
        <v>0.27</v>
      </c>
      <c r="W758" s="68"/>
      <c r="X758" s="50"/>
      <c r="Y758" s="50"/>
      <c r="Z758" s="50"/>
      <c r="AA758" s="50"/>
      <c r="AB758" s="57"/>
      <c r="AC758" s="54">
        <v>1</v>
      </c>
      <c r="AD758" s="69">
        <f>SUM(AE758:AK758)</f>
        <v>1</v>
      </c>
      <c r="AE758" s="66"/>
      <c r="AF758" s="66"/>
      <c r="AG758" s="66"/>
      <c r="AH758" s="66"/>
      <c r="AI758" s="66"/>
      <c r="AJ758" s="66">
        <v>1</v>
      </c>
      <c r="AK758" s="66"/>
      <c r="AL758" s="54">
        <f>IF((AC758-SUM(AE758:AK758))&lt;0,0,AC758-SUM(AE758:AK758))</f>
        <v>0</v>
      </c>
      <c r="AM758" s="69">
        <f>SUM(AN758:AT758)</f>
        <v>1</v>
      </c>
      <c r="AN758" s="60"/>
      <c r="AO758" s="52"/>
      <c r="AP758" s="52"/>
      <c r="AQ758" s="52"/>
      <c r="AR758" s="52"/>
      <c r="AS758" s="52">
        <v>1</v>
      </c>
      <c r="AT758" s="61"/>
      <c r="AU758" s="54">
        <f>MAX(0,$AM758-$AC758-$AW758)</f>
        <v>0</v>
      </c>
      <c r="AV758" s="54"/>
      <c r="AW758" s="54"/>
      <c r="AX758" s="65">
        <v>0</v>
      </c>
      <c r="AY758" s="57">
        <f>IF(AND($AU758&gt;0,ISNUMBER($AX758)),$AU758*$AX758,0)</f>
        <v>0</v>
      </c>
      <c r="AZ758" s="46"/>
      <c r="BA758" s="52"/>
      <c r="BB758" s="52"/>
      <c r="BC758" s="52"/>
      <c r="BD758" s="52"/>
      <c r="BE758" s="52"/>
      <c r="BF758" s="52"/>
    </row>
    <row r="759" spans="1:58" ht="15" customHeight="1">
      <c r="A759" s="46" t="s">
        <v>4283</v>
      </c>
      <c r="B759" s="50" t="s">
        <v>4284</v>
      </c>
      <c r="C759" s="54" t="s">
        <v>70</v>
      </c>
      <c r="D759" s="74">
        <v>4</v>
      </c>
      <c r="E759" s="50" t="s">
        <v>81</v>
      </c>
      <c r="F759" s="50">
        <v>4</v>
      </c>
      <c r="G759" s="50">
        <v>3</v>
      </c>
      <c r="H759" s="51" t="s">
        <v>318</v>
      </c>
      <c r="I759" s="50" t="s">
        <v>4285</v>
      </c>
      <c r="J759" s="54" t="s">
        <v>73</v>
      </c>
      <c r="K759" s="56" t="s">
        <v>129</v>
      </c>
      <c r="L759" s="56" t="s">
        <v>4286</v>
      </c>
      <c r="M759" s="56"/>
      <c r="N759" s="56"/>
      <c r="O759" s="54"/>
      <c r="P759" s="56" t="s">
        <v>185</v>
      </c>
      <c r="Q759" s="56" t="s">
        <v>669</v>
      </c>
      <c r="R759" s="50"/>
      <c r="S759" s="50"/>
      <c r="T759" s="50"/>
      <c r="U759" s="50"/>
      <c r="V759" s="57">
        <v>0.27</v>
      </c>
      <c r="W759" s="68"/>
      <c r="X759" s="50"/>
      <c r="Y759" s="50"/>
      <c r="Z759" s="50"/>
      <c r="AA759" s="50"/>
      <c r="AB759" s="57"/>
      <c r="AC759" s="54">
        <v>1</v>
      </c>
      <c r="AD759" s="69">
        <f>SUM(AE759:AK759)</f>
        <v>1</v>
      </c>
      <c r="AE759" s="66"/>
      <c r="AF759" s="66"/>
      <c r="AG759" s="66"/>
      <c r="AH759" s="66"/>
      <c r="AI759" s="66"/>
      <c r="AJ759" s="66">
        <v>1</v>
      </c>
      <c r="AK759" s="66"/>
      <c r="AL759" s="54">
        <f>IF((AC759-SUM(AE759:AK759))&lt;0,0,AC759-SUM(AE759:AK759))</f>
        <v>0</v>
      </c>
      <c r="AM759" s="69">
        <f>SUM(AN759:AT759)</f>
        <v>1</v>
      </c>
      <c r="AN759" s="60"/>
      <c r="AO759" s="52"/>
      <c r="AP759" s="52"/>
      <c r="AQ759" s="52"/>
      <c r="AR759" s="52"/>
      <c r="AS759" s="52">
        <v>1</v>
      </c>
      <c r="AT759" s="61"/>
      <c r="AU759" s="54">
        <f>MAX(0,$AM759-$AC759-$AW759)</f>
        <v>0</v>
      </c>
      <c r="AV759" s="54"/>
      <c r="AW759" s="54"/>
      <c r="AX759" s="65">
        <v>0</v>
      </c>
      <c r="AY759" s="57">
        <f>IF(AND($AU759&gt;0,ISNUMBER($AX759)),$AU759*$AX759,0)</f>
        <v>0</v>
      </c>
      <c r="AZ759" s="46"/>
      <c r="BA759" s="52"/>
      <c r="BB759" s="52"/>
      <c r="BC759" s="52"/>
      <c r="BD759" s="52"/>
      <c r="BE759" s="52"/>
      <c r="BF759" s="52"/>
    </row>
    <row r="760" spans="1:58" ht="15" customHeight="1">
      <c r="A760" s="46" t="s">
        <v>4287</v>
      </c>
      <c r="B760" s="50" t="s">
        <v>4288</v>
      </c>
      <c r="C760" s="54" t="s">
        <v>101</v>
      </c>
      <c r="D760" s="74">
        <v>3</v>
      </c>
      <c r="E760" s="50" t="s">
        <v>81</v>
      </c>
      <c r="F760" s="50" t="s">
        <v>126</v>
      </c>
      <c r="G760" s="50" t="s">
        <v>126</v>
      </c>
      <c r="H760" s="51" t="s">
        <v>931</v>
      </c>
      <c r="I760" s="50" t="s">
        <v>4289</v>
      </c>
      <c r="J760" s="54" t="s">
        <v>73</v>
      </c>
      <c r="K760" s="50" t="s">
        <v>676</v>
      </c>
      <c r="L760" s="50" t="s">
        <v>4290</v>
      </c>
      <c r="M760" s="50"/>
      <c r="N760" s="50"/>
      <c r="O760" s="54"/>
      <c r="P760" s="56" t="s">
        <v>185</v>
      </c>
      <c r="Q760" s="50" t="s">
        <v>633</v>
      </c>
      <c r="R760" s="74" t="s">
        <v>4291</v>
      </c>
      <c r="S760" s="74">
        <v>1</v>
      </c>
      <c r="T760" s="74">
        <v>1</v>
      </c>
      <c r="U760" s="56" t="s">
        <v>4292</v>
      </c>
      <c r="V760" s="57">
        <v>0.27</v>
      </c>
      <c r="W760" s="68"/>
      <c r="X760" s="50"/>
      <c r="Y760" s="50"/>
      <c r="Z760" s="50"/>
      <c r="AA760" s="56"/>
      <c r="AB760" s="57"/>
      <c r="AC760" s="54">
        <v>1</v>
      </c>
      <c r="AD760" s="69">
        <f>SUM(AE760:AK760)</f>
        <v>1</v>
      </c>
      <c r="AE760" s="66"/>
      <c r="AF760" s="66"/>
      <c r="AG760" s="66"/>
      <c r="AH760" s="66"/>
      <c r="AI760" s="66"/>
      <c r="AJ760" s="66"/>
      <c r="AK760" s="66">
        <v>1</v>
      </c>
      <c r="AL760" s="54">
        <f>IF((AC760-SUM(AE760:AK760))&lt;0,0,AC760-SUM(AE760:AK760))</f>
        <v>0</v>
      </c>
      <c r="AM760" s="69">
        <f>SUM(AN760:AT760)</f>
        <v>1</v>
      </c>
      <c r="AN760" s="60"/>
      <c r="AO760" s="52"/>
      <c r="AP760" s="52"/>
      <c r="AQ760" s="52"/>
      <c r="AR760" s="52"/>
      <c r="AS760" s="52"/>
      <c r="AT760" s="61">
        <v>1</v>
      </c>
      <c r="AU760" s="54">
        <f>MAX(0,$AM760-$AC760-$AW760)</f>
        <v>0</v>
      </c>
      <c r="AV760" s="54"/>
      <c r="AW760" s="54"/>
      <c r="AX760" s="65">
        <v>0</v>
      </c>
      <c r="AY760" s="57">
        <f>IF(AND($AU760&gt;0,ISNUMBER($AX760)),$AU760*$AX760,0)</f>
        <v>0</v>
      </c>
      <c r="AZ760" s="46"/>
      <c r="BA760" s="52"/>
      <c r="BB760" s="52"/>
      <c r="BC760" s="52"/>
      <c r="BD760" s="52"/>
      <c r="BE760" s="52"/>
      <c r="BF760" s="52"/>
    </row>
    <row r="761" spans="1:58" ht="15" customHeight="1">
      <c r="A761" s="46" t="s">
        <v>4293</v>
      </c>
      <c r="B761" s="50" t="s">
        <v>4294</v>
      </c>
      <c r="C761" s="54" t="s">
        <v>118</v>
      </c>
      <c r="D761" s="74">
        <v>1</v>
      </c>
      <c r="E761" s="50" t="s">
        <v>81</v>
      </c>
      <c r="F761" s="50">
        <v>1</v>
      </c>
      <c r="G761" s="50">
        <v>1</v>
      </c>
      <c r="H761" s="51" t="s">
        <v>4295</v>
      </c>
      <c r="I761" s="50" t="s">
        <v>4296</v>
      </c>
      <c r="J761" s="54" t="s">
        <v>73</v>
      </c>
      <c r="K761" s="56" t="s">
        <v>726</v>
      </c>
      <c r="L761" s="56" t="s">
        <v>4297</v>
      </c>
      <c r="M761" s="56" t="s">
        <v>4298</v>
      </c>
      <c r="N761" s="56"/>
      <c r="O761" s="54"/>
      <c r="P761" s="56" t="s">
        <v>76</v>
      </c>
      <c r="Q761" s="56" t="s">
        <v>729</v>
      </c>
      <c r="R761" s="50"/>
      <c r="S761" s="50"/>
      <c r="T761" s="50"/>
      <c r="U761" s="56"/>
      <c r="V761" s="57">
        <v>0.26</v>
      </c>
      <c r="W761" s="68"/>
      <c r="X761" s="50"/>
      <c r="Y761" s="50"/>
      <c r="Z761" s="50"/>
      <c r="AA761" s="56"/>
      <c r="AB761" s="57"/>
      <c r="AC761" s="54">
        <v>1</v>
      </c>
      <c r="AD761" s="69">
        <f>SUM(AE761:AK761)</f>
        <v>0</v>
      </c>
      <c r="AE761" s="66"/>
      <c r="AF761" s="66"/>
      <c r="AG761" s="66"/>
      <c r="AH761" s="66"/>
      <c r="AI761" s="66"/>
      <c r="AJ761" s="66"/>
      <c r="AK761" s="66"/>
      <c r="AL761" s="54">
        <f>IF((AC761-SUM(AE761:AK761))&lt;0,0,AC761-SUM(AE761:AK761))</f>
        <v>1</v>
      </c>
      <c r="AM761" s="69">
        <f>SUM(AN761:AT761)</f>
        <v>0</v>
      </c>
      <c r="AN761" s="60"/>
      <c r="AO761" s="52"/>
      <c r="AP761" s="52"/>
      <c r="AQ761" s="52"/>
      <c r="AR761" s="52"/>
      <c r="AS761" s="52"/>
      <c r="AT761" s="61"/>
      <c r="AU761" s="54">
        <f>MAX(0,$AM761-$AC761-$AW761)</f>
        <v>0</v>
      </c>
      <c r="AV761" s="54"/>
      <c r="AW761" s="54"/>
      <c r="AX761" s="65">
        <v>0</v>
      </c>
      <c r="AY761" s="57">
        <f>IF(AND($AU761&gt;0,ISNUMBER($AX761)),$AU761*$AX761,0)</f>
        <v>0</v>
      </c>
      <c r="AZ761" s="46"/>
      <c r="BA761" s="52"/>
      <c r="BB761" s="52"/>
      <c r="BC761" s="52"/>
      <c r="BD761" s="52"/>
      <c r="BE761" s="52"/>
      <c r="BF761" s="52"/>
    </row>
    <row r="762" spans="1:58" ht="15" customHeight="1">
      <c r="A762" s="46" t="s">
        <v>4299</v>
      </c>
      <c r="B762" s="50" t="s">
        <v>4300</v>
      </c>
      <c r="C762" s="54" t="s">
        <v>181</v>
      </c>
      <c r="D762" s="74">
        <v>4</v>
      </c>
      <c r="E762" s="50" t="s">
        <v>71</v>
      </c>
      <c r="F762" s="50"/>
      <c r="G762" s="50"/>
      <c r="H762" s="51"/>
      <c r="I762" s="50" t="s">
        <v>4301</v>
      </c>
      <c r="J762" s="54" t="s">
        <v>73</v>
      </c>
      <c r="K762" s="56" t="s">
        <v>424</v>
      </c>
      <c r="L762" s="56" t="s">
        <v>4302</v>
      </c>
      <c r="M762" s="56"/>
      <c r="N762" s="56"/>
      <c r="O762" s="54"/>
      <c r="P762" s="56" t="s">
        <v>86</v>
      </c>
      <c r="Q762" s="56" t="s">
        <v>492</v>
      </c>
      <c r="R762" s="50"/>
      <c r="S762" s="50"/>
      <c r="T762" s="50"/>
      <c r="U762" s="56"/>
      <c r="V762" s="57">
        <v>0.26</v>
      </c>
      <c r="W762" s="68"/>
      <c r="X762" s="50"/>
      <c r="Y762" s="50"/>
      <c r="Z762" s="50"/>
      <c r="AA762" s="56"/>
      <c r="AB762" s="57"/>
      <c r="AC762" s="54">
        <v>1</v>
      </c>
      <c r="AD762" s="69">
        <f>SUM(AE762:AK762)</f>
        <v>1</v>
      </c>
      <c r="AE762" s="66"/>
      <c r="AF762" s="66"/>
      <c r="AG762" s="66"/>
      <c r="AH762" s="66"/>
      <c r="AI762" s="66"/>
      <c r="AJ762" s="66"/>
      <c r="AK762" s="66">
        <v>1</v>
      </c>
      <c r="AL762" s="54">
        <f>IF((AC762-SUM(AE762:AK762))&lt;0,0,AC762-SUM(AE762:AK762))</f>
        <v>0</v>
      </c>
      <c r="AM762" s="69">
        <f>SUM(AN762:AT762)</f>
        <v>0</v>
      </c>
      <c r="AN762" s="60"/>
      <c r="AO762" s="52"/>
      <c r="AP762" s="52"/>
      <c r="AQ762" s="52"/>
      <c r="AR762" s="52"/>
      <c r="AS762" s="52"/>
      <c r="AT762" s="61"/>
      <c r="AU762" s="54">
        <f>MAX(0,$AM762-$AC762-$AW762)</f>
        <v>0</v>
      </c>
      <c r="AV762" s="54"/>
      <c r="AW762" s="54"/>
      <c r="AX762" s="65">
        <v>0</v>
      </c>
      <c r="AY762" s="57">
        <f>IF(AND($AU762&gt;0,ISNUMBER($AX762)),$AU762*$AX762,0)</f>
        <v>0</v>
      </c>
      <c r="AZ762" s="46"/>
      <c r="BA762" s="52"/>
      <c r="BB762" s="52"/>
      <c r="BC762" s="52"/>
      <c r="BD762" s="52"/>
      <c r="BE762" s="52"/>
      <c r="BF762" s="52" t="s">
        <v>78</v>
      </c>
    </row>
    <row r="763" spans="1:58" ht="15" customHeight="1">
      <c r="A763" s="46" t="s">
        <v>4303</v>
      </c>
      <c r="B763" s="50" t="s">
        <v>4304</v>
      </c>
      <c r="C763" s="54" t="s">
        <v>70</v>
      </c>
      <c r="D763" s="74">
        <v>3</v>
      </c>
      <c r="E763" s="50" t="s">
        <v>189</v>
      </c>
      <c r="F763" s="50"/>
      <c r="G763" s="50"/>
      <c r="H763" s="51"/>
      <c r="I763" s="50" t="s">
        <v>4305</v>
      </c>
      <c r="J763" s="54" t="s">
        <v>73</v>
      </c>
      <c r="K763" s="56" t="s">
        <v>386</v>
      </c>
      <c r="L763" s="56" t="s">
        <v>4306</v>
      </c>
      <c r="M763" s="56"/>
      <c r="N763" s="56"/>
      <c r="O763" s="54"/>
      <c r="P763" s="56" t="s">
        <v>76</v>
      </c>
      <c r="Q763" s="56" t="s">
        <v>482</v>
      </c>
      <c r="R763" s="50"/>
      <c r="S763" s="50"/>
      <c r="T763" s="50"/>
      <c r="U763" s="50"/>
      <c r="V763" s="57">
        <v>0.26</v>
      </c>
      <c r="W763" s="68"/>
      <c r="X763" s="50"/>
      <c r="Y763" s="50"/>
      <c r="Z763" s="50"/>
      <c r="AA763" s="50"/>
      <c r="AB763" s="57"/>
      <c r="AC763" s="54">
        <v>1</v>
      </c>
      <c r="AD763" s="69">
        <f>SUM(AE763:AK763)</f>
        <v>1</v>
      </c>
      <c r="AE763" s="66"/>
      <c r="AF763" s="66"/>
      <c r="AG763" s="66"/>
      <c r="AH763" s="66"/>
      <c r="AI763" s="66"/>
      <c r="AJ763" s="66">
        <v>1</v>
      </c>
      <c r="AK763" s="66"/>
      <c r="AL763" s="54">
        <f>IF((AC763-SUM(AE763:AK763))&lt;0,0,AC763-SUM(AE763:AK763))</f>
        <v>0</v>
      </c>
      <c r="AM763" s="69">
        <f>SUM(AN763:AT763)</f>
        <v>0</v>
      </c>
      <c r="AN763" s="60"/>
      <c r="AO763" s="52"/>
      <c r="AP763" s="52"/>
      <c r="AQ763" s="52"/>
      <c r="AR763" s="52"/>
      <c r="AS763" s="52"/>
      <c r="AT763" s="61"/>
      <c r="AU763" s="54">
        <f>MAX(0,$AM763-$AC763-$AW763)</f>
        <v>0</v>
      </c>
      <c r="AV763" s="54"/>
      <c r="AW763" s="54"/>
      <c r="AX763" s="65">
        <v>0</v>
      </c>
      <c r="AY763" s="57">
        <f>IF(AND($AU763&gt;0,ISNUMBER($AX763)),$AU763*$AX763,0)</f>
        <v>0</v>
      </c>
      <c r="AZ763" s="46"/>
      <c r="BA763" s="52"/>
      <c r="BB763" s="52"/>
      <c r="BC763" s="52"/>
      <c r="BD763" s="52"/>
      <c r="BE763" s="52" t="s">
        <v>167</v>
      </c>
      <c r="BF763" s="52"/>
    </row>
    <row r="764" spans="1:58" ht="15" customHeight="1">
      <c r="A764" s="46" t="s">
        <v>4307</v>
      </c>
      <c r="B764" s="46" t="s">
        <v>4308</v>
      </c>
      <c r="C764" s="52" t="s">
        <v>109</v>
      </c>
      <c r="D764" s="75">
        <v>3</v>
      </c>
      <c r="E764" s="46" t="s">
        <v>81</v>
      </c>
      <c r="F764" s="50">
        <v>3</v>
      </c>
      <c r="G764" s="50">
        <v>4</v>
      </c>
      <c r="H764" s="51" t="s">
        <v>4309</v>
      </c>
      <c r="I764" s="50" t="s">
        <v>4310</v>
      </c>
      <c r="J764" s="52" t="s">
        <v>73</v>
      </c>
      <c r="K764" s="46" t="s">
        <v>152</v>
      </c>
      <c r="L764" s="50" t="s">
        <v>4311</v>
      </c>
      <c r="M764" s="50" t="s">
        <v>4312</v>
      </c>
      <c r="N764" s="50"/>
      <c r="O764" s="54"/>
      <c r="P764" s="56" t="s">
        <v>86</v>
      </c>
      <c r="Q764" s="46" t="s">
        <v>669</v>
      </c>
      <c r="R764" s="75" t="s">
        <v>4313</v>
      </c>
      <c r="S764" s="75">
        <v>1</v>
      </c>
      <c r="T764" s="75">
        <v>0</v>
      </c>
      <c r="U764" s="56"/>
      <c r="V764" s="57">
        <v>0.26</v>
      </c>
      <c r="W764" s="68"/>
      <c r="X764" s="50"/>
      <c r="Y764" s="46"/>
      <c r="Z764" s="46"/>
      <c r="AA764" s="56"/>
      <c r="AB764" s="57"/>
      <c r="AC764" s="54">
        <v>1</v>
      </c>
      <c r="AD764" s="69">
        <f>SUM(AE764:AK764)</f>
        <v>0</v>
      </c>
      <c r="AE764" s="66"/>
      <c r="AF764" s="66"/>
      <c r="AG764" s="66"/>
      <c r="AH764" s="66"/>
      <c r="AI764" s="66"/>
      <c r="AJ764" s="66"/>
      <c r="AK764" s="66"/>
      <c r="AL764" s="54">
        <f>IF((AC764-SUM(AE764:AK764))&lt;0,0,AC764-SUM(AE764:AK764))</f>
        <v>1</v>
      </c>
      <c r="AM764" s="69">
        <f>SUM(AN764:AT764)</f>
        <v>0</v>
      </c>
      <c r="AN764" s="60"/>
      <c r="AO764" s="52"/>
      <c r="AP764" s="52"/>
      <c r="AQ764" s="52"/>
      <c r="AR764" s="52"/>
      <c r="AS764" s="52"/>
      <c r="AT764" s="61"/>
      <c r="AU764" s="54">
        <f>MAX(0,$AM764-$AC764-$AW764)</f>
        <v>0</v>
      </c>
      <c r="AV764" s="52"/>
      <c r="AW764" s="52"/>
      <c r="AX764" s="65">
        <v>0</v>
      </c>
      <c r="AY764" s="57">
        <f>IF(AND($AU764&gt;0,ISNUMBER($AX764)),$AU764*$AX764,0)</f>
        <v>0</v>
      </c>
      <c r="AZ764" s="46"/>
      <c r="BA764" s="52"/>
      <c r="BB764" s="52"/>
      <c r="BC764" s="52"/>
      <c r="BD764" s="52"/>
      <c r="BE764" s="52"/>
      <c r="BF764" s="52"/>
    </row>
    <row r="765" spans="1:58" ht="15" customHeight="1">
      <c r="A765" s="46" t="s">
        <v>1439</v>
      </c>
      <c r="B765" s="50" t="s">
        <v>4314</v>
      </c>
      <c r="C765" s="54" t="s">
        <v>101</v>
      </c>
      <c r="D765" s="74">
        <v>2</v>
      </c>
      <c r="E765" s="50" t="s">
        <v>81</v>
      </c>
      <c r="F765" s="50">
        <v>1</v>
      </c>
      <c r="G765" s="50">
        <v>1</v>
      </c>
      <c r="H765" s="51" t="s">
        <v>3852</v>
      </c>
      <c r="I765" s="50" t="s">
        <v>4315</v>
      </c>
      <c r="J765" s="54" t="s">
        <v>73</v>
      </c>
      <c r="K765" s="56" t="s">
        <v>92</v>
      </c>
      <c r="L765" s="56" t="s">
        <v>4316</v>
      </c>
      <c r="M765" s="56"/>
      <c r="N765" s="56"/>
      <c r="O765" s="54"/>
      <c r="P765" s="56" t="s">
        <v>76</v>
      </c>
      <c r="Q765" s="56" t="s">
        <v>1963</v>
      </c>
      <c r="R765" s="50"/>
      <c r="S765" s="50"/>
      <c r="T765" s="50"/>
      <c r="U765" s="50"/>
      <c r="V765" s="57">
        <v>0.26</v>
      </c>
      <c r="W765" s="68"/>
      <c r="X765" s="50"/>
      <c r="Y765" s="50"/>
      <c r="Z765" s="50"/>
      <c r="AA765" s="50"/>
      <c r="AB765" s="57"/>
      <c r="AC765" s="54">
        <v>1</v>
      </c>
      <c r="AD765" s="69">
        <f>SUM(AE765:AK765)</f>
        <v>1</v>
      </c>
      <c r="AE765" s="66"/>
      <c r="AF765" s="66">
        <v>1</v>
      </c>
      <c r="AG765" s="66"/>
      <c r="AH765" s="66"/>
      <c r="AI765" s="66"/>
      <c r="AJ765" s="66"/>
      <c r="AK765" s="66"/>
      <c r="AL765" s="54">
        <f>IF((AC765-SUM(AE765:AK765))&lt;0,0,AC765-SUM(AE765:AK765))</f>
        <v>0</v>
      </c>
      <c r="AM765" s="69">
        <f>SUM(AN765:AT765)</f>
        <v>1</v>
      </c>
      <c r="AN765" s="60"/>
      <c r="AO765" s="52"/>
      <c r="AP765" s="52"/>
      <c r="AQ765" s="52"/>
      <c r="AR765" s="52"/>
      <c r="AS765" s="52"/>
      <c r="AT765" s="61">
        <v>1</v>
      </c>
      <c r="AU765" s="54">
        <f>MAX(0,$AM765-$AC765-$AW765)</f>
        <v>0</v>
      </c>
      <c r="AV765" s="54"/>
      <c r="AW765" s="54"/>
      <c r="AX765" s="65">
        <v>0</v>
      </c>
      <c r="AY765" s="57">
        <f>IF(AND($AU765&gt;0,ISNUMBER($AX765)),$AU765*$AX765,0)</f>
        <v>0</v>
      </c>
      <c r="AZ765" s="46"/>
      <c r="BA765" s="52" t="s">
        <v>427</v>
      </c>
      <c r="BB765" s="52"/>
      <c r="BC765" s="52"/>
      <c r="BD765" s="52"/>
      <c r="BE765" s="52"/>
      <c r="BF765" s="52"/>
    </row>
    <row r="766" spans="1:58" ht="15" customHeight="1">
      <c r="A766" s="46" t="s">
        <v>4317</v>
      </c>
      <c r="B766" s="46" t="s">
        <v>4318</v>
      </c>
      <c r="C766" s="52" t="s">
        <v>70</v>
      </c>
      <c r="D766" s="75">
        <v>5</v>
      </c>
      <c r="E766" s="46" t="s">
        <v>81</v>
      </c>
      <c r="F766" s="50">
        <v>2</v>
      </c>
      <c r="G766" s="50">
        <v>5</v>
      </c>
      <c r="H766" s="51" t="s">
        <v>1578</v>
      </c>
      <c r="I766" s="50" t="s">
        <v>4319</v>
      </c>
      <c r="J766" s="52" t="s">
        <v>73</v>
      </c>
      <c r="K766" s="46" t="s">
        <v>84</v>
      </c>
      <c r="L766" s="50" t="s">
        <v>4320</v>
      </c>
      <c r="M766" s="50" t="s">
        <v>4321</v>
      </c>
      <c r="N766" s="50"/>
      <c r="O766" s="54"/>
      <c r="P766" s="55" t="s">
        <v>185</v>
      </c>
      <c r="Q766" s="46" t="s">
        <v>669</v>
      </c>
      <c r="R766" s="75" t="s">
        <v>4322</v>
      </c>
      <c r="S766" s="75">
        <v>1</v>
      </c>
      <c r="T766" s="75">
        <v>0</v>
      </c>
      <c r="U766" s="56"/>
      <c r="V766" s="57">
        <v>0.26</v>
      </c>
      <c r="W766" s="68"/>
      <c r="X766" s="46"/>
      <c r="Y766" s="46"/>
      <c r="Z766" s="46"/>
      <c r="AA766" s="56"/>
      <c r="AB766" s="57"/>
      <c r="AC766" s="54">
        <v>1</v>
      </c>
      <c r="AD766" s="69">
        <f>SUM(AE766:AK766)</f>
        <v>0</v>
      </c>
      <c r="AE766" s="66"/>
      <c r="AF766" s="66"/>
      <c r="AG766" s="66"/>
      <c r="AH766" s="66"/>
      <c r="AI766" s="66"/>
      <c r="AJ766" s="66"/>
      <c r="AK766" s="66"/>
      <c r="AL766" s="54">
        <f>IF((AC766-SUM(AE766:AK766))&lt;0,0,AC766-SUM(AE766:AK766))</f>
        <v>1</v>
      </c>
      <c r="AM766" s="69">
        <f>SUM(AN766:AT766)</f>
        <v>0</v>
      </c>
      <c r="AN766" s="60"/>
      <c r="AO766" s="52"/>
      <c r="AP766" s="52"/>
      <c r="AQ766" s="52"/>
      <c r="AR766" s="52"/>
      <c r="AS766" s="52"/>
      <c r="AT766" s="61"/>
      <c r="AU766" s="54">
        <f>MAX(0,$AM766-$AC766-$AW766)</f>
        <v>0</v>
      </c>
      <c r="AV766" s="52"/>
      <c r="AW766" s="52"/>
      <c r="AX766" s="65">
        <v>0</v>
      </c>
      <c r="AY766" s="57">
        <f>IF(AND($AU766&gt;0,ISNUMBER($AX766)),$AU766*$AX766,0)</f>
        <v>0</v>
      </c>
      <c r="AZ766" s="46"/>
      <c r="BA766" s="52"/>
      <c r="BB766" s="52"/>
      <c r="BC766" s="52"/>
      <c r="BD766" s="52"/>
      <c r="BE766" s="52"/>
      <c r="BF766" s="52"/>
    </row>
    <row r="767" spans="1:58" ht="15" customHeight="1">
      <c r="A767" s="46" t="s">
        <v>4323</v>
      </c>
      <c r="B767" s="50" t="s">
        <v>4324</v>
      </c>
      <c r="C767" s="54" t="s">
        <v>109</v>
      </c>
      <c r="D767" s="74">
        <v>2</v>
      </c>
      <c r="E767" s="50" t="s">
        <v>81</v>
      </c>
      <c r="F767" s="50">
        <v>2</v>
      </c>
      <c r="G767" s="50">
        <v>2</v>
      </c>
      <c r="H767" s="51" t="s">
        <v>1671</v>
      </c>
      <c r="I767" s="50" t="s">
        <v>4325</v>
      </c>
      <c r="J767" s="54" t="s">
        <v>73</v>
      </c>
      <c r="K767" s="56" t="s">
        <v>84</v>
      </c>
      <c r="L767" s="56" t="s">
        <v>4326</v>
      </c>
      <c r="M767" s="56" t="s">
        <v>4327</v>
      </c>
      <c r="N767" s="56"/>
      <c r="O767" s="54"/>
      <c r="P767" s="56" t="s">
        <v>185</v>
      </c>
      <c r="Q767" s="56" t="s">
        <v>669</v>
      </c>
      <c r="R767" s="50"/>
      <c r="S767" s="50"/>
      <c r="T767" s="50"/>
      <c r="U767" s="56"/>
      <c r="V767" s="57">
        <v>0.26</v>
      </c>
      <c r="W767" s="68"/>
      <c r="X767" s="50"/>
      <c r="Y767" s="50"/>
      <c r="Z767" s="50"/>
      <c r="AA767" s="56"/>
      <c r="AB767" s="57"/>
      <c r="AC767" s="54">
        <v>1</v>
      </c>
      <c r="AD767" s="69">
        <f>SUM(AE767:AK767)</f>
        <v>0</v>
      </c>
      <c r="AE767" s="66"/>
      <c r="AF767" s="66"/>
      <c r="AG767" s="66"/>
      <c r="AH767" s="66"/>
      <c r="AI767" s="66"/>
      <c r="AJ767" s="66"/>
      <c r="AK767" s="66"/>
      <c r="AL767" s="54">
        <f>IF((AC767-SUM(AE767:AK767))&lt;0,0,AC767-SUM(AE767:AK767))</f>
        <v>1</v>
      </c>
      <c r="AM767" s="69">
        <f>SUM(AN767:AT767)</f>
        <v>0</v>
      </c>
      <c r="AN767" s="60"/>
      <c r="AO767" s="52"/>
      <c r="AP767" s="52"/>
      <c r="AQ767" s="52"/>
      <c r="AR767" s="52"/>
      <c r="AS767" s="52"/>
      <c r="AT767" s="61"/>
      <c r="AU767" s="54">
        <f>MAX(0,$AM767-$AC767-$AW767)</f>
        <v>0</v>
      </c>
      <c r="AV767" s="54"/>
      <c r="AW767" s="54"/>
      <c r="AX767" s="65">
        <v>0</v>
      </c>
      <c r="AY767" s="57">
        <f>IF(AND($AU767&gt;0,ISNUMBER($AX767)),$AU767*$AX767,0)</f>
        <v>0</v>
      </c>
      <c r="AZ767" s="46"/>
      <c r="BA767" s="52"/>
      <c r="BB767" s="52"/>
      <c r="BC767" s="52"/>
      <c r="BD767" s="52"/>
      <c r="BE767" s="52"/>
      <c r="BF767" s="52"/>
    </row>
    <row r="768" spans="1:58" ht="15" customHeight="1">
      <c r="A768" s="46" t="s">
        <v>4328</v>
      </c>
      <c r="B768" s="50" t="s">
        <v>4329</v>
      </c>
      <c r="C768" s="54" t="s">
        <v>118</v>
      </c>
      <c r="D768" s="74">
        <v>2</v>
      </c>
      <c r="E768" s="50" t="s">
        <v>189</v>
      </c>
      <c r="F768" s="50"/>
      <c r="G768" s="50"/>
      <c r="H768" s="51"/>
      <c r="I768" s="50" t="s">
        <v>4330</v>
      </c>
      <c r="J768" s="54" t="s">
        <v>73</v>
      </c>
      <c r="K768" s="56" t="s">
        <v>135</v>
      </c>
      <c r="L768" s="56" t="s">
        <v>4331</v>
      </c>
      <c r="M768" s="56" t="s">
        <v>4332</v>
      </c>
      <c r="N768" s="56"/>
      <c r="O768" s="54"/>
      <c r="P768" s="56" t="s">
        <v>76</v>
      </c>
      <c r="Q768" s="56" t="s">
        <v>528</v>
      </c>
      <c r="R768" s="50"/>
      <c r="S768" s="50"/>
      <c r="T768" s="50"/>
      <c r="U768" s="50"/>
      <c r="V768" s="57">
        <v>0.26</v>
      </c>
      <c r="W768" s="68"/>
      <c r="X768" s="50"/>
      <c r="Y768" s="50"/>
      <c r="Z768" s="50"/>
      <c r="AA768" s="50"/>
      <c r="AB768" s="57"/>
      <c r="AC768" s="54">
        <v>1</v>
      </c>
      <c r="AD768" s="69">
        <f>SUM(AE768:AK768)</f>
        <v>1</v>
      </c>
      <c r="AE768" s="66"/>
      <c r="AF768" s="66"/>
      <c r="AG768" s="66"/>
      <c r="AH768" s="66">
        <v>1</v>
      </c>
      <c r="AI768" s="66"/>
      <c r="AJ768" s="66"/>
      <c r="AK768" s="66"/>
      <c r="AL768" s="54">
        <f>IF((AC768-SUM(AE768:AK768))&lt;0,0,AC768-SUM(AE768:AK768))</f>
        <v>0</v>
      </c>
      <c r="AM768" s="69">
        <f>SUM(AN768:AT768)</f>
        <v>0</v>
      </c>
      <c r="AN768" s="60"/>
      <c r="AO768" s="52"/>
      <c r="AP768" s="52"/>
      <c r="AQ768" s="52"/>
      <c r="AR768" s="52"/>
      <c r="AS768" s="52"/>
      <c r="AT768" s="61"/>
      <c r="AU768" s="54">
        <f>MAX(0,$AM768-$AC768-$AW768)</f>
        <v>0</v>
      </c>
      <c r="AV768" s="54"/>
      <c r="AW768" s="54"/>
      <c r="AX768" s="65">
        <v>0</v>
      </c>
      <c r="AY768" s="57">
        <f>IF(AND($AU768&gt;0,ISNUMBER($AX768)),$AU768*$AX768,0)</f>
        <v>0</v>
      </c>
      <c r="AZ768" s="46"/>
      <c r="BA768" s="52"/>
      <c r="BB768" s="52"/>
      <c r="BC768" s="52" t="s">
        <v>557</v>
      </c>
      <c r="BD768" s="52"/>
      <c r="BE768" s="52"/>
      <c r="BF768" s="52"/>
    </row>
    <row r="769" spans="1:58" ht="15" customHeight="1">
      <c r="A769" s="46" t="s">
        <v>4333</v>
      </c>
      <c r="B769" s="50" t="s">
        <v>4334</v>
      </c>
      <c r="C769" s="54" t="s">
        <v>118</v>
      </c>
      <c r="D769" s="74">
        <v>3</v>
      </c>
      <c r="E769" s="50" t="s">
        <v>189</v>
      </c>
      <c r="F769" s="50"/>
      <c r="G769" s="50"/>
      <c r="H769" s="51"/>
      <c r="I769" s="50" t="s">
        <v>4335</v>
      </c>
      <c r="J769" s="54" t="s">
        <v>73</v>
      </c>
      <c r="K769" s="56" t="s">
        <v>135</v>
      </c>
      <c r="L769" s="56" t="s">
        <v>4336</v>
      </c>
      <c r="M769" s="56"/>
      <c r="N769" s="56"/>
      <c r="O769" s="54"/>
      <c r="P769" s="56" t="s">
        <v>76</v>
      </c>
      <c r="Q769" s="56" t="s">
        <v>405</v>
      </c>
      <c r="R769" s="50"/>
      <c r="S769" s="50"/>
      <c r="T769" s="50"/>
      <c r="U769" s="56"/>
      <c r="V769" s="57">
        <v>0.26</v>
      </c>
      <c r="W769" s="68"/>
      <c r="X769" s="50"/>
      <c r="Y769" s="50"/>
      <c r="Z769" s="50"/>
      <c r="AA769" s="56"/>
      <c r="AB769" s="57"/>
      <c r="AC769" s="54">
        <v>1</v>
      </c>
      <c r="AD769" s="69">
        <f>SUM(AE769:AK769)</f>
        <v>0</v>
      </c>
      <c r="AE769" s="66"/>
      <c r="AF769" s="66"/>
      <c r="AG769" s="66"/>
      <c r="AH769" s="66"/>
      <c r="AI769" s="66"/>
      <c r="AJ769" s="66"/>
      <c r="AK769" s="66"/>
      <c r="AL769" s="54">
        <f>IF((AC769-SUM(AE769:AK769))&lt;0,0,AC769-SUM(AE769:AK769))</f>
        <v>1</v>
      </c>
      <c r="AM769" s="69">
        <f>SUM(AN769:AT769)</f>
        <v>0</v>
      </c>
      <c r="AN769" s="60"/>
      <c r="AO769" s="52"/>
      <c r="AP769" s="52"/>
      <c r="AQ769" s="52"/>
      <c r="AR769" s="52"/>
      <c r="AS769" s="52"/>
      <c r="AT769" s="61"/>
      <c r="AU769" s="54">
        <f>MAX(0,$AM769-$AC769-$AW769)</f>
        <v>0</v>
      </c>
      <c r="AV769" s="54"/>
      <c r="AW769" s="54"/>
      <c r="AX769" s="65">
        <v>0</v>
      </c>
      <c r="AY769" s="57">
        <f>IF(AND($AU769&gt;0,ISNUMBER($AX769)),$AU769*$AX769,0)</f>
        <v>0</v>
      </c>
      <c r="AZ769" s="46"/>
      <c r="BA769" s="52"/>
      <c r="BB769" s="52"/>
      <c r="BC769" s="52"/>
      <c r="BD769" s="52"/>
      <c r="BE769" s="52"/>
      <c r="BF769" s="52"/>
    </row>
    <row r="770" spans="1:58" ht="15" customHeight="1">
      <c r="A770" s="46" t="s">
        <v>4337</v>
      </c>
      <c r="B770" s="50" t="s">
        <v>4338</v>
      </c>
      <c r="C770" s="54" t="s">
        <v>70</v>
      </c>
      <c r="D770" s="74">
        <v>1</v>
      </c>
      <c r="E770" s="50" t="s">
        <v>81</v>
      </c>
      <c r="F770" s="50">
        <v>2</v>
      </c>
      <c r="G770" s="50">
        <v>1</v>
      </c>
      <c r="H770" s="51" t="s">
        <v>1683</v>
      </c>
      <c r="I770" s="50" t="s">
        <v>4339</v>
      </c>
      <c r="J770" s="54" t="s">
        <v>73</v>
      </c>
      <c r="K770" s="56" t="s">
        <v>705</v>
      </c>
      <c r="L770" s="56" t="s">
        <v>4340</v>
      </c>
      <c r="M770" s="56" t="s">
        <v>4341</v>
      </c>
      <c r="N770" s="56"/>
      <c r="O770" s="54"/>
      <c r="P770" s="56" t="s">
        <v>185</v>
      </c>
      <c r="Q770" s="56" t="s">
        <v>633</v>
      </c>
      <c r="R770" s="50"/>
      <c r="S770" s="50"/>
      <c r="T770" s="50"/>
      <c r="U770" s="56"/>
      <c r="V770" s="57">
        <v>0.25</v>
      </c>
      <c r="W770" s="68"/>
      <c r="X770" s="50"/>
      <c r="Y770" s="50"/>
      <c r="Z770" s="50"/>
      <c r="AA770" s="56"/>
      <c r="AB770" s="57"/>
      <c r="AC770" s="54">
        <v>1</v>
      </c>
      <c r="AD770" s="69">
        <f>SUM(AE770:AK770)</f>
        <v>0</v>
      </c>
      <c r="AE770" s="66"/>
      <c r="AF770" s="66"/>
      <c r="AG770" s="66"/>
      <c r="AH770" s="66"/>
      <c r="AI770" s="66"/>
      <c r="AJ770" s="66"/>
      <c r="AK770" s="66"/>
      <c r="AL770" s="54">
        <f>IF((AC770-SUM(AE770:AK770))&lt;0,0,AC770-SUM(AE770:AK770))</f>
        <v>1</v>
      </c>
      <c r="AM770" s="69">
        <f>SUM(AN770:AT770)</f>
        <v>0</v>
      </c>
      <c r="AN770" s="60"/>
      <c r="AO770" s="52"/>
      <c r="AP770" s="52"/>
      <c r="AQ770" s="52"/>
      <c r="AR770" s="52"/>
      <c r="AS770" s="52"/>
      <c r="AT770" s="61"/>
      <c r="AU770" s="54">
        <f>MAX(0,$AM770-$AC770-$AW770)</f>
        <v>0</v>
      </c>
      <c r="AV770" s="54"/>
      <c r="AW770" s="54"/>
      <c r="AX770" s="65">
        <v>0</v>
      </c>
      <c r="AY770" s="57">
        <f>IF(AND($AU770&gt;0,ISNUMBER($AX770)),$AU770*$AX770,0)</f>
        <v>0</v>
      </c>
      <c r="AZ770" s="46"/>
      <c r="BA770" s="52"/>
      <c r="BB770" s="52"/>
      <c r="BC770" s="52"/>
      <c r="BD770" s="52"/>
      <c r="BE770" s="52"/>
      <c r="BF770" s="52"/>
    </row>
    <row r="771" spans="1:58" ht="15" customHeight="1">
      <c r="A771" s="46" t="s">
        <v>4342</v>
      </c>
      <c r="B771" s="46" t="s">
        <v>4343</v>
      </c>
      <c r="C771" s="52" t="s">
        <v>109</v>
      </c>
      <c r="D771" s="75">
        <v>3</v>
      </c>
      <c r="E771" s="46" t="s">
        <v>81</v>
      </c>
      <c r="F771" s="50">
        <v>2</v>
      </c>
      <c r="G771" s="50">
        <v>3</v>
      </c>
      <c r="H771" s="51" t="s">
        <v>4344</v>
      </c>
      <c r="I771" s="50" t="s">
        <v>4345</v>
      </c>
      <c r="J771" s="52" t="s">
        <v>73</v>
      </c>
      <c r="K771" s="46" t="s">
        <v>661</v>
      </c>
      <c r="L771" s="50" t="s">
        <v>4346</v>
      </c>
      <c r="M771" s="50" t="s">
        <v>4347</v>
      </c>
      <c r="N771" s="50"/>
      <c r="O771" s="54"/>
      <c r="P771" s="55" t="s">
        <v>76</v>
      </c>
      <c r="Q771" s="46" t="s">
        <v>645</v>
      </c>
      <c r="R771" s="75" t="s">
        <v>4348</v>
      </c>
      <c r="S771" s="75">
        <v>1</v>
      </c>
      <c r="T771" s="75">
        <v>0</v>
      </c>
      <c r="U771" s="56" t="s">
        <v>1555</v>
      </c>
      <c r="V771" s="57">
        <v>0.25</v>
      </c>
      <c r="W771" s="68"/>
      <c r="X771" s="46"/>
      <c r="Y771" s="46"/>
      <c r="Z771" s="46"/>
      <c r="AA771" s="56"/>
      <c r="AB771" s="57"/>
      <c r="AC771" s="54">
        <v>1</v>
      </c>
      <c r="AD771" s="69">
        <f>SUM(AE771:AK771)</f>
        <v>0</v>
      </c>
      <c r="AE771" s="66"/>
      <c r="AF771" s="66"/>
      <c r="AG771" s="66"/>
      <c r="AH771" s="66"/>
      <c r="AI771" s="66"/>
      <c r="AJ771" s="66"/>
      <c r="AK771" s="66"/>
      <c r="AL771" s="54">
        <f>IF((AC771-SUM(AE771:AK771))&lt;0,0,AC771-SUM(AE771:AK771))</f>
        <v>1</v>
      </c>
      <c r="AM771" s="69">
        <f>SUM(AN771:AT771)</f>
        <v>0</v>
      </c>
      <c r="AN771" s="60"/>
      <c r="AO771" s="52"/>
      <c r="AP771" s="52"/>
      <c r="AQ771" s="52"/>
      <c r="AR771" s="52"/>
      <c r="AS771" s="52"/>
      <c r="AT771" s="61"/>
      <c r="AU771" s="54">
        <f>MAX(0,$AM771-$AC771-$AW771)</f>
        <v>0</v>
      </c>
      <c r="AV771" s="52"/>
      <c r="AW771" s="52"/>
      <c r="AX771" s="65">
        <v>0</v>
      </c>
      <c r="AY771" s="57">
        <f>IF(AND($AU771&gt;0,ISNUMBER($AX771)),$AU771*$AX771,0)</f>
        <v>0</v>
      </c>
      <c r="AZ771" s="46"/>
      <c r="BA771" s="52"/>
      <c r="BB771" s="52"/>
      <c r="BC771" s="52"/>
      <c r="BD771" s="52"/>
      <c r="BE771" s="52"/>
      <c r="BF771" s="52"/>
    </row>
    <row r="772" spans="1:58" ht="15" customHeight="1">
      <c r="A772" s="46" t="s">
        <v>4349</v>
      </c>
      <c r="B772" s="50" t="s">
        <v>4350</v>
      </c>
      <c r="C772" s="54" t="s">
        <v>311</v>
      </c>
      <c r="D772" s="74">
        <v>0</v>
      </c>
      <c r="E772" s="50" t="s">
        <v>312</v>
      </c>
      <c r="F772" s="50"/>
      <c r="G772" s="50"/>
      <c r="H772" s="51"/>
      <c r="I772" s="50" t="s">
        <v>4351</v>
      </c>
      <c r="J772" s="54" t="s">
        <v>73</v>
      </c>
      <c r="K772" s="56" t="s">
        <v>312</v>
      </c>
      <c r="L772" s="56" t="s">
        <v>632</v>
      </c>
      <c r="M772" s="56" t="s">
        <v>4352</v>
      </c>
      <c r="N772" s="56"/>
      <c r="O772" s="54"/>
      <c r="P772" s="56" t="s">
        <v>86</v>
      </c>
      <c r="Q772" s="56" t="s">
        <v>229</v>
      </c>
      <c r="R772" s="50"/>
      <c r="S772" s="50"/>
      <c r="T772" s="50"/>
      <c r="U772" s="50"/>
      <c r="V772" s="57">
        <v>0.25</v>
      </c>
      <c r="W772" s="68"/>
      <c r="X772" s="50"/>
      <c r="Y772" s="50"/>
      <c r="Z772" s="50"/>
      <c r="AA772" s="50"/>
      <c r="AB772" s="57"/>
      <c r="AC772" s="54">
        <v>1</v>
      </c>
      <c r="AD772" s="69">
        <f>SUM(AE772:AK772)</f>
        <v>1</v>
      </c>
      <c r="AE772" s="66"/>
      <c r="AF772" s="66"/>
      <c r="AG772" s="66"/>
      <c r="AH772" s="66"/>
      <c r="AI772" s="66">
        <v>1</v>
      </c>
      <c r="AJ772" s="66"/>
      <c r="AK772" s="66"/>
      <c r="AL772" s="54">
        <f>IF((AC772-SUM(AE772:AK772))&lt;0,0,AC772-SUM(AE772:AK772))</f>
        <v>0</v>
      </c>
      <c r="AM772" s="69">
        <f>SUM(AN772:AT772)</f>
        <v>1</v>
      </c>
      <c r="AN772" s="60"/>
      <c r="AO772" s="52"/>
      <c r="AP772" s="52"/>
      <c r="AQ772" s="52"/>
      <c r="AR772" s="52">
        <v>1</v>
      </c>
      <c r="AS772" s="52"/>
      <c r="AT772" s="61"/>
      <c r="AU772" s="54">
        <f>MAX(0,$AM772-$AC772-$AW772)</f>
        <v>0</v>
      </c>
      <c r="AV772" s="54"/>
      <c r="AW772" s="54"/>
      <c r="AX772" s="65">
        <v>0</v>
      </c>
      <c r="AY772" s="57">
        <f>IF(AND($AU772&gt;0,ISNUMBER($AX772)),$AU772*$AX772,0)</f>
        <v>0</v>
      </c>
      <c r="AZ772" s="46"/>
      <c r="BA772" s="52"/>
      <c r="BB772" s="52"/>
      <c r="BC772" s="52"/>
      <c r="BD772" s="52"/>
      <c r="BE772" s="52"/>
      <c r="BF772" s="52"/>
    </row>
    <row r="773" spans="1:58" ht="15" customHeight="1">
      <c r="A773" s="46" t="s">
        <v>4353</v>
      </c>
      <c r="B773" s="46" t="s">
        <v>4354</v>
      </c>
      <c r="C773" s="52" t="s">
        <v>101</v>
      </c>
      <c r="D773" s="75">
        <v>2</v>
      </c>
      <c r="E773" s="46" t="s">
        <v>81</v>
      </c>
      <c r="F773" s="50">
        <v>0</v>
      </c>
      <c r="G773" s="50">
        <v>4</v>
      </c>
      <c r="H773" s="51" t="s">
        <v>3516</v>
      </c>
      <c r="I773" s="50" t="s">
        <v>4355</v>
      </c>
      <c r="J773" s="52" t="s">
        <v>73</v>
      </c>
      <c r="K773" s="46" t="s">
        <v>104</v>
      </c>
      <c r="L773" s="50" t="s">
        <v>1943</v>
      </c>
      <c r="M773" s="50" t="s">
        <v>4356</v>
      </c>
      <c r="N773" s="50"/>
      <c r="O773" s="54"/>
      <c r="P773" s="55" t="s">
        <v>76</v>
      </c>
      <c r="Q773" s="46" t="s">
        <v>669</v>
      </c>
      <c r="R773" s="75" t="s">
        <v>757</v>
      </c>
      <c r="S773" s="75">
        <v>1</v>
      </c>
      <c r="T773" s="75">
        <v>0</v>
      </c>
      <c r="U773" s="56"/>
      <c r="V773" s="57">
        <v>0.25</v>
      </c>
      <c r="W773" s="68"/>
      <c r="X773" s="46"/>
      <c r="Y773" s="46"/>
      <c r="Z773" s="46"/>
      <c r="AA773" s="56"/>
      <c r="AB773" s="57"/>
      <c r="AC773" s="54">
        <v>1</v>
      </c>
      <c r="AD773" s="69">
        <f>SUM(AE773:AK773)</f>
        <v>1</v>
      </c>
      <c r="AE773" s="66"/>
      <c r="AF773" s="66"/>
      <c r="AG773" s="66"/>
      <c r="AH773" s="66">
        <v>1</v>
      </c>
      <c r="AI773" s="66"/>
      <c r="AJ773" s="66"/>
      <c r="AK773" s="66"/>
      <c r="AL773" s="54">
        <f>IF((AC773-SUM(AE773:AK773))&lt;0,0,AC773-SUM(AE773:AK773))</f>
        <v>0</v>
      </c>
      <c r="AM773" s="69">
        <f>SUM(AN773:AT773)</f>
        <v>1</v>
      </c>
      <c r="AN773" s="60"/>
      <c r="AO773" s="52"/>
      <c r="AP773" s="52"/>
      <c r="AQ773" s="52">
        <v>1</v>
      </c>
      <c r="AR773" s="52"/>
      <c r="AS773" s="52"/>
      <c r="AT773" s="61"/>
      <c r="AU773" s="54">
        <f>MAX(0,$AM773-$AC773-$AW773)</f>
        <v>0</v>
      </c>
      <c r="AV773" s="52"/>
      <c r="AW773" s="52"/>
      <c r="AX773" s="65">
        <v>0</v>
      </c>
      <c r="AY773" s="57">
        <f>IF(AND($AU773&gt;0,ISNUMBER($AX773)),$AU773*$AX773,0)</f>
        <v>0</v>
      </c>
      <c r="AZ773" s="46"/>
      <c r="BA773" s="52"/>
      <c r="BB773" s="52"/>
      <c r="BC773" s="52"/>
      <c r="BD773" s="52"/>
      <c r="BE773" s="52"/>
      <c r="BF773" s="52"/>
    </row>
    <row r="774" spans="1:58" ht="15" customHeight="1">
      <c r="A774" s="46" t="s">
        <v>4357</v>
      </c>
      <c r="B774" s="50" t="s">
        <v>4358</v>
      </c>
      <c r="C774" s="54" t="s">
        <v>118</v>
      </c>
      <c r="D774" s="74">
        <v>1</v>
      </c>
      <c r="E774" s="50" t="s">
        <v>110</v>
      </c>
      <c r="F774" s="50">
        <v>0</v>
      </c>
      <c r="G774" s="50">
        <v>1</v>
      </c>
      <c r="H774" s="51" t="s">
        <v>1232</v>
      </c>
      <c r="I774" s="50" t="s">
        <v>4359</v>
      </c>
      <c r="J774" s="54" t="s">
        <v>73</v>
      </c>
      <c r="K774" s="56" t="s">
        <v>247</v>
      </c>
      <c r="L774" s="56" t="s">
        <v>4360</v>
      </c>
      <c r="M774" s="56" t="s">
        <v>4361</v>
      </c>
      <c r="N774" s="56"/>
      <c r="O774" s="56">
        <v>2547</v>
      </c>
      <c r="P774" s="56" t="s">
        <v>185</v>
      </c>
      <c r="Q774" s="56" t="s">
        <v>1063</v>
      </c>
      <c r="R774" s="50"/>
      <c r="S774" s="50"/>
      <c r="T774" s="50"/>
      <c r="U774" s="50"/>
      <c r="V774" s="57">
        <v>0.25</v>
      </c>
      <c r="W774" s="68"/>
      <c r="X774" s="50"/>
      <c r="Y774" s="50"/>
      <c r="Z774" s="50"/>
      <c r="AA774" s="50"/>
      <c r="AB774" s="57"/>
      <c r="AC774" s="54">
        <v>1</v>
      </c>
      <c r="AD774" s="69">
        <f>SUM(AE774:AK774)</f>
        <v>1</v>
      </c>
      <c r="AE774" s="66"/>
      <c r="AF774" s="66"/>
      <c r="AG774" s="66"/>
      <c r="AH774" s="66"/>
      <c r="AI774" s="66">
        <v>1</v>
      </c>
      <c r="AJ774" s="66"/>
      <c r="AK774" s="66"/>
      <c r="AL774" s="54">
        <f>IF((AC774-SUM(AE774:AK774))&lt;0,0,AC774-SUM(AE774:AK774))</f>
        <v>0</v>
      </c>
      <c r="AM774" s="69">
        <f>SUM(AN774:AT774)</f>
        <v>0</v>
      </c>
      <c r="AN774" s="60"/>
      <c r="AO774" s="52"/>
      <c r="AP774" s="52"/>
      <c r="AQ774" s="52"/>
      <c r="AR774" s="52"/>
      <c r="AS774" s="52"/>
      <c r="AT774" s="61"/>
      <c r="AU774" s="54">
        <f>MAX(0,$AM774-$AC774-$AW774)</f>
        <v>0</v>
      </c>
      <c r="AV774" s="54"/>
      <c r="AW774" s="54"/>
      <c r="AX774" s="65">
        <v>0</v>
      </c>
      <c r="AY774" s="57">
        <f>IF(AND($AU774&gt;0,ISNUMBER($AX774)),$AU774*$AX774,0)</f>
        <v>0</v>
      </c>
      <c r="AZ774" s="46"/>
      <c r="BA774" s="52"/>
      <c r="BB774" s="52"/>
      <c r="BC774" s="52"/>
      <c r="BD774" s="52" t="s">
        <v>499</v>
      </c>
      <c r="BE774" s="52"/>
      <c r="BF774" s="52"/>
    </row>
    <row r="775" spans="1:58" ht="15" customHeight="1">
      <c r="A775" s="46" t="s">
        <v>4362</v>
      </c>
      <c r="B775" s="50" t="s">
        <v>4363</v>
      </c>
      <c r="C775" s="54" t="s">
        <v>109</v>
      </c>
      <c r="D775" s="74">
        <v>2</v>
      </c>
      <c r="E775" s="50" t="s">
        <v>233</v>
      </c>
      <c r="F775" s="50">
        <v>3</v>
      </c>
      <c r="G775" s="50">
        <v>2</v>
      </c>
      <c r="H775" s="51" t="s">
        <v>2473</v>
      </c>
      <c r="I775" s="50" t="s">
        <v>4364</v>
      </c>
      <c r="J775" s="54" t="s">
        <v>73</v>
      </c>
      <c r="K775" s="56" t="s">
        <v>129</v>
      </c>
      <c r="L775" s="56" t="s">
        <v>4365</v>
      </c>
      <c r="M775" s="56" t="s">
        <v>4366</v>
      </c>
      <c r="N775" s="56"/>
      <c r="O775" s="54"/>
      <c r="P775" s="56" t="s">
        <v>185</v>
      </c>
      <c r="Q775" s="56" t="s">
        <v>4058</v>
      </c>
      <c r="R775" s="74" t="s">
        <v>4367</v>
      </c>
      <c r="S775" s="74">
        <v>1</v>
      </c>
      <c r="T775" s="74">
        <v>1</v>
      </c>
      <c r="U775" s="56" t="s">
        <v>4368</v>
      </c>
      <c r="V775" s="57">
        <v>0.25</v>
      </c>
      <c r="W775" s="68"/>
      <c r="X775" s="50"/>
      <c r="Y775" s="50"/>
      <c r="Z775" s="50"/>
      <c r="AA775" s="56"/>
      <c r="AB775" s="57"/>
      <c r="AC775" s="54">
        <v>1</v>
      </c>
      <c r="AD775" s="69">
        <f>SUM(AE775:AK775)</f>
        <v>0</v>
      </c>
      <c r="AE775" s="66"/>
      <c r="AF775" s="66"/>
      <c r="AG775" s="66"/>
      <c r="AH775" s="66"/>
      <c r="AI775" s="66"/>
      <c r="AJ775" s="66"/>
      <c r="AK775" s="66"/>
      <c r="AL775" s="54">
        <f>IF((AC775-SUM(AE775:AK775))&lt;0,0,AC775-SUM(AE775:AK775))</f>
        <v>1</v>
      </c>
      <c r="AM775" s="69">
        <f>SUM(AN775:AT775)</f>
        <v>0</v>
      </c>
      <c r="AN775" s="60"/>
      <c r="AO775" s="52"/>
      <c r="AP775" s="52"/>
      <c r="AQ775" s="52"/>
      <c r="AR775" s="52"/>
      <c r="AS775" s="52"/>
      <c r="AT775" s="61"/>
      <c r="AU775" s="54">
        <f>MAX(0,$AM775-$AC775-$AW775)</f>
        <v>0</v>
      </c>
      <c r="AV775" s="54"/>
      <c r="AW775" s="54"/>
      <c r="AX775" s="65">
        <v>0</v>
      </c>
      <c r="AY775" s="57">
        <f>IF(AND($AU775&gt;0,ISNUMBER($AX775)),$AU775*$AX775,0)</f>
        <v>0</v>
      </c>
      <c r="AZ775" s="46"/>
      <c r="BA775" s="52"/>
      <c r="BB775" s="52"/>
      <c r="BC775" s="52"/>
      <c r="BD775" s="52"/>
      <c r="BE775" s="52"/>
      <c r="BF775" s="52"/>
    </row>
    <row r="776" spans="1:58" ht="15" customHeight="1">
      <c r="A776" s="46" t="s">
        <v>4369</v>
      </c>
      <c r="B776" s="50" t="s">
        <v>4370</v>
      </c>
      <c r="C776" s="54" t="s">
        <v>109</v>
      </c>
      <c r="D776" s="74">
        <v>7</v>
      </c>
      <c r="E776" s="50" t="s">
        <v>81</v>
      </c>
      <c r="F776" s="50">
        <v>4</v>
      </c>
      <c r="G776" s="50">
        <v>6</v>
      </c>
      <c r="H776" s="51" t="s">
        <v>2717</v>
      </c>
      <c r="I776" s="50" t="s">
        <v>4371</v>
      </c>
      <c r="J776" s="54" t="s">
        <v>73</v>
      </c>
      <c r="K776" s="56" t="s">
        <v>676</v>
      </c>
      <c r="L776" s="56" t="s">
        <v>4372</v>
      </c>
      <c r="M776" s="56"/>
      <c r="N776" s="56"/>
      <c r="O776" s="54"/>
      <c r="P776" s="56" t="s">
        <v>185</v>
      </c>
      <c r="Q776" s="56" t="s">
        <v>509</v>
      </c>
      <c r="R776" s="50"/>
      <c r="S776" s="50"/>
      <c r="T776" s="50"/>
      <c r="U776" s="50"/>
      <c r="V776" s="57">
        <v>0.25</v>
      </c>
      <c r="W776" s="68"/>
      <c r="X776" s="50"/>
      <c r="Y776" s="50"/>
      <c r="Z776" s="50"/>
      <c r="AA776" s="50"/>
      <c r="AB776" s="57"/>
      <c r="AC776" s="54">
        <v>1</v>
      </c>
      <c r="AD776" s="69">
        <f>SUM(AE776:AK776)</f>
        <v>1</v>
      </c>
      <c r="AE776" s="66"/>
      <c r="AF776" s="66"/>
      <c r="AG776" s="66"/>
      <c r="AH776" s="66">
        <v>1</v>
      </c>
      <c r="AI776" s="66"/>
      <c r="AJ776" s="66"/>
      <c r="AK776" s="66"/>
      <c r="AL776" s="54">
        <f>IF((AC776-SUM(AE776:AK776))&lt;0,0,AC776-SUM(AE776:AK776))</f>
        <v>0</v>
      </c>
      <c r="AM776" s="69">
        <f>SUM(AN776:AT776)</f>
        <v>0</v>
      </c>
      <c r="AN776" s="60"/>
      <c r="AO776" s="52"/>
      <c r="AP776" s="52"/>
      <c r="AQ776" s="52"/>
      <c r="AR776" s="52"/>
      <c r="AS776" s="52"/>
      <c r="AT776" s="61"/>
      <c r="AU776" s="54">
        <f>MAX(0,$AM776-$AC776-$AW776)</f>
        <v>0</v>
      </c>
      <c r="AV776" s="54"/>
      <c r="AW776" s="54"/>
      <c r="AX776" s="65">
        <v>0</v>
      </c>
      <c r="AY776" s="57">
        <f>IF(AND($AU776&gt;0,ISNUMBER($AX776)),$AU776*$AX776,0)</f>
        <v>0</v>
      </c>
      <c r="AZ776" s="46"/>
      <c r="BA776" s="52"/>
      <c r="BB776" s="52"/>
      <c r="BC776" s="52" t="s">
        <v>4106</v>
      </c>
      <c r="BD776" s="52"/>
      <c r="BE776" s="52"/>
      <c r="BF776" s="52"/>
    </row>
    <row r="777" spans="1:58" ht="15" customHeight="1">
      <c r="A777" s="46" t="s">
        <v>4373</v>
      </c>
      <c r="B777" s="50" t="s">
        <v>4374</v>
      </c>
      <c r="C777" s="54" t="s">
        <v>118</v>
      </c>
      <c r="D777" s="74">
        <v>2</v>
      </c>
      <c r="E777" s="50" t="s">
        <v>81</v>
      </c>
      <c r="F777" s="50">
        <v>3</v>
      </c>
      <c r="G777" s="50">
        <v>1</v>
      </c>
      <c r="H777" s="51" t="s">
        <v>1232</v>
      </c>
      <c r="I777" s="50" t="s">
        <v>4375</v>
      </c>
      <c r="J777" s="54" t="s">
        <v>73</v>
      </c>
      <c r="K777" s="56" t="s">
        <v>726</v>
      </c>
      <c r="L777" s="56" t="s">
        <v>4376</v>
      </c>
      <c r="M777" s="56"/>
      <c r="N777" s="56"/>
      <c r="O777" s="54"/>
      <c r="P777" s="56" t="s">
        <v>76</v>
      </c>
      <c r="Q777" s="56" t="s">
        <v>575</v>
      </c>
      <c r="R777" s="50"/>
      <c r="S777" s="50"/>
      <c r="T777" s="50"/>
      <c r="U777" s="56"/>
      <c r="V777" s="57">
        <v>0.24</v>
      </c>
      <c r="W777" s="68"/>
      <c r="X777" s="50"/>
      <c r="Y777" s="50"/>
      <c r="Z777" s="50"/>
      <c r="AA777" s="56"/>
      <c r="AB777" s="57"/>
      <c r="AC777" s="54">
        <v>1</v>
      </c>
      <c r="AD777" s="69">
        <f>SUM(AE777:AK777)</f>
        <v>0</v>
      </c>
      <c r="AE777" s="66"/>
      <c r="AF777" s="66"/>
      <c r="AG777" s="66"/>
      <c r="AH777" s="66"/>
      <c r="AI777" s="66"/>
      <c r="AJ777" s="66"/>
      <c r="AK777" s="66"/>
      <c r="AL777" s="54">
        <f>IF((AC777-SUM(AE777:AK777))&lt;0,0,AC777-SUM(AE777:AK777))</f>
        <v>1</v>
      </c>
      <c r="AM777" s="69">
        <f>SUM(AN777:AT777)</f>
        <v>0</v>
      </c>
      <c r="AN777" s="60"/>
      <c r="AO777" s="52"/>
      <c r="AP777" s="52"/>
      <c r="AQ777" s="52"/>
      <c r="AR777" s="52"/>
      <c r="AS777" s="52"/>
      <c r="AT777" s="61"/>
      <c r="AU777" s="54">
        <f>MAX(0,$AM777-$AC777-$AW777)</f>
        <v>0</v>
      </c>
      <c r="AV777" s="54"/>
      <c r="AW777" s="54"/>
      <c r="AX777" s="65">
        <v>0</v>
      </c>
      <c r="AY777" s="57">
        <f>IF(AND($AU777&gt;0,ISNUMBER($AX777)),$AU777*$AX777,0)</f>
        <v>0</v>
      </c>
      <c r="AZ777" s="46"/>
      <c r="BA777" s="52"/>
      <c r="BB777" s="52"/>
      <c r="BC777" s="52"/>
      <c r="BD777" s="52"/>
      <c r="BE777" s="52"/>
      <c r="BF777" s="52"/>
    </row>
    <row r="778" spans="1:58" ht="15" customHeight="1">
      <c r="A778" s="46" t="s">
        <v>4377</v>
      </c>
      <c r="B778" s="50" t="s">
        <v>4378</v>
      </c>
      <c r="C778" s="54" t="s">
        <v>109</v>
      </c>
      <c r="D778" s="74">
        <v>2</v>
      </c>
      <c r="E778" s="50" t="s">
        <v>81</v>
      </c>
      <c r="F778" s="50">
        <v>1</v>
      </c>
      <c r="G778" s="50">
        <v>1</v>
      </c>
      <c r="H778" s="51" t="s">
        <v>4379</v>
      </c>
      <c r="I778" s="50" t="s">
        <v>4380</v>
      </c>
      <c r="J778" s="54" t="s">
        <v>73</v>
      </c>
      <c r="K778" s="56" t="s">
        <v>202</v>
      </c>
      <c r="L778" s="56" t="s">
        <v>4381</v>
      </c>
      <c r="M778" s="56"/>
      <c r="N778" s="56"/>
      <c r="O778" s="54"/>
      <c r="P778" s="56" t="s">
        <v>185</v>
      </c>
      <c r="Q778" s="56" t="s">
        <v>2386</v>
      </c>
      <c r="R778" s="50"/>
      <c r="S778" s="50"/>
      <c r="T778" s="50"/>
      <c r="U778" s="50"/>
      <c r="V778" s="57">
        <v>0.24</v>
      </c>
      <c r="W778" s="68"/>
      <c r="X778" s="50"/>
      <c r="Y778" s="50"/>
      <c r="Z778" s="50"/>
      <c r="AA778" s="50"/>
      <c r="AB778" s="57"/>
      <c r="AC778" s="54">
        <v>1</v>
      </c>
      <c r="AD778" s="69">
        <f>SUM(AE778:AK778)</f>
        <v>1</v>
      </c>
      <c r="AE778" s="66"/>
      <c r="AF778" s="66">
        <v>1</v>
      </c>
      <c r="AG778" s="66"/>
      <c r="AH778" s="66"/>
      <c r="AI778" s="66"/>
      <c r="AJ778" s="66"/>
      <c r="AK778" s="66"/>
      <c r="AL778" s="54">
        <f>IF((AC778-SUM(AE778:AK778))&lt;0,0,AC778-SUM(AE778:AK778))</f>
        <v>0</v>
      </c>
      <c r="AM778" s="69">
        <f>SUM(AN778:AT778)</f>
        <v>1</v>
      </c>
      <c r="AN778" s="60"/>
      <c r="AO778" s="52">
        <v>1</v>
      </c>
      <c r="AP778" s="52"/>
      <c r="AQ778" s="52"/>
      <c r="AR778" s="52"/>
      <c r="AS778" s="52"/>
      <c r="AT778" s="61"/>
      <c r="AU778" s="54">
        <f>MAX(0,$AM778-$AC778-$AW778)</f>
        <v>0</v>
      </c>
      <c r="AV778" s="54"/>
      <c r="AW778" s="54"/>
      <c r="AX778" s="65">
        <v>0</v>
      </c>
      <c r="AY778" s="57">
        <f>IF(AND($AU778&gt;0,ISNUMBER($AX778)),$AU778*$AX778,0)</f>
        <v>0</v>
      </c>
      <c r="AZ778" s="46"/>
      <c r="BA778" s="52"/>
      <c r="BB778" s="52"/>
      <c r="BC778" s="52"/>
      <c r="BD778" s="52"/>
      <c r="BE778" s="52"/>
      <c r="BF778" s="52"/>
    </row>
    <row r="779" spans="1:58" ht="15" customHeight="1">
      <c r="A779" s="46" t="s">
        <v>4382</v>
      </c>
      <c r="B779" s="50" t="s">
        <v>4383</v>
      </c>
      <c r="C779" s="54" t="s">
        <v>80</v>
      </c>
      <c r="D779" s="74">
        <v>2</v>
      </c>
      <c r="E779" s="50" t="s">
        <v>189</v>
      </c>
      <c r="F779" s="50"/>
      <c r="G779" s="50"/>
      <c r="H779" s="51"/>
      <c r="I779" s="50" t="s">
        <v>4384</v>
      </c>
      <c r="J779" s="54" t="s">
        <v>73</v>
      </c>
      <c r="K779" s="56" t="s">
        <v>202</v>
      </c>
      <c r="L779" s="56" t="s">
        <v>2678</v>
      </c>
      <c r="M779" s="56" t="s">
        <v>4385</v>
      </c>
      <c r="N779" s="56"/>
      <c r="O779" s="54"/>
      <c r="P779" s="56" t="s">
        <v>76</v>
      </c>
      <c r="Q779" s="56" t="s">
        <v>509</v>
      </c>
      <c r="R779" s="54"/>
      <c r="S779" s="54"/>
      <c r="T779" s="54"/>
      <c r="U779" s="54"/>
      <c r="V779" s="57">
        <v>0.24</v>
      </c>
      <c r="W779" s="68"/>
      <c r="X779" s="54"/>
      <c r="Y779" s="54"/>
      <c r="Z779" s="54"/>
      <c r="AA779" s="54"/>
      <c r="AB779" s="57"/>
      <c r="AC779" s="54">
        <v>1</v>
      </c>
      <c r="AD779" s="69">
        <f>SUM(AE779:AK779)</f>
        <v>1</v>
      </c>
      <c r="AE779" s="66"/>
      <c r="AF779" s="66">
        <v>1</v>
      </c>
      <c r="AG779" s="66"/>
      <c r="AH779" s="66"/>
      <c r="AI779" s="66"/>
      <c r="AJ779" s="66"/>
      <c r="AK779" s="66"/>
      <c r="AL779" s="54">
        <f>IF((AC779-SUM(AE779:AK779))&lt;0,0,AC779-SUM(AE779:AK779))</f>
        <v>0</v>
      </c>
      <c r="AM779" s="69">
        <f>SUM(AN779:AT779)</f>
        <v>1</v>
      </c>
      <c r="AN779" s="60"/>
      <c r="AO779" s="52">
        <v>1</v>
      </c>
      <c r="AP779" s="52"/>
      <c r="AQ779" s="52"/>
      <c r="AR779" s="52"/>
      <c r="AS779" s="52"/>
      <c r="AT779" s="61"/>
      <c r="AU779" s="54">
        <f>MAX(0,$AM779-$AC779-$AW779)</f>
        <v>0</v>
      </c>
      <c r="AV779" s="54"/>
      <c r="AW779" s="54"/>
      <c r="AX779" s="65">
        <v>0</v>
      </c>
      <c r="AY779" s="57">
        <f>IF(AND($AU779&gt;0,ISNUMBER($AX779)),$AU779*$AX779,0)</f>
        <v>0</v>
      </c>
      <c r="AZ779" s="46"/>
      <c r="BA779" s="52"/>
      <c r="BB779" s="52"/>
      <c r="BC779" s="52"/>
      <c r="BD779" s="52"/>
      <c r="BE779" s="52"/>
      <c r="BF779" s="52"/>
    </row>
    <row r="780" spans="1:58" ht="15" customHeight="1">
      <c r="A780" s="46" t="s">
        <v>4386</v>
      </c>
      <c r="B780" s="50" t="s">
        <v>4387</v>
      </c>
      <c r="C780" s="54" t="s">
        <v>118</v>
      </c>
      <c r="D780" s="74">
        <v>5</v>
      </c>
      <c r="E780" s="50" t="s">
        <v>71</v>
      </c>
      <c r="F780" s="50"/>
      <c r="G780" s="50"/>
      <c r="H780" s="51"/>
      <c r="I780" s="50" t="s">
        <v>4388</v>
      </c>
      <c r="J780" s="54" t="s">
        <v>73</v>
      </c>
      <c r="K780" s="56" t="s">
        <v>424</v>
      </c>
      <c r="L780" s="56" t="s">
        <v>4389</v>
      </c>
      <c r="M780" s="56" t="s">
        <v>4390</v>
      </c>
      <c r="N780" s="56"/>
      <c r="O780" s="54"/>
      <c r="P780" s="56" t="s">
        <v>86</v>
      </c>
      <c r="Q780" s="56" t="s">
        <v>2216</v>
      </c>
      <c r="R780" s="50"/>
      <c r="S780" s="50"/>
      <c r="T780" s="50"/>
      <c r="U780" s="50"/>
      <c r="V780" s="57">
        <v>0.24</v>
      </c>
      <c r="W780" s="68"/>
      <c r="X780" s="50"/>
      <c r="Y780" s="50"/>
      <c r="Z780" s="50"/>
      <c r="AA780" s="50"/>
      <c r="AB780" s="57"/>
      <c r="AC780" s="54">
        <v>1</v>
      </c>
      <c r="AD780" s="69">
        <f>SUM(AE780:AK780)</f>
        <v>1</v>
      </c>
      <c r="AE780" s="66"/>
      <c r="AF780" s="66"/>
      <c r="AG780" s="66"/>
      <c r="AH780" s="66"/>
      <c r="AI780" s="66">
        <v>1</v>
      </c>
      <c r="AJ780" s="66"/>
      <c r="AK780" s="66"/>
      <c r="AL780" s="54">
        <f>IF((AC780-SUM(AE780:AK780))&lt;0,0,AC780-SUM(AE780:AK780))</f>
        <v>0</v>
      </c>
      <c r="AM780" s="69">
        <f>SUM(AN780:AT780)</f>
        <v>0</v>
      </c>
      <c r="AN780" s="60"/>
      <c r="AO780" s="52"/>
      <c r="AP780" s="52"/>
      <c r="AQ780" s="52"/>
      <c r="AR780" s="52"/>
      <c r="AS780" s="52"/>
      <c r="AT780" s="61"/>
      <c r="AU780" s="54">
        <f>MAX(0,$AM780-$AC780-$AW780)</f>
        <v>0</v>
      </c>
      <c r="AV780" s="54"/>
      <c r="AW780" s="54"/>
      <c r="AX780" s="65">
        <v>0</v>
      </c>
      <c r="AY780" s="57">
        <f>IF(AND($AU780&gt;0,ISNUMBER($AX780)),$AU780*$AX780,0)</f>
        <v>0</v>
      </c>
      <c r="AZ780" s="46"/>
      <c r="BA780" s="52"/>
      <c r="BB780" s="52"/>
      <c r="BC780" s="52"/>
      <c r="BD780" s="52" t="s">
        <v>571</v>
      </c>
      <c r="BE780" s="52"/>
      <c r="BF780" s="52"/>
    </row>
    <row r="781" spans="1:58" ht="15" customHeight="1">
      <c r="A781" s="46" t="s">
        <v>4391</v>
      </c>
      <c r="B781" s="50" t="s">
        <v>4392</v>
      </c>
      <c r="C781" s="54" t="s">
        <v>311</v>
      </c>
      <c r="D781" s="74">
        <v>0</v>
      </c>
      <c r="E781" s="50" t="s">
        <v>312</v>
      </c>
      <c r="F781" s="50"/>
      <c r="G781" s="50"/>
      <c r="H781" s="51"/>
      <c r="I781" s="50" t="s">
        <v>4393</v>
      </c>
      <c r="J781" s="54" t="s">
        <v>73</v>
      </c>
      <c r="K781" s="56" t="s">
        <v>312</v>
      </c>
      <c r="L781" s="56" t="s">
        <v>1014</v>
      </c>
      <c r="M781" s="56" t="s">
        <v>4394</v>
      </c>
      <c r="N781" s="56"/>
      <c r="O781" s="54"/>
      <c r="P781" s="56" t="s">
        <v>86</v>
      </c>
      <c r="Q781" s="56" t="s">
        <v>1924</v>
      </c>
      <c r="R781" s="50"/>
      <c r="S781" s="50"/>
      <c r="T781" s="50"/>
      <c r="U781" s="50"/>
      <c r="V781" s="57">
        <v>0.24</v>
      </c>
      <c r="W781" s="68"/>
      <c r="X781" s="50"/>
      <c r="Y781" s="50"/>
      <c r="Z781" s="50"/>
      <c r="AA781" s="50"/>
      <c r="AB781" s="57"/>
      <c r="AC781" s="54">
        <v>1</v>
      </c>
      <c r="AD781" s="69">
        <f>SUM(AE781:AK781)</f>
        <v>1</v>
      </c>
      <c r="AE781" s="66"/>
      <c r="AF781" s="66"/>
      <c r="AG781" s="66"/>
      <c r="AH781" s="66">
        <v>1</v>
      </c>
      <c r="AI781" s="66"/>
      <c r="AJ781" s="66"/>
      <c r="AK781" s="66"/>
      <c r="AL781" s="54">
        <f>IF((AC781-SUM(AE781:AK781))&lt;0,0,AC781-SUM(AE781:AK781))</f>
        <v>0</v>
      </c>
      <c r="AM781" s="69">
        <f>SUM(AN781:AT781)</f>
        <v>1</v>
      </c>
      <c r="AN781" s="60"/>
      <c r="AO781" s="52"/>
      <c r="AP781" s="52"/>
      <c r="AQ781" s="52">
        <v>1</v>
      </c>
      <c r="AR781" s="52"/>
      <c r="AS781" s="52"/>
      <c r="AT781" s="61"/>
      <c r="AU781" s="54">
        <f>MAX(0,$AM781-$AC781-$AW781)</f>
        <v>0</v>
      </c>
      <c r="AV781" s="54"/>
      <c r="AW781" s="54"/>
      <c r="AX781" s="65">
        <v>0</v>
      </c>
      <c r="AY781" s="57">
        <f>IF(AND($AU781&gt;0,ISNUMBER($AX781)),$AU781*$AX781,0)</f>
        <v>0</v>
      </c>
      <c r="AZ781" s="46"/>
      <c r="BA781" s="52"/>
      <c r="BB781" s="52"/>
      <c r="BC781" s="52"/>
      <c r="BD781" s="52"/>
      <c r="BE781" s="52"/>
      <c r="BF781" s="52"/>
    </row>
    <row r="782" spans="1:58" ht="15" customHeight="1">
      <c r="A782" s="46" t="s">
        <v>4395</v>
      </c>
      <c r="B782" s="50" t="s">
        <v>4396</v>
      </c>
      <c r="C782" s="54" t="s">
        <v>311</v>
      </c>
      <c r="D782" s="74">
        <v>0</v>
      </c>
      <c r="E782" s="50" t="s">
        <v>312</v>
      </c>
      <c r="F782" s="50"/>
      <c r="G782" s="50"/>
      <c r="H782" s="51"/>
      <c r="I782" s="50" t="s">
        <v>4397</v>
      </c>
      <c r="J782" s="54" t="s">
        <v>73</v>
      </c>
      <c r="K782" s="56" t="s">
        <v>312</v>
      </c>
      <c r="L782" s="56" t="s">
        <v>740</v>
      </c>
      <c r="M782" s="56" t="s">
        <v>4398</v>
      </c>
      <c r="N782" s="56" t="s">
        <v>4399</v>
      </c>
      <c r="O782" s="54"/>
      <c r="P782" s="56" t="s">
        <v>76</v>
      </c>
      <c r="Q782" s="56" t="s">
        <v>2216</v>
      </c>
      <c r="R782" s="50"/>
      <c r="S782" s="50"/>
      <c r="T782" s="50"/>
      <c r="U782" s="56"/>
      <c r="V782" s="57">
        <v>0.24</v>
      </c>
      <c r="W782" s="68"/>
      <c r="X782" s="50"/>
      <c r="Y782" s="50"/>
      <c r="Z782" s="50"/>
      <c r="AA782" s="56"/>
      <c r="AB782" s="57"/>
      <c r="AC782" s="54">
        <v>1</v>
      </c>
      <c r="AD782" s="69">
        <f>SUM(AE782:AK782)</f>
        <v>1</v>
      </c>
      <c r="AE782" s="66"/>
      <c r="AF782" s="66"/>
      <c r="AG782" s="66"/>
      <c r="AH782" s="66"/>
      <c r="AI782" s="66"/>
      <c r="AJ782" s="66">
        <v>1</v>
      </c>
      <c r="AK782" s="66"/>
      <c r="AL782" s="54">
        <f>IF((AC782-SUM(AE782:AK782))&lt;0,0,AC782-SUM(AE782:AK782))</f>
        <v>0</v>
      </c>
      <c r="AM782" s="69">
        <f>SUM(AN782:AT782)</f>
        <v>1</v>
      </c>
      <c r="AN782" s="60"/>
      <c r="AO782" s="52"/>
      <c r="AP782" s="52"/>
      <c r="AQ782" s="52"/>
      <c r="AR782" s="52"/>
      <c r="AS782" s="52">
        <v>1</v>
      </c>
      <c r="AT782" s="61"/>
      <c r="AU782" s="54">
        <f>MAX(0,$AM782-$AC782-$AW782)</f>
        <v>0</v>
      </c>
      <c r="AV782" s="54"/>
      <c r="AW782" s="54"/>
      <c r="AX782" s="65">
        <v>0</v>
      </c>
      <c r="AY782" s="57">
        <f>IF(AND($AU782&gt;0,ISNUMBER($AX782)),$AU782*$AX782,0)</f>
        <v>0</v>
      </c>
      <c r="AZ782" s="46"/>
      <c r="BA782" s="52"/>
      <c r="BB782" s="52"/>
      <c r="BC782" s="52"/>
      <c r="BD782" s="52"/>
      <c r="BE782" s="52"/>
      <c r="BF782" s="52"/>
    </row>
    <row r="783" spans="1:58" ht="15" customHeight="1">
      <c r="A783" s="46" t="s">
        <v>4400</v>
      </c>
      <c r="B783" s="46" t="s">
        <v>4401</v>
      </c>
      <c r="C783" s="52" t="s">
        <v>109</v>
      </c>
      <c r="D783" s="75">
        <v>2</v>
      </c>
      <c r="E783" s="46" t="s">
        <v>110</v>
      </c>
      <c r="F783" s="50">
        <v>3</v>
      </c>
      <c r="G783" s="50">
        <v>2</v>
      </c>
      <c r="H783" s="51" t="s">
        <v>4402</v>
      </c>
      <c r="I783" s="50" t="s">
        <v>4403</v>
      </c>
      <c r="J783" s="52" t="s">
        <v>73</v>
      </c>
      <c r="K783" s="46" t="s">
        <v>254</v>
      </c>
      <c r="L783" s="50" t="s">
        <v>4404</v>
      </c>
      <c r="M783" s="50" t="s">
        <v>4405</v>
      </c>
      <c r="N783" s="50" t="s">
        <v>4406</v>
      </c>
      <c r="O783" s="56">
        <v>1624</v>
      </c>
      <c r="P783" s="55" t="s">
        <v>185</v>
      </c>
      <c r="Q783" s="46" t="s">
        <v>633</v>
      </c>
      <c r="R783" s="75" t="s">
        <v>4407</v>
      </c>
      <c r="S783" s="75">
        <v>1</v>
      </c>
      <c r="T783" s="75">
        <v>0</v>
      </c>
      <c r="U783" s="56"/>
      <c r="V783" s="57">
        <v>0.24</v>
      </c>
      <c r="W783" s="68"/>
      <c r="X783" s="46"/>
      <c r="Y783" s="46"/>
      <c r="Z783" s="46"/>
      <c r="AA783" s="56"/>
      <c r="AB783" s="57"/>
      <c r="AC783" s="54">
        <v>1</v>
      </c>
      <c r="AD783" s="69">
        <f>SUM(AE783:AK783)</f>
        <v>0</v>
      </c>
      <c r="AE783" s="66"/>
      <c r="AF783" s="66"/>
      <c r="AG783" s="66"/>
      <c r="AH783" s="66"/>
      <c r="AI783" s="66"/>
      <c r="AJ783" s="66"/>
      <c r="AK783" s="66"/>
      <c r="AL783" s="54">
        <f>IF((AC783-SUM(AE783:AK783))&lt;0,0,AC783-SUM(AE783:AK783))</f>
        <v>1</v>
      </c>
      <c r="AM783" s="69">
        <f>SUM(AN783:AT783)</f>
        <v>0</v>
      </c>
      <c r="AN783" s="60"/>
      <c r="AO783" s="52"/>
      <c r="AP783" s="52"/>
      <c r="AQ783" s="52"/>
      <c r="AR783" s="52"/>
      <c r="AS783" s="52"/>
      <c r="AT783" s="61"/>
      <c r="AU783" s="54">
        <f>MAX(0,$AM783-$AC783-$AW783)</f>
        <v>0</v>
      </c>
      <c r="AV783" s="52"/>
      <c r="AW783" s="52"/>
      <c r="AX783" s="65">
        <v>0</v>
      </c>
      <c r="AY783" s="57">
        <f>IF(AND($AU783&gt;0,ISNUMBER($AX783)),$AU783*$AX783,0)</f>
        <v>0</v>
      </c>
      <c r="AZ783" s="46"/>
      <c r="BA783" s="52"/>
      <c r="BB783" s="52"/>
      <c r="BC783" s="52"/>
      <c r="BD783" s="52"/>
      <c r="BE783" s="52"/>
      <c r="BF783" s="52"/>
    </row>
    <row r="784" spans="1:58" ht="15" customHeight="1">
      <c r="A784" s="46" t="s">
        <v>4408</v>
      </c>
      <c r="B784" s="50" t="s">
        <v>4409</v>
      </c>
      <c r="C784" s="54" t="s">
        <v>109</v>
      </c>
      <c r="D784" s="74">
        <v>3</v>
      </c>
      <c r="E784" s="50" t="s">
        <v>189</v>
      </c>
      <c r="F784" s="50"/>
      <c r="G784" s="50"/>
      <c r="H784" s="51"/>
      <c r="I784" s="50" t="s">
        <v>4410</v>
      </c>
      <c r="J784" s="54" t="s">
        <v>73</v>
      </c>
      <c r="K784" s="56" t="s">
        <v>135</v>
      </c>
      <c r="L784" s="56" t="s">
        <v>4411</v>
      </c>
      <c r="M784" s="56"/>
      <c r="N784" s="56"/>
      <c r="O784" s="54"/>
      <c r="P784" s="56" t="s">
        <v>185</v>
      </c>
      <c r="Q784" s="56" t="s">
        <v>487</v>
      </c>
      <c r="R784" s="50"/>
      <c r="S784" s="50"/>
      <c r="T784" s="50"/>
      <c r="U784" s="50"/>
      <c r="V784" s="57">
        <v>0.24</v>
      </c>
      <c r="W784" s="68"/>
      <c r="X784" s="50"/>
      <c r="Y784" s="50"/>
      <c r="Z784" s="50"/>
      <c r="AA784" s="50"/>
      <c r="AB784" s="57"/>
      <c r="AC784" s="54">
        <v>1</v>
      </c>
      <c r="AD784" s="69">
        <f>SUM(AE784:AK784)</f>
        <v>1</v>
      </c>
      <c r="AE784" s="66"/>
      <c r="AF784" s="66"/>
      <c r="AG784" s="66"/>
      <c r="AH784" s="66">
        <v>1</v>
      </c>
      <c r="AI784" s="66"/>
      <c r="AJ784" s="66"/>
      <c r="AK784" s="66"/>
      <c r="AL784" s="54">
        <f>IF((AC784-SUM(AE784:AK784))&lt;0,0,AC784-SUM(AE784:AK784))</f>
        <v>0</v>
      </c>
      <c r="AM784" s="69">
        <f>SUM(AN784:AT784)</f>
        <v>1</v>
      </c>
      <c r="AN784" s="60"/>
      <c r="AO784" s="52"/>
      <c r="AP784" s="52"/>
      <c r="AQ784" s="52">
        <v>1</v>
      </c>
      <c r="AR784" s="52"/>
      <c r="AS784" s="52"/>
      <c r="AT784" s="61"/>
      <c r="AU784" s="54">
        <f>MAX(0,$AM784-$AC784-$AW784)</f>
        <v>0</v>
      </c>
      <c r="AV784" s="54"/>
      <c r="AW784" s="54"/>
      <c r="AX784" s="65">
        <v>0</v>
      </c>
      <c r="AY784" s="57">
        <f>IF(AND($AU784&gt;0,ISNUMBER($AX784)),$AU784*$AX784,0)</f>
        <v>0</v>
      </c>
      <c r="AZ784" s="46"/>
      <c r="BA784" s="52"/>
      <c r="BB784" s="52"/>
      <c r="BC784" s="52"/>
      <c r="BD784" s="52"/>
      <c r="BE784" s="52"/>
      <c r="BF784" s="52"/>
    </row>
    <row r="785" spans="1:58" ht="15" customHeight="1">
      <c r="A785" s="46" t="s">
        <v>4412</v>
      </c>
      <c r="B785" s="46" t="s">
        <v>4413</v>
      </c>
      <c r="C785" s="52" t="s">
        <v>109</v>
      </c>
      <c r="D785" s="75">
        <v>3</v>
      </c>
      <c r="E785" s="46" t="s">
        <v>81</v>
      </c>
      <c r="F785" s="50">
        <v>3</v>
      </c>
      <c r="G785" s="50">
        <v>1</v>
      </c>
      <c r="H785" s="51" t="s">
        <v>4414</v>
      </c>
      <c r="I785" s="50" t="s">
        <v>4415</v>
      </c>
      <c r="J785" s="52" t="s">
        <v>73</v>
      </c>
      <c r="K785" s="46" t="s">
        <v>129</v>
      </c>
      <c r="L785" s="50" t="s">
        <v>4416</v>
      </c>
      <c r="M785" s="50" t="s">
        <v>4417</v>
      </c>
      <c r="N785" s="50"/>
      <c r="O785" s="54"/>
      <c r="P785" s="55" t="s">
        <v>185</v>
      </c>
      <c r="Q785" s="46" t="s">
        <v>645</v>
      </c>
      <c r="R785" s="75" t="s">
        <v>4418</v>
      </c>
      <c r="S785" s="75">
        <v>1</v>
      </c>
      <c r="T785" s="75">
        <v>0</v>
      </c>
      <c r="U785" s="56" t="s">
        <v>1290</v>
      </c>
      <c r="V785" s="57">
        <v>0.24</v>
      </c>
      <c r="W785" s="68"/>
      <c r="X785" s="46"/>
      <c r="Y785" s="46"/>
      <c r="Z785" s="46"/>
      <c r="AA785" s="56"/>
      <c r="AB785" s="57"/>
      <c r="AC785" s="54">
        <v>1</v>
      </c>
      <c r="AD785" s="69">
        <f>SUM(AE785:AK785)</f>
        <v>0</v>
      </c>
      <c r="AE785" s="66"/>
      <c r="AF785" s="66"/>
      <c r="AG785" s="66"/>
      <c r="AH785" s="66"/>
      <c r="AI785" s="66"/>
      <c r="AJ785" s="66"/>
      <c r="AK785" s="66"/>
      <c r="AL785" s="54">
        <f>IF((AC785-SUM(AE785:AK785))&lt;0,0,AC785-SUM(AE785:AK785))</f>
        <v>1</v>
      </c>
      <c r="AM785" s="69">
        <f>SUM(AN785:AT785)</f>
        <v>0</v>
      </c>
      <c r="AN785" s="60"/>
      <c r="AO785" s="52"/>
      <c r="AP785" s="52"/>
      <c r="AQ785" s="52"/>
      <c r="AR785" s="52"/>
      <c r="AS785" s="52"/>
      <c r="AT785" s="61"/>
      <c r="AU785" s="54">
        <f>MAX(0,$AM785-$AC785-$AW785)</f>
        <v>0</v>
      </c>
      <c r="AV785" s="52"/>
      <c r="AW785" s="52"/>
      <c r="AX785" s="65">
        <v>0</v>
      </c>
      <c r="AY785" s="57">
        <f>IF(AND($AU785&gt;0,ISNUMBER($AX785)),$AU785*$AX785,0)</f>
        <v>0</v>
      </c>
      <c r="AZ785" s="46"/>
      <c r="BA785" s="52"/>
      <c r="BB785" s="52"/>
      <c r="BC785" s="52"/>
      <c r="BD785" s="52"/>
      <c r="BE785" s="52"/>
      <c r="BF785" s="52"/>
    </row>
    <row r="786" spans="1:58" ht="15" customHeight="1">
      <c r="A786" s="46" t="s">
        <v>4419</v>
      </c>
      <c r="B786" s="50" t="s">
        <v>4420</v>
      </c>
      <c r="C786" s="54" t="s">
        <v>118</v>
      </c>
      <c r="D786" s="74">
        <v>2</v>
      </c>
      <c r="E786" s="50" t="s">
        <v>81</v>
      </c>
      <c r="F786" s="50">
        <v>2</v>
      </c>
      <c r="G786" s="50">
        <v>2</v>
      </c>
      <c r="H786" s="51" t="s">
        <v>1977</v>
      </c>
      <c r="I786" s="50" t="s">
        <v>4421</v>
      </c>
      <c r="J786" s="54" t="s">
        <v>73</v>
      </c>
      <c r="K786" s="56" t="s">
        <v>726</v>
      </c>
      <c r="L786" s="56" t="s">
        <v>4422</v>
      </c>
      <c r="M786" s="56"/>
      <c r="N786" s="56"/>
      <c r="O786" s="54"/>
      <c r="P786" s="56" t="s">
        <v>76</v>
      </c>
      <c r="Q786" s="56" t="s">
        <v>4423</v>
      </c>
      <c r="R786" s="54"/>
      <c r="S786" s="54"/>
      <c r="T786" s="54"/>
      <c r="U786" s="54"/>
      <c r="V786" s="57">
        <v>0.23</v>
      </c>
      <c r="W786" s="68"/>
      <c r="X786" s="54"/>
      <c r="Y786" s="54"/>
      <c r="Z786" s="54"/>
      <c r="AA786" s="54"/>
      <c r="AB786" s="57"/>
      <c r="AC786" s="54">
        <v>1</v>
      </c>
      <c r="AD786" s="69">
        <f>SUM(AE786:AK786)</f>
        <v>1</v>
      </c>
      <c r="AE786" s="66"/>
      <c r="AF786" s="66">
        <v>1</v>
      </c>
      <c r="AG786" s="66"/>
      <c r="AH786" s="66"/>
      <c r="AI786" s="66"/>
      <c r="AJ786" s="66"/>
      <c r="AK786" s="66"/>
      <c r="AL786" s="54">
        <f>IF((AC786-SUM(AE786:AK786))&lt;0,0,AC786-SUM(AE786:AK786))</f>
        <v>0</v>
      </c>
      <c r="AM786" s="69">
        <f>SUM(AN786:AT786)</f>
        <v>1</v>
      </c>
      <c r="AN786" s="60"/>
      <c r="AO786" s="52">
        <v>1</v>
      </c>
      <c r="AP786" s="52"/>
      <c r="AQ786" s="52"/>
      <c r="AR786" s="52"/>
      <c r="AS786" s="52"/>
      <c r="AT786" s="61"/>
      <c r="AU786" s="54">
        <f>MAX(0,$AM786-$AC786-$AW786)</f>
        <v>0</v>
      </c>
      <c r="AV786" s="54"/>
      <c r="AW786" s="54"/>
      <c r="AX786" s="65">
        <v>0</v>
      </c>
      <c r="AY786" s="57">
        <f>IF(AND($AU786&gt;0,ISNUMBER($AX786)),$AU786*$AX786,0)</f>
        <v>0</v>
      </c>
      <c r="AZ786" s="46"/>
      <c r="BA786" s="52"/>
      <c r="BB786" s="52"/>
      <c r="BC786" s="52"/>
      <c r="BD786" s="52"/>
      <c r="BE786" s="52"/>
      <c r="BF786" s="52"/>
    </row>
    <row r="787" spans="1:58" ht="15" customHeight="1">
      <c r="A787" s="46" t="s">
        <v>4424</v>
      </c>
      <c r="B787" s="50" t="s">
        <v>4425</v>
      </c>
      <c r="C787" s="54" t="s">
        <v>80</v>
      </c>
      <c r="D787" s="74">
        <v>1</v>
      </c>
      <c r="E787" s="50" t="s">
        <v>81</v>
      </c>
      <c r="F787" s="50">
        <v>1</v>
      </c>
      <c r="G787" s="50">
        <v>1</v>
      </c>
      <c r="H787" s="51" t="s">
        <v>4169</v>
      </c>
      <c r="I787" s="50" t="s">
        <v>4426</v>
      </c>
      <c r="J787" s="54" t="s">
        <v>73</v>
      </c>
      <c r="K787" s="56" t="s">
        <v>202</v>
      </c>
      <c r="L787" s="56" t="s">
        <v>136</v>
      </c>
      <c r="M787" s="56" t="s">
        <v>605</v>
      </c>
      <c r="N787" s="56"/>
      <c r="O787" s="54"/>
      <c r="P787" s="56" t="s">
        <v>185</v>
      </c>
      <c r="Q787" s="56" t="s">
        <v>4427</v>
      </c>
      <c r="R787" s="50"/>
      <c r="S787" s="50"/>
      <c r="T787" s="50"/>
      <c r="U787" s="50"/>
      <c r="V787" s="57">
        <v>0.23</v>
      </c>
      <c r="W787" s="68"/>
      <c r="X787" s="50"/>
      <c r="Y787" s="50"/>
      <c r="Z787" s="50"/>
      <c r="AA787" s="50"/>
      <c r="AB787" s="57"/>
      <c r="AC787" s="54">
        <v>1</v>
      </c>
      <c r="AD787" s="69">
        <f>SUM(AE787:AK787)</f>
        <v>1</v>
      </c>
      <c r="AE787" s="66"/>
      <c r="AF787" s="66">
        <v>1</v>
      </c>
      <c r="AG787" s="66"/>
      <c r="AH787" s="66"/>
      <c r="AI787" s="66"/>
      <c r="AJ787" s="66"/>
      <c r="AK787" s="66"/>
      <c r="AL787" s="54">
        <f>IF((AC787-SUM(AE787:AK787))&lt;0,0,AC787-SUM(AE787:AK787))</f>
        <v>0</v>
      </c>
      <c r="AM787" s="69">
        <f>SUM(AN787:AT787)</f>
        <v>1</v>
      </c>
      <c r="AN787" s="60"/>
      <c r="AO787" s="52">
        <v>1</v>
      </c>
      <c r="AP787" s="52"/>
      <c r="AQ787" s="52"/>
      <c r="AR787" s="52"/>
      <c r="AS787" s="52"/>
      <c r="AT787" s="61"/>
      <c r="AU787" s="54">
        <f>MAX(0,$AM787-$AC787-$AW787)</f>
        <v>0</v>
      </c>
      <c r="AV787" s="54"/>
      <c r="AW787" s="54"/>
      <c r="AX787" s="65">
        <v>0</v>
      </c>
      <c r="AY787" s="57">
        <f>IF(AND($AU787&gt;0,ISNUMBER($AX787)),$AU787*$AX787,0)</f>
        <v>0</v>
      </c>
      <c r="AZ787" s="46"/>
      <c r="BA787" s="52"/>
      <c r="BB787" s="52"/>
      <c r="BC787" s="52"/>
      <c r="BD787" s="52"/>
      <c r="BE787" s="52"/>
      <c r="BF787" s="52"/>
    </row>
    <row r="788" spans="1:58" ht="15" customHeight="1">
      <c r="A788" s="46" t="s">
        <v>4428</v>
      </c>
      <c r="B788" s="50" t="s">
        <v>4429</v>
      </c>
      <c r="C788" s="54" t="s">
        <v>70</v>
      </c>
      <c r="D788" s="74">
        <v>1</v>
      </c>
      <c r="E788" s="50" t="s">
        <v>81</v>
      </c>
      <c r="F788" s="50">
        <v>1</v>
      </c>
      <c r="G788" s="50">
        <v>1</v>
      </c>
      <c r="H788" s="51" t="s">
        <v>4430</v>
      </c>
      <c r="I788" s="50" t="s">
        <v>4431</v>
      </c>
      <c r="J788" s="54" t="s">
        <v>73</v>
      </c>
      <c r="K788" s="56" t="s">
        <v>386</v>
      </c>
      <c r="L788" s="56" t="s">
        <v>4432</v>
      </c>
      <c r="M788" s="56" t="s">
        <v>4433</v>
      </c>
      <c r="N788" s="56"/>
      <c r="O788" s="54"/>
      <c r="P788" s="56" t="s">
        <v>76</v>
      </c>
      <c r="Q788" s="56" t="s">
        <v>1405</v>
      </c>
      <c r="R788" s="50"/>
      <c r="S788" s="50"/>
      <c r="T788" s="50"/>
      <c r="U788" s="50"/>
      <c r="V788" s="57">
        <v>0.23</v>
      </c>
      <c r="W788" s="68"/>
      <c r="X788" s="50"/>
      <c r="Y788" s="50"/>
      <c r="Z788" s="50"/>
      <c r="AA788" s="50"/>
      <c r="AB788" s="57"/>
      <c r="AC788" s="54">
        <v>1</v>
      </c>
      <c r="AD788" s="69">
        <f>SUM(AE788:AK788)</f>
        <v>1</v>
      </c>
      <c r="AE788" s="66"/>
      <c r="AF788" s="66"/>
      <c r="AG788" s="66"/>
      <c r="AH788" s="66"/>
      <c r="AI788" s="66"/>
      <c r="AJ788" s="66">
        <v>1</v>
      </c>
      <c r="AK788" s="66"/>
      <c r="AL788" s="54">
        <f>IF((AC788-SUM(AE788:AK788))&lt;0,0,AC788-SUM(AE788:AK788))</f>
        <v>0</v>
      </c>
      <c r="AM788" s="69">
        <f>SUM(AN788:AT788)</f>
        <v>1</v>
      </c>
      <c r="AN788" s="60"/>
      <c r="AO788" s="52"/>
      <c r="AP788" s="52"/>
      <c r="AQ788" s="52"/>
      <c r="AR788" s="52"/>
      <c r="AS788" s="52">
        <v>1</v>
      </c>
      <c r="AT788" s="61"/>
      <c r="AU788" s="54">
        <f>MAX(0,$AM788-$AC788-$AW788)</f>
        <v>0</v>
      </c>
      <c r="AV788" s="54"/>
      <c r="AW788" s="54"/>
      <c r="AX788" s="65">
        <v>0</v>
      </c>
      <c r="AY788" s="57">
        <f>IF(AND($AU788&gt;0,ISNUMBER($AX788)),$AU788*$AX788,0)</f>
        <v>0</v>
      </c>
      <c r="AZ788" s="46"/>
      <c r="BA788" s="52"/>
      <c r="BB788" s="52"/>
      <c r="BC788" s="52"/>
      <c r="BD788" s="52"/>
      <c r="BE788" s="52"/>
      <c r="BF788" s="52"/>
    </row>
    <row r="789" spans="1:58" ht="15" customHeight="1">
      <c r="A789" s="46" t="s">
        <v>4434</v>
      </c>
      <c r="B789" s="46" t="s">
        <v>4435</v>
      </c>
      <c r="C789" s="52" t="s">
        <v>109</v>
      </c>
      <c r="D789" s="75">
        <v>7</v>
      </c>
      <c r="E789" s="46" t="s">
        <v>110</v>
      </c>
      <c r="F789" s="50">
        <v>5</v>
      </c>
      <c r="G789" s="50">
        <v>7</v>
      </c>
      <c r="H789" s="51" t="s">
        <v>4436</v>
      </c>
      <c r="I789" s="50" t="s">
        <v>4437</v>
      </c>
      <c r="J789" s="52" t="s">
        <v>73</v>
      </c>
      <c r="K789" s="46" t="s">
        <v>705</v>
      </c>
      <c r="L789" s="50" t="s">
        <v>4438</v>
      </c>
      <c r="M789" s="50" t="s">
        <v>4439</v>
      </c>
      <c r="N789" s="50"/>
      <c r="O789" s="56">
        <v>2025</v>
      </c>
      <c r="P789" s="56" t="s">
        <v>86</v>
      </c>
      <c r="Q789" s="46" t="s">
        <v>645</v>
      </c>
      <c r="R789" s="75" t="s">
        <v>4440</v>
      </c>
      <c r="S789" s="75">
        <v>1</v>
      </c>
      <c r="T789" s="75">
        <v>0</v>
      </c>
      <c r="U789" s="56" t="s">
        <v>3266</v>
      </c>
      <c r="V789" s="57">
        <v>0.23</v>
      </c>
      <c r="W789" s="68"/>
      <c r="X789" s="50"/>
      <c r="Y789" s="46"/>
      <c r="Z789" s="46"/>
      <c r="AA789" s="56"/>
      <c r="AB789" s="57"/>
      <c r="AC789" s="54">
        <v>1</v>
      </c>
      <c r="AD789" s="69">
        <f>SUM(AE789:AK789)</f>
        <v>0</v>
      </c>
      <c r="AE789" s="66"/>
      <c r="AF789" s="66"/>
      <c r="AG789" s="66"/>
      <c r="AH789" s="66"/>
      <c r="AI789" s="66"/>
      <c r="AJ789" s="66"/>
      <c r="AK789" s="66"/>
      <c r="AL789" s="54">
        <f>IF((AC789-SUM(AE789:AK789))&lt;0,0,AC789-SUM(AE789:AK789))</f>
        <v>1</v>
      </c>
      <c r="AM789" s="69">
        <f>SUM(AN789:AT789)</f>
        <v>0</v>
      </c>
      <c r="AN789" s="60"/>
      <c r="AO789" s="52"/>
      <c r="AP789" s="52"/>
      <c r="AQ789" s="52"/>
      <c r="AR789" s="52"/>
      <c r="AS789" s="52"/>
      <c r="AT789" s="61"/>
      <c r="AU789" s="54">
        <f>MAX(0,$AM789-$AC789-$AW789)</f>
        <v>0</v>
      </c>
      <c r="AV789" s="52"/>
      <c r="AW789" s="52"/>
      <c r="AX789" s="65">
        <v>0</v>
      </c>
      <c r="AY789" s="57">
        <f>IF(AND($AU789&gt;0,ISNUMBER($AX789)),$AU789*$AX789,0)</f>
        <v>0</v>
      </c>
      <c r="AZ789" s="46"/>
      <c r="BA789" s="52"/>
      <c r="BB789" s="52"/>
      <c r="BC789" s="52"/>
      <c r="BD789" s="52"/>
      <c r="BE789" s="52"/>
      <c r="BF789" s="52"/>
    </row>
    <row r="790" spans="1:58" ht="15" customHeight="1">
      <c r="A790" s="46" t="s">
        <v>4441</v>
      </c>
      <c r="B790" s="50" t="s">
        <v>4442</v>
      </c>
      <c r="C790" s="54" t="s">
        <v>118</v>
      </c>
      <c r="D790" s="74">
        <v>2</v>
      </c>
      <c r="E790" s="50" t="s">
        <v>81</v>
      </c>
      <c r="F790" s="50">
        <v>1</v>
      </c>
      <c r="G790" s="50">
        <v>3</v>
      </c>
      <c r="H790" s="51" t="s">
        <v>119</v>
      </c>
      <c r="I790" s="50" t="s">
        <v>4443</v>
      </c>
      <c r="J790" s="54" t="s">
        <v>73</v>
      </c>
      <c r="K790" s="56" t="s">
        <v>121</v>
      </c>
      <c r="L790" s="56" t="s">
        <v>4444</v>
      </c>
      <c r="M790" s="56" t="s">
        <v>4445</v>
      </c>
      <c r="N790" s="56"/>
      <c r="O790" s="54"/>
      <c r="P790" s="56" t="s">
        <v>76</v>
      </c>
      <c r="Q790" s="56" t="s">
        <v>721</v>
      </c>
      <c r="R790" s="50"/>
      <c r="S790" s="50"/>
      <c r="T790" s="50"/>
      <c r="U790" s="50"/>
      <c r="V790" s="57">
        <v>0.23</v>
      </c>
      <c r="W790" s="68"/>
      <c r="X790" s="50"/>
      <c r="Y790" s="50"/>
      <c r="Z790" s="50"/>
      <c r="AA790" s="50"/>
      <c r="AB790" s="57"/>
      <c r="AC790" s="54">
        <v>1</v>
      </c>
      <c r="AD790" s="69">
        <f>SUM(AE790:AK790)</f>
        <v>1</v>
      </c>
      <c r="AE790" s="66"/>
      <c r="AF790" s="66"/>
      <c r="AG790" s="66"/>
      <c r="AH790" s="66"/>
      <c r="AI790" s="66">
        <v>1</v>
      </c>
      <c r="AJ790" s="66"/>
      <c r="AK790" s="66"/>
      <c r="AL790" s="54">
        <f>IF((AC790-SUM(AE790:AK790))&lt;0,0,AC790-SUM(AE790:AK790))</f>
        <v>0</v>
      </c>
      <c r="AM790" s="69">
        <f>SUM(AN790:AT790)</f>
        <v>0</v>
      </c>
      <c r="AN790" s="60"/>
      <c r="AO790" s="52"/>
      <c r="AP790" s="52"/>
      <c r="AQ790" s="52"/>
      <c r="AR790" s="52"/>
      <c r="AS790" s="52"/>
      <c r="AT790" s="61"/>
      <c r="AU790" s="54">
        <f>MAX(0,$AM790-$AC790-$AW790)</f>
        <v>0</v>
      </c>
      <c r="AV790" s="54"/>
      <c r="AW790" s="54"/>
      <c r="AX790" s="65">
        <v>0</v>
      </c>
      <c r="AY790" s="57">
        <f>IF(AND($AU790&gt;0,ISNUMBER($AX790)),$AU790*$AX790,0)</f>
        <v>0</v>
      </c>
      <c r="AZ790" s="46"/>
      <c r="BA790" s="52"/>
      <c r="BB790" s="52"/>
      <c r="BC790" s="52"/>
      <c r="BD790" s="52" t="s">
        <v>510</v>
      </c>
      <c r="BE790" s="52"/>
      <c r="BF790" s="52"/>
    </row>
    <row r="791" spans="1:58" ht="15" customHeight="1">
      <c r="A791" s="46" t="s">
        <v>4446</v>
      </c>
      <c r="B791" s="50" t="s">
        <v>4447</v>
      </c>
      <c r="C791" s="54" t="s">
        <v>109</v>
      </c>
      <c r="D791" s="74">
        <v>4</v>
      </c>
      <c r="E791" s="50" t="s">
        <v>110</v>
      </c>
      <c r="F791" s="50">
        <v>3</v>
      </c>
      <c r="G791" s="50">
        <v>3</v>
      </c>
      <c r="H791" s="51" t="s">
        <v>2985</v>
      </c>
      <c r="I791" s="50" t="s">
        <v>4448</v>
      </c>
      <c r="J791" s="54" t="s">
        <v>73</v>
      </c>
      <c r="K791" s="56" t="s">
        <v>84</v>
      </c>
      <c r="L791" s="56" t="s">
        <v>4449</v>
      </c>
      <c r="M791" s="56" t="s">
        <v>3619</v>
      </c>
      <c r="N791" s="56"/>
      <c r="O791" s="56">
        <v>3368</v>
      </c>
      <c r="P791" s="56" t="s">
        <v>185</v>
      </c>
      <c r="Q791" s="56" t="s">
        <v>2507</v>
      </c>
      <c r="R791" s="50"/>
      <c r="S791" s="50"/>
      <c r="T791" s="50"/>
      <c r="U791" s="56"/>
      <c r="V791" s="57">
        <v>0.23</v>
      </c>
      <c r="W791" s="68"/>
      <c r="X791" s="50"/>
      <c r="Y791" s="50"/>
      <c r="Z791" s="50"/>
      <c r="AA791" s="56"/>
      <c r="AB791" s="57"/>
      <c r="AC791" s="54">
        <v>1</v>
      </c>
      <c r="AD791" s="69">
        <f>SUM(AE791:AK791)</f>
        <v>0</v>
      </c>
      <c r="AE791" s="66"/>
      <c r="AF791" s="66"/>
      <c r="AG791" s="66"/>
      <c r="AH791" s="66"/>
      <c r="AI791" s="66"/>
      <c r="AJ791" s="66"/>
      <c r="AK791" s="66"/>
      <c r="AL791" s="54">
        <f>IF((AC791-SUM(AE791:AK791))&lt;0,0,AC791-SUM(AE791:AK791))</f>
        <v>1</v>
      </c>
      <c r="AM791" s="69">
        <f>SUM(AN791:AT791)</f>
        <v>0</v>
      </c>
      <c r="AN791" s="60"/>
      <c r="AO791" s="52"/>
      <c r="AP791" s="52"/>
      <c r="AQ791" s="52"/>
      <c r="AR791" s="52"/>
      <c r="AS791" s="52"/>
      <c r="AT791" s="61"/>
      <c r="AU791" s="54">
        <f>MAX(0,$AM791-$AC791-$AW791)</f>
        <v>0</v>
      </c>
      <c r="AV791" s="54"/>
      <c r="AW791" s="54"/>
      <c r="AX791" s="65">
        <v>0</v>
      </c>
      <c r="AY791" s="57">
        <f>IF(AND($AU791&gt;0,ISNUMBER($AX791)),$AU791*$AX791,0)</f>
        <v>0</v>
      </c>
      <c r="AZ791" s="46"/>
      <c r="BA791" s="52"/>
      <c r="BB791" s="52"/>
      <c r="BC791" s="52"/>
      <c r="BD791" s="52"/>
      <c r="BE791" s="52"/>
      <c r="BF791" s="52"/>
    </row>
    <row r="792" spans="1:58" ht="15" customHeight="1">
      <c r="A792" s="46" t="s">
        <v>4450</v>
      </c>
      <c r="B792" s="46" t="s">
        <v>4451</v>
      </c>
      <c r="C792" s="52" t="s">
        <v>118</v>
      </c>
      <c r="D792" s="75">
        <v>2</v>
      </c>
      <c r="E792" s="46" t="s">
        <v>110</v>
      </c>
      <c r="F792" s="50">
        <v>2</v>
      </c>
      <c r="G792" s="50">
        <v>2</v>
      </c>
      <c r="H792" s="51" t="s">
        <v>4402</v>
      </c>
      <c r="I792" s="50" t="s">
        <v>4452</v>
      </c>
      <c r="J792" s="52" t="s">
        <v>73</v>
      </c>
      <c r="K792" s="46" t="s">
        <v>254</v>
      </c>
      <c r="L792" s="50" t="s">
        <v>4453</v>
      </c>
      <c r="M792" s="50" t="s">
        <v>4454</v>
      </c>
      <c r="N792" s="50"/>
      <c r="O792" s="56">
        <v>4123</v>
      </c>
      <c r="P792" s="55" t="s">
        <v>185</v>
      </c>
      <c r="Q792" s="46" t="s">
        <v>633</v>
      </c>
      <c r="R792" s="75" t="s">
        <v>1582</v>
      </c>
      <c r="S792" s="75">
        <v>1</v>
      </c>
      <c r="T792" s="75">
        <v>0</v>
      </c>
      <c r="U792" s="56" t="s">
        <v>4092</v>
      </c>
      <c r="V792" s="63">
        <v>0.23</v>
      </c>
      <c r="W792" s="64"/>
      <c r="X792" s="46"/>
      <c r="Y792" s="46"/>
      <c r="Z792" s="46"/>
      <c r="AA792" s="56"/>
      <c r="AB792" s="63"/>
      <c r="AC792" s="52">
        <v>1</v>
      </c>
      <c r="AD792" s="69">
        <f>SUM(AE792:AK792)</f>
        <v>0</v>
      </c>
      <c r="AE792" s="66"/>
      <c r="AF792" s="66"/>
      <c r="AG792" s="66"/>
      <c r="AH792" s="66"/>
      <c r="AI792" s="66"/>
      <c r="AJ792" s="66"/>
      <c r="AK792" s="66"/>
      <c r="AL792" s="54">
        <f>IF((AC792-SUM(AE792:AK792))&lt;0,0,AC792-SUM(AE792:AK792))</f>
        <v>1</v>
      </c>
      <c r="AM792" s="69">
        <f>SUM(AN792:AT792)</f>
        <v>0</v>
      </c>
      <c r="AN792" s="70"/>
      <c r="AO792" s="54"/>
      <c r="AP792" s="54"/>
      <c r="AQ792" s="54"/>
      <c r="AR792" s="54"/>
      <c r="AS792" s="54"/>
      <c r="AT792" s="71"/>
      <c r="AU792" s="54">
        <f>MAX(0,$AM792-$AC792-$AW792)</f>
        <v>0</v>
      </c>
      <c r="AV792" s="52"/>
      <c r="AW792" s="52"/>
      <c r="AX792" s="65">
        <v>0</v>
      </c>
      <c r="AY792" s="57">
        <f>IF(AND($AU792&gt;0,ISNUMBER($AX792)),$AU792*$AX792,0)</f>
        <v>0</v>
      </c>
      <c r="AZ792" s="46"/>
      <c r="BA792" s="52"/>
      <c r="BB792" s="52"/>
      <c r="BC792" s="52"/>
      <c r="BD792" s="52"/>
      <c r="BE792" s="52"/>
      <c r="BF792" s="52"/>
    </row>
    <row r="793" spans="1:58" ht="15" customHeight="1">
      <c r="A793" s="46" t="s">
        <v>4455</v>
      </c>
      <c r="B793" s="50" t="s">
        <v>4456</v>
      </c>
      <c r="C793" s="54" t="s">
        <v>101</v>
      </c>
      <c r="D793" s="74">
        <v>2</v>
      </c>
      <c r="E793" s="50" t="s">
        <v>81</v>
      </c>
      <c r="F793" s="50">
        <v>2</v>
      </c>
      <c r="G793" s="50">
        <v>3</v>
      </c>
      <c r="H793" s="51" t="s">
        <v>4457</v>
      </c>
      <c r="I793" s="50" t="s">
        <v>4458</v>
      </c>
      <c r="J793" s="54" t="s">
        <v>73</v>
      </c>
      <c r="K793" s="56" t="s">
        <v>104</v>
      </c>
      <c r="L793" s="56" t="s">
        <v>4459</v>
      </c>
      <c r="M793" s="56" t="s">
        <v>4460</v>
      </c>
      <c r="N793" s="56"/>
      <c r="O793" s="54"/>
      <c r="P793" s="56" t="s">
        <v>185</v>
      </c>
      <c r="Q793" s="56" t="s">
        <v>669</v>
      </c>
      <c r="R793" s="50"/>
      <c r="S793" s="50"/>
      <c r="T793" s="50"/>
      <c r="U793" s="50"/>
      <c r="V793" s="57">
        <v>0.23</v>
      </c>
      <c r="W793" s="68"/>
      <c r="X793" s="50"/>
      <c r="Y793" s="50"/>
      <c r="Z793" s="50"/>
      <c r="AA793" s="50"/>
      <c r="AB793" s="57"/>
      <c r="AC793" s="54">
        <v>1</v>
      </c>
      <c r="AD793" s="69">
        <f>SUM(AE793:AK793)</f>
        <v>1</v>
      </c>
      <c r="AE793" s="66"/>
      <c r="AF793" s="66"/>
      <c r="AG793" s="66"/>
      <c r="AH793" s="66">
        <v>1</v>
      </c>
      <c r="AI793" s="66"/>
      <c r="AJ793" s="66"/>
      <c r="AK793" s="66"/>
      <c r="AL793" s="54">
        <f>IF((AC793-SUM(AE793:AK793))&lt;0,0,AC793-SUM(AE793:AK793))</f>
        <v>0</v>
      </c>
      <c r="AM793" s="69">
        <f>SUM(AN793:AT793)</f>
        <v>0</v>
      </c>
      <c r="AN793" s="60"/>
      <c r="AO793" s="52"/>
      <c r="AP793" s="52"/>
      <c r="AQ793" s="52"/>
      <c r="AR793" s="52"/>
      <c r="AS793" s="52"/>
      <c r="AT793" s="61"/>
      <c r="AU793" s="54">
        <f>MAX(0,$AM793-$AC793-$AW793)</f>
        <v>0</v>
      </c>
      <c r="AV793" s="54"/>
      <c r="AW793" s="54"/>
      <c r="AX793" s="65">
        <v>0</v>
      </c>
      <c r="AY793" s="57">
        <f>IF(AND($AU793&gt;0,ISNUMBER($AX793)),$AU793*$AX793,0)</f>
        <v>0</v>
      </c>
      <c r="AZ793" s="46"/>
      <c r="BA793" s="52"/>
      <c r="BB793" s="52"/>
      <c r="BC793" s="52" t="s">
        <v>395</v>
      </c>
      <c r="BD793" s="52"/>
      <c r="BE793" s="52"/>
      <c r="BF793" s="52"/>
    </row>
    <row r="794" spans="1:58" ht="15" customHeight="1">
      <c r="A794" s="46" t="s">
        <v>4461</v>
      </c>
      <c r="B794" s="46" t="s">
        <v>4462</v>
      </c>
      <c r="C794" s="52" t="s">
        <v>109</v>
      </c>
      <c r="D794" s="75">
        <v>2</v>
      </c>
      <c r="E794" s="46" t="s">
        <v>189</v>
      </c>
      <c r="F794" s="50"/>
      <c r="G794" s="50"/>
      <c r="H794" s="51"/>
      <c r="I794" s="50" t="s">
        <v>4463</v>
      </c>
      <c r="J794" s="52" t="s">
        <v>73</v>
      </c>
      <c r="K794" s="46" t="s">
        <v>135</v>
      </c>
      <c r="L794" s="50" t="s">
        <v>4464</v>
      </c>
      <c r="M794" s="50" t="s">
        <v>4465</v>
      </c>
      <c r="N794" s="50"/>
      <c r="O794" s="54"/>
      <c r="P794" s="55" t="s">
        <v>185</v>
      </c>
      <c r="Q794" s="46" t="s">
        <v>645</v>
      </c>
      <c r="R794" s="75" t="s">
        <v>1668</v>
      </c>
      <c r="S794" s="75">
        <v>1</v>
      </c>
      <c r="T794" s="75">
        <v>0</v>
      </c>
      <c r="U794" s="56"/>
      <c r="V794" s="57">
        <v>0.23</v>
      </c>
      <c r="W794" s="68"/>
      <c r="X794" s="46"/>
      <c r="Y794" s="46"/>
      <c r="Z794" s="46"/>
      <c r="AA794" s="56"/>
      <c r="AB794" s="57"/>
      <c r="AC794" s="54">
        <v>1</v>
      </c>
      <c r="AD794" s="69">
        <f>SUM(AE794:AK794)</f>
        <v>1</v>
      </c>
      <c r="AE794" s="66"/>
      <c r="AF794" s="66"/>
      <c r="AG794" s="66"/>
      <c r="AH794" s="66"/>
      <c r="AI794" s="66">
        <v>1</v>
      </c>
      <c r="AJ794" s="66"/>
      <c r="AK794" s="66"/>
      <c r="AL794" s="54">
        <f>IF((AC794-SUM(AE794:AK794))&lt;0,0,AC794-SUM(AE794:AK794))</f>
        <v>0</v>
      </c>
      <c r="AM794" s="69">
        <f>SUM(AN794:AT794)</f>
        <v>1</v>
      </c>
      <c r="AN794" s="60"/>
      <c r="AO794" s="52"/>
      <c r="AP794" s="52"/>
      <c r="AQ794" s="52"/>
      <c r="AR794" s="52">
        <v>1</v>
      </c>
      <c r="AS794" s="52"/>
      <c r="AT794" s="61"/>
      <c r="AU794" s="54">
        <f>MAX(0,$AM794-$AC794-$AW794)</f>
        <v>0</v>
      </c>
      <c r="AV794" s="52"/>
      <c r="AW794" s="52"/>
      <c r="AX794" s="65">
        <v>0</v>
      </c>
      <c r="AY794" s="57">
        <f>IF(AND($AU794&gt;0,ISNUMBER($AX794)),$AU794*$AX794,0)</f>
        <v>0</v>
      </c>
      <c r="AZ794" s="46"/>
      <c r="BA794" s="52"/>
      <c r="BB794" s="52"/>
      <c r="BC794" s="52"/>
      <c r="BD794" s="52"/>
      <c r="BE794" s="52"/>
      <c r="BF794" s="52"/>
    </row>
    <row r="795" spans="1:58" ht="15" customHeight="1">
      <c r="A795" s="46" t="s">
        <v>4466</v>
      </c>
      <c r="B795" s="50" t="s">
        <v>4467</v>
      </c>
      <c r="C795" s="54" t="s">
        <v>70</v>
      </c>
      <c r="D795" s="74">
        <v>1</v>
      </c>
      <c r="E795" s="50" t="s">
        <v>71</v>
      </c>
      <c r="F795" s="50"/>
      <c r="G795" s="50"/>
      <c r="H795" s="51"/>
      <c r="I795" s="50" t="s">
        <v>4468</v>
      </c>
      <c r="J795" s="54" t="s">
        <v>73</v>
      </c>
      <c r="K795" s="56" t="s">
        <v>135</v>
      </c>
      <c r="L795" s="56" t="s">
        <v>4469</v>
      </c>
      <c r="M795" s="56" t="s">
        <v>4470</v>
      </c>
      <c r="N795" s="56"/>
      <c r="O795" s="54"/>
      <c r="P795" s="56" t="s">
        <v>76</v>
      </c>
      <c r="Q795" s="56" t="s">
        <v>669</v>
      </c>
      <c r="R795" s="50"/>
      <c r="S795" s="50"/>
      <c r="T795" s="50"/>
      <c r="U795" s="50"/>
      <c r="V795" s="57">
        <v>0.23</v>
      </c>
      <c r="W795" s="68"/>
      <c r="X795" s="50"/>
      <c r="Y795" s="50"/>
      <c r="Z795" s="50"/>
      <c r="AA795" s="50"/>
      <c r="AB795" s="57"/>
      <c r="AC795" s="54">
        <v>1</v>
      </c>
      <c r="AD795" s="69">
        <f>SUM(AE795:AK795)</f>
        <v>1</v>
      </c>
      <c r="AE795" s="66"/>
      <c r="AF795" s="66"/>
      <c r="AG795" s="66"/>
      <c r="AH795" s="66"/>
      <c r="AI795" s="66"/>
      <c r="AJ795" s="66">
        <v>1</v>
      </c>
      <c r="AK795" s="66"/>
      <c r="AL795" s="54">
        <f>IF((AC795-SUM(AE795:AK795))&lt;0,0,AC795-SUM(AE795:AK795))</f>
        <v>0</v>
      </c>
      <c r="AM795" s="69">
        <f>SUM(AN795:AT795)</f>
        <v>0</v>
      </c>
      <c r="AN795" s="60"/>
      <c r="AO795" s="52"/>
      <c r="AP795" s="52"/>
      <c r="AQ795" s="52"/>
      <c r="AR795" s="52"/>
      <c r="AS795" s="52"/>
      <c r="AT795" s="61"/>
      <c r="AU795" s="54">
        <f>MAX(0,$AM795-$AC795-$AW795)</f>
        <v>0</v>
      </c>
      <c r="AV795" s="54"/>
      <c r="AW795" s="54"/>
      <c r="AX795" s="65">
        <v>0</v>
      </c>
      <c r="AY795" s="57">
        <f>IF(AND($AU795&gt;0,ISNUMBER($AX795)),$AU795*$AX795,0)</f>
        <v>0</v>
      </c>
      <c r="AZ795" s="46"/>
      <c r="BA795" s="52"/>
      <c r="BB795" s="52"/>
      <c r="BC795" s="52"/>
      <c r="BD795" s="52"/>
      <c r="BE795" s="52" t="s">
        <v>187</v>
      </c>
      <c r="BF795" s="52"/>
    </row>
    <row r="796" spans="1:58" ht="15" customHeight="1">
      <c r="A796" s="46" t="s">
        <v>4471</v>
      </c>
      <c r="B796" s="46" t="s">
        <v>4472</v>
      </c>
      <c r="C796" s="52" t="s">
        <v>80</v>
      </c>
      <c r="D796" s="75">
        <v>1</v>
      </c>
      <c r="E796" s="46" t="s">
        <v>189</v>
      </c>
      <c r="F796" s="50"/>
      <c r="G796" s="50"/>
      <c r="H796" s="51"/>
      <c r="I796" s="50" t="s">
        <v>4473</v>
      </c>
      <c r="J796" s="52" t="s">
        <v>73</v>
      </c>
      <c r="K796" s="46" t="s">
        <v>129</v>
      </c>
      <c r="L796" s="50" t="s">
        <v>4474</v>
      </c>
      <c r="M796" s="50"/>
      <c r="N796" s="50"/>
      <c r="O796" s="54"/>
      <c r="P796" s="55" t="s">
        <v>185</v>
      </c>
      <c r="Q796" s="46" t="s">
        <v>645</v>
      </c>
      <c r="R796" s="75" t="s">
        <v>4475</v>
      </c>
      <c r="S796" s="75">
        <v>1</v>
      </c>
      <c r="T796" s="75">
        <v>0</v>
      </c>
      <c r="U796" s="56"/>
      <c r="V796" s="57">
        <v>0.23</v>
      </c>
      <c r="W796" s="68"/>
      <c r="X796" s="46"/>
      <c r="Y796" s="46"/>
      <c r="Z796" s="46"/>
      <c r="AA796" s="56"/>
      <c r="AB796" s="57"/>
      <c r="AC796" s="54">
        <v>1</v>
      </c>
      <c r="AD796" s="69">
        <f>SUM(AE796:AK796)</f>
        <v>0</v>
      </c>
      <c r="AE796" s="66"/>
      <c r="AF796" s="66"/>
      <c r="AG796" s="66"/>
      <c r="AH796" s="66"/>
      <c r="AI796" s="66"/>
      <c r="AJ796" s="66"/>
      <c r="AK796" s="66"/>
      <c r="AL796" s="54">
        <f>IF((AC796-SUM(AE796:AK796))&lt;0,0,AC796-SUM(AE796:AK796))</f>
        <v>1</v>
      </c>
      <c r="AM796" s="69">
        <f>SUM(AN796:AT796)</f>
        <v>0</v>
      </c>
      <c r="AN796" s="60"/>
      <c r="AO796" s="52"/>
      <c r="AP796" s="52"/>
      <c r="AQ796" s="52"/>
      <c r="AR796" s="52"/>
      <c r="AS796" s="52"/>
      <c r="AT796" s="61"/>
      <c r="AU796" s="54">
        <f>MAX(0,$AM796-$AC796-$AW796)</f>
        <v>0</v>
      </c>
      <c r="AV796" s="52"/>
      <c r="AW796" s="52"/>
      <c r="AX796" s="65">
        <v>0</v>
      </c>
      <c r="AY796" s="57">
        <f>IF(AND($AU796&gt;0,ISNUMBER($AX796)),$AU796*$AX796,0)</f>
        <v>0</v>
      </c>
      <c r="AZ796" s="46"/>
      <c r="BA796" s="52"/>
      <c r="BB796" s="52"/>
      <c r="BC796" s="52"/>
      <c r="BD796" s="52"/>
      <c r="BE796" s="52"/>
      <c r="BF796" s="52"/>
    </row>
    <row r="797" spans="1:58" ht="15" customHeight="1">
      <c r="A797" s="46" t="s">
        <v>4476</v>
      </c>
      <c r="B797" s="50" t="s">
        <v>4477</v>
      </c>
      <c r="C797" s="54" t="s">
        <v>118</v>
      </c>
      <c r="D797" s="74">
        <v>4</v>
      </c>
      <c r="E797" s="50" t="s">
        <v>81</v>
      </c>
      <c r="F797" s="50">
        <v>3</v>
      </c>
      <c r="G797" s="50">
        <v>3</v>
      </c>
      <c r="H797" s="51" t="s">
        <v>2375</v>
      </c>
      <c r="I797" s="50" t="s">
        <v>4478</v>
      </c>
      <c r="J797" s="54" t="s">
        <v>73</v>
      </c>
      <c r="K797" s="56" t="s">
        <v>129</v>
      </c>
      <c r="L797" s="56" t="s">
        <v>136</v>
      </c>
      <c r="M797" s="56" t="s">
        <v>4479</v>
      </c>
      <c r="N797" s="56" t="s">
        <v>4480</v>
      </c>
      <c r="O797" s="54"/>
      <c r="P797" s="56" t="s">
        <v>86</v>
      </c>
      <c r="Q797" s="56" t="s">
        <v>2216</v>
      </c>
      <c r="R797" s="50"/>
      <c r="S797" s="50"/>
      <c r="T797" s="50"/>
      <c r="U797" s="50"/>
      <c r="V797" s="57">
        <v>0.23</v>
      </c>
      <c r="W797" s="68"/>
      <c r="X797" s="50"/>
      <c r="Y797" s="50"/>
      <c r="Z797" s="50"/>
      <c r="AA797" s="50"/>
      <c r="AB797" s="57"/>
      <c r="AC797" s="54">
        <v>1</v>
      </c>
      <c r="AD797" s="69">
        <f>SUM(AE797:AK797)</f>
        <v>1</v>
      </c>
      <c r="AE797" s="66"/>
      <c r="AF797" s="66"/>
      <c r="AG797" s="66"/>
      <c r="AH797" s="66"/>
      <c r="AI797" s="66">
        <v>1</v>
      </c>
      <c r="AJ797" s="66"/>
      <c r="AK797" s="66"/>
      <c r="AL797" s="54">
        <f>IF((AC797-SUM(AE797:AK797))&lt;0,0,AC797-SUM(AE797:AK797))</f>
        <v>0</v>
      </c>
      <c r="AM797" s="69">
        <f>SUM(AN797:AT797)</f>
        <v>1</v>
      </c>
      <c r="AN797" s="60"/>
      <c r="AO797" s="52"/>
      <c r="AP797" s="52"/>
      <c r="AQ797" s="52"/>
      <c r="AR797" s="52">
        <v>1</v>
      </c>
      <c r="AS797" s="52"/>
      <c r="AT797" s="61"/>
      <c r="AU797" s="54">
        <f>MAX(0,$AM797-$AC797-$AW797)</f>
        <v>0</v>
      </c>
      <c r="AV797" s="54"/>
      <c r="AW797" s="54"/>
      <c r="AX797" s="65">
        <v>0</v>
      </c>
      <c r="AY797" s="57">
        <f>IF(AND($AU797&gt;0,ISNUMBER($AX797)),$AU797*$AX797,0)</f>
        <v>0</v>
      </c>
      <c r="AZ797" s="46"/>
      <c r="BA797" s="52"/>
      <c r="BB797" s="52"/>
      <c r="BC797" s="52"/>
      <c r="BD797" s="52"/>
      <c r="BE797" s="52"/>
      <c r="BF797" s="52"/>
    </row>
    <row r="798" spans="1:58" ht="15" customHeight="1">
      <c r="A798" s="46" t="s">
        <v>4481</v>
      </c>
      <c r="B798" s="46" t="s">
        <v>4482</v>
      </c>
      <c r="C798" s="52" t="s">
        <v>118</v>
      </c>
      <c r="D798" s="75">
        <v>2</v>
      </c>
      <c r="E798" s="46" t="s">
        <v>81</v>
      </c>
      <c r="F798" s="50">
        <v>2</v>
      </c>
      <c r="G798" s="50">
        <v>2</v>
      </c>
      <c r="H798" s="51" t="s">
        <v>4483</v>
      </c>
      <c r="I798" s="50" t="s">
        <v>4484</v>
      </c>
      <c r="J798" s="52" t="s">
        <v>73</v>
      </c>
      <c r="K798" s="46" t="s">
        <v>726</v>
      </c>
      <c r="L798" s="50" t="s">
        <v>4485</v>
      </c>
      <c r="M798" s="50" t="s">
        <v>2858</v>
      </c>
      <c r="N798" s="50"/>
      <c r="O798" s="54"/>
      <c r="P798" s="55" t="s">
        <v>76</v>
      </c>
      <c r="Q798" s="46" t="s">
        <v>645</v>
      </c>
      <c r="R798" s="75" t="s">
        <v>4486</v>
      </c>
      <c r="S798" s="75">
        <v>1</v>
      </c>
      <c r="T798" s="75">
        <v>0</v>
      </c>
      <c r="U798" s="56" t="s">
        <v>4487</v>
      </c>
      <c r="V798" s="57">
        <v>0.22</v>
      </c>
      <c r="W798" s="68"/>
      <c r="X798" s="46"/>
      <c r="Y798" s="46"/>
      <c r="Z798" s="46"/>
      <c r="AA798" s="56"/>
      <c r="AB798" s="57"/>
      <c r="AC798" s="54">
        <v>1</v>
      </c>
      <c r="AD798" s="69">
        <f>SUM(AE798:AK798)</f>
        <v>0</v>
      </c>
      <c r="AE798" s="66"/>
      <c r="AF798" s="66"/>
      <c r="AG798" s="66"/>
      <c r="AH798" s="66"/>
      <c r="AI798" s="66"/>
      <c r="AJ798" s="66"/>
      <c r="AK798" s="66"/>
      <c r="AL798" s="54">
        <f>IF((AC798-SUM(AE798:AK798))&lt;0,0,AC798-SUM(AE798:AK798))</f>
        <v>1</v>
      </c>
      <c r="AM798" s="69">
        <f>SUM(AN798:AT798)</f>
        <v>0</v>
      </c>
      <c r="AN798" s="60"/>
      <c r="AO798" s="52"/>
      <c r="AP798" s="52"/>
      <c r="AQ798" s="52"/>
      <c r="AR798" s="52"/>
      <c r="AS798" s="52"/>
      <c r="AT798" s="61"/>
      <c r="AU798" s="54">
        <f>MAX(0,$AM798-$AC798-$AW798)</f>
        <v>0</v>
      </c>
      <c r="AV798" s="52"/>
      <c r="AW798" s="52"/>
      <c r="AX798" s="65">
        <v>0</v>
      </c>
      <c r="AY798" s="57">
        <f>IF(AND($AU798&gt;0,ISNUMBER($AX798)),$AU798*$AX798,0)</f>
        <v>0</v>
      </c>
      <c r="AZ798" s="46"/>
      <c r="BA798" s="52"/>
      <c r="BB798" s="52"/>
      <c r="BC798" s="52"/>
      <c r="BD798" s="52"/>
      <c r="BE798" s="52"/>
      <c r="BF798" s="52"/>
    </row>
    <row r="799" spans="1:58" ht="15" customHeight="1">
      <c r="A799" s="46" t="s">
        <v>4488</v>
      </c>
      <c r="B799" s="50" t="s">
        <v>4489</v>
      </c>
      <c r="C799" s="54" t="s">
        <v>101</v>
      </c>
      <c r="D799" s="74">
        <v>2</v>
      </c>
      <c r="E799" s="50" t="s">
        <v>81</v>
      </c>
      <c r="F799" s="50">
        <v>1</v>
      </c>
      <c r="G799" s="50">
        <v>1</v>
      </c>
      <c r="H799" s="51" t="s">
        <v>4490</v>
      </c>
      <c r="I799" s="50" t="s">
        <v>4491</v>
      </c>
      <c r="J799" s="54" t="s">
        <v>73</v>
      </c>
      <c r="K799" s="56" t="s">
        <v>74</v>
      </c>
      <c r="L799" s="56" t="s">
        <v>4492</v>
      </c>
      <c r="M799" s="56"/>
      <c r="N799" s="56"/>
      <c r="O799" s="54"/>
      <c r="P799" s="56" t="s">
        <v>76</v>
      </c>
      <c r="Q799" s="56" t="s">
        <v>2081</v>
      </c>
      <c r="R799" s="54"/>
      <c r="S799" s="54"/>
      <c r="T799" s="54"/>
      <c r="U799" s="54"/>
      <c r="V799" s="57">
        <v>0.22</v>
      </c>
      <c r="W799" s="68"/>
      <c r="X799" s="54"/>
      <c r="Y799" s="54"/>
      <c r="Z799" s="54"/>
      <c r="AA799" s="54"/>
      <c r="AB799" s="57"/>
      <c r="AC799" s="54">
        <v>1</v>
      </c>
      <c r="AD799" s="69">
        <f>SUM(AE799:AK799)</f>
        <v>1</v>
      </c>
      <c r="AE799" s="66"/>
      <c r="AF799" s="66">
        <v>1</v>
      </c>
      <c r="AG799" s="66"/>
      <c r="AH799" s="66"/>
      <c r="AI799" s="66"/>
      <c r="AJ799" s="66"/>
      <c r="AK799" s="66"/>
      <c r="AL799" s="54">
        <f>IF((AC799-SUM(AE799:AK799))&lt;0,0,AC799-SUM(AE799:AK799))</f>
        <v>0</v>
      </c>
      <c r="AM799" s="69">
        <f>SUM(AN799:AT799)</f>
        <v>0</v>
      </c>
      <c r="AN799" s="60"/>
      <c r="AO799" s="52"/>
      <c r="AP799" s="52"/>
      <c r="AQ799" s="52"/>
      <c r="AR799" s="52"/>
      <c r="AS799" s="52"/>
      <c r="AT799" s="61"/>
      <c r="AU799" s="54">
        <f>MAX(0,$AM799-$AC799-$AW799)</f>
        <v>0</v>
      </c>
      <c r="AV799" s="54"/>
      <c r="AW799" s="54"/>
      <c r="AX799" s="65">
        <v>0</v>
      </c>
      <c r="AY799" s="57">
        <f>IF(AND($AU799&gt;0,ISNUMBER($AX799)),$AU799*$AX799,0)</f>
        <v>0</v>
      </c>
      <c r="AZ799" s="46"/>
      <c r="BA799" s="52" t="s">
        <v>325</v>
      </c>
      <c r="BB799" s="52"/>
      <c r="BC799" s="52"/>
      <c r="BD799" s="52"/>
      <c r="BE799" s="52"/>
      <c r="BF799" s="52"/>
    </row>
    <row r="800" spans="1:58" ht="15" customHeight="1">
      <c r="A800" s="46" t="s">
        <v>4493</v>
      </c>
      <c r="B800" s="50" t="s">
        <v>4494</v>
      </c>
      <c r="C800" s="54" t="s">
        <v>80</v>
      </c>
      <c r="D800" s="74">
        <v>2</v>
      </c>
      <c r="E800" s="50" t="s">
        <v>189</v>
      </c>
      <c r="F800" s="50"/>
      <c r="G800" s="50"/>
      <c r="H800" s="51"/>
      <c r="I800" s="50" t="s">
        <v>4495</v>
      </c>
      <c r="J800" s="54" t="s">
        <v>73</v>
      </c>
      <c r="K800" s="56" t="s">
        <v>98</v>
      </c>
      <c r="L800" s="56" t="s">
        <v>4496</v>
      </c>
      <c r="M800" s="56" t="s">
        <v>4497</v>
      </c>
      <c r="N800" s="56"/>
      <c r="O800" s="54"/>
      <c r="P800" s="56" t="s">
        <v>76</v>
      </c>
      <c r="Q800" s="56" t="s">
        <v>4498</v>
      </c>
      <c r="R800" s="50"/>
      <c r="S800" s="50"/>
      <c r="T800" s="50"/>
      <c r="U800" s="56"/>
      <c r="V800" s="57">
        <v>0.22</v>
      </c>
      <c r="W800" s="68"/>
      <c r="X800" s="50"/>
      <c r="Y800" s="50"/>
      <c r="Z800" s="50"/>
      <c r="AA800" s="56"/>
      <c r="AB800" s="57"/>
      <c r="AC800" s="54">
        <v>1</v>
      </c>
      <c r="AD800" s="69">
        <f>SUM(AE800:AK800)</f>
        <v>1</v>
      </c>
      <c r="AE800" s="66"/>
      <c r="AF800" s="66"/>
      <c r="AG800" s="66"/>
      <c r="AH800" s="66"/>
      <c r="AI800" s="66"/>
      <c r="AJ800" s="66"/>
      <c r="AK800" s="66">
        <v>1</v>
      </c>
      <c r="AL800" s="54">
        <f>IF((AC800-SUM(AE800:AK800))&lt;0,0,AC800-SUM(AE800:AK800))</f>
        <v>0</v>
      </c>
      <c r="AM800" s="69">
        <f>SUM(AN800:AT800)</f>
        <v>1</v>
      </c>
      <c r="AN800" s="60"/>
      <c r="AO800" s="52"/>
      <c r="AP800" s="52"/>
      <c r="AQ800" s="52"/>
      <c r="AR800" s="52"/>
      <c r="AS800" s="52"/>
      <c r="AT800" s="61">
        <v>1</v>
      </c>
      <c r="AU800" s="54">
        <f>MAX(0,$AM800-$AC800-$AW800)</f>
        <v>0</v>
      </c>
      <c r="AV800" s="54"/>
      <c r="AW800" s="54"/>
      <c r="AX800" s="65">
        <v>0</v>
      </c>
      <c r="AY800" s="57">
        <f>IF(AND($AU800&gt;0,ISNUMBER($AX800)),$AU800*$AX800,0)</f>
        <v>0</v>
      </c>
      <c r="AZ800" s="46"/>
      <c r="BA800" s="52"/>
      <c r="BB800" s="52"/>
      <c r="BC800" s="52"/>
      <c r="BD800" s="52"/>
      <c r="BE800" s="52"/>
      <c r="BF800" s="52"/>
    </row>
    <row r="801" spans="1:58" ht="15" customHeight="1">
      <c r="A801" s="46" t="s">
        <v>4499</v>
      </c>
      <c r="B801" s="50" t="s">
        <v>4500</v>
      </c>
      <c r="C801" s="54" t="s">
        <v>311</v>
      </c>
      <c r="D801" s="74">
        <v>0</v>
      </c>
      <c r="E801" s="50" t="s">
        <v>312</v>
      </c>
      <c r="F801" s="50"/>
      <c r="G801" s="50"/>
      <c r="H801" s="51"/>
      <c r="I801" s="50" t="s">
        <v>4501</v>
      </c>
      <c r="J801" s="54" t="s">
        <v>73</v>
      </c>
      <c r="K801" s="56" t="s">
        <v>312</v>
      </c>
      <c r="L801" s="56" t="s">
        <v>4502</v>
      </c>
      <c r="M801" s="56" t="s">
        <v>4503</v>
      </c>
      <c r="N801" s="56"/>
      <c r="O801" s="54"/>
      <c r="P801" s="56" t="s">
        <v>76</v>
      </c>
      <c r="Q801" s="56" t="s">
        <v>4504</v>
      </c>
      <c r="R801" s="50"/>
      <c r="S801" s="50"/>
      <c r="T801" s="50"/>
      <c r="U801" s="50"/>
      <c r="V801" s="57">
        <v>0.22</v>
      </c>
      <c r="W801" s="68"/>
      <c r="X801" s="50"/>
      <c r="Y801" s="50"/>
      <c r="Z801" s="50"/>
      <c r="AA801" s="50"/>
      <c r="AB801" s="57"/>
      <c r="AC801" s="54">
        <v>1</v>
      </c>
      <c r="AD801" s="69">
        <f>SUM(AE801:AK801)</f>
        <v>1</v>
      </c>
      <c r="AE801" s="66"/>
      <c r="AF801" s="66"/>
      <c r="AG801" s="66"/>
      <c r="AH801" s="66"/>
      <c r="AI801" s="66"/>
      <c r="AJ801" s="66">
        <v>1</v>
      </c>
      <c r="AK801" s="66"/>
      <c r="AL801" s="54">
        <f>IF((AC801-SUM(AE801:AK801))&lt;0,0,AC801-SUM(AE801:AK801))</f>
        <v>0</v>
      </c>
      <c r="AM801" s="69">
        <f>SUM(AN801:AT801)</f>
        <v>1</v>
      </c>
      <c r="AN801" s="60"/>
      <c r="AO801" s="52"/>
      <c r="AP801" s="52"/>
      <c r="AQ801" s="52"/>
      <c r="AR801" s="52"/>
      <c r="AS801" s="52">
        <v>1</v>
      </c>
      <c r="AT801" s="61"/>
      <c r="AU801" s="54">
        <f>MAX(0,$AM801-$AC801-$AW801)</f>
        <v>0</v>
      </c>
      <c r="AV801" s="54"/>
      <c r="AW801" s="54"/>
      <c r="AX801" s="65">
        <v>0</v>
      </c>
      <c r="AY801" s="57">
        <f>IF(AND($AU801&gt;0,ISNUMBER($AX801)),$AU801*$AX801,0)</f>
        <v>0</v>
      </c>
      <c r="AZ801" s="46"/>
      <c r="BA801" s="52"/>
      <c r="BB801" s="52"/>
      <c r="BC801" s="52"/>
      <c r="BD801" s="52"/>
      <c r="BE801" s="52"/>
      <c r="BF801" s="52"/>
    </row>
    <row r="802" spans="1:58" ht="15" customHeight="1">
      <c r="A802" s="46" t="s">
        <v>4505</v>
      </c>
      <c r="B802" s="50" t="s">
        <v>4506</v>
      </c>
      <c r="C802" s="54" t="s">
        <v>311</v>
      </c>
      <c r="D802" s="74">
        <v>0</v>
      </c>
      <c r="E802" s="50" t="s">
        <v>312</v>
      </c>
      <c r="F802" s="50"/>
      <c r="G802" s="50"/>
      <c r="H802" s="51"/>
      <c r="I802" s="50" t="s">
        <v>4507</v>
      </c>
      <c r="J802" s="54" t="s">
        <v>73</v>
      </c>
      <c r="K802" s="56" t="s">
        <v>312</v>
      </c>
      <c r="L802" s="56" t="s">
        <v>3391</v>
      </c>
      <c r="M802" s="56" t="s">
        <v>1452</v>
      </c>
      <c r="N802" s="56"/>
      <c r="O802" s="54"/>
      <c r="P802" s="56" t="s">
        <v>76</v>
      </c>
      <c r="Q802" s="56" t="s">
        <v>1030</v>
      </c>
      <c r="R802" s="50"/>
      <c r="S802" s="50"/>
      <c r="T802" s="50"/>
      <c r="U802" s="56"/>
      <c r="V802" s="57">
        <v>0.22</v>
      </c>
      <c r="W802" s="68"/>
      <c r="X802" s="50"/>
      <c r="Y802" s="50"/>
      <c r="Z802" s="50"/>
      <c r="AA802" s="56"/>
      <c r="AB802" s="57"/>
      <c r="AC802" s="54">
        <v>1</v>
      </c>
      <c r="AD802" s="69">
        <f>SUM(AE802:AK802)</f>
        <v>0</v>
      </c>
      <c r="AE802" s="66"/>
      <c r="AF802" s="66"/>
      <c r="AG802" s="66"/>
      <c r="AH802" s="66"/>
      <c r="AI802" s="66"/>
      <c r="AJ802" s="66"/>
      <c r="AK802" s="66"/>
      <c r="AL802" s="54">
        <f>IF((AC802-SUM(AE802:AK802))&lt;0,0,AC802-SUM(AE802:AK802))</f>
        <v>1</v>
      </c>
      <c r="AM802" s="69">
        <f>SUM(AN802:AT802)</f>
        <v>0</v>
      </c>
      <c r="AN802" s="60"/>
      <c r="AO802" s="52"/>
      <c r="AP802" s="52"/>
      <c r="AQ802" s="52"/>
      <c r="AR802" s="52"/>
      <c r="AS802" s="52"/>
      <c r="AT802" s="61"/>
      <c r="AU802" s="54">
        <f>MAX(0,$AM802-$AC802-$AW802)</f>
        <v>0</v>
      </c>
      <c r="AV802" s="54"/>
      <c r="AW802" s="54"/>
      <c r="AX802" s="65">
        <v>0</v>
      </c>
      <c r="AY802" s="57">
        <f>IF(AND($AU802&gt;0,ISNUMBER($AX802)),$AU802*$AX802,0)</f>
        <v>0</v>
      </c>
      <c r="AZ802" s="46"/>
      <c r="BA802" s="52"/>
      <c r="BB802" s="52"/>
      <c r="BC802" s="52"/>
      <c r="BD802" s="52"/>
      <c r="BE802" s="52"/>
      <c r="BF802" s="52"/>
    </row>
    <row r="803" spans="1:58" ht="15" customHeight="1">
      <c r="A803" s="46" t="s">
        <v>4508</v>
      </c>
      <c r="B803" s="50" t="s">
        <v>4509</v>
      </c>
      <c r="C803" s="54" t="s">
        <v>311</v>
      </c>
      <c r="D803" s="74">
        <v>0</v>
      </c>
      <c r="E803" s="50" t="s">
        <v>312</v>
      </c>
      <c r="F803" s="50"/>
      <c r="G803" s="50"/>
      <c r="H803" s="51"/>
      <c r="I803" s="50" t="s">
        <v>4510</v>
      </c>
      <c r="J803" s="54" t="s">
        <v>73</v>
      </c>
      <c r="K803" s="56" t="s">
        <v>312</v>
      </c>
      <c r="L803" s="56" t="s">
        <v>3391</v>
      </c>
      <c r="M803" s="56"/>
      <c r="N803" s="56"/>
      <c r="O803" s="54"/>
      <c r="P803" s="56" t="s">
        <v>76</v>
      </c>
      <c r="Q803" s="56" t="s">
        <v>1070</v>
      </c>
      <c r="R803" s="50"/>
      <c r="S803" s="50"/>
      <c r="T803" s="50"/>
      <c r="U803" s="56"/>
      <c r="V803" s="57">
        <v>0.22</v>
      </c>
      <c r="W803" s="68"/>
      <c r="X803" s="50"/>
      <c r="Y803" s="50"/>
      <c r="Z803" s="50"/>
      <c r="AA803" s="56"/>
      <c r="AB803" s="57"/>
      <c r="AC803" s="54">
        <v>1</v>
      </c>
      <c r="AD803" s="69">
        <f>SUM(AE803:AK803)</f>
        <v>0</v>
      </c>
      <c r="AE803" s="66"/>
      <c r="AF803" s="66"/>
      <c r="AG803" s="66"/>
      <c r="AH803" s="66"/>
      <c r="AI803" s="66"/>
      <c r="AJ803" s="66"/>
      <c r="AK803" s="66"/>
      <c r="AL803" s="54">
        <f>IF((AC803-SUM(AE803:AK803))&lt;0,0,AC803-SUM(AE803:AK803))</f>
        <v>1</v>
      </c>
      <c r="AM803" s="69">
        <f>SUM(AN803:AT803)</f>
        <v>0</v>
      </c>
      <c r="AN803" s="60"/>
      <c r="AO803" s="52"/>
      <c r="AP803" s="52"/>
      <c r="AQ803" s="52"/>
      <c r="AR803" s="52"/>
      <c r="AS803" s="52"/>
      <c r="AT803" s="61"/>
      <c r="AU803" s="54">
        <f>MAX(0,$AM803-$AC803-$AW803)</f>
        <v>0</v>
      </c>
      <c r="AV803" s="54"/>
      <c r="AW803" s="54"/>
      <c r="AX803" s="65">
        <v>0</v>
      </c>
      <c r="AY803" s="57">
        <f>IF(AND($AU803&gt;0,ISNUMBER($AX803)),$AU803*$AX803,0)</f>
        <v>0</v>
      </c>
      <c r="AZ803" s="46"/>
      <c r="BA803" s="52"/>
      <c r="BB803" s="52"/>
      <c r="BC803" s="52"/>
      <c r="BD803" s="52"/>
      <c r="BE803" s="52"/>
      <c r="BF803" s="52"/>
    </row>
    <row r="804" spans="1:58" ht="15" customHeight="1">
      <c r="A804" s="46" t="s">
        <v>4511</v>
      </c>
      <c r="B804" s="50" t="s">
        <v>4512</v>
      </c>
      <c r="C804" s="54" t="s">
        <v>101</v>
      </c>
      <c r="D804" s="74">
        <v>3</v>
      </c>
      <c r="E804" s="50" t="s">
        <v>81</v>
      </c>
      <c r="F804" s="50">
        <v>1</v>
      </c>
      <c r="G804" s="50">
        <v>1</v>
      </c>
      <c r="H804" s="51" t="s">
        <v>102</v>
      </c>
      <c r="I804" s="50" t="s">
        <v>4513</v>
      </c>
      <c r="J804" s="54" t="s">
        <v>73</v>
      </c>
      <c r="K804" s="56" t="s">
        <v>104</v>
      </c>
      <c r="L804" s="56" t="s">
        <v>3491</v>
      </c>
      <c r="M804" s="56"/>
      <c r="N804" s="56"/>
      <c r="O804" s="54"/>
      <c r="P804" s="56" t="s">
        <v>76</v>
      </c>
      <c r="Q804" s="56" t="s">
        <v>2386</v>
      </c>
      <c r="R804" s="54"/>
      <c r="S804" s="54"/>
      <c r="T804" s="54"/>
      <c r="U804" s="54"/>
      <c r="V804" s="57">
        <v>0.22</v>
      </c>
      <c r="W804" s="68"/>
      <c r="X804" s="54"/>
      <c r="Y804" s="54"/>
      <c r="Z804" s="54"/>
      <c r="AA804" s="54"/>
      <c r="AB804" s="57"/>
      <c r="AC804" s="54">
        <v>1</v>
      </c>
      <c r="AD804" s="69">
        <f>SUM(AE804:AK804)</f>
        <v>1</v>
      </c>
      <c r="AE804" s="66"/>
      <c r="AF804" s="66">
        <v>1</v>
      </c>
      <c r="AG804" s="66"/>
      <c r="AH804" s="66"/>
      <c r="AI804" s="66"/>
      <c r="AJ804" s="66"/>
      <c r="AK804" s="66"/>
      <c r="AL804" s="54">
        <f>IF((AC804-SUM(AE804:AK804))&lt;0,0,AC804-SUM(AE804:AK804))</f>
        <v>0</v>
      </c>
      <c r="AM804" s="69">
        <f>SUM(AN804:AT804)</f>
        <v>1</v>
      </c>
      <c r="AN804" s="60"/>
      <c r="AO804" s="52">
        <v>1</v>
      </c>
      <c r="AP804" s="52"/>
      <c r="AQ804" s="52"/>
      <c r="AR804" s="52"/>
      <c r="AS804" s="52"/>
      <c r="AT804" s="61"/>
      <c r="AU804" s="54">
        <f>MAX(0,$AM804-$AC804-$AW804)</f>
        <v>0</v>
      </c>
      <c r="AV804" s="54"/>
      <c r="AW804" s="54"/>
      <c r="AX804" s="65">
        <v>0</v>
      </c>
      <c r="AY804" s="57">
        <f>IF(AND($AU804&gt;0,ISNUMBER($AX804)),$AU804*$AX804,0)</f>
        <v>0</v>
      </c>
      <c r="AZ804" s="46"/>
      <c r="BA804" s="52"/>
      <c r="BB804" s="52"/>
      <c r="BC804" s="52"/>
      <c r="BD804" s="52"/>
      <c r="BE804" s="52"/>
      <c r="BF804" s="52"/>
    </row>
    <row r="805" spans="1:58" ht="15" customHeight="1">
      <c r="A805" s="46" t="s">
        <v>4514</v>
      </c>
      <c r="B805" s="46" t="s">
        <v>4515</v>
      </c>
      <c r="C805" s="52" t="s">
        <v>101</v>
      </c>
      <c r="D805" s="75">
        <v>3</v>
      </c>
      <c r="E805" s="46" t="s">
        <v>71</v>
      </c>
      <c r="F805" s="50"/>
      <c r="G805" s="50"/>
      <c r="H805" s="51"/>
      <c r="I805" s="50" t="s">
        <v>4516</v>
      </c>
      <c r="J805" s="52" t="s">
        <v>73</v>
      </c>
      <c r="K805" s="46" t="s">
        <v>135</v>
      </c>
      <c r="L805" s="50" t="s">
        <v>4517</v>
      </c>
      <c r="M805" s="50"/>
      <c r="N805" s="50"/>
      <c r="O805" s="54"/>
      <c r="P805" s="55" t="s">
        <v>185</v>
      </c>
      <c r="Q805" s="46" t="s">
        <v>645</v>
      </c>
      <c r="R805" s="75" t="s">
        <v>882</v>
      </c>
      <c r="S805" s="75">
        <v>1</v>
      </c>
      <c r="T805" s="75">
        <v>0</v>
      </c>
      <c r="U805" s="56"/>
      <c r="V805" s="57">
        <v>0.22</v>
      </c>
      <c r="W805" s="68"/>
      <c r="X805" s="46"/>
      <c r="Y805" s="46"/>
      <c r="Z805" s="46"/>
      <c r="AA805" s="56"/>
      <c r="AB805" s="57"/>
      <c r="AC805" s="54">
        <v>1</v>
      </c>
      <c r="AD805" s="69">
        <f>SUM(AE805:AK805)</f>
        <v>0</v>
      </c>
      <c r="AE805" s="66"/>
      <c r="AF805" s="66"/>
      <c r="AG805" s="66"/>
      <c r="AH805" s="66"/>
      <c r="AI805" s="66"/>
      <c r="AJ805" s="66"/>
      <c r="AK805" s="66"/>
      <c r="AL805" s="54">
        <f>IF((AC805-SUM(AE805:AK805))&lt;0,0,AC805-SUM(AE805:AK805))</f>
        <v>1</v>
      </c>
      <c r="AM805" s="69">
        <f>SUM(AN805:AT805)</f>
        <v>0</v>
      </c>
      <c r="AN805" s="60"/>
      <c r="AO805" s="52"/>
      <c r="AP805" s="52"/>
      <c r="AQ805" s="52"/>
      <c r="AR805" s="52"/>
      <c r="AS805" s="52"/>
      <c r="AT805" s="61"/>
      <c r="AU805" s="54">
        <f>MAX(0,$AM805-$AC805-$AW805)</f>
        <v>0</v>
      </c>
      <c r="AV805" s="52"/>
      <c r="AW805" s="52"/>
      <c r="AX805" s="65">
        <v>0</v>
      </c>
      <c r="AY805" s="57">
        <f>IF(AND($AU805&gt;0,ISNUMBER($AX805)),$AU805*$AX805,0)</f>
        <v>0</v>
      </c>
      <c r="AZ805" s="46"/>
      <c r="BA805" s="52"/>
      <c r="BB805" s="52"/>
      <c r="BC805" s="52"/>
      <c r="BD805" s="52"/>
      <c r="BE805" s="52"/>
      <c r="BF805" s="52"/>
    </row>
    <row r="806" spans="1:58" ht="15" customHeight="1">
      <c r="A806" s="46" t="s">
        <v>4518</v>
      </c>
      <c r="B806" s="46" t="s">
        <v>4519</v>
      </c>
      <c r="C806" s="52" t="s">
        <v>101</v>
      </c>
      <c r="D806" s="75">
        <v>4</v>
      </c>
      <c r="E806" s="46" t="s">
        <v>71</v>
      </c>
      <c r="F806" s="50"/>
      <c r="G806" s="50"/>
      <c r="H806" s="51"/>
      <c r="I806" s="50" t="s">
        <v>4520</v>
      </c>
      <c r="J806" s="52" t="s">
        <v>73</v>
      </c>
      <c r="K806" s="46" t="s">
        <v>152</v>
      </c>
      <c r="L806" s="50" t="s">
        <v>4521</v>
      </c>
      <c r="M806" s="50" t="s">
        <v>4522</v>
      </c>
      <c r="N806" s="50"/>
      <c r="O806" s="54"/>
      <c r="P806" s="55" t="s">
        <v>185</v>
      </c>
      <c r="Q806" s="46" t="s">
        <v>645</v>
      </c>
      <c r="R806" s="75" t="s">
        <v>4036</v>
      </c>
      <c r="S806" s="75">
        <v>1</v>
      </c>
      <c r="T806" s="75">
        <v>0</v>
      </c>
      <c r="U806" s="56" t="s">
        <v>4523</v>
      </c>
      <c r="V806" s="57">
        <v>0.21</v>
      </c>
      <c r="W806" s="68"/>
      <c r="X806" s="46"/>
      <c r="Y806" s="46"/>
      <c r="Z806" s="46"/>
      <c r="AA806" s="56"/>
      <c r="AB806" s="57"/>
      <c r="AC806" s="54">
        <v>1</v>
      </c>
      <c r="AD806" s="69">
        <f>SUM(AE806:AK806)</f>
        <v>1</v>
      </c>
      <c r="AE806" s="66"/>
      <c r="AF806" s="66"/>
      <c r="AG806" s="66"/>
      <c r="AH806" s="66"/>
      <c r="AI806" s="66"/>
      <c r="AJ806" s="66"/>
      <c r="AK806" s="66">
        <v>1</v>
      </c>
      <c r="AL806" s="54">
        <f>IF((AC806-SUM(AE806:AK806))&lt;0,0,AC806-SUM(AE806:AK806))</f>
        <v>0</v>
      </c>
      <c r="AM806" s="69">
        <f>SUM(AN806:AT806)</f>
        <v>0</v>
      </c>
      <c r="AN806" s="60"/>
      <c r="AO806" s="52"/>
      <c r="AP806" s="52"/>
      <c r="AQ806" s="52"/>
      <c r="AR806" s="52"/>
      <c r="AS806" s="52"/>
      <c r="AT806" s="61"/>
      <c r="AU806" s="54">
        <f>MAX(0,$AM806-$AC806-$AW806)</f>
        <v>0</v>
      </c>
      <c r="AV806" s="52"/>
      <c r="AW806" s="52"/>
      <c r="AX806" s="65">
        <v>0</v>
      </c>
      <c r="AY806" s="57">
        <f>IF(AND($AU806&gt;0,ISNUMBER($AX806)),$AU806*$AX806,0)</f>
        <v>0</v>
      </c>
      <c r="AZ806" s="46"/>
      <c r="BA806" s="52"/>
      <c r="BB806" s="52"/>
      <c r="BC806" s="52"/>
      <c r="BD806" s="52"/>
      <c r="BE806" s="52"/>
      <c r="BF806" s="52" t="s">
        <v>3793</v>
      </c>
    </row>
    <row r="807" spans="1:58" ht="15" customHeight="1">
      <c r="A807" s="46" t="s">
        <v>4524</v>
      </c>
      <c r="B807" s="50" t="s">
        <v>4525</v>
      </c>
      <c r="C807" s="54" t="s">
        <v>109</v>
      </c>
      <c r="D807" s="74">
        <v>5</v>
      </c>
      <c r="E807" s="50" t="s">
        <v>110</v>
      </c>
      <c r="F807" s="50">
        <v>3</v>
      </c>
      <c r="G807" s="50">
        <v>3</v>
      </c>
      <c r="H807" s="51" t="s">
        <v>4526</v>
      </c>
      <c r="I807" s="50" t="s">
        <v>4527</v>
      </c>
      <c r="J807" s="54" t="s">
        <v>73</v>
      </c>
      <c r="K807" s="56" t="s">
        <v>92</v>
      </c>
      <c r="L807" s="56" t="s">
        <v>4528</v>
      </c>
      <c r="M807" s="56"/>
      <c r="N807" s="56"/>
      <c r="O807" s="56">
        <v>267</v>
      </c>
      <c r="P807" s="56" t="s">
        <v>185</v>
      </c>
      <c r="Q807" s="56" t="s">
        <v>2210</v>
      </c>
      <c r="R807" s="50"/>
      <c r="S807" s="50"/>
      <c r="T807" s="50"/>
      <c r="U807" s="50"/>
      <c r="V807" s="57">
        <v>0.21</v>
      </c>
      <c r="W807" s="68"/>
      <c r="X807" s="50"/>
      <c r="Y807" s="50"/>
      <c r="Z807" s="50"/>
      <c r="AA807" s="50"/>
      <c r="AB807" s="57"/>
      <c r="AC807" s="54">
        <v>1</v>
      </c>
      <c r="AD807" s="69">
        <f>SUM(AE807:AK807)</f>
        <v>1</v>
      </c>
      <c r="AE807" s="66"/>
      <c r="AF807" s="66">
        <v>1</v>
      </c>
      <c r="AG807" s="66"/>
      <c r="AH807" s="66"/>
      <c r="AI807" s="66"/>
      <c r="AJ807" s="66"/>
      <c r="AK807" s="66"/>
      <c r="AL807" s="54">
        <f>IF((AC807-SUM(AE807:AK807))&lt;0,0,AC807-SUM(AE807:AK807))</f>
        <v>0</v>
      </c>
      <c r="AM807" s="69">
        <f>SUM(AN807:AT807)</f>
        <v>0</v>
      </c>
      <c r="AN807" s="60"/>
      <c r="AO807" s="52"/>
      <c r="AP807" s="52"/>
      <c r="AQ807" s="52"/>
      <c r="AR807" s="52"/>
      <c r="AS807" s="52"/>
      <c r="AT807" s="61"/>
      <c r="AU807" s="54">
        <f>MAX(0,$AM807-$AC807-$AW807)</f>
        <v>0</v>
      </c>
      <c r="AV807" s="54"/>
      <c r="AW807" s="54"/>
      <c r="AX807" s="65">
        <v>0</v>
      </c>
      <c r="AY807" s="57">
        <f>IF(AND($AU807&gt;0,ISNUMBER($AX807)),$AU807*$AX807,0)</f>
        <v>0</v>
      </c>
      <c r="AZ807" s="46"/>
      <c r="BA807" s="52" t="s">
        <v>284</v>
      </c>
      <c r="BB807" s="52"/>
      <c r="BC807" s="52"/>
      <c r="BD807" s="52"/>
      <c r="BE807" s="52"/>
      <c r="BF807" s="52"/>
    </row>
    <row r="808" spans="1:58" ht="15" customHeight="1">
      <c r="A808" s="46" t="s">
        <v>4529</v>
      </c>
      <c r="B808" s="50" t="s">
        <v>4530</v>
      </c>
      <c r="C808" s="54" t="s">
        <v>70</v>
      </c>
      <c r="D808" s="74">
        <v>1</v>
      </c>
      <c r="E808" s="50" t="s">
        <v>81</v>
      </c>
      <c r="F808" s="50">
        <v>0</v>
      </c>
      <c r="G808" s="50">
        <v>1</v>
      </c>
      <c r="H808" s="51" t="s">
        <v>4531</v>
      </c>
      <c r="I808" s="50" t="s">
        <v>4532</v>
      </c>
      <c r="J808" s="54" t="s">
        <v>73</v>
      </c>
      <c r="K808" s="56" t="s">
        <v>864</v>
      </c>
      <c r="L808" s="56" t="s">
        <v>4533</v>
      </c>
      <c r="M808" s="56"/>
      <c r="N808" s="56"/>
      <c r="O808" s="54"/>
      <c r="P808" s="56" t="s">
        <v>76</v>
      </c>
      <c r="Q808" s="56" t="s">
        <v>2183</v>
      </c>
      <c r="R808" s="50"/>
      <c r="S808" s="50"/>
      <c r="T808" s="50"/>
      <c r="U808" s="50"/>
      <c r="V808" s="57">
        <v>0.21</v>
      </c>
      <c r="W808" s="68"/>
      <c r="X808" s="50"/>
      <c r="Y808" s="50"/>
      <c r="Z808" s="50"/>
      <c r="AA808" s="50"/>
      <c r="AB808" s="57"/>
      <c r="AC808" s="54">
        <v>1</v>
      </c>
      <c r="AD808" s="69">
        <f>SUM(AE808:AK808)</f>
        <v>0</v>
      </c>
      <c r="AE808" s="66"/>
      <c r="AF808" s="66"/>
      <c r="AG808" s="66"/>
      <c r="AH808" s="66"/>
      <c r="AI808" s="66"/>
      <c r="AJ808" s="66"/>
      <c r="AK808" s="66"/>
      <c r="AL808" s="54">
        <f>IF((AC808-SUM(AE808:AK808))&lt;0,0,AC808-SUM(AE808:AK808))</f>
        <v>1</v>
      </c>
      <c r="AM808" s="69">
        <f>SUM(AN808:AT808)</f>
        <v>0</v>
      </c>
      <c r="AN808" s="60"/>
      <c r="AO808" s="52"/>
      <c r="AP808" s="52"/>
      <c r="AQ808" s="52"/>
      <c r="AR808" s="52"/>
      <c r="AS808" s="52"/>
      <c r="AT808" s="61"/>
      <c r="AU808" s="54">
        <f>MAX(0,$AM808-$AC808-$AW808)</f>
        <v>0</v>
      </c>
      <c r="AV808" s="54"/>
      <c r="AW808" s="54"/>
      <c r="AX808" s="65">
        <v>0</v>
      </c>
      <c r="AY808" s="57">
        <f>IF(AND($AU808&gt;0,ISNUMBER($AX808)),$AU808*$AX808,0)</f>
        <v>0</v>
      </c>
      <c r="AZ808" s="46"/>
      <c r="BA808" s="52"/>
      <c r="BB808" s="52"/>
      <c r="BC808" s="52"/>
      <c r="BD808" s="52"/>
      <c r="BE808" s="52"/>
      <c r="BF808" s="52"/>
    </row>
    <row r="809" spans="1:58" ht="15" customHeight="1">
      <c r="A809" s="46" t="s">
        <v>4534</v>
      </c>
      <c r="B809" s="46" t="s">
        <v>4535</v>
      </c>
      <c r="C809" s="52" t="s">
        <v>70</v>
      </c>
      <c r="D809" s="75">
        <v>3</v>
      </c>
      <c r="E809" s="46" t="s">
        <v>81</v>
      </c>
      <c r="F809" s="50">
        <v>3</v>
      </c>
      <c r="G809" s="50">
        <v>3</v>
      </c>
      <c r="H809" s="51" t="s">
        <v>2590</v>
      </c>
      <c r="I809" s="50" t="s">
        <v>4536</v>
      </c>
      <c r="J809" s="52" t="s">
        <v>73</v>
      </c>
      <c r="K809" s="46" t="s">
        <v>1099</v>
      </c>
      <c r="L809" s="50" t="s">
        <v>4537</v>
      </c>
      <c r="M809" s="50" t="s">
        <v>4538</v>
      </c>
      <c r="N809" s="50"/>
      <c r="O809" s="54"/>
      <c r="P809" s="55" t="s">
        <v>185</v>
      </c>
      <c r="Q809" s="46" t="s">
        <v>645</v>
      </c>
      <c r="R809" s="75" t="s">
        <v>2578</v>
      </c>
      <c r="S809" s="75">
        <v>1</v>
      </c>
      <c r="T809" s="75">
        <v>0</v>
      </c>
      <c r="U809" s="56"/>
      <c r="V809" s="57">
        <v>0.21</v>
      </c>
      <c r="W809" s="68"/>
      <c r="X809" s="46"/>
      <c r="Y809" s="46"/>
      <c r="Z809" s="46"/>
      <c r="AA809" s="56"/>
      <c r="AB809" s="57"/>
      <c r="AC809" s="54">
        <v>1</v>
      </c>
      <c r="AD809" s="69">
        <f>SUM(AE809:AK809)</f>
        <v>0</v>
      </c>
      <c r="AE809" s="66"/>
      <c r="AF809" s="66"/>
      <c r="AG809" s="66"/>
      <c r="AH809" s="66"/>
      <c r="AI809" s="66"/>
      <c r="AJ809" s="66"/>
      <c r="AK809" s="66"/>
      <c r="AL809" s="54">
        <f>IF((AC809-SUM(AE809:AK809))&lt;0,0,AC809-SUM(AE809:AK809))</f>
        <v>1</v>
      </c>
      <c r="AM809" s="69">
        <f>SUM(AN809:AT809)</f>
        <v>0</v>
      </c>
      <c r="AN809" s="60"/>
      <c r="AO809" s="52"/>
      <c r="AP809" s="52"/>
      <c r="AQ809" s="52"/>
      <c r="AR809" s="52"/>
      <c r="AS809" s="52"/>
      <c r="AT809" s="61"/>
      <c r="AU809" s="54">
        <f>MAX(0,$AM809-$AC809-$AW809)</f>
        <v>0</v>
      </c>
      <c r="AV809" s="52"/>
      <c r="AW809" s="52"/>
      <c r="AX809" s="65">
        <v>0</v>
      </c>
      <c r="AY809" s="57">
        <f>IF(AND($AU809&gt;0,ISNUMBER($AX809)),$AU809*$AX809,0)</f>
        <v>0</v>
      </c>
      <c r="AZ809" s="46"/>
      <c r="BA809" s="52"/>
      <c r="BB809" s="52"/>
      <c r="BC809" s="52"/>
      <c r="BD809" s="52"/>
      <c r="BE809" s="52"/>
      <c r="BF809" s="52"/>
    </row>
    <row r="810" spans="1:58" ht="15" customHeight="1">
      <c r="A810" s="46" t="s">
        <v>4539</v>
      </c>
      <c r="B810" s="50" t="s">
        <v>4540</v>
      </c>
      <c r="C810" s="54" t="s">
        <v>181</v>
      </c>
      <c r="D810" s="74">
        <v>2</v>
      </c>
      <c r="E810" s="50" t="s">
        <v>81</v>
      </c>
      <c r="F810" s="50">
        <v>3</v>
      </c>
      <c r="G810" s="50">
        <v>3</v>
      </c>
      <c r="H810" s="51" t="s">
        <v>4541</v>
      </c>
      <c r="I810" s="50" t="s">
        <v>4542</v>
      </c>
      <c r="J810" s="54" t="s">
        <v>73</v>
      </c>
      <c r="K810" s="56" t="s">
        <v>273</v>
      </c>
      <c r="L810" s="56" t="s">
        <v>4543</v>
      </c>
      <c r="M810" s="56"/>
      <c r="N810" s="56"/>
      <c r="O810" s="54"/>
      <c r="P810" s="56" t="s">
        <v>185</v>
      </c>
      <c r="Q810" s="56" t="s">
        <v>528</v>
      </c>
      <c r="R810" s="50"/>
      <c r="S810" s="50"/>
      <c r="T810" s="50"/>
      <c r="U810" s="50"/>
      <c r="V810" s="57">
        <v>0.21</v>
      </c>
      <c r="W810" s="68"/>
      <c r="X810" s="50"/>
      <c r="Y810" s="50"/>
      <c r="Z810" s="50"/>
      <c r="AA810" s="50"/>
      <c r="AB810" s="57"/>
      <c r="AC810" s="54">
        <v>1</v>
      </c>
      <c r="AD810" s="69">
        <f>SUM(AE810:AK810)</f>
        <v>1</v>
      </c>
      <c r="AE810" s="66"/>
      <c r="AF810" s="66"/>
      <c r="AG810" s="66"/>
      <c r="AH810" s="66">
        <v>1</v>
      </c>
      <c r="AI810" s="66"/>
      <c r="AJ810" s="66"/>
      <c r="AK810" s="66"/>
      <c r="AL810" s="54">
        <f>IF((AC810-SUM(AE810:AK810))&lt;0,0,AC810-SUM(AE810:AK810))</f>
        <v>0</v>
      </c>
      <c r="AM810" s="69">
        <f>SUM(AN810:AT810)</f>
        <v>1</v>
      </c>
      <c r="AN810" s="60"/>
      <c r="AO810" s="52"/>
      <c r="AP810" s="52"/>
      <c r="AQ810" s="52">
        <v>1</v>
      </c>
      <c r="AR810" s="52"/>
      <c r="AS810" s="52"/>
      <c r="AT810" s="61"/>
      <c r="AU810" s="54">
        <f>MAX(0,$AM810-$AC810-$AW810)</f>
        <v>0</v>
      </c>
      <c r="AV810" s="54"/>
      <c r="AW810" s="54"/>
      <c r="AX810" s="65">
        <v>0</v>
      </c>
      <c r="AY810" s="57">
        <f>IF(AND($AU810&gt;0,ISNUMBER($AX810)),$AU810*$AX810,0)</f>
        <v>0</v>
      </c>
      <c r="AZ810" s="46"/>
      <c r="BA810" s="52"/>
      <c r="BB810" s="52"/>
      <c r="BC810" s="52"/>
      <c r="BD810" s="52"/>
      <c r="BE810" s="52"/>
      <c r="BF810" s="52"/>
    </row>
    <row r="811" spans="1:58" ht="15" customHeight="1">
      <c r="A811" s="46" t="s">
        <v>4544</v>
      </c>
      <c r="B811" s="50" t="s">
        <v>4545</v>
      </c>
      <c r="C811" s="54" t="s">
        <v>311</v>
      </c>
      <c r="D811" s="74">
        <v>0</v>
      </c>
      <c r="E811" s="50" t="s">
        <v>312</v>
      </c>
      <c r="F811" s="50"/>
      <c r="G811" s="50"/>
      <c r="H811" s="51"/>
      <c r="I811" s="50" t="s">
        <v>4546</v>
      </c>
      <c r="J811" s="54" t="s">
        <v>73</v>
      </c>
      <c r="K811" s="56" t="s">
        <v>312</v>
      </c>
      <c r="L811" s="56" t="s">
        <v>1358</v>
      </c>
      <c r="M811" s="56" t="s">
        <v>1452</v>
      </c>
      <c r="N811" s="56"/>
      <c r="O811" s="54"/>
      <c r="P811" s="56" t="s">
        <v>76</v>
      </c>
      <c r="Q811" s="56" t="s">
        <v>1030</v>
      </c>
      <c r="R811" s="50"/>
      <c r="S811" s="50"/>
      <c r="T811" s="50"/>
      <c r="U811" s="50"/>
      <c r="V811" s="57">
        <v>0.21</v>
      </c>
      <c r="W811" s="68"/>
      <c r="X811" s="50"/>
      <c r="Y811" s="50"/>
      <c r="Z811" s="50"/>
      <c r="AA811" s="50"/>
      <c r="AB811" s="57"/>
      <c r="AC811" s="54">
        <v>1</v>
      </c>
      <c r="AD811" s="69">
        <f>SUM(AE811:AK811)</f>
        <v>1</v>
      </c>
      <c r="AE811" s="66"/>
      <c r="AF811" s="66"/>
      <c r="AG811" s="66"/>
      <c r="AH811" s="66"/>
      <c r="AI811" s="66">
        <v>1</v>
      </c>
      <c r="AJ811" s="66"/>
      <c r="AK811" s="66"/>
      <c r="AL811" s="54">
        <f>IF((AC811-SUM(AE811:AK811))&lt;0,0,AC811-SUM(AE811:AK811))</f>
        <v>0</v>
      </c>
      <c r="AM811" s="69">
        <f>SUM(AN811:AT811)</f>
        <v>1</v>
      </c>
      <c r="AN811" s="60"/>
      <c r="AO811" s="52"/>
      <c r="AP811" s="52"/>
      <c r="AQ811" s="52"/>
      <c r="AR811" s="52">
        <v>1</v>
      </c>
      <c r="AS811" s="52"/>
      <c r="AT811" s="61"/>
      <c r="AU811" s="54">
        <f>MAX(0,$AM811-$AC811-$AW811)</f>
        <v>0</v>
      </c>
      <c r="AV811" s="54"/>
      <c r="AW811" s="54"/>
      <c r="AX811" s="65">
        <v>0</v>
      </c>
      <c r="AY811" s="57">
        <f>IF(AND($AU811&gt;0,ISNUMBER($AX811)),$AU811*$AX811,0)</f>
        <v>0</v>
      </c>
      <c r="AZ811" s="46"/>
      <c r="BA811" s="52"/>
      <c r="BB811" s="52"/>
      <c r="BC811" s="52"/>
      <c r="BD811" s="52"/>
      <c r="BE811" s="52"/>
      <c r="BF811" s="52"/>
    </row>
    <row r="812" spans="1:58" ht="15" customHeight="1">
      <c r="A812" s="46" t="s">
        <v>4547</v>
      </c>
      <c r="B812" s="50" t="s">
        <v>4548</v>
      </c>
      <c r="C812" s="54" t="s">
        <v>118</v>
      </c>
      <c r="D812" s="74">
        <v>3</v>
      </c>
      <c r="E812" s="50" t="s">
        <v>81</v>
      </c>
      <c r="F812" s="50">
        <v>2</v>
      </c>
      <c r="G812" s="50">
        <v>2</v>
      </c>
      <c r="H812" s="51" t="s">
        <v>2590</v>
      </c>
      <c r="I812" s="50" t="s">
        <v>4549</v>
      </c>
      <c r="J812" s="54" t="s">
        <v>73</v>
      </c>
      <c r="K812" s="56" t="s">
        <v>84</v>
      </c>
      <c r="L812" s="56" t="s">
        <v>995</v>
      </c>
      <c r="M812" s="56" t="s">
        <v>4550</v>
      </c>
      <c r="N812" s="56" t="s">
        <v>4551</v>
      </c>
      <c r="O812" s="54"/>
      <c r="P812" s="56" t="s">
        <v>86</v>
      </c>
      <c r="Q812" s="56" t="s">
        <v>93</v>
      </c>
      <c r="R812" s="50"/>
      <c r="S812" s="50"/>
      <c r="T812" s="50"/>
      <c r="U812" s="56"/>
      <c r="V812" s="57">
        <v>0.21</v>
      </c>
      <c r="W812" s="68"/>
      <c r="X812" s="50"/>
      <c r="Y812" s="50"/>
      <c r="Z812" s="50"/>
      <c r="AA812" s="56"/>
      <c r="AB812" s="57"/>
      <c r="AC812" s="54">
        <v>1</v>
      </c>
      <c r="AD812" s="69">
        <f>SUM(AE812:AK812)</f>
        <v>0</v>
      </c>
      <c r="AE812" s="66"/>
      <c r="AF812" s="66"/>
      <c r="AG812" s="66"/>
      <c r="AH812" s="66"/>
      <c r="AI812" s="66"/>
      <c r="AJ812" s="66"/>
      <c r="AK812" s="66"/>
      <c r="AL812" s="54">
        <f>IF((AC812-SUM(AE812:AK812))&lt;0,0,AC812-SUM(AE812:AK812))</f>
        <v>1</v>
      </c>
      <c r="AM812" s="69">
        <f>SUM(AN812:AT812)</f>
        <v>0</v>
      </c>
      <c r="AN812" s="60"/>
      <c r="AO812" s="52"/>
      <c r="AP812" s="52"/>
      <c r="AQ812" s="52"/>
      <c r="AR812" s="52"/>
      <c r="AS812" s="52"/>
      <c r="AT812" s="61"/>
      <c r="AU812" s="54">
        <f>MAX(0,$AM812-$AC812-$AW812)</f>
        <v>0</v>
      </c>
      <c r="AV812" s="54"/>
      <c r="AW812" s="54"/>
      <c r="AX812" s="65">
        <v>0</v>
      </c>
      <c r="AY812" s="57">
        <f>IF(AND($AU812&gt;0,ISNUMBER($AX812)),$AU812*$AX812,0)</f>
        <v>0</v>
      </c>
      <c r="AZ812" s="46"/>
      <c r="BA812" s="52"/>
      <c r="BB812" s="52"/>
      <c r="BC812" s="52"/>
      <c r="BD812" s="52"/>
      <c r="BE812" s="52"/>
      <c r="BF812" s="52"/>
    </row>
    <row r="813" spans="1:58" ht="15" customHeight="1">
      <c r="A813" s="46" t="s">
        <v>4552</v>
      </c>
      <c r="B813" s="50" t="s">
        <v>4553</v>
      </c>
      <c r="C813" s="54" t="s">
        <v>80</v>
      </c>
      <c r="D813" s="74">
        <v>1</v>
      </c>
      <c r="E813" s="50" t="s">
        <v>189</v>
      </c>
      <c r="F813" s="50"/>
      <c r="G813" s="50"/>
      <c r="H813" s="51" t="s">
        <v>724</v>
      </c>
      <c r="I813" s="50" t="s">
        <v>4554</v>
      </c>
      <c r="J813" s="54" t="s">
        <v>73</v>
      </c>
      <c r="K813" s="56" t="s">
        <v>254</v>
      </c>
      <c r="L813" s="56" t="s">
        <v>4555</v>
      </c>
      <c r="M813" s="56" t="s">
        <v>4556</v>
      </c>
      <c r="N813" s="56"/>
      <c r="O813" s="54"/>
      <c r="P813" s="56" t="s">
        <v>76</v>
      </c>
      <c r="Q813" s="56" t="s">
        <v>729</v>
      </c>
      <c r="R813" s="50"/>
      <c r="S813" s="50"/>
      <c r="T813" s="50"/>
      <c r="U813" s="50"/>
      <c r="V813" s="57">
        <v>0.21</v>
      </c>
      <c r="W813" s="68"/>
      <c r="X813" s="50"/>
      <c r="Y813" s="50"/>
      <c r="Z813" s="50"/>
      <c r="AA813" s="50"/>
      <c r="AB813" s="57"/>
      <c r="AC813" s="54">
        <v>1</v>
      </c>
      <c r="AD813" s="69">
        <f>SUM(AE813:AK813)</f>
        <v>0</v>
      </c>
      <c r="AE813" s="66"/>
      <c r="AF813" s="66"/>
      <c r="AG813" s="66"/>
      <c r="AH813" s="66"/>
      <c r="AI813" s="66"/>
      <c r="AJ813" s="66"/>
      <c r="AK813" s="66"/>
      <c r="AL813" s="54">
        <f>IF((AC813-SUM(AE813:AK813))&lt;0,0,AC813-SUM(AE813:AK813))</f>
        <v>1</v>
      </c>
      <c r="AM813" s="69">
        <f>SUM(AN813:AT813)</f>
        <v>0</v>
      </c>
      <c r="AN813" s="60"/>
      <c r="AO813" s="52"/>
      <c r="AP813" s="52"/>
      <c r="AQ813" s="52"/>
      <c r="AR813" s="52"/>
      <c r="AS813" s="52"/>
      <c r="AT813" s="61"/>
      <c r="AU813" s="54">
        <f>MAX(0,$AM813-$AC813-$AW813)</f>
        <v>0</v>
      </c>
      <c r="AV813" s="54"/>
      <c r="AW813" s="54"/>
      <c r="AX813" s="65">
        <v>0</v>
      </c>
      <c r="AY813" s="57">
        <f>IF(AND($AU813&gt;0,ISNUMBER($AX813)),$AU813*$AX813,0)</f>
        <v>0</v>
      </c>
      <c r="AZ813" s="46"/>
      <c r="BA813" s="52"/>
      <c r="BB813" s="52"/>
      <c r="BC813" s="52"/>
      <c r="BD813" s="52"/>
      <c r="BE813" s="52"/>
      <c r="BF813" s="52"/>
    </row>
    <row r="814" spans="1:58" ht="15" customHeight="1">
      <c r="A814" s="46" t="s">
        <v>4557</v>
      </c>
      <c r="B814" s="50" t="s">
        <v>4558</v>
      </c>
      <c r="C814" s="54" t="s">
        <v>118</v>
      </c>
      <c r="D814" s="74">
        <v>4</v>
      </c>
      <c r="E814" s="50" t="s">
        <v>81</v>
      </c>
      <c r="F814" s="50">
        <v>2</v>
      </c>
      <c r="G814" s="50">
        <v>2</v>
      </c>
      <c r="H814" s="51" t="s">
        <v>4559</v>
      </c>
      <c r="I814" s="50" t="s">
        <v>4560</v>
      </c>
      <c r="J814" s="54" t="s">
        <v>73</v>
      </c>
      <c r="K814" s="56" t="s">
        <v>104</v>
      </c>
      <c r="L814" s="56" t="s">
        <v>4561</v>
      </c>
      <c r="M814" s="56"/>
      <c r="N814" s="56"/>
      <c r="O814" s="54"/>
      <c r="P814" s="56" t="s">
        <v>76</v>
      </c>
      <c r="Q814" s="56" t="s">
        <v>928</v>
      </c>
      <c r="R814" s="50"/>
      <c r="S814" s="50"/>
      <c r="T814" s="50"/>
      <c r="U814" s="56"/>
      <c r="V814" s="57">
        <v>0.21</v>
      </c>
      <c r="W814" s="68"/>
      <c r="X814" s="50"/>
      <c r="Y814" s="50"/>
      <c r="Z814" s="50"/>
      <c r="AA814" s="56"/>
      <c r="AB814" s="57"/>
      <c r="AC814" s="54">
        <v>1</v>
      </c>
      <c r="AD814" s="69">
        <f>SUM(AE814:AK814)</f>
        <v>1</v>
      </c>
      <c r="AE814" s="66"/>
      <c r="AF814" s="66">
        <v>1</v>
      </c>
      <c r="AG814" s="66"/>
      <c r="AH814" s="66"/>
      <c r="AI814" s="66"/>
      <c r="AJ814" s="66"/>
      <c r="AK814" s="66"/>
      <c r="AL814" s="54">
        <f>IF((AC814-SUM(AE814:AK814))&lt;0,0,AC814-SUM(AE814:AK814))</f>
        <v>0</v>
      </c>
      <c r="AM814" s="69">
        <f>SUM(AN814:AT814)</f>
        <v>0</v>
      </c>
      <c r="AN814" s="60"/>
      <c r="AO814" s="52"/>
      <c r="AP814" s="52"/>
      <c r="AQ814" s="52"/>
      <c r="AR814" s="52"/>
      <c r="AS814" s="52"/>
      <c r="AT814" s="61"/>
      <c r="AU814" s="54">
        <f>MAX(0,$AM814-$AC814-$AW814)</f>
        <v>0</v>
      </c>
      <c r="AV814" s="54"/>
      <c r="AW814" s="54"/>
      <c r="AX814" s="65">
        <v>0</v>
      </c>
      <c r="AY814" s="57">
        <f>IF(AND($AU814&gt;0,ISNUMBER($AX814)),$AU814*$AX814,0)</f>
        <v>0</v>
      </c>
      <c r="AZ814" s="46"/>
      <c r="BA814" s="52" t="s">
        <v>335</v>
      </c>
      <c r="BB814" s="52"/>
      <c r="BC814" s="52"/>
      <c r="BD814" s="52"/>
      <c r="BE814" s="52"/>
      <c r="BF814" s="52"/>
    </row>
    <row r="815" spans="1:58" ht="15" customHeight="1">
      <c r="A815" s="46" t="s">
        <v>1517</v>
      </c>
      <c r="B815" s="50" t="s">
        <v>4562</v>
      </c>
      <c r="C815" s="54" t="s">
        <v>181</v>
      </c>
      <c r="D815" s="74">
        <v>2</v>
      </c>
      <c r="E815" s="50" t="s">
        <v>71</v>
      </c>
      <c r="F815" s="50"/>
      <c r="G815" s="50"/>
      <c r="H815" s="51"/>
      <c r="I815" s="50" t="s">
        <v>4563</v>
      </c>
      <c r="J815" s="54" t="s">
        <v>73</v>
      </c>
      <c r="K815" s="56" t="s">
        <v>135</v>
      </c>
      <c r="L815" s="56" t="s">
        <v>4564</v>
      </c>
      <c r="M815" s="56" t="s">
        <v>4565</v>
      </c>
      <c r="N815" s="56"/>
      <c r="O815" s="54"/>
      <c r="P815" s="56" t="s">
        <v>76</v>
      </c>
      <c r="Q815" s="56" t="s">
        <v>2183</v>
      </c>
      <c r="R815" s="50"/>
      <c r="S815" s="50"/>
      <c r="T815" s="50"/>
      <c r="U815" s="50"/>
      <c r="V815" s="57">
        <v>0.21</v>
      </c>
      <c r="W815" s="68"/>
      <c r="X815" s="50"/>
      <c r="Y815" s="50"/>
      <c r="Z815" s="50"/>
      <c r="AA815" s="50"/>
      <c r="AB815" s="57"/>
      <c r="AC815" s="54">
        <v>1</v>
      </c>
      <c r="AD815" s="69">
        <f>SUM(AE815:AK815)</f>
        <v>1</v>
      </c>
      <c r="AE815" s="66"/>
      <c r="AF815" s="66"/>
      <c r="AG815" s="66"/>
      <c r="AH815" s="66">
        <v>1</v>
      </c>
      <c r="AI815" s="66"/>
      <c r="AJ815" s="66"/>
      <c r="AK815" s="66"/>
      <c r="AL815" s="54">
        <f>IF((AC815-SUM(AE815:AK815))&lt;0,0,AC815-SUM(AE815:AK815))</f>
        <v>0</v>
      </c>
      <c r="AM815" s="69">
        <f>SUM(AN815:AT815)</f>
        <v>1</v>
      </c>
      <c r="AN815" s="60"/>
      <c r="AO815" s="52"/>
      <c r="AP815" s="52"/>
      <c r="AQ815" s="52"/>
      <c r="AR815" s="52"/>
      <c r="AS815" s="52"/>
      <c r="AT815" s="61">
        <v>1</v>
      </c>
      <c r="AU815" s="54">
        <f>MAX(0,$AM815-$AC815-$AW815)</f>
        <v>0</v>
      </c>
      <c r="AV815" s="54"/>
      <c r="AW815" s="54"/>
      <c r="AX815" s="65">
        <v>0</v>
      </c>
      <c r="AY815" s="57">
        <f>IF(AND($AU815&gt;0,ISNUMBER($AX815)),$AU815*$AX815,0)</f>
        <v>0</v>
      </c>
      <c r="AZ815" s="46"/>
      <c r="BA815" s="52"/>
      <c r="BB815" s="52"/>
      <c r="BC815" s="52" t="s">
        <v>421</v>
      </c>
      <c r="BD815" s="52"/>
      <c r="BE815" s="52"/>
      <c r="BF815" s="52"/>
    </row>
    <row r="816" spans="1:58" ht="15" customHeight="1">
      <c r="A816" s="46" t="s">
        <v>4566</v>
      </c>
      <c r="B816" s="50" t="s">
        <v>4567</v>
      </c>
      <c r="C816" s="54" t="s">
        <v>70</v>
      </c>
      <c r="D816" s="74">
        <v>1</v>
      </c>
      <c r="E816" s="50" t="s">
        <v>71</v>
      </c>
      <c r="F816" s="50"/>
      <c r="G816" s="50"/>
      <c r="H816" s="51"/>
      <c r="I816" s="50" t="s">
        <v>4568</v>
      </c>
      <c r="J816" s="54" t="s">
        <v>196</v>
      </c>
      <c r="K816" s="56" t="s">
        <v>135</v>
      </c>
      <c r="L816" s="56" t="s">
        <v>4569</v>
      </c>
      <c r="M816" s="56"/>
      <c r="N816" s="56"/>
      <c r="O816" s="54"/>
      <c r="P816" s="56" t="s">
        <v>86</v>
      </c>
      <c r="Q816" s="56" t="s">
        <v>581</v>
      </c>
      <c r="R816" s="50"/>
      <c r="S816" s="50"/>
      <c r="T816" s="50"/>
      <c r="U816" s="56"/>
      <c r="V816" s="57">
        <v>0.21</v>
      </c>
      <c r="W816" s="68"/>
      <c r="X816" s="50"/>
      <c r="Y816" s="50"/>
      <c r="Z816" s="50"/>
      <c r="AA816" s="56"/>
      <c r="AB816" s="57"/>
      <c r="AC816" s="54">
        <v>1</v>
      </c>
      <c r="AD816" s="69">
        <f>SUM(AE816:AK816)</f>
        <v>1</v>
      </c>
      <c r="AE816" s="66"/>
      <c r="AF816" s="66"/>
      <c r="AG816" s="66"/>
      <c r="AH816" s="66"/>
      <c r="AI816" s="66"/>
      <c r="AJ816" s="66">
        <v>1</v>
      </c>
      <c r="AK816" s="66"/>
      <c r="AL816" s="54">
        <f>IF((AC816-SUM(AE816:AK816))&lt;0,0,AC816-SUM(AE816:AK816))</f>
        <v>0</v>
      </c>
      <c r="AM816" s="69">
        <f>SUM(AN816:AT816)</f>
        <v>1</v>
      </c>
      <c r="AN816" s="60"/>
      <c r="AO816" s="52"/>
      <c r="AP816" s="52"/>
      <c r="AQ816" s="52"/>
      <c r="AR816" s="52"/>
      <c r="AS816" s="52">
        <v>1</v>
      </c>
      <c r="AT816" s="61"/>
      <c r="AU816" s="54">
        <f>MAX(0,$AM816-$AC816-$AW816)</f>
        <v>0</v>
      </c>
      <c r="AV816" s="54"/>
      <c r="AW816" s="54"/>
      <c r="AX816" s="65">
        <v>0</v>
      </c>
      <c r="AY816" s="57">
        <f>IF(AND($AU816&gt;0,ISNUMBER($AX816)),$AU816*$AX816,0)</f>
        <v>0</v>
      </c>
      <c r="AZ816" s="46"/>
      <c r="BA816" s="52"/>
      <c r="BB816" s="52"/>
      <c r="BC816" s="52"/>
      <c r="BD816" s="52"/>
      <c r="BE816" s="52"/>
      <c r="BF816" s="52"/>
    </row>
    <row r="817" spans="1:58" ht="15" customHeight="1">
      <c r="A817" s="46" t="s">
        <v>4570</v>
      </c>
      <c r="B817" s="46" t="s">
        <v>4571</v>
      </c>
      <c r="C817" s="52" t="s">
        <v>70</v>
      </c>
      <c r="D817" s="75">
        <v>5</v>
      </c>
      <c r="E817" s="46" t="s">
        <v>81</v>
      </c>
      <c r="F817" s="50">
        <v>4</v>
      </c>
      <c r="G817" s="50">
        <v>4</v>
      </c>
      <c r="H817" s="51" t="s">
        <v>674</v>
      </c>
      <c r="I817" s="50" t="s">
        <v>4572</v>
      </c>
      <c r="J817" s="52" t="s">
        <v>73</v>
      </c>
      <c r="K817" s="46" t="s">
        <v>129</v>
      </c>
      <c r="L817" s="50" t="s">
        <v>4573</v>
      </c>
      <c r="M817" s="50"/>
      <c r="N817" s="50"/>
      <c r="O817" s="54"/>
      <c r="P817" s="55" t="s">
        <v>185</v>
      </c>
      <c r="Q817" s="46" t="s">
        <v>633</v>
      </c>
      <c r="R817" s="75" t="s">
        <v>4574</v>
      </c>
      <c r="S817" s="75">
        <v>1</v>
      </c>
      <c r="T817" s="75">
        <v>0</v>
      </c>
      <c r="U817" s="56"/>
      <c r="V817" s="57">
        <v>0.21</v>
      </c>
      <c r="W817" s="68"/>
      <c r="X817" s="46"/>
      <c r="Y817" s="46"/>
      <c r="Z817" s="46"/>
      <c r="AA817" s="56"/>
      <c r="AB817" s="57"/>
      <c r="AC817" s="54">
        <v>1</v>
      </c>
      <c r="AD817" s="69">
        <f>SUM(AE817:AK817)</f>
        <v>0</v>
      </c>
      <c r="AE817" s="66"/>
      <c r="AF817" s="66"/>
      <c r="AG817" s="66"/>
      <c r="AH817" s="66"/>
      <c r="AI817" s="66"/>
      <c r="AJ817" s="66"/>
      <c r="AK817" s="66"/>
      <c r="AL817" s="54">
        <f>IF((AC817-SUM(AE817:AK817))&lt;0,0,AC817-SUM(AE817:AK817))</f>
        <v>1</v>
      </c>
      <c r="AM817" s="69">
        <f>SUM(AN817:AT817)</f>
        <v>0</v>
      </c>
      <c r="AN817" s="60"/>
      <c r="AO817" s="52"/>
      <c r="AP817" s="52"/>
      <c r="AQ817" s="52"/>
      <c r="AR817" s="52"/>
      <c r="AS817" s="52"/>
      <c r="AT817" s="61"/>
      <c r="AU817" s="54">
        <f>MAX(0,$AM817-$AC817-$AW817)</f>
        <v>0</v>
      </c>
      <c r="AV817" s="52"/>
      <c r="AW817" s="52"/>
      <c r="AX817" s="65">
        <v>0</v>
      </c>
      <c r="AY817" s="57">
        <f>IF(AND($AU817&gt;0,ISNUMBER($AX817)),$AU817*$AX817,0)</f>
        <v>0</v>
      </c>
      <c r="AZ817" s="46"/>
      <c r="BA817" s="52"/>
      <c r="BB817" s="52"/>
      <c r="BC817" s="52"/>
      <c r="BD817" s="52"/>
      <c r="BE817" s="52"/>
      <c r="BF817" s="52"/>
    </row>
    <row r="818" spans="1:58" ht="15" customHeight="1">
      <c r="A818" s="46" t="s">
        <v>4575</v>
      </c>
      <c r="B818" s="50" t="s">
        <v>4576</v>
      </c>
      <c r="C818" s="54" t="s">
        <v>118</v>
      </c>
      <c r="D818" s="74">
        <v>2</v>
      </c>
      <c r="E818" s="50" t="s">
        <v>189</v>
      </c>
      <c r="F818" s="50"/>
      <c r="G818" s="50"/>
      <c r="H818" s="51"/>
      <c r="I818" s="50" t="s">
        <v>4577</v>
      </c>
      <c r="J818" s="54" t="s">
        <v>73</v>
      </c>
      <c r="K818" s="56" t="s">
        <v>129</v>
      </c>
      <c r="L818" s="56" t="s">
        <v>4578</v>
      </c>
      <c r="M818" s="56"/>
      <c r="N818" s="56"/>
      <c r="O818" s="54"/>
      <c r="P818" s="56" t="s">
        <v>76</v>
      </c>
      <c r="Q818" s="56" t="s">
        <v>523</v>
      </c>
      <c r="R818" s="50"/>
      <c r="S818" s="50"/>
      <c r="T818" s="50"/>
      <c r="U818" s="50"/>
      <c r="V818" s="57">
        <v>0.21</v>
      </c>
      <c r="W818" s="68"/>
      <c r="X818" s="50"/>
      <c r="Y818" s="50"/>
      <c r="Z818" s="50"/>
      <c r="AA818" s="50"/>
      <c r="AB818" s="57"/>
      <c r="AC818" s="54">
        <v>1</v>
      </c>
      <c r="AD818" s="69">
        <f>SUM(AE818:AK818)</f>
        <v>1</v>
      </c>
      <c r="AE818" s="66"/>
      <c r="AF818" s="66"/>
      <c r="AG818" s="66"/>
      <c r="AH818" s="66"/>
      <c r="AI818" s="66">
        <v>1</v>
      </c>
      <c r="AJ818" s="66"/>
      <c r="AK818" s="66"/>
      <c r="AL818" s="54">
        <f>IF((AC818-SUM(AE818:AK818))&lt;0,0,AC818-SUM(AE818:AK818))</f>
        <v>0</v>
      </c>
      <c r="AM818" s="69">
        <f>SUM(AN818:AT818)</f>
        <v>1</v>
      </c>
      <c r="AN818" s="60"/>
      <c r="AO818" s="52"/>
      <c r="AP818" s="52"/>
      <c r="AQ818" s="52"/>
      <c r="AR818" s="52">
        <v>1</v>
      </c>
      <c r="AS818" s="52"/>
      <c r="AT818" s="61"/>
      <c r="AU818" s="54">
        <f>MAX(0,$AM818-$AC818-$AW818)</f>
        <v>0</v>
      </c>
      <c r="AV818" s="54"/>
      <c r="AW818" s="54"/>
      <c r="AX818" s="65">
        <v>0</v>
      </c>
      <c r="AY818" s="57">
        <f>IF(AND($AU818&gt;0,ISNUMBER($AX818)),$AU818*$AX818,0)</f>
        <v>0</v>
      </c>
      <c r="AZ818" s="46"/>
      <c r="BA818" s="52"/>
      <c r="BB818" s="52"/>
      <c r="BC818" s="52"/>
      <c r="BD818" s="52"/>
      <c r="BE818" s="52"/>
      <c r="BF818" s="52"/>
    </row>
    <row r="819" spans="1:58" ht="15" customHeight="1">
      <c r="A819" s="46" t="s">
        <v>4579</v>
      </c>
      <c r="B819" s="50" t="s">
        <v>4580</v>
      </c>
      <c r="C819" s="54" t="s">
        <v>101</v>
      </c>
      <c r="D819" s="74">
        <v>4</v>
      </c>
      <c r="E819" s="50" t="s">
        <v>81</v>
      </c>
      <c r="F819" s="50">
        <v>4</v>
      </c>
      <c r="G819" s="50">
        <v>5</v>
      </c>
      <c r="H819" s="51" t="s">
        <v>4581</v>
      </c>
      <c r="I819" s="50" t="s">
        <v>4582</v>
      </c>
      <c r="J819" s="54" t="s">
        <v>73</v>
      </c>
      <c r="K819" s="50" t="s">
        <v>676</v>
      </c>
      <c r="L819" s="50" t="s">
        <v>3088</v>
      </c>
      <c r="M819" s="50"/>
      <c r="N819" s="50"/>
      <c r="O819" s="54"/>
      <c r="P819" s="56" t="s">
        <v>76</v>
      </c>
      <c r="Q819" s="50" t="s">
        <v>633</v>
      </c>
      <c r="R819" s="50"/>
      <c r="S819" s="50"/>
      <c r="T819" s="50"/>
      <c r="U819" s="56"/>
      <c r="V819" s="57">
        <v>0.21</v>
      </c>
      <c r="W819" s="68"/>
      <c r="X819" s="50"/>
      <c r="Y819" s="50"/>
      <c r="Z819" s="50"/>
      <c r="AA819" s="56"/>
      <c r="AB819" s="57"/>
      <c r="AC819" s="54">
        <v>1</v>
      </c>
      <c r="AD819" s="69">
        <f>SUM(AE819:AK819)</f>
        <v>0</v>
      </c>
      <c r="AE819" s="66"/>
      <c r="AF819" s="66"/>
      <c r="AG819" s="66"/>
      <c r="AH819" s="66"/>
      <c r="AI819" s="66"/>
      <c r="AJ819" s="66"/>
      <c r="AK819" s="66"/>
      <c r="AL819" s="54">
        <f>IF((AC819-SUM(AE819:AK819))&lt;0,0,AC819-SUM(AE819:AK819))</f>
        <v>1</v>
      </c>
      <c r="AM819" s="69">
        <f>SUM(AN819:AT819)</f>
        <v>0</v>
      </c>
      <c r="AN819" s="60"/>
      <c r="AO819" s="52"/>
      <c r="AP819" s="52"/>
      <c r="AQ819" s="52"/>
      <c r="AR819" s="52"/>
      <c r="AS819" s="52"/>
      <c r="AT819" s="61"/>
      <c r="AU819" s="54">
        <f>MAX(0,$AM819-$AC819-$AW819)</f>
        <v>0</v>
      </c>
      <c r="AV819" s="54"/>
      <c r="AW819" s="54"/>
      <c r="AX819" s="65">
        <v>0</v>
      </c>
      <c r="AY819" s="57">
        <f>IF(AND($AU819&gt;0,ISNUMBER($AX819)),$AU819*$AX819,0)</f>
        <v>0</v>
      </c>
      <c r="AZ819" s="46"/>
      <c r="BA819" s="52"/>
      <c r="BB819" s="52"/>
      <c r="BC819" s="52"/>
      <c r="BD819" s="52"/>
      <c r="BE819" s="52"/>
      <c r="BF819" s="52"/>
    </row>
    <row r="820" spans="1:58" ht="15" customHeight="1">
      <c r="A820" s="46" t="s">
        <v>4583</v>
      </c>
      <c r="B820" s="50" t="s">
        <v>4584</v>
      </c>
      <c r="C820" s="54" t="s">
        <v>118</v>
      </c>
      <c r="D820" s="74">
        <v>3</v>
      </c>
      <c r="E820" s="50" t="s">
        <v>81</v>
      </c>
      <c r="F820" s="50">
        <v>2</v>
      </c>
      <c r="G820" s="50">
        <v>2</v>
      </c>
      <c r="H820" s="51" t="s">
        <v>1232</v>
      </c>
      <c r="I820" s="50" t="s">
        <v>4585</v>
      </c>
      <c r="J820" s="54" t="s">
        <v>73</v>
      </c>
      <c r="K820" s="56" t="s">
        <v>676</v>
      </c>
      <c r="L820" s="56" t="s">
        <v>4586</v>
      </c>
      <c r="M820" s="56"/>
      <c r="N820" s="56"/>
      <c r="O820" s="54"/>
      <c r="P820" s="56" t="s">
        <v>76</v>
      </c>
      <c r="Q820" s="56" t="s">
        <v>482</v>
      </c>
      <c r="R820" s="50"/>
      <c r="S820" s="50"/>
      <c r="T820" s="50"/>
      <c r="U820" s="56"/>
      <c r="V820" s="57">
        <v>0.21</v>
      </c>
      <c r="W820" s="68"/>
      <c r="X820" s="50"/>
      <c r="Y820" s="50"/>
      <c r="Z820" s="50"/>
      <c r="AA820" s="56"/>
      <c r="AB820" s="57"/>
      <c r="AC820" s="54">
        <v>1</v>
      </c>
      <c r="AD820" s="69">
        <f>SUM(AE820:AK820)</f>
        <v>0</v>
      </c>
      <c r="AE820" s="66"/>
      <c r="AF820" s="66"/>
      <c r="AG820" s="66"/>
      <c r="AH820" s="66"/>
      <c r="AI820" s="66"/>
      <c r="AJ820" s="66"/>
      <c r="AK820" s="66"/>
      <c r="AL820" s="54">
        <f>IF((AC820-SUM(AE820:AK820))&lt;0,0,AC820-SUM(AE820:AK820))</f>
        <v>1</v>
      </c>
      <c r="AM820" s="69">
        <f>SUM(AN820:AT820)</f>
        <v>0</v>
      </c>
      <c r="AN820" s="60"/>
      <c r="AO820" s="52"/>
      <c r="AP820" s="52"/>
      <c r="AQ820" s="52"/>
      <c r="AR820" s="52"/>
      <c r="AS820" s="52"/>
      <c r="AT820" s="61"/>
      <c r="AU820" s="54">
        <f>MAX(0,$AM820-$AC820-$AW820)</f>
        <v>0</v>
      </c>
      <c r="AV820" s="54"/>
      <c r="AW820" s="54"/>
      <c r="AX820" s="65">
        <v>0</v>
      </c>
      <c r="AY820" s="57">
        <f>IF(AND($AU820&gt;0,ISNUMBER($AX820)),$AU820*$AX820,0)</f>
        <v>0</v>
      </c>
      <c r="AZ820" s="46"/>
      <c r="BA820" s="52"/>
      <c r="BB820" s="52"/>
      <c r="BC820" s="52"/>
      <c r="BD820" s="52"/>
      <c r="BE820" s="52"/>
      <c r="BF820" s="52"/>
    </row>
    <row r="821" spans="1:58" ht="15" customHeight="1">
      <c r="A821" s="46" t="s">
        <v>4587</v>
      </c>
      <c r="B821" s="50" t="s">
        <v>4588</v>
      </c>
      <c r="C821" s="54" t="s">
        <v>70</v>
      </c>
      <c r="D821" s="74">
        <v>3</v>
      </c>
      <c r="E821" s="50" t="s">
        <v>71</v>
      </c>
      <c r="F821" s="50"/>
      <c r="G821" s="50"/>
      <c r="H821" s="51"/>
      <c r="I821" s="50" t="s">
        <v>4589</v>
      </c>
      <c r="J821" s="54" t="s">
        <v>73</v>
      </c>
      <c r="K821" s="56" t="s">
        <v>386</v>
      </c>
      <c r="L821" s="56" t="s">
        <v>4590</v>
      </c>
      <c r="M821" s="56" t="s">
        <v>4591</v>
      </c>
      <c r="N821" s="56"/>
      <c r="O821" s="54"/>
      <c r="P821" s="56" t="s">
        <v>86</v>
      </c>
      <c r="Q821" s="56" t="s">
        <v>93</v>
      </c>
      <c r="R821" s="50"/>
      <c r="S821" s="50"/>
      <c r="T821" s="50"/>
      <c r="U821" s="56"/>
      <c r="V821" s="57">
        <v>0.2</v>
      </c>
      <c r="W821" s="68"/>
      <c r="X821" s="50"/>
      <c r="Y821" s="50"/>
      <c r="Z821" s="50"/>
      <c r="AA821" s="56"/>
      <c r="AB821" s="57"/>
      <c r="AC821" s="54">
        <v>1</v>
      </c>
      <c r="AD821" s="69">
        <f>SUM(AE821:AK821)</f>
        <v>0</v>
      </c>
      <c r="AE821" s="66"/>
      <c r="AF821" s="66"/>
      <c r="AG821" s="66"/>
      <c r="AH821" s="66"/>
      <c r="AI821" s="66"/>
      <c r="AJ821" s="66"/>
      <c r="AK821" s="66"/>
      <c r="AL821" s="54">
        <f>IF((AC821-SUM(AE821:AK821))&lt;0,0,AC821-SUM(AE821:AK821))</f>
        <v>1</v>
      </c>
      <c r="AM821" s="69">
        <f>SUM(AN821:AT821)</f>
        <v>0</v>
      </c>
      <c r="AN821" s="60"/>
      <c r="AO821" s="52"/>
      <c r="AP821" s="52"/>
      <c r="AQ821" s="52"/>
      <c r="AR821" s="52"/>
      <c r="AS821" s="52"/>
      <c r="AT821" s="61"/>
      <c r="AU821" s="54">
        <f>MAX(0,$AM821-$AC821-$AW821)</f>
        <v>0</v>
      </c>
      <c r="AV821" s="54"/>
      <c r="AW821" s="54"/>
      <c r="AX821" s="65">
        <v>0</v>
      </c>
      <c r="AY821" s="57">
        <f>IF(AND($AU821&gt;0,ISNUMBER($AX821)),$AU821*$AX821,0)</f>
        <v>0</v>
      </c>
      <c r="AZ821" s="46"/>
      <c r="BA821" s="52"/>
      <c r="BB821" s="52"/>
      <c r="BC821" s="52"/>
      <c r="BD821" s="52"/>
      <c r="BE821" s="52"/>
      <c r="BF821" s="52"/>
    </row>
    <row r="822" spans="1:58" ht="15" customHeight="1">
      <c r="A822" s="46" t="s">
        <v>4592</v>
      </c>
      <c r="B822" s="46" t="s">
        <v>4593</v>
      </c>
      <c r="C822" s="52" t="s">
        <v>181</v>
      </c>
      <c r="D822" s="75">
        <v>2</v>
      </c>
      <c r="E822" s="46" t="s">
        <v>189</v>
      </c>
      <c r="F822" s="50"/>
      <c r="G822" s="50"/>
      <c r="H822" s="51"/>
      <c r="I822" s="50" t="s">
        <v>4594</v>
      </c>
      <c r="J822" s="52" t="s">
        <v>73</v>
      </c>
      <c r="K822" s="46" t="s">
        <v>864</v>
      </c>
      <c r="L822" s="50" t="s">
        <v>4595</v>
      </c>
      <c r="M822" s="50" t="s">
        <v>4596</v>
      </c>
      <c r="N822" s="50"/>
      <c r="O822" s="54"/>
      <c r="P822" s="55" t="s">
        <v>185</v>
      </c>
      <c r="Q822" s="46" t="s">
        <v>645</v>
      </c>
      <c r="R822" s="75" t="s">
        <v>2705</v>
      </c>
      <c r="S822" s="75">
        <v>1</v>
      </c>
      <c r="T822" s="75">
        <v>0</v>
      </c>
      <c r="U822" s="56" t="s">
        <v>4523</v>
      </c>
      <c r="V822" s="57">
        <v>0.2</v>
      </c>
      <c r="W822" s="68"/>
      <c r="X822" s="46"/>
      <c r="Y822" s="46"/>
      <c r="Z822" s="46"/>
      <c r="AA822" s="56"/>
      <c r="AB822" s="57"/>
      <c r="AC822" s="54">
        <v>1</v>
      </c>
      <c r="AD822" s="69">
        <f>SUM(AE822:AK822)</f>
        <v>0</v>
      </c>
      <c r="AE822" s="66"/>
      <c r="AF822" s="66"/>
      <c r="AG822" s="66"/>
      <c r="AH822" s="66"/>
      <c r="AI822" s="66"/>
      <c r="AJ822" s="66"/>
      <c r="AK822" s="66"/>
      <c r="AL822" s="54">
        <f>IF((AC822-SUM(AE822:AK822))&lt;0,0,AC822-SUM(AE822:AK822))</f>
        <v>1</v>
      </c>
      <c r="AM822" s="69">
        <f>SUM(AN822:AT822)</f>
        <v>0</v>
      </c>
      <c r="AN822" s="60"/>
      <c r="AO822" s="52"/>
      <c r="AP822" s="52"/>
      <c r="AQ822" s="52"/>
      <c r="AR822" s="52"/>
      <c r="AS822" s="52"/>
      <c r="AT822" s="61"/>
      <c r="AU822" s="54">
        <f>MAX(0,$AM822-$AC822-$AW822)</f>
        <v>0</v>
      </c>
      <c r="AV822" s="52"/>
      <c r="AW822" s="52"/>
      <c r="AX822" s="65">
        <v>0</v>
      </c>
      <c r="AY822" s="57">
        <f>IF(AND($AU822&gt;0,ISNUMBER($AX822)),$AU822*$AX822,0)</f>
        <v>0</v>
      </c>
      <c r="AZ822" s="46"/>
      <c r="BA822" s="52"/>
      <c r="BB822" s="52"/>
      <c r="BC822" s="52"/>
      <c r="BD822" s="52"/>
      <c r="BE822" s="52"/>
      <c r="BF822" s="52"/>
    </row>
    <row r="823" spans="1:58" ht="15" customHeight="1">
      <c r="A823" s="46" t="s">
        <v>4597</v>
      </c>
      <c r="B823" s="50" t="s">
        <v>4598</v>
      </c>
      <c r="C823" s="54" t="s">
        <v>109</v>
      </c>
      <c r="D823" s="74">
        <v>3</v>
      </c>
      <c r="E823" s="50" t="s">
        <v>81</v>
      </c>
      <c r="F823" s="50">
        <v>2</v>
      </c>
      <c r="G823" s="50">
        <v>3</v>
      </c>
      <c r="H823" s="51" t="s">
        <v>150</v>
      </c>
      <c r="I823" s="50" t="s">
        <v>4599</v>
      </c>
      <c r="J823" s="54" t="s">
        <v>73</v>
      </c>
      <c r="K823" s="56" t="s">
        <v>121</v>
      </c>
      <c r="L823" s="56" t="s">
        <v>4600</v>
      </c>
      <c r="M823" s="56" t="s">
        <v>1503</v>
      </c>
      <c r="N823" s="56"/>
      <c r="O823" s="54"/>
      <c r="P823" s="56" t="s">
        <v>76</v>
      </c>
      <c r="Q823" s="56" t="s">
        <v>669</v>
      </c>
      <c r="R823" s="50"/>
      <c r="S823" s="50"/>
      <c r="T823" s="50"/>
      <c r="U823" s="50"/>
      <c r="V823" s="57">
        <v>0.2</v>
      </c>
      <c r="W823" s="68"/>
      <c r="X823" s="50"/>
      <c r="Y823" s="50"/>
      <c r="Z823" s="50"/>
      <c r="AA823" s="50"/>
      <c r="AB823" s="57"/>
      <c r="AC823" s="54">
        <v>1</v>
      </c>
      <c r="AD823" s="69">
        <f>SUM(AE823:AK823)</f>
        <v>0</v>
      </c>
      <c r="AE823" s="66"/>
      <c r="AF823" s="66"/>
      <c r="AG823" s="66"/>
      <c r="AH823" s="66"/>
      <c r="AI823" s="66"/>
      <c r="AJ823" s="66"/>
      <c r="AK823" s="66"/>
      <c r="AL823" s="54">
        <f>IF((AC823-SUM(AE823:AK823))&lt;0,0,AC823-SUM(AE823:AK823))</f>
        <v>1</v>
      </c>
      <c r="AM823" s="69">
        <f>SUM(AN823:AT823)</f>
        <v>0</v>
      </c>
      <c r="AN823" s="60"/>
      <c r="AO823" s="52"/>
      <c r="AP823" s="52"/>
      <c r="AQ823" s="52"/>
      <c r="AR823" s="52"/>
      <c r="AS823" s="52"/>
      <c r="AT823" s="61"/>
      <c r="AU823" s="54">
        <f>MAX(0,$AM823-$AC823-$AW823)</f>
        <v>0</v>
      </c>
      <c r="AV823" s="54"/>
      <c r="AW823" s="54"/>
      <c r="AX823" s="65">
        <v>0</v>
      </c>
      <c r="AY823" s="57">
        <f>IF(AND($AU823&gt;0,ISNUMBER($AX823)),$AU823*$AX823,0)</f>
        <v>0</v>
      </c>
      <c r="AZ823" s="46"/>
      <c r="BA823" s="52"/>
      <c r="BB823" s="52"/>
      <c r="BC823" s="52"/>
      <c r="BD823" s="52"/>
      <c r="BE823" s="52"/>
      <c r="BF823" s="52"/>
    </row>
    <row r="824" spans="1:58" ht="15" customHeight="1">
      <c r="A824" s="46" t="s">
        <v>4601</v>
      </c>
      <c r="B824" s="46" t="s">
        <v>4602</v>
      </c>
      <c r="C824" s="52" t="s">
        <v>181</v>
      </c>
      <c r="D824" s="75">
        <v>1</v>
      </c>
      <c r="E824" s="46" t="s">
        <v>189</v>
      </c>
      <c r="F824" s="50"/>
      <c r="G824" s="50"/>
      <c r="H824" s="51"/>
      <c r="I824" s="50" t="s">
        <v>4603</v>
      </c>
      <c r="J824" s="52" t="s">
        <v>73</v>
      </c>
      <c r="K824" s="46" t="s">
        <v>254</v>
      </c>
      <c r="L824" s="50" t="s">
        <v>4604</v>
      </c>
      <c r="M824" s="50"/>
      <c r="N824" s="50"/>
      <c r="O824" s="54"/>
      <c r="P824" s="55" t="s">
        <v>76</v>
      </c>
      <c r="Q824" s="46" t="s">
        <v>645</v>
      </c>
      <c r="R824" s="75" t="s">
        <v>4605</v>
      </c>
      <c r="S824" s="75">
        <v>1</v>
      </c>
      <c r="T824" s="75">
        <v>0</v>
      </c>
      <c r="U824" s="56"/>
      <c r="V824" s="57">
        <v>0.2</v>
      </c>
      <c r="W824" s="68"/>
      <c r="X824" s="46"/>
      <c r="Y824" s="46"/>
      <c r="Z824" s="46"/>
      <c r="AA824" s="56"/>
      <c r="AB824" s="57"/>
      <c r="AC824" s="54">
        <v>1</v>
      </c>
      <c r="AD824" s="69">
        <f>SUM(AE824:AK824)</f>
        <v>0</v>
      </c>
      <c r="AE824" s="66"/>
      <c r="AF824" s="66"/>
      <c r="AG824" s="66"/>
      <c r="AH824" s="66"/>
      <c r="AI824" s="66"/>
      <c r="AJ824" s="66"/>
      <c r="AK824" s="66"/>
      <c r="AL824" s="54">
        <f>IF((AC824-SUM(AE824:AK824))&lt;0,0,AC824-SUM(AE824:AK824))</f>
        <v>1</v>
      </c>
      <c r="AM824" s="69">
        <f>SUM(AN824:AT824)</f>
        <v>0</v>
      </c>
      <c r="AN824" s="60"/>
      <c r="AO824" s="52"/>
      <c r="AP824" s="52"/>
      <c r="AQ824" s="52"/>
      <c r="AR824" s="52"/>
      <c r="AS824" s="52"/>
      <c r="AT824" s="61"/>
      <c r="AU824" s="54">
        <f>MAX(0,$AM824-$AC824-$AW824)</f>
        <v>0</v>
      </c>
      <c r="AV824" s="52"/>
      <c r="AW824" s="52"/>
      <c r="AX824" s="65">
        <v>0</v>
      </c>
      <c r="AY824" s="57">
        <f>IF(AND($AU824&gt;0,ISNUMBER($AX824)),$AU824*$AX824,0)</f>
        <v>0</v>
      </c>
      <c r="AZ824" s="46"/>
      <c r="BA824" s="52"/>
      <c r="BB824" s="52"/>
      <c r="BC824" s="52"/>
      <c r="BD824" s="52"/>
      <c r="BE824" s="52"/>
      <c r="BF824" s="52"/>
    </row>
    <row r="825" spans="1:58" ht="15" customHeight="1">
      <c r="A825" s="46" t="s">
        <v>4606</v>
      </c>
      <c r="B825" s="50" t="s">
        <v>4607</v>
      </c>
      <c r="C825" s="54" t="s">
        <v>118</v>
      </c>
      <c r="D825" s="74">
        <v>3</v>
      </c>
      <c r="E825" s="50" t="s">
        <v>81</v>
      </c>
      <c r="F825" s="50">
        <v>3</v>
      </c>
      <c r="G825" s="50">
        <v>3</v>
      </c>
      <c r="H825" s="51" t="s">
        <v>119</v>
      </c>
      <c r="I825" s="50" t="s">
        <v>4608</v>
      </c>
      <c r="J825" s="54" t="s">
        <v>73</v>
      </c>
      <c r="K825" s="56" t="s">
        <v>254</v>
      </c>
      <c r="L825" s="56" t="s">
        <v>4609</v>
      </c>
      <c r="M825" s="56" t="s">
        <v>4610</v>
      </c>
      <c r="N825" s="56"/>
      <c r="O825" s="54"/>
      <c r="P825" s="56" t="s">
        <v>86</v>
      </c>
      <c r="Q825" s="56" t="s">
        <v>482</v>
      </c>
      <c r="R825" s="50"/>
      <c r="S825" s="50"/>
      <c r="T825" s="50"/>
      <c r="U825" s="56"/>
      <c r="V825" s="57">
        <v>0.2</v>
      </c>
      <c r="W825" s="68"/>
      <c r="X825" s="50"/>
      <c r="Y825" s="50"/>
      <c r="Z825" s="50"/>
      <c r="AA825" s="56"/>
      <c r="AB825" s="57"/>
      <c r="AC825" s="54">
        <v>1</v>
      </c>
      <c r="AD825" s="69">
        <f>SUM(AE825:AK825)</f>
        <v>1</v>
      </c>
      <c r="AE825" s="66"/>
      <c r="AF825" s="66"/>
      <c r="AG825" s="66"/>
      <c r="AH825" s="66"/>
      <c r="AI825" s="66">
        <v>1</v>
      </c>
      <c r="AJ825" s="66"/>
      <c r="AK825" s="66"/>
      <c r="AL825" s="54">
        <f>IF((AC825-SUM(AE825:AK825))&lt;0,0,AC825-SUM(AE825:AK825))</f>
        <v>0</v>
      </c>
      <c r="AM825" s="69">
        <f>SUM(AN825:AT825)</f>
        <v>0</v>
      </c>
      <c r="AN825" s="60"/>
      <c r="AO825" s="52"/>
      <c r="AP825" s="52"/>
      <c r="AQ825" s="52"/>
      <c r="AR825" s="52"/>
      <c r="AS825" s="52"/>
      <c r="AT825" s="61"/>
      <c r="AU825" s="54">
        <f>MAX(0,$AM825-$AC825-$AW825)</f>
        <v>0</v>
      </c>
      <c r="AV825" s="54"/>
      <c r="AW825" s="54"/>
      <c r="AX825" s="65">
        <v>0</v>
      </c>
      <c r="AY825" s="57">
        <f>IF(AND($AU825&gt;0,ISNUMBER($AX825)),$AU825*$AX825,0)</f>
        <v>0</v>
      </c>
      <c r="AZ825" s="46"/>
      <c r="BA825" s="52"/>
      <c r="BB825" s="52"/>
      <c r="BC825" s="52"/>
      <c r="BD825" s="52" t="s">
        <v>547</v>
      </c>
      <c r="BE825" s="52"/>
      <c r="BF825" s="52"/>
    </row>
    <row r="826" spans="1:58" ht="15" customHeight="1">
      <c r="A826" s="46" t="s">
        <v>4611</v>
      </c>
      <c r="B826" s="50" t="s">
        <v>4612</v>
      </c>
      <c r="C826" s="54" t="s">
        <v>118</v>
      </c>
      <c r="D826" s="74">
        <v>3</v>
      </c>
      <c r="E826" s="50" t="s">
        <v>81</v>
      </c>
      <c r="F826" s="50">
        <v>3</v>
      </c>
      <c r="G826" s="50">
        <v>3</v>
      </c>
      <c r="H826" s="51" t="s">
        <v>4613</v>
      </c>
      <c r="I826" s="50" t="s">
        <v>4614</v>
      </c>
      <c r="J826" s="54" t="s">
        <v>73</v>
      </c>
      <c r="K826" s="56" t="s">
        <v>135</v>
      </c>
      <c r="L826" s="56" t="s">
        <v>4615</v>
      </c>
      <c r="M826" s="56" t="s">
        <v>4616</v>
      </c>
      <c r="N826" s="56"/>
      <c r="O826" s="54"/>
      <c r="P826" s="56" t="s">
        <v>185</v>
      </c>
      <c r="Q826" s="56" t="s">
        <v>729</v>
      </c>
      <c r="R826" s="50"/>
      <c r="S826" s="50"/>
      <c r="T826" s="50"/>
      <c r="U826" s="50"/>
      <c r="V826" s="57">
        <v>0.2</v>
      </c>
      <c r="W826" s="68"/>
      <c r="X826" s="50"/>
      <c r="Y826" s="50"/>
      <c r="Z826" s="50"/>
      <c r="AA826" s="50"/>
      <c r="AB826" s="57"/>
      <c r="AC826" s="54">
        <v>1</v>
      </c>
      <c r="AD826" s="69">
        <f>SUM(AE826:AK826)</f>
        <v>1</v>
      </c>
      <c r="AE826" s="66"/>
      <c r="AF826" s="66">
        <v>1</v>
      </c>
      <c r="AG826" s="66"/>
      <c r="AH826" s="66"/>
      <c r="AI826" s="66"/>
      <c r="AJ826" s="66"/>
      <c r="AK826" s="66"/>
      <c r="AL826" s="54">
        <f>IF((AC826-SUM(AE826:AK826))&lt;0,0,AC826-SUM(AE826:AK826))</f>
        <v>0</v>
      </c>
      <c r="AM826" s="69">
        <f>SUM(AN826:AT826)</f>
        <v>1</v>
      </c>
      <c r="AN826" s="60"/>
      <c r="AO826" s="52">
        <v>1</v>
      </c>
      <c r="AP826" s="52"/>
      <c r="AQ826" s="52"/>
      <c r="AR826" s="52"/>
      <c r="AS826" s="52"/>
      <c r="AT826" s="61"/>
      <c r="AU826" s="54">
        <f>MAX(0,$AM826-$AC826-$AW826)</f>
        <v>0</v>
      </c>
      <c r="AV826" s="54"/>
      <c r="AW826" s="54"/>
      <c r="AX826" s="65">
        <v>0</v>
      </c>
      <c r="AY826" s="57">
        <f>IF(AND($AU826&gt;0,ISNUMBER($AX826)),$AU826*$AX826,0)</f>
        <v>0</v>
      </c>
      <c r="AZ826" s="46"/>
      <c r="BA826" s="52"/>
      <c r="BB826" s="52"/>
      <c r="BC826" s="52"/>
      <c r="BD826" s="52"/>
      <c r="BE826" s="52"/>
      <c r="BF826" s="52"/>
    </row>
    <row r="827" spans="1:58" ht="15" customHeight="1">
      <c r="A827" s="46" t="s">
        <v>4617</v>
      </c>
      <c r="B827" s="50" t="s">
        <v>4618</v>
      </c>
      <c r="C827" s="54" t="s">
        <v>118</v>
      </c>
      <c r="D827" s="74">
        <v>3</v>
      </c>
      <c r="E827" s="50" t="s">
        <v>4016</v>
      </c>
      <c r="F827" s="50"/>
      <c r="G827" s="50"/>
      <c r="H827" s="51" t="s">
        <v>4619</v>
      </c>
      <c r="I827" s="50" t="s">
        <v>4620</v>
      </c>
      <c r="J827" s="54" t="s">
        <v>73</v>
      </c>
      <c r="K827" s="56" t="s">
        <v>129</v>
      </c>
      <c r="L827" s="56" t="s">
        <v>4621</v>
      </c>
      <c r="M827" s="56" t="s">
        <v>4622</v>
      </c>
      <c r="N827" s="56"/>
      <c r="O827" s="54"/>
      <c r="P827" s="56" t="s">
        <v>185</v>
      </c>
      <c r="Q827" s="56" t="s">
        <v>669</v>
      </c>
      <c r="R827" s="50"/>
      <c r="S827" s="50"/>
      <c r="T827" s="50"/>
      <c r="U827" s="50"/>
      <c r="V827" s="57">
        <v>0.2</v>
      </c>
      <c r="W827" s="68"/>
      <c r="X827" s="50"/>
      <c r="Y827" s="50"/>
      <c r="Z827" s="50"/>
      <c r="AA827" s="50"/>
      <c r="AB827" s="57"/>
      <c r="AC827" s="54">
        <v>1</v>
      </c>
      <c r="AD827" s="69">
        <f>SUM(AE827:AK827)</f>
        <v>1</v>
      </c>
      <c r="AE827" s="66"/>
      <c r="AF827" s="66"/>
      <c r="AG827" s="66"/>
      <c r="AH827" s="66"/>
      <c r="AI827" s="66">
        <v>1</v>
      </c>
      <c r="AJ827" s="66"/>
      <c r="AK827" s="66"/>
      <c r="AL827" s="54">
        <f>IF((AC827-SUM(AE827:AK827))&lt;0,0,AC827-SUM(AE827:AK827))</f>
        <v>0</v>
      </c>
      <c r="AM827" s="69">
        <f>SUM(AN827:AT827)</f>
        <v>1</v>
      </c>
      <c r="AN827" s="60"/>
      <c r="AO827" s="52"/>
      <c r="AP827" s="52"/>
      <c r="AQ827" s="52"/>
      <c r="AR827" s="52">
        <v>1</v>
      </c>
      <c r="AS827" s="52"/>
      <c r="AT827" s="61"/>
      <c r="AU827" s="54">
        <f>MAX(0,$AM827-$AC827-$AW827)</f>
        <v>0</v>
      </c>
      <c r="AV827" s="54"/>
      <c r="AW827" s="54"/>
      <c r="AX827" s="65">
        <v>0</v>
      </c>
      <c r="AY827" s="57">
        <f>IF(AND($AU827&gt;0,ISNUMBER($AX827)),$AU827*$AX827,0)</f>
        <v>0</v>
      </c>
      <c r="AZ827" s="46"/>
      <c r="BA827" s="52"/>
      <c r="BB827" s="52"/>
      <c r="BC827" s="52"/>
      <c r="BD827" s="52"/>
      <c r="BE827" s="52"/>
      <c r="BF827" s="52"/>
    </row>
    <row r="828" spans="1:58" ht="15" customHeight="1">
      <c r="A828" s="46" t="s">
        <v>4623</v>
      </c>
      <c r="B828" s="50" t="s">
        <v>4624</v>
      </c>
      <c r="C828" s="54" t="s">
        <v>181</v>
      </c>
      <c r="D828" s="74">
        <v>2</v>
      </c>
      <c r="E828" s="50" t="s">
        <v>71</v>
      </c>
      <c r="F828" s="50"/>
      <c r="G828" s="50"/>
      <c r="H828" s="51" t="s">
        <v>724</v>
      </c>
      <c r="I828" s="50" t="s">
        <v>4625</v>
      </c>
      <c r="J828" s="54" t="s">
        <v>73</v>
      </c>
      <c r="K828" s="56" t="s">
        <v>1099</v>
      </c>
      <c r="L828" s="56" t="s">
        <v>4626</v>
      </c>
      <c r="M828" s="56" t="s">
        <v>4627</v>
      </c>
      <c r="N828" s="56"/>
      <c r="O828" s="54"/>
      <c r="P828" s="56" t="s">
        <v>76</v>
      </c>
      <c r="Q828" s="56" t="s">
        <v>729</v>
      </c>
      <c r="R828" s="50"/>
      <c r="S828" s="50"/>
      <c r="T828" s="50"/>
      <c r="U828" s="56"/>
      <c r="V828" s="57">
        <v>0.19</v>
      </c>
      <c r="W828" s="68"/>
      <c r="X828" s="50"/>
      <c r="Y828" s="50"/>
      <c r="Z828" s="50"/>
      <c r="AA828" s="56"/>
      <c r="AB828" s="57"/>
      <c r="AC828" s="54">
        <v>1</v>
      </c>
      <c r="AD828" s="69">
        <f>SUM(AE828:AK828)</f>
        <v>0</v>
      </c>
      <c r="AE828" s="66"/>
      <c r="AF828" s="66"/>
      <c r="AG828" s="66"/>
      <c r="AH828" s="66"/>
      <c r="AI828" s="66"/>
      <c r="AJ828" s="66"/>
      <c r="AK828" s="66"/>
      <c r="AL828" s="54">
        <f>IF((AC828-SUM(AE828:AK828))&lt;0,0,AC828-SUM(AE828:AK828))</f>
        <v>1</v>
      </c>
      <c r="AM828" s="69">
        <f>SUM(AN828:AT828)</f>
        <v>0</v>
      </c>
      <c r="AN828" s="60"/>
      <c r="AO828" s="52"/>
      <c r="AP828" s="52"/>
      <c r="AQ828" s="52"/>
      <c r="AR828" s="52"/>
      <c r="AS828" s="52"/>
      <c r="AT828" s="61"/>
      <c r="AU828" s="54">
        <f>MAX(0,$AM828-$AC828-$AW828)</f>
        <v>0</v>
      </c>
      <c r="AV828" s="54"/>
      <c r="AW828" s="54"/>
      <c r="AX828" s="65">
        <v>0</v>
      </c>
      <c r="AY828" s="57">
        <f>IF(AND($AU828&gt;0,ISNUMBER($AX828)),$AU828*$AX828,0)</f>
        <v>0</v>
      </c>
      <c r="AZ828" s="46"/>
      <c r="BA828" s="52"/>
      <c r="BB828" s="52"/>
      <c r="BC828" s="52"/>
      <c r="BD828" s="52"/>
      <c r="BE828" s="52"/>
      <c r="BF828" s="52"/>
    </row>
    <row r="829" spans="1:58" ht="15" customHeight="1">
      <c r="A829" s="46" t="s">
        <v>4628</v>
      </c>
      <c r="B829" s="46" t="s">
        <v>4629</v>
      </c>
      <c r="C829" s="52" t="s">
        <v>232</v>
      </c>
      <c r="D829" s="75">
        <v>3</v>
      </c>
      <c r="E829" s="46" t="s">
        <v>233</v>
      </c>
      <c r="F829" s="50">
        <v>3</v>
      </c>
      <c r="G829" s="50">
        <v>2</v>
      </c>
      <c r="H829" s="51" t="s">
        <v>2473</v>
      </c>
      <c r="I829" s="50" t="s">
        <v>4630</v>
      </c>
      <c r="J829" s="52" t="s">
        <v>73</v>
      </c>
      <c r="K829" s="46" t="s">
        <v>1752</v>
      </c>
      <c r="L829" s="50" t="s">
        <v>3821</v>
      </c>
      <c r="M829" s="50" t="s">
        <v>4631</v>
      </c>
      <c r="N829" s="50"/>
      <c r="O829" s="54"/>
      <c r="P829" s="55" t="s">
        <v>185</v>
      </c>
      <c r="Q829" s="46" t="s">
        <v>645</v>
      </c>
      <c r="R829" s="75" t="s">
        <v>2727</v>
      </c>
      <c r="S829" s="75">
        <v>1</v>
      </c>
      <c r="T829" s="75">
        <v>0</v>
      </c>
      <c r="U829" s="56"/>
      <c r="V829" s="57">
        <v>0.19</v>
      </c>
      <c r="W829" s="68"/>
      <c r="X829" s="46"/>
      <c r="Y829" s="46"/>
      <c r="Z829" s="46"/>
      <c r="AA829" s="56"/>
      <c r="AB829" s="57"/>
      <c r="AC829" s="54">
        <v>1</v>
      </c>
      <c r="AD829" s="69">
        <f>SUM(AE829:AK829)</f>
        <v>1</v>
      </c>
      <c r="AE829" s="66"/>
      <c r="AF829" s="66"/>
      <c r="AG829" s="66"/>
      <c r="AH829" s="66"/>
      <c r="AI829" s="66"/>
      <c r="AJ829" s="66"/>
      <c r="AK829" s="66">
        <v>1</v>
      </c>
      <c r="AL829" s="54">
        <f>IF((AC829-SUM(AE829:AK829))&lt;0,0,AC829-SUM(AE829:AK829))</f>
        <v>0</v>
      </c>
      <c r="AM829" s="69">
        <f>SUM(AN829:AT829)</f>
        <v>1</v>
      </c>
      <c r="AN829" s="60"/>
      <c r="AO829" s="52"/>
      <c r="AP829" s="52"/>
      <c r="AQ829" s="52"/>
      <c r="AR829" s="52"/>
      <c r="AS829" s="52"/>
      <c r="AT829" s="61">
        <v>1</v>
      </c>
      <c r="AU829" s="54">
        <f>MAX(0,$AM829-$AC829-$AW829)</f>
        <v>0</v>
      </c>
      <c r="AV829" s="52"/>
      <c r="AW829" s="52"/>
      <c r="AX829" s="65">
        <v>0</v>
      </c>
      <c r="AY829" s="57">
        <f>IF(AND($AU829&gt;0,ISNUMBER($AX829)),$AU829*$AX829,0)</f>
        <v>0</v>
      </c>
      <c r="AZ829" s="46"/>
      <c r="BA829" s="52"/>
      <c r="BB829" s="52"/>
      <c r="BC829" s="52"/>
      <c r="BD829" s="52"/>
      <c r="BE829" s="52"/>
      <c r="BF829" s="52"/>
    </row>
    <row r="830" spans="1:58" ht="15" customHeight="1">
      <c r="A830" s="46" t="s">
        <v>4632</v>
      </c>
      <c r="B830" s="46" t="s">
        <v>4633</v>
      </c>
      <c r="C830" s="52" t="s">
        <v>311</v>
      </c>
      <c r="D830" s="75">
        <v>0</v>
      </c>
      <c r="E830" s="46" t="s">
        <v>312</v>
      </c>
      <c r="F830" s="50"/>
      <c r="G830" s="50"/>
      <c r="H830" s="51"/>
      <c r="I830" s="50" t="s">
        <v>4634</v>
      </c>
      <c r="J830" s="52" t="s">
        <v>73</v>
      </c>
      <c r="K830" s="46" t="s">
        <v>312</v>
      </c>
      <c r="L830" s="50" t="s">
        <v>683</v>
      </c>
      <c r="M830" s="50" t="s">
        <v>747</v>
      </c>
      <c r="N830" s="50" t="s">
        <v>4635</v>
      </c>
      <c r="O830" s="54"/>
      <c r="P830" s="55" t="s">
        <v>76</v>
      </c>
      <c r="Q830" s="46" t="s">
        <v>645</v>
      </c>
      <c r="R830" s="75" t="s">
        <v>4636</v>
      </c>
      <c r="S830" s="75">
        <v>1</v>
      </c>
      <c r="T830" s="75">
        <v>0</v>
      </c>
      <c r="U830" s="56" t="s">
        <v>4637</v>
      </c>
      <c r="V830" s="57">
        <v>0.19</v>
      </c>
      <c r="W830" s="68"/>
      <c r="X830" s="46"/>
      <c r="Y830" s="46"/>
      <c r="Z830" s="46"/>
      <c r="AA830" s="56"/>
      <c r="AB830" s="57"/>
      <c r="AC830" s="54">
        <v>1</v>
      </c>
      <c r="AD830" s="69">
        <f>SUM(AE830:AK830)</f>
        <v>1</v>
      </c>
      <c r="AE830" s="66"/>
      <c r="AF830" s="66"/>
      <c r="AG830" s="66"/>
      <c r="AH830" s="66">
        <v>1</v>
      </c>
      <c r="AI830" s="66"/>
      <c r="AJ830" s="66"/>
      <c r="AK830" s="66"/>
      <c r="AL830" s="54">
        <f>IF((AC830-SUM(AE830:AK830))&lt;0,0,AC830-SUM(AE830:AK830))</f>
        <v>0</v>
      </c>
      <c r="AM830" s="69">
        <f>SUM(AN830:AT830)</f>
        <v>1</v>
      </c>
      <c r="AN830" s="60"/>
      <c r="AO830" s="52"/>
      <c r="AP830" s="52"/>
      <c r="AQ830" s="52">
        <v>1</v>
      </c>
      <c r="AR830" s="52"/>
      <c r="AS830" s="52"/>
      <c r="AT830" s="61"/>
      <c r="AU830" s="54">
        <f>MAX(0,$AM830-$AC830-$AW830)</f>
        <v>0</v>
      </c>
      <c r="AV830" s="52"/>
      <c r="AW830" s="52"/>
      <c r="AX830" s="65">
        <v>0</v>
      </c>
      <c r="AY830" s="57">
        <f>IF(AND($AU830&gt;0,ISNUMBER($AX830)),$AU830*$AX830,0)</f>
        <v>0</v>
      </c>
      <c r="AZ830" s="46"/>
      <c r="BA830" s="52"/>
      <c r="BB830" s="52"/>
      <c r="BC830" s="52"/>
      <c r="BD830" s="52"/>
      <c r="BE830" s="52"/>
      <c r="BF830" s="52"/>
    </row>
    <row r="831" spans="1:58" ht="15" customHeight="1">
      <c r="A831" s="46" t="s">
        <v>4638</v>
      </c>
      <c r="B831" s="50" t="s">
        <v>4639</v>
      </c>
      <c r="C831" s="54" t="s">
        <v>70</v>
      </c>
      <c r="D831" s="74">
        <v>1</v>
      </c>
      <c r="E831" s="50" t="s">
        <v>81</v>
      </c>
      <c r="F831" s="50">
        <v>1</v>
      </c>
      <c r="G831" s="50">
        <v>1</v>
      </c>
      <c r="H831" s="51" t="s">
        <v>318</v>
      </c>
      <c r="I831" s="50" t="s">
        <v>4640</v>
      </c>
      <c r="J831" s="54" t="s">
        <v>73</v>
      </c>
      <c r="K831" s="56" t="s">
        <v>84</v>
      </c>
      <c r="L831" s="56" t="s">
        <v>4641</v>
      </c>
      <c r="M831" s="56"/>
      <c r="N831" s="56"/>
      <c r="O831" s="54"/>
      <c r="P831" s="56" t="s">
        <v>76</v>
      </c>
      <c r="Q831" s="56" t="s">
        <v>482</v>
      </c>
      <c r="R831" s="50"/>
      <c r="S831" s="50"/>
      <c r="T831" s="50"/>
      <c r="U831" s="50"/>
      <c r="V831" s="57">
        <v>0.19</v>
      </c>
      <c r="W831" s="68"/>
      <c r="X831" s="50"/>
      <c r="Y831" s="50"/>
      <c r="Z831" s="50"/>
      <c r="AA831" s="50"/>
      <c r="AB831" s="57"/>
      <c r="AC831" s="54">
        <v>1</v>
      </c>
      <c r="AD831" s="69">
        <f>SUM(AE831:AK831)</f>
        <v>1</v>
      </c>
      <c r="AE831" s="66"/>
      <c r="AF831" s="66"/>
      <c r="AG831" s="66"/>
      <c r="AH831" s="66"/>
      <c r="AI831" s="66"/>
      <c r="AJ831" s="66">
        <v>1</v>
      </c>
      <c r="AK831" s="66"/>
      <c r="AL831" s="54">
        <f>IF((AC831-SUM(AE831:AK831))&lt;0,0,AC831-SUM(AE831:AK831))</f>
        <v>0</v>
      </c>
      <c r="AM831" s="69">
        <f>SUM(AN831:AT831)</f>
        <v>1</v>
      </c>
      <c r="AN831" s="60"/>
      <c r="AO831" s="52"/>
      <c r="AP831" s="52"/>
      <c r="AQ831" s="52"/>
      <c r="AR831" s="52"/>
      <c r="AS831" s="52">
        <v>1</v>
      </c>
      <c r="AT831" s="61"/>
      <c r="AU831" s="54">
        <f>MAX(0,$AM831-$AC831-$AW831)</f>
        <v>0</v>
      </c>
      <c r="AV831" s="54"/>
      <c r="AW831" s="54"/>
      <c r="AX831" s="65">
        <v>0</v>
      </c>
      <c r="AY831" s="57">
        <f>IF(AND($AU831&gt;0,ISNUMBER($AX831)),$AU831*$AX831,0)</f>
        <v>0</v>
      </c>
      <c r="AZ831" s="46"/>
      <c r="BA831" s="52"/>
      <c r="BB831" s="52"/>
      <c r="BC831" s="52"/>
      <c r="BD831" s="52"/>
      <c r="BE831" s="52"/>
      <c r="BF831" s="52"/>
    </row>
    <row r="832" spans="1:58" ht="15" customHeight="1">
      <c r="A832" s="46" t="s">
        <v>4642</v>
      </c>
      <c r="B832" s="50" t="s">
        <v>4643</v>
      </c>
      <c r="C832" s="54" t="s">
        <v>101</v>
      </c>
      <c r="D832" s="74">
        <v>2</v>
      </c>
      <c r="E832" s="50" t="s">
        <v>189</v>
      </c>
      <c r="F832" s="50"/>
      <c r="G832" s="50"/>
      <c r="H832" s="51"/>
      <c r="I832" s="50" t="s">
        <v>4644</v>
      </c>
      <c r="J832" s="54" t="s">
        <v>73</v>
      </c>
      <c r="K832" s="56" t="s">
        <v>254</v>
      </c>
      <c r="L832" s="56" t="s">
        <v>4645</v>
      </c>
      <c r="M832" s="56" t="s">
        <v>4646</v>
      </c>
      <c r="N832" s="56"/>
      <c r="O832" s="54"/>
      <c r="P832" s="56" t="s">
        <v>76</v>
      </c>
      <c r="Q832" s="56" t="s">
        <v>172</v>
      </c>
      <c r="R832" s="54"/>
      <c r="S832" s="54"/>
      <c r="T832" s="54"/>
      <c r="U832" s="54"/>
      <c r="V832" s="57">
        <v>0.19</v>
      </c>
      <c r="W832" s="68"/>
      <c r="X832" s="54"/>
      <c r="Y832" s="54"/>
      <c r="Z832" s="54"/>
      <c r="AA832" s="54"/>
      <c r="AB832" s="57"/>
      <c r="AC832" s="54">
        <v>1</v>
      </c>
      <c r="AD832" s="69">
        <f>SUM(AE832:AK832)</f>
        <v>0</v>
      </c>
      <c r="AE832" s="66"/>
      <c r="AF832" s="66"/>
      <c r="AG832" s="66"/>
      <c r="AH832" s="66"/>
      <c r="AI832" s="66"/>
      <c r="AJ832" s="66"/>
      <c r="AK832" s="66"/>
      <c r="AL832" s="54">
        <f>IF((AC832-SUM(AE832:AK832))&lt;0,0,AC832-SUM(AE832:AK832))</f>
        <v>1</v>
      </c>
      <c r="AM832" s="69">
        <f>SUM(AN832:AT832)</f>
        <v>0</v>
      </c>
      <c r="AN832" s="60"/>
      <c r="AO832" s="52"/>
      <c r="AP832" s="52"/>
      <c r="AQ832" s="52"/>
      <c r="AR832" s="52"/>
      <c r="AS832" s="52"/>
      <c r="AT832" s="61"/>
      <c r="AU832" s="54">
        <f>MAX(0,$AM832-$AC832-$AW832)</f>
        <v>0</v>
      </c>
      <c r="AV832" s="54"/>
      <c r="AW832" s="54"/>
      <c r="AX832" s="65">
        <v>0</v>
      </c>
      <c r="AY832" s="57">
        <f>IF(AND($AU832&gt;0,ISNUMBER($AX832)),$AU832*$AX832,0)</f>
        <v>0</v>
      </c>
      <c r="AZ832" s="46"/>
      <c r="BA832" s="52"/>
      <c r="BB832" s="52"/>
      <c r="BC832" s="52"/>
      <c r="BD832" s="52"/>
      <c r="BE832" s="52"/>
      <c r="BF832" s="52"/>
    </row>
    <row r="833" spans="1:58" ht="15" customHeight="1">
      <c r="A833" s="46" t="s">
        <v>4647</v>
      </c>
      <c r="B833" s="50" t="s">
        <v>4648</v>
      </c>
      <c r="C833" s="54" t="s">
        <v>80</v>
      </c>
      <c r="D833" s="74">
        <v>3</v>
      </c>
      <c r="E833" s="50" t="s">
        <v>384</v>
      </c>
      <c r="F833" s="50"/>
      <c r="G833" s="50"/>
      <c r="H833" s="51" t="s">
        <v>3663</v>
      </c>
      <c r="I833" s="50" t="s">
        <v>4649</v>
      </c>
      <c r="J833" s="54" t="s">
        <v>73</v>
      </c>
      <c r="K833" s="50" t="s">
        <v>254</v>
      </c>
      <c r="L833" s="50" t="s">
        <v>4650</v>
      </c>
      <c r="M833" s="50" t="s">
        <v>4651</v>
      </c>
      <c r="N833" s="50" t="s">
        <v>4652</v>
      </c>
      <c r="O833" s="54"/>
      <c r="P833" s="56" t="s">
        <v>185</v>
      </c>
      <c r="Q833" s="50" t="s">
        <v>633</v>
      </c>
      <c r="R833" s="50"/>
      <c r="S833" s="50"/>
      <c r="T833" s="50"/>
      <c r="U833" s="56"/>
      <c r="V833" s="57">
        <v>0.19</v>
      </c>
      <c r="W833" s="68"/>
      <c r="X833" s="50"/>
      <c r="Y833" s="50"/>
      <c r="Z833" s="50"/>
      <c r="AA833" s="56"/>
      <c r="AB833" s="57"/>
      <c r="AC833" s="54">
        <v>1</v>
      </c>
      <c r="AD833" s="69">
        <f>SUM(AE833:AK833)</f>
        <v>0</v>
      </c>
      <c r="AE833" s="66"/>
      <c r="AF833" s="66"/>
      <c r="AG833" s="66"/>
      <c r="AH833" s="66"/>
      <c r="AI833" s="66"/>
      <c r="AJ833" s="66"/>
      <c r="AK833" s="66"/>
      <c r="AL833" s="54">
        <f>IF((AC833-SUM(AE833:AK833))&lt;0,0,AC833-SUM(AE833:AK833))</f>
        <v>1</v>
      </c>
      <c r="AM833" s="69">
        <f>SUM(AN833:AT833)</f>
        <v>0</v>
      </c>
      <c r="AN833" s="60"/>
      <c r="AO833" s="52"/>
      <c r="AP833" s="52"/>
      <c r="AQ833" s="52"/>
      <c r="AR833" s="52"/>
      <c r="AS833" s="52"/>
      <c r="AT833" s="61"/>
      <c r="AU833" s="54">
        <f>MAX(0,$AM833-$AC833-$AW833)</f>
        <v>0</v>
      </c>
      <c r="AV833" s="54"/>
      <c r="AW833" s="54"/>
      <c r="AX833" s="65">
        <v>0</v>
      </c>
      <c r="AY833" s="57">
        <f>IF(AND($AU833&gt;0,ISNUMBER($AX833)),$AU833*$AX833,0)</f>
        <v>0</v>
      </c>
      <c r="AZ833" s="46"/>
      <c r="BA833" s="52"/>
      <c r="BB833" s="52"/>
      <c r="BC833" s="52"/>
      <c r="BD833" s="52"/>
      <c r="BE833" s="52"/>
      <c r="BF833" s="52"/>
    </row>
    <row r="834" spans="1:58" ht="15" customHeight="1">
      <c r="A834" s="46" t="s">
        <v>4653</v>
      </c>
      <c r="B834" s="50" t="s">
        <v>4654</v>
      </c>
      <c r="C834" s="54" t="s">
        <v>109</v>
      </c>
      <c r="D834" s="74">
        <v>4</v>
      </c>
      <c r="E834" s="50" t="s">
        <v>81</v>
      </c>
      <c r="F834" s="50">
        <v>3</v>
      </c>
      <c r="G834" s="50">
        <v>6</v>
      </c>
      <c r="H834" s="51" t="s">
        <v>1651</v>
      </c>
      <c r="I834" s="50" t="s">
        <v>4655</v>
      </c>
      <c r="J834" s="54" t="s">
        <v>73</v>
      </c>
      <c r="K834" s="56" t="s">
        <v>2794</v>
      </c>
      <c r="L834" s="56" t="s">
        <v>1580</v>
      </c>
      <c r="M834" s="56" t="s">
        <v>4656</v>
      </c>
      <c r="N834" s="56"/>
      <c r="O834" s="54"/>
      <c r="P834" s="56" t="s">
        <v>185</v>
      </c>
      <c r="Q834" s="56" t="s">
        <v>669</v>
      </c>
      <c r="R834" s="50"/>
      <c r="S834" s="50"/>
      <c r="T834" s="50"/>
      <c r="U834" s="50"/>
      <c r="V834" s="57">
        <v>0.19</v>
      </c>
      <c r="W834" s="68"/>
      <c r="X834" s="50"/>
      <c r="Y834" s="50"/>
      <c r="Z834" s="50"/>
      <c r="AA834" s="50"/>
      <c r="AB834" s="57"/>
      <c r="AC834" s="54">
        <v>1</v>
      </c>
      <c r="AD834" s="69">
        <f>SUM(AE834:AK834)</f>
        <v>0</v>
      </c>
      <c r="AE834" s="66"/>
      <c r="AF834" s="66"/>
      <c r="AG834" s="66"/>
      <c r="AH834" s="66"/>
      <c r="AI834" s="66"/>
      <c r="AJ834" s="66"/>
      <c r="AK834" s="66"/>
      <c r="AL834" s="54">
        <f>IF((AC834-SUM(AE834:AK834))&lt;0,0,AC834-SUM(AE834:AK834))</f>
        <v>1</v>
      </c>
      <c r="AM834" s="69">
        <f>SUM(AN834:AT834)</f>
        <v>0</v>
      </c>
      <c r="AN834" s="60"/>
      <c r="AO834" s="52"/>
      <c r="AP834" s="52"/>
      <c r="AQ834" s="52"/>
      <c r="AR834" s="52"/>
      <c r="AS834" s="52"/>
      <c r="AT834" s="61"/>
      <c r="AU834" s="54">
        <f>MAX(0,$AM834-$AC834-$AW834)</f>
        <v>0</v>
      </c>
      <c r="AV834" s="54"/>
      <c r="AW834" s="54"/>
      <c r="AX834" s="65">
        <v>0</v>
      </c>
      <c r="AY834" s="57">
        <f>IF(AND($AU834&gt;0,ISNUMBER($AX834)),$AU834*$AX834,0)</f>
        <v>0</v>
      </c>
      <c r="AZ834" s="46"/>
      <c r="BA834" s="52"/>
      <c r="BB834" s="52"/>
      <c r="BC834" s="52"/>
      <c r="BD834" s="52"/>
      <c r="BE834" s="52"/>
      <c r="BF834" s="52"/>
    </row>
    <row r="835" spans="1:58" ht="15" customHeight="1">
      <c r="A835" s="46" t="s">
        <v>4657</v>
      </c>
      <c r="B835" s="50" t="s">
        <v>4658</v>
      </c>
      <c r="C835" s="54" t="s">
        <v>181</v>
      </c>
      <c r="D835" s="74">
        <v>3</v>
      </c>
      <c r="E835" s="50" t="s">
        <v>189</v>
      </c>
      <c r="F835" s="50"/>
      <c r="G835" s="50"/>
      <c r="H835" s="51"/>
      <c r="I835" s="50" t="s">
        <v>4659</v>
      </c>
      <c r="J835" s="54" t="s">
        <v>73</v>
      </c>
      <c r="K835" s="56" t="s">
        <v>135</v>
      </c>
      <c r="L835" s="56" t="s">
        <v>4660</v>
      </c>
      <c r="M835" s="56" t="s">
        <v>4661</v>
      </c>
      <c r="N835" s="56"/>
      <c r="O835" s="54"/>
      <c r="P835" s="56" t="s">
        <v>76</v>
      </c>
      <c r="Q835" s="56" t="s">
        <v>410</v>
      </c>
      <c r="R835" s="50"/>
      <c r="S835" s="50"/>
      <c r="T835" s="50"/>
      <c r="U835" s="56"/>
      <c r="V835" s="57">
        <v>0.19</v>
      </c>
      <c r="W835" s="68"/>
      <c r="X835" s="50"/>
      <c r="Y835" s="50"/>
      <c r="Z835" s="50"/>
      <c r="AA835" s="56"/>
      <c r="AB835" s="57"/>
      <c r="AC835" s="54">
        <v>1</v>
      </c>
      <c r="AD835" s="69">
        <f>SUM(AE835:AK835)</f>
        <v>0</v>
      </c>
      <c r="AE835" s="66"/>
      <c r="AF835" s="66"/>
      <c r="AG835" s="66"/>
      <c r="AH835" s="66"/>
      <c r="AI835" s="66"/>
      <c r="AJ835" s="66"/>
      <c r="AK835" s="66"/>
      <c r="AL835" s="54">
        <f>IF((AC835-SUM(AE835:AK835))&lt;0,0,AC835-SUM(AE835:AK835))</f>
        <v>1</v>
      </c>
      <c r="AM835" s="69">
        <f>SUM(AN835:AT835)</f>
        <v>0</v>
      </c>
      <c r="AN835" s="60"/>
      <c r="AO835" s="52"/>
      <c r="AP835" s="52"/>
      <c r="AQ835" s="52"/>
      <c r="AR835" s="52"/>
      <c r="AS835" s="52"/>
      <c r="AT835" s="61"/>
      <c r="AU835" s="54">
        <f>MAX(0,$AM835-$AC835-$AW835)</f>
        <v>0</v>
      </c>
      <c r="AV835" s="54"/>
      <c r="AW835" s="54"/>
      <c r="AX835" s="65">
        <v>0</v>
      </c>
      <c r="AY835" s="57">
        <f>IF(AND($AU835&gt;0,ISNUMBER($AX835)),$AU835*$AX835,0)</f>
        <v>0</v>
      </c>
      <c r="AZ835" s="46"/>
      <c r="BA835" s="52"/>
      <c r="BB835" s="52"/>
      <c r="BC835" s="52"/>
      <c r="BD835" s="52"/>
      <c r="BE835" s="52"/>
      <c r="BF835" s="52"/>
    </row>
    <row r="836" spans="1:58" ht="15" customHeight="1">
      <c r="A836" s="46" t="s">
        <v>4662</v>
      </c>
      <c r="B836" s="46" t="s">
        <v>4663</v>
      </c>
      <c r="C836" s="52" t="s">
        <v>101</v>
      </c>
      <c r="D836" s="75">
        <v>1</v>
      </c>
      <c r="E836" s="46" t="s">
        <v>71</v>
      </c>
      <c r="F836" s="50"/>
      <c r="G836" s="50"/>
      <c r="H836" s="51"/>
      <c r="I836" s="50" t="s">
        <v>4664</v>
      </c>
      <c r="J836" s="52" t="s">
        <v>73</v>
      </c>
      <c r="K836" s="46" t="s">
        <v>129</v>
      </c>
      <c r="L836" s="50" t="s">
        <v>4665</v>
      </c>
      <c r="M836" s="50" t="s">
        <v>4666</v>
      </c>
      <c r="N836" s="50"/>
      <c r="O836" s="54"/>
      <c r="P836" s="55" t="s">
        <v>76</v>
      </c>
      <c r="Q836" s="46" t="s">
        <v>645</v>
      </c>
      <c r="R836" s="75" t="s">
        <v>3458</v>
      </c>
      <c r="S836" s="75">
        <v>1</v>
      </c>
      <c r="T836" s="75">
        <v>0</v>
      </c>
      <c r="U836" s="56" t="s">
        <v>1201</v>
      </c>
      <c r="V836" s="57">
        <v>0.19</v>
      </c>
      <c r="W836" s="68"/>
      <c r="X836" s="46"/>
      <c r="Y836" s="46"/>
      <c r="Z836" s="46"/>
      <c r="AA836" s="56"/>
      <c r="AB836" s="57"/>
      <c r="AC836" s="54">
        <v>1</v>
      </c>
      <c r="AD836" s="69">
        <f>SUM(AE836:AK836)</f>
        <v>0</v>
      </c>
      <c r="AE836" s="66"/>
      <c r="AF836" s="66"/>
      <c r="AG836" s="66"/>
      <c r="AH836" s="66"/>
      <c r="AI836" s="66"/>
      <c r="AJ836" s="66"/>
      <c r="AK836" s="66"/>
      <c r="AL836" s="54">
        <f>IF((AC836-SUM(AE836:AK836))&lt;0,0,AC836-SUM(AE836:AK836))</f>
        <v>1</v>
      </c>
      <c r="AM836" s="69">
        <f>SUM(AN836:AT836)</f>
        <v>0</v>
      </c>
      <c r="AN836" s="60"/>
      <c r="AO836" s="52"/>
      <c r="AP836" s="52"/>
      <c r="AQ836" s="52"/>
      <c r="AR836" s="52"/>
      <c r="AS836" s="52"/>
      <c r="AT836" s="61"/>
      <c r="AU836" s="54">
        <f>MAX(0,$AM836-$AC836-$AW836)</f>
        <v>0</v>
      </c>
      <c r="AV836" s="52"/>
      <c r="AW836" s="52"/>
      <c r="AX836" s="65">
        <v>0</v>
      </c>
      <c r="AY836" s="57">
        <f>IF(AND($AU836&gt;0,ISNUMBER($AX836)),$AU836*$AX836,0)</f>
        <v>0</v>
      </c>
      <c r="AZ836" s="46"/>
      <c r="BA836" s="52"/>
      <c r="BB836" s="52"/>
      <c r="BC836" s="52"/>
      <c r="BD836" s="52"/>
      <c r="BE836" s="52"/>
      <c r="BF836" s="52"/>
    </row>
    <row r="837" spans="1:58" ht="15" customHeight="1">
      <c r="A837" s="46" t="s">
        <v>4667</v>
      </c>
      <c r="B837" s="46" t="s">
        <v>4668</v>
      </c>
      <c r="C837" s="52" t="s">
        <v>181</v>
      </c>
      <c r="D837" s="75">
        <v>5</v>
      </c>
      <c r="E837" s="46" t="s">
        <v>81</v>
      </c>
      <c r="F837" s="50">
        <v>4</v>
      </c>
      <c r="G837" s="50">
        <v>6</v>
      </c>
      <c r="H837" s="51" t="s">
        <v>4669</v>
      </c>
      <c r="I837" s="50" t="s">
        <v>4670</v>
      </c>
      <c r="J837" s="52" t="s">
        <v>73</v>
      </c>
      <c r="K837" s="46" t="s">
        <v>676</v>
      </c>
      <c r="L837" s="50" t="s">
        <v>4671</v>
      </c>
      <c r="M837" s="50" t="s">
        <v>4672</v>
      </c>
      <c r="N837" s="50" t="s">
        <v>4673</v>
      </c>
      <c r="O837" s="54"/>
      <c r="P837" s="55" t="s">
        <v>185</v>
      </c>
      <c r="Q837" s="46" t="s">
        <v>645</v>
      </c>
      <c r="R837" s="75" t="s">
        <v>4674</v>
      </c>
      <c r="S837" s="75">
        <v>1</v>
      </c>
      <c r="T837" s="75">
        <v>0</v>
      </c>
      <c r="U837" s="56" t="s">
        <v>4675</v>
      </c>
      <c r="V837" s="57">
        <v>0.19</v>
      </c>
      <c r="W837" s="68"/>
      <c r="X837" s="46"/>
      <c r="Y837" s="46"/>
      <c r="Z837" s="46"/>
      <c r="AA837" s="56"/>
      <c r="AB837" s="57"/>
      <c r="AC837" s="54">
        <v>1</v>
      </c>
      <c r="AD837" s="69">
        <f>SUM(AE837:AK837)</f>
        <v>0</v>
      </c>
      <c r="AE837" s="66"/>
      <c r="AF837" s="66"/>
      <c r="AG837" s="66"/>
      <c r="AH837" s="66"/>
      <c r="AI837" s="66"/>
      <c r="AJ837" s="66"/>
      <c r="AK837" s="66"/>
      <c r="AL837" s="54">
        <f>IF((AC837-SUM(AE837:AK837))&lt;0,0,AC837-SUM(AE837:AK837))</f>
        <v>1</v>
      </c>
      <c r="AM837" s="69">
        <f>SUM(AN837:AT837)</f>
        <v>0</v>
      </c>
      <c r="AN837" s="60"/>
      <c r="AO837" s="52"/>
      <c r="AP837" s="52"/>
      <c r="AQ837" s="52"/>
      <c r="AR837" s="52"/>
      <c r="AS837" s="52"/>
      <c r="AT837" s="61"/>
      <c r="AU837" s="54">
        <f>MAX(0,$AM837-$AC837-$AW837)</f>
        <v>0</v>
      </c>
      <c r="AV837" s="52"/>
      <c r="AW837" s="52"/>
      <c r="AX837" s="65">
        <v>0</v>
      </c>
      <c r="AY837" s="57">
        <f>IF(AND($AU837&gt;0,ISNUMBER($AX837)),$AU837*$AX837,0)</f>
        <v>0</v>
      </c>
      <c r="AZ837" s="46"/>
      <c r="BA837" s="52"/>
      <c r="BB837" s="52"/>
      <c r="BC837" s="52"/>
      <c r="BD837" s="52"/>
      <c r="BE837" s="52"/>
      <c r="BF837" s="52"/>
    </row>
    <row r="838" spans="1:58" ht="15" customHeight="1">
      <c r="A838" s="46" t="s">
        <v>4676</v>
      </c>
      <c r="B838" s="50" t="s">
        <v>4677</v>
      </c>
      <c r="C838" s="54" t="s">
        <v>80</v>
      </c>
      <c r="D838" s="74">
        <v>3</v>
      </c>
      <c r="E838" s="50" t="s">
        <v>81</v>
      </c>
      <c r="F838" s="50">
        <v>2</v>
      </c>
      <c r="G838" s="50">
        <v>2</v>
      </c>
      <c r="H838" s="51" t="s">
        <v>90</v>
      </c>
      <c r="I838" s="50" t="s">
        <v>4678</v>
      </c>
      <c r="J838" s="54" t="s">
        <v>73</v>
      </c>
      <c r="K838" s="56" t="s">
        <v>676</v>
      </c>
      <c r="L838" s="56" t="s">
        <v>4679</v>
      </c>
      <c r="M838" s="56" t="s">
        <v>4680</v>
      </c>
      <c r="N838" s="56"/>
      <c r="O838" s="54"/>
      <c r="P838" s="56" t="s">
        <v>76</v>
      </c>
      <c r="Q838" s="56" t="s">
        <v>669</v>
      </c>
      <c r="R838" s="50"/>
      <c r="S838" s="50"/>
      <c r="T838" s="50"/>
      <c r="U838" s="56"/>
      <c r="V838" s="57">
        <v>0.19</v>
      </c>
      <c r="W838" s="68"/>
      <c r="X838" s="50"/>
      <c r="Y838" s="50"/>
      <c r="Z838" s="50"/>
      <c r="AA838" s="56"/>
      <c r="AB838" s="57"/>
      <c r="AC838" s="54">
        <v>1</v>
      </c>
      <c r="AD838" s="69">
        <f>SUM(AE838:AK838)</f>
        <v>1</v>
      </c>
      <c r="AE838" s="66"/>
      <c r="AF838" s="66"/>
      <c r="AG838" s="66"/>
      <c r="AH838" s="66"/>
      <c r="AI838" s="66"/>
      <c r="AJ838" s="66"/>
      <c r="AK838" s="66">
        <v>1</v>
      </c>
      <c r="AL838" s="54">
        <f>IF((AC838-SUM(AE838:AK838))&lt;0,0,AC838-SUM(AE838:AK838))</f>
        <v>0</v>
      </c>
      <c r="AM838" s="69">
        <f>SUM(AN838:AT838)</f>
        <v>1</v>
      </c>
      <c r="AN838" s="60"/>
      <c r="AO838" s="52"/>
      <c r="AP838" s="52"/>
      <c r="AQ838" s="52"/>
      <c r="AR838" s="52"/>
      <c r="AS838" s="52"/>
      <c r="AT838" s="61">
        <v>1</v>
      </c>
      <c r="AU838" s="54">
        <f>MAX(0,$AM838-$AC838-$AW838)</f>
        <v>0</v>
      </c>
      <c r="AV838" s="54"/>
      <c r="AW838" s="54"/>
      <c r="AX838" s="65">
        <v>0</v>
      </c>
      <c r="AY838" s="57">
        <f>IF(AND($AU838&gt;0,ISNUMBER($AX838)),$AU838*$AX838,0)</f>
        <v>0</v>
      </c>
      <c r="AZ838" s="46"/>
      <c r="BA838" s="52"/>
      <c r="BB838" s="52"/>
      <c r="BC838" s="52"/>
      <c r="BD838" s="52"/>
      <c r="BE838" s="52"/>
      <c r="BF838" s="52"/>
    </row>
    <row r="839" spans="1:58" ht="15" customHeight="1">
      <c r="A839" s="46" t="s">
        <v>4681</v>
      </c>
      <c r="B839" s="50" t="s">
        <v>4682</v>
      </c>
      <c r="C839" s="54" t="s">
        <v>181</v>
      </c>
      <c r="D839" s="74">
        <v>2</v>
      </c>
      <c r="E839" s="50" t="s">
        <v>233</v>
      </c>
      <c r="F839" s="50"/>
      <c r="G839" s="50"/>
      <c r="H839" s="51"/>
      <c r="I839" s="50" t="s">
        <v>4683</v>
      </c>
      <c r="J839" s="54" t="s">
        <v>73</v>
      </c>
      <c r="K839" s="56" t="s">
        <v>92</v>
      </c>
      <c r="L839" s="56" t="s">
        <v>4684</v>
      </c>
      <c r="M839" s="56" t="s">
        <v>4685</v>
      </c>
      <c r="N839" s="56"/>
      <c r="O839" s="54"/>
      <c r="P839" s="56" t="s">
        <v>185</v>
      </c>
      <c r="Q839" s="56" t="s">
        <v>2507</v>
      </c>
      <c r="R839" s="50"/>
      <c r="S839" s="50"/>
      <c r="T839" s="50"/>
      <c r="U839" s="56"/>
      <c r="V839" s="57">
        <v>0.18</v>
      </c>
      <c r="W839" s="68"/>
      <c r="X839" s="50"/>
      <c r="Y839" s="50"/>
      <c r="Z839" s="50"/>
      <c r="AA839" s="56"/>
      <c r="AB839" s="57"/>
      <c r="AC839" s="54">
        <v>1</v>
      </c>
      <c r="AD839" s="69">
        <f>SUM(AE839:AK839)</f>
        <v>1</v>
      </c>
      <c r="AE839" s="66"/>
      <c r="AF839" s="66"/>
      <c r="AG839" s="66"/>
      <c r="AH839" s="66"/>
      <c r="AI839" s="66"/>
      <c r="AJ839" s="66"/>
      <c r="AK839" s="66">
        <v>1</v>
      </c>
      <c r="AL839" s="54">
        <f>IF((AC839-SUM(AE839:AK839))&lt;0,0,AC839-SUM(AE839:AK839))</f>
        <v>0</v>
      </c>
      <c r="AM839" s="69">
        <f>SUM(AN839:AT839)</f>
        <v>1</v>
      </c>
      <c r="AN839" s="60"/>
      <c r="AO839" s="52"/>
      <c r="AP839" s="52"/>
      <c r="AQ839" s="52"/>
      <c r="AR839" s="52"/>
      <c r="AS839" s="52"/>
      <c r="AT839" s="61">
        <v>1</v>
      </c>
      <c r="AU839" s="54">
        <f>MAX(0,$AM839-$AC839-$AW839)</f>
        <v>0</v>
      </c>
      <c r="AV839" s="54"/>
      <c r="AW839" s="54"/>
      <c r="AX839" s="65">
        <v>0</v>
      </c>
      <c r="AY839" s="57">
        <f>IF(AND($AU839&gt;0,ISNUMBER($AX839)),$AU839*$AX839,0)</f>
        <v>0</v>
      </c>
      <c r="AZ839" s="46"/>
      <c r="BA839" s="52"/>
      <c r="BB839" s="52"/>
      <c r="BC839" s="52"/>
      <c r="BD839" s="52"/>
      <c r="BE839" s="52"/>
      <c r="BF839" s="52"/>
    </row>
    <row r="840" spans="1:58" ht="15" customHeight="1">
      <c r="A840" s="46" t="s">
        <v>4686</v>
      </c>
      <c r="B840" s="50" t="s">
        <v>4687</v>
      </c>
      <c r="C840" s="54" t="s">
        <v>118</v>
      </c>
      <c r="D840" s="74">
        <v>4</v>
      </c>
      <c r="E840" s="50" t="s">
        <v>189</v>
      </c>
      <c r="F840" s="50"/>
      <c r="G840" s="50"/>
      <c r="H840" s="51"/>
      <c r="I840" s="50" t="s">
        <v>4688</v>
      </c>
      <c r="J840" s="54" t="s">
        <v>73</v>
      </c>
      <c r="K840" s="50" t="s">
        <v>864</v>
      </c>
      <c r="L840" s="50" t="s">
        <v>4689</v>
      </c>
      <c r="M840" s="50" t="s">
        <v>4690</v>
      </c>
      <c r="N840" s="50"/>
      <c r="O840" s="54"/>
      <c r="P840" s="55" t="s">
        <v>76</v>
      </c>
      <c r="Q840" s="50" t="s">
        <v>633</v>
      </c>
      <c r="R840" s="74" t="s">
        <v>4691</v>
      </c>
      <c r="S840" s="74">
        <v>1</v>
      </c>
      <c r="T840" s="74">
        <v>1</v>
      </c>
      <c r="U840" s="56" t="s">
        <v>4692</v>
      </c>
      <c r="V840" s="57">
        <v>0.18</v>
      </c>
      <c r="W840" s="68"/>
      <c r="X840" s="46"/>
      <c r="Y840" s="50"/>
      <c r="Z840" s="50"/>
      <c r="AA840" s="56"/>
      <c r="AB840" s="57"/>
      <c r="AC840" s="54">
        <v>1</v>
      </c>
      <c r="AD840" s="69">
        <f>SUM(AE840:AK840)</f>
        <v>0</v>
      </c>
      <c r="AE840" s="66"/>
      <c r="AF840" s="66"/>
      <c r="AG840" s="66"/>
      <c r="AH840" s="66"/>
      <c r="AI840" s="66"/>
      <c r="AJ840" s="66"/>
      <c r="AK840" s="66"/>
      <c r="AL840" s="54">
        <f>IF((AC840-SUM(AE840:AK840))&lt;0,0,AC840-SUM(AE840:AK840))</f>
        <v>1</v>
      </c>
      <c r="AM840" s="69">
        <f>SUM(AN840:AT840)</f>
        <v>0</v>
      </c>
      <c r="AN840" s="60"/>
      <c r="AO840" s="52"/>
      <c r="AP840" s="52"/>
      <c r="AQ840" s="52"/>
      <c r="AR840" s="52"/>
      <c r="AS840" s="52"/>
      <c r="AT840" s="61"/>
      <c r="AU840" s="54">
        <f>MAX(0,$AM840-$AC840-$AW840)</f>
        <v>0</v>
      </c>
      <c r="AV840" s="54"/>
      <c r="AW840" s="54"/>
      <c r="AX840" s="65">
        <v>0</v>
      </c>
      <c r="AY840" s="57">
        <f>IF(AND($AU840&gt;0,ISNUMBER($AX840)),$AU840*$AX840,0)</f>
        <v>0</v>
      </c>
      <c r="AZ840" s="46"/>
      <c r="BA840" s="52"/>
      <c r="BB840" s="52"/>
      <c r="BC840" s="52"/>
      <c r="BD840" s="52"/>
      <c r="BE840" s="52"/>
      <c r="BF840" s="52"/>
    </row>
    <row r="841" spans="1:58" ht="15" customHeight="1">
      <c r="A841" s="46" t="s">
        <v>4693</v>
      </c>
      <c r="B841" s="50" t="s">
        <v>4694</v>
      </c>
      <c r="C841" s="54" t="s">
        <v>118</v>
      </c>
      <c r="D841" s="74">
        <v>3</v>
      </c>
      <c r="E841" s="50" t="s">
        <v>81</v>
      </c>
      <c r="F841" s="50">
        <v>2</v>
      </c>
      <c r="G841" s="50">
        <v>3</v>
      </c>
      <c r="H841" s="51" t="s">
        <v>4695</v>
      </c>
      <c r="I841" s="50" t="s">
        <v>4696</v>
      </c>
      <c r="J841" s="54" t="s">
        <v>73</v>
      </c>
      <c r="K841" s="56" t="s">
        <v>864</v>
      </c>
      <c r="L841" s="56" t="s">
        <v>4697</v>
      </c>
      <c r="M841" s="56"/>
      <c r="N841" s="56"/>
      <c r="O841" s="54"/>
      <c r="P841" s="56" t="s">
        <v>76</v>
      </c>
      <c r="Q841" s="56" t="s">
        <v>867</v>
      </c>
      <c r="R841" s="50"/>
      <c r="S841" s="50"/>
      <c r="T841" s="50"/>
      <c r="U841" s="56"/>
      <c r="V841" s="57">
        <v>0.18</v>
      </c>
      <c r="W841" s="68"/>
      <c r="X841" s="50"/>
      <c r="Y841" s="50"/>
      <c r="Z841" s="50"/>
      <c r="AA841" s="56"/>
      <c r="AB841" s="57"/>
      <c r="AC841" s="54">
        <v>1</v>
      </c>
      <c r="AD841" s="69">
        <f>SUM(AE841:AK841)</f>
        <v>0</v>
      </c>
      <c r="AE841" s="66"/>
      <c r="AF841" s="66"/>
      <c r="AG841" s="66"/>
      <c r="AH841" s="66"/>
      <c r="AI841" s="66"/>
      <c r="AJ841" s="66"/>
      <c r="AK841" s="66"/>
      <c r="AL841" s="54">
        <f>IF((AC841-SUM(AE841:AK841))&lt;0,0,AC841-SUM(AE841:AK841))</f>
        <v>1</v>
      </c>
      <c r="AM841" s="69">
        <f>SUM(AN841:AT841)</f>
        <v>0</v>
      </c>
      <c r="AN841" s="60"/>
      <c r="AO841" s="52"/>
      <c r="AP841" s="52"/>
      <c r="AQ841" s="52"/>
      <c r="AR841" s="52"/>
      <c r="AS841" s="52"/>
      <c r="AT841" s="61"/>
      <c r="AU841" s="54">
        <f>MAX(0,$AM841-$AC841-$AW841)</f>
        <v>0</v>
      </c>
      <c r="AV841" s="54"/>
      <c r="AW841" s="54"/>
      <c r="AX841" s="65">
        <v>0</v>
      </c>
      <c r="AY841" s="57">
        <f>IF(AND($AU841&gt;0,ISNUMBER($AX841)),$AU841*$AX841,0)</f>
        <v>0</v>
      </c>
      <c r="AZ841" s="46"/>
      <c r="BA841" s="52"/>
      <c r="BB841" s="52"/>
      <c r="BC841" s="52"/>
      <c r="BD841" s="52"/>
      <c r="BE841" s="52"/>
      <c r="BF841" s="52"/>
    </row>
    <row r="842" spans="1:58" ht="15" customHeight="1">
      <c r="A842" s="46" t="s">
        <v>4698</v>
      </c>
      <c r="B842" s="50" t="s">
        <v>4699</v>
      </c>
      <c r="C842" s="54" t="s">
        <v>118</v>
      </c>
      <c r="D842" s="74">
        <v>3</v>
      </c>
      <c r="E842" s="50" t="s">
        <v>110</v>
      </c>
      <c r="F842" s="50">
        <v>1</v>
      </c>
      <c r="G842" s="50">
        <v>3</v>
      </c>
      <c r="H842" s="51" t="s">
        <v>4700</v>
      </c>
      <c r="I842" s="50" t="s">
        <v>4701</v>
      </c>
      <c r="J842" s="54" t="s">
        <v>73</v>
      </c>
      <c r="K842" s="56" t="s">
        <v>1781</v>
      </c>
      <c r="L842" s="56" t="s">
        <v>4702</v>
      </c>
      <c r="M842" s="56" t="s">
        <v>4703</v>
      </c>
      <c r="N842" s="56" t="s">
        <v>4704</v>
      </c>
      <c r="O842" s="56">
        <v>4031</v>
      </c>
      <c r="P842" s="56" t="s">
        <v>86</v>
      </c>
      <c r="Q842" s="56" t="s">
        <v>93</v>
      </c>
      <c r="R842" s="54"/>
      <c r="S842" s="54"/>
      <c r="T842" s="54"/>
      <c r="U842" s="54"/>
      <c r="V842" s="57">
        <v>0.18</v>
      </c>
      <c r="W842" s="68"/>
      <c r="X842" s="54"/>
      <c r="Y842" s="54"/>
      <c r="Z842" s="54"/>
      <c r="AA842" s="54"/>
      <c r="AB842" s="57"/>
      <c r="AC842" s="54">
        <v>1</v>
      </c>
      <c r="AD842" s="69">
        <f>SUM(AE842:AK842)</f>
        <v>0</v>
      </c>
      <c r="AE842" s="66"/>
      <c r="AF842" s="66"/>
      <c r="AG842" s="66"/>
      <c r="AH842" s="66"/>
      <c r="AI842" s="66"/>
      <c r="AJ842" s="66"/>
      <c r="AK842" s="66"/>
      <c r="AL842" s="54">
        <f>IF((AC842-SUM(AE842:AK842))&lt;0,0,AC842-SUM(AE842:AK842))</f>
        <v>1</v>
      </c>
      <c r="AM842" s="69">
        <f>SUM(AN842:AT842)</f>
        <v>0</v>
      </c>
      <c r="AN842" s="60"/>
      <c r="AO842" s="52"/>
      <c r="AP842" s="52"/>
      <c r="AQ842" s="52"/>
      <c r="AR842" s="52"/>
      <c r="AS842" s="52"/>
      <c r="AT842" s="61"/>
      <c r="AU842" s="54">
        <f>MAX(0,$AM842-$AC842-$AW842)</f>
        <v>0</v>
      </c>
      <c r="AV842" s="54"/>
      <c r="AW842" s="54"/>
      <c r="AX842" s="65">
        <v>0</v>
      </c>
      <c r="AY842" s="57">
        <f>IF(AND($AU842&gt;0,ISNUMBER($AX842)),$AU842*$AX842,0)</f>
        <v>0</v>
      </c>
      <c r="AZ842" s="46"/>
      <c r="BA842" s="52"/>
      <c r="BB842" s="52"/>
      <c r="BC842" s="52"/>
      <c r="BD842" s="52"/>
      <c r="BE842" s="52"/>
      <c r="BF842" s="52"/>
    </row>
    <row r="843" spans="1:58" ht="15" customHeight="1">
      <c r="A843" s="46" t="s">
        <v>4705</v>
      </c>
      <c r="B843" s="50" t="s">
        <v>4706</v>
      </c>
      <c r="C843" s="54" t="s">
        <v>311</v>
      </c>
      <c r="D843" s="74">
        <v>0</v>
      </c>
      <c r="E843" s="50" t="s">
        <v>312</v>
      </c>
      <c r="F843" s="50"/>
      <c r="G843" s="50"/>
      <c r="H843" s="51"/>
      <c r="I843" s="50" t="s">
        <v>4707</v>
      </c>
      <c r="J843" s="54" t="s">
        <v>73</v>
      </c>
      <c r="K843" s="50" t="s">
        <v>312</v>
      </c>
      <c r="L843" s="50" t="s">
        <v>4708</v>
      </c>
      <c r="M843" s="50" t="s">
        <v>747</v>
      </c>
      <c r="N843" s="50" t="s">
        <v>4709</v>
      </c>
      <c r="O843" s="54"/>
      <c r="P843" s="56" t="s">
        <v>312</v>
      </c>
      <c r="Q843" s="50" t="s">
        <v>633</v>
      </c>
      <c r="R843" s="74" t="s">
        <v>3392</v>
      </c>
      <c r="S843" s="74">
        <v>1</v>
      </c>
      <c r="T843" s="74">
        <v>1</v>
      </c>
      <c r="U843" s="56" t="s">
        <v>4292</v>
      </c>
      <c r="V843" s="57">
        <v>0.18</v>
      </c>
      <c r="W843" s="68"/>
      <c r="X843" s="50"/>
      <c r="Y843" s="50"/>
      <c r="Z843" s="50"/>
      <c r="AA843" s="56"/>
      <c r="AB843" s="57"/>
      <c r="AC843" s="54">
        <v>1</v>
      </c>
      <c r="AD843" s="69">
        <f>SUM(AE843:AK843)</f>
        <v>0</v>
      </c>
      <c r="AE843" s="66"/>
      <c r="AF843" s="66"/>
      <c r="AG843" s="66"/>
      <c r="AH843" s="66"/>
      <c r="AI843" s="66"/>
      <c r="AJ843" s="66"/>
      <c r="AK843" s="66"/>
      <c r="AL843" s="54">
        <f>IF((AC843-SUM(AE843:AK843))&lt;0,0,AC843-SUM(AE843:AK843))</f>
        <v>1</v>
      </c>
      <c r="AM843" s="69">
        <f>SUM(AN843:AT843)</f>
        <v>0</v>
      </c>
      <c r="AN843" s="60"/>
      <c r="AO843" s="52"/>
      <c r="AP843" s="52"/>
      <c r="AQ843" s="52"/>
      <c r="AR843" s="52"/>
      <c r="AS843" s="52"/>
      <c r="AT843" s="61"/>
      <c r="AU843" s="54">
        <f>MAX(0,$AM843-$AC843-$AW843)</f>
        <v>0</v>
      </c>
      <c r="AV843" s="54"/>
      <c r="AW843" s="54"/>
      <c r="AX843" s="65">
        <v>0</v>
      </c>
      <c r="AY843" s="57">
        <f>IF(AND($AU843&gt;0,ISNUMBER($AX843)),$AU843*$AX843,0)</f>
        <v>0</v>
      </c>
      <c r="AZ843" s="46"/>
      <c r="BA843" s="52"/>
      <c r="BB843" s="52"/>
      <c r="BC843" s="52"/>
      <c r="BD843" s="52"/>
      <c r="BE843" s="52"/>
      <c r="BF843" s="52"/>
    </row>
    <row r="844" spans="1:58" ht="15" customHeight="1">
      <c r="A844" s="46" t="s">
        <v>4710</v>
      </c>
      <c r="B844" s="46" t="s">
        <v>4711</v>
      </c>
      <c r="C844" s="52" t="s">
        <v>109</v>
      </c>
      <c r="D844" s="75">
        <v>2</v>
      </c>
      <c r="E844" s="46" t="s">
        <v>81</v>
      </c>
      <c r="F844" s="50">
        <v>1</v>
      </c>
      <c r="G844" s="50">
        <v>0</v>
      </c>
      <c r="H844" s="51" t="s">
        <v>4712</v>
      </c>
      <c r="I844" s="50" t="s">
        <v>4713</v>
      </c>
      <c r="J844" s="52" t="s">
        <v>73</v>
      </c>
      <c r="K844" s="46" t="s">
        <v>2741</v>
      </c>
      <c r="L844" s="50" t="s">
        <v>4714</v>
      </c>
      <c r="M844" s="50" t="s">
        <v>952</v>
      </c>
      <c r="N844" s="50"/>
      <c r="O844" s="54"/>
      <c r="P844" s="55" t="s">
        <v>76</v>
      </c>
      <c r="Q844" s="46" t="s">
        <v>645</v>
      </c>
      <c r="R844" s="75" t="s">
        <v>4715</v>
      </c>
      <c r="S844" s="75">
        <v>1</v>
      </c>
      <c r="T844" s="75">
        <v>0</v>
      </c>
      <c r="U844" s="56" t="s">
        <v>1785</v>
      </c>
      <c r="V844" s="57">
        <v>0.18</v>
      </c>
      <c r="W844" s="68"/>
      <c r="X844" s="46"/>
      <c r="Y844" s="46"/>
      <c r="Z844" s="46"/>
      <c r="AA844" s="56"/>
      <c r="AB844" s="57"/>
      <c r="AC844" s="54">
        <v>1</v>
      </c>
      <c r="AD844" s="69">
        <f>SUM(AE844:AK844)</f>
        <v>1</v>
      </c>
      <c r="AE844" s="66"/>
      <c r="AF844" s="66"/>
      <c r="AG844" s="66"/>
      <c r="AH844" s="66"/>
      <c r="AI844" s="66"/>
      <c r="AJ844" s="66"/>
      <c r="AK844" s="66">
        <v>1</v>
      </c>
      <c r="AL844" s="54">
        <f>IF((AC844-SUM(AE844:AK844))&lt;0,0,AC844-SUM(AE844:AK844))</f>
        <v>0</v>
      </c>
      <c r="AM844" s="69">
        <f>SUM(AN844:AT844)</f>
        <v>0</v>
      </c>
      <c r="AN844" s="60"/>
      <c r="AO844" s="52"/>
      <c r="AP844" s="52"/>
      <c r="AQ844" s="52"/>
      <c r="AR844" s="52"/>
      <c r="AS844" s="52"/>
      <c r="AT844" s="61"/>
      <c r="AU844" s="54">
        <f>MAX(0,$AM844-$AC844-$AW844)</f>
        <v>0</v>
      </c>
      <c r="AV844" s="52"/>
      <c r="AW844" s="52"/>
      <c r="AX844" s="65">
        <v>0</v>
      </c>
      <c r="AY844" s="57">
        <f>IF(AND($AU844&gt;0,ISNUMBER($AX844)),$AU844*$AX844,0)</f>
        <v>0</v>
      </c>
      <c r="AZ844" s="46"/>
      <c r="BA844" s="52"/>
      <c r="BB844" s="52"/>
      <c r="BC844" s="52"/>
      <c r="BD844" s="52"/>
      <c r="BE844" s="52"/>
      <c r="BF844" s="52" t="s">
        <v>280</v>
      </c>
    </row>
    <row r="845" spans="1:58" ht="15" customHeight="1">
      <c r="A845" s="46" t="s">
        <v>4716</v>
      </c>
      <c r="B845" s="46" t="s">
        <v>4717</v>
      </c>
      <c r="C845" s="52" t="s">
        <v>181</v>
      </c>
      <c r="D845" s="75">
        <v>2</v>
      </c>
      <c r="E845" s="46" t="s">
        <v>71</v>
      </c>
      <c r="F845" s="50"/>
      <c r="G845" s="50"/>
      <c r="H845" s="51"/>
      <c r="I845" s="50" t="s">
        <v>4718</v>
      </c>
      <c r="J845" s="52" t="s">
        <v>73</v>
      </c>
      <c r="K845" s="46" t="s">
        <v>135</v>
      </c>
      <c r="L845" s="50" t="s">
        <v>1074</v>
      </c>
      <c r="M845" s="50" t="s">
        <v>4719</v>
      </c>
      <c r="N845" s="50"/>
      <c r="O845" s="54"/>
      <c r="P845" s="55" t="s">
        <v>76</v>
      </c>
      <c r="Q845" s="46" t="s">
        <v>669</v>
      </c>
      <c r="R845" s="75" t="s">
        <v>3774</v>
      </c>
      <c r="S845" s="75">
        <v>1</v>
      </c>
      <c r="T845" s="75">
        <v>0</v>
      </c>
      <c r="U845" s="56"/>
      <c r="V845" s="57">
        <v>0.18</v>
      </c>
      <c r="W845" s="68"/>
      <c r="X845" s="46"/>
      <c r="Y845" s="46"/>
      <c r="Z845" s="46"/>
      <c r="AA845" s="56"/>
      <c r="AB845" s="57"/>
      <c r="AC845" s="54">
        <v>1</v>
      </c>
      <c r="AD845" s="69">
        <f>SUM(AE845:AK845)</f>
        <v>1</v>
      </c>
      <c r="AE845" s="66"/>
      <c r="AF845" s="66"/>
      <c r="AG845" s="66"/>
      <c r="AH845" s="66"/>
      <c r="AI845" s="66"/>
      <c r="AJ845" s="66"/>
      <c r="AK845" s="66">
        <v>1</v>
      </c>
      <c r="AL845" s="54">
        <f>IF((AC845-SUM(AE845:AK845))&lt;0,0,AC845-SUM(AE845:AK845))</f>
        <v>0</v>
      </c>
      <c r="AM845" s="69">
        <f>SUM(AN845:AT845)</f>
        <v>1</v>
      </c>
      <c r="AN845" s="60"/>
      <c r="AO845" s="52"/>
      <c r="AP845" s="52"/>
      <c r="AQ845" s="52"/>
      <c r="AR845" s="52"/>
      <c r="AS845" s="52"/>
      <c r="AT845" s="61">
        <v>1</v>
      </c>
      <c r="AU845" s="54">
        <f>MAX(0,$AM845-$AC845-$AW845)</f>
        <v>0</v>
      </c>
      <c r="AV845" s="52"/>
      <c r="AW845" s="52"/>
      <c r="AX845" s="65">
        <v>0</v>
      </c>
      <c r="AY845" s="57">
        <f>IF(AND($AU845&gt;0,ISNUMBER($AX845)),$AU845*$AX845,0)</f>
        <v>0</v>
      </c>
      <c r="AZ845" s="46"/>
      <c r="BA845" s="52"/>
      <c r="BB845" s="52"/>
      <c r="BC845" s="52"/>
      <c r="BD845" s="52"/>
      <c r="BE845" s="52"/>
      <c r="BF845" s="52"/>
    </row>
    <row r="846" spans="1:58" ht="15" customHeight="1">
      <c r="A846" s="46" t="s">
        <v>4720</v>
      </c>
      <c r="B846" s="50" t="s">
        <v>4721</v>
      </c>
      <c r="C846" s="54" t="s">
        <v>70</v>
      </c>
      <c r="D846" s="74">
        <v>3</v>
      </c>
      <c r="E846" s="50" t="s">
        <v>81</v>
      </c>
      <c r="F846" s="50">
        <v>2</v>
      </c>
      <c r="G846" s="50">
        <v>2</v>
      </c>
      <c r="H846" s="51" t="s">
        <v>2277</v>
      </c>
      <c r="I846" s="50" t="s">
        <v>4722</v>
      </c>
      <c r="J846" s="54" t="s">
        <v>73</v>
      </c>
      <c r="K846" s="56" t="s">
        <v>550</v>
      </c>
      <c r="L846" s="56" t="s">
        <v>4723</v>
      </c>
      <c r="M846" s="56" t="s">
        <v>4724</v>
      </c>
      <c r="N846" s="56"/>
      <c r="O846" s="54"/>
      <c r="P846" s="56" t="s">
        <v>86</v>
      </c>
      <c r="Q846" s="56" t="s">
        <v>93</v>
      </c>
      <c r="R846" s="54"/>
      <c r="S846" s="54"/>
      <c r="T846" s="54"/>
      <c r="U846" s="54"/>
      <c r="V846" s="57">
        <v>0.18</v>
      </c>
      <c r="W846" s="68"/>
      <c r="X846" s="54"/>
      <c r="Y846" s="54"/>
      <c r="Z846" s="54"/>
      <c r="AA846" s="54"/>
      <c r="AB846" s="57"/>
      <c r="AC846" s="54">
        <v>1</v>
      </c>
      <c r="AD846" s="69">
        <f>SUM(AE846:AK846)</f>
        <v>0</v>
      </c>
      <c r="AE846" s="66"/>
      <c r="AF846" s="66"/>
      <c r="AG846" s="66"/>
      <c r="AH846" s="66"/>
      <c r="AI846" s="66"/>
      <c r="AJ846" s="66"/>
      <c r="AK846" s="66"/>
      <c r="AL846" s="54">
        <f>IF((AC846-SUM(AE846:AK846))&lt;0,0,AC846-SUM(AE846:AK846))</f>
        <v>1</v>
      </c>
      <c r="AM846" s="69">
        <f>SUM(AN846:AT846)</f>
        <v>0</v>
      </c>
      <c r="AN846" s="60"/>
      <c r="AO846" s="52"/>
      <c r="AP846" s="52"/>
      <c r="AQ846" s="52"/>
      <c r="AR846" s="52"/>
      <c r="AS846" s="52"/>
      <c r="AT846" s="61"/>
      <c r="AU846" s="54">
        <f>MAX(0,$AM846-$AC846-$AW846)</f>
        <v>0</v>
      </c>
      <c r="AV846" s="54"/>
      <c r="AW846" s="54"/>
      <c r="AX846" s="65">
        <v>0</v>
      </c>
      <c r="AY846" s="57">
        <f>IF(AND($AU846&gt;0,ISNUMBER($AX846)),$AU846*$AX846,0)</f>
        <v>0</v>
      </c>
      <c r="AZ846" s="46"/>
      <c r="BA846" s="52"/>
      <c r="BB846" s="52"/>
      <c r="BC846" s="52"/>
      <c r="BD846" s="52"/>
      <c r="BE846" s="52"/>
      <c r="BF846" s="52"/>
    </row>
    <row r="847" spans="1:58" ht="15" customHeight="1">
      <c r="A847" s="46" t="s">
        <v>4725</v>
      </c>
      <c r="B847" s="50" t="s">
        <v>4726</v>
      </c>
      <c r="C847" s="54" t="s">
        <v>101</v>
      </c>
      <c r="D847" s="74">
        <v>3</v>
      </c>
      <c r="E847" s="50" t="s">
        <v>81</v>
      </c>
      <c r="F847" s="50">
        <v>2</v>
      </c>
      <c r="G847" s="50">
        <v>1</v>
      </c>
      <c r="H847" s="51" t="s">
        <v>830</v>
      </c>
      <c r="I847" s="50" t="s">
        <v>4727</v>
      </c>
      <c r="J847" s="54" t="s">
        <v>73</v>
      </c>
      <c r="K847" s="56" t="s">
        <v>92</v>
      </c>
      <c r="L847" s="56" t="s">
        <v>4728</v>
      </c>
      <c r="M847" s="56" t="s">
        <v>4729</v>
      </c>
      <c r="N847" s="56"/>
      <c r="O847" s="54"/>
      <c r="P847" s="56" t="s">
        <v>76</v>
      </c>
      <c r="Q847" s="56" t="s">
        <v>4730</v>
      </c>
      <c r="R847" s="54"/>
      <c r="S847" s="54"/>
      <c r="T847" s="54"/>
      <c r="U847" s="54"/>
      <c r="V847" s="57">
        <v>0.17</v>
      </c>
      <c r="W847" s="68"/>
      <c r="X847" s="54"/>
      <c r="Y847" s="54"/>
      <c r="Z847" s="54"/>
      <c r="AA847" s="54"/>
      <c r="AB847" s="57"/>
      <c r="AC847" s="54">
        <v>1</v>
      </c>
      <c r="AD847" s="69">
        <f>SUM(AE847:AK847)</f>
        <v>1</v>
      </c>
      <c r="AE847" s="66"/>
      <c r="AF847" s="66"/>
      <c r="AG847" s="66"/>
      <c r="AH847" s="66">
        <v>1</v>
      </c>
      <c r="AI847" s="66"/>
      <c r="AJ847" s="66"/>
      <c r="AK847" s="66"/>
      <c r="AL847" s="54">
        <f>IF((AC847-SUM(AE847:AK847))&lt;0,0,AC847-SUM(AE847:AK847))</f>
        <v>0</v>
      </c>
      <c r="AM847" s="69">
        <f>SUM(AN847:AT847)</f>
        <v>0</v>
      </c>
      <c r="AN847" s="60"/>
      <c r="AO847" s="52"/>
      <c r="AP847" s="52"/>
      <c r="AQ847" s="52"/>
      <c r="AR847" s="52"/>
      <c r="AS847" s="52"/>
      <c r="AT847" s="61"/>
      <c r="AU847" s="54">
        <f>MAX(0,$AM847-$AC847-$AW847)</f>
        <v>0</v>
      </c>
      <c r="AV847" s="54"/>
      <c r="AW847" s="54"/>
      <c r="AX847" s="65">
        <v>0</v>
      </c>
      <c r="AY847" s="57">
        <f>IF(AND($AU847&gt;0,ISNUMBER($AX847)),$AU847*$AX847,0)</f>
        <v>0</v>
      </c>
      <c r="AZ847" s="46"/>
      <c r="BA847" s="52"/>
      <c r="BB847" s="52"/>
      <c r="BC847" s="52" t="s">
        <v>463</v>
      </c>
      <c r="BD847" s="52"/>
      <c r="BE847" s="52"/>
      <c r="BF847" s="52"/>
    </row>
    <row r="848" spans="1:58" ht="15" customHeight="1">
      <c r="A848" s="46" t="s">
        <v>4731</v>
      </c>
      <c r="B848" s="50" t="s">
        <v>4732</v>
      </c>
      <c r="C848" s="54" t="s">
        <v>118</v>
      </c>
      <c r="D848" s="74">
        <v>3</v>
      </c>
      <c r="E848" s="50" t="s">
        <v>81</v>
      </c>
      <c r="F848" s="50">
        <v>2</v>
      </c>
      <c r="G848" s="50">
        <v>5</v>
      </c>
      <c r="H848" s="51" t="s">
        <v>1651</v>
      </c>
      <c r="I848" s="50" t="s">
        <v>4733</v>
      </c>
      <c r="J848" s="54" t="s">
        <v>73</v>
      </c>
      <c r="K848" s="56" t="s">
        <v>92</v>
      </c>
      <c r="L848" s="56" t="s">
        <v>4734</v>
      </c>
      <c r="M848" s="56" t="s">
        <v>4735</v>
      </c>
      <c r="N848" s="56"/>
      <c r="O848" s="54"/>
      <c r="P848" s="56" t="s">
        <v>185</v>
      </c>
      <c r="Q848" s="56" t="s">
        <v>669</v>
      </c>
      <c r="R848" s="50"/>
      <c r="S848" s="50"/>
      <c r="T848" s="50"/>
      <c r="U848" s="56"/>
      <c r="V848" s="57">
        <v>0.17</v>
      </c>
      <c r="W848" s="68"/>
      <c r="X848" s="50"/>
      <c r="Y848" s="50"/>
      <c r="Z848" s="50"/>
      <c r="AA848" s="56"/>
      <c r="AB848" s="57"/>
      <c r="AC848" s="54">
        <v>1</v>
      </c>
      <c r="AD848" s="69">
        <f>SUM(AE848:AK848)</f>
        <v>1</v>
      </c>
      <c r="AE848" s="66"/>
      <c r="AF848" s="66"/>
      <c r="AG848" s="66"/>
      <c r="AH848" s="66">
        <v>1</v>
      </c>
      <c r="AI848" s="66"/>
      <c r="AJ848" s="66"/>
      <c r="AK848" s="66"/>
      <c r="AL848" s="54">
        <f>IF((AC848-SUM(AE848:AK848))&lt;0,0,AC848-SUM(AE848:AK848))</f>
        <v>0</v>
      </c>
      <c r="AM848" s="69">
        <f>SUM(AN848:AT848)</f>
        <v>1</v>
      </c>
      <c r="AN848" s="60"/>
      <c r="AO848" s="52"/>
      <c r="AP848" s="52"/>
      <c r="AQ848" s="52">
        <v>1</v>
      </c>
      <c r="AR848" s="52"/>
      <c r="AS848" s="52"/>
      <c r="AT848" s="61"/>
      <c r="AU848" s="54">
        <f>MAX(0,$AM848-$AC848-$AW848)</f>
        <v>0</v>
      </c>
      <c r="AV848" s="54"/>
      <c r="AW848" s="54"/>
      <c r="AX848" s="65">
        <v>0</v>
      </c>
      <c r="AY848" s="57">
        <f>IF(AND($AU848&gt;0,ISNUMBER($AX848)),$AU848*$AX848,0)</f>
        <v>0</v>
      </c>
      <c r="AZ848" s="46"/>
      <c r="BA848" s="52"/>
      <c r="BB848" s="52"/>
      <c r="BC848" s="52"/>
      <c r="BD848" s="52"/>
      <c r="BE848" s="52"/>
      <c r="BF848" s="52"/>
    </row>
    <row r="849" spans="1:58" ht="15" customHeight="1">
      <c r="A849" s="46" t="s">
        <v>4736</v>
      </c>
      <c r="B849" s="46" t="s">
        <v>4737</v>
      </c>
      <c r="C849" s="52" t="s">
        <v>101</v>
      </c>
      <c r="D849" s="75">
        <v>5</v>
      </c>
      <c r="E849" s="46" t="s">
        <v>81</v>
      </c>
      <c r="F849" s="50">
        <v>3</v>
      </c>
      <c r="G849" s="50">
        <v>6</v>
      </c>
      <c r="H849" s="51" t="s">
        <v>775</v>
      </c>
      <c r="I849" s="50" t="s">
        <v>4738</v>
      </c>
      <c r="J849" s="52" t="s">
        <v>73</v>
      </c>
      <c r="K849" s="46" t="s">
        <v>661</v>
      </c>
      <c r="L849" s="50" t="s">
        <v>4739</v>
      </c>
      <c r="M849" s="50"/>
      <c r="N849" s="50"/>
      <c r="O849" s="54"/>
      <c r="P849" s="55" t="s">
        <v>185</v>
      </c>
      <c r="Q849" s="46" t="s">
        <v>633</v>
      </c>
      <c r="R849" s="75" t="s">
        <v>4740</v>
      </c>
      <c r="S849" s="75">
        <v>1</v>
      </c>
      <c r="T849" s="75">
        <v>0</v>
      </c>
      <c r="U849" s="56" t="s">
        <v>4092</v>
      </c>
      <c r="V849" s="57">
        <v>0.17</v>
      </c>
      <c r="W849" s="68"/>
      <c r="X849" s="46"/>
      <c r="Y849" s="46"/>
      <c r="Z849" s="46"/>
      <c r="AA849" s="56"/>
      <c r="AB849" s="57"/>
      <c r="AC849" s="54">
        <v>1</v>
      </c>
      <c r="AD849" s="69">
        <f>SUM(AE849:AK849)</f>
        <v>0</v>
      </c>
      <c r="AE849" s="66"/>
      <c r="AF849" s="66"/>
      <c r="AG849" s="66"/>
      <c r="AH849" s="66"/>
      <c r="AI849" s="66"/>
      <c r="AJ849" s="66"/>
      <c r="AK849" s="66"/>
      <c r="AL849" s="54">
        <f>IF((AC849-SUM(AE849:AK849))&lt;0,0,AC849-SUM(AE849:AK849))</f>
        <v>1</v>
      </c>
      <c r="AM849" s="69">
        <f>SUM(AN849:AT849)</f>
        <v>0</v>
      </c>
      <c r="AN849" s="60"/>
      <c r="AO849" s="52"/>
      <c r="AP849" s="52"/>
      <c r="AQ849" s="52"/>
      <c r="AR849" s="52"/>
      <c r="AS849" s="52"/>
      <c r="AT849" s="61"/>
      <c r="AU849" s="54">
        <f>MAX(0,$AM849-$AC849-$AW849)</f>
        <v>0</v>
      </c>
      <c r="AV849" s="52"/>
      <c r="AW849" s="52"/>
      <c r="AX849" s="65">
        <v>0</v>
      </c>
      <c r="AY849" s="57">
        <f>IF(AND($AU849&gt;0,ISNUMBER($AX849)),$AU849*$AX849,0)</f>
        <v>0</v>
      </c>
      <c r="AZ849" s="46"/>
      <c r="BA849" s="52"/>
      <c r="BB849" s="52"/>
      <c r="BC849" s="52"/>
      <c r="BD849" s="52"/>
      <c r="BE849" s="52"/>
      <c r="BF849" s="52"/>
    </row>
    <row r="850" spans="1:58" ht="15" customHeight="1">
      <c r="A850" s="46" t="s">
        <v>4741</v>
      </c>
      <c r="B850" s="46" t="s">
        <v>4742</v>
      </c>
      <c r="C850" s="52" t="s">
        <v>181</v>
      </c>
      <c r="D850" s="75">
        <v>4</v>
      </c>
      <c r="E850" s="46" t="s">
        <v>71</v>
      </c>
      <c r="F850" s="50"/>
      <c r="G850" s="50"/>
      <c r="H850" s="51"/>
      <c r="I850" s="50" t="s">
        <v>4743</v>
      </c>
      <c r="J850" s="52" t="s">
        <v>73</v>
      </c>
      <c r="K850" s="46" t="s">
        <v>1099</v>
      </c>
      <c r="L850" s="50" t="s">
        <v>4744</v>
      </c>
      <c r="M850" s="50"/>
      <c r="N850" s="50"/>
      <c r="O850" s="54"/>
      <c r="P850" s="55" t="s">
        <v>185</v>
      </c>
      <c r="Q850" s="46" t="s">
        <v>669</v>
      </c>
      <c r="R850" s="75" t="s">
        <v>1697</v>
      </c>
      <c r="S850" s="75">
        <v>1</v>
      </c>
      <c r="T850" s="75">
        <v>0</v>
      </c>
      <c r="U850" s="56" t="s">
        <v>4745</v>
      </c>
      <c r="V850" s="63">
        <v>0.17</v>
      </c>
      <c r="W850" s="64"/>
      <c r="X850" s="46"/>
      <c r="Y850" s="46"/>
      <c r="Z850" s="46"/>
      <c r="AA850" s="56"/>
      <c r="AB850" s="63"/>
      <c r="AC850" s="52">
        <v>1</v>
      </c>
      <c r="AD850" s="69">
        <f>SUM(AE850:AK850)</f>
        <v>0</v>
      </c>
      <c r="AE850" s="66"/>
      <c r="AF850" s="66"/>
      <c r="AG850" s="66"/>
      <c r="AH850" s="66"/>
      <c r="AI850" s="66"/>
      <c r="AJ850" s="66"/>
      <c r="AK850" s="66"/>
      <c r="AL850" s="54">
        <f>IF((AC850-SUM(AE850:AK850))&lt;0,0,AC850-SUM(AE850:AK850))</f>
        <v>1</v>
      </c>
      <c r="AM850" s="69">
        <f>SUM(AN850:AT850)</f>
        <v>0</v>
      </c>
      <c r="AN850" s="60"/>
      <c r="AO850" s="52"/>
      <c r="AP850" s="52"/>
      <c r="AQ850" s="52"/>
      <c r="AR850" s="52"/>
      <c r="AS850" s="52"/>
      <c r="AT850" s="61"/>
      <c r="AU850" s="54">
        <f>MAX(0,$AM850-$AC850-$AW850)</f>
        <v>0</v>
      </c>
      <c r="AV850" s="52"/>
      <c r="AW850" s="52"/>
      <c r="AX850" s="65">
        <v>0</v>
      </c>
      <c r="AY850" s="57">
        <f>IF(AND($AU850&gt;0,ISNUMBER($AX850)),$AU850*$AX850,0)</f>
        <v>0</v>
      </c>
      <c r="AZ850" s="46"/>
      <c r="BA850" s="52"/>
      <c r="BB850" s="52"/>
      <c r="BC850" s="52"/>
      <c r="BD850" s="52"/>
      <c r="BE850" s="52"/>
      <c r="BF850" s="52"/>
    </row>
    <row r="851" spans="1:58" ht="15" customHeight="1">
      <c r="A851" s="46" t="s">
        <v>4746</v>
      </c>
      <c r="B851" s="46" t="s">
        <v>4747</v>
      </c>
      <c r="C851" s="52" t="s">
        <v>311</v>
      </c>
      <c r="D851" s="75">
        <v>0</v>
      </c>
      <c r="E851" s="46" t="s">
        <v>312</v>
      </c>
      <c r="F851" s="50"/>
      <c r="G851" s="50"/>
      <c r="H851" s="51"/>
      <c r="I851" s="50" t="s">
        <v>4748</v>
      </c>
      <c r="J851" s="52" t="s">
        <v>73</v>
      </c>
      <c r="K851" s="46" t="s">
        <v>312</v>
      </c>
      <c r="L851" s="50" t="s">
        <v>1050</v>
      </c>
      <c r="M851" s="50" t="s">
        <v>747</v>
      </c>
      <c r="N851" s="50" t="s">
        <v>4749</v>
      </c>
      <c r="O851" s="54"/>
      <c r="P851" s="55" t="s">
        <v>76</v>
      </c>
      <c r="Q851" s="46" t="s">
        <v>645</v>
      </c>
      <c r="R851" s="75" t="s">
        <v>4750</v>
      </c>
      <c r="S851" s="75">
        <v>1</v>
      </c>
      <c r="T851" s="75">
        <v>0</v>
      </c>
      <c r="U851" s="56" t="s">
        <v>1141</v>
      </c>
      <c r="V851" s="57">
        <v>0.17</v>
      </c>
      <c r="W851" s="68"/>
      <c r="X851" s="46"/>
      <c r="Y851" s="46"/>
      <c r="Z851" s="46"/>
      <c r="AA851" s="56"/>
      <c r="AB851" s="57"/>
      <c r="AC851" s="54">
        <v>1</v>
      </c>
      <c r="AD851" s="69">
        <f>SUM(AE851:AK851)</f>
        <v>1</v>
      </c>
      <c r="AE851" s="66"/>
      <c r="AF851" s="66">
        <v>1</v>
      </c>
      <c r="AG851" s="66"/>
      <c r="AH851" s="66"/>
      <c r="AI851" s="66"/>
      <c r="AJ851" s="66"/>
      <c r="AK851" s="66"/>
      <c r="AL851" s="54">
        <f>IF((AC851-SUM(AE851:AK851))&lt;0,0,AC851-SUM(AE851:AK851))</f>
        <v>0</v>
      </c>
      <c r="AM851" s="69">
        <f>SUM(AN851:AT851)</f>
        <v>1</v>
      </c>
      <c r="AN851" s="60"/>
      <c r="AO851" s="52">
        <v>1</v>
      </c>
      <c r="AP851" s="52"/>
      <c r="AQ851" s="52"/>
      <c r="AR851" s="52"/>
      <c r="AS851" s="52"/>
      <c r="AT851" s="61"/>
      <c r="AU851" s="54">
        <f>MAX(0,$AM851-$AC851-$AW851)</f>
        <v>0</v>
      </c>
      <c r="AV851" s="52"/>
      <c r="AW851" s="52"/>
      <c r="AX851" s="65">
        <v>0</v>
      </c>
      <c r="AY851" s="57">
        <f>IF(AND($AU851&gt;0,ISNUMBER($AX851)),$AU851*$AX851,0)</f>
        <v>0</v>
      </c>
      <c r="AZ851" s="46"/>
      <c r="BA851" s="52"/>
      <c r="BB851" s="52"/>
      <c r="BC851" s="52"/>
      <c r="BD851" s="52"/>
      <c r="BE851" s="52"/>
      <c r="BF851" s="52"/>
    </row>
    <row r="852" spans="1:58" ht="15" customHeight="1">
      <c r="A852" s="46" t="s">
        <v>4751</v>
      </c>
      <c r="B852" s="46" t="s">
        <v>4752</v>
      </c>
      <c r="C852" s="52" t="s">
        <v>232</v>
      </c>
      <c r="D852" s="75">
        <v>6</v>
      </c>
      <c r="E852" s="46" t="s">
        <v>81</v>
      </c>
      <c r="F852" s="50">
        <v>3</v>
      </c>
      <c r="G852" s="50">
        <v>3</v>
      </c>
      <c r="H852" s="51" t="s">
        <v>2548</v>
      </c>
      <c r="I852" s="50" t="s">
        <v>4753</v>
      </c>
      <c r="J852" s="52" t="s">
        <v>73</v>
      </c>
      <c r="K852" s="46" t="s">
        <v>135</v>
      </c>
      <c r="L852" s="50" t="s">
        <v>4754</v>
      </c>
      <c r="M852" s="50" t="s">
        <v>4755</v>
      </c>
      <c r="N852" s="50"/>
      <c r="O852" s="54"/>
      <c r="P852" s="55" t="s">
        <v>185</v>
      </c>
      <c r="Q852" s="46" t="s">
        <v>645</v>
      </c>
      <c r="R852" s="75" t="s">
        <v>4756</v>
      </c>
      <c r="S852" s="75">
        <v>1</v>
      </c>
      <c r="T852" s="75">
        <v>0</v>
      </c>
      <c r="U852" s="56" t="s">
        <v>786</v>
      </c>
      <c r="V852" s="57">
        <v>0.17</v>
      </c>
      <c r="W852" s="68"/>
      <c r="X852" s="46"/>
      <c r="Y852" s="46"/>
      <c r="Z852" s="46"/>
      <c r="AA852" s="56"/>
      <c r="AB852" s="57"/>
      <c r="AC852" s="54">
        <v>1</v>
      </c>
      <c r="AD852" s="69">
        <f>SUM(AE852:AK852)</f>
        <v>1</v>
      </c>
      <c r="AE852" s="66"/>
      <c r="AF852" s="66"/>
      <c r="AG852" s="66"/>
      <c r="AH852" s="66"/>
      <c r="AI852" s="66"/>
      <c r="AJ852" s="66"/>
      <c r="AK852" s="66">
        <v>1</v>
      </c>
      <c r="AL852" s="54">
        <f>IF((AC852-SUM(AE852:AK852))&lt;0,0,AC852-SUM(AE852:AK852))</f>
        <v>0</v>
      </c>
      <c r="AM852" s="69">
        <f>SUM(AN852:AT852)</f>
        <v>0</v>
      </c>
      <c r="AN852" s="60"/>
      <c r="AO852" s="52"/>
      <c r="AP852" s="52"/>
      <c r="AQ852" s="52"/>
      <c r="AR852" s="52"/>
      <c r="AS852" s="52"/>
      <c r="AT852" s="61"/>
      <c r="AU852" s="54">
        <f>MAX(0,$AM852-$AC852-$AW852)</f>
        <v>0</v>
      </c>
      <c r="AV852" s="52"/>
      <c r="AW852" s="52"/>
      <c r="AX852" s="65">
        <v>0</v>
      </c>
      <c r="AY852" s="57">
        <f>IF(AND($AU852&gt;0,ISNUMBER($AX852)),$AU852*$AX852,0)</f>
        <v>0</v>
      </c>
      <c r="AZ852" s="46"/>
      <c r="BA852" s="52"/>
      <c r="BB852" s="52"/>
      <c r="BC852" s="52"/>
      <c r="BD852" s="52"/>
      <c r="BE852" s="52"/>
      <c r="BF852" s="52" t="s">
        <v>132</v>
      </c>
    </row>
    <row r="853" spans="1:58" ht="15" customHeight="1">
      <c r="A853" s="46" t="s">
        <v>4757</v>
      </c>
      <c r="B853" s="50" t="s">
        <v>4758</v>
      </c>
      <c r="C853" s="54" t="s">
        <v>118</v>
      </c>
      <c r="D853" s="74">
        <v>2</v>
      </c>
      <c r="E853" s="50" t="s">
        <v>189</v>
      </c>
      <c r="F853" s="50"/>
      <c r="G853" s="50"/>
      <c r="H853" s="51"/>
      <c r="I853" s="50" t="s">
        <v>4759</v>
      </c>
      <c r="J853" s="54" t="s">
        <v>73</v>
      </c>
      <c r="K853" s="50" t="s">
        <v>135</v>
      </c>
      <c r="L853" s="50" t="s">
        <v>4760</v>
      </c>
      <c r="M853" s="50" t="s">
        <v>4761</v>
      </c>
      <c r="N853" s="50"/>
      <c r="O853" s="54"/>
      <c r="P853" s="56" t="s">
        <v>185</v>
      </c>
      <c r="Q853" s="50" t="s">
        <v>633</v>
      </c>
      <c r="R853" s="50"/>
      <c r="S853" s="50"/>
      <c r="T853" s="50"/>
      <c r="U853" s="56"/>
      <c r="V853" s="57">
        <v>0.17</v>
      </c>
      <c r="W853" s="68"/>
      <c r="X853" s="50"/>
      <c r="Y853" s="50"/>
      <c r="Z853" s="50"/>
      <c r="AA853" s="56"/>
      <c r="AB853" s="57"/>
      <c r="AC853" s="54">
        <v>1</v>
      </c>
      <c r="AD853" s="69">
        <f>SUM(AE853:AK853)</f>
        <v>1</v>
      </c>
      <c r="AE853" s="66"/>
      <c r="AF853" s="66"/>
      <c r="AG853" s="66"/>
      <c r="AH853" s="66"/>
      <c r="AI853" s="66">
        <v>1</v>
      </c>
      <c r="AJ853" s="66"/>
      <c r="AK853" s="66"/>
      <c r="AL853" s="54">
        <f>IF((AC853-SUM(AE853:AK853))&lt;0,0,AC853-SUM(AE853:AK853))</f>
        <v>0</v>
      </c>
      <c r="AM853" s="69">
        <f>SUM(AN853:AT853)</f>
        <v>1</v>
      </c>
      <c r="AN853" s="60"/>
      <c r="AO853" s="52"/>
      <c r="AP853" s="52"/>
      <c r="AQ853" s="52"/>
      <c r="AR853" s="52">
        <v>1</v>
      </c>
      <c r="AS853" s="52"/>
      <c r="AT853" s="61"/>
      <c r="AU853" s="54">
        <f>MAX(0,$AM853-$AC853-$AW853)</f>
        <v>0</v>
      </c>
      <c r="AV853" s="54"/>
      <c r="AW853" s="54"/>
      <c r="AX853" s="65">
        <v>0</v>
      </c>
      <c r="AY853" s="57">
        <f>IF(AND($AU853&gt;0,ISNUMBER($AX853)),$AU853*$AX853,0)</f>
        <v>0</v>
      </c>
      <c r="AZ853" s="46"/>
      <c r="BA853" s="52"/>
      <c r="BB853" s="52"/>
      <c r="BC853" s="52"/>
      <c r="BD853" s="52"/>
      <c r="BE853" s="52"/>
      <c r="BF853" s="52"/>
    </row>
    <row r="854" spans="1:58" ht="15" customHeight="1">
      <c r="A854" s="46" t="s">
        <v>4762</v>
      </c>
      <c r="B854" s="50" t="s">
        <v>4763</v>
      </c>
      <c r="C854" s="54" t="s">
        <v>101</v>
      </c>
      <c r="D854" s="74">
        <v>3</v>
      </c>
      <c r="E854" s="50" t="s">
        <v>384</v>
      </c>
      <c r="F854" s="50"/>
      <c r="G854" s="50"/>
      <c r="H854" s="51" t="s">
        <v>1256</v>
      </c>
      <c r="I854" s="50" t="s">
        <v>4764</v>
      </c>
      <c r="J854" s="54" t="s">
        <v>73</v>
      </c>
      <c r="K854" s="56" t="s">
        <v>497</v>
      </c>
      <c r="L854" s="56" t="s">
        <v>4765</v>
      </c>
      <c r="M854" s="56" t="s">
        <v>4766</v>
      </c>
      <c r="N854" s="56"/>
      <c r="O854" s="54"/>
      <c r="P854" s="56" t="s">
        <v>76</v>
      </c>
      <c r="Q854" s="56" t="s">
        <v>293</v>
      </c>
      <c r="R854" s="50"/>
      <c r="S854" s="50"/>
      <c r="T854" s="50"/>
      <c r="U854" s="50"/>
      <c r="V854" s="57">
        <v>0.17</v>
      </c>
      <c r="W854" s="68"/>
      <c r="X854" s="50"/>
      <c r="Y854" s="50"/>
      <c r="Z854" s="50"/>
      <c r="AA854" s="50"/>
      <c r="AB854" s="57"/>
      <c r="AC854" s="54">
        <v>1</v>
      </c>
      <c r="AD854" s="69">
        <f>SUM(AE854:AK854)</f>
        <v>1</v>
      </c>
      <c r="AE854" s="66"/>
      <c r="AF854" s="66"/>
      <c r="AG854" s="66"/>
      <c r="AH854" s="66">
        <v>1</v>
      </c>
      <c r="AI854" s="66"/>
      <c r="AJ854" s="66"/>
      <c r="AK854" s="66"/>
      <c r="AL854" s="54">
        <f>IF((AC854-SUM(AE854:AK854))&lt;0,0,AC854-SUM(AE854:AK854))</f>
        <v>0</v>
      </c>
      <c r="AM854" s="69">
        <f>SUM(AN854:AT854)</f>
        <v>1</v>
      </c>
      <c r="AN854" s="60"/>
      <c r="AO854" s="52"/>
      <c r="AP854" s="52"/>
      <c r="AQ854" s="52">
        <v>1</v>
      </c>
      <c r="AR854" s="52"/>
      <c r="AS854" s="52"/>
      <c r="AT854" s="61"/>
      <c r="AU854" s="54">
        <f>MAX(0,$AM854-$AC854-$AW854)</f>
        <v>0</v>
      </c>
      <c r="AV854" s="54"/>
      <c r="AW854" s="54"/>
      <c r="AX854" s="65">
        <v>0</v>
      </c>
      <c r="AY854" s="57">
        <f>IF(AND($AU854&gt;0,ISNUMBER($AX854)),$AU854*$AX854,0)</f>
        <v>0</v>
      </c>
      <c r="AZ854" s="46"/>
      <c r="BA854" s="52"/>
      <c r="BB854" s="52"/>
      <c r="BC854" s="52"/>
      <c r="BD854" s="52"/>
      <c r="BE854" s="52"/>
      <c r="BF854" s="52"/>
    </row>
    <row r="855" spans="1:58" ht="15" customHeight="1">
      <c r="A855" s="46" t="s">
        <v>4767</v>
      </c>
      <c r="B855" s="50" t="s">
        <v>4768</v>
      </c>
      <c r="C855" s="54" t="s">
        <v>80</v>
      </c>
      <c r="D855" s="74">
        <v>5</v>
      </c>
      <c r="E855" s="50" t="s">
        <v>4769</v>
      </c>
      <c r="F855" s="50">
        <v>3</v>
      </c>
      <c r="G855" s="50">
        <v>2</v>
      </c>
      <c r="H855" s="51" t="s">
        <v>957</v>
      </c>
      <c r="I855" s="50" t="s">
        <v>4770</v>
      </c>
      <c r="J855" s="54" t="s">
        <v>73</v>
      </c>
      <c r="K855" s="56" t="s">
        <v>202</v>
      </c>
      <c r="L855" s="56" t="s">
        <v>4771</v>
      </c>
      <c r="M855" s="56" t="s">
        <v>4772</v>
      </c>
      <c r="N855" s="56"/>
      <c r="O855" s="54"/>
      <c r="P855" s="56" t="s">
        <v>185</v>
      </c>
      <c r="Q855" s="56" t="s">
        <v>293</v>
      </c>
      <c r="R855" s="50"/>
      <c r="S855" s="50"/>
      <c r="T855" s="50"/>
      <c r="U855" s="56"/>
      <c r="V855" s="57">
        <v>0.16</v>
      </c>
      <c r="W855" s="68"/>
      <c r="X855" s="50"/>
      <c r="Y855" s="50"/>
      <c r="Z855" s="50"/>
      <c r="AA855" s="56"/>
      <c r="AB855" s="57"/>
      <c r="AC855" s="54">
        <v>1</v>
      </c>
      <c r="AD855" s="69">
        <f>SUM(AE855:AK855)</f>
        <v>1</v>
      </c>
      <c r="AE855" s="66"/>
      <c r="AF855" s="66">
        <v>1</v>
      </c>
      <c r="AG855" s="66"/>
      <c r="AH855" s="66"/>
      <c r="AI855" s="66"/>
      <c r="AJ855" s="66"/>
      <c r="AK855" s="66"/>
      <c r="AL855" s="54">
        <f>IF((AC855-SUM(AE855:AK855))&lt;0,0,AC855-SUM(AE855:AK855))</f>
        <v>0</v>
      </c>
      <c r="AM855" s="69">
        <f>SUM(AN855:AT855)</f>
        <v>1</v>
      </c>
      <c r="AN855" s="60"/>
      <c r="AO855" s="52">
        <v>1</v>
      </c>
      <c r="AP855" s="52"/>
      <c r="AQ855" s="52"/>
      <c r="AR855" s="52"/>
      <c r="AS855" s="52"/>
      <c r="AT855" s="61"/>
      <c r="AU855" s="54">
        <f>MAX(0,$AM855-$AC855-$AW855)</f>
        <v>0</v>
      </c>
      <c r="AV855" s="54"/>
      <c r="AW855" s="54"/>
      <c r="AX855" s="65">
        <v>0</v>
      </c>
      <c r="AY855" s="57">
        <f>IF(AND($AU855&gt;0,ISNUMBER($AX855)),$AU855*$AX855,0)</f>
        <v>0</v>
      </c>
      <c r="AZ855" s="46"/>
      <c r="BA855" s="52"/>
      <c r="BB855" s="52"/>
      <c r="BC855" s="52"/>
      <c r="BD855" s="52"/>
      <c r="BE855" s="52"/>
      <c r="BF855" s="52"/>
    </row>
    <row r="856" spans="1:58" ht="15" customHeight="1">
      <c r="A856" s="46" t="s">
        <v>4773</v>
      </c>
      <c r="B856" s="50" t="s">
        <v>4774</v>
      </c>
      <c r="C856" s="54" t="s">
        <v>109</v>
      </c>
      <c r="D856" s="74">
        <v>4</v>
      </c>
      <c r="E856" s="50" t="s">
        <v>81</v>
      </c>
      <c r="F856" s="50">
        <v>2</v>
      </c>
      <c r="G856" s="50">
        <v>6</v>
      </c>
      <c r="H856" s="51" t="s">
        <v>162</v>
      </c>
      <c r="I856" s="50" t="s">
        <v>4775</v>
      </c>
      <c r="J856" s="54" t="s">
        <v>73</v>
      </c>
      <c r="K856" s="56" t="s">
        <v>92</v>
      </c>
      <c r="L856" s="56" t="s">
        <v>430</v>
      </c>
      <c r="M856" s="56"/>
      <c r="N856" s="56"/>
      <c r="O856" s="54"/>
      <c r="P856" s="56" t="s">
        <v>185</v>
      </c>
      <c r="Q856" s="56" t="s">
        <v>420</v>
      </c>
      <c r="R856" s="74" t="s">
        <v>4776</v>
      </c>
      <c r="S856" s="74">
        <v>1</v>
      </c>
      <c r="T856" s="74">
        <v>0</v>
      </c>
      <c r="U856" s="56" t="s">
        <v>4777</v>
      </c>
      <c r="V856" s="57">
        <v>0.16</v>
      </c>
      <c r="W856" s="68"/>
      <c r="X856" s="54"/>
      <c r="Y856" s="54"/>
      <c r="Z856" s="54"/>
      <c r="AA856" s="56"/>
      <c r="AB856" s="57"/>
      <c r="AC856" s="54">
        <v>1</v>
      </c>
      <c r="AD856" s="69">
        <f>SUM(AE856:AK856)</f>
        <v>1</v>
      </c>
      <c r="AE856" s="66"/>
      <c r="AF856" s="66">
        <v>1</v>
      </c>
      <c r="AG856" s="66"/>
      <c r="AH856" s="66"/>
      <c r="AI856" s="66"/>
      <c r="AJ856" s="66"/>
      <c r="AK856" s="66"/>
      <c r="AL856" s="54">
        <f>IF((AC856-SUM(AE856:AK856))&lt;0,0,AC856-SUM(AE856:AK856))</f>
        <v>0</v>
      </c>
      <c r="AM856" s="69">
        <f>SUM(AN856:AT856)</f>
        <v>1</v>
      </c>
      <c r="AN856" s="60"/>
      <c r="AO856" s="52">
        <v>1</v>
      </c>
      <c r="AP856" s="52"/>
      <c r="AQ856" s="52"/>
      <c r="AR856" s="52"/>
      <c r="AS856" s="52"/>
      <c r="AT856" s="61"/>
      <c r="AU856" s="54">
        <f>MAX(0,$AM856-$AC856-$AW856)</f>
        <v>0</v>
      </c>
      <c r="AV856" s="54"/>
      <c r="AW856" s="54"/>
      <c r="AX856" s="65">
        <v>0</v>
      </c>
      <c r="AY856" s="57">
        <f>IF(AND($AU856&gt;0,ISNUMBER($AX856)),$AU856*$AX856,0)</f>
        <v>0</v>
      </c>
      <c r="AZ856" s="46"/>
      <c r="BA856" s="52"/>
      <c r="BB856" s="52"/>
      <c r="BC856" s="52"/>
      <c r="BD856" s="52"/>
      <c r="BE856" s="52"/>
      <c r="BF856" s="52"/>
    </row>
    <row r="857" spans="1:58" ht="15" customHeight="1">
      <c r="A857" s="46" t="s">
        <v>4778</v>
      </c>
      <c r="B857" s="46" t="s">
        <v>4779</v>
      </c>
      <c r="C857" s="52" t="s">
        <v>101</v>
      </c>
      <c r="D857" s="75">
        <v>3</v>
      </c>
      <c r="E857" s="46" t="s">
        <v>71</v>
      </c>
      <c r="F857" s="50"/>
      <c r="G857" s="50"/>
      <c r="H857" s="51"/>
      <c r="I857" s="50" t="s">
        <v>4780</v>
      </c>
      <c r="J857" s="52" t="s">
        <v>73</v>
      </c>
      <c r="K857" s="46" t="s">
        <v>104</v>
      </c>
      <c r="L857" s="50" t="s">
        <v>4781</v>
      </c>
      <c r="M857" s="50" t="s">
        <v>4782</v>
      </c>
      <c r="N857" s="50"/>
      <c r="O857" s="54"/>
      <c r="P857" s="55" t="s">
        <v>76</v>
      </c>
      <c r="Q857" s="46" t="s">
        <v>669</v>
      </c>
      <c r="R857" s="75" t="s">
        <v>4783</v>
      </c>
      <c r="S857" s="75">
        <v>1</v>
      </c>
      <c r="T857" s="75">
        <v>0</v>
      </c>
      <c r="U857" s="56" t="s">
        <v>4784</v>
      </c>
      <c r="V857" s="63">
        <v>0.16</v>
      </c>
      <c r="W857" s="64"/>
      <c r="X857" s="46"/>
      <c r="Y857" s="46"/>
      <c r="Z857" s="46"/>
      <c r="AA857" s="56"/>
      <c r="AB857" s="63"/>
      <c r="AC857" s="52">
        <v>1</v>
      </c>
      <c r="AD857" s="69">
        <f>SUM(AE857:AK857)</f>
        <v>0</v>
      </c>
      <c r="AE857" s="66"/>
      <c r="AF857" s="66"/>
      <c r="AG857" s="66"/>
      <c r="AH857" s="66"/>
      <c r="AI857" s="66"/>
      <c r="AJ857" s="66"/>
      <c r="AK857" s="66"/>
      <c r="AL857" s="54">
        <f>IF((AC857-SUM(AE857:AK857))&lt;0,0,AC857-SUM(AE857:AK857))</f>
        <v>1</v>
      </c>
      <c r="AM857" s="69">
        <f>SUM(AN857:AT857)</f>
        <v>0</v>
      </c>
      <c r="AN857" s="60"/>
      <c r="AO857" s="52"/>
      <c r="AP857" s="52"/>
      <c r="AQ857" s="52"/>
      <c r="AR857" s="52"/>
      <c r="AS857" s="52"/>
      <c r="AT857" s="61"/>
      <c r="AU857" s="54">
        <f>MAX(0,$AM857-$AC857-$AW857)</f>
        <v>0</v>
      </c>
      <c r="AV857" s="52"/>
      <c r="AW857" s="52"/>
      <c r="AX857" s="65">
        <v>0</v>
      </c>
      <c r="AY857" s="57">
        <f>IF(AND($AU857&gt;0,ISNUMBER($AX857)),$AU857*$AX857,0)</f>
        <v>0</v>
      </c>
      <c r="AZ857" s="46"/>
      <c r="BA857" s="52"/>
      <c r="BB857" s="52"/>
      <c r="BC857" s="52"/>
      <c r="BD857" s="52"/>
      <c r="BE857" s="52"/>
      <c r="BF857" s="52"/>
    </row>
    <row r="858" spans="1:58" ht="15" customHeight="1">
      <c r="A858" s="46" t="s">
        <v>4785</v>
      </c>
      <c r="B858" s="46" t="s">
        <v>4786</v>
      </c>
      <c r="C858" s="52" t="s">
        <v>70</v>
      </c>
      <c r="D858" s="75">
        <v>2</v>
      </c>
      <c r="E858" s="46" t="s">
        <v>81</v>
      </c>
      <c r="F858" s="50">
        <v>2</v>
      </c>
      <c r="G858" s="50">
        <v>2</v>
      </c>
      <c r="H858" s="51" t="s">
        <v>4787</v>
      </c>
      <c r="I858" s="50" t="s">
        <v>4788</v>
      </c>
      <c r="J858" s="52" t="s">
        <v>73</v>
      </c>
      <c r="K858" s="46" t="s">
        <v>104</v>
      </c>
      <c r="L858" s="50" t="s">
        <v>4789</v>
      </c>
      <c r="M858" s="50" t="s">
        <v>4790</v>
      </c>
      <c r="N858" s="50"/>
      <c r="O858" s="54"/>
      <c r="P858" s="55" t="s">
        <v>76</v>
      </c>
      <c r="Q858" s="46" t="s">
        <v>645</v>
      </c>
      <c r="R858" s="75" t="s">
        <v>4791</v>
      </c>
      <c r="S858" s="75">
        <v>1</v>
      </c>
      <c r="T858" s="75">
        <v>0</v>
      </c>
      <c r="U858" s="56" t="s">
        <v>1399</v>
      </c>
      <c r="V858" s="57">
        <v>0.16</v>
      </c>
      <c r="W858" s="68"/>
      <c r="X858" s="46"/>
      <c r="Y858" s="46"/>
      <c r="Z858" s="46"/>
      <c r="AA858" s="56"/>
      <c r="AB858" s="57"/>
      <c r="AC858" s="54">
        <v>1</v>
      </c>
      <c r="AD858" s="69">
        <f>SUM(AE858:AK858)</f>
        <v>1</v>
      </c>
      <c r="AE858" s="66"/>
      <c r="AF858" s="66"/>
      <c r="AG858" s="66"/>
      <c r="AH858" s="66"/>
      <c r="AI858" s="66"/>
      <c r="AJ858" s="66">
        <v>1</v>
      </c>
      <c r="AK858" s="66"/>
      <c r="AL858" s="54">
        <f>IF((AC858-SUM(AE858:AK858))&lt;0,0,AC858-SUM(AE858:AK858))</f>
        <v>0</v>
      </c>
      <c r="AM858" s="69">
        <f>SUM(AN858:AT858)</f>
        <v>1</v>
      </c>
      <c r="AN858" s="60"/>
      <c r="AO858" s="52"/>
      <c r="AP858" s="52"/>
      <c r="AQ858" s="52"/>
      <c r="AR858" s="52"/>
      <c r="AS858" s="52">
        <v>1</v>
      </c>
      <c r="AT858" s="61"/>
      <c r="AU858" s="54">
        <f>MAX(0,$AM858-$AC858-$AW858)</f>
        <v>0</v>
      </c>
      <c r="AV858" s="52"/>
      <c r="AW858" s="52"/>
      <c r="AX858" s="65">
        <v>0</v>
      </c>
      <c r="AY858" s="57">
        <f>IF(AND($AU858&gt;0,ISNUMBER($AX858)),$AU858*$AX858,0)</f>
        <v>0</v>
      </c>
      <c r="AZ858" s="46"/>
      <c r="BA858" s="52"/>
      <c r="BB858" s="52"/>
      <c r="BC858" s="52"/>
      <c r="BD858" s="52"/>
      <c r="BE858" s="52"/>
      <c r="BF858" s="52"/>
    </row>
    <row r="859" spans="1:58" ht="15" customHeight="1">
      <c r="A859" s="46" t="s">
        <v>4792</v>
      </c>
      <c r="B859" s="46" t="s">
        <v>4793</v>
      </c>
      <c r="C859" s="52" t="s">
        <v>181</v>
      </c>
      <c r="D859" s="75">
        <v>3</v>
      </c>
      <c r="E859" s="46" t="s">
        <v>71</v>
      </c>
      <c r="F859" s="50"/>
      <c r="G859" s="50"/>
      <c r="H859" s="51"/>
      <c r="I859" s="50" t="s">
        <v>4794</v>
      </c>
      <c r="J859" s="52" t="s">
        <v>73</v>
      </c>
      <c r="K859" s="46" t="s">
        <v>474</v>
      </c>
      <c r="L859" s="50" t="s">
        <v>4795</v>
      </c>
      <c r="M859" s="50" t="s">
        <v>4796</v>
      </c>
      <c r="N859" s="50"/>
      <c r="O859" s="54"/>
      <c r="P859" s="55" t="s">
        <v>76</v>
      </c>
      <c r="Q859" s="46" t="s">
        <v>645</v>
      </c>
      <c r="R859" s="75" t="s">
        <v>4797</v>
      </c>
      <c r="S859" s="75">
        <v>1</v>
      </c>
      <c r="T859" s="75">
        <v>0</v>
      </c>
      <c r="U859" s="56" t="s">
        <v>3101</v>
      </c>
      <c r="V859" s="57">
        <v>0.16</v>
      </c>
      <c r="W859" s="68"/>
      <c r="X859" s="46"/>
      <c r="Y859" s="46"/>
      <c r="Z859" s="46"/>
      <c r="AA859" s="56"/>
      <c r="AB859" s="57"/>
      <c r="AC859" s="54">
        <v>1</v>
      </c>
      <c r="AD859" s="69">
        <f>SUM(AE859:AK859)</f>
        <v>0</v>
      </c>
      <c r="AE859" s="66"/>
      <c r="AF859" s="66"/>
      <c r="AG859" s="66"/>
      <c r="AH859" s="66"/>
      <c r="AI859" s="66"/>
      <c r="AJ859" s="66"/>
      <c r="AK859" s="66"/>
      <c r="AL859" s="54">
        <f>IF((AC859-SUM(AE859:AK859))&lt;0,0,AC859-SUM(AE859:AK859))</f>
        <v>1</v>
      </c>
      <c r="AM859" s="69">
        <f>SUM(AN859:AT859)</f>
        <v>0</v>
      </c>
      <c r="AN859" s="60"/>
      <c r="AO859" s="52"/>
      <c r="AP859" s="52"/>
      <c r="AQ859" s="52"/>
      <c r="AR859" s="52"/>
      <c r="AS859" s="52"/>
      <c r="AT859" s="61"/>
      <c r="AU859" s="54">
        <f>MAX(0,$AM859-$AC859-$AW859)</f>
        <v>0</v>
      </c>
      <c r="AV859" s="52"/>
      <c r="AW859" s="52"/>
      <c r="AX859" s="65">
        <v>0</v>
      </c>
      <c r="AY859" s="57">
        <f>IF(AND($AU859&gt;0,ISNUMBER($AX859)),$AU859*$AX859,0)</f>
        <v>0</v>
      </c>
      <c r="AZ859" s="46"/>
      <c r="BA859" s="52"/>
      <c r="BB859" s="52"/>
      <c r="BC859" s="52"/>
      <c r="BD859" s="52"/>
      <c r="BE859" s="52"/>
      <c r="BF859" s="52"/>
    </row>
    <row r="860" spans="1:58" ht="15" customHeight="1">
      <c r="A860" s="46" t="s">
        <v>4798</v>
      </c>
      <c r="B860" s="50" t="s">
        <v>4799</v>
      </c>
      <c r="C860" s="54" t="s">
        <v>101</v>
      </c>
      <c r="D860" s="74">
        <v>3</v>
      </c>
      <c r="E860" s="50" t="s">
        <v>189</v>
      </c>
      <c r="F860" s="50"/>
      <c r="G860" s="50"/>
      <c r="H860" s="51"/>
      <c r="I860" s="50" t="s">
        <v>4800</v>
      </c>
      <c r="J860" s="54" t="s">
        <v>73</v>
      </c>
      <c r="K860" s="56" t="s">
        <v>135</v>
      </c>
      <c r="L860" s="56" t="s">
        <v>4801</v>
      </c>
      <c r="M860" s="56" t="s">
        <v>4802</v>
      </c>
      <c r="N860" s="56" t="s">
        <v>4803</v>
      </c>
      <c r="O860" s="54"/>
      <c r="P860" s="56" t="s">
        <v>76</v>
      </c>
      <c r="Q860" s="56" t="s">
        <v>669</v>
      </c>
      <c r="R860" s="50"/>
      <c r="S860" s="50"/>
      <c r="T860" s="50"/>
      <c r="U860" s="56"/>
      <c r="V860" s="57">
        <v>0.16</v>
      </c>
      <c r="W860" s="68"/>
      <c r="X860" s="50"/>
      <c r="Y860" s="50"/>
      <c r="Z860" s="50"/>
      <c r="AA860" s="56"/>
      <c r="AB860" s="57"/>
      <c r="AC860" s="54">
        <v>1</v>
      </c>
      <c r="AD860" s="69">
        <f>SUM(AE860:AK860)</f>
        <v>1</v>
      </c>
      <c r="AE860" s="66"/>
      <c r="AF860" s="66"/>
      <c r="AG860" s="66"/>
      <c r="AH860" s="66"/>
      <c r="AI860" s="66"/>
      <c r="AJ860" s="66"/>
      <c r="AK860" s="66">
        <v>1</v>
      </c>
      <c r="AL860" s="54">
        <f>IF((AC860-SUM(AE860:AK860))&lt;0,0,AC860-SUM(AE860:AK860))</f>
        <v>0</v>
      </c>
      <c r="AM860" s="69">
        <f>SUM(AN860:AT860)</f>
        <v>1</v>
      </c>
      <c r="AN860" s="60"/>
      <c r="AO860" s="52"/>
      <c r="AP860" s="52"/>
      <c r="AQ860" s="52"/>
      <c r="AR860" s="52"/>
      <c r="AS860" s="52"/>
      <c r="AT860" s="61">
        <v>1</v>
      </c>
      <c r="AU860" s="54">
        <f>MAX(0,$AM860-$AC860-$AW860)</f>
        <v>0</v>
      </c>
      <c r="AV860" s="54"/>
      <c r="AW860" s="54"/>
      <c r="AX860" s="65">
        <v>0</v>
      </c>
      <c r="AY860" s="57">
        <f>IF(AND($AU860&gt;0,ISNUMBER($AX860)),$AU860*$AX860,0)</f>
        <v>0</v>
      </c>
      <c r="AZ860" s="46"/>
      <c r="BA860" s="52"/>
      <c r="BB860" s="52"/>
      <c r="BC860" s="52"/>
      <c r="BD860" s="52"/>
      <c r="BE860" s="52"/>
      <c r="BF860" s="52"/>
    </row>
    <row r="861" spans="1:58" ht="15" customHeight="1">
      <c r="A861" s="46" t="s">
        <v>4804</v>
      </c>
      <c r="B861" s="50" t="s">
        <v>4805</v>
      </c>
      <c r="C861" s="54" t="s">
        <v>80</v>
      </c>
      <c r="D861" s="74">
        <v>3</v>
      </c>
      <c r="E861" s="50" t="s">
        <v>81</v>
      </c>
      <c r="F861" s="50">
        <v>2</v>
      </c>
      <c r="G861" s="50">
        <v>2</v>
      </c>
      <c r="H861" s="51" t="s">
        <v>4806</v>
      </c>
      <c r="I861" s="50" t="s">
        <v>4807</v>
      </c>
      <c r="J861" s="54" t="s">
        <v>73</v>
      </c>
      <c r="K861" s="56" t="s">
        <v>135</v>
      </c>
      <c r="L861" s="56" t="s">
        <v>4808</v>
      </c>
      <c r="M861" s="56"/>
      <c r="N861" s="56"/>
      <c r="O861" s="54"/>
      <c r="P861" s="56" t="s">
        <v>76</v>
      </c>
      <c r="Q861" s="56" t="s">
        <v>4427</v>
      </c>
      <c r="R861" s="54"/>
      <c r="S861" s="54"/>
      <c r="T861" s="54"/>
      <c r="U861" s="54"/>
      <c r="V861" s="57">
        <v>0.16</v>
      </c>
      <c r="W861" s="68"/>
      <c r="X861" s="54"/>
      <c r="Y861" s="54"/>
      <c r="Z861" s="54"/>
      <c r="AA861" s="54"/>
      <c r="AB861" s="57"/>
      <c r="AC861" s="54">
        <v>1</v>
      </c>
      <c r="AD861" s="69">
        <f>SUM(AE861:AK861)</f>
        <v>1</v>
      </c>
      <c r="AE861" s="66"/>
      <c r="AF861" s="66">
        <v>1</v>
      </c>
      <c r="AG861" s="66"/>
      <c r="AH861" s="66"/>
      <c r="AI861" s="66"/>
      <c r="AJ861" s="66"/>
      <c r="AK861" s="66"/>
      <c r="AL861" s="54">
        <f>IF((AC861-SUM(AE861:AK861))&lt;0,0,AC861-SUM(AE861:AK861))</f>
        <v>0</v>
      </c>
      <c r="AM861" s="69">
        <f>SUM(AN861:AT861)</f>
        <v>1</v>
      </c>
      <c r="AN861" s="60"/>
      <c r="AO861" s="52">
        <v>1</v>
      </c>
      <c r="AP861" s="52"/>
      <c r="AQ861" s="52"/>
      <c r="AR861" s="52"/>
      <c r="AS861" s="52"/>
      <c r="AT861" s="61"/>
      <c r="AU861" s="54">
        <f>MAX(0,$AM861-$AC861-$AW861)</f>
        <v>0</v>
      </c>
      <c r="AV861" s="54"/>
      <c r="AW861" s="54"/>
      <c r="AX861" s="65">
        <v>0</v>
      </c>
      <c r="AY861" s="57">
        <f>IF(AND($AU861&gt;0,ISNUMBER($AX861)),$AU861*$AX861,0)</f>
        <v>0</v>
      </c>
      <c r="AZ861" s="46"/>
      <c r="BA861" s="52"/>
      <c r="BB861" s="52"/>
      <c r="BC861" s="52"/>
      <c r="BD861" s="52"/>
      <c r="BE861" s="52"/>
      <c r="BF861" s="52"/>
    </row>
    <row r="862" spans="1:58" ht="15" customHeight="1">
      <c r="A862" s="46" t="s">
        <v>4809</v>
      </c>
      <c r="B862" s="50" t="s">
        <v>4810</v>
      </c>
      <c r="C862" s="54" t="s">
        <v>118</v>
      </c>
      <c r="D862" s="74">
        <v>1</v>
      </c>
      <c r="E862" s="50" t="s">
        <v>81</v>
      </c>
      <c r="F862" s="50">
        <v>1</v>
      </c>
      <c r="G862" s="50">
        <v>1</v>
      </c>
      <c r="H862" s="51" t="s">
        <v>286</v>
      </c>
      <c r="I862" s="50" t="s">
        <v>4811</v>
      </c>
      <c r="J862" s="54" t="s">
        <v>73</v>
      </c>
      <c r="K862" s="56" t="s">
        <v>129</v>
      </c>
      <c r="L862" s="56" t="s">
        <v>4812</v>
      </c>
      <c r="M862" s="56" t="s">
        <v>4813</v>
      </c>
      <c r="N862" s="56"/>
      <c r="O862" s="54"/>
      <c r="P862" s="56" t="s">
        <v>76</v>
      </c>
      <c r="Q862" s="56" t="s">
        <v>633</v>
      </c>
      <c r="R862" s="50"/>
      <c r="S862" s="50"/>
      <c r="T862" s="50"/>
      <c r="U862" s="56"/>
      <c r="V862" s="57">
        <v>0.16</v>
      </c>
      <c r="W862" s="68"/>
      <c r="X862" s="50"/>
      <c r="Y862" s="50"/>
      <c r="Z862" s="50"/>
      <c r="AA862" s="56"/>
      <c r="AB862" s="57"/>
      <c r="AC862" s="54">
        <v>1</v>
      </c>
      <c r="AD862" s="69">
        <f>SUM(AE862:AK862)</f>
        <v>0</v>
      </c>
      <c r="AE862" s="66"/>
      <c r="AF862" s="66"/>
      <c r="AG862" s="66"/>
      <c r="AH862" s="66"/>
      <c r="AI862" s="66"/>
      <c r="AJ862" s="66"/>
      <c r="AK862" s="66"/>
      <c r="AL862" s="54">
        <f>IF((AC862-SUM(AE862:AK862))&lt;0,0,AC862-SUM(AE862:AK862))</f>
        <v>1</v>
      </c>
      <c r="AM862" s="69">
        <f>SUM(AN862:AT862)</f>
        <v>0</v>
      </c>
      <c r="AN862" s="60"/>
      <c r="AO862" s="52"/>
      <c r="AP862" s="52"/>
      <c r="AQ862" s="52"/>
      <c r="AR862" s="52"/>
      <c r="AS862" s="52"/>
      <c r="AT862" s="61"/>
      <c r="AU862" s="54">
        <f>MAX(0,$AM862-$AC862-$AW862)</f>
        <v>0</v>
      </c>
      <c r="AV862" s="54"/>
      <c r="AW862" s="54"/>
      <c r="AX862" s="65">
        <v>0</v>
      </c>
      <c r="AY862" s="57">
        <f>IF(AND($AU862&gt;0,ISNUMBER($AX862)),$AU862*$AX862,0)</f>
        <v>0</v>
      </c>
      <c r="AZ862" s="46"/>
      <c r="BA862" s="52"/>
      <c r="BB862" s="52"/>
      <c r="BC862" s="52"/>
      <c r="BD862" s="52"/>
      <c r="BE862" s="52"/>
      <c r="BF862" s="52"/>
    </row>
    <row r="863" spans="1:58" ht="15" customHeight="1">
      <c r="A863" s="46" t="s">
        <v>4814</v>
      </c>
      <c r="B863" s="46" t="s">
        <v>4815</v>
      </c>
      <c r="C863" s="52" t="s">
        <v>70</v>
      </c>
      <c r="D863" s="75">
        <v>4</v>
      </c>
      <c r="E863" s="46" t="s">
        <v>81</v>
      </c>
      <c r="F863" s="50">
        <v>2</v>
      </c>
      <c r="G863" s="50">
        <v>4</v>
      </c>
      <c r="H863" s="51" t="s">
        <v>4816</v>
      </c>
      <c r="I863" s="50" t="s">
        <v>4817</v>
      </c>
      <c r="J863" s="52" t="s">
        <v>73</v>
      </c>
      <c r="K863" s="46" t="s">
        <v>676</v>
      </c>
      <c r="L863" s="50" t="s">
        <v>4818</v>
      </c>
      <c r="M863" s="50"/>
      <c r="N863" s="50"/>
      <c r="O863" s="54"/>
      <c r="P863" s="55" t="s">
        <v>76</v>
      </c>
      <c r="Q863" s="46" t="s">
        <v>669</v>
      </c>
      <c r="R863" s="75" t="s">
        <v>4819</v>
      </c>
      <c r="S863" s="75">
        <v>1</v>
      </c>
      <c r="T863" s="75">
        <v>0</v>
      </c>
      <c r="U863" s="56" t="s">
        <v>3022</v>
      </c>
      <c r="V863" s="63">
        <v>0.16</v>
      </c>
      <c r="W863" s="64"/>
      <c r="X863" s="46"/>
      <c r="Y863" s="46"/>
      <c r="Z863" s="46"/>
      <c r="AA863" s="56"/>
      <c r="AB863" s="63"/>
      <c r="AC863" s="52">
        <v>1</v>
      </c>
      <c r="AD863" s="69">
        <f>SUM(AE863:AK863)</f>
        <v>0</v>
      </c>
      <c r="AE863" s="66"/>
      <c r="AF863" s="66"/>
      <c r="AG863" s="66"/>
      <c r="AH863" s="66"/>
      <c r="AI863" s="66"/>
      <c r="AJ863" s="66"/>
      <c r="AK863" s="66"/>
      <c r="AL863" s="54">
        <f>IF((AC863-SUM(AE863:AK863))&lt;0,0,AC863-SUM(AE863:AK863))</f>
        <v>1</v>
      </c>
      <c r="AM863" s="69">
        <f>SUM(AN863:AT863)</f>
        <v>0</v>
      </c>
      <c r="AN863" s="70"/>
      <c r="AO863" s="54"/>
      <c r="AP863" s="54"/>
      <c r="AQ863" s="54"/>
      <c r="AR863" s="54"/>
      <c r="AS863" s="54"/>
      <c r="AT863" s="71"/>
      <c r="AU863" s="54">
        <f>MAX(0,$AM863-$AC863-$AW863)</f>
        <v>0</v>
      </c>
      <c r="AV863" s="52"/>
      <c r="AW863" s="52"/>
      <c r="AX863" s="65">
        <v>0</v>
      </c>
      <c r="AY863" s="57">
        <f>IF(AND($AU863&gt;0,ISNUMBER($AX863)),$AU863*$AX863,0)</f>
        <v>0</v>
      </c>
      <c r="AZ863" s="46"/>
      <c r="BA863" s="52"/>
      <c r="BB863" s="52"/>
      <c r="BC863" s="52"/>
      <c r="BD863" s="52"/>
      <c r="BE863" s="52"/>
      <c r="BF863" s="52"/>
    </row>
    <row r="864" spans="1:58" ht="15" customHeight="1">
      <c r="A864" s="46" t="s">
        <v>4820</v>
      </c>
      <c r="B864" s="46" t="s">
        <v>4821</v>
      </c>
      <c r="C864" s="52" t="s">
        <v>80</v>
      </c>
      <c r="D864" s="75">
        <v>2</v>
      </c>
      <c r="E864" s="46" t="s">
        <v>81</v>
      </c>
      <c r="F864" s="50">
        <v>1</v>
      </c>
      <c r="G864" s="50">
        <v>3</v>
      </c>
      <c r="H864" s="51" t="s">
        <v>1835</v>
      </c>
      <c r="I864" s="50" t="s">
        <v>4822</v>
      </c>
      <c r="J864" s="52" t="s">
        <v>73</v>
      </c>
      <c r="K864" s="46" t="s">
        <v>676</v>
      </c>
      <c r="L864" s="50" t="s">
        <v>4823</v>
      </c>
      <c r="M864" s="50" t="s">
        <v>4824</v>
      </c>
      <c r="N864" s="50" t="s">
        <v>130</v>
      </c>
      <c r="O864" s="54"/>
      <c r="P864" s="55" t="s">
        <v>185</v>
      </c>
      <c r="Q864" s="46" t="s">
        <v>633</v>
      </c>
      <c r="R864" s="75" t="s">
        <v>4825</v>
      </c>
      <c r="S864" s="75">
        <v>1</v>
      </c>
      <c r="T864" s="75">
        <v>0</v>
      </c>
      <c r="U864" s="56"/>
      <c r="V864" s="57">
        <v>0.16</v>
      </c>
      <c r="W864" s="68"/>
      <c r="X864" s="46"/>
      <c r="Y864" s="46"/>
      <c r="Z864" s="46"/>
      <c r="AA864" s="56"/>
      <c r="AB864" s="57"/>
      <c r="AC864" s="54">
        <v>1</v>
      </c>
      <c r="AD864" s="69">
        <f>SUM(AE864:AK864)</f>
        <v>0</v>
      </c>
      <c r="AE864" s="66"/>
      <c r="AF864" s="66"/>
      <c r="AG864" s="66"/>
      <c r="AH864" s="66"/>
      <c r="AI864" s="66"/>
      <c r="AJ864" s="66"/>
      <c r="AK864" s="66"/>
      <c r="AL864" s="54">
        <f>IF((AC864-SUM(AE864:AK864))&lt;0,0,AC864-SUM(AE864:AK864))</f>
        <v>1</v>
      </c>
      <c r="AM864" s="69">
        <f>SUM(AN864:AT864)</f>
        <v>0</v>
      </c>
      <c r="AN864" s="60"/>
      <c r="AO864" s="52"/>
      <c r="AP864" s="52"/>
      <c r="AQ864" s="52"/>
      <c r="AR864" s="52"/>
      <c r="AS864" s="52"/>
      <c r="AT864" s="61"/>
      <c r="AU864" s="54">
        <f>MAX(0,$AM864-$AC864-$AW864)</f>
        <v>0</v>
      </c>
      <c r="AV864" s="52"/>
      <c r="AW864" s="52"/>
      <c r="AX864" s="65">
        <v>0</v>
      </c>
      <c r="AY864" s="57">
        <f>IF(AND($AU864&gt;0,ISNUMBER($AX864)),$AU864*$AX864,0)</f>
        <v>0</v>
      </c>
      <c r="AZ864" s="46"/>
      <c r="BA864" s="52"/>
      <c r="BB864" s="52"/>
      <c r="BC864" s="52"/>
      <c r="BD864" s="52"/>
      <c r="BE864" s="52"/>
      <c r="BF864" s="52"/>
    </row>
    <row r="865" spans="1:58" ht="15" customHeight="1">
      <c r="A865" s="46" t="s">
        <v>4826</v>
      </c>
      <c r="B865" s="50" t="s">
        <v>4827</v>
      </c>
      <c r="C865" s="54" t="s">
        <v>101</v>
      </c>
      <c r="D865" s="74">
        <v>3</v>
      </c>
      <c r="E865" s="50" t="s">
        <v>81</v>
      </c>
      <c r="F865" s="50">
        <v>4</v>
      </c>
      <c r="G865" s="50">
        <v>2</v>
      </c>
      <c r="H865" s="51" t="s">
        <v>4828</v>
      </c>
      <c r="I865" s="50" t="s">
        <v>4829</v>
      </c>
      <c r="J865" s="54" t="s">
        <v>73</v>
      </c>
      <c r="K865" s="56" t="s">
        <v>676</v>
      </c>
      <c r="L865" s="56" t="s">
        <v>718</v>
      </c>
      <c r="M865" s="56" t="s">
        <v>4830</v>
      </c>
      <c r="N865" s="56"/>
      <c r="O865" s="54"/>
      <c r="P865" s="56" t="s">
        <v>76</v>
      </c>
      <c r="Q865" s="56" t="s">
        <v>669</v>
      </c>
      <c r="R865" s="50"/>
      <c r="S865" s="50"/>
      <c r="T865" s="50"/>
      <c r="U865" s="56"/>
      <c r="V865" s="57">
        <v>0.16</v>
      </c>
      <c r="W865" s="68"/>
      <c r="X865" s="50"/>
      <c r="Y865" s="50"/>
      <c r="Z865" s="50"/>
      <c r="AA865" s="56"/>
      <c r="AB865" s="57"/>
      <c r="AC865" s="54">
        <v>1</v>
      </c>
      <c r="AD865" s="69">
        <f>SUM(AE865:AK865)</f>
        <v>1</v>
      </c>
      <c r="AE865" s="66"/>
      <c r="AF865" s="66"/>
      <c r="AG865" s="66"/>
      <c r="AH865" s="66"/>
      <c r="AI865" s="66"/>
      <c r="AJ865" s="66"/>
      <c r="AK865" s="66">
        <v>1</v>
      </c>
      <c r="AL865" s="54">
        <f>IF((AC865-SUM(AE865:AK865))&lt;0,0,AC865-SUM(AE865:AK865))</f>
        <v>0</v>
      </c>
      <c r="AM865" s="69">
        <f>SUM(AN865:AT865)</f>
        <v>1</v>
      </c>
      <c r="AN865" s="60"/>
      <c r="AO865" s="52"/>
      <c r="AP865" s="52"/>
      <c r="AQ865" s="52"/>
      <c r="AR865" s="52"/>
      <c r="AS865" s="52"/>
      <c r="AT865" s="61">
        <v>1</v>
      </c>
      <c r="AU865" s="54">
        <f>MAX(0,$AM865-$AC865-$AW865)</f>
        <v>0</v>
      </c>
      <c r="AV865" s="54"/>
      <c r="AW865" s="54"/>
      <c r="AX865" s="65">
        <v>0</v>
      </c>
      <c r="AY865" s="57">
        <f>IF(AND($AU865&gt;0,ISNUMBER($AX865)),$AU865*$AX865,0)</f>
        <v>0</v>
      </c>
      <c r="AZ865" s="46"/>
      <c r="BA865" s="52"/>
      <c r="BB865" s="52"/>
      <c r="BC865" s="52"/>
      <c r="BD865" s="52"/>
      <c r="BE865" s="52"/>
      <c r="BF865" s="52"/>
    </row>
    <row r="866" spans="1:58" ht="15" customHeight="1">
      <c r="A866" s="46" t="s">
        <v>4831</v>
      </c>
      <c r="B866" s="50" t="s">
        <v>4832</v>
      </c>
      <c r="C866" s="54" t="s">
        <v>101</v>
      </c>
      <c r="D866" s="74">
        <v>5</v>
      </c>
      <c r="E866" s="50" t="s">
        <v>81</v>
      </c>
      <c r="F866" s="50">
        <v>5</v>
      </c>
      <c r="G866" s="50">
        <v>9</v>
      </c>
      <c r="H866" s="51" t="s">
        <v>4833</v>
      </c>
      <c r="I866" s="50" t="s">
        <v>4834</v>
      </c>
      <c r="J866" s="54" t="s">
        <v>73</v>
      </c>
      <c r="K866" s="56" t="s">
        <v>676</v>
      </c>
      <c r="L866" s="56" t="s">
        <v>4835</v>
      </c>
      <c r="M866" s="56" t="s">
        <v>4836</v>
      </c>
      <c r="N866" s="56"/>
      <c r="O866" s="54"/>
      <c r="P866" s="56" t="s">
        <v>86</v>
      </c>
      <c r="Q866" s="56" t="s">
        <v>1030</v>
      </c>
      <c r="R866" s="50"/>
      <c r="S866" s="50"/>
      <c r="T866" s="50"/>
      <c r="U866" s="56"/>
      <c r="V866" s="57">
        <v>0.16</v>
      </c>
      <c r="W866" s="68"/>
      <c r="X866" s="50"/>
      <c r="Y866" s="50"/>
      <c r="Z866" s="50"/>
      <c r="AA866" s="56"/>
      <c r="AB866" s="57"/>
      <c r="AC866" s="54">
        <v>1</v>
      </c>
      <c r="AD866" s="69">
        <f>SUM(AE866:AK866)</f>
        <v>0</v>
      </c>
      <c r="AE866" s="66"/>
      <c r="AF866" s="66"/>
      <c r="AG866" s="66"/>
      <c r="AH866" s="66"/>
      <c r="AI866" s="66"/>
      <c r="AJ866" s="66"/>
      <c r="AK866" s="66"/>
      <c r="AL866" s="54">
        <f>IF((AC866-SUM(AE866:AK866))&lt;0,0,AC866-SUM(AE866:AK866))</f>
        <v>1</v>
      </c>
      <c r="AM866" s="69">
        <f>SUM(AN866:AT866)</f>
        <v>0</v>
      </c>
      <c r="AN866" s="60"/>
      <c r="AO866" s="52"/>
      <c r="AP866" s="52"/>
      <c r="AQ866" s="52"/>
      <c r="AR866" s="52"/>
      <c r="AS866" s="52"/>
      <c r="AT866" s="61"/>
      <c r="AU866" s="54">
        <f>MAX(0,$AM866-$AC866-$AW866)</f>
        <v>0</v>
      </c>
      <c r="AV866" s="54"/>
      <c r="AW866" s="54"/>
      <c r="AX866" s="65">
        <v>0</v>
      </c>
      <c r="AY866" s="57">
        <f>IF(AND($AU866&gt;0,ISNUMBER($AX866)),$AU866*$AX866,0)</f>
        <v>0</v>
      </c>
      <c r="AZ866" s="46"/>
      <c r="BA866" s="52"/>
      <c r="BB866" s="52"/>
      <c r="BC866" s="52"/>
      <c r="BD866" s="52"/>
      <c r="BE866" s="52"/>
      <c r="BF866" s="52"/>
    </row>
    <row r="867" spans="1:58" ht="15" customHeight="1">
      <c r="A867" s="46" t="s">
        <v>4837</v>
      </c>
      <c r="B867" s="46" t="s">
        <v>4838</v>
      </c>
      <c r="C867" s="52" t="s">
        <v>118</v>
      </c>
      <c r="D867" s="75">
        <v>2</v>
      </c>
      <c r="E867" s="46" t="s">
        <v>189</v>
      </c>
      <c r="F867" s="50"/>
      <c r="G867" s="50"/>
      <c r="H867" s="51"/>
      <c r="I867" s="50" t="s">
        <v>4839</v>
      </c>
      <c r="J867" s="52" t="s">
        <v>73</v>
      </c>
      <c r="K867" s="46" t="s">
        <v>864</v>
      </c>
      <c r="L867" s="50" t="s">
        <v>4840</v>
      </c>
      <c r="M867" s="50" t="s">
        <v>4841</v>
      </c>
      <c r="N867" s="50"/>
      <c r="O867" s="54"/>
      <c r="P867" s="55" t="s">
        <v>76</v>
      </c>
      <c r="Q867" s="46" t="s">
        <v>633</v>
      </c>
      <c r="R867" s="75" t="s">
        <v>4486</v>
      </c>
      <c r="S867" s="75">
        <v>1</v>
      </c>
      <c r="T867" s="75">
        <v>0</v>
      </c>
      <c r="U867" s="56"/>
      <c r="V867" s="57">
        <v>0.15</v>
      </c>
      <c r="W867" s="68"/>
      <c r="X867" s="46"/>
      <c r="Y867" s="46"/>
      <c r="Z867" s="46"/>
      <c r="AA867" s="56"/>
      <c r="AB867" s="57"/>
      <c r="AC867" s="54">
        <v>1</v>
      </c>
      <c r="AD867" s="69">
        <f>SUM(AE867:AK867)</f>
        <v>0</v>
      </c>
      <c r="AE867" s="66"/>
      <c r="AF867" s="66"/>
      <c r="AG867" s="66"/>
      <c r="AH867" s="66"/>
      <c r="AI867" s="66"/>
      <c r="AJ867" s="66"/>
      <c r="AK867" s="66"/>
      <c r="AL867" s="54">
        <f>IF((AC867-SUM(AE867:AK867))&lt;0,0,AC867-SUM(AE867:AK867))</f>
        <v>1</v>
      </c>
      <c r="AM867" s="69">
        <f>SUM(AN867:AT867)</f>
        <v>0</v>
      </c>
      <c r="AN867" s="60"/>
      <c r="AO867" s="52"/>
      <c r="AP867" s="52"/>
      <c r="AQ867" s="52"/>
      <c r="AR867" s="52"/>
      <c r="AS867" s="52"/>
      <c r="AT867" s="61"/>
      <c r="AU867" s="54">
        <f>MAX(0,$AM867-$AC867-$AW867)</f>
        <v>0</v>
      </c>
      <c r="AV867" s="52"/>
      <c r="AW867" s="52"/>
      <c r="AX867" s="65">
        <v>0</v>
      </c>
      <c r="AY867" s="57">
        <f>IF(AND($AU867&gt;0,ISNUMBER($AX867)),$AU867*$AX867,0)</f>
        <v>0</v>
      </c>
      <c r="AZ867" s="46"/>
      <c r="BA867" s="52"/>
      <c r="BB867" s="52"/>
      <c r="BC867" s="52"/>
      <c r="BD867" s="52"/>
      <c r="BE867" s="52"/>
      <c r="BF867" s="52"/>
    </row>
    <row r="868" spans="1:58" ht="15" customHeight="1">
      <c r="A868" s="46" t="s">
        <v>4842</v>
      </c>
      <c r="B868" s="46" t="s">
        <v>4843</v>
      </c>
      <c r="C868" s="52" t="s">
        <v>80</v>
      </c>
      <c r="D868" s="75">
        <v>3</v>
      </c>
      <c r="E868" s="46" t="s">
        <v>81</v>
      </c>
      <c r="F868" s="50">
        <v>2</v>
      </c>
      <c r="G868" s="50">
        <v>3</v>
      </c>
      <c r="H868" s="51" t="s">
        <v>4844</v>
      </c>
      <c r="I868" s="50" t="s">
        <v>4845</v>
      </c>
      <c r="J868" s="52" t="s">
        <v>73</v>
      </c>
      <c r="K868" s="46" t="s">
        <v>1099</v>
      </c>
      <c r="L868" s="50" t="s">
        <v>4846</v>
      </c>
      <c r="M868" s="50"/>
      <c r="N868" s="50"/>
      <c r="O868" s="54"/>
      <c r="P868" s="55" t="s">
        <v>76</v>
      </c>
      <c r="Q868" s="46" t="s">
        <v>669</v>
      </c>
      <c r="R868" s="75" t="s">
        <v>4847</v>
      </c>
      <c r="S868" s="75">
        <v>1</v>
      </c>
      <c r="T868" s="75">
        <v>0</v>
      </c>
      <c r="U868" s="56"/>
      <c r="V868" s="57">
        <v>0.15</v>
      </c>
      <c r="W868" s="68"/>
      <c r="X868" s="46"/>
      <c r="Y868" s="46"/>
      <c r="Z868" s="46"/>
      <c r="AA868" s="56"/>
      <c r="AB868" s="57"/>
      <c r="AC868" s="54">
        <v>1</v>
      </c>
      <c r="AD868" s="69">
        <f>SUM(AE868:AK868)</f>
        <v>0</v>
      </c>
      <c r="AE868" s="66"/>
      <c r="AF868" s="66"/>
      <c r="AG868" s="66"/>
      <c r="AH868" s="66"/>
      <c r="AI868" s="66"/>
      <c r="AJ868" s="66"/>
      <c r="AK868" s="66"/>
      <c r="AL868" s="54">
        <f>IF((AC868-SUM(AE868:AK868))&lt;0,0,AC868-SUM(AE868:AK868))</f>
        <v>1</v>
      </c>
      <c r="AM868" s="69">
        <f>SUM(AN868:AT868)</f>
        <v>0</v>
      </c>
      <c r="AN868" s="60"/>
      <c r="AO868" s="52"/>
      <c r="AP868" s="52"/>
      <c r="AQ868" s="52"/>
      <c r="AR868" s="52"/>
      <c r="AS868" s="52"/>
      <c r="AT868" s="61"/>
      <c r="AU868" s="54">
        <f>MAX(0,$AM868-$AC868-$AW868)</f>
        <v>0</v>
      </c>
      <c r="AV868" s="52"/>
      <c r="AW868" s="52"/>
      <c r="AX868" s="65">
        <v>0</v>
      </c>
      <c r="AY868" s="57">
        <f>IF(AND($AU868&gt;0,ISNUMBER($AX868)),$AU868*$AX868,0)</f>
        <v>0</v>
      </c>
      <c r="AZ868" s="46"/>
      <c r="BA868" s="52"/>
      <c r="BB868" s="52"/>
      <c r="BC868" s="52"/>
      <c r="BD868" s="52"/>
      <c r="BE868" s="52"/>
      <c r="BF868" s="52"/>
    </row>
    <row r="869" spans="1:58" ht="15" customHeight="1">
      <c r="A869" s="46" t="s">
        <v>4848</v>
      </c>
      <c r="B869" s="50" t="s">
        <v>4849</v>
      </c>
      <c r="C869" s="54" t="s">
        <v>181</v>
      </c>
      <c r="D869" s="74">
        <v>1</v>
      </c>
      <c r="E869" s="50" t="s">
        <v>81</v>
      </c>
      <c r="F869" s="50">
        <v>1</v>
      </c>
      <c r="G869" s="50">
        <v>1</v>
      </c>
      <c r="H869" s="51" t="s">
        <v>4850</v>
      </c>
      <c r="I869" s="50" t="s">
        <v>4851</v>
      </c>
      <c r="J869" s="54" t="s">
        <v>73</v>
      </c>
      <c r="K869" s="56" t="s">
        <v>2741</v>
      </c>
      <c r="L869" s="56" t="s">
        <v>4852</v>
      </c>
      <c r="M869" s="56" t="s">
        <v>1503</v>
      </c>
      <c r="N869" s="56"/>
      <c r="O869" s="54"/>
      <c r="P869" s="56" t="s">
        <v>76</v>
      </c>
      <c r="Q869" s="56" t="s">
        <v>410</v>
      </c>
      <c r="R869" s="50"/>
      <c r="S869" s="50"/>
      <c r="T869" s="50"/>
      <c r="U869" s="56"/>
      <c r="V869" s="57">
        <v>0.15</v>
      </c>
      <c r="W869" s="68"/>
      <c r="X869" s="50"/>
      <c r="Y869" s="50"/>
      <c r="Z869" s="50"/>
      <c r="AA869" s="56"/>
      <c r="AB869" s="57"/>
      <c r="AC869" s="54">
        <v>1</v>
      </c>
      <c r="AD869" s="69">
        <f>SUM(AE869:AK869)</f>
        <v>0</v>
      </c>
      <c r="AE869" s="66"/>
      <c r="AF869" s="66"/>
      <c r="AG869" s="66"/>
      <c r="AH869" s="66"/>
      <c r="AI869" s="66"/>
      <c r="AJ869" s="66"/>
      <c r="AK869" s="66"/>
      <c r="AL869" s="54">
        <f>IF((AC869-SUM(AE869:AK869))&lt;0,0,AC869-SUM(AE869:AK869))</f>
        <v>1</v>
      </c>
      <c r="AM869" s="69">
        <f>SUM(AN869:AT869)</f>
        <v>0</v>
      </c>
      <c r="AN869" s="60"/>
      <c r="AO869" s="52"/>
      <c r="AP869" s="52"/>
      <c r="AQ869" s="52"/>
      <c r="AR869" s="52"/>
      <c r="AS869" s="52"/>
      <c r="AT869" s="61"/>
      <c r="AU869" s="54">
        <f>MAX(0,$AM869-$AC869-$AW869)</f>
        <v>0</v>
      </c>
      <c r="AV869" s="54"/>
      <c r="AW869" s="54"/>
      <c r="AX869" s="65">
        <v>0</v>
      </c>
      <c r="AY869" s="57">
        <f>IF(AND($AU869&gt;0,ISNUMBER($AX869)),$AU869*$AX869,0)</f>
        <v>0</v>
      </c>
      <c r="AZ869" s="46"/>
      <c r="BA869" s="52"/>
      <c r="BB869" s="52"/>
      <c r="BC869" s="52"/>
      <c r="BD869" s="52"/>
      <c r="BE869" s="52"/>
      <c r="BF869" s="52"/>
    </row>
    <row r="870" spans="1:58" ht="15" customHeight="1">
      <c r="A870" s="46" t="s">
        <v>4853</v>
      </c>
      <c r="B870" s="46" t="s">
        <v>4854</v>
      </c>
      <c r="C870" s="52" t="s">
        <v>232</v>
      </c>
      <c r="D870" s="75">
        <v>3</v>
      </c>
      <c r="E870" s="46" t="s">
        <v>81</v>
      </c>
      <c r="F870" s="50">
        <v>2</v>
      </c>
      <c r="G870" s="50">
        <v>2</v>
      </c>
      <c r="H870" s="51" t="s">
        <v>252</v>
      </c>
      <c r="I870" s="50" t="s">
        <v>4855</v>
      </c>
      <c r="J870" s="52" t="s">
        <v>73</v>
      </c>
      <c r="K870" s="46" t="s">
        <v>104</v>
      </c>
      <c r="L870" s="50" t="s">
        <v>4856</v>
      </c>
      <c r="M870" s="50" t="s">
        <v>4857</v>
      </c>
      <c r="N870" s="50"/>
      <c r="O870" s="54"/>
      <c r="P870" s="55" t="s">
        <v>76</v>
      </c>
      <c r="Q870" s="46" t="s">
        <v>633</v>
      </c>
      <c r="R870" s="75" t="s">
        <v>4858</v>
      </c>
      <c r="S870" s="75">
        <v>1</v>
      </c>
      <c r="T870" s="75">
        <v>0</v>
      </c>
      <c r="U870" s="56" t="s">
        <v>1171</v>
      </c>
      <c r="V870" s="57">
        <v>0.15</v>
      </c>
      <c r="W870" s="68"/>
      <c r="X870" s="46"/>
      <c r="Y870" s="46"/>
      <c r="Z870" s="46"/>
      <c r="AA870" s="56"/>
      <c r="AB870" s="57"/>
      <c r="AC870" s="54">
        <v>1</v>
      </c>
      <c r="AD870" s="69">
        <f>SUM(AE870:AK870)</f>
        <v>0</v>
      </c>
      <c r="AE870" s="66"/>
      <c r="AF870" s="66"/>
      <c r="AG870" s="66"/>
      <c r="AH870" s="66"/>
      <c r="AI870" s="66"/>
      <c r="AJ870" s="66"/>
      <c r="AK870" s="66"/>
      <c r="AL870" s="54">
        <f>IF((AC870-SUM(AE870:AK870))&lt;0,0,AC870-SUM(AE870:AK870))</f>
        <v>1</v>
      </c>
      <c r="AM870" s="69">
        <f>SUM(AN870:AT870)</f>
        <v>0</v>
      </c>
      <c r="AN870" s="60"/>
      <c r="AO870" s="52"/>
      <c r="AP870" s="52"/>
      <c r="AQ870" s="52"/>
      <c r="AR870" s="52"/>
      <c r="AS870" s="52"/>
      <c r="AT870" s="61"/>
      <c r="AU870" s="54">
        <f>MAX(0,$AM870-$AC870-$AW870)</f>
        <v>0</v>
      </c>
      <c r="AV870" s="52"/>
      <c r="AW870" s="52"/>
      <c r="AX870" s="65">
        <v>0</v>
      </c>
      <c r="AY870" s="57">
        <f>IF(AND($AU870&gt;0,ISNUMBER($AX870)),$AU870*$AX870,0)</f>
        <v>0</v>
      </c>
      <c r="AZ870" s="46"/>
      <c r="BA870" s="52"/>
      <c r="BB870" s="52"/>
      <c r="BC870" s="52"/>
      <c r="BD870" s="52"/>
      <c r="BE870" s="52"/>
      <c r="BF870" s="52"/>
    </row>
    <row r="871" spans="1:58" ht="15" customHeight="1">
      <c r="A871" s="46" t="s">
        <v>4859</v>
      </c>
      <c r="B871" s="46" t="s">
        <v>4860</v>
      </c>
      <c r="C871" s="52" t="s">
        <v>181</v>
      </c>
      <c r="D871" s="75">
        <v>3</v>
      </c>
      <c r="E871" s="46" t="s">
        <v>233</v>
      </c>
      <c r="F871" s="50"/>
      <c r="G871" s="50"/>
      <c r="H871" s="51" t="s">
        <v>519</v>
      </c>
      <c r="I871" s="50" t="s">
        <v>4861</v>
      </c>
      <c r="J871" s="52" t="s">
        <v>73</v>
      </c>
      <c r="K871" s="46" t="s">
        <v>135</v>
      </c>
      <c r="L871" s="50" t="s">
        <v>4862</v>
      </c>
      <c r="M871" s="50" t="s">
        <v>4863</v>
      </c>
      <c r="N871" s="50" t="s">
        <v>915</v>
      </c>
      <c r="O871" s="54"/>
      <c r="P871" s="55" t="s">
        <v>76</v>
      </c>
      <c r="Q871" s="46" t="s">
        <v>633</v>
      </c>
      <c r="R871" s="75" t="s">
        <v>2486</v>
      </c>
      <c r="S871" s="75">
        <v>1</v>
      </c>
      <c r="T871" s="75">
        <v>0</v>
      </c>
      <c r="U871" s="56"/>
      <c r="V871" s="57">
        <v>0.15</v>
      </c>
      <c r="W871" s="68"/>
      <c r="X871" s="46"/>
      <c r="Y871" s="46"/>
      <c r="Z871" s="46"/>
      <c r="AA871" s="56"/>
      <c r="AB871" s="57"/>
      <c r="AC871" s="54">
        <v>1</v>
      </c>
      <c r="AD871" s="69">
        <f>SUM(AE871:AK871)</f>
        <v>1</v>
      </c>
      <c r="AE871" s="66"/>
      <c r="AF871" s="66"/>
      <c r="AG871" s="66"/>
      <c r="AH871" s="66"/>
      <c r="AI871" s="66"/>
      <c r="AJ871" s="66"/>
      <c r="AK871" s="66">
        <v>1</v>
      </c>
      <c r="AL871" s="54">
        <f>IF((AC871-SUM(AE871:AK871))&lt;0,0,AC871-SUM(AE871:AK871))</f>
        <v>0</v>
      </c>
      <c r="AM871" s="69">
        <f>SUM(AN871:AT871)</f>
        <v>0</v>
      </c>
      <c r="AN871" s="60"/>
      <c r="AO871" s="52"/>
      <c r="AP871" s="52"/>
      <c r="AQ871" s="52"/>
      <c r="AR871" s="52"/>
      <c r="AS871" s="52"/>
      <c r="AT871" s="61"/>
      <c r="AU871" s="54">
        <f>MAX(0,$AM871-$AC871-$AW871)</f>
        <v>0</v>
      </c>
      <c r="AV871" s="52"/>
      <c r="AW871" s="52"/>
      <c r="AX871" s="65">
        <v>0</v>
      </c>
      <c r="AY871" s="57">
        <f>IF(AND($AU871&gt;0,ISNUMBER($AX871)),$AU871*$AX871,0)</f>
        <v>0</v>
      </c>
      <c r="AZ871" s="46"/>
      <c r="BA871" s="52"/>
      <c r="BB871" s="52"/>
      <c r="BC871" s="52"/>
      <c r="BD871" s="52"/>
      <c r="BE871" s="52"/>
      <c r="BF871" s="52" t="s">
        <v>321</v>
      </c>
    </row>
    <row r="872" spans="1:58" ht="15" customHeight="1">
      <c r="A872" s="46" t="s">
        <v>4864</v>
      </c>
      <c r="B872" s="46" t="s">
        <v>4865</v>
      </c>
      <c r="C872" s="52" t="s">
        <v>70</v>
      </c>
      <c r="D872" s="75">
        <v>2</v>
      </c>
      <c r="E872" s="46" t="s">
        <v>81</v>
      </c>
      <c r="F872" s="50">
        <v>1</v>
      </c>
      <c r="G872" s="50">
        <v>1</v>
      </c>
      <c r="H872" s="51" t="s">
        <v>674</v>
      </c>
      <c r="I872" s="50" t="s">
        <v>4866</v>
      </c>
      <c r="J872" s="52" t="s">
        <v>73</v>
      </c>
      <c r="K872" s="46" t="s">
        <v>129</v>
      </c>
      <c r="L872" s="50" t="s">
        <v>4867</v>
      </c>
      <c r="M872" s="50"/>
      <c r="N872" s="50"/>
      <c r="O872" s="54"/>
      <c r="P872" s="55" t="s">
        <v>76</v>
      </c>
      <c r="Q872" s="46" t="s">
        <v>633</v>
      </c>
      <c r="R872" s="75" t="s">
        <v>4868</v>
      </c>
      <c r="S872" s="75">
        <v>1</v>
      </c>
      <c r="T872" s="75">
        <v>0</v>
      </c>
      <c r="U872" s="56" t="s">
        <v>4869</v>
      </c>
      <c r="V872" s="63">
        <v>0.15</v>
      </c>
      <c r="W872" s="64"/>
      <c r="X872" s="46"/>
      <c r="Y872" s="46"/>
      <c r="Z872" s="46"/>
      <c r="AA872" s="56"/>
      <c r="AB872" s="63"/>
      <c r="AC872" s="52">
        <v>1</v>
      </c>
      <c r="AD872" s="69">
        <f>SUM(AE872:AK872)</f>
        <v>0</v>
      </c>
      <c r="AE872" s="66"/>
      <c r="AF872" s="66"/>
      <c r="AG872" s="66"/>
      <c r="AH872" s="66"/>
      <c r="AI872" s="66"/>
      <c r="AJ872" s="66"/>
      <c r="AK872" s="66"/>
      <c r="AL872" s="54">
        <f>IF((AC872-SUM(AE872:AK872))&lt;0,0,AC872-SUM(AE872:AK872))</f>
        <v>1</v>
      </c>
      <c r="AM872" s="69">
        <f>SUM(AN872:AT872)</f>
        <v>0</v>
      </c>
      <c r="AN872" s="60"/>
      <c r="AO872" s="52"/>
      <c r="AP872" s="52"/>
      <c r="AQ872" s="52"/>
      <c r="AR872" s="52"/>
      <c r="AS872" s="52"/>
      <c r="AT872" s="61"/>
      <c r="AU872" s="54">
        <f>MAX(0,$AM872-$AC872-$AW872)</f>
        <v>0</v>
      </c>
      <c r="AV872" s="52"/>
      <c r="AW872" s="52"/>
      <c r="AX872" s="65">
        <v>0</v>
      </c>
      <c r="AY872" s="57">
        <f>IF(AND($AU872&gt;0,ISNUMBER($AX872)),$AU872*$AX872,0)</f>
        <v>0</v>
      </c>
      <c r="AZ872" s="46"/>
      <c r="BA872" s="52"/>
      <c r="BB872" s="52"/>
      <c r="BC872" s="52"/>
      <c r="BD872" s="52"/>
      <c r="BE872" s="52"/>
      <c r="BF872" s="52"/>
    </row>
    <row r="873" spans="1:58" ht="15" customHeight="1">
      <c r="A873" s="46" t="s">
        <v>4870</v>
      </c>
      <c r="B873" s="50" t="s">
        <v>4871</v>
      </c>
      <c r="C873" s="54" t="s">
        <v>70</v>
      </c>
      <c r="D873" s="74">
        <v>4</v>
      </c>
      <c r="E873" s="50" t="s">
        <v>71</v>
      </c>
      <c r="F873" s="50"/>
      <c r="G873" s="50"/>
      <c r="H873" s="51"/>
      <c r="I873" s="50" t="s">
        <v>4872</v>
      </c>
      <c r="J873" s="54" t="s">
        <v>73</v>
      </c>
      <c r="K873" s="56" t="s">
        <v>129</v>
      </c>
      <c r="L873" s="56" t="s">
        <v>1426</v>
      </c>
      <c r="M873" s="56" t="s">
        <v>4873</v>
      </c>
      <c r="N873" s="56"/>
      <c r="O873" s="54"/>
      <c r="P873" s="56" t="s">
        <v>76</v>
      </c>
      <c r="Q873" s="56" t="s">
        <v>2307</v>
      </c>
      <c r="R873" s="50"/>
      <c r="S873" s="50"/>
      <c r="T873" s="50"/>
      <c r="U873" s="50"/>
      <c r="V873" s="57">
        <v>0.15</v>
      </c>
      <c r="W873" s="68"/>
      <c r="X873" s="50"/>
      <c r="Y873" s="50"/>
      <c r="Z873" s="50"/>
      <c r="AA873" s="50"/>
      <c r="AB873" s="57"/>
      <c r="AC873" s="54">
        <v>1</v>
      </c>
      <c r="AD873" s="69">
        <f>SUM(AE873:AK873)</f>
        <v>1</v>
      </c>
      <c r="AE873" s="66"/>
      <c r="AF873" s="66"/>
      <c r="AG873" s="66"/>
      <c r="AH873" s="66"/>
      <c r="AI873" s="66"/>
      <c r="AJ873" s="66">
        <v>1</v>
      </c>
      <c r="AK873" s="66"/>
      <c r="AL873" s="54">
        <f>IF((AC873-SUM(AE873:AK873))&lt;0,0,AC873-SUM(AE873:AK873))</f>
        <v>0</v>
      </c>
      <c r="AM873" s="69">
        <f>SUM(AN873:AT873)</f>
        <v>1</v>
      </c>
      <c r="AN873" s="60"/>
      <c r="AO873" s="52"/>
      <c r="AP873" s="52"/>
      <c r="AQ873" s="52"/>
      <c r="AR873" s="52"/>
      <c r="AS873" s="52">
        <v>1</v>
      </c>
      <c r="AT873" s="61"/>
      <c r="AU873" s="54">
        <f>MAX(0,$AM873-$AC873-$AW873)</f>
        <v>0</v>
      </c>
      <c r="AV873" s="54"/>
      <c r="AW873" s="54"/>
      <c r="AX873" s="65">
        <v>0</v>
      </c>
      <c r="AY873" s="57">
        <f>IF(AND($AU873&gt;0,ISNUMBER($AX873)),$AU873*$AX873,0)</f>
        <v>0</v>
      </c>
      <c r="AZ873" s="46"/>
      <c r="BA873" s="52"/>
      <c r="BB873" s="52"/>
      <c r="BC873" s="52"/>
      <c r="BD873" s="52"/>
      <c r="BE873" s="52"/>
      <c r="BF873" s="52"/>
    </row>
    <row r="874" spans="1:58" ht="15" customHeight="1">
      <c r="A874" s="46" t="s">
        <v>4874</v>
      </c>
      <c r="B874" s="50" t="s">
        <v>4875</v>
      </c>
      <c r="C874" s="54" t="s">
        <v>70</v>
      </c>
      <c r="D874" s="74">
        <v>3</v>
      </c>
      <c r="E874" s="50" t="s">
        <v>81</v>
      </c>
      <c r="F874" s="50">
        <v>2</v>
      </c>
      <c r="G874" s="50">
        <v>2</v>
      </c>
      <c r="H874" s="51" t="s">
        <v>4876</v>
      </c>
      <c r="I874" s="50" t="s">
        <v>4877</v>
      </c>
      <c r="J874" s="54" t="s">
        <v>73</v>
      </c>
      <c r="K874" s="56" t="s">
        <v>676</v>
      </c>
      <c r="L874" s="56" t="s">
        <v>4878</v>
      </c>
      <c r="M874" s="56"/>
      <c r="N874" s="56"/>
      <c r="O874" s="54"/>
      <c r="P874" s="56" t="s">
        <v>76</v>
      </c>
      <c r="Q874" s="56" t="s">
        <v>729</v>
      </c>
      <c r="R874" s="50"/>
      <c r="S874" s="50"/>
      <c r="T874" s="50"/>
      <c r="U874" s="56"/>
      <c r="V874" s="57">
        <v>0.15</v>
      </c>
      <c r="W874" s="68"/>
      <c r="X874" s="50"/>
      <c r="Y874" s="50"/>
      <c r="Z874" s="50"/>
      <c r="AA874" s="56"/>
      <c r="AB874" s="57"/>
      <c r="AC874" s="54">
        <v>1</v>
      </c>
      <c r="AD874" s="69">
        <f>SUM(AE874:AK874)</f>
        <v>0</v>
      </c>
      <c r="AE874" s="66"/>
      <c r="AF874" s="66"/>
      <c r="AG874" s="66"/>
      <c r="AH874" s="66"/>
      <c r="AI874" s="66"/>
      <c r="AJ874" s="66"/>
      <c r="AK874" s="66"/>
      <c r="AL874" s="54">
        <f>IF((AC874-SUM(AE874:AK874))&lt;0,0,AC874-SUM(AE874:AK874))</f>
        <v>1</v>
      </c>
      <c r="AM874" s="69">
        <f>SUM(AN874:AT874)</f>
        <v>0</v>
      </c>
      <c r="AN874" s="60"/>
      <c r="AO874" s="52"/>
      <c r="AP874" s="52"/>
      <c r="AQ874" s="52"/>
      <c r="AR874" s="52"/>
      <c r="AS874" s="52"/>
      <c r="AT874" s="61"/>
      <c r="AU874" s="54">
        <f>MAX(0,$AM874-$AC874-$AW874)</f>
        <v>0</v>
      </c>
      <c r="AV874" s="54"/>
      <c r="AW874" s="54"/>
      <c r="AX874" s="65">
        <v>0</v>
      </c>
      <c r="AY874" s="57">
        <f>IF(AND($AU874&gt;0,ISNUMBER($AX874)),$AU874*$AX874,0)</f>
        <v>0</v>
      </c>
      <c r="AZ874" s="46"/>
      <c r="BA874" s="52"/>
      <c r="BB874" s="52"/>
      <c r="BC874" s="52"/>
      <c r="BD874" s="52"/>
      <c r="BE874" s="52"/>
      <c r="BF874" s="52"/>
    </row>
    <row r="875" spans="1:58" ht="15" customHeight="1">
      <c r="A875" s="46" t="s">
        <v>4879</v>
      </c>
      <c r="B875" s="46" t="s">
        <v>4880</v>
      </c>
      <c r="C875" s="52" t="s">
        <v>101</v>
      </c>
      <c r="D875" s="75">
        <v>2</v>
      </c>
      <c r="E875" s="46" t="s">
        <v>189</v>
      </c>
      <c r="F875" s="50"/>
      <c r="G875" s="50"/>
      <c r="H875" s="51"/>
      <c r="I875" s="50" t="s">
        <v>4881</v>
      </c>
      <c r="J875" s="52" t="s">
        <v>73</v>
      </c>
      <c r="K875" s="46" t="s">
        <v>726</v>
      </c>
      <c r="L875" s="50" t="s">
        <v>4882</v>
      </c>
      <c r="M875" s="50" t="s">
        <v>4883</v>
      </c>
      <c r="N875" s="50"/>
      <c r="O875" s="54"/>
      <c r="P875" s="55" t="s">
        <v>76</v>
      </c>
      <c r="Q875" s="46" t="s">
        <v>645</v>
      </c>
      <c r="R875" s="75" t="s">
        <v>3728</v>
      </c>
      <c r="S875" s="75">
        <v>1</v>
      </c>
      <c r="T875" s="75">
        <v>0</v>
      </c>
      <c r="U875" s="56" t="s">
        <v>3775</v>
      </c>
      <c r="V875" s="57">
        <v>0.14000000000000001</v>
      </c>
      <c r="W875" s="68"/>
      <c r="X875" s="46"/>
      <c r="Y875" s="46"/>
      <c r="Z875" s="46"/>
      <c r="AA875" s="56"/>
      <c r="AB875" s="57"/>
      <c r="AC875" s="54">
        <v>1</v>
      </c>
      <c r="AD875" s="69">
        <f>SUM(AE875:AK875)</f>
        <v>1</v>
      </c>
      <c r="AE875" s="66"/>
      <c r="AF875" s="66"/>
      <c r="AG875" s="66"/>
      <c r="AH875" s="66"/>
      <c r="AI875" s="66"/>
      <c r="AJ875" s="66"/>
      <c r="AK875" s="66">
        <v>1</v>
      </c>
      <c r="AL875" s="54">
        <f>IF((AC875-SUM(AE875:AK875))&lt;0,0,AC875-SUM(AE875:AK875))</f>
        <v>0</v>
      </c>
      <c r="AM875" s="69">
        <f>SUM(AN875:AT875)</f>
        <v>1</v>
      </c>
      <c r="AN875" s="60"/>
      <c r="AO875" s="52"/>
      <c r="AP875" s="52"/>
      <c r="AQ875" s="52"/>
      <c r="AR875" s="52"/>
      <c r="AS875" s="52"/>
      <c r="AT875" s="61">
        <v>1</v>
      </c>
      <c r="AU875" s="54">
        <f>MAX(0,$AM875-$AC875-$AW875)</f>
        <v>0</v>
      </c>
      <c r="AV875" s="52"/>
      <c r="AW875" s="52"/>
      <c r="AX875" s="65">
        <v>0</v>
      </c>
      <c r="AY875" s="57">
        <f>IF(AND($AU875&gt;0,ISNUMBER($AX875)),$AU875*$AX875,0)</f>
        <v>0</v>
      </c>
      <c r="AZ875" s="46"/>
      <c r="BA875" s="52"/>
      <c r="BB875" s="52"/>
      <c r="BC875" s="52"/>
      <c r="BD875" s="52"/>
      <c r="BE875" s="52"/>
      <c r="BF875" s="52"/>
    </row>
    <row r="876" spans="1:58" ht="15" customHeight="1">
      <c r="A876" s="46" t="s">
        <v>4884</v>
      </c>
      <c r="B876" s="46" t="s">
        <v>4885</v>
      </c>
      <c r="C876" s="52" t="s">
        <v>109</v>
      </c>
      <c r="D876" s="75">
        <v>3</v>
      </c>
      <c r="E876" s="46" t="s">
        <v>81</v>
      </c>
      <c r="F876" s="50">
        <v>3</v>
      </c>
      <c r="G876" s="50">
        <v>3</v>
      </c>
      <c r="H876" s="51" t="s">
        <v>4886</v>
      </c>
      <c r="I876" s="50" t="s">
        <v>4887</v>
      </c>
      <c r="J876" s="52" t="s">
        <v>73</v>
      </c>
      <c r="K876" s="46" t="s">
        <v>74</v>
      </c>
      <c r="L876" s="50" t="s">
        <v>4888</v>
      </c>
      <c r="M876" s="50"/>
      <c r="N876" s="50"/>
      <c r="O876" s="54"/>
      <c r="P876" s="55" t="s">
        <v>76</v>
      </c>
      <c r="Q876" s="46" t="s">
        <v>669</v>
      </c>
      <c r="R876" s="75" t="s">
        <v>4889</v>
      </c>
      <c r="S876" s="75">
        <v>1</v>
      </c>
      <c r="T876" s="75">
        <v>0</v>
      </c>
      <c r="U876" s="56"/>
      <c r="V876" s="57">
        <v>0.14000000000000001</v>
      </c>
      <c r="W876" s="68"/>
      <c r="X876" s="46"/>
      <c r="Y876" s="46"/>
      <c r="Z876" s="46"/>
      <c r="AA876" s="56"/>
      <c r="AB876" s="57"/>
      <c r="AC876" s="54">
        <v>1</v>
      </c>
      <c r="AD876" s="69">
        <f>SUM(AE876:AK876)</f>
        <v>0</v>
      </c>
      <c r="AE876" s="66"/>
      <c r="AF876" s="66"/>
      <c r="AG876" s="66"/>
      <c r="AH876" s="66"/>
      <c r="AI876" s="66"/>
      <c r="AJ876" s="66"/>
      <c r="AK876" s="66"/>
      <c r="AL876" s="54">
        <f>IF((AC876-SUM(AE876:AK876))&lt;0,0,AC876-SUM(AE876:AK876))</f>
        <v>1</v>
      </c>
      <c r="AM876" s="69">
        <f>SUM(AN876:AT876)</f>
        <v>0</v>
      </c>
      <c r="AN876" s="60"/>
      <c r="AO876" s="52"/>
      <c r="AP876" s="52"/>
      <c r="AQ876" s="52"/>
      <c r="AR876" s="52"/>
      <c r="AS876" s="52"/>
      <c r="AT876" s="61"/>
      <c r="AU876" s="54">
        <f>MAX(0,$AM876-$AC876-$AW876)</f>
        <v>0</v>
      </c>
      <c r="AV876" s="52"/>
      <c r="AW876" s="52"/>
      <c r="AX876" s="65">
        <v>0</v>
      </c>
      <c r="AY876" s="57">
        <f>IF(AND($AU876&gt;0,ISNUMBER($AX876)),$AU876*$AX876,0)</f>
        <v>0</v>
      </c>
      <c r="AZ876" s="46"/>
      <c r="BA876" s="52"/>
      <c r="BB876" s="52"/>
      <c r="BC876" s="52"/>
      <c r="BD876" s="52"/>
      <c r="BE876" s="52"/>
      <c r="BF876" s="52"/>
    </row>
    <row r="877" spans="1:58" ht="15" customHeight="1">
      <c r="A877" s="46" t="s">
        <v>4890</v>
      </c>
      <c r="B877" s="50" t="s">
        <v>4891</v>
      </c>
      <c r="C877" s="54" t="s">
        <v>181</v>
      </c>
      <c r="D877" s="74">
        <v>2</v>
      </c>
      <c r="E877" s="50" t="s">
        <v>71</v>
      </c>
      <c r="F877" s="50"/>
      <c r="G877" s="50"/>
      <c r="H877" s="51"/>
      <c r="I877" s="50" t="s">
        <v>4892</v>
      </c>
      <c r="J877" s="54" t="s">
        <v>73</v>
      </c>
      <c r="K877" s="56" t="s">
        <v>135</v>
      </c>
      <c r="L877" s="56" t="s">
        <v>4893</v>
      </c>
      <c r="M877" s="56" t="s">
        <v>4894</v>
      </c>
      <c r="N877" s="56"/>
      <c r="O877" s="54"/>
      <c r="P877" s="56" t="s">
        <v>76</v>
      </c>
      <c r="Q877" s="56" t="s">
        <v>669</v>
      </c>
      <c r="R877" s="50"/>
      <c r="S877" s="50"/>
      <c r="T877" s="50"/>
      <c r="U877" s="56"/>
      <c r="V877" s="57">
        <v>0.14000000000000001</v>
      </c>
      <c r="W877" s="68"/>
      <c r="X877" s="50"/>
      <c r="Y877" s="50"/>
      <c r="Z877" s="50"/>
      <c r="AA877" s="56"/>
      <c r="AB877" s="57"/>
      <c r="AC877" s="54">
        <v>1</v>
      </c>
      <c r="AD877" s="69">
        <f>SUM(AE877:AK877)</f>
        <v>0</v>
      </c>
      <c r="AE877" s="66"/>
      <c r="AF877" s="66"/>
      <c r="AG877" s="66"/>
      <c r="AH877" s="66"/>
      <c r="AI877" s="66"/>
      <c r="AJ877" s="66"/>
      <c r="AK877" s="66"/>
      <c r="AL877" s="54">
        <f>IF((AC877-SUM(AE877:AK877))&lt;0,0,AC877-SUM(AE877:AK877))</f>
        <v>1</v>
      </c>
      <c r="AM877" s="69">
        <f>SUM(AN877:AT877)</f>
        <v>0</v>
      </c>
      <c r="AN877" s="60"/>
      <c r="AO877" s="52"/>
      <c r="AP877" s="52"/>
      <c r="AQ877" s="52"/>
      <c r="AR877" s="52"/>
      <c r="AS877" s="52"/>
      <c r="AT877" s="61"/>
      <c r="AU877" s="54">
        <f>MAX(0,$AM877-$AC877-$AW877)</f>
        <v>0</v>
      </c>
      <c r="AV877" s="54"/>
      <c r="AW877" s="54"/>
      <c r="AX877" s="65">
        <v>0</v>
      </c>
      <c r="AY877" s="57">
        <f>IF(AND($AU877&gt;0,ISNUMBER($AX877)),$AU877*$AX877,0)</f>
        <v>0</v>
      </c>
      <c r="AZ877" s="46"/>
      <c r="BA877" s="52"/>
      <c r="BB877" s="52"/>
      <c r="BC877" s="52"/>
      <c r="BD877" s="52"/>
      <c r="BE877" s="52"/>
      <c r="BF877" s="52"/>
    </row>
    <row r="878" spans="1:58" ht="15" customHeight="1">
      <c r="A878" s="46" t="s">
        <v>4895</v>
      </c>
      <c r="B878" s="50" t="s">
        <v>4896</v>
      </c>
      <c r="C878" s="54" t="s">
        <v>181</v>
      </c>
      <c r="D878" s="74">
        <v>1</v>
      </c>
      <c r="E878" s="50" t="s">
        <v>189</v>
      </c>
      <c r="F878" s="50"/>
      <c r="G878" s="50"/>
      <c r="H878" s="51"/>
      <c r="I878" s="50" t="s">
        <v>4897</v>
      </c>
      <c r="J878" s="54" t="s">
        <v>73</v>
      </c>
      <c r="K878" s="56" t="s">
        <v>135</v>
      </c>
      <c r="L878" s="56" t="s">
        <v>4898</v>
      </c>
      <c r="M878" s="56" t="s">
        <v>4899</v>
      </c>
      <c r="N878" s="56"/>
      <c r="O878" s="54"/>
      <c r="P878" s="56" t="s">
        <v>76</v>
      </c>
      <c r="Q878" s="56" t="s">
        <v>324</v>
      </c>
      <c r="R878" s="50"/>
      <c r="S878" s="50"/>
      <c r="T878" s="50"/>
      <c r="U878" s="56"/>
      <c r="V878" s="57">
        <v>0.14000000000000001</v>
      </c>
      <c r="W878" s="68"/>
      <c r="X878" s="50"/>
      <c r="Y878" s="50"/>
      <c r="Z878" s="50"/>
      <c r="AA878" s="56"/>
      <c r="AB878" s="57"/>
      <c r="AC878" s="54">
        <v>1</v>
      </c>
      <c r="AD878" s="69">
        <f>SUM(AE878:AK878)</f>
        <v>1</v>
      </c>
      <c r="AE878" s="66"/>
      <c r="AF878" s="66"/>
      <c r="AG878" s="66"/>
      <c r="AH878" s="66"/>
      <c r="AI878" s="66"/>
      <c r="AJ878" s="66"/>
      <c r="AK878" s="66">
        <v>1</v>
      </c>
      <c r="AL878" s="54">
        <f>IF((AC878-SUM(AE878:AK878))&lt;0,0,AC878-SUM(AE878:AK878))</f>
        <v>0</v>
      </c>
      <c r="AM878" s="69">
        <f>SUM(AN878:AT878)</f>
        <v>1</v>
      </c>
      <c r="AN878" s="60"/>
      <c r="AO878" s="52"/>
      <c r="AP878" s="52"/>
      <c r="AQ878" s="52"/>
      <c r="AR878" s="52"/>
      <c r="AS878" s="52"/>
      <c r="AT878" s="61">
        <v>1</v>
      </c>
      <c r="AU878" s="54">
        <f>MAX(0,$AM878-$AC878-$AW878)</f>
        <v>0</v>
      </c>
      <c r="AV878" s="54"/>
      <c r="AW878" s="54"/>
      <c r="AX878" s="65">
        <v>0</v>
      </c>
      <c r="AY878" s="57">
        <f>IF(AND($AU878&gt;0,ISNUMBER($AX878)),$AU878*$AX878,0)</f>
        <v>0</v>
      </c>
      <c r="AZ878" s="46"/>
      <c r="BA878" s="52"/>
      <c r="BB878" s="52"/>
      <c r="BC878" s="52"/>
      <c r="BD878" s="52"/>
      <c r="BE878" s="52"/>
      <c r="BF878" s="52"/>
    </row>
    <row r="879" spans="1:58" ht="15" customHeight="1">
      <c r="A879" s="46" t="s">
        <v>4900</v>
      </c>
      <c r="B879" s="50" t="s">
        <v>4901</v>
      </c>
      <c r="C879" s="54" t="s">
        <v>118</v>
      </c>
      <c r="D879" s="74">
        <v>2</v>
      </c>
      <c r="E879" s="50" t="s">
        <v>384</v>
      </c>
      <c r="F879" s="50"/>
      <c r="G879" s="50"/>
      <c r="H879" s="51" t="s">
        <v>1256</v>
      </c>
      <c r="I879" s="50" t="s">
        <v>4902</v>
      </c>
      <c r="J879" s="54" t="s">
        <v>73</v>
      </c>
      <c r="K879" s="56" t="s">
        <v>135</v>
      </c>
      <c r="L879" s="56" t="s">
        <v>4903</v>
      </c>
      <c r="M879" s="56" t="s">
        <v>4904</v>
      </c>
      <c r="N879" s="56"/>
      <c r="O879" s="54"/>
      <c r="P879" s="56" t="s">
        <v>76</v>
      </c>
      <c r="Q879" s="56" t="s">
        <v>669</v>
      </c>
      <c r="R879" s="50"/>
      <c r="S879" s="50"/>
      <c r="T879" s="50"/>
      <c r="U879" s="56"/>
      <c r="V879" s="57">
        <v>0.14000000000000001</v>
      </c>
      <c r="W879" s="68"/>
      <c r="X879" s="50"/>
      <c r="Y879" s="50"/>
      <c r="Z879" s="50"/>
      <c r="AA879" s="56"/>
      <c r="AB879" s="57"/>
      <c r="AC879" s="54">
        <v>1</v>
      </c>
      <c r="AD879" s="69">
        <f>SUM(AE879:AK879)</f>
        <v>0</v>
      </c>
      <c r="AE879" s="66"/>
      <c r="AF879" s="66"/>
      <c r="AG879" s="66"/>
      <c r="AH879" s="66"/>
      <c r="AI879" s="66"/>
      <c r="AJ879" s="66"/>
      <c r="AK879" s="66"/>
      <c r="AL879" s="54">
        <f>IF((AC879-SUM(AE879:AK879))&lt;0,0,AC879-SUM(AE879:AK879))</f>
        <v>1</v>
      </c>
      <c r="AM879" s="69">
        <f>SUM(AN879:AT879)</f>
        <v>0</v>
      </c>
      <c r="AN879" s="60"/>
      <c r="AO879" s="52"/>
      <c r="AP879" s="52"/>
      <c r="AQ879" s="52"/>
      <c r="AR879" s="52"/>
      <c r="AS879" s="52"/>
      <c r="AT879" s="61"/>
      <c r="AU879" s="54">
        <f>MAX(0,$AM879-$AC879-$AW879)</f>
        <v>0</v>
      </c>
      <c r="AV879" s="54"/>
      <c r="AW879" s="54"/>
      <c r="AX879" s="65">
        <v>0</v>
      </c>
      <c r="AY879" s="57">
        <f>IF(AND($AU879&gt;0,ISNUMBER($AX879)),$AU879*$AX879,0)</f>
        <v>0</v>
      </c>
      <c r="AZ879" s="46"/>
      <c r="BA879" s="52"/>
      <c r="BB879" s="52"/>
      <c r="BC879" s="52"/>
      <c r="BD879" s="52"/>
      <c r="BE879" s="52"/>
      <c r="BF879" s="52"/>
    </row>
    <row r="880" spans="1:58" ht="15" customHeight="1">
      <c r="A880" s="46" t="s">
        <v>4905</v>
      </c>
      <c r="B880" s="50" t="s">
        <v>4906</v>
      </c>
      <c r="C880" s="54" t="s">
        <v>118</v>
      </c>
      <c r="D880" s="74">
        <v>3</v>
      </c>
      <c r="E880" s="50" t="s">
        <v>81</v>
      </c>
      <c r="F880" s="50">
        <v>2</v>
      </c>
      <c r="G880" s="50">
        <v>3</v>
      </c>
      <c r="H880" s="51" t="s">
        <v>4907</v>
      </c>
      <c r="I880" s="50" t="s">
        <v>4908</v>
      </c>
      <c r="J880" s="54" t="s">
        <v>73</v>
      </c>
      <c r="K880" s="50" t="s">
        <v>676</v>
      </c>
      <c r="L880" s="50" t="s">
        <v>136</v>
      </c>
      <c r="M880" s="50" t="s">
        <v>4909</v>
      </c>
      <c r="N880" s="50"/>
      <c r="O880" s="54"/>
      <c r="P880" s="55" t="s">
        <v>76</v>
      </c>
      <c r="Q880" s="50" t="s">
        <v>729</v>
      </c>
      <c r="R880" s="74" t="s">
        <v>1797</v>
      </c>
      <c r="S880" s="74">
        <v>1</v>
      </c>
      <c r="T880" s="74">
        <v>1</v>
      </c>
      <c r="U880" s="56" t="s">
        <v>4910</v>
      </c>
      <c r="V880" s="57">
        <v>0.14000000000000001</v>
      </c>
      <c r="W880" s="68"/>
      <c r="X880" s="46"/>
      <c r="Y880" s="50"/>
      <c r="Z880" s="50"/>
      <c r="AA880" s="56"/>
      <c r="AB880" s="57"/>
      <c r="AC880" s="54">
        <v>1</v>
      </c>
      <c r="AD880" s="69">
        <f>SUM(AE880:AK880)</f>
        <v>0</v>
      </c>
      <c r="AE880" s="66"/>
      <c r="AF880" s="66"/>
      <c r="AG880" s="66"/>
      <c r="AH880" s="66"/>
      <c r="AI880" s="66"/>
      <c r="AJ880" s="66"/>
      <c r="AK880" s="66"/>
      <c r="AL880" s="54">
        <f>IF((AC880-SUM(AE880:AK880))&lt;0,0,AC880-SUM(AE880:AK880))</f>
        <v>1</v>
      </c>
      <c r="AM880" s="69">
        <f>SUM(AN880:AT880)</f>
        <v>0</v>
      </c>
      <c r="AN880" s="60"/>
      <c r="AO880" s="52"/>
      <c r="AP880" s="52"/>
      <c r="AQ880" s="52"/>
      <c r="AR880" s="52"/>
      <c r="AS880" s="52"/>
      <c r="AT880" s="61"/>
      <c r="AU880" s="54">
        <f>MAX(0,$AM880-$AC880-$AW880)</f>
        <v>0</v>
      </c>
      <c r="AV880" s="54"/>
      <c r="AW880" s="54"/>
      <c r="AX880" s="65">
        <v>0</v>
      </c>
      <c r="AY880" s="57">
        <f>IF(AND($AU880&gt;0,ISNUMBER($AX880)),$AU880*$AX880,0)</f>
        <v>0</v>
      </c>
      <c r="AZ880" s="46"/>
      <c r="BA880" s="52"/>
      <c r="BB880" s="52"/>
      <c r="BC880" s="52"/>
      <c r="BD880" s="52"/>
      <c r="BE880" s="52"/>
      <c r="BF880" s="52"/>
    </row>
    <row r="881" spans="1:58" ht="15" customHeight="1">
      <c r="A881" s="46" t="s">
        <v>4911</v>
      </c>
      <c r="B881" s="50" t="s">
        <v>4912</v>
      </c>
      <c r="C881" s="54" t="s">
        <v>109</v>
      </c>
      <c r="D881" s="74">
        <v>5</v>
      </c>
      <c r="E881" s="50" t="s">
        <v>81</v>
      </c>
      <c r="F881" s="50">
        <v>2</v>
      </c>
      <c r="G881" s="50">
        <v>2</v>
      </c>
      <c r="H881" s="51" t="s">
        <v>286</v>
      </c>
      <c r="I881" s="50" t="s">
        <v>4913</v>
      </c>
      <c r="J881" s="54" t="s">
        <v>73</v>
      </c>
      <c r="K881" s="56" t="s">
        <v>92</v>
      </c>
      <c r="L881" s="56" t="s">
        <v>4914</v>
      </c>
      <c r="M881" s="56" t="s">
        <v>995</v>
      </c>
      <c r="N881" s="56"/>
      <c r="O881" s="54"/>
      <c r="P881" s="56" t="s">
        <v>185</v>
      </c>
      <c r="Q881" s="56" t="s">
        <v>2192</v>
      </c>
      <c r="R881" s="54"/>
      <c r="S881" s="54"/>
      <c r="T881" s="54"/>
      <c r="U881" s="54"/>
      <c r="V881" s="57">
        <v>0.13</v>
      </c>
      <c r="W881" s="68"/>
      <c r="X881" s="54"/>
      <c r="Y881" s="54"/>
      <c r="Z881" s="54"/>
      <c r="AA881" s="54"/>
      <c r="AB881" s="57"/>
      <c r="AC881" s="54">
        <v>1</v>
      </c>
      <c r="AD881" s="69">
        <f>SUM(AE881:AK881)</f>
        <v>1</v>
      </c>
      <c r="AE881" s="66"/>
      <c r="AF881" s="66">
        <v>1</v>
      </c>
      <c r="AG881" s="66"/>
      <c r="AH881" s="66"/>
      <c r="AI881" s="66"/>
      <c r="AJ881" s="66"/>
      <c r="AK881" s="66"/>
      <c r="AL881" s="54">
        <f>IF((AC881-SUM(AE881:AK881))&lt;0,0,AC881-SUM(AE881:AK881))</f>
        <v>0</v>
      </c>
      <c r="AM881" s="69">
        <f>SUM(AN881:AT881)</f>
        <v>0</v>
      </c>
      <c r="AN881" s="60"/>
      <c r="AO881" s="52"/>
      <c r="AP881" s="52"/>
      <c r="AQ881" s="52"/>
      <c r="AR881" s="52"/>
      <c r="AS881" s="52"/>
      <c r="AT881" s="61"/>
      <c r="AU881" s="54">
        <f>MAX(0,$AM881-$AC881-$AW881)</f>
        <v>0</v>
      </c>
      <c r="AV881" s="54"/>
      <c r="AW881" s="54"/>
      <c r="AX881" s="65">
        <v>0</v>
      </c>
      <c r="AY881" s="57">
        <f>IF(AND($AU881&gt;0,ISNUMBER($AX881)),$AU881*$AX881,0)</f>
        <v>0</v>
      </c>
      <c r="AZ881" s="46"/>
      <c r="BA881" s="52" t="s">
        <v>1994</v>
      </c>
      <c r="BB881" s="52"/>
      <c r="BC881" s="52"/>
      <c r="BD881" s="52"/>
      <c r="BE881" s="52"/>
      <c r="BF881" s="52"/>
    </row>
    <row r="882" spans="1:58" ht="15" customHeight="1">
      <c r="A882" s="46" t="s">
        <v>4915</v>
      </c>
      <c r="B882" s="47" t="s">
        <v>4916</v>
      </c>
      <c r="C882" s="48" t="s">
        <v>70</v>
      </c>
      <c r="D882" s="49">
        <v>1</v>
      </c>
      <c r="E882" s="47" t="s">
        <v>71</v>
      </c>
      <c r="F882" s="50"/>
      <c r="G882" s="50"/>
      <c r="H882" s="51"/>
      <c r="I882" s="50" t="s">
        <v>4917</v>
      </c>
      <c r="J882" s="52" t="s">
        <v>73</v>
      </c>
      <c r="K882" s="47" t="s">
        <v>864</v>
      </c>
      <c r="L882" s="53" t="s">
        <v>4918</v>
      </c>
      <c r="M882" s="53" t="s">
        <v>590</v>
      </c>
      <c r="N882" s="53"/>
      <c r="O882" s="54"/>
      <c r="P882" s="55" t="s">
        <v>76</v>
      </c>
      <c r="Q882" s="47" t="s">
        <v>645</v>
      </c>
      <c r="R882" s="75" t="s">
        <v>1724</v>
      </c>
      <c r="S882" s="75">
        <v>1</v>
      </c>
      <c r="T882" s="75">
        <v>0</v>
      </c>
      <c r="U882" s="56"/>
      <c r="V882" s="57">
        <v>0.13</v>
      </c>
      <c r="W882" s="68"/>
      <c r="X882" s="46"/>
      <c r="Y882" s="46"/>
      <c r="Z882" s="46"/>
      <c r="AA882" s="56"/>
      <c r="AB882" s="57"/>
      <c r="AC882" s="54">
        <v>1</v>
      </c>
      <c r="AD882" s="69">
        <f>SUM(AE882:AK882)</f>
        <v>0</v>
      </c>
      <c r="AE882" s="66"/>
      <c r="AF882" s="66"/>
      <c r="AG882" s="66"/>
      <c r="AH882" s="66"/>
      <c r="AI882" s="66"/>
      <c r="AJ882" s="66"/>
      <c r="AK882" s="66"/>
      <c r="AL882" s="54">
        <f>IF((AC882-SUM(AE882:AK882))&lt;0,0,AC882-SUM(AE882:AK882))</f>
        <v>1</v>
      </c>
      <c r="AM882" s="69">
        <f>SUM(AN882:AT882)</f>
        <v>0</v>
      </c>
      <c r="AN882" s="60"/>
      <c r="AO882" s="52"/>
      <c r="AP882" s="52"/>
      <c r="AQ882" s="52"/>
      <c r="AR882" s="52"/>
      <c r="AS882" s="52"/>
      <c r="AT882" s="61"/>
      <c r="AU882" s="66">
        <f>MAX(0,$AM882-$AC882-$AW882)</f>
        <v>0</v>
      </c>
      <c r="AV882" s="48"/>
      <c r="AW882" s="48"/>
      <c r="AX882" s="65">
        <v>0</v>
      </c>
      <c r="AY882" s="65">
        <f>IF(AND($AU882&gt;0,ISNUMBER($AX882)),$AU882*$AX882,0)</f>
        <v>0</v>
      </c>
      <c r="AZ882" s="46"/>
      <c r="BA882" s="52"/>
      <c r="BB882" s="52"/>
      <c r="BC882" s="52"/>
      <c r="BD882" s="52"/>
      <c r="BE882" s="52"/>
      <c r="BF882" s="52"/>
    </row>
    <row r="883" spans="1:58" ht="15" customHeight="1">
      <c r="A883" s="46" t="s">
        <v>4919</v>
      </c>
      <c r="B883" s="53" t="s">
        <v>4920</v>
      </c>
      <c r="C883" s="66" t="s">
        <v>101</v>
      </c>
      <c r="D883" s="67">
        <v>3</v>
      </c>
      <c r="E883" s="53" t="s">
        <v>384</v>
      </c>
      <c r="F883" s="50"/>
      <c r="G883" s="50"/>
      <c r="H883" s="51" t="s">
        <v>1256</v>
      </c>
      <c r="I883" s="50" t="s">
        <v>4921</v>
      </c>
      <c r="J883" s="54" t="s">
        <v>73</v>
      </c>
      <c r="K883" s="58" t="s">
        <v>864</v>
      </c>
      <c r="L883" s="58" t="s">
        <v>4922</v>
      </c>
      <c r="M883" s="58" t="s">
        <v>4923</v>
      </c>
      <c r="N883" s="58"/>
      <c r="O883" s="54"/>
      <c r="P883" s="56" t="s">
        <v>76</v>
      </c>
      <c r="Q883" s="58" t="s">
        <v>669</v>
      </c>
      <c r="R883" s="50"/>
      <c r="S883" s="50"/>
      <c r="T883" s="50"/>
      <c r="U883" s="56"/>
      <c r="V883" s="57">
        <v>0.13</v>
      </c>
      <c r="W883" s="68"/>
      <c r="X883" s="50"/>
      <c r="Y883" s="50"/>
      <c r="Z883" s="50"/>
      <c r="AA883" s="56"/>
      <c r="AB883" s="57"/>
      <c r="AC883" s="54">
        <v>1</v>
      </c>
      <c r="AD883" s="69">
        <f>SUM(AE883:AK883)</f>
        <v>0</v>
      </c>
      <c r="AE883" s="66"/>
      <c r="AF883" s="66"/>
      <c r="AG883" s="66"/>
      <c r="AH883" s="66"/>
      <c r="AI883" s="66"/>
      <c r="AJ883" s="66"/>
      <c r="AK883" s="66"/>
      <c r="AL883" s="54">
        <f>IF((AC883-SUM(AE883:AK883))&lt;0,0,AC883-SUM(AE883:AK883))</f>
        <v>1</v>
      </c>
      <c r="AM883" s="69">
        <f>SUM(AN883:AT883)</f>
        <v>0</v>
      </c>
      <c r="AN883" s="60"/>
      <c r="AO883" s="52"/>
      <c r="AP883" s="52"/>
      <c r="AQ883" s="52"/>
      <c r="AR883" s="52"/>
      <c r="AS883" s="52"/>
      <c r="AT883" s="61"/>
      <c r="AU883" s="66">
        <f>MAX(0,$AM883-$AC883-$AW883)</f>
        <v>0</v>
      </c>
      <c r="AV883" s="66"/>
      <c r="AW883" s="66"/>
      <c r="AX883" s="65">
        <v>0</v>
      </c>
      <c r="AY883" s="65">
        <f>IF(AND($AU883&gt;0,ISNUMBER($AX883)),$AU883*$AX883,0)</f>
        <v>0</v>
      </c>
      <c r="AZ883" s="46"/>
      <c r="BA883" s="52"/>
      <c r="BB883" s="52"/>
      <c r="BC883" s="52"/>
      <c r="BD883" s="52"/>
      <c r="BE883" s="52"/>
      <c r="BF883" s="52"/>
    </row>
    <row r="884" spans="1:58" ht="15" customHeight="1">
      <c r="A884" s="46" t="s">
        <v>4924</v>
      </c>
      <c r="B884" s="53" t="s">
        <v>4925</v>
      </c>
      <c r="C884" s="66" t="s">
        <v>70</v>
      </c>
      <c r="D884" s="67">
        <v>4</v>
      </c>
      <c r="E884" s="53" t="s">
        <v>81</v>
      </c>
      <c r="F884" s="50">
        <v>2</v>
      </c>
      <c r="G884" s="50">
        <v>2</v>
      </c>
      <c r="H884" s="51" t="s">
        <v>1771</v>
      </c>
      <c r="I884" s="50" t="s">
        <v>4926</v>
      </c>
      <c r="J884" s="54" t="s">
        <v>73</v>
      </c>
      <c r="K884" s="58" t="s">
        <v>170</v>
      </c>
      <c r="L884" s="58" t="s">
        <v>4927</v>
      </c>
      <c r="M884" s="58" t="s">
        <v>4928</v>
      </c>
      <c r="N884" s="58"/>
      <c r="O884" s="54"/>
      <c r="P884" s="56" t="s">
        <v>76</v>
      </c>
      <c r="Q884" s="58" t="s">
        <v>410</v>
      </c>
      <c r="R884" s="50"/>
      <c r="S884" s="50"/>
      <c r="T884" s="50"/>
      <c r="U884" s="56"/>
      <c r="V884" s="57">
        <v>0.13</v>
      </c>
      <c r="W884" s="68"/>
      <c r="X884" s="50"/>
      <c r="Y884" s="50"/>
      <c r="Z884" s="50"/>
      <c r="AA884" s="56"/>
      <c r="AB884" s="57"/>
      <c r="AC884" s="54">
        <v>1</v>
      </c>
      <c r="AD884" s="69">
        <f>SUM(AE884:AK884)</f>
        <v>0</v>
      </c>
      <c r="AE884" s="66"/>
      <c r="AF884" s="66"/>
      <c r="AG884" s="66"/>
      <c r="AH884" s="66"/>
      <c r="AI884" s="66"/>
      <c r="AJ884" s="66"/>
      <c r="AK884" s="66"/>
      <c r="AL884" s="54">
        <f>IF((AC884-SUM(AE884:AK884))&lt;0,0,AC884-SUM(AE884:AK884))</f>
        <v>1</v>
      </c>
      <c r="AM884" s="69">
        <f>SUM(AN884:AT884)</f>
        <v>0</v>
      </c>
      <c r="AN884" s="60"/>
      <c r="AO884" s="52"/>
      <c r="AP884" s="52"/>
      <c r="AQ884" s="52"/>
      <c r="AR884" s="52"/>
      <c r="AS884" s="52"/>
      <c r="AT884" s="61"/>
      <c r="AU884" s="66">
        <f>MAX(0,$AM884-$AC884-$AW884)</f>
        <v>0</v>
      </c>
      <c r="AV884" s="66"/>
      <c r="AW884" s="66"/>
      <c r="AX884" s="65">
        <v>0</v>
      </c>
      <c r="AY884" s="65">
        <f>IF(AND($AU884&gt;0,ISNUMBER($AX884)),$AU884*$AX884,0)</f>
        <v>0</v>
      </c>
      <c r="AZ884" s="46"/>
      <c r="BA884" s="52"/>
      <c r="BB884" s="52"/>
      <c r="BC884" s="52"/>
      <c r="BD884" s="52"/>
      <c r="BE884" s="52"/>
      <c r="BF884" s="52"/>
    </row>
    <row r="885" spans="1:58" ht="15" customHeight="1">
      <c r="A885" s="46" t="s">
        <v>4929</v>
      </c>
      <c r="B885" s="53" t="s">
        <v>4930</v>
      </c>
      <c r="C885" s="66" t="s">
        <v>101</v>
      </c>
      <c r="D885" s="67">
        <v>3</v>
      </c>
      <c r="E885" s="53" t="s">
        <v>81</v>
      </c>
      <c r="F885" s="50">
        <v>3</v>
      </c>
      <c r="G885" s="50">
        <v>2</v>
      </c>
      <c r="H885" s="51" t="s">
        <v>4931</v>
      </c>
      <c r="I885" s="50" t="s">
        <v>4932</v>
      </c>
      <c r="J885" s="54" t="s">
        <v>73</v>
      </c>
      <c r="K885" s="58" t="s">
        <v>121</v>
      </c>
      <c r="L885" s="58" t="s">
        <v>4194</v>
      </c>
      <c r="M885" s="58"/>
      <c r="N885" s="58"/>
      <c r="O885" s="54"/>
      <c r="P885" s="56" t="s">
        <v>76</v>
      </c>
      <c r="Q885" s="58" t="s">
        <v>410</v>
      </c>
      <c r="R885" s="50"/>
      <c r="S885" s="50"/>
      <c r="T885" s="50"/>
      <c r="U885" s="56"/>
      <c r="V885" s="57">
        <v>0.13</v>
      </c>
      <c r="W885" s="68"/>
      <c r="X885" s="50"/>
      <c r="Y885" s="50"/>
      <c r="Z885" s="50"/>
      <c r="AA885" s="56"/>
      <c r="AB885" s="57"/>
      <c r="AC885" s="54">
        <v>1</v>
      </c>
      <c r="AD885" s="69">
        <f>SUM(AE885:AK885)</f>
        <v>0</v>
      </c>
      <c r="AE885" s="66"/>
      <c r="AF885" s="66"/>
      <c r="AG885" s="66"/>
      <c r="AH885" s="66"/>
      <c r="AI885" s="66"/>
      <c r="AJ885" s="66"/>
      <c r="AK885" s="66"/>
      <c r="AL885" s="54">
        <f>IF((AC885-SUM(AE885:AK885))&lt;0,0,AC885-SUM(AE885:AK885))</f>
        <v>1</v>
      </c>
      <c r="AM885" s="69">
        <f>SUM(AN885:AT885)</f>
        <v>0</v>
      </c>
      <c r="AN885" s="60"/>
      <c r="AO885" s="52"/>
      <c r="AP885" s="52"/>
      <c r="AQ885" s="52"/>
      <c r="AR885" s="52"/>
      <c r="AS885" s="52"/>
      <c r="AT885" s="61"/>
      <c r="AU885" s="66">
        <f>MAX(0,$AM885-$AC885-$AW885)</f>
        <v>0</v>
      </c>
      <c r="AV885" s="66"/>
      <c r="AW885" s="66"/>
      <c r="AX885" s="65">
        <v>0</v>
      </c>
      <c r="AY885" s="65">
        <f>IF(AND($AU885&gt;0,ISNUMBER($AX885)),$AU885*$AX885,0)</f>
        <v>0</v>
      </c>
      <c r="AZ885" s="46"/>
      <c r="BA885" s="52"/>
      <c r="BB885" s="52"/>
      <c r="BC885" s="52"/>
      <c r="BD885" s="52"/>
      <c r="BE885" s="52"/>
      <c r="BF885" s="52"/>
    </row>
    <row r="886" spans="1:58" ht="15" customHeight="1">
      <c r="A886" s="46" t="s">
        <v>4933</v>
      </c>
      <c r="B886" s="47" t="s">
        <v>4934</v>
      </c>
      <c r="C886" s="48" t="s">
        <v>181</v>
      </c>
      <c r="D886" s="49">
        <v>3</v>
      </c>
      <c r="E886" s="47" t="s">
        <v>81</v>
      </c>
      <c r="F886" s="50">
        <v>4</v>
      </c>
      <c r="G886" s="50">
        <v>2</v>
      </c>
      <c r="H886" s="51" t="s">
        <v>245</v>
      </c>
      <c r="I886" s="50" t="s">
        <v>4935</v>
      </c>
      <c r="J886" s="52" t="s">
        <v>73</v>
      </c>
      <c r="K886" s="47" t="s">
        <v>474</v>
      </c>
      <c r="L886" s="53" t="s">
        <v>4936</v>
      </c>
      <c r="M886" s="53" t="s">
        <v>4937</v>
      </c>
      <c r="N886" s="53"/>
      <c r="O886" s="54"/>
      <c r="P886" s="55" t="s">
        <v>185</v>
      </c>
      <c r="Q886" s="47" t="s">
        <v>669</v>
      </c>
      <c r="R886" s="75" t="s">
        <v>4791</v>
      </c>
      <c r="S886" s="75">
        <v>1</v>
      </c>
      <c r="T886" s="75">
        <v>0</v>
      </c>
      <c r="U886" s="56"/>
      <c r="V886" s="57">
        <v>0.13</v>
      </c>
      <c r="W886" s="68"/>
      <c r="X886" s="46"/>
      <c r="Y886" s="46"/>
      <c r="Z886" s="46"/>
      <c r="AA886" s="56"/>
      <c r="AB886" s="57"/>
      <c r="AC886" s="54">
        <v>1</v>
      </c>
      <c r="AD886" s="69">
        <f>SUM(AE886:AK886)</f>
        <v>0</v>
      </c>
      <c r="AE886" s="66"/>
      <c r="AF886" s="66"/>
      <c r="AG886" s="66"/>
      <c r="AH886" s="66"/>
      <c r="AI886" s="66"/>
      <c r="AJ886" s="66"/>
      <c r="AK886" s="66"/>
      <c r="AL886" s="54">
        <f>IF((AC886-SUM(AE886:AK886))&lt;0,0,AC886-SUM(AE886:AK886))</f>
        <v>1</v>
      </c>
      <c r="AM886" s="69">
        <f>SUM(AN886:AT886)</f>
        <v>0</v>
      </c>
      <c r="AN886" s="60"/>
      <c r="AO886" s="52"/>
      <c r="AP886" s="52"/>
      <c r="AQ886" s="52"/>
      <c r="AR886" s="52"/>
      <c r="AS886" s="52"/>
      <c r="AT886" s="61"/>
      <c r="AU886" s="66">
        <f>MAX(0,$AM886-$AC886-$AW886)</f>
        <v>0</v>
      </c>
      <c r="AV886" s="48"/>
      <c r="AW886" s="48"/>
      <c r="AX886" s="65">
        <v>0</v>
      </c>
      <c r="AY886" s="65">
        <f>IF(AND($AU886&gt;0,ISNUMBER($AX886)),$AU886*$AX886,0)</f>
        <v>0</v>
      </c>
      <c r="AZ886" s="46"/>
      <c r="BA886" s="52"/>
      <c r="BB886" s="52"/>
      <c r="BC886" s="52"/>
      <c r="BD886" s="52"/>
      <c r="BE886" s="52"/>
      <c r="BF886" s="52"/>
    </row>
    <row r="887" spans="1:58" ht="15" customHeight="1">
      <c r="A887" s="46" t="s">
        <v>4938</v>
      </c>
      <c r="B887" s="53" t="s">
        <v>4939</v>
      </c>
      <c r="C887" s="66" t="s">
        <v>70</v>
      </c>
      <c r="D887" s="67">
        <v>2</v>
      </c>
      <c r="E887" s="53" t="s">
        <v>71</v>
      </c>
      <c r="F887" s="50"/>
      <c r="G887" s="50"/>
      <c r="H887" s="51"/>
      <c r="I887" s="50" t="s">
        <v>1425</v>
      </c>
      <c r="J887" s="54" t="s">
        <v>73</v>
      </c>
      <c r="K887" s="58" t="s">
        <v>129</v>
      </c>
      <c r="L887" s="58" t="s">
        <v>1426</v>
      </c>
      <c r="M887" s="58"/>
      <c r="N887" s="58"/>
      <c r="O887" s="54"/>
      <c r="P887" s="56" t="s">
        <v>76</v>
      </c>
      <c r="Q887" s="58" t="s">
        <v>1963</v>
      </c>
      <c r="R887" s="50"/>
      <c r="S887" s="50"/>
      <c r="T887" s="50"/>
      <c r="U887" s="50"/>
      <c r="V887" s="57">
        <v>0.13</v>
      </c>
      <c r="W887" s="68"/>
      <c r="X887" s="50"/>
      <c r="Y887" s="50"/>
      <c r="Z887" s="50"/>
      <c r="AA887" s="50"/>
      <c r="AB887" s="57"/>
      <c r="AC887" s="54">
        <v>1</v>
      </c>
      <c r="AD887" s="69">
        <f>SUM(AE887:AK887)</f>
        <v>1</v>
      </c>
      <c r="AE887" s="66"/>
      <c r="AF887" s="66"/>
      <c r="AG887" s="66"/>
      <c r="AH887" s="66"/>
      <c r="AI887" s="66"/>
      <c r="AJ887" s="66">
        <v>1</v>
      </c>
      <c r="AK887" s="66"/>
      <c r="AL887" s="54">
        <f>IF((AC887-SUM(AE887:AK887))&lt;0,0,AC887-SUM(AE887:AK887))</f>
        <v>0</v>
      </c>
      <c r="AM887" s="69">
        <f>SUM(AN887:AT887)</f>
        <v>1</v>
      </c>
      <c r="AN887" s="60"/>
      <c r="AO887" s="52"/>
      <c r="AP887" s="52"/>
      <c r="AQ887" s="52"/>
      <c r="AR887" s="52"/>
      <c r="AS887" s="52">
        <v>1</v>
      </c>
      <c r="AT887" s="61"/>
      <c r="AU887" s="66">
        <f>MAX(0,$AM887-$AC887-$AW887)</f>
        <v>0</v>
      </c>
      <c r="AV887" s="66"/>
      <c r="AW887" s="66"/>
      <c r="AX887" s="65">
        <v>0</v>
      </c>
      <c r="AY887" s="65">
        <f>IF(AND($AU887&gt;0,ISNUMBER($AX887)),$AU887*$AX887,0)</f>
        <v>0</v>
      </c>
      <c r="AZ887" s="46"/>
      <c r="BA887" s="52"/>
      <c r="BB887" s="52"/>
      <c r="BC887" s="52"/>
      <c r="BD887" s="52"/>
      <c r="BE887" s="52"/>
      <c r="BF887" s="52"/>
    </row>
    <row r="888" spans="1:58" ht="15" customHeight="1">
      <c r="A888" s="46" t="s">
        <v>4940</v>
      </c>
      <c r="B888" s="47" t="s">
        <v>4941</v>
      </c>
      <c r="C888" s="48" t="s">
        <v>70</v>
      </c>
      <c r="D888" s="49">
        <v>4</v>
      </c>
      <c r="E888" s="47" t="s">
        <v>81</v>
      </c>
      <c r="F888" s="50">
        <v>4</v>
      </c>
      <c r="G888" s="50">
        <v>3</v>
      </c>
      <c r="H888" s="51" t="s">
        <v>1174</v>
      </c>
      <c r="I888" s="50" t="s">
        <v>4942</v>
      </c>
      <c r="J888" s="52" t="s">
        <v>73</v>
      </c>
      <c r="K888" s="47" t="s">
        <v>104</v>
      </c>
      <c r="L888" s="53" t="s">
        <v>4943</v>
      </c>
      <c r="M888" s="53" t="s">
        <v>4944</v>
      </c>
      <c r="N888" s="53"/>
      <c r="O888" s="54"/>
      <c r="P888" s="55" t="s">
        <v>76</v>
      </c>
      <c r="Q888" s="47" t="s">
        <v>669</v>
      </c>
      <c r="R888" s="75" t="s">
        <v>4153</v>
      </c>
      <c r="S888" s="75">
        <v>1</v>
      </c>
      <c r="T888" s="75">
        <v>0</v>
      </c>
      <c r="U888" s="56"/>
      <c r="V888" s="57">
        <v>0.12</v>
      </c>
      <c r="W888" s="68"/>
      <c r="X888" s="46"/>
      <c r="Y888" s="46"/>
      <c r="Z888" s="46"/>
      <c r="AA888" s="56"/>
      <c r="AB888" s="57"/>
      <c r="AC888" s="54">
        <v>1</v>
      </c>
      <c r="AD888" s="69">
        <f>SUM(AE888:AK888)</f>
        <v>0</v>
      </c>
      <c r="AE888" s="66"/>
      <c r="AF888" s="66"/>
      <c r="AG888" s="66"/>
      <c r="AH888" s="66"/>
      <c r="AI888" s="66"/>
      <c r="AJ888" s="66"/>
      <c r="AK888" s="66"/>
      <c r="AL888" s="54">
        <f>IF((AC888-SUM(AE888:AK888))&lt;0,0,AC888-SUM(AE888:AK888))</f>
        <v>1</v>
      </c>
      <c r="AM888" s="69">
        <f>SUM(AN888:AT888)</f>
        <v>0</v>
      </c>
      <c r="AN888" s="60"/>
      <c r="AO888" s="52"/>
      <c r="AP888" s="52"/>
      <c r="AQ888" s="52"/>
      <c r="AR888" s="52"/>
      <c r="AS888" s="52"/>
      <c r="AT888" s="61"/>
      <c r="AU888" s="66">
        <f>MAX(0,$AM888-$AC888-$AW888)</f>
        <v>0</v>
      </c>
      <c r="AV888" s="48"/>
      <c r="AW888" s="48"/>
      <c r="AX888" s="65">
        <v>0</v>
      </c>
      <c r="AY888" s="65">
        <f>IF(AND($AU888&gt;0,ISNUMBER($AX888)),$AU888*$AX888,0)</f>
        <v>0</v>
      </c>
      <c r="AZ888" s="46"/>
      <c r="BA888" s="52"/>
      <c r="BB888" s="52"/>
      <c r="BC888" s="52"/>
      <c r="BD888" s="52"/>
      <c r="BE888" s="52"/>
      <c r="BF888" s="52"/>
    </row>
    <row r="889" spans="1:58" ht="15" customHeight="1">
      <c r="A889" s="46" t="s">
        <v>4945</v>
      </c>
      <c r="B889" s="47" t="s">
        <v>4946</v>
      </c>
      <c r="C889" s="48" t="s">
        <v>109</v>
      </c>
      <c r="D889" s="49">
        <v>7</v>
      </c>
      <c r="E889" s="47" t="s">
        <v>71</v>
      </c>
      <c r="F889" s="50"/>
      <c r="G889" s="50"/>
      <c r="H889" s="51"/>
      <c r="I889" s="50" t="s">
        <v>4947</v>
      </c>
      <c r="J889" s="52" t="s">
        <v>73</v>
      </c>
      <c r="K889" s="47" t="s">
        <v>129</v>
      </c>
      <c r="L889" s="53" t="s">
        <v>4948</v>
      </c>
      <c r="M889" s="53" t="s">
        <v>4949</v>
      </c>
      <c r="N889" s="53"/>
      <c r="O889" s="54"/>
      <c r="P889" s="55" t="s">
        <v>76</v>
      </c>
      <c r="Q889" s="47" t="s">
        <v>645</v>
      </c>
      <c r="R889" s="75" t="s">
        <v>4313</v>
      </c>
      <c r="S889" s="75">
        <v>1</v>
      </c>
      <c r="T889" s="75">
        <v>0</v>
      </c>
      <c r="U889" s="56" t="s">
        <v>4950</v>
      </c>
      <c r="V889" s="57">
        <v>0.12</v>
      </c>
      <c r="W889" s="68"/>
      <c r="X889" s="46"/>
      <c r="Y889" s="46"/>
      <c r="Z889" s="46"/>
      <c r="AA889" s="56"/>
      <c r="AB889" s="57"/>
      <c r="AC889" s="54">
        <v>1</v>
      </c>
      <c r="AD889" s="69">
        <f>SUM(AE889:AK889)</f>
        <v>0</v>
      </c>
      <c r="AE889" s="66"/>
      <c r="AF889" s="66"/>
      <c r="AG889" s="66"/>
      <c r="AH889" s="66"/>
      <c r="AI889" s="66"/>
      <c r="AJ889" s="66"/>
      <c r="AK889" s="66"/>
      <c r="AL889" s="54">
        <f>IF((AC889-SUM(AE889:AK889))&lt;0,0,AC889-SUM(AE889:AK889))</f>
        <v>1</v>
      </c>
      <c r="AM889" s="69">
        <f>SUM(AN889:AT889)</f>
        <v>0</v>
      </c>
      <c r="AN889" s="60"/>
      <c r="AO889" s="52"/>
      <c r="AP889" s="52"/>
      <c r="AQ889" s="52"/>
      <c r="AR889" s="52"/>
      <c r="AS889" s="52"/>
      <c r="AT889" s="61"/>
      <c r="AU889" s="66">
        <f>MAX(0,$AM889-$AC889-$AW889)</f>
        <v>0</v>
      </c>
      <c r="AV889" s="48"/>
      <c r="AW889" s="48"/>
      <c r="AX889" s="65">
        <v>0</v>
      </c>
      <c r="AY889" s="65">
        <f>IF(AND($AU889&gt;0,ISNUMBER($AX889)),$AU889*$AX889,0)</f>
        <v>0</v>
      </c>
      <c r="AZ889" s="46"/>
      <c r="BA889" s="52"/>
      <c r="BB889" s="52"/>
      <c r="BC889" s="52"/>
      <c r="BD889" s="52"/>
      <c r="BE889" s="52"/>
      <c r="BF889" s="52"/>
    </row>
    <row r="890" spans="1:58" ht="15" customHeight="1">
      <c r="A890" s="46" t="s">
        <v>4951</v>
      </c>
      <c r="B890" s="47" t="s">
        <v>4952</v>
      </c>
      <c r="C890" s="48" t="s">
        <v>101</v>
      </c>
      <c r="D890" s="49">
        <v>2</v>
      </c>
      <c r="E890" s="47" t="s">
        <v>71</v>
      </c>
      <c r="F890" s="50"/>
      <c r="G890" s="50"/>
      <c r="H890" s="51"/>
      <c r="I890" s="50" t="s">
        <v>4953</v>
      </c>
      <c r="J890" s="52" t="s">
        <v>73</v>
      </c>
      <c r="K890" s="47" t="s">
        <v>74</v>
      </c>
      <c r="L890" s="53" t="s">
        <v>4954</v>
      </c>
      <c r="M890" s="53" t="s">
        <v>4955</v>
      </c>
      <c r="N890" s="53"/>
      <c r="O890" s="54"/>
      <c r="P890" s="55" t="s">
        <v>76</v>
      </c>
      <c r="Q890" s="47" t="s">
        <v>645</v>
      </c>
      <c r="R890" s="75" t="s">
        <v>4956</v>
      </c>
      <c r="S890" s="75">
        <v>1</v>
      </c>
      <c r="T890" s="75">
        <v>0</v>
      </c>
      <c r="U890" s="56"/>
      <c r="V890" s="57">
        <v>0.11</v>
      </c>
      <c r="W890" s="68"/>
      <c r="X890" s="46"/>
      <c r="Y890" s="46"/>
      <c r="Z890" s="46"/>
      <c r="AA890" s="56"/>
      <c r="AB890" s="57"/>
      <c r="AC890" s="54">
        <v>1</v>
      </c>
      <c r="AD890" s="69">
        <f>SUM(AE890:AK890)</f>
        <v>1</v>
      </c>
      <c r="AE890" s="66"/>
      <c r="AF890" s="66"/>
      <c r="AG890" s="66"/>
      <c r="AH890" s="66">
        <v>1</v>
      </c>
      <c r="AI890" s="66"/>
      <c r="AJ890" s="66"/>
      <c r="AK890" s="66"/>
      <c r="AL890" s="54">
        <f>IF((AC890-SUM(AE890:AK890))&lt;0,0,AC890-SUM(AE890:AK890))</f>
        <v>0</v>
      </c>
      <c r="AM890" s="69">
        <f>SUM(AN890:AT890)</f>
        <v>0</v>
      </c>
      <c r="AN890" s="60"/>
      <c r="AO890" s="52"/>
      <c r="AP890" s="52"/>
      <c r="AQ890" s="52"/>
      <c r="AR890" s="52"/>
      <c r="AS890" s="52"/>
      <c r="AT890" s="61"/>
      <c r="AU890" s="66">
        <f>MAX(0,$AM890-$AC890-$AW890)</f>
        <v>0</v>
      </c>
      <c r="AV890" s="48"/>
      <c r="AW890" s="48"/>
      <c r="AX890" s="65">
        <v>0</v>
      </c>
      <c r="AY890" s="65">
        <f>IF(AND($AU890&gt;0,ISNUMBER($AX890)),$AU890*$AX890,0)</f>
        <v>0</v>
      </c>
      <c r="AZ890" s="46"/>
      <c r="BA890" s="52"/>
      <c r="BB890" s="52"/>
      <c r="BC890" s="52" t="s">
        <v>406</v>
      </c>
      <c r="BD890" s="52"/>
      <c r="BE890" s="52"/>
      <c r="BF890" s="52"/>
    </row>
    <row r="891" spans="1:58" ht="15" customHeight="1">
      <c r="A891" s="46" t="s">
        <v>4957</v>
      </c>
      <c r="B891" s="47" t="s">
        <v>4958</v>
      </c>
      <c r="C891" s="48" t="s">
        <v>118</v>
      </c>
      <c r="D891" s="49">
        <v>4</v>
      </c>
      <c r="E891" s="47" t="s">
        <v>189</v>
      </c>
      <c r="F891" s="50"/>
      <c r="G891" s="50"/>
      <c r="H891" s="51"/>
      <c r="I891" s="50" t="s">
        <v>4959</v>
      </c>
      <c r="J891" s="52" t="s">
        <v>73</v>
      </c>
      <c r="K891" s="47" t="s">
        <v>864</v>
      </c>
      <c r="L891" s="53" t="s">
        <v>4960</v>
      </c>
      <c r="M891" s="53" t="s">
        <v>4961</v>
      </c>
      <c r="N891" s="53"/>
      <c r="O891" s="54"/>
      <c r="P891" s="55" t="s">
        <v>76</v>
      </c>
      <c r="Q891" s="47" t="s">
        <v>669</v>
      </c>
      <c r="R891" s="75" t="s">
        <v>4962</v>
      </c>
      <c r="S891" s="75">
        <v>1</v>
      </c>
      <c r="T891" s="75">
        <v>0</v>
      </c>
      <c r="U891" s="56"/>
      <c r="V891" s="57">
        <v>0.11</v>
      </c>
      <c r="W891" s="68"/>
      <c r="X891" s="46"/>
      <c r="Y891" s="46"/>
      <c r="Z891" s="46"/>
      <c r="AA891" s="56"/>
      <c r="AB891" s="57"/>
      <c r="AC891" s="54">
        <v>1</v>
      </c>
      <c r="AD891" s="69">
        <f>SUM(AE891:AK891)</f>
        <v>0</v>
      </c>
      <c r="AE891" s="66"/>
      <c r="AF891" s="66"/>
      <c r="AG891" s="66"/>
      <c r="AH891" s="66"/>
      <c r="AI891" s="66"/>
      <c r="AJ891" s="66"/>
      <c r="AK891" s="66"/>
      <c r="AL891" s="54">
        <f>IF((AC891-SUM(AE891:AK891))&lt;0,0,AC891-SUM(AE891:AK891))</f>
        <v>1</v>
      </c>
      <c r="AM891" s="69">
        <f>SUM(AN891:AT891)</f>
        <v>0</v>
      </c>
      <c r="AN891" s="60"/>
      <c r="AO891" s="52"/>
      <c r="AP891" s="52"/>
      <c r="AQ891" s="52"/>
      <c r="AR891" s="52"/>
      <c r="AS891" s="52"/>
      <c r="AT891" s="61"/>
      <c r="AU891" s="66">
        <f>MAX(0,$AM891-$AC891-$AW891)</f>
        <v>0</v>
      </c>
      <c r="AV891" s="48"/>
      <c r="AW891" s="48"/>
      <c r="AX891" s="65">
        <v>0</v>
      </c>
      <c r="AY891" s="65">
        <f>IF(AND($AU891&gt;0,ISNUMBER($AX891)),$AU891*$AX891,0)</f>
        <v>0</v>
      </c>
      <c r="AZ891" s="46"/>
      <c r="BA891" s="52"/>
      <c r="BB891" s="52"/>
      <c r="BC891" s="52"/>
      <c r="BD891" s="52"/>
      <c r="BE891" s="52"/>
      <c r="BF891" s="52"/>
    </row>
    <row r="892" spans="1:58" ht="15" customHeight="1">
      <c r="A892" s="46" t="s">
        <v>4963</v>
      </c>
      <c r="B892" s="53" t="s">
        <v>4964</v>
      </c>
      <c r="C892" s="66" t="s">
        <v>101</v>
      </c>
      <c r="D892" s="67">
        <v>1</v>
      </c>
      <c r="E892" s="53" t="s">
        <v>189</v>
      </c>
      <c r="F892" s="50"/>
      <c r="G892" s="50"/>
      <c r="H892" s="51"/>
      <c r="I892" s="50" t="s">
        <v>4965</v>
      </c>
      <c r="J892" s="54" t="s">
        <v>73</v>
      </c>
      <c r="K892" s="58" t="s">
        <v>661</v>
      </c>
      <c r="L892" s="58" t="s">
        <v>4966</v>
      </c>
      <c r="M892" s="58"/>
      <c r="N892" s="58"/>
      <c r="O892" s="54"/>
      <c r="P892" s="56" t="s">
        <v>76</v>
      </c>
      <c r="Q892" s="58" t="s">
        <v>410</v>
      </c>
      <c r="R892" s="50"/>
      <c r="S892" s="50"/>
      <c r="T892" s="50"/>
      <c r="U892" s="56"/>
      <c r="V892" s="57">
        <v>0.11</v>
      </c>
      <c r="W892" s="68"/>
      <c r="X892" s="50"/>
      <c r="Y892" s="50"/>
      <c r="Z892" s="50"/>
      <c r="AA892" s="56"/>
      <c r="AB892" s="57"/>
      <c r="AC892" s="54">
        <v>1</v>
      </c>
      <c r="AD892" s="69">
        <f>SUM(AE892:AK892)</f>
        <v>0</v>
      </c>
      <c r="AE892" s="66"/>
      <c r="AF892" s="66"/>
      <c r="AG892" s="66"/>
      <c r="AH892" s="66"/>
      <c r="AI892" s="66"/>
      <c r="AJ892" s="66"/>
      <c r="AK892" s="66"/>
      <c r="AL892" s="54">
        <f>IF((AC892-SUM(AE892:AK892))&lt;0,0,AC892-SUM(AE892:AK892))</f>
        <v>1</v>
      </c>
      <c r="AM892" s="69">
        <f>SUM(AN892:AT892)</f>
        <v>0</v>
      </c>
      <c r="AN892" s="60"/>
      <c r="AO892" s="52"/>
      <c r="AP892" s="52"/>
      <c r="AQ892" s="52"/>
      <c r="AR892" s="52"/>
      <c r="AS892" s="52"/>
      <c r="AT892" s="61"/>
      <c r="AU892" s="66">
        <f>MAX(0,$AM892-$AC892-$AW892)</f>
        <v>0</v>
      </c>
      <c r="AV892" s="66"/>
      <c r="AW892" s="66"/>
      <c r="AX892" s="65">
        <v>0</v>
      </c>
      <c r="AY892" s="65">
        <f>IF(AND($AU892&gt;0,ISNUMBER($AX892)),$AU892*$AX892,0)</f>
        <v>0</v>
      </c>
      <c r="AZ892" s="46"/>
      <c r="BA892" s="52"/>
      <c r="BB892" s="52"/>
      <c r="BC892" s="52"/>
      <c r="BD892" s="52"/>
      <c r="BE892" s="52"/>
      <c r="BF892" s="52"/>
    </row>
    <row r="893" spans="1:58" ht="15" customHeight="1">
      <c r="A893" s="46" t="s">
        <v>4967</v>
      </c>
      <c r="B893" s="47" t="s">
        <v>4968</v>
      </c>
      <c r="C893" s="48" t="s">
        <v>80</v>
      </c>
      <c r="D893" s="49">
        <v>4</v>
      </c>
      <c r="E893" s="47" t="s">
        <v>81</v>
      </c>
      <c r="F893" s="50">
        <v>3</v>
      </c>
      <c r="G893" s="50">
        <v>3</v>
      </c>
      <c r="H893" s="51" t="s">
        <v>845</v>
      </c>
      <c r="I893" s="50" t="s">
        <v>4969</v>
      </c>
      <c r="J893" s="52" t="s">
        <v>73</v>
      </c>
      <c r="K893" s="47" t="s">
        <v>1099</v>
      </c>
      <c r="L893" s="53" t="s">
        <v>4970</v>
      </c>
      <c r="M893" s="53" t="s">
        <v>4971</v>
      </c>
      <c r="N893" s="53"/>
      <c r="O893" s="54"/>
      <c r="P893" s="55" t="s">
        <v>76</v>
      </c>
      <c r="Q893" s="47" t="s">
        <v>645</v>
      </c>
      <c r="R893" s="75" t="s">
        <v>4972</v>
      </c>
      <c r="S893" s="75">
        <v>1</v>
      </c>
      <c r="T893" s="75">
        <v>0</v>
      </c>
      <c r="U893" s="56" t="s">
        <v>4973</v>
      </c>
      <c r="V893" s="57">
        <v>0.11</v>
      </c>
      <c r="W893" s="68"/>
      <c r="X893" s="46"/>
      <c r="Y893" s="46"/>
      <c r="Z893" s="46"/>
      <c r="AA893" s="56"/>
      <c r="AB893" s="57"/>
      <c r="AC893" s="54">
        <v>1</v>
      </c>
      <c r="AD893" s="69">
        <f>SUM(AE893:AK893)</f>
        <v>0</v>
      </c>
      <c r="AE893" s="66"/>
      <c r="AF893" s="66"/>
      <c r="AG893" s="66"/>
      <c r="AH893" s="66"/>
      <c r="AI893" s="66"/>
      <c r="AJ893" s="66"/>
      <c r="AK893" s="66"/>
      <c r="AL893" s="54">
        <f>IF((AC893-SUM(AE893:AK893))&lt;0,0,AC893-SUM(AE893:AK893))</f>
        <v>1</v>
      </c>
      <c r="AM893" s="69">
        <f>SUM(AN893:AT893)</f>
        <v>0</v>
      </c>
      <c r="AN893" s="60"/>
      <c r="AO893" s="52"/>
      <c r="AP893" s="52"/>
      <c r="AQ893" s="52"/>
      <c r="AR893" s="52"/>
      <c r="AS893" s="52"/>
      <c r="AT893" s="61"/>
      <c r="AU893" s="66">
        <f>MAX(0,$AM893-$AC893-$AW893)</f>
        <v>0</v>
      </c>
      <c r="AV893" s="48"/>
      <c r="AW893" s="48"/>
      <c r="AX893" s="65">
        <v>0</v>
      </c>
      <c r="AY893" s="65">
        <f>IF(AND($AU893&gt;0,ISNUMBER($AX893)),$AU893*$AX893,0)</f>
        <v>0</v>
      </c>
      <c r="AZ893" s="46"/>
      <c r="BA893" s="52"/>
      <c r="BB893" s="52"/>
      <c r="BC893" s="52"/>
      <c r="BD893" s="52"/>
      <c r="BE893" s="52"/>
      <c r="BF893" s="52"/>
    </row>
    <row r="894" spans="1:58" ht="15" customHeight="1">
      <c r="A894" s="46" t="s">
        <v>4974</v>
      </c>
      <c r="B894" s="53" t="s">
        <v>4975</v>
      </c>
      <c r="C894" s="66" t="s">
        <v>118</v>
      </c>
      <c r="D894" s="67">
        <v>3</v>
      </c>
      <c r="E894" s="53" t="s">
        <v>81</v>
      </c>
      <c r="F894" s="50">
        <v>3</v>
      </c>
      <c r="G894" s="50">
        <v>2</v>
      </c>
      <c r="H894" s="51" t="s">
        <v>1779</v>
      </c>
      <c r="I894" s="50" t="s">
        <v>4976</v>
      </c>
      <c r="J894" s="54" t="s">
        <v>73</v>
      </c>
      <c r="K894" s="58" t="s">
        <v>254</v>
      </c>
      <c r="L894" s="58" t="s">
        <v>85</v>
      </c>
      <c r="M894" s="58" t="s">
        <v>136</v>
      </c>
      <c r="N894" s="58" t="s">
        <v>605</v>
      </c>
      <c r="O894" s="54"/>
      <c r="P894" s="56" t="s">
        <v>185</v>
      </c>
      <c r="Q894" s="58" t="s">
        <v>4977</v>
      </c>
      <c r="R894" s="50"/>
      <c r="S894" s="50"/>
      <c r="T894" s="50"/>
      <c r="U894" s="50"/>
      <c r="V894" s="57">
        <v>0.11</v>
      </c>
      <c r="W894" s="68"/>
      <c r="X894" s="50"/>
      <c r="Y894" s="50"/>
      <c r="Z894" s="50"/>
      <c r="AA894" s="50"/>
      <c r="AB894" s="57"/>
      <c r="AC894" s="54">
        <v>1</v>
      </c>
      <c r="AD894" s="69">
        <f>SUM(AE894:AK894)</f>
        <v>1</v>
      </c>
      <c r="AE894" s="66"/>
      <c r="AF894" s="66">
        <v>1</v>
      </c>
      <c r="AG894" s="66"/>
      <c r="AH894" s="66"/>
      <c r="AI894" s="66"/>
      <c r="AJ894" s="66"/>
      <c r="AK894" s="66"/>
      <c r="AL894" s="54">
        <f>IF((AC894-SUM(AE894:AK894))&lt;0,0,AC894-SUM(AE894:AK894))</f>
        <v>0</v>
      </c>
      <c r="AM894" s="69">
        <f>SUM(AN894:AT894)</f>
        <v>1</v>
      </c>
      <c r="AN894" s="60"/>
      <c r="AO894" s="52">
        <v>1</v>
      </c>
      <c r="AP894" s="52"/>
      <c r="AQ894" s="52"/>
      <c r="AR894" s="52"/>
      <c r="AS894" s="52"/>
      <c r="AT894" s="61"/>
      <c r="AU894" s="66">
        <f>MAX(0,$AM894-$AC894-$AW894)</f>
        <v>0</v>
      </c>
      <c r="AV894" s="66"/>
      <c r="AW894" s="66"/>
      <c r="AX894" s="65">
        <v>0</v>
      </c>
      <c r="AY894" s="65">
        <f>IF(AND($AU894&gt;0,ISNUMBER($AX894)),$AU894*$AX894,0)</f>
        <v>0</v>
      </c>
      <c r="AZ894" s="46"/>
      <c r="BA894" s="52"/>
      <c r="BB894" s="52"/>
      <c r="BC894" s="52"/>
      <c r="BD894" s="52"/>
      <c r="BE894" s="52"/>
      <c r="BF894" s="52"/>
    </row>
    <row r="895" spans="1:58" ht="15" customHeight="1">
      <c r="A895" s="46" t="s">
        <v>4978</v>
      </c>
      <c r="B895" s="47" t="s">
        <v>4979</v>
      </c>
      <c r="C895" s="48" t="s">
        <v>181</v>
      </c>
      <c r="D895" s="49">
        <v>4</v>
      </c>
      <c r="E895" s="47" t="s">
        <v>189</v>
      </c>
      <c r="F895" s="50"/>
      <c r="G895" s="50"/>
      <c r="H895" s="51"/>
      <c r="I895" s="50" t="s">
        <v>4980</v>
      </c>
      <c r="J895" s="52" t="s">
        <v>73</v>
      </c>
      <c r="K895" s="47" t="s">
        <v>135</v>
      </c>
      <c r="L895" s="53" t="s">
        <v>1074</v>
      </c>
      <c r="M895" s="53"/>
      <c r="N895" s="53"/>
      <c r="O895" s="54"/>
      <c r="P895" s="55" t="s">
        <v>76</v>
      </c>
      <c r="Q895" s="47" t="s">
        <v>645</v>
      </c>
      <c r="R895" s="75" t="s">
        <v>4981</v>
      </c>
      <c r="S895" s="75">
        <v>1</v>
      </c>
      <c r="T895" s="75">
        <v>0</v>
      </c>
      <c r="U895" s="56"/>
      <c r="V895" s="57">
        <v>0.11</v>
      </c>
      <c r="W895" s="68"/>
      <c r="X895" s="46"/>
      <c r="Y895" s="46"/>
      <c r="Z895" s="46"/>
      <c r="AA895" s="56"/>
      <c r="AB895" s="57"/>
      <c r="AC895" s="54">
        <v>1</v>
      </c>
      <c r="AD895" s="69">
        <f>SUM(AE895:AK895)</f>
        <v>0</v>
      </c>
      <c r="AE895" s="66"/>
      <c r="AF895" s="66"/>
      <c r="AG895" s="66"/>
      <c r="AH895" s="66"/>
      <c r="AI895" s="66"/>
      <c r="AJ895" s="66"/>
      <c r="AK895" s="66"/>
      <c r="AL895" s="54">
        <f>IF((AC895-SUM(AE895:AK895))&lt;0,0,AC895-SUM(AE895:AK895))</f>
        <v>1</v>
      </c>
      <c r="AM895" s="69">
        <f>SUM(AN895:AT895)</f>
        <v>0</v>
      </c>
      <c r="AN895" s="60"/>
      <c r="AO895" s="52"/>
      <c r="AP895" s="52"/>
      <c r="AQ895" s="52"/>
      <c r="AR895" s="52"/>
      <c r="AS895" s="52"/>
      <c r="AT895" s="61"/>
      <c r="AU895" s="66">
        <f>MAX(0,$AM895-$AC895-$AW895)</f>
        <v>0</v>
      </c>
      <c r="AV895" s="48"/>
      <c r="AW895" s="48"/>
      <c r="AX895" s="65">
        <v>0</v>
      </c>
      <c r="AY895" s="65">
        <f>IF(AND($AU895&gt;0,ISNUMBER($AX895)),$AU895*$AX895,0)</f>
        <v>0</v>
      </c>
      <c r="AZ895" s="46"/>
      <c r="BA895" s="52"/>
      <c r="BB895" s="52"/>
      <c r="BC895" s="52"/>
      <c r="BD895" s="52"/>
      <c r="BE895" s="52"/>
      <c r="BF895" s="52"/>
    </row>
    <row r="896" spans="1:58" ht="15" customHeight="1">
      <c r="A896" s="46" t="s">
        <v>4982</v>
      </c>
      <c r="B896" s="47" t="s">
        <v>4983</v>
      </c>
      <c r="C896" s="48" t="s">
        <v>109</v>
      </c>
      <c r="D896" s="49">
        <v>2</v>
      </c>
      <c r="E896" s="47" t="s">
        <v>233</v>
      </c>
      <c r="F896" s="50"/>
      <c r="G896" s="50"/>
      <c r="H896" s="51" t="s">
        <v>519</v>
      </c>
      <c r="I896" s="50" t="s">
        <v>4984</v>
      </c>
      <c r="J896" s="52" t="s">
        <v>73</v>
      </c>
      <c r="K896" s="47" t="s">
        <v>129</v>
      </c>
      <c r="L896" s="53" t="s">
        <v>4985</v>
      </c>
      <c r="M896" s="53"/>
      <c r="N896" s="53"/>
      <c r="O896" s="54"/>
      <c r="P896" s="55" t="s">
        <v>76</v>
      </c>
      <c r="Q896" s="47" t="s">
        <v>633</v>
      </c>
      <c r="R896" s="75" t="s">
        <v>4986</v>
      </c>
      <c r="S896" s="75">
        <v>1</v>
      </c>
      <c r="T896" s="75">
        <v>0</v>
      </c>
      <c r="U896" s="56" t="s">
        <v>765</v>
      </c>
      <c r="V896" s="63">
        <v>0.11</v>
      </c>
      <c r="W896" s="64"/>
      <c r="X896" s="46"/>
      <c r="Y896" s="46"/>
      <c r="Z896" s="46"/>
      <c r="AA896" s="56"/>
      <c r="AB896" s="63"/>
      <c r="AC896" s="52">
        <v>1</v>
      </c>
      <c r="AD896" s="69">
        <f>SUM(AE896:AK896)</f>
        <v>0</v>
      </c>
      <c r="AE896" s="66"/>
      <c r="AF896" s="66"/>
      <c r="AG896" s="66"/>
      <c r="AH896" s="66"/>
      <c r="AI896" s="66"/>
      <c r="AJ896" s="66"/>
      <c r="AK896" s="66"/>
      <c r="AL896" s="54">
        <f>IF((AC896-SUM(AE896:AK896))&lt;0,0,AC896-SUM(AE896:AK896))</f>
        <v>1</v>
      </c>
      <c r="AM896" s="69">
        <f>SUM(AN896:AT896)</f>
        <v>0</v>
      </c>
      <c r="AN896" s="60"/>
      <c r="AO896" s="52"/>
      <c r="AP896" s="52"/>
      <c r="AQ896" s="52"/>
      <c r="AR896" s="52"/>
      <c r="AS896" s="52"/>
      <c r="AT896" s="61"/>
      <c r="AU896" s="66">
        <f>MAX(0,$AM896-$AC896-$AW896)</f>
        <v>0</v>
      </c>
      <c r="AV896" s="48"/>
      <c r="AW896" s="48"/>
      <c r="AX896" s="65">
        <v>0</v>
      </c>
      <c r="AY896" s="65">
        <f>IF(AND($AU896&gt;0,ISNUMBER($AX896)),$AU896*$AX896,0)</f>
        <v>0</v>
      </c>
      <c r="AZ896" s="46"/>
      <c r="BA896" s="52"/>
      <c r="BB896" s="52"/>
      <c r="BC896" s="52"/>
      <c r="BD896" s="52"/>
      <c r="BE896" s="52"/>
      <c r="BF896" s="52"/>
    </row>
    <row r="897" spans="1:58" ht="15" customHeight="1">
      <c r="A897" s="46" t="s">
        <v>4987</v>
      </c>
      <c r="B897" s="53" t="s">
        <v>4988</v>
      </c>
      <c r="C897" s="66" t="s">
        <v>70</v>
      </c>
      <c r="D897" s="67">
        <v>3</v>
      </c>
      <c r="E897" s="53" t="s">
        <v>71</v>
      </c>
      <c r="F897" s="50"/>
      <c r="G897" s="50"/>
      <c r="H897" s="51"/>
      <c r="I897" s="50" t="s">
        <v>4989</v>
      </c>
      <c r="J897" s="54" t="s">
        <v>73</v>
      </c>
      <c r="K897" s="58" t="s">
        <v>129</v>
      </c>
      <c r="L897" s="58" t="s">
        <v>4990</v>
      </c>
      <c r="M897" s="58"/>
      <c r="N897" s="58"/>
      <c r="O897" s="54"/>
      <c r="P897" s="56" t="s">
        <v>76</v>
      </c>
      <c r="Q897" s="58" t="s">
        <v>410</v>
      </c>
      <c r="R897" s="50"/>
      <c r="S897" s="50"/>
      <c r="T897" s="50"/>
      <c r="U897" s="50"/>
      <c r="V897" s="57">
        <v>0.11</v>
      </c>
      <c r="W897" s="68"/>
      <c r="X897" s="50"/>
      <c r="Y897" s="50"/>
      <c r="Z897" s="50"/>
      <c r="AA897" s="50"/>
      <c r="AB897" s="57"/>
      <c r="AC897" s="54">
        <v>1</v>
      </c>
      <c r="AD897" s="69">
        <f>SUM(AE897:AK897)</f>
        <v>1</v>
      </c>
      <c r="AE897" s="66"/>
      <c r="AF897" s="66"/>
      <c r="AG897" s="66"/>
      <c r="AH897" s="66"/>
      <c r="AI897" s="66"/>
      <c r="AJ897" s="66">
        <v>1</v>
      </c>
      <c r="AK897" s="66"/>
      <c r="AL897" s="54">
        <f>IF((AC897-SUM(AE897:AK897))&lt;0,0,AC897-SUM(AE897:AK897))</f>
        <v>0</v>
      </c>
      <c r="AM897" s="69">
        <f>SUM(AN897:AT897)</f>
        <v>1</v>
      </c>
      <c r="AN897" s="60"/>
      <c r="AO897" s="52"/>
      <c r="AP897" s="52"/>
      <c r="AQ897" s="52"/>
      <c r="AR897" s="52"/>
      <c r="AS897" s="52">
        <v>1</v>
      </c>
      <c r="AT897" s="61"/>
      <c r="AU897" s="66">
        <f>MAX(0,$AM897-$AC897-$AW897)</f>
        <v>0</v>
      </c>
      <c r="AV897" s="66"/>
      <c r="AW897" s="66"/>
      <c r="AX897" s="65">
        <v>0</v>
      </c>
      <c r="AY897" s="65">
        <f>IF(AND($AU897&gt;0,ISNUMBER($AX897)),$AU897*$AX897,0)</f>
        <v>0</v>
      </c>
      <c r="AZ897" s="46"/>
      <c r="BA897" s="52"/>
      <c r="BB897" s="52"/>
      <c r="BC897" s="52"/>
      <c r="BD897" s="52"/>
      <c r="BE897" s="52"/>
      <c r="BF897" s="52"/>
    </row>
    <row r="898" spans="1:58" ht="15" customHeight="1">
      <c r="A898" s="46" t="s">
        <v>4991</v>
      </c>
      <c r="B898" s="53" t="s">
        <v>4992</v>
      </c>
      <c r="C898" s="66" t="s">
        <v>118</v>
      </c>
      <c r="D898" s="67">
        <v>2</v>
      </c>
      <c r="E898" s="53" t="s">
        <v>189</v>
      </c>
      <c r="F898" s="50"/>
      <c r="G898" s="50"/>
      <c r="H898" s="51"/>
      <c r="I898" s="50" t="s">
        <v>4993</v>
      </c>
      <c r="J898" s="54" t="s">
        <v>73</v>
      </c>
      <c r="K898" s="58" t="s">
        <v>726</v>
      </c>
      <c r="L898" s="58" t="s">
        <v>4994</v>
      </c>
      <c r="M898" s="58"/>
      <c r="N898" s="58"/>
      <c r="O898" s="54"/>
      <c r="P898" s="56" t="s">
        <v>76</v>
      </c>
      <c r="Q898" s="58" t="s">
        <v>452</v>
      </c>
      <c r="R898" s="50"/>
      <c r="S898" s="50"/>
      <c r="T898" s="50"/>
      <c r="U898" s="56"/>
      <c r="V898" s="57">
        <v>0.1</v>
      </c>
      <c r="W898" s="68"/>
      <c r="X898" s="50"/>
      <c r="Y898" s="50"/>
      <c r="Z898" s="50"/>
      <c r="AA898" s="56"/>
      <c r="AB898" s="57"/>
      <c r="AC898" s="54">
        <v>1</v>
      </c>
      <c r="AD898" s="69">
        <f>SUM(AE898:AK898)</f>
        <v>0</v>
      </c>
      <c r="AE898" s="66"/>
      <c r="AF898" s="66"/>
      <c r="AG898" s="66"/>
      <c r="AH898" s="66"/>
      <c r="AI898" s="66"/>
      <c r="AJ898" s="66"/>
      <c r="AK898" s="66"/>
      <c r="AL898" s="54">
        <f>IF((AC898-SUM(AE898:AK898))&lt;0,0,AC898-SUM(AE898:AK898))</f>
        <v>1</v>
      </c>
      <c r="AM898" s="69">
        <f>SUM(AN898:AT898)</f>
        <v>0</v>
      </c>
      <c r="AN898" s="60"/>
      <c r="AO898" s="52"/>
      <c r="AP898" s="52"/>
      <c r="AQ898" s="52"/>
      <c r="AR898" s="52"/>
      <c r="AS898" s="52"/>
      <c r="AT898" s="61"/>
      <c r="AU898" s="66">
        <f>MAX(0,$AM898-$AC898-$AW898)</f>
        <v>0</v>
      </c>
      <c r="AV898" s="66"/>
      <c r="AW898" s="66"/>
      <c r="AX898" s="65">
        <v>0</v>
      </c>
      <c r="AY898" s="65">
        <f>IF(AND($AU898&gt;0,ISNUMBER($AX898)),$AU898*$AX898,0)</f>
        <v>0</v>
      </c>
      <c r="AZ898" s="46"/>
      <c r="BA898" s="52"/>
      <c r="BB898" s="52"/>
      <c r="BC898" s="52"/>
      <c r="BD898" s="52"/>
      <c r="BE898" s="52"/>
      <c r="BF898" s="52"/>
    </row>
    <row r="899" spans="1:58" ht="15" customHeight="1">
      <c r="A899" s="46" t="s">
        <v>4995</v>
      </c>
      <c r="B899" s="53" t="s">
        <v>4996</v>
      </c>
      <c r="C899" s="66" t="s">
        <v>118</v>
      </c>
      <c r="D899" s="67">
        <v>3</v>
      </c>
      <c r="E899" s="53" t="s">
        <v>81</v>
      </c>
      <c r="F899" s="50">
        <v>2</v>
      </c>
      <c r="G899" s="50">
        <v>3</v>
      </c>
      <c r="H899" s="51" t="s">
        <v>4997</v>
      </c>
      <c r="I899" s="50" t="s">
        <v>4998</v>
      </c>
      <c r="J899" s="54" t="s">
        <v>73</v>
      </c>
      <c r="K899" s="58" t="s">
        <v>864</v>
      </c>
      <c r="L899" s="58" t="s">
        <v>4999</v>
      </c>
      <c r="M899" s="58" t="s">
        <v>5000</v>
      </c>
      <c r="N899" s="58"/>
      <c r="O899" s="54"/>
      <c r="P899" s="56" t="s">
        <v>76</v>
      </c>
      <c r="Q899" s="58" t="s">
        <v>1089</v>
      </c>
      <c r="R899" s="50"/>
      <c r="S899" s="50"/>
      <c r="T899" s="50"/>
      <c r="U899" s="56"/>
      <c r="V899" s="57">
        <v>0.1</v>
      </c>
      <c r="W899" s="68"/>
      <c r="X899" s="50"/>
      <c r="Y899" s="50"/>
      <c r="Z899" s="50"/>
      <c r="AA899" s="56"/>
      <c r="AB899" s="57"/>
      <c r="AC899" s="54">
        <v>1</v>
      </c>
      <c r="AD899" s="69">
        <f>SUM(AE899:AK899)</f>
        <v>0</v>
      </c>
      <c r="AE899" s="66"/>
      <c r="AF899" s="66"/>
      <c r="AG899" s="66"/>
      <c r="AH899" s="66"/>
      <c r="AI899" s="66"/>
      <c r="AJ899" s="66"/>
      <c r="AK899" s="66"/>
      <c r="AL899" s="54">
        <f>IF((AC899-SUM(AE899:AK899))&lt;0,0,AC899-SUM(AE899:AK899))</f>
        <v>1</v>
      </c>
      <c r="AM899" s="69">
        <f>SUM(AN899:AT899)</f>
        <v>0</v>
      </c>
      <c r="AN899" s="60"/>
      <c r="AO899" s="52"/>
      <c r="AP899" s="52"/>
      <c r="AQ899" s="52"/>
      <c r="AR899" s="52"/>
      <c r="AS899" s="52"/>
      <c r="AT899" s="61"/>
      <c r="AU899" s="66">
        <f>MAX(0,$AM899-$AC899-$AW899)</f>
        <v>0</v>
      </c>
      <c r="AV899" s="66"/>
      <c r="AW899" s="66"/>
      <c r="AX899" s="65">
        <v>0</v>
      </c>
      <c r="AY899" s="65">
        <f>IF(AND($AU899&gt;0,ISNUMBER($AX899)),$AU899*$AX899,0)</f>
        <v>0</v>
      </c>
      <c r="AZ899" s="46"/>
      <c r="BA899" s="52"/>
      <c r="BB899" s="52"/>
      <c r="BC899" s="52"/>
      <c r="BD899" s="52"/>
      <c r="BE899" s="52"/>
      <c r="BF899" s="52"/>
    </row>
    <row r="900" spans="1:58" ht="15" customHeight="1">
      <c r="A900" s="46" t="s">
        <v>5001</v>
      </c>
      <c r="B900" s="47" t="s">
        <v>5002</v>
      </c>
      <c r="C900" s="48" t="s">
        <v>80</v>
      </c>
      <c r="D900" s="49">
        <v>2</v>
      </c>
      <c r="E900" s="47" t="s">
        <v>81</v>
      </c>
      <c r="F900" s="50">
        <v>2</v>
      </c>
      <c r="G900" s="50">
        <v>2</v>
      </c>
      <c r="H900" s="51" t="s">
        <v>5003</v>
      </c>
      <c r="I900" s="50" t="s">
        <v>5004</v>
      </c>
      <c r="J900" s="52" t="s">
        <v>73</v>
      </c>
      <c r="K900" s="47" t="s">
        <v>2888</v>
      </c>
      <c r="L900" s="53" t="s">
        <v>5005</v>
      </c>
      <c r="M900" s="53"/>
      <c r="N900" s="53"/>
      <c r="O900" s="54"/>
      <c r="P900" s="55" t="s">
        <v>76</v>
      </c>
      <c r="Q900" s="47" t="s">
        <v>633</v>
      </c>
      <c r="R900" s="75" t="s">
        <v>5006</v>
      </c>
      <c r="S900" s="75">
        <v>1</v>
      </c>
      <c r="T900" s="75">
        <v>0</v>
      </c>
      <c r="U900" s="56"/>
      <c r="V900" s="57">
        <v>0.1</v>
      </c>
      <c r="W900" s="68"/>
      <c r="X900" s="46"/>
      <c r="Y900" s="46"/>
      <c r="Z900" s="46"/>
      <c r="AA900" s="56"/>
      <c r="AB900" s="57"/>
      <c r="AC900" s="54">
        <v>1</v>
      </c>
      <c r="AD900" s="69">
        <f>SUM(AE900:AK900)</f>
        <v>1</v>
      </c>
      <c r="AE900" s="66"/>
      <c r="AF900" s="66"/>
      <c r="AG900" s="66"/>
      <c r="AH900" s="66"/>
      <c r="AI900" s="66"/>
      <c r="AJ900" s="66"/>
      <c r="AK900" s="66">
        <v>1</v>
      </c>
      <c r="AL900" s="54">
        <f>IF((AC900-SUM(AE900:AK900))&lt;0,0,AC900-SUM(AE900:AK900))</f>
        <v>0</v>
      </c>
      <c r="AM900" s="69">
        <f>SUM(AN900:AT900)</f>
        <v>1</v>
      </c>
      <c r="AN900" s="60"/>
      <c r="AO900" s="52"/>
      <c r="AP900" s="52"/>
      <c r="AQ900" s="52"/>
      <c r="AR900" s="52"/>
      <c r="AS900" s="52"/>
      <c r="AT900" s="61">
        <v>1</v>
      </c>
      <c r="AU900" s="66">
        <f>MAX(0,$AM900-$AC900-$AW900)</f>
        <v>0</v>
      </c>
      <c r="AV900" s="48"/>
      <c r="AW900" s="48"/>
      <c r="AX900" s="65">
        <v>0</v>
      </c>
      <c r="AY900" s="65">
        <f>IF(AND($AU900&gt;0,ISNUMBER($AX900)),$AU900*$AX900,0)</f>
        <v>0</v>
      </c>
      <c r="AZ900" s="46"/>
      <c r="BA900" s="52"/>
      <c r="BB900" s="52"/>
      <c r="BC900" s="52"/>
      <c r="BD900" s="52"/>
      <c r="BE900" s="52"/>
      <c r="BF900" s="52"/>
    </row>
    <row r="901" spans="1:58" ht="15" customHeight="1">
      <c r="A901" s="46" t="s">
        <v>5007</v>
      </c>
      <c r="B901" s="47" t="s">
        <v>5008</v>
      </c>
      <c r="C901" s="48" t="s">
        <v>80</v>
      </c>
      <c r="D901" s="49">
        <v>7</v>
      </c>
      <c r="E901" s="47" t="s">
        <v>189</v>
      </c>
      <c r="F901" s="50"/>
      <c r="G901" s="50"/>
      <c r="H901" s="51"/>
      <c r="I901" s="50" t="s">
        <v>5009</v>
      </c>
      <c r="J901" s="52" t="s">
        <v>73</v>
      </c>
      <c r="K901" s="47" t="s">
        <v>98</v>
      </c>
      <c r="L901" s="53" t="s">
        <v>5010</v>
      </c>
      <c r="M901" s="53" t="s">
        <v>5011</v>
      </c>
      <c r="N901" s="53" t="s">
        <v>590</v>
      </c>
      <c r="O901" s="54"/>
      <c r="P901" s="55" t="s">
        <v>185</v>
      </c>
      <c r="Q901" s="47" t="s">
        <v>669</v>
      </c>
      <c r="R901" s="75" t="s">
        <v>5012</v>
      </c>
      <c r="S901" s="75">
        <v>1</v>
      </c>
      <c r="T901" s="75">
        <v>0</v>
      </c>
      <c r="U901" s="56"/>
      <c r="V901" s="57">
        <v>0.1</v>
      </c>
      <c r="W901" s="68"/>
      <c r="X901" s="46"/>
      <c r="Y901" s="46"/>
      <c r="Z901" s="46"/>
      <c r="AA901" s="56"/>
      <c r="AB901" s="57"/>
      <c r="AC901" s="54">
        <v>1</v>
      </c>
      <c r="AD901" s="69">
        <f>SUM(AE901:AK901)</f>
        <v>0</v>
      </c>
      <c r="AE901" s="66"/>
      <c r="AF901" s="66"/>
      <c r="AG901" s="66"/>
      <c r="AH901" s="66"/>
      <c r="AI901" s="66"/>
      <c r="AJ901" s="66"/>
      <c r="AK901" s="66"/>
      <c r="AL901" s="54">
        <f>IF((AC901-SUM(AE901:AK901))&lt;0,0,AC901-SUM(AE901:AK901))</f>
        <v>1</v>
      </c>
      <c r="AM901" s="69">
        <f>SUM(AN901:AT901)</f>
        <v>0</v>
      </c>
      <c r="AN901" s="60"/>
      <c r="AO901" s="52"/>
      <c r="AP901" s="52"/>
      <c r="AQ901" s="52"/>
      <c r="AR901" s="52"/>
      <c r="AS901" s="52"/>
      <c r="AT901" s="61"/>
      <c r="AU901" s="66">
        <f>MAX(0,$AM901-$AC901-$AW901)</f>
        <v>0</v>
      </c>
      <c r="AV901" s="48"/>
      <c r="AW901" s="48"/>
      <c r="AX901" s="65">
        <v>0</v>
      </c>
      <c r="AY901" s="65">
        <f>IF(AND($AU901&gt;0,ISNUMBER($AX901)),$AU901*$AX901,0)</f>
        <v>0</v>
      </c>
      <c r="AZ901" s="46"/>
      <c r="BA901" s="52"/>
      <c r="BB901" s="52"/>
      <c r="BC901" s="52"/>
      <c r="BD901" s="52"/>
      <c r="BE901" s="52"/>
      <c r="BF901" s="52"/>
    </row>
    <row r="902" spans="1:58" ht="15" customHeight="1">
      <c r="A902" s="46" t="s">
        <v>5013</v>
      </c>
      <c r="B902" s="47" t="s">
        <v>5014</v>
      </c>
      <c r="C902" s="48" t="s">
        <v>70</v>
      </c>
      <c r="D902" s="49">
        <v>2</v>
      </c>
      <c r="E902" s="47" t="s">
        <v>81</v>
      </c>
      <c r="F902" s="50">
        <v>2</v>
      </c>
      <c r="G902" s="50">
        <v>2</v>
      </c>
      <c r="H902" s="51" t="s">
        <v>1572</v>
      </c>
      <c r="I902" s="50" t="s">
        <v>5015</v>
      </c>
      <c r="J902" s="52" t="s">
        <v>73</v>
      </c>
      <c r="K902" s="47" t="s">
        <v>2741</v>
      </c>
      <c r="L902" s="53" t="s">
        <v>5016</v>
      </c>
      <c r="M902" s="53"/>
      <c r="N902" s="53"/>
      <c r="O902" s="54"/>
      <c r="P902" s="55" t="s">
        <v>76</v>
      </c>
      <c r="Q902" s="47" t="s">
        <v>669</v>
      </c>
      <c r="R902" s="75" t="s">
        <v>1055</v>
      </c>
      <c r="S902" s="75">
        <v>1</v>
      </c>
      <c r="T902" s="75">
        <v>0</v>
      </c>
      <c r="U902" s="56"/>
      <c r="V902" s="57">
        <v>0.1</v>
      </c>
      <c r="W902" s="68"/>
      <c r="X902" s="46"/>
      <c r="Y902" s="46"/>
      <c r="Z902" s="46"/>
      <c r="AA902" s="56"/>
      <c r="AB902" s="57"/>
      <c r="AC902" s="54">
        <v>1</v>
      </c>
      <c r="AD902" s="69">
        <f>SUM(AE902:AK902)</f>
        <v>0</v>
      </c>
      <c r="AE902" s="66"/>
      <c r="AF902" s="66"/>
      <c r="AG902" s="66"/>
      <c r="AH902" s="66"/>
      <c r="AI902" s="66"/>
      <c r="AJ902" s="66"/>
      <c r="AK902" s="66"/>
      <c r="AL902" s="54">
        <f>IF((AC902-SUM(AE902:AK902))&lt;0,0,AC902-SUM(AE902:AK902))</f>
        <v>1</v>
      </c>
      <c r="AM902" s="69">
        <f>SUM(AN902:AT902)</f>
        <v>0</v>
      </c>
      <c r="AN902" s="60"/>
      <c r="AO902" s="52"/>
      <c r="AP902" s="52"/>
      <c r="AQ902" s="52"/>
      <c r="AR902" s="52"/>
      <c r="AS902" s="52"/>
      <c r="AT902" s="61"/>
      <c r="AU902" s="66">
        <f>MAX(0,$AM902-$AC902-$AW902)</f>
        <v>0</v>
      </c>
      <c r="AV902" s="48"/>
      <c r="AW902" s="48"/>
      <c r="AX902" s="65">
        <v>0</v>
      </c>
      <c r="AY902" s="65">
        <f>IF(AND($AU902&gt;0,ISNUMBER($AX902)),$AU902*$AX902,0)</f>
        <v>0</v>
      </c>
      <c r="AZ902" s="46"/>
      <c r="BA902" s="52"/>
      <c r="BB902" s="52"/>
      <c r="BC902" s="52"/>
      <c r="BD902" s="52"/>
      <c r="BE902" s="52"/>
      <c r="BF902" s="52"/>
    </row>
    <row r="903" spans="1:58" ht="15" customHeight="1">
      <c r="A903" s="46" t="s">
        <v>5017</v>
      </c>
      <c r="B903" s="53" t="s">
        <v>5018</v>
      </c>
      <c r="C903" s="66" t="s">
        <v>118</v>
      </c>
      <c r="D903" s="67">
        <v>2</v>
      </c>
      <c r="E903" s="53" t="s">
        <v>81</v>
      </c>
      <c r="F903" s="50">
        <v>2</v>
      </c>
      <c r="G903" s="50">
        <v>2</v>
      </c>
      <c r="H903" s="51" t="s">
        <v>4039</v>
      </c>
      <c r="I903" s="50" t="s">
        <v>5019</v>
      </c>
      <c r="J903" s="54" t="s">
        <v>73</v>
      </c>
      <c r="K903" s="58" t="s">
        <v>864</v>
      </c>
      <c r="L903" s="58" t="s">
        <v>5020</v>
      </c>
      <c r="M903" s="58"/>
      <c r="N903" s="58"/>
      <c r="O903" s="54"/>
      <c r="P903" s="56" t="s">
        <v>76</v>
      </c>
      <c r="Q903" s="58" t="s">
        <v>669</v>
      </c>
      <c r="R903" s="50"/>
      <c r="S903" s="50"/>
      <c r="T903" s="50"/>
      <c r="U903" s="56"/>
      <c r="V903" s="57">
        <v>0.09</v>
      </c>
      <c r="W903" s="68"/>
      <c r="X903" s="50"/>
      <c r="Y903" s="50"/>
      <c r="Z903" s="50"/>
      <c r="AA903" s="56"/>
      <c r="AB903" s="57"/>
      <c r="AC903" s="54">
        <v>1</v>
      </c>
      <c r="AD903" s="69">
        <f>SUM(AE903:AK903)</f>
        <v>0</v>
      </c>
      <c r="AE903" s="66"/>
      <c r="AF903" s="66"/>
      <c r="AG903" s="66"/>
      <c r="AH903" s="66"/>
      <c r="AI903" s="66"/>
      <c r="AJ903" s="66"/>
      <c r="AK903" s="66"/>
      <c r="AL903" s="54">
        <f>IF((AC903-SUM(AE903:AK903))&lt;0,0,AC903-SUM(AE903:AK903))</f>
        <v>1</v>
      </c>
      <c r="AM903" s="69">
        <f>SUM(AN903:AT903)</f>
        <v>0</v>
      </c>
      <c r="AN903" s="60"/>
      <c r="AO903" s="52"/>
      <c r="AP903" s="52"/>
      <c r="AQ903" s="52"/>
      <c r="AR903" s="52"/>
      <c r="AS903" s="52"/>
      <c r="AT903" s="61"/>
      <c r="AU903" s="66">
        <f>MAX(0,$AM903-$AC903-$AW903)</f>
        <v>0</v>
      </c>
      <c r="AV903" s="66"/>
      <c r="AW903" s="66"/>
      <c r="AX903" s="65">
        <v>0</v>
      </c>
      <c r="AY903" s="65">
        <f>IF(AND($AU903&gt;0,ISNUMBER($AX903)),$AU903*$AX903,0)</f>
        <v>0</v>
      </c>
      <c r="AZ903" s="46"/>
      <c r="BA903" s="52"/>
      <c r="BB903" s="52"/>
      <c r="BC903" s="52"/>
      <c r="BD903" s="52"/>
      <c r="BE903" s="52"/>
      <c r="BF903" s="52"/>
    </row>
    <row r="904" spans="1:58" ht="15" customHeight="1">
      <c r="A904" s="46" t="s">
        <v>5021</v>
      </c>
      <c r="B904" s="50" t="s">
        <v>5022</v>
      </c>
      <c r="C904" s="54" t="s">
        <v>118</v>
      </c>
      <c r="D904" s="74">
        <v>3</v>
      </c>
      <c r="E904" s="83" t="s">
        <v>81</v>
      </c>
      <c r="F904" s="50">
        <v>4</v>
      </c>
      <c r="G904" s="50">
        <v>4</v>
      </c>
      <c r="H904" s="51" t="s">
        <v>4039</v>
      </c>
      <c r="I904" s="50" t="s">
        <v>5023</v>
      </c>
      <c r="J904" s="84" t="s">
        <v>73</v>
      </c>
      <c r="K904" s="56" t="s">
        <v>661</v>
      </c>
      <c r="L904" s="56" t="s">
        <v>1580</v>
      </c>
      <c r="M904" s="56" t="s">
        <v>5024</v>
      </c>
      <c r="N904" s="56"/>
      <c r="O904" s="54"/>
      <c r="P904" s="56" t="s">
        <v>76</v>
      </c>
      <c r="Q904" s="85" t="s">
        <v>669</v>
      </c>
      <c r="R904" s="50"/>
      <c r="S904" s="50"/>
      <c r="T904" s="50"/>
      <c r="U904" s="56"/>
      <c r="V904" s="57">
        <v>0.09</v>
      </c>
      <c r="W904" s="68"/>
      <c r="X904" s="50"/>
      <c r="Y904" s="50"/>
      <c r="Z904" s="50"/>
      <c r="AA904" s="56"/>
      <c r="AB904" s="57"/>
      <c r="AC904" s="54">
        <v>1</v>
      </c>
      <c r="AD904" s="69">
        <f>SUM(AE904:AK904)</f>
        <v>0</v>
      </c>
      <c r="AE904" s="66"/>
      <c r="AF904" s="66"/>
      <c r="AG904" s="66"/>
      <c r="AH904" s="66"/>
      <c r="AI904" s="66"/>
      <c r="AJ904" s="66"/>
      <c r="AK904" s="66"/>
      <c r="AL904" s="54">
        <f>IF((AC904-SUM(AE904:AK904))&lt;0,0,AC904-SUM(AE904:AK904))</f>
        <v>1</v>
      </c>
      <c r="AM904" s="69">
        <f>SUM(AN904:AT904)</f>
        <v>0</v>
      </c>
      <c r="AN904" s="60"/>
      <c r="AO904" s="52"/>
      <c r="AP904" s="52"/>
      <c r="AQ904" s="52"/>
      <c r="AR904" s="52"/>
      <c r="AS904" s="52"/>
      <c r="AT904" s="61"/>
      <c r="AU904" s="66">
        <f>MAX(0,$AM904-$AC904-$AW904)</f>
        <v>0</v>
      </c>
      <c r="AV904" s="54"/>
      <c r="AW904" s="54"/>
      <c r="AX904" s="65">
        <v>0</v>
      </c>
      <c r="AY904" s="65">
        <f>IF(AND($AU904&gt;0,ISNUMBER($AX904)),$AU904*$AX904,0)</f>
        <v>0</v>
      </c>
      <c r="AZ904" s="46"/>
      <c r="BA904" s="52"/>
      <c r="BB904" s="52"/>
      <c r="BC904" s="52"/>
      <c r="BD904" s="52"/>
      <c r="BE904" s="52"/>
      <c r="BF904" s="52"/>
    </row>
    <row r="905" spans="1:58" ht="15" customHeight="1">
      <c r="A905" s="46" t="s">
        <v>5025</v>
      </c>
      <c r="B905" s="50" t="s">
        <v>5026</v>
      </c>
      <c r="C905" s="54" t="s">
        <v>80</v>
      </c>
      <c r="D905" s="74">
        <v>2</v>
      </c>
      <c r="E905" s="83" t="s">
        <v>81</v>
      </c>
      <c r="F905" s="50">
        <v>1</v>
      </c>
      <c r="G905" s="50">
        <v>2</v>
      </c>
      <c r="H905" s="51" t="s">
        <v>90</v>
      </c>
      <c r="I905" s="50" t="s">
        <v>5027</v>
      </c>
      <c r="J905" s="84" t="s">
        <v>73</v>
      </c>
      <c r="K905" s="56" t="s">
        <v>135</v>
      </c>
      <c r="L905" s="56" t="s">
        <v>5028</v>
      </c>
      <c r="M905" s="56"/>
      <c r="N905" s="56"/>
      <c r="O905" s="54"/>
      <c r="P905" s="56" t="s">
        <v>76</v>
      </c>
      <c r="Q905" s="85" t="s">
        <v>410</v>
      </c>
      <c r="R905" s="50"/>
      <c r="S905" s="50"/>
      <c r="T905" s="50"/>
      <c r="U905" s="56"/>
      <c r="V905" s="57">
        <v>0.09</v>
      </c>
      <c r="W905" s="68"/>
      <c r="X905" s="50"/>
      <c r="Y905" s="50"/>
      <c r="Z905" s="50"/>
      <c r="AA905" s="56"/>
      <c r="AB905" s="57"/>
      <c r="AC905" s="54">
        <v>1</v>
      </c>
      <c r="AD905" s="69">
        <f>SUM(AE905:AK905)</f>
        <v>1</v>
      </c>
      <c r="AE905" s="66"/>
      <c r="AF905" s="66"/>
      <c r="AG905" s="66"/>
      <c r="AH905" s="66"/>
      <c r="AI905" s="66"/>
      <c r="AJ905" s="66"/>
      <c r="AK905" s="66">
        <v>1</v>
      </c>
      <c r="AL905" s="54">
        <f>IF((AC905-SUM(AE905:AK905))&lt;0,0,AC905-SUM(AE905:AK905))</f>
        <v>0</v>
      </c>
      <c r="AM905" s="69">
        <f>SUM(AN905:AT905)</f>
        <v>1</v>
      </c>
      <c r="AN905" s="60"/>
      <c r="AO905" s="52"/>
      <c r="AP905" s="52"/>
      <c r="AQ905" s="52"/>
      <c r="AR905" s="52"/>
      <c r="AS905" s="52"/>
      <c r="AT905" s="61">
        <v>1</v>
      </c>
      <c r="AU905" s="66">
        <f>MAX(0,$AM905-$AC905-$AW905)</f>
        <v>0</v>
      </c>
      <c r="AV905" s="54"/>
      <c r="AW905" s="54"/>
      <c r="AX905" s="65">
        <v>0</v>
      </c>
      <c r="AY905" s="65">
        <f>IF(AND($AU905&gt;0,ISNUMBER($AX905)),$AU905*$AX905,0)</f>
        <v>0</v>
      </c>
      <c r="AZ905" s="46"/>
      <c r="BA905" s="52"/>
      <c r="BB905" s="52"/>
      <c r="BC905" s="52"/>
      <c r="BD905" s="52"/>
      <c r="BE905" s="52"/>
      <c r="BF905" s="52"/>
    </row>
    <row r="906" spans="1:58" ht="15" customHeight="1">
      <c r="A906" s="46" t="s">
        <v>5029</v>
      </c>
      <c r="B906" s="50" t="s">
        <v>5030</v>
      </c>
      <c r="C906" s="54" t="s">
        <v>109</v>
      </c>
      <c r="D906" s="74">
        <v>2</v>
      </c>
      <c r="E906" s="83" t="s">
        <v>71</v>
      </c>
      <c r="F906" s="50"/>
      <c r="G906" s="50"/>
      <c r="H906" s="51"/>
      <c r="I906" s="50" t="s">
        <v>5031</v>
      </c>
      <c r="J906" s="84" t="s">
        <v>73</v>
      </c>
      <c r="K906" s="56" t="s">
        <v>129</v>
      </c>
      <c r="L906" s="56" t="s">
        <v>5032</v>
      </c>
      <c r="M906" s="56"/>
      <c r="N906" s="56"/>
      <c r="O906" s="54"/>
      <c r="P906" s="56" t="s">
        <v>185</v>
      </c>
      <c r="Q906" s="85" t="s">
        <v>1030</v>
      </c>
      <c r="R906" s="50"/>
      <c r="S906" s="50"/>
      <c r="T906" s="50"/>
      <c r="U906" s="56"/>
      <c r="V906" s="57">
        <v>0.09</v>
      </c>
      <c r="W906" s="68"/>
      <c r="X906" s="50"/>
      <c r="Y906" s="50"/>
      <c r="Z906" s="50"/>
      <c r="AA906" s="56"/>
      <c r="AB906" s="57"/>
      <c r="AC906" s="54">
        <v>1</v>
      </c>
      <c r="AD906" s="69">
        <f>SUM(AE906:AK906)</f>
        <v>0</v>
      </c>
      <c r="AE906" s="66"/>
      <c r="AF906" s="66"/>
      <c r="AG906" s="66"/>
      <c r="AH906" s="66"/>
      <c r="AI906" s="66"/>
      <c r="AJ906" s="66"/>
      <c r="AK906" s="66"/>
      <c r="AL906" s="54">
        <f>IF((AC906-SUM(AE906:AK906))&lt;0,0,AC906-SUM(AE906:AK906))</f>
        <v>1</v>
      </c>
      <c r="AM906" s="69">
        <f>SUM(AN906:AT906)</f>
        <v>0</v>
      </c>
      <c r="AN906" s="60"/>
      <c r="AO906" s="52"/>
      <c r="AP906" s="52"/>
      <c r="AQ906" s="52"/>
      <c r="AR906" s="52"/>
      <c r="AS906" s="52"/>
      <c r="AT906" s="61"/>
      <c r="AU906" s="66">
        <f>MAX(0,$AM906-$AC906-$AW906)</f>
        <v>0</v>
      </c>
      <c r="AV906" s="54"/>
      <c r="AW906" s="54"/>
      <c r="AX906" s="65">
        <v>0</v>
      </c>
      <c r="AY906" s="65">
        <f>IF(AND($AU906&gt;0,ISNUMBER($AX906)),$AU906*$AX906,0)</f>
        <v>0</v>
      </c>
      <c r="AZ906" s="46"/>
      <c r="BA906" s="52"/>
      <c r="BB906" s="52"/>
      <c r="BC906" s="52"/>
      <c r="BD906" s="52"/>
      <c r="BE906" s="52"/>
      <c r="BF906" s="52"/>
    </row>
    <row r="907" spans="1:58" ht="15" customHeight="1">
      <c r="A907" s="46" t="s">
        <v>5033</v>
      </c>
      <c r="B907" s="50" t="s">
        <v>5034</v>
      </c>
      <c r="C907" s="54" t="s">
        <v>118</v>
      </c>
      <c r="D907" s="74">
        <v>4</v>
      </c>
      <c r="E907" s="83" t="s">
        <v>81</v>
      </c>
      <c r="F907" s="50">
        <v>3</v>
      </c>
      <c r="G907" s="50">
        <v>3</v>
      </c>
      <c r="H907" s="51" t="s">
        <v>1633</v>
      </c>
      <c r="I907" s="50" t="s">
        <v>5035</v>
      </c>
      <c r="J907" s="84" t="s">
        <v>73</v>
      </c>
      <c r="K907" s="56" t="s">
        <v>74</v>
      </c>
      <c r="L907" s="56" t="s">
        <v>5036</v>
      </c>
      <c r="M907" s="56" t="s">
        <v>995</v>
      </c>
      <c r="N907" s="56"/>
      <c r="O907" s="54"/>
      <c r="P907" s="56" t="s">
        <v>76</v>
      </c>
      <c r="Q907" s="85" t="s">
        <v>669</v>
      </c>
      <c r="R907" s="50"/>
      <c r="S907" s="50"/>
      <c r="T907" s="50"/>
      <c r="U907" s="56"/>
      <c r="V907" s="57">
        <v>0.08</v>
      </c>
      <c r="W907" s="68"/>
      <c r="X907" s="50"/>
      <c r="Y907" s="50"/>
      <c r="Z907" s="50"/>
      <c r="AA907" s="56"/>
      <c r="AB907" s="57"/>
      <c r="AC907" s="54">
        <v>1</v>
      </c>
      <c r="AD907" s="69">
        <f>SUM(AE907:AK907)</f>
        <v>0</v>
      </c>
      <c r="AE907" s="66"/>
      <c r="AF907" s="66"/>
      <c r="AG907" s="66"/>
      <c r="AH907" s="66"/>
      <c r="AI907" s="66"/>
      <c r="AJ907" s="66"/>
      <c r="AK907" s="66"/>
      <c r="AL907" s="54">
        <f>IF((AC907-SUM(AE907:AK907))&lt;0,0,AC907-SUM(AE907:AK907))</f>
        <v>1</v>
      </c>
      <c r="AM907" s="69">
        <f>SUM(AN907:AT907)</f>
        <v>0</v>
      </c>
      <c r="AN907" s="60"/>
      <c r="AO907" s="52"/>
      <c r="AP907" s="52"/>
      <c r="AQ907" s="52"/>
      <c r="AR907" s="52"/>
      <c r="AS907" s="52"/>
      <c r="AT907" s="61"/>
      <c r="AU907" s="66">
        <f>MAX(0,$AM907-$AC907-$AW907)</f>
        <v>0</v>
      </c>
      <c r="AV907" s="54"/>
      <c r="AW907" s="54"/>
      <c r="AX907" s="65">
        <v>0</v>
      </c>
      <c r="AY907" s="65">
        <f>IF(AND($AU907&gt;0,ISNUMBER($AX907)),$AU907*$AX907,0)</f>
        <v>0</v>
      </c>
      <c r="AZ907" s="46"/>
      <c r="BA907" s="52"/>
      <c r="BB907" s="52"/>
      <c r="BC907" s="52"/>
      <c r="BD907" s="52"/>
      <c r="BE907" s="52"/>
      <c r="BF907" s="52"/>
    </row>
    <row r="908" spans="1:58" ht="15" customHeight="1">
      <c r="A908" s="46" t="s">
        <v>5037</v>
      </c>
      <c r="B908" s="46" t="s">
        <v>5038</v>
      </c>
      <c r="C908" s="52" t="s">
        <v>118</v>
      </c>
      <c r="D908" s="75">
        <v>5</v>
      </c>
      <c r="E908" s="86" t="s">
        <v>81</v>
      </c>
      <c r="F908" s="50">
        <v>3</v>
      </c>
      <c r="G908" s="50">
        <v>4</v>
      </c>
      <c r="H908" s="51" t="s">
        <v>5039</v>
      </c>
      <c r="I908" s="50" t="s">
        <v>5040</v>
      </c>
      <c r="J908" s="87" t="s">
        <v>73</v>
      </c>
      <c r="K908" s="46" t="s">
        <v>1781</v>
      </c>
      <c r="L908" s="50" t="s">
        <v>5041</v>
      </c>
      <c r="M908" s="50" t="s">
        <v>5042</v>
      </c>
      <c r="N908" s="50" t="s">
        <v>5043</v>
      </c>
      <c r="O908" s="54"/>
      <c r="P908" s="55" t="s">
        <v>76</v>
      </c>
      <c r="Q908" s="86" t="s">
        <v>645</v>
      </c>
      <c r="R908" s="75" t="s">
        <v>1582</v>
      </c>
      <c r="S908" s="75">
        <v>1</v>
      </c>
      <c r="T908" s="75">
        <v>0</v>
      </c>
      <c r="U908" s="56"/>
      <c r="V908" s="57">
        <v>0.08</v>
      </c>
      <c r="W908" s="68"/>
      <c r="X908" s="46"/>
      <c r="Y908" s="46"/>
      <c r="Z908" s="46"/>
      <c r="AA908" s="56"/>
      <c r="AB908" s="57"/>
      <c r="AC908" s="54">
        <v>1</v>
      </c>
      <c r="AD908" s="69">
        <f>SUM(AE908:AK908)</f>
        <v>0</v>
      </c>
      <c r="AE908" s="66"/>
      <c r="AF908" s="66"/>
      <c r="AG908" s="66"/>
      <c r="AH908" s="66"/>
      <c r="AI908" s="66"/>
      <c r="AJ908" s="66"/>
      <c r="AK908" s="66"/>
      <c r="AL908" s="54">
        <f>IF((AC908-SUM(AE908:AK908))&lt;0,0,AC908-SUM(AE908:AK908))</f>
        <v>1</v>
      </c>
      <c r="AM908" s="69">
        <f>SUM(AN908:AT908)</f>
        <v>0</v>
      </c>
      <c r="AN908" s="60"/>
      <c r="AO908" s="52"/>
      <c r="AP908" s="52"/>
      <c r="AQ908" s="52"/>
      <c r="AR908" s="52"/>
      <c r="AS908" s="52"/>
      <c r="AT908" s="61"/>
      <c r="AU908" s="66">
        <f>MAX(0,$AM908-$AC908-$AW908)</f>
        <v>0</v>
      </c>
      <c r="AV908" s="52"/>
      <c r="AW908" s="52"/>
      <c r="AX908" s="65">
        <v>0</v>
      </c>
      <c r="AY908" s="65">
        <f>IF(AND($AU908&gt;0,ISNUMBER($AX908)),$AU908*$AX908,0)</f>
        <v>0</v>
      </c>
      <c r="AZ908" s="46"/>
      <c r="BA908" s="52"/>
      <c r="BB908" s="52"/>
      <c r="BC908" s="52"/>
      <c r="BD908" s="52"/>
      <c r="BE908" s="52"/>
      <c r="BF908" s="52"/>
    </row>
    <row r="909" spans="1:58" ht="15" customHeight="1">
      <c r="A909" s="46" t="s">
        <v>5044</v>
      </c>
      <c r="B909" s="50" t="s">
        <v>5045</v>
      </c>
      <c r="C909" s="54" t="s">
        <v>109</v>
      </c>
      <c r="D909" s="74">
        <v>4</v>
      </c>
      <c r="E909" s="83" t="s">
        <v>81</v>
      </c>
      <c r="F909" s="50">
        <v>3</v>
      </c>
      <c r="G909" s="50">
        <v>2</v>
      </c>
      <c r="H909" s="51" t="s">
        <v>5046</v>
      </c>
      <c r="I909" s="50" t="s">
        <v>5047</v>
      </c>
      <c r="J909" s="84" t="s">
        <v>73</v>
      </c>
      <c r="K909" s="56" t="s">
        <v>74</v>
      </c>
      <c r="L909" s="56" t="s">
        <v>2080</v>
      </c>
      <c r="M909" s="56"/>
      <c r="N909" s="56"/>
      <c r="O909" s="54"/>
      <c r="P909" s="56" t="s">
        <v>76</v>
      </c>
      <c r="Q909" s="85" t="s">
        <v>410</v>
      </c>
      <c r="R909" s="50"/>
      <c r="S909" s="50"/>
      <c r="T909" s="50"/>
      <c r="U909" s="56"/>
      <c r="V909" s="57">
        <v>7.0000000000000007E-2</v>
      </c>
      <c r="W909" s="68"/>
      <c r="X909" s="50"/>
      <c r="Y909" s="50"/>
      <c r="Z909" s="50"/>
      <c r="AA909" s="56"/>
      <c r="AB909" s="57"/>
      <c r="AC909" s="54">
        <v>1</v>
      </c>
      <c r="AD909" s="69">
        <f>SUM(AE909:AK909)</f>
        <v>0</v>
      </c>
      <c r="AE909" s="66"/>
      <c r="AF909" s="66"/>
      <c r="AG909" s="66"/>
      <c r="AH909" s="66"/>
      <c r="AI909" s="66"/>
      <c r="AJ909" s="66"/>
      <c r="AK909" s="66"/>
      <c r="AL909" s="54">
        <f>IF((AC909-SUM(AE909:AK909))&lt;0,0,AC909-SUM(AE909:AK909))</f>
        <v>1</v>
      </c>
      <c r="AM909" s="69">
        <f>SUM(AN909:AT909)</f>
        <v>0</v>
      </c>
      <c r="AN909" s="60"/>
      <c r="AO909" s="52"/>
      <c r="AP909" s="52"/>
      <c r="AQ909" s="52"/>
      <c r="AR909" s="52"/>
      <c r="AS909" s="52"/>
      <c r="AT909" s="61"/>
      <c r="AU909" s="66">
        <f>MAX(0,$AM909-$AC909-$AW909)</f>
        <v>0</v>
      </c>
      <c r="AV909" s="54"/>
      <c r="AW909" s="54"/>
      <c r="AX909" s="65">
        <v>0</v>
      </c>
      <c r="AY909" s="65">
        <f>IF(AND($AU909&gt;0,ISNUMBER($AX909)),$AU909*$AX909,0)</f>
        <v>0</v>
      </c>
      <c r="AZ909" s="46"/>
      <c r="BA909" s="52"/>
      <c r="BB909" s="52"/>
      <c r="BC909" s="52"/>
      <c r="BD909" s="52"/>
      <c r="BE909" s="52"/>
      <c r="BF909" s="52"/>
    </row>
    <row r="910" spans="1:58" ht="15" customHeight="1">
      <c r="A910" s="46" t="s">
        <v>5048</v>
      </c>
      <c r="B910" s="50" t="s">
        <v>5049</v>
      </c>
      <c r="C910" s="54" t="s">
        <v>101</v>
      </c>
      <c r="D910" s="74">
        <v>2</v>
      </c>
      <c r="E910" s="83" t="s">
        <v>81</v>
      </c>
      <c r="F910" s="50">
        <v>2</v>
      </c>
      <c r="G910" s="50">
        <v>2</v>
      </c>
      <c r="H910" s="51" t="s">
        <v>4886</v>
      </c>
      <c r="I910" s="50" t="s">
        <v>5050</v>
      </c>
      <c r="J910" s="84" t="s">
        <v>73</v>
      </c>
      <c r="K910" s="56" t="s">
        <v>864</v>
      </c>
      <c r="L910" s="56" t="s">
        <v>5051</v>
      </c>
      <c r="M910" s="56"/>
      <c r="N910" s="56"/>
      <c r="O910" s="54"/>
      <c r="P910" s="56" t="s">
        <v>76</v>
      </c>
      <c r="Q910" s="85" t="s">
        <v>669</v>
      </c>
      <c r="R910" s="50"/>
      <c r="S910" s="50"/>
      <c r="T910" s="50"/>
      <c r="U910" s="56"/>
      <c r="V910" s="57">
        <v>7.0000000000000007E-2</v>
      </c>
      <c r="W910" s="68"/>
      <c r="X910" s="50"/>
      <c r="Y910" s="50"/>
      <c r="Z910" s="50"/>
      <c r="AA910" s="56"/>
      <c r="AB910" s="57"/>
      <c r="AC910" s="54">
        <v>1</v>
      </c>
      <c r="AD910" s="69">
        <f>SUM(AE910:AK910)</f>
        <v>0</v>
      </c>
      <c r="AE910" s="66"/>
      <c r="AF910" s="66"/>
      <c r="AG910" s="66"/>
      <c r="AH910" s="66"/>
      <c r="AI910" s="66"/>
      <c r="AJ910" s="66"/>
      <c r="AK910" s="66"/>
      <c r="AL910" s="54">
        <f>IF((AC910-SUM(AE910:AK910))&lt;0,0,AC910-SUM(AE910:AK910))</f>
        <v>1</v>
      </c>
      <c r="AM910" s="69">
        <f>SUM(AN910:AT910)</f>
        <v>0</v>
      </c>
      <c r="AN910" s="60"/>
      <c r="AO910" s="52"/>
      <c r="AP910" s="52"/>
      <c r="AQ910" s="52"/>
      <c r="AR910" s="52"/>
      <c r="AS910" s="52"/>
      <c r="AT910" s="61"/>
      <c r="AU910" s="66">
        <f>MAX(0,$AM910-$AC910-$AW910)</f>
        <v>0</v>
      </c>
      <c r="AV910" s="54"/>
      <c r="AW910" s="54"/>
      <c r="AX910" s="65">
        <v>0</v>
      </c>
      <c r="AY910" s="65">
        <f>IF(AND($AU910&gt;0,ISNUMBER($AX910)),$AU910*$AX910,0)</f>
        <v>0</v>
      </c>
      <c r="AZ910" s="46"/>
      <c r="BA910" s="52"/>
      <c r="BB910" s="52"/>
      <c r="BC910" s="52"/>
      <c r="BD910" s="52"/>
      <c r="BE910" s="52"/>
      <c r="BF910" s="52"/>
    </row>
    <row r="911" spans="1:58" ht="15" customHeight="1">
      <c r="A911" s="46" t="s">
        <v>5052</v>
      </c>
      <c r="B911" s="50" t="s">
        <v>5053</v>
      </c>
      <c r="C911" s="54" t="s">
        <v>101</v>
      </c>
      <c r="D911" s="74">
        <v>2</v>
      </c>
      <c r="E911" s="83" t="s">
        <v>81</v>
      </c>
      <c r="F911" s="50">
        <v>2</v>
      </c>
      <c r="G911" s="50">
        <v>2</v>
      </c>
      <c r="H911" s="51" t="s">
        <v>3975</v>
      </c>
      <c r="I911" s="50" t="s">
        <v>5054</v>
      </c>
      <c r="J911" s="84" t="s">
        <v>73</v>
      </c>
      <c r="K911" s="56" t="s">
        <v>661</v>
      </c>
      <c r="L911" s="56" t="s">
        <v>5055</v>
      </c>
      <c r="M911" s="56" t="s">
        <v>5056</v>
      </c>
      <c r="N911" s="56"/>
      <c r="O911" s="54"/>
      <c r="P911" s="56" t="s">
        <v>76</v>
      </c>
      <c r="Q911" s="85" t="s">
        <v>729</v>
      </c>
      <c r="R911" s="50"/>
      <c r="S911" s="50"/>
      <c r="T911" s="50"/>
      <c r="U911" s="56"/>
      <c r="V911" s="57">
        <v>7.0000000000000007E-2</v>
      </c>
      <c r="W911" s="68"/>
      <c r="X911" s="50"/>
      <c r="Y911" s="50"/>
      <c r="Z911" s="50"/>
      <c r="AA911" s="56"/>
      <c r="AB911" s="57"/>
      <c r="AC911" s="54">
        <v>1</v>
      </c>
      <c r="AD911" s="69">
        <f>SUM(AE911:AK911)</f>
        <v>0</v>
      </c>
      <c r="AE911" s="66"/>
      <c r="AF911" s="66"/>
      <c r="AG911" s="66"/>
      <c r="AH911" s="66"/>
      <c r="AI911" s="66"/>
      <c r="AJ911" s="66"/>
      <c r="AK911" s="66"/>
      <c r="AL911" s="54">
        <f>IF((AC911-SUM(AE911:AK911))&lt;0,0,AC911-SUM(AE911:AK911))</f>
        <v>1</v>
      </c>
      <c r="AM911" s="69">
        <f>SUM(AN911:AT911)</f>
        <v>0</v>
      </c>
      <c r="AN911" s="60"/>
      <c r="AO911" s="52"/>
      <c r="AP911" s="52"/>
      <c r="AQ911" s="52"/>
      <c r="AR911" s="52"/>
      <c r="AS911" s="52"/>
      <c r="AT911" s="61"/>
      <c r="AU911" s="66">
        <f>MAX(0,$AM911-$AC911-$AW911)</f>
        <v>0</v>
      </c>
      <c r="AV911" s="54"/>
      <c r="AW911" s="54"/>
      <c r="AX911" s="65">
        <v>0</v>
      </c>
      <c r="AY911" s="65">
        <f>IF(AND($AU911&gt;0,ISNUMBER($AX911)),$AU911*$AX911,0)</f>
        <v>0</v>
      </c>
      <c r="AZ911" s="46"/>
      <c r="BA911" s="52"/>
      <c r="BB911" s="52"/>
      <c r="BC911" s="52"/>
      <c r="BD911" s="52"/>
      <c r="BE911" s="52"/>
      <c r="BF911" s="52"/>
    </row>
    <row r="912" spans="1:58" ht="15" customHeight="1">
      <c r="A912" s="46" t="s">
        <v>5057</v>
      </c>
      <c r="B912" s="46" t="s">
        <v>5058</v>
      </c>
      <c r="C912" s="52" t="s">
        <v>109</v>
      </c>
      <c r="D912" s="75">
        <v>4</v>
      </c>
      <c r="E912" s="86" t="s">
        <v>71</v>
      </c>
      <c r="F912" s="50"/>
      <c r="G912" s="50"/>
      <c r="H912" s="51"/>
      <c r="I912" s="50" t="s">
        <v>5059</v>
      </c>
      <c r="J912" s="87" t="s">
        <v>73</v>
      </c>
      <c r="K912" s="46" t="s">
        <v>1099</v>
      </c>
      <c r="L912" s="50" t="s">
        <v>5060</v>
      </c>
      <c r="M912" s="50" t="s">
        <v>5061</v>
      </c>
      <c r="N912" s="50"/>
      <c r="O912" s="54"/>
      <c r="P912" s="55" t="s">
        <v>76</v>
      </c>
      <c r="Q912" s="86" t="s">
        <v>645</v>
      </c>
      <c r="R912" s="75" t="s">
        <v>5062</v>
      </c>
      <c r="S912" s="75">
        <v>1</v>
      </c>
      <c r="T912" s="75">
        <v>0</v>
      </c>
      <c r="U912" s="56"/>
      <c r="V912" s="57">
        <v>7.0000000000000007E-2</v>
      </c>
      <c r="W912" s="68"/>
      <c r="X912" s="46"/>
      <c r="Y912" s="46"/>
      <c r="Z912" s="46"/>
      <c r="AA912" s="56"/>
      <c r="AB912" s="57"/>
      <c r="AC912" s="54">
        <v>1</v>
      </c>
      <c r="AD912" s="69">
        <f>SUM(AE912:AK912)</f>
        <v>0</v>
      </c>
      <c r="AE912" s="66"/>
      <c r="AF912" s="66"/>
      <c r="AG912" s="66"/>
      <c r="AH912" s="66"/>
      <c r="AI912" s="66"/>
      <c r="AJ912" s="66"/>
      <c r="AK912" s="66"/>
      <c r="AL912" s="54">
        <f>IF((AC912-SUM(AE912:AK912))&lt;0,0,AC912-SUM(AE912:AK912))</f>
        <v>1</v>
      </c>
      <c r="AM912" s="69">
        <f>SUM(AN912:AT912)</f>
        <v>0</v>
      </c>
      <c r="AN912" s="60"/>
      <c r="AO912" s="52"/>
      <c r="AP912" s="52"/>
      <c r="AQ912" s="52"/>
      <c r="AR912" s="52"/>
      <c r="AS912" s="52"/>
      <c r="AT912" s="61"/>
      <c r="AU912" s="66">
        <f>MAX(0,$AM912-$AC912-$AW912)</f>
        <v>0</v>
      </c>
      <c r="AV912" s="52"/>
      <c r="AW912" s="52"/>
      <c r="AX912" s="65">
        <v>0</v>
      </c>
      <c r="AY912" s="65">
        <f>IF(AND($AU912&gt;0,ISNUMBER($AX912)),$AU912*$AX912,0)</f>
        <v>0</v>
      </c>
      <c r="AZ912" s="46"/>
      <c r="BA912" s="52"/>
      <c r="BB912" s="52"/>
      <c r="BC912" s="52"/>
      <c r="BD912" s="52"/>
      <c r="BE912" s="52"/>
      <c r="BF912" s="52"/>
    </row>
    <row r="913" spans="1:58" ht="15" customHeight="1">
      <c r="A913" s="46" t="s">
        <v>5063</v>
      </c>
      <c r="B913" s="46" t="s">
        <v>5064</v>
      </c>
      <c r="C913" s="52" t="s">
        <v>80</v>
      </c>
      <c r="D913" s="75">
        <v>2</v>
      </c>
      <c r="E913" s="86" t="s">
        <v>189</v>
      </c>
      <c r="F913" s="50"/>
      <c r="G913" s="50"/>
      <c r="H913" s="51"/>
      <c r="I913" s="50" t="s">
        <v>5065</v>
      </c>
      <c r="J913" s="87" t="s">
        <v>73</v>
      </c>
      <c r="K913" s="46" t="s">
        <v>98</v>
      </c>
      <c r="L913" s="50" t="s">
        <v>5066</v>
      </c>
      <c r="M913" s="50"/>
      <c r="N913" s="50"/>
      <c r="O913" s="54"/>
      <c r="P913" s="55" t="s">
        <v>76</v>
      </c>
      <c r="Q913" s="86" t="s">
        <v>645</v>
      </c>
      <c r="R913" s="75" t="s">
        <v>4825</v>
      </c>
      <c r="S913" s="75">
        <v>1</v>
      </c>
      <c r="T913" s="75">
        <v>0</v>
      </c>
      <c r="U913" s="56" t="s">
        <v>1261</v>
      </c>
      <c r="V913" s="57">
        <v>7.0000000000000007E-2</v>
      </c>
      <c r="W913" s="68"/>
      <c r="X913" s="46"/>
      <c r="Y913" s="46"/>
      <c r="Z913" s="46"/>
      <c r="AA913" s="56"/>
      <c r="AB913" s="57"/>
      <c r="AC913" s="54">
        <v>1</v>
      </c>
      <c r="AD913" s="69">
        <f>SUM(AE913:AK913)</f>
        <v>1</v>
      </c>
      <c r="AE913" s="66"/>
      <c r="AF913" s="66"/>
      <c r="AG913" s="66"/>
      <c r="AH913" s="66"/>
      <c r="AI913" s="66"/>
      <c r="AJ913" s="66"/>
      <c r="AK913" s="66">
        <v>1</v>
      </c>
      <c r="AL913" s="54">
        <f>IF((AC913-SUM(AE913:AK913))&lt;0,0,AC913-SUM(AE913:AK913))</f>
        <v>0</v>
      </c>
      <c r="AM913" s="69">
        <f>SUM(AN913:AT913)</f>
        <v>1</v>
      </c>
      <c r="AN913" s="60"/>
      <c r="AO913" s="52"/>
      <c r="AP913" s="52"/>
      <c r="AQ913" s="52"/>
      <c r="AR913" s="52"/>
      <c r="AS913" s="52"/>
      <c r="AT913" s="61">
        <v>1</v>
      </c>
      <c r="AU913" s="66">
        <f>MAX(0,$AM913-$AC913-$AW913)</f>
        <v>0</v>
      </c>
      <c r="AV913" s="52"/>
      <c r="AW913" s="52"/>
      <c r="AX913" s="65">
        <v>0</v>
      </c>
      <c r="AY913" s="65">
        <f>IF(AND($AU913&gt;0,ISNUMBER($AX913)),$AU913*$AX913,0)</f>
        <v>0</v>
      </c>
      <c r="AZ913" s="46"/>
      <c r="BA913" s="52"/>
      <c r="BB913" s="52"/>
      <c r="BC913" s="52"/>
      <c r="BD913" s="52"/>
      <c r="BE913" s="52"/>
      <c r="BF913" s="52"/>
    </row>
    <row r="914" spans="1:58" ht="15" customHeight="1">
      <c r="A914" s="46" t="s">
        <v>5067</v>
      </c>
      <c r="B914" s="46" t="s">
        <v>5068</v>
      </c>
      <c r="C914" s="52" t="s">
        <v>118</v>
      </c>
      <c r="D914" s="75">
        <v>2</v>
      </c>
      <c r="E914" s="86" t="s">
        <v>81</v>
      </c>
      <c r="F914" s="50">
        <v>3</v>
      </c>
      <c r="G914" s="50">
        <v>1</v>
      </c>
      <c r="H914" s="51" t="s">
        <v>5069</v>
      </c>
      <c r="I914" s="50" t="s">
        <v>5070</v>
      </c>
      <c r="J914" s="87" t="s">
        <v>73</v>
      </c>
      <c r="K914" s="46" t="s">
        <v>121</v>
      </c>
      <c r="L914" s="50" t="s">
        <v>5071</v>
      </c>
      <c r="M914" s="50" t="s">
        <v>1838</v>
      </c>
      <c r="N914" s="50"/>
      <c r="O914" s="54"/>
      <c r="P914" s="55" t="s">
        <v>76</v>
      </c>
      <c r="Q914" s="86" t="s">
        <v>645</v>
      </c>
      <c r="R914" s="75" t="s">
        <v>5072</v>
      </c>
      <c r="S914" s="75">
        <v>1</v>
      </c>
      <c r="T914" s="75">
        <v>0</v>
      </c>
      <c r="U914" s="56"/>
      <c r="V914" s="57">
        <v>7.0000000000000007E-2</v>
      </c>
      <c r="W914" s="68"/>
      <c r="X914" s="46"/>
      <c r="Y914" s="46"/>
      <c r="Z914" s="46"/>
      <c r="AA914" s="56"/>
      <c r="AB914" s="57"/>
      <c r="AC914" s="54">
        <v>1</v>
      </c>
      <c r="AD914" s="69">
        <f>SUM(AE914:AK914)</f>
        <v>0</v>
      </c>
      <c r="AE914" s="66"/>
      <c r="AF914" s="66"/>
      <c r="AG914" s="66"/>
      <c r="AH914" s="66"/>
      <c r="AI914" s="66"/>
      <c r="AJ914" s="66"/>
      <c r="AK914" s="66"/>
      <c r="AL914" s="54">
        <f>IF((AC914-SUM(AE914:AK914))&lt;0,0,AC914-SUM(AE914:AK914))</f>
        <v>1</v>
      </c>
      <c r="AM914" s="69">
        <f>SUM(AN914:AT914)</f>
        <v>0</v>
      </c>
      <c r="AN914" s="60"/>
      <c r="AO914" s="52"/>
      <c r="AP914" s="52"/>
      <c r="AQ914" s="52"/>
      <c r="AR914" s="52"/>
      <c r="AS914" s="52"/>
      <c r="AT914" s="61"/>
      <c r="AU914" s="66">
        <f>MAX(0,$AM914-$AC914-$AW914)</f>
        <v>0</v>
      </c>
      <c r="AV914" s="52"/>
      <c r="AW914" s="52"/>
      <c r="AX914" s="65">
        <v>0</v>
      </c>
      <c r="AY914" s="65">
        <f>IF(AND($AU914&gt;0,ISNUMBER($AX914)),$AU914*$AX914,0)</f>
        <v>0</v>
      </c>
      <c r="AZ914" s="46"/>
      <c r="BA914" s="52"/>
      <c r="BB914" s="52"/>
      <c r="BC914" s="52"/>
      <c r="BD914" s="52"/>
      <c r="BE914" s="52"/>
      <c r="BF914" s="52"/>
    </row>
    <row r="915" spans="1:58" ht="15" customHeight="1" thickBot="1">
      <c r="A915" s="46" t="s">
        <v>5073</v>
      </c>
      <c r="B915" s="50" t="s">
        <v>5074</v>
      </c>
      <c r="C915" s="54" t="s">
        <v>80</v>
      </c>
      <c r="D915" s="74">
        <v>4</v>
      </c>
      <c r="E915" s="83" t="s">
        <v>81</v>
      </c>
      <c r="F915" s="50">
        <v>4</v>
      </c>
      <c r="G915" s="50">
        <v>3</v>
      </c>
      <c r="H915" s="51" t="s">
        <v>1395</v>
      </c>
      <c r="I915" s="50" t="s">
        <v>5075</v>
      </c>
      <c r="J915" s="84" t="s">
        <v>73</v>
      </c>
      <c r="K915" s="56" t="s">
        <v>135</v>
      </c>
      <c r="L915" s="56" t="s">
        <v>5076</v>
      </c>
      <c r="M915" s="56"/>
      <c r="N915" s="56"/>
      <c r="O915" s="54"/>
      <c r="P915" s="56" t="s">
        <v>76</v>
      </c>
      <c r="Q915" s="85" t="s">
        <v>669</v>
      </c>
      <c r="R915" s="50"/>
      <c r="S915" s="50"/>
      <c r="T915" s="50"/>
      <c r="U915" s="56"/>
      <c r="V915" s="57">
        <v>7.0000000000000007E-2</v>
      </c>
      <c r="W915" s="68"/>
      <c r="X915" s="50"/>
      <c r="Y915" s="50"/>
      <c r="Z915" s="50"/>
      <c r="AA915" s="56"/>
      <c r="AB915" s="57"/>
      <c r="AC915" s="54">
        <v>1</v>
      </c>
      <c r="AD915" s="69">
        <f>SUM(AE915:AK915)</f>
        <v>0</v>
      </c>
      <c r="AE915" s="66"/>
      <c r="AF915" s="66"/>
      <c r="AG915" s="66"/>
      <c r="AH915" s="66"/>
      <c r="AI915" s="66"/>
      <c r="AJ915" s="66"/>
      <c r="AK915" s="66"/>
      <c r="AL915" s="54">
        <f>IF((AC915-SUM(AE915:AK915))&lt;0,0,AC915-SUM(AE915:AK915))</f>
        <v>1</v>
      </c>
      <c r="AM915" s="69">
        <f>SUM(AN915:AT915)</f>
        <v>0</v>
      </c>
      <c r="AN915" s="88"/>
      <c r="AO915" s="89"/>
      <c r="AP915" s="89"/>
      <c r="AQ915" s="89"/>
      <c r="AR915" s="89"/>
      <c r="AS915" s="89"/>
      <c r="AT915" s="90"/>
      <c r="AU915" s="66">
        <f>MAX(0,$AM915-$AC915-$AW915)</f>
        <v>0</v>
      </c>
      <c r="AV915" s="54"/>
      <c r="AW915" s="54"/>
      <c r="AX915" s="65">
        <v>0</v>
      </c>
      <c r="AY915" s="65">
        <f>IF(AND($AU915&gt;0,ISNUMBER($AX915)),$AU915*$AX915,0)</f>
        <v>0</v>
      </c>
      <c r="AZ915" s="46"/>
      <c r="BA915" s="52"/>
      <c r="BB915" s="52"/>
      <c r="BC915" s="52"/>
      <c r="BD915" s="52"/>
      <c r="BE915" s="52"/>
      <c r="BF915" s="52"/>
    </row>
    <row r="916" spans="1:58" ht="15" customHeight="1">
      <c r="A916" s="46" t="s">
        <v>5077</v>
      </c>
      <c r="B916" s="46" t="s">
        <v>5078</v>
      </c>
      <c r="C916" s="52" t="s">
        <v>80</v>
      </c>
      <c r="D916" s="75">
        <v>5</v>
      </c>
      <c r="E916" s="46" t="s">
        <v>189</v>
      </c>
      <c r="F916" s="50"/>
      <c r="G916" s="50"/>
      <c r="H916" s="51"/>
      <c r="I916" s="50" t="s">
        <v>5079</v>
      </c>
      <c r="J916" s="52" t="s">
        <v>73</v>
      </c>
      <c r="K916" s="46" t="s">
        <v>129</v>
      </c>
      <c r="L916" s="50" t="s">
        <v>5080</v>
      </c>
      <c r="M916" s="50" t="s">
        <v>5081</v>
      </c>
      <c r="N916" s="50"/>
      <c r="O916" s="54"/>
      <c r="P916" s="55" t="s">
        <v>76</v>
      </c>
      <c r="Q916" s="46" t="s">
        <v>645</v>
      </c>
      <c r="R916" s="75" t="s">
        <v>5082</v>
      </c>
      <c r="S916" s="75">
        <v>1</v>
      </c>
      <c r="T916" s="75">
        <v>0</v>
      </c>
      <c r="U916" s="56"/>
      <c r="V916" s="57">
        <v>7.0000000000000007E-2</v>
      </c>
      <c r="W916" s="68"/>
      <c r="X916" s="46"/>
      <c r="Y916" s="46"/>
      <c r="Z916" s="46"/>
      <c r="AA916" s="56"/>
      <c r="AB916" s="57"/>
      <c r="AC916" s="54">
        <v>1</v>
      </c>
      <c r="AD916" s="54">
        <f>SUM(AE916:AK916)</f>
        <v>0</v>
      </c>
      <c r="AE916" s="66"/>
      <c r="AF916" s="66"/>
      <c r="AG916" s="66"/>
      <c r="AH916" s="66"/>
      <c r="AI916" s="66"/>
      <c r="AJ916" s="66"/>
      <c r="AK916" s="66"/>
      <c r="AL916" s="54">
        <f>IF((AC916-SUM(AE916:AK916))&lt;0,0,AC916-SUM(AE916:AK916))</f>
        <v>1</v>
      </c>
      <c r="AM916" s="54">
        <f>SUM(AN916:AT916)</f>
        <v>0</v>
      </c>
      <c r="AN916" s="52"/>
      <c r="AO916" s="52"/>
      <c r="AP916" s="52"/>
      <c r="AQ916" s="52"/>
      <c r="AR916" s="52"/>
      <c r="AS916" s="52"/>
      <c r="AT916" s="52"/>
      <c r="AU916" s="54">
        <f>MAX(0,$AM916-$AC916-$AW916)</f>
        <v>0</v>
      </c>
      <c r="AV916" s="52"/>
      <c r="AW916" s="52"/>
      <c r="AX916" s="65">
        <v>0</v>
      </c>
      <c r="AY916" s="57">
        <f>IF(AND($AU916&gt;0,ISNUMBER($AX916)),$AU916*$AX916,0)</f>
        <v>0</v>
      </c>
      <c r="AZ916" s="46"/>
      <c r="BA916" s="52"/>
      <c r="BB916" s="52"/>
      <c r="BC916" s="52"/>
      <c r="BD916" s="52"/>
      <c r="BE916" s="52"/>
      <c r="BF916" s="52"/>
    </row>
    <row r="917" spans="1:58" ht="15" customHeight="1">
      <c r="A917" s="46" t="s">
        <v>5083</v>
      </c>
      <c r="B917" s="46" t="s">
        <v>5084</v>
      </c>
      <c r="C917" s="52" t="s">
        <v>101</v>
      </c>
      <c r="D917" s="75">
        <v>5</v>
      </c>
      <c r="E917" s="46" t="s">
        <v>81</v>
      </c>
      <c r="F917" s="50">
        <v>4</v>
      </c>
      <c r="G917" s="50">
        <v>3</v>
      </c>
      <c r="H917" s="51" t="s">
        <v>5085</v>
      </c>
      <c r="I917" s="50" t="s">
        <v>5086</v>
      </c>
      <c r="J917" s="52" t="s">
        <v>73</v>
      </c>
      <c r="K917" s="46" t="s">
        <v>92</v>
      </c>
      <c r="L917" s="50" t="s">
        <v>944</v>
      </c>
      <c r="M917" s="50" t="s">
        <v>5087</v>
      </c>
      <c r="N917" s="50"/>
      <c r="O917" s="54"/>
      <c r="P917" s="55" t="s">
        <v>76</v>
      </c>
      <c r="Q917" s="46" t="s">
        <v>669</v>
      </c>
      <c r="R917" s="75" t="s">
        <v>5088</v>
      </c>
      <c r="S917" s="75">
        <v>1</v>
      </c>
      <c r="T917" s="75">
        <v>0</v>
      </c>
      <c r="U917" s="56"/>
      <c r="V917" s="57">
        <v>0.06</v>
      </c>
      <c r="W917" s="68"/>
      <c r="X917" s="46"/>
      <c r="Y917" s="46"/>
      <c r="Z917" s="46"/>
      <c r="AA917" s="56"/>
      <c r="AB917" s="57"/>
      <c r="AC917" s="54">
        <v>1</v>
      </c>
      <c r="AD917" s="54">
        <f>SUM(AE917:AK917)</f>
        <v>1</v>
      </c>
      <c r="AE917" s="66"/>
      <c r="AF917" s="66"/>
      <c r="AG917" s="66"/>
      <c r="AH917" s="66"/>
      <c r="AI917" s="66"/>
      <c r="AJ917" s="66"/>
      <c r="AK917" s="66">
        <v>1</v>
      </c>
      <c r="AL917" s="54">
        <f>IF((AC917-SUM(AE917:AK917))&lt;0,0,AC917-SUM(AE917:AK917))</f>
        <v>0</v>
      </c>
      <c r="AM917" s="54">
        <f>SUM(AN917:AT917)</f>
        <v>0</v>
      </c>
      <c r="AN917" s="52"/>
      <c r="AO917" s="52"/>
      <c r="AP917" s="52"/>
      <c r="AQ917" s="52"/>
      <c r="AR917" s="52"/>
      <c r="AS917" s="52"/>
      <c r="AT917" s="52"/>
      <c r="AU917" s="54">
        <f>MAX(0,$AM917-$AC917-$AW917)</f>
        <v>0</v>
      </c>
      <c r="AV917" s="52"/>
      <c r="AW917" s="52"/>
      <c r="AX917" s="65">
        <v>0</v>
      </c>
      <c r="AY917" s="57">
        <f>IF(AND($AU917&gt;0,ISNUMBER($AX917)),$AU917*$AX917,0)</f>
        <v>0</v>
      </c>
      <c r="AZ917" s="46"/>
      <c r="BA917" s="52"/>
      <c r="BB917" s="52"/>
      <c r="BC917" s="52"/>
      <c r="BD917" s="52"/>
      <c r="BE917" s="52"/>
      <c r="BF917" s="52" t="s">
        <v>148</v>
      </c>
    </row>
    <row r="918" spans="1:58" ht="15" customHeight="1">
      <c r="A918" s="46" t="s">
        <v>5089</v>
      </c>
      <c r="B918" s="50" t="s">
        <v>5090</v>
      </c>
      <c r="C918" s="54" t="s">
        <v>118</v>
      </c>
      <c r="D918" s="74">
        <v>5</v>
      </c>
      <c r="E918" s="50" t="s">
        <v>81</v>
      </c>
      <c r="F918" s="50">
        <v>3</v>
      </c>
      <c r="G918" s="50">
        <v>3</v>
      </c>
      <c r="H918" s="51" t="s">
        <v>127</v>
      </c>
      <c r="I918" s="50" t="s">
        <v>5091</v>
      </c>
      <c r="J918" s="54" t="s">
        <v>73</v>
      </c>
      <c r="K918" s="56" t="s">
        <v>864</v>
      </c>
      <c r="L918" s="56" t="s">
        <v>5092</v>
      </c>
      <c r="M918" s="56" t="s">
        <v>5093</v>
      </c>
      <c r="N918" s="56"/>
      <c r="O918" s="54"/>
      <c r="P918" s="56" t="s">
        <v>76</v>
      </c>
      <c r="Q918" s="56" t="s">
        <v>293</v>
      </c>
      <c r="R918" s="50"/>
      <c r="S918" s="50"/>
      <c r="T918" s="50"/>
      <c r="U918" s="56"/>
      <c r="V918" s="57">
        <v>0.06</v>
      </c>
      <c r="W918" s="68"/>
      <c r="X918" s="50"/>
      <c r="Y918" s="50"/>
      <c r="Z918" s="50"/>
      <c r="AA918" s="56"/>
      <c r="AB918" s="57"/>
      <c r="AC918" s="54">
        <v>1</v>
      </c>
      <c r="AD918" s="54">
        <f>SUM(AE918:AK918)</f>
        <v>0</v>
      </c>
      <c r="AE918" s="66"/>
      <c r="AF918" s="66"/>
      <c r="AG918" s="66"/>
      <c r="AH918" s="66"/>
      <c r="AI918" s="66"/>
      <c r="AJ918" s="66"/>
      <c r="AK918" s="66"/>
      <c r="AL918" s="54">
        <f>IF((AC918-SUM(AE918:AK918))&lt;0,0,AC918-SUM(AE918:AK918))</f>
        <v>1</v>
      </c>
      <c r="AM918" s="54">
        <f>SUM(AN918:AT918)</f>
        <v>0</v>
      </c>
      <c r="AN918" s="52"/>
      <c r="AO918" s="52"/>
      <c r="AP918" s="52"/>
      <c r="AQ918" s="52"/>
      <c r="AR918" s="52"/>
      <c r="AS918" s="52"/>
      <c r="AT918" s="52"/>
      <c r="AU918" s="54">
        <f>MAX(0,$AM918-$AC918-$AW918)</f>
        <v>0</v>
      </c>
      <c r="AV918" s="54"/>
      <c r="AW918" s="54"/>
      <c r="AX918" s="65">
        <v>0</v>
      </c>
      <c r="AY918" s="57">
        <f>IF(AND($AU918&gt;0,ISNUMBER($AX918)),$AU918*$AX918,0)</f>
        <v>0</v>
      </c>
      <c r="AZ918" s="46"/>
      <c r="BA918" s="52"/>
      <c r="BB918" s="52"/>
      <c r="BC918" s="52"/>
      <c r="BD918" s="52"/>
      <c r="BE918" s="52"/>
      <c r="BF918" s="52"/>
    </row>
    <row r="919" spans="1:58" ht="15" customHeight="1">
      <c r="A919" s="46" t="s">
        <v>5094</v>
      </c>
      <c r="B919" s="46" t="s">
        <v>5095</v>
      </c>
      <c r="C919" s="52" t="s">
        <v>109</v>
      </c>
      <c r="D919" s="75">
        <v>4</v>
      </c>
      <c r="E919" s="46" t="s">
        <v>81</v>
      </c>
      <c r="F919" s="50">
        <v>4</v>
      </c>
      <c r="G919" s="50">
        <v>4</v>
      </c>
      <c r="H919" s="51" t="s">
        <v>4127</v>
      </c>
      <c r="I919" s="50" t="s">
        <v>5096</v>
      </c>
      <c r="J919" s="52" t="s">
        <v>73</v>
      </c>
      <c r="K919" s="46" t="s">
        <v>1099</v>
      </c>
      <c r="L919" s="50" t="s">
        <v>5097</v>
      </c>
      <c r="M919" s="50" t="s">
        <v>2144</v>
      </c>
      <c r="N919" s="50"/>
      <c r="O919" s="54"/>
      <c r="P919" s="55" t="s">
        <v>76</v>
      </c>
      <c r="Q919" s="46" t="s">
        <v>645</v>
      </c>
      <c r="R919" s="75" t="s">
        <v>5098</v>
      </c>
      <c r="S919" s="75">
        <v>1</v>
      </c>
      <c r="T919" s="75">
        <v>0</v>
      </c>
      <c r="U919" s="56" t="s">
        <v>1290</v>
      </c>
      <c r="V919" s="57">
        <v>0.06</v>
      </c>
      <c r="W919" s="68"/>
      <c r="X919" s="46"/>
      <c r="Y919" s="46"/>
      <c r="Z919" s="46"/>
      <c r="AA919" s="56"/>
      <c r="AB919" s="57"/>
      <c r="AC919" s="54">
        <v>1</v>
      </c>
      <c r="AD919" s="54">
        <f>SUM(AE919:AK919)</f>
        <v>0</v>
      </c>
      <c r="AE919" s="66"/>
      <c r="AF919" s="66"/>
      <c r="AG919" s="66"/>
      <c r="AH919" s="66"/>
      <c r="AI919" s="66"/>
      <c r="AJ919" s="66"/>
      <c r="AK919" s="66"/>
      <c r="AL919" s="54">
        <f>IF((AC919-SUM(AE919:AK919))&lt;0,0,AC919-SUM(AE919:AK919))</f>
        <v>1</v>
      </c>
      <c r="AM919" s="54">
        <f>SUM(AN919:AT919)</f>
        <v>0</v>
      </c>
      <c r="AN919" s="52"/>
      <c r="AO919" s="52"/>
      <c r="AP919" s="52"/>
      <c r="AQ919" s="52"/>
      <c r="AR919" s="52"/>
      <c r="AS919" s="52"/>
      <c r="AT919" s="52"/>
      <c r="AU919" s="54">
        <f>MAX(0,$AM919-$AC919-$AW919)</f>
        <v>0</v>
      </c>
      <c r="AV919" s="52"/>
      <c r="AW919" s="52"/>
      <c r="AX919" s="65">
        <v>0</v>
      </c>
      <c r="AY919" s="57">
        <f>IF(AND($AU919&gt;0,ISNUMBER($AX919)),$AU919*$AX919,0)</f>
        <v>0</v>
      </c>
      <c r="AZ919" s="46"/>
      <c r="BA919" s="52"/>
      <c r="BB919" s="52"/>
      <c r="BC919" s="52"/>
      <c r="BD919" s="52"/>
      <c r="BE919" s="52"/>
      <c r="BF919" s="52"/>
    </row>
    <row r="920" spans="1:58" ht="15" customHeight="1">
      <c r="A920" s="46" t="s">
        <v>5099</v>
      </c>
      <c r="B920" s="50" t="s">
        <v>5100</v>
      </c>
      <c r="C920" s="54" t="s">
        <v>109</v>
      </c>
      <c r="D920" s="74">
        <v>5</v>
      </c>
      <c r="E920" s="50" t="s">
        <v>81</v>
      </c>
      <c r="F920" s="50">
        <v>4</v>
      </c>
      <c r="G920" s="50">
        <v>4</v>
      </c>
      <c r="H920" s="51" t="s">
        <v>3261</v>
      </c>
      <c r="I920" s="50" t="s">
        <v>5101</v>
      </c>
      <c r="J920" s="54" t="s">
        <v>73</v>
      </c>
      <c r="K920" s="56" t="s">
        <v>135</v>
      </c>
      <c r="L920" s="56" t="s">
        <v>5102</v>
      </c>
      <c r="M920" s="56"/>
      <c r="N920" s="56"/>
      <c r="O920" s="54"/>
      <c r="P920" s="56" t="s">
        <v>185</v>
      </c>
      <c r="Q920" s="56" t="s">
        <v>410</v>
      </c>
      <c r="R920" s="50"/>
      <c r="S920" s="50"/>
      <c r="T920" s="50"/>
      <c r="U920" s="56"/>
      <c r="V920" s="57">
        <v>0.06</v>
      </c>
      <c r="W920" s="68"/>
      <c r="X920" s="50"/>
      <c r="Y920" s="50"/>
      <c r="Z920" s="50"/>
      <c r="AA920" s="56"/>
      <c r="AB920" s="57"/>
      <c r="AC920" s="54">
        <v>1</v>
      </c>
      <c r="AD920" s="54">
        <f>SUM(AE920:AK920)</f>
        <v>0</v>
      </c>
      <c r="AE920" s="66"/>
      <c r="AF920" s="66"/>
      <c r="AG920" s="66"/>
      <c r="AH920" s="66"/>
      <c r="AI920" s="66"/>
      <c r="AJ920" s="66"/>
      <c r="AK920" s="66"/>
      <c r="AL920" s="54">
        <f>IF((AC920-SUM(AE920:AK920))&lt;0,0,AC920-SUM(AE920:AK920))</f>
        <v>1</v>
      </c>
      <c r="AM920" s="54">
        <f>SUM(AN920:AT920)</f>
        <v>0</v>
      </c>
      <c r="AN920" s="52"/>
      <c r="AO920" s="52"/>
      <c r="AP920" s="52"/>
      <c r="AQ920" s="52"/>
      <c r="AR920" s="52"/>
      <c r="AS920" s="52"/>
      <c r="AT920" s="52"/>
      <c r="AU920" s="54">
        <f>MAX(0,$AM920-$AC920-$AW920)</f>
        <v>0</v>
      </c>
      <c r="AV920" s="54"/>
      <c r="AW920" s="54"/>
      <c r="AX920" s="65">
        <v>0</v>
      </c>
      <c r="AY920" s="57">
        <f>IF(AND($AU920&gt;0,ISNUMBER($AX920)),$AU920*$AX920,0)</f>
        <v>0</v>
      </c>
      <c r="AZ920" s="46"/>
      <c r="BA920" s="52"/>
      <c r="BB920" s="52"/>
      <c r="BC920" s="52"/>
      <c r="BD920" s="52"/>
      <c r="BE920" s="52"/>
      <c r="BF920" s="52"/>
    </row>
    <row r="921" spans="1:58" ht="15" customHeight="1">
      <c r="A921" s="46" t="s">
        <v>5103</v>
      </c>
      <c r="B921" s="50" t="s">
        <v>5104</v>
      </c>
      <c r="C921" s="54" t="s">
        <v>109</v>
      </c>
      <c r="D921" s="74">
        <v>2</v>
      </c>
      <c r="E921" s="50" t="s">
        <v>81</v>
      </c>
      <c r="F921" s="50">
        <v>2</v>
      </c>
      <c r="G921" s="50">
        <v>2</v>
      </c>
      <c r="H921" s="51" t="s">
        <v>2361</v>
      </c>
      <c r="I921" s="50" t="s">
        <v>5105</v>
      </c>
      <c r="J921" s="54" t="s">
        <v>73</v>
      </c>
      <c r="K921" s="56" t="s">
        <v>676</v>
      </c>
      <c r="L921" s="56" t="s">
        <v>5106</v>
      </c>
      <c r="M921" s="56" t="s">
        <v>5107</v>
      </c>
      <c r="N921" s="56"/>
      <c r="O921" s="54"/>
      <c r="P921" s="56" t="s">
        <v>185</v>
      </c>
      <c r="Q921" s="56" t="s">
        <v>410</v>
      </c>
      <c r="R921" s="50"/>
      <c r="S921" s="50"/>
      <c r="T921" s="50"/>
      <c r="U921" s="56"/>
      <c r="V921" s="57">
        <v>0.06</v>
      </c>
      <c r="W921" s="68"/>
      <c r="X921" s="50"/>
      <c r="Y921" s="50"/>
      <c r="Z921" s="50"/>
      <c r="AA921" s="56"/>
      <c r="AB921" s="57"/>
      <c r="AC921" s="54">
        <v>1</v>
      </c>
      <c r="AD921" s="54">
        <f>SUM(AE921:AK921)</f>
        <v>0</v>
      </c>
      <c r="AE921" s="66"/>
      <c r="AF921" s="66"/>
      <c r="AG921" s="66"/>
      <c r="AH921" s="66"/>
      <c r="AI921" s="66"/>
      <c r="AJ921" s="66"/>
      <c r="AK921" s="66"/>
      <c r="AL921" s="54">
        <f>IF((AC921-SUM(AE921:AK921))&lt;0,0,AC921-SUM(AE921:AK921))</f>
        <v>1</v>
      </c>
      <c r="AM921" s="54">
        <f>SUM(AN921:AT921)</f>
        <v>0</v>
      </c>
      <c r="AN921" s="52"/>
      <c r="AO921" s="52"/>
      <c r="AP921" s="52"/>
      <c r="AQ921" s="52"/>
      <c r="AR921" s="52"/>
      <c r="AS921" s="52"/>
      <c r="AT921" s="52"/>
      <c r="AU921" s="54">
        <f>MAX(0,$AM921-$AC921-$AW921)</f>
        <v>0</v>
      </c>
      <c r="AV921" s="54"/>
      <c r="AW921" s="54"/>
      <c r="AX921" s="65">
        <v>0</v>
      </c>
      <c r="AY921" s="57">
        <f>IF(AND($AU921&gt;0,ISNUMBER($AX921)),$AU921*$AX921,0)</f>
        <v>0</v>
      </c>
      <c r="AZ921" s="46"/>
      <c r="BA921" s="52"/>
      <c r="BB921" s="52"/>
      <c r="BC921" s="52"/>
      <c r="BD921" s="52"/>
      <c r="BE921" s="52"/>
      <c r="BF921" s="52"/>
    </row>
    <row r="922" spans="1:58" ht="15" customHeight="1">
      <c r="A922" s="46" t="s">
        <v>5108</v>
      </c>
      <c r="B922" s="46" t="s">
        <v>5109</v>
      </c>
      <c r="C922" s="52" t="s">
        <v>101</v>
      </c>
      <c r="D922" s="75">
        <v>1</v>
      </c>
      <c r="E922" s="46" t="s">
        <v>189</v>
      </c>
      <c r="F922" s="50"/>
      <c r="G922" s="50"/>
      <c r="H922" s="51"/>
      <c r="I922" s="50" t="s">
        <v>5110</v>
      </c>
      <c r="J922" s="52" t="s">
        <v>73</v>
      </c>
      <c r="K922" s="46" t="s">
        <v>864</v>
      </c>
      <c r="L922" s="50" t="s">
        <v>5111</v>
      </c>
      <c r="M922" s="50"/>
      <c r="N922" s="50"/>
      <c r="O922" s="54"/>
      <c r="P922" s="55" t="s">
        <v>185</v>
      </c>
      <c r="Q922" s="46" t="s">
        <v>2004</v>
      </c>
      <c r="R922" s="75" t="s">
        <v>5112</v>
      </c>
      <c r="S922" s="75">
        <v>1</v>
      </c>
      <c r="T922" s="75">
        <v>0</v>
      </c>
      <c r="U922" s="56"/>
      <c r="V922" s="57">
        <v>0.05</v>
      </c>
      <c r="W922" s="68"/>
      <c r="X922" s="46"/>
      <c r="Y922" s="46"/>
      <c r="Z922" s="46"/>
      <c r="AA922" s="56"/>
      <c r="AB922" s="57"/>
      <c r="AC922" s="54">
        <v>1</v>
      </c>
      <c r="AD922" s="54">
        <f>SUM(AE922:AK922)</f>
        <v>0</v>
      </c>
      <c r="AE922" s="66"/>
      <c r="AF922" s="66"/>
      <c r="AG922" s="66"/>
      <c r="AH922" s="66"/>
      <c r="AI922" s="66"/>
      <c r="AJ922" s="66"/>
      <c r="AK922" s="66"/>
      <c r="AL922" s="54">
        <f>IF((AC922-SUM(AE922:AK922))&lt;0,0,AC922-SUM(AE922:AK922))</f>
        <v>1</v>
      </c>
      <c r="AM922" s="54">
        <f>SUM(AN922:AT922)</f>
        <v>0</v>
      </c>
      <c r="AN922" s="52"/>
      <c r="AO922" s="52"/>
      <c r="AP922" s="52"/>
      <c r="AQ922" s="52"/>
      <c r="AR922" s="52"/>
      <c r="AS922" s="52"/>
      <c r="AT922" s="52"/>
      <c r="AU922" s="54">
        <f>MAX(0,$AM922-$AC922-$AW922)</f>
        <v>0</v>
      </c>
      <c r="AV922" s="52"/>
      <c r="AW922" s="52"/>
      <c r="AX922" s="65">
        <v>0</v>
      </c>
      <c r="AY922" s="57">
        <f>IF(AND($AU922&gt;0,ISNUMBER($AX922)),$AU922*$AX922,0)</f>
        <v>0</v>
      </c>
      <c r="AZ922" s="46"/>
      <c r="BA922" s="52"/>
      <c r="BB922" s="52"/>
      <c r="BC922" s="52"/>
      <c r="BD922" s="52"/>
      <c r="BE922" s="52"/>
      <c r="BF922" s="52"/>
    </row>
    <row r="923" spans="1:58" ht="15" customHeight="1">
      <c r="A923" s="46" t="s">
        <v>5113</v>
      </c>
      <c r="B923" s="50" t="s">
        <v>5114</v>
      </c>
      <c r="C923" s="54" t="s">
        <v>118</v>
      </c>
      <c r="D923" s="74">
        <v>4</v>
      </c>
      <c r="E923" s="50" t="s">
        <v>81</v>
      </c>
      <c r="F923" s="50">
        <v>3</v>
      </c>
      <c r="G923" s="50">
        <v>3</v>
      </c>
      <c r="H923" s="51" t="s">
        <v>5115</v>
      </c>
      <c r="I923" s="50" t="s">
        <v>5116</v>
      </c>
      <c r="J923" s="54" t="s">
        <v>73</v>
      </c>
      <c r="K923" s="56" t="s">
        <v>864</v>
      </c>
      <c r="L923" s="56" t="s">
        <v>5117</v>
      </c>
      <c r="M923" s="56"/>
      <c r="N923" s="56"/>
      <c r="O923" s="54"/>
      <c r="P923" s="56" t="s">
        <v>76</v>
      </c>
      <c r="Q923" s="56" t="s">
        <v>410</v>
      </c>
      <c r="R923" s="50"/>
      <c r="S923" s="50"/>
      <c r="T923" s="50"/>
      <c r="U923" s="56"/>
      <c r="V923" s="57">
        <v>0.05</v>
      </c>
      <c r="W923" s="68"/>
      <c r="X923" s="50"/>
      <c r="Y923" s="50"/>
      <c r="Z923" s="50"/>
      <c r="AA923" s="56"/>
      <c r="AB923" s="57"/>
      <c r="AC923" s="54">
        <v>1</v>
      </c>
      <c r="AD923" s="54">
        <f>SUM(AE923:AK923)</f>
        <v>0</v>
      </c>
      <c r="AE923" s="66"/>
      <c r="AF923" s="66"/>
      <c r="AG923" s="66"/>
      <c r="AH923" s="66"/>
      <c r="AI923" s="66"/>
      <c r="AJ923" s="66"/>
      <c r="AK923" s="66"/>
      <c r="AL923" s="54">
        <f>IF((AC923-SUM(AE923:AK923))&lt;0,0,AC923-SUM(AE923:AK923))</f>
        <v>1</v>
      </c>
      <c r="AM923" s="54">
        <f>SUM(AN923:AT923)</f>
        <v>0</v>
      </c>
      <c r="AN923" s="52"/>
      <c r="AO923" s="52"/>
      <c r="AP923" s="52"/>
      <c r="AQ923" s="52"/>
      <c r="AR923" s="52"/>
      <c r="AS923" s="52"/>
      <c r="AT923" s="52"/>
      <c r="AU923" s="54">
        <f>MAX(0,$AM923-$AC923-$AW923)</f>
        <v>0</v>
      </c>
      <c r="AV923" s="54"/>
      <c r="AW923" s="54"/>
      <c r="AX923" s="65">
        <v>0</v>
      </c>
      <c r="AY923" s="57">
        <f>IF(AND($AU923&gt;0,ISNUMBER($AX923)),$AU923*$AX923,0)</f>
        <v>0</v>
      </c>
      <c r="AZ923" s="46"/>
      <c r="BA923" s="52"/>
      <c r="BB923" s="52"/>
      <c r="BC923" s="52"/>
      <c r="BD923" s="52"/>
      <c r="BE923" s="52"/>
      <c r="BF923" s="52"/>
    </row>
    <row r="924" spans="1:58" ht="15" customHeight="1">
      <c r="A924" s="46" t="s">
        <v>5118</v>
      </c>
      <c r="B924" s="46" t="s">
        <v>5119</v>
      </c>
      <c r="C924" s="52" t="s">
        <v>232</v>
      </c>
      <c r="D924" s="75">
        <v>2</v>
      </c>
      <c r="E924" s="46" t="s">
        <v>531</v>
      </c>
      <c r="F924" s="50">
        <v>2</v>
      </c>
      <c r="G924" s="50">
        <v>1</v>
      </c>
      <c r="H924" s="51" t="s">
        <v>964</v>
      </c>
      <c r="I924" s="50" t="s">
        <v>5120</v>
      </c>
      <c r="J924" s="52" t="s">
        <v>73</v>
      </c>
      <c r="K924" s="46" t="s">
        <v>661</v>
      </c>
      <c r="L924" s="50" t="s">
        <v>5121</v>
      </c>
      <c r="M924" s="50"/>
      <c r="N924" s="50"/>
      <c r="O924" s="54"/>
      <c r="P924" s="55" t="s">
        <v>76</v>
      </c>
      <c r="Q924" s="46" t="s">
        <v>645</v>
      </c>
      <c r="R924" s="75" t="s">
        <v>5122</v>
      </c>
      <c r="S924" s="75">
        <v>1</v>
      </c>
      <c r="T924" s="75">
        <v>0</v>
      </c>
      <c r="U924" s="56"/>
      <c r="V924" s="57">
        <v>0.05</v>
      </c>
      <c r="W924" s="68"/>
      <c r="X924" s="46"/>
      <c r="Y924" s="46"/>
      <c r="Z924" s="46"/>
      <c r="AA924" s="56"/>
      <c r="AB924" s="57"/>
      <c r="AC924" s="54">
        <v>1</v>
      </c>
      <c r="AD924" s="54">
        <f>SUM(AE924:AK924)</f>
        <v>0</v>
      </c>
      <c r="AE924" s="66"/>
      <c r="AF924" s="66"/>
      <c r="AG924" s="66"/>
      <c r="AH924" s="66"/>
      <c r="AI924" s="66"/>
      <c r="AJ924" s="66"/>
      <c r="AK924" s="66"/>
      <c r="AL924" s="54">
        <f>IF((AC924-SUM(AE924:AK924))&lt;0,0,AC924-SUM(AE924:AK924))</f>
        <v>1</v>
      </c>
      <c r="AM924" s="54">
        <f>SUM(AN924:AT924)</f>
        <v>0</v>
      </c>
      <c r="AN924" s="52"/>
      <c r="AO924" s="52"/>
      <c r="AP924" s="52"/>
      <c r="AQ924" s="52"/>
      <c r="AR924" s="52"/>
      <c r="AS924" s="52"/>
      <c r="AT924" s="52"/>
      <c r="AU924" s="54">
        <f>MAX(0,$AM924-$AC924-$AW924)</f>
        <v>0</v>
      </c>
      <c r="AV924" s="52"/>
      <c r="AW924" s="52"/>
      <c r="AX924" s="65">
        <v>0</v>
      </c>
      <c r="AY924" s="57">
        <f>IF(AND($AU924&gt;0,ISNUMBER($AX924)),$AU924*$AX924,0)</f>
        <v>0</v>
      </c>
      <c r="AZ924" s="46"/>
      <c r="BA924" s="52"/>
      <c r="BB924" s="52"/>
      <c r="BC924" s="52"/>
      <c r="BD924" s="52"/>
      <c r="BE924" s="52"/>
      <c r="BF924" s="52"/>
    </row>
    <row r="925" spans="1:58" ht="15" customHeight="1">
      <c r="A925" s="46" t="s">
        <v>5123</v>
      </c>
      <c r="B925" s="46" t="s">
        <v>5124</v>
      </c>
      <c r="C925" s="52" t="s">
        <v>80</v>
      </c>
      <c r="D925" s="75">
        <v>4</v>
      </c>
      <c r="E925" s="46" t="s">
        <v>189</v>
      </c>
      <c r="F925" s="50"/>
      <c r="G925" s="50"/>
      <c r="H925" s="51"/>
      <c r="I925" s="50" t="s">
        <v>5125</v>
      </c>
      <c r="J925" s="52" t="s">
        <v>73</v>
      </c>
      <c r="K925" s="46" t="s">
        <v>135</v>
      </c>
      <c r="L925" s="50" t="s">
        <v>5126</v>
      </c>
      <c r="M925" s="50" t="s">
        <v>5127</v>
      </c>
      <c r="N925" s="50"/>
      <c r="O925" s="54"/>
      <c r="P925" s="55" t="s">
        <v>76</v>
      </c>
      <c r="Q925" s="46" t="s">
        <v>645</v>
      </c>
      <c r="R925" s="75" t="s">
        <v>1472</v>
      </c>
      <c r="S925" s="75">
        <v>1</v>
      </c>
      <c r="T925" s="75">
        <v>0</v>
      </c>
      <c r="U925" s="56" t="s">
        <v>5128</v>
      </c>
      <c r="V925" s="57">
        <v>0.05</v>
      </c>
      <c r="W925" s="68"/>
      <c r="X925" s="46"/>
      <c r="Y925" s="46"/>
      <c r="Z925" s="46"/>
      <c r="AA925" s="56"/>
      <c r="AB925" s="57"/>
      <c r="AC925" s="54">
        <v>1</v>
      </c>
      <c r="AD925" s="54">
        <f>SUM(AE925:AK925)</f>
        <v>0</v>
      </c>
      <c r="AE925" s="66"/>
      <c r="AF925" s="66"/>
      <c r="AG925" s="66"/>
      <c r="AH925" s="66"/>
      <c r="AI925" s="66"/>
      <c r="AJ925" s="66"/>
      <c r="AK925" s="66"/>
      <c r="AL925" s="54">
        <f>IF((AC925-SUM(AE925:AK925))&lt;0,0,AC925-SUM(AE925:AK925))</f>
        <v>1</v>
      </c>
      <c r="AM925" s="54">
        <f>SUM(AN925:AT925)</f>
        <v>0</v>
      </c>
      <c r="AN925" s="52"/>
      <c r="AO925" s="52"/>
      <c r="AP925" s="52"/>
      <c r="AQ925" s="52"/>
      <c r="AR925" s="52"/>
      <c r="AS925" s="52"/>
      <c r="AT925" s="52"/>
      <c r="AU925" s="54">
        <f>MAX(0,$AM925-$AC925-$AW925)</f>
        <v>0</v>
      </c>
      <c r="AV925" s="52"/>
      <c r="AW925" s="52"/>
      <c r="AX925" s="65">
        <v>0</v>
      </c>
      <c r="AY925" s="57">
        <f>IF(AND($AU925&gt;0,ISNUMBER($AX925)),$AU925*$AX925,0)</f>
        <v>0</v>
      </c>
      <c r="AZ925" s="46"/>
      <c r="BA925" s="52"/>
      <c r="BB925" s="52"/>
      <c r="BC925" s="52"/>
      <c r="BD925" s="52"/>
      <c r="BE925" s="52"/>
      <c r="BF925" s="52"/>
    </row>
    <row r="926" spans="1:58" ht="15" customHeight="1">
      <c r="A926" s="46" t="s">
        <v>5129</v>
      </c>
      <c r="B926" s="46" t="s">
        <v>5130</v>
      </c>
      <c r="C926" s="52" t="s">
        <v>70</v>
      </c>
      <c r="D926" s="75">
        <v>2</v>
      </c>
      <c r="E926" s="46" t="s">
        <v>81</v>
      </c>
      <c r="F926" s="50">
        <v>2</v>
      </c>
      <c r="G926" s="50">
        <v>2</v>
      </c>
      <c r="H926" s="51" t="s">
        <v>5131</v>
      </c>
      <c r="I926" s="50" t="s">
        <v>5132</v>
      </c>
      <c r="J926" s="52" t="s">
        <v>73</v>
      </c>
      <c r="K926" s="46" t="s">
        <v>676</v>
      </c>
      <c r="L926" s="50" t="s">
        <v>5133</v>
      </c>
      <c r="M926" s="50" t="s">
        <v>5134</v>
      </c>
      <c r="N926" s="50"/>
      <c r="O926" s="54"/>
      <c r="P926" s="55" t="s">
        <v>76</v>
      </c>
      <c r="Q926" s="46" t="s">
        <v>645</v>
      </c>
      <c r="R926" s="75" t="s">
        <v>5135</v>
      </c>
      <c r="S926" s="75">
        <v>1</v>
      </c>
      <c r="T926" s="75">
        <v>0</v>
      </c>
      <c r="U926" s="56"/>
      <c r="V926" s="57">
        <v>0.05</v>
      </c>
      <c r="W926" s="68"/>
      <c r="X926" s="46"/>
      <c r="Y926" s="46"/>
      <c r="Z926" s="46"/>
      <c r="AA926" s="56"/>
      <c r="AB926" s="57"/>
      <c r="AC926" s="54">
        <v>1</v>
      </c>
      <c r="AD926" s="54">
        <f>SUM(AE926:AK926)</f>
        <v>0</v>
      </c>
      <c r="AE926" s="66"/>
      <c r="AF926" s="66"/>
      <c r="AG926" s="66"/>
      <c r="AH926" s="66"/>
      <c r="AI926" s="66"/>
      <c r="AJ926" s="66"/>
      <c r="AK926" s="66"/>
      <c r="AL926" s="54">
        <f>IF((AC926-SUM(AE926:AK926))&lt;0,0,AC926-SUM(AE926:AK926))</f>
        <v>1</v>
      </c>
      <c r="AM926" s="54">
        <f>SUM(AN926:AT926)</f>
        <v>0</v>
      </c>
      <c r="AN926" s="52"/>
      <c r="AO926" s="52"/>
      <c r="AP926" s="52"/>
      <c r="AQ926" s="52"/>
      <c r="AR926" s="52"/>
      <c r="AS926" s="52"/>
      <c r="AT926" s="52"/>
      <c r="AU926" s="54">
        <f>MAX(0,$AM926-$AC926-$AW926)</f>
        <v>0</v>
      </c>
      <c r="AV926" s="52"/>
      <c r="AW926" s="52"/>
      <c r="AX926" s="65">
        <v>0</v>
      </c>
      <c r="AY926" s="57">
        <f>IF(AND($AU926&gt;0,ISNUMBER($AX926)),$AU926*$AX926,0)</f>
        <v>0</v>
      </c>
      <c r="AZ926" s="46"/>
      <c r="BA926" s="52"/>
      <c r="BB926" s="52"/>
      <c r="BC926" s="52"/>
      <c r="BD926" s="52"/>
      <c r="BE926" s="52"/>
      <c r="BF926" s="52"/>
    </row>
    <row r="927" spans="1:58" ht="15" customHeight="1">
      <c r="A927" s="46" t="s">
        <v>5136</v>
      </c>
      <c r="B927" s="46" t="s">
        <v>5137</v>
      </c>
      <c r="C927" s="52" t="s">
        <v>118</v>
      </c>
      <c r="D927" s="75">
        <v>3</v>
      </c>
      <c r="E927" s="46" t="s">
        <v>81</v>
      </c>
      <c r="F927" s="50">
        <v>3</v>
      </c>
      <c r="G927" s="50">
        <v>3</v>
      </c>
      <c r="H927" s="51" t="s">
        <v>5138</v>
      </c>
      <c r="I927" s="50" t="s">
        <v>5139</v>
      </c>
      <c r="J927" s="52" t="s">
        <v>73</v>
      </c>
      <c r="K927" s="46" t="s">
        <v>676</v>
      </c>
      <c r="L927" s="50" t="s">
        <v>5140</v>
      </c>
      <c r="M927" s="50" t="s">
        <v>5141</v>
      </c>
      <c r="N927" s="50"/>
      <c r="O927" s="54"/>
      <c r="P927" s="55" t="s">
        <v>76</v>
      </c>
      <c r="Q927" s="46" t="s">
        <v>645</v>
      </c>
      <c r="R927" s="75" t="s">
        <v>3995</v>
      </c>
      <c r="S927" s="75">
        <v>1</v>
      </c>
      <c r="T927" s="75">
        <v>0</v>
      </c>
      <c r="U927" s="56" t="s">
        <v>5142</v>
      </c>
      <c r="V927" s="57">
        <v>0.03</v>
      </c>
      <c r="W927" s="68"/>
      <c r="X927" s="46"/>
      <c r="Y927" s="46"/>
      <c r="Z927" s="46"/>
      <c r="AA927" s="56"/>
      <c r="AB927" s="57"/>
      <c r="AC927" s="54">
        <v>1</v>
      </c>
      <c r="AD927" s="54">
        <f>SUM(AE927:AK927)</f>
        <v>0</v>
      </c>
      <c r="AE927" s="66"/>
      <c r="AF927" s="66"/>
      <c r="AG927" s="66"/>
      <c r="AH927" s="66"/>
      <c r="AI927" s="66"/>
      <c r="AJ927" s="66"/>
      <c r="AK927" s="66"/>
      <c r="AL927" s="54">
        <f>IF((AC927-SUM(AE927:AK927))&lt;0,0,AC927-SUM(AE927:AK927))</f>
        <v>1</v>
      </c>
      <c r="AM927" s="54">
        <f>SUM(AN927:AT927)</f>
        <v>0</v>
      </c>
      <c r="AN927" s="52"/>
      <c r="AO927" s="52"/>
      <c r="AP927" s="52"/>
      <c r="AQ927" s="52"/>
      <c r="AR927" s="52"/>
      <c r="AS927" s="52"/>
      <c r="AT927" s="52"/>
      <c r="AU927" s="54">
        <f>MAX(0,$AM927-$AC927-$AW927)</f>
        <v>0</v>
      </c>
      <c r="AV927" s="52"/>
      <c r="AW927" s="52"/>
      <c r="AX927" s="65">
        <v>0</v>
      </c>
      <c r="AY927" s="57">
        <f>IF(AND($AU927&gt;0,ISNUMBER($AX927)),$AU927*$AX927,0)</f>
        <v>0</v>
      </c>
      <c r="AZ927" s="46"/>
      <c r="BA927" s="52"/>
      <c r="BB927" s="52"/>
      <c r="BC927" s="52"/>
      <c r="BD927" s="52"/>
      <c r="BE927" s="52"/>
      <c r="BF927" s="52"/>
    </row>
    <row r="928" spans="1:58" ht="15" customHeight="1">
      <c r="A928" s="46" t="s">
        <v>5143</v>
      </c>
      <c r="B928" s="50" t="s">
        <v>5144</v>
      </c>
      <c r="C928" s="54" t="s">
        <v>101</v>
      </c>
      <c r="D928" s="74">
        <v>3</v>
      </c>
      <c r="E928" s="50" t="s">
        <v>81</v>
      </c>
      <c r="F928" s="50">
        <v>3</v>
      </c>
      <c r="G928" s="50">
        <v>3</v>
      </c>
      <c r="H928" s="51" t="s">
        <v>5145</v>
      </c>
      <c r="I928" s="50" t="s">
        <v>5146</v>
      </c>
      <c r="J928" s="54" t="s">
        <v>73</v>
      </c>
      <c r="K928" s="50" t="s">
        <v>726</v>
      </c>
      <c r="L928" s="50" t="s">
        <v>5147</v>
      </c>
      <c r="M928" s="50" t="s">
        <v>130</v>
      </c>
      <c r="N928" s="50"/>
      <c r="O928" s="54"/>
      <c r="P928" s="56" t="s">
        <v>76</v>
      </c>
      <c r="Q928" s="50" t="s">
        <v>691</v>
      </c>
      <c r="R928" s="50" t="s">
        <v>5148</v>
      </c>
      <c r="S928" s="50">
        <v>1</v>
      </c>
      <c r="T928" s="50">
        <v>0</v>
      </c>
      <c r="U928" s="56" t="s">
        <v>5149</v>
      </c>
      <c r="V928" s="57"/>
      <c r="W928" s="56"/>
      <c r="X928" s="50"/>
      <c r="Y928" s="50"/>
      <c r="Z928" s="50"/>
      <c r="AA928" s="56"/>
      <c r="AB928" s="57"/>
      <c r="AC928" s="54">
        <v>1</v>
      </c>
      <c r="AD928" s="54">
        <f>SUM(AE928:AK928)</f>
        <v>0</v>
      </c>
      <c r="AE928" s="66"/>
      <c r="AF928" s="66"/>
      <c r="AG928" s="66"/>
      <c r="AH928" s="66"/>
      <c r="AI928" s="66"/>
      <c r="AJ928" s="66"/>
      <c r="AK928" s="66"/>
      <c r="AL928" s="54">
        <f>IF((AC928-SUM(AE928:AK928))&lt;0,0,AC928-SUM(AE928:AK928))</f>
        <v>1</v>
      </c>
      <c r="AM928" s="54">
        <f>SUM(AN928:AT928)</f>
        <v>0</v>
      </c>
      <c r="AN928" s="52"/>
      <c r="AO928" s="52"/>
      <c r="AP928" s="52"/>
      <c r="AQ928" s="52"/>
      <c r="AR928" s="52"/>
      <c r="AS928" s="52"/>
      <c r="AT928" s="52"/>
      <c r="AU928" s="54">
        <f>MAX(0,$AM928-$AC928-$AW928)</f>
        <v>0</v>
      </c>
      <c r="AV928" s="54"/>
      <c r="AW928" s="54"/>
      <c r="AX928" s="65">
        <v>0</v>
      </c>
      <c r="AY928" s="57">
        <f>IF(AND($AU928&gt;0,ISNUMBER($AX928)),$AU928*$AX928,0)</f>
        <v>0</v>
      </c>
      <c r="AZ928" s="46"/>
      <c r="BA928" s="52"/>
      <c r="BB928" s="52"/>
      <c r="BC928" s="52"/>
      <c r="BD928" s="52"/>
      <c r="BE928" s="52"/>
      <c r="BF928" s="52"/>
    </row>
    <row r="929" spans="1:58" ht="15" customHeight="1">
      <c r="A929" s="46" t="s">
        <v>5150</v>
      </c>
      <c r="B929" s="50" t="s">
        <v>5151</v>
      </c>
      <c r="C929" s="54" t="s">
        <v>109</v>
      </c>
      <c r="D929" s="74">
        <v>4</v>
      </c>
      <c r="E929" s="50" t="s">
        <v>233</v>
      </c>
      <c r="F929" s="50"/>
      <c r="G929" s="50"/>
      <c r="H929" s="51" t="s">
        <v>519</v>
      </c>
      <c r="I929" s="50" t="s">
        <v>5152</v>
      </c>
      <c r="J929" s="54" t="s">
        <v>73</v>
      </c>
      <c r="K929" s="50" t="s">
        <v>386</v>
      </c>
      <c r="L929" s="50" t="s">
        <v>5153</v>
      </c>
      <c r="M929" s="50" t="s">
        <v>4863</v>
      </c>
      <c r="N929" s="50" t="s">
        <v>5154</v>
      </c>
      <c r="O929" s="54"/>
      <c r="P929" s="56" t="s">
        <v>185</v>
      </c>
      <c r="Q929" s="50" t="s">
        <v>691</v>
      </c>
      <c r="R929" s="50" t="s">
        <v>5155</v>
      </c>
      <c r="S929" s="50">
        <v>1</v>
      </c>
      <c r="T929" s="50">
        <v>0</v>
      </c>
      <c r="U929" s="56" t="s">
        <v>3214</v>
      </c>
      <c r="V929" s="57"/>
      <c r="W929" s="56"/>
      <c r="X929" s="50"/>
      <c r="Y929" s="50"/>
      <c r="Z929" s="50"/>
      <c r="AA929" s="56"/>
      <c r="AB929" s="57"/>
      <c r="AC929" s="54">
        <v>1</v>
      </c>
      <c r="AD929" s="54">
        <f>SUM(AE929:AK929)</f>
        <v>0</v>
      </c>
      <c r="AE929" s="66"/>
      <c r="AF929" s="66"/>
      <c r="AG929" s="66"/>
      <c r="AH929" s="66"/>
      <c r="AI929" s="66"/>
      <c r="AJ929" s="66"/>
      <c r="AK929" s="66"/>
      <c r="AL929" s="54">
        <f>IF((AC929-SUM(AE929:AK929))&lt;0,0,AC929-SUM(AE929:AK929))</f>
        <v>1</v>
      </c>
      <c r="AM929" s="54">
        <f>SUM(AN929:AT929)</f>
        <v>0</v>
      </c>
      <c r="AN929" s="52"/>
      <c r="AO929" s="52"/>
      <c r="AP929" s="52"/>
      <c r="AQ929" s="52"/>
      <c r="AR929" s="52"/>
      <c r="AS929" s="52"/>
      <c r="AT929" s="52"/>
      <c r="AU929" s="54">
        <f>MAX(0,$AM929-$AC929-$AW929)</f>
        <v>0</v>
      </c>
      <c r="AV929" s="54"/>
      <c r="AW929" s="54"/>
      <c r="AX929" s="65">
        <v>0</v>
      </c>
      <c r="AY929" s="57">
        <f>IF(AND($AU929&gt;0,ISNUMBER($AX929)),$AU929*$AX929,0)</f>
        <v>0</v>
      </c>
      <c r="AZ929" s="46"/>
      <c r="BA929" s="52"/>
      <c r="BB929" s="52"/>
      <c r="BC929" s="52"/>
      <c r="BD929" s="52"/>
      <c r="BE929" s="52"/>
      <c r="BF929" s="52"/>
    </row>
    <row r="930" spans="1:58" ht="15" customHeight="1">
      <c r="A930" s="46" t="s">
        <v>5156</v>
      </c>
      <c r="B930" s="50" t="s">
        <v>5157</v>
      </c>
      <c r="C930" s="54" t="s">
        <v>70</v>
      </c>
      <c r="D930" s="74">
        <v>2</v>
      </c>
      <c r="E930" s="50" t="s">
        <v>189</v>
      </c>
      <c r="F930" s="50"/>
      <c r="G930" s="50"/>
      <c r="H930" s="51"/>
      <c r="I930" s="50" t="s">
        <v>5158</v>
      </c>
      <c r="J930" s="54" t="s">
        <v>73</v>
      </c>
      <c r="K930" s="50" t="s">
        <v>152</v>
      </c>
      <c r="L930" s="50" t="s">
        <v>5159</v>
      </c>
      <c r="M930" s="50" t="s">
        <v>5160</v>
      </c>
      <c r="N930" s="50"/>
      <c r="O930" s="54"/>
      <c r="P930" s="56" t="s">
        <v>76</v>
      </c>
      <c r="Q930" s="50" t="s">
        <v>691</v>
      </c>
      <c r="R930" s="50" t="s">
        <v>5161</v>
      </c>
      <c r="S930" s="50">
        <v>1</v>
      </c>
      <c r="T930" s="50">
        <v>1</v>
      </c>
      <c r="U930" s="56" t="s">
        <v>3488</v>
      </c>
      <c r="V930" s="57"/>
      <c r="W930" s="56"/>
      <c r="X930" s="50"/>
      <c r="Y930" s="50"/>
      <c r="Z930" s="50"/>
      <c r="AA930" s="56"/>
      <c r="AB930" s="57"/>
      <c r="AC930" s="54">
        <v>1</v>
      </c>
      <c r="AD930" s="54">
        <f>SUM(AE930:AK930)</f>
        <v>0</v>
      </c>
      <c r="AE930" s="66"/>
      <c r="AF930" s="66"/>
      <c r="AG930" s="66"/>
      <c r="AH930" s="66"/>
      <c r="AI930" s="66"/>
      <c r="AJ930" s="66"/>
      <c r="AK930" s="66"/>
      <c r="AL930" s="54">
        <f>IF((AC930-SUM(AE930:AK930))&lt;0,0,AC930-SUM(AE930:AK930))</f>
        <v>1</v>
      </c>
      <c r="AM930" s="54">
        <f>SUM(AN930:AT930)</f>
        <v>0</v>
      </c>
      <c r="AN930" s="52"/>
      <c r="AO930" s="52"/>
      <c r="AP930" s="52"/>
      <c r="AQ930" s="52"/>
      <c r="AR930" s="52"/>
      <c r="AS930" s="52"/>
      <c r="AT930" s="52"/>
      <c r="AU930" s="54">
        <f>MAX(0,$AM930-$AC930-$AW930)</f>
        <v>0</v>
      </c>
      <c r="AV930" s="54"/>
      <c r="AW930" s="54"/>
      <c r="AX930" s="65">
        <v>0</v>
      </c>
      <c r="AY930" s="57">
        <f>IF(AND($AU930&gt;0,ISNUMBER($AX930)),$AU930*$AX930,0)</f>
        <v>0</v>
      </c>
      <c r="AZ930" s="46"/>
      <c r="BA930" s="52"/>
      <c r="BB930" s="52"/>
      <c r="BC930" s="52"/>
      <c r="BD930" s="52"/>
      <c r="BE930" s="52"/>
      <c r="BF930" s="52"/>
    </row>
    <row r="931" spans="1:58" ht="15" customHeight="1">
      <c r="A931" s="46" t="s">
        <v>5162</v>
      </c>
      <c r="B931" s="50" t="s">
        <v>5163</v>
      </c>
      <c r="C931" s="54" t="s">
        <v>101</v>
      </c>
      <c r="D931" s="74">
        <v>6</v>
      </c>
      <c r="E931" s="50" t="s">
        <v>81</v>
      </c>
      <c r="F931" s="50">
        <v>4</v>
      </c>
      <c r="G931" s="50">
        <v>4</v>
      </c>
      <c r="H931" s="51" t="s">
        <v>879</v>
      </c>
      <c r="I931" s="50" t="s">
        <v>5164</v>
      </c>
      <c r="J931" s="54" t="s">
        <v>73</v>
      </c>
      <c r="K931" s="50" t="s">
        <v>152</v>
      </c>
      <c r="L931" s="50" t="s">
        <v>5165</v>
      </c>
      <c r="M931" s="50" t="s">
        <v>5166</v>
      </c>
      <c r="N931" s="50"/>
      <c r="O931" s="54"/>
      <c r="P931" s="56" t="s">
        <v>76</v>
      </c>
      <c r="Q931" s="50" t="s">
        <v>633</v>
      </c>
      <c r="R931" s="50"/>
      <c r="S931" s="50"/>
      <c r="T931" s="50"/>
      <c r="U931" s="56"/>
      <c r="V931" s="57"/>
      <c r="W931" s="56"/>
      <c r="X931" s="50"/>
      <c r="Y931" s="50"/>
      <c r="Z931" s="50"/>
      <c r="AA931" s="56"/>
      <c r="AB931" s="57"/>
      <c r="AC931" s="54">
        <v>1</v>
      </c>
      <c r="AD931" s="54">
        <f>SUM(AE931:AK931)</f>
        <v>1</v>
      </c>
      <c r="AE931" s="66"/>
      <c r="AF931" s="66"/>
      <c r="AG931" s="66"/>
      <c r="AH931" s="66"/>
      <c r="AI931" s="66"/>
      <c r="AJ931" s="66"/>
      <c r="AK931" s="66">
        <v>1</v>
      </c>
      <c r="AL931" s="54">
        <f>IF((AC931-SUM(AE931:AK931))&lt;0,0,AC931-SUM(AE931:AK931))</f>
        <v>0</v>
      </c>
      <c r="AM931" s="54">
        <f>SUM(AN931:AT931)</f>
        <v>0</v>
      </c>
      <c r="AN931" s="52"/>
      <c r="AO931" s="52"/>
      <c r="AP931" s="52"/>
      <c r="AQ931" s="52"/>
      <c r="AR931" s="52"/>
      <c r="AS931" s="52"/>
      <c r="AT931" s="52"/>
      <c r="AU931" s="54">
        <f>MAX(0,$AM931-$AC931-$AW931)</f>
        <v>0</v>
      </c>
      <c r="AV931" s="54"/>
      <c r="AW931" s="54"/>
      <c r="AX931" s="65">
        <v>0</v>
      </c>
      <c r="AY931" s="57">
        <f>IF(AND($AU931&gt;0,ISNUMBER($AX931)),$AU931*$AX931,0)</f>
        <v>0</v>
      </c>
      <c r="AZ931" s="46"/>
      <c r="BA931" s="52"/>
      <c r="BB931" s="52"/>
      <c r="BC931" s="52"/>
      <c r="BD931" s="52"/>
      <c r="BE931" s="52"/>
      <c r="BF931" s="52" t="s">
        <v>433</v>
      </c>
    </row>
    <row r="932" spans="1:58" ht="15" customHeight="1">
      <c r="A932" s="46" t="s">
        <v>5167</v>
      </c>
      <c r="B932" s="50" t="s">
        <v>5168</v>
      </c>
      <c r="C932" s="54" t="s">
        <v>80</v>
      </c>
      <c r="D932" s="74">
        <v>5</v>
      </c>
      <c r="E932" s="50" t="s">
        <v>110</v>
      </c>
      <c r="F932" s="50">
        <v>4</v>
      </c>
      <c r="G932" s="50">
        <v>5</v>
      </c>
      <c r="H932" s="51" t="s">
        <v>2701</v>
      </c>
      <c r="I932" s="50" t="s">
        <v>5169</v>
      </c>
      <c r="J932" s="54" t="s">
        <v>73</v>
      </c>
      <c r="K932" s="50" t="s">
        <v>92</v>
      </c>
      <c r="L932" s="50" t="s">
        <v>5170</v>
      </c>
      <c r="M932" s="50" t="s">
        <v>5171</v>
      </c>
      <c r="N932" s="50"/>
      <c r="O932" s="56">
        <v>4379</v>
      </c>
      <c r="P932" s="56" t="s">
        <v>76</v>
      </c>
      <c r="Q932" s="50" t="s">
        <v>633</v>
      </c>
      <c r="R932" s="50"/>
      <c r="S932" s="50"/>
      <c r="T932" s="50"/>
      <c r="U932" s="56"/>
      <c r="V932" s="57"/>
      <c r="W932" s="56"/>
      <c r="X932" s="50"/>
      <c r="Y932" s="50"/>
      <c r="Z932" s="50"/>
      <c r="AA932" s="56"/>
      <c r="AB932" s="57"/>
      <c r="AC932" s="54">
        <v>1</v>
      </c>
      <c r="AD932" s="54">
        <f>SUM(AE932:AK932)</f>
        <v>1</v>
      </c>
      <c r="AE932" s="66"/>
      <c r="AF932" s="66">
        <v>1</v>
      </c>
      <c r="AG932" s="66"/>
      <c r="AH932" s="66"/>
      <c r="AI932" s="66"/>
      <c r="AJ932" s="66"/>
      <c r="AK932" s="66"/>
      <c r="AL932" s="54">
        <f>IF((AC932-SUM(AE932:AK932))&lt;0,0,AC932-SUM(AE932:AK932))</f>
        <v>0</v>
      </c>
      <c r="AM932" s="54">
        <f>SUM(AN932:AT932)</f>
        <v>0</v>
      </c>
      <c r="AN932" s="52"/>
      <c r="AO932" s="52"/>
      <c r="AP932" s="52"/>
      <c r="AQ932" s="52"/>
      <c r="AR932" s="52"/>
      <c r="AS932" s="52"/>
      <c r="AT932" s="52"/>
      <c r="AU932" s="54">
        <f>MAX(0,$AM932-$AC932-$AW932)</f>
        <v>0</v>
      </c>
      <c r="AV932" s="54"/>
      <c r="AW932" s="54"/>
      <c r="AX932" s="65">
        <v>0</v>
      </c>
      <c r="AY932" s="57">
        <f>IF(AND($AU932&gt;0,ISNUMBER($AX932)),$AU932*$AX932,0)</f>
        <v>0</v>
      </c>
      <c r="AZ932" s="46"/>
      <c r="BA932" s="52" t="s">
        <v>488</v>
      </c>
      <c r="BB932" s="52"/>
      <c r="BC932" s="52"/>
      <c r="BD932" s="52"/>
      <c r="BE932" s="52"/>
      <c r="BF932" s="52"/>
    </row>
    <row r="933" spans="1:58" ht="15" customHeight="1">
      <c r="A933" s="46" t="s">
        <v>5172</v>
      </c>
      <c r="B933" s="46" t="s">
        <v>5173</v>
      </c>
      <c r="C933" s="52" t="s">
        <v>70</v>
      </c>
      <c r="D933" s="75">
        <v>2</v>
      </c>
      <c r="E933" s="46" t="s">
        <v>71</v>
      </c>
      <c r="F933" s="50"/>
      <c r="G933" s="50"/>
      <c r="H933" s="51"/>
      <c r="I933" s="50" t="s">
        <v>2479</v>
      </c>
      <c r="J933" s="52" t="s">
        <v>73</v>
      </c>
      <c r="K933" s="46" t="s">
        <v>92</v>
      </c>
      <c r="L933" s="50" t="s">
        <v>5174</v>
      </c>
      <c r="M933" s="50"/>
      <c r="N933" s="50"/>
      <c r="O933" s="54"/>
      <c r="P933" s="55" t="s">
        <v>76</v>
      </c>
      <c r="Q933" s="46" t="s">
        <v>1030</v>
      </c>
      <c r="R933" s="46"/>
      <c r="S933" s="46"/>
      <c r="T933" s="46"/>
      <c r="U933" s="56"/>
      <c r="V933" s="57"/>
      <c r="W933" s="56"/>
      <c r="X933" s="46"/>
      <c r="Y933" s="46"/>
      <c r="Z933" s="46"/>
      <c r="AA933" s="56"/>
      <c r="AB933" s="57"/>
      <c r="AC933" s="54">
        <v>1</v>
      </c>
      <c r="AD933" s="54">
        <f>SUM(AE933:AK933)</f>
        <v>1</v>
      </c>
      <c r="AE933" s="66"/>
      <c r="AF933" s="66"/>
      <c r="AG933" s="66"/>
      <c r="AH933" s="66"/>
      <c r="AI933" s="66"/>
      <c r="AJ933" s="66">
        <v>1</v>
      </c>
      <c r="AK933" s="66"/>
      <c r="AL933" s="54">
        <f>IF((AC933-SUM(AE933:AK933))&lt;0,0,AC933-SUM(AE933:AK933))</f>
        <v>0</v>
      </c>
      <c r="AM933" s="54">
        <f>SUM(AN933:AT933)</f>
        <v>1</v>
      </c>
      <c r="AN933" s="52"/>
      <c r="AO933" s="52"/>
      <c r="AP933" s="52"/>
      <c r="AQ933" s="52"/>
      <c r="AR933" s="52"/>
      <c r="AS933" s="52">
        <v>1</v>
      </c>
      <c r="AT933" s="52"/>
      <c r="AU933" s="54">
        <f>MAX(0,$AM933-$AC933-$AW933)</f>
        <v>0</v>
      </c>
      <c r="AV933" s="52"/>
      <c r="AW933" s="52"/>
      <c r="AX933" s="65">
        <v>0</v>
      </c>
      <c r="AY933" s="57">
        <f>IF(AND($AU933&gt;0,ISNUMBER($AX933)),$AU933*$AX933,0)</f>
        <v>0</v>
      </c>
      <c r="AZ933" s="46"/>
      <c r="BA933" s="52"/>
      <c r="BB933" s="52"/>
      <c r="BC933" s="52"/>
      <c r="BD933" s="52"/>
      <c r="BE933" s="52"/>
      <c r="BF933" s="52"/>
    </row>
    <row r="934" spans="1:58" ht="15" customHeight="1">
      <c r="A934" s="46" t="s">
        <v>5175</v>
      </c>
      <c r="B934" s="46" t="s">
        <v>5176</v>
      </c>
      <c r="C934" s="52" t="s">
        <v>80</v>
      </c>
      <c r="D934" s="75">
        <v>4</v>
      </c>
      <c r="E934" s="46" t="s">
        <v>81</v>
      </c>
      <c r="F934" s="50">
        <v>3</v>
      </c>
      <c r="G934" s="50">
        <v>1</v>
      </c>
      <c r="H934" s="51" t="s">
        <v>90</v>
      </c>
      <c r="I934" s="50" t="s">
        <v>5177</v>
      </c>
      <c r="J934" s="52" t="s">
        <v>73</v>
      </c>
      <c r="K934" s="46" t="s">
        <v>92</v>
      </c>
      <c r="L934" s="50" t="s">
        <v>5178</v>
      </c>
      <c r="M934" s="50" t="s">
        <v>5179</v>
      </c>
      <c r="N934" s="50" t="s">
        <v>136</v>
      </c>
      <c r="O934" s="54"/>
      <c r="P934" s="55" t="s">
        <v>76</v>
      </c>
      <c r="Q934" s="46" t="s">
        <v>873</v>
      </c>
      <c r="R934" s="46"/>
      <c r="S934" s="46"/>
      <c r="T934" s="46"/>
      <c r="U934" s="56"/>
      <c r="V934" s="57"/>
      <c r="W934" s="56"/>
      <c r="X934" s="46"/>
      <c r="Y934" s="46"/>
      <c r="Z934" s="46"/>
      <c r="AA934" s="56"/>
      <c r="AB934" s="57"/>
      <c r="AC934" s="54">
        <v>1</v>
      </c>
      <c r="AD934" s="54">
        <f>SUM(AE934:AK934)</f>
        <v>1</v>
      </c>
      <c r="AE934" s="66"/>
      <c r="AF934" s="66"/>
      <c r="AG934" s="66"/>
      <c r="AH934" s="66"/>
      <c r="AI934" s="66"/>
      <c r="AJ934" s="66"/>
      <c r="AK934" s="66">
        <v>1</v>
      </c>
      <c r="AL934" s="54">
        <f>IF((AC934-SUM(AE934:AK934))&lt;0,0,AC934-SUM(AE934:AK934))</f>
        <v>0</v>
      </c>
      <c r="AM934" s="54">
        <f>SUM(AN934:AT934)</f>
        <v>1</v>
      </c>
      <c r="AN934" s="52"/>
      <c r="AO934" s="52"/>
      <c r="AP934" s="52"/>
      <c r="AQ934" s="52"/>
      <c r="AR934" s="52"/>
      <c r="AS934" s="52"/>
      <c r="AT934" s="52">
        <v>1</v>
      </c>
      <c r="AU934" s="54">
        <f>MAX(0,$AM934-$AC934-$AW934)</f>
        <v>0</v>
      </c>
      <c r="AV934" s="52"/>
      <c r="AW934" s="52"/>
      <c r="AX934" s="65">
        <v>0</v>
      </c>
      <c r="AY934" s="57">
        <f>IF(AND($AU934&gt;0,ISNUMBER($AX934)),$AU934*$AX934,0)</f>
        <v>0</v>
      </c>
      <c r="AZ934" s="46"/>
      <c r="BA934" s="52"/>
      <c r="BB934" s="52"/>
      <c r="BC934" s="52"/>
      <c r="BD934" s="52"/>
      <c r="BE934" s="52"/>
      <c r="BF934" s="52"/>
    </row>
    <row r="935" spans="1:58" ht="15" customHeight="1">
      <c r="A935" s="46" t="s">
        <v>5180</v>
      </c>
      <c r="B935" s="50" t="s">
        <v>5181</v>
      </c>
      <c r="C935" s="54" t="s">
        <v>80</v>
      </c>
      <c r="D935" s="74">
        <v>2</v>
      </c>
      <c r="E935" s="50" t="s">
        <v>81</v>
      </c>
      <c r="F935" s="50">
        <v>1</v>
      </c>
      <c r="G935" s="50">
        <v>3</v>
      </c>
      <c r="H935" s="51" t="s">
        <v>5182</v>
      </c>
      <c r="I935" s="50" t="s">
        <v>5183</v>
      </c>
      <c r="J935" s="54" t="s">
        <v>73</v>
      </c>
      <c r="K935" s="50" t="s">
        <v>92</v>
      </c>
      <c r="L935" s="50" t="s">
        <v>5184</v>
      </c>
      <c r="M935" s="50"/>
      <c r="N935" s="50"/>
      <c r="O935" s="54"/>
      <c r="P935" s="56" t="s">
        <v>76</v>
      </c>
      <c r="Q935" s="50" t="s">
        <v>669</v>
      </c>
      <c r="R935" s="50"/>
      <c r="S935" s="50"/>
      <c r="T935" s="50"/>
      <c r="U935" s="56"/>
      <c r="V935" s="57"/>
      <c r="W935" s="56"/>
      <c r="X935" s="50"/>
      <c r="Y935" s="50"/>
      <c r="Z935" s="50"/>
      <c r="AA935" s="56"/>
      <c r="AB935" s="57"/>
      <c r="AC935" s="54">
        <v>1</v>
      </c>
      <c r="AD935" s="54">
        <f>SUM(AE935:AK935)</f>
        <v>1</v>
      </c>
      <c r="AE935" s="66"/>
      <c r="AF935" s="66"/>
      <c r="AG935" s="66"/>
      <c r="AH935" s="66"/>
      <c r="AI935" s="66"/>
      <c r="AJ935" s="66"/>
      <c r="AK935" s="66">
        <v>1</v>
      </c>
      <c r="AL935" s="54">
        <f>IF((AC935-SUM(AE935:AK935))&lt;0,0,AC935-SUM(AE935:AK935))</f>
        <v>0</v>
      </c>
      <c r="AM935" s="54">
        <f>SUM(AN935:AT935)</f>
        <v>0</v>
      </c>
      <c r="AN935" s="52"/>
      <c r="AO935" s="52"/>
      <c r="AP935" s="52"/>
      <c r="AQ935" s="52"/>
      <c r="AR935" s="52"/>
      <c r="AS935" s="52"/>
      <c r="AT935" s="52"/>
      <c r="AU935" s="54">
        <f>MAX(0,$AM935-$AC935-$AW935)</f>
        <v>0</v>
      </c>
      <c r="AV935" s="54"/>
      <c r="AW935" s="54"/>
      <c r="AX935" s="65">
        <v>0</v>
      </c>
      <c r="AY935" s="57">
        <f>IF(AND($AU935&gt;0,ISNUMBER($AX935)),$AU935*$AX935,0)</f>
        <v>0</v>
      </c>
      <c r="AZ935" s="46"/>
      <c r="BA935" s="52"/>
      <c r="BB935" s="52"/>
      <c r="BC935" s="52"/>
      <c r="BD935" s="52"/>
      <c r="BE935" s="52"/>
      <c r="BF935" s="52" t="s">
        <v>269</v>
      </c>
    </row>
    <row r="936" spans="1:58" ht="15" customHeight="1">
      <c r="A936" s="46" t="s">
        <v>5185</v>
      </c>
      <c r="B936" s="50" t="s">
        <v>5186</v>
      </c>
      <c r="C936" s="54" t="s">
        <v>109</v>
      </c>
      <c r="D936" s="74">
        <v>2</v>
      </c>
      <c r="E936" s="50" t="s">
        <v>110</v>
      </c>
      <c r="F936" s="50">
        <v>2</v>
      </c>
      <c r="G936" s="50">
        <v>2</v>
      </c>
      <c r="H936" s="51" t="s">
        <v>1461</v>
      </c>
      <c r="I936" s="50" t="s">
        <v>5187</v>
      </c>
      <c r="J936" s="54" t="s">
        <v>73</v>
      </c>
      <c r="K936" s="50" t="s">
        <v>864</v>
      </c>
      <c r="L936" s="50" t="s">
        <v>5188</v>
      </c>
      <c r="M936" s="50"/>
      <c r="N936" s="50"/>
      <c r="O936" s="56">
        <v>4946</v>
      </c>
      <c r="P936" s="56" t="s">
        <v>76</v>
      </c>
      <c r="Q936" s="50" t="s">
        <v>633</v>
      </c>
      <c r="R936" s="50"/>
      <c r="S936" s="50"/>
      <c r="T936" s="50"/>
      <c r="U936" s="56"/>
      <c r="V936" s="57"/>
      <c r="W936" s="56"/>
      <c r="X936" s="50"/>
      <c r="Y936" s="50"/>
      <c r="Z936" s="50"/>
      <c r="AA936" s="56"/>
      <c r="AB936" s="57"/>
      <c r="AC936" s="54">
        <v>1</v>
      </c>
      <c r="AD936" s="54">
        <f>SUM(AE936:AK936)</f>
        <v>0</v>
      </c>
      <c r="AE936" s="66"/>
      <c r="AF936" s="66"/>
      <c r="AG936" s="66"/>
      <c r="AH936" s="66"/>
      <c r="AI936" s="66"/>
      <c r="AJ936" s="66"/>
      <c r="AK936" s="66"/>
      <c r="AL936" s="54">
        <f>IF((AC936-SUM(AE936:AK936))&lt;0,0,AC936-SUM(AE936:AK936))</f>
        <v>1</v>
      </c>
      <c r="AM936" s="54">
        <f>SUM(AN936:AT936)</f>
        <v>0</v>
      </c>
      <c r="AN936" s="52"/>
      <c r="AO936" s="52"/>
      <c r="AP936" s="52"/>
      <c r="AQ936" s="52"/>
      <c r="AR936" s="52"/>
      <c r="AS936" s="52"/>
      <c r="AT936" s="52"/>
      <c r="AU936" s="54">
        <f>MAX(0,$AM936-$AC936-$AW936)</f>
        <v>0</v>
      </c>
      <c r="AV936" s="54"/>
      <c r="AW936" s="54"/>
      <c r="AX936" s="65">
        <v>0</v>
      </c>
      <c r="AY936" s="57">
        <f>IF(AND($AU936&gt;0,ISNUMBER($AX936)),$AU936*$AX936,0)</f>
        <v>0</v>
      </c>
      <c r="AZ936" s="46"/>
      <c r="BA936" s="52"/>
      <c r="BB936" s="52"/>
      <c r="BC936" s="52"/>
      <c r="BD936" s="52"/>
      <c r="BE936" s="52"/>
      <c r="BF936" s="52"/>
    </row>
    <row r="937" spans="1:58" ht="15" customHeight="1">
      <c r="A937" s="46" t="s">
        <v>5189</v>
      </c>
      <c r="B937" s="50" t="s">
        <v>5190</v>
      </c>
      <c r="C937" s="54" t="s">
        <v>118</v>
      </c>
      <c r="D937" s="74">
        <v>2</v>
      </c>
      <c r="E937" s="50" t="s">
        <v>189</v>
      </c>
      <c r="F937" s="50"/>
      <c r="G937" s="50"/>
      <c r="H937" s="51"/>
      <c r="I937" s="50" t="s">
        <v>5191</v>
      </c>
      <c r="J937" s="54" t="s">
        <v>73</v>
      </c>
      <c r="K937" s="50" t="s">
        <v>864</v>
      </c>
      <c r="L937" s="50" t="s">
        <v>5192</v>
      </c>
      <c r="M937" s="50" t="s">
        <v>2796</v>
      </c>
      <c r="N937" s="50"/>
      <c r="O937" s="54"/>
      <c r="P937" s="56" t="s">
        <v>76</v>
      </c>
      <c r="Q937" s="50" t="s">
        <v>691</v>
      </c>
      <c r="R937" s="50" t="s">
        <v>5193</v>
      </c>
      <c r="S937" s="50">
        <v>1</v>
      </c>
      <c r="T937" s="50">
        <v>0</v>
      </c>
      <c r="U937" s="56" t="s">
        <v>394</v>
      </c>
      <c r="V937" s="57"/>
      <c r="W937" s="56"/>
      <c r="X937" s="50"/>
      <c r="Y937" s="50"/>
      <c r="Z937" s="50"/>
      <c r="AA937" s="56"/>
      <c r="AB937" s="57"/>
      <c r="AC937" s="54">
        <v>1</v>
      </c>
      <c r="AD937" s="54">
        <f>SUM(AE937:AK937)</f>
        <v>0</v>
      </c>
      <c r="AE937" s="66"/>
      <c r="AF937" s="66"/>
      <c r="AG937" s="66"/>
      <c r="AH937" s="66"/>
      <c r="AI937" s="66"/>
      <c r="AJ937" s="66"/>
      <c r="AK937" s="66"/>
      <c r="AL937" s="54">
        <f>IF((AC937-SUM(AE937:AK937))&lt;0,0,AC937-SUM(AE937:AK937))</f>
        <v>1</v>
      </c>
      <c r="AM937" s="54">
        <f>SUM(AN937:AT937)</f>
        <v>0</v>
      </c>
      <c r="AN937" s="52"/>
      <c r="AO937" s="52"/>
      <c r="AP937" s="52"/>
      <c r="AQ937" s="52"/>
      <c r="AR937" s="52"/>
      <c r="AS937" s="52"/>
      <c r="AT937" s="52"/>
      <c r="AU937" s="54">
        <f>MAX(0,$AM937-$AC937-$AW937)</f>
        <v>0</v>
      </c>
      <c r="AV937" s="54"/>
      <c r="AW937" s="54"/>
      <c r="AX937" s="65">
        <v>0</v>
      </c>
      <c r="AY937" s="57">
        <f>IF(AND($AU937&gt;0,ISNUMBER($AX937)),$AU937*$AX937,0)</f>
        <v>0</v>
      </c>
      <c r="AZ937" s="46"/>
      <c r="BA937" s="52"/>
      <c r="BB937" s="52"/>
      <c r="BC937" s="52"/>
      <c r="BD937" s="52"/>
      <c r="BE937" s="52"/>
      <c r="BF937" s="52"/>
    </row>
    <row r="938" spans="1:58" ht="15" customHeight="1">
      <c r="A938" s="46" t="s">
        <v>5194</v>
      </c>
      <c r="B938" s="50" t="s">
        <v>5195</v>
      </c>
      <c r="C938" s="54" t="s">
        <v>118</v>
      </c>
      <c r="D938" s="74">
        <v>3</v>
      </c>
      <c r="E938" s="50" t="s">
        <v>189</v>
      </c>
      <c r="F938" s="50"/>
      <c r="G938" s="50"/>
      <c r="H938" s="51" t="s">
        <v>724</v>
      </c>
      <c r="I938" s="50" t="s">
        <v>5196</v>
      </c>
      <c r="J938" s="54" t="s">
        <v>73</v>
      </c>
      <c r="K938" s="50" t="s">
        <v>864</v>
      </c>
      <c r="L938" s="50" t="s">
        <v>5197</v>
      </c>
      <c r="M938" s="50"/>
      <c r="N938" s="50"/>
      <c r="O938" s="54"/>
      <c r="P938" s="56" t="s">
        <v>185</v>
      </c>
      <c r="Q938" s="50" t="s">
        <v>729</v>
      </c>
      <c r="R938" s="50"/>
      <c r="S938" s="50"/>
      <c r="T938" s="50"/>
      <c r="U938" s="56"/>
      <c r="V938" s="57"/>
      <c r="W938" s="56"/>
      <c r="X938" s="50"/>
      <c r="Y938" s="50"/>
      <c r="Z938" s="50"/>
      <c r="AA938" s="56"/>
      <c r="AB938" s="57"/>
      <c r="AC938" s="54">
        <v>1</v>
      </c>
      <c r="AD938" s="54">
        <f>SUM(AE938:AK938)</f>
        <v>0</v>
      </c>
      <c r="AE938" s="66"/>
      <c r="AF938" s="66"/>
      <c r="AG938" s="66"/>
      <c r="AH938" s="66"/>
      <c r="AI938" s="66"/>
      <c r="AJ938" s="66"/>
      <c r="AK938" s="66"/>
      <c r="AL938" s="54">
        <f>IF((AC938-SUM(AE938:AK938))&lt;0,0,AC938-SUM(AE938:AK938))</f>
        <v>1</v>
      </c>
      <c r="AM938" s="54">
        <f>SUM(AN938:AT938)</f>
        <v>0</v>
      </c>
      <c r="AN938" s="52"/>
      <c r="AO938" s="52"/>
      <c r="AP938" s="52"/>
      <c r="AQ938" s="52"/>
      <c r="AR938" s="52"/>
      <c r="AS938" s="52"/>
      <c r="AT938" s="52"/>
      <c r="AU938" s="54">
        <f>MAX(0,$AM938-$AC938-$AW938)</f>
        <v>0</v>
      </c>
      <c r="AV938" s="54"/>
      <c r="AW938" s="54"/>
      <c r="AX938" s="65">
        <v>0</v>
      </c>
      <c r="AY938" s="57">
        <f>IF(AND($AU938&gt;0,ISNUMBER($AX938)),$AU938*$AX938,0)</f>
        <v>0</v>
      </c>
      <c r="AZ938" s="46"/>
      <c r="BA938" s="52"/>
      <c r="BB938" s="52"/>
      <c r="BC938" s="52"/>
      <c r="BD938" s="52"/>
      <c r="BE938" s="52"/>
      <c r="BF938" s="52"/>
    </row>
    <row r="939" spans="1:58" ht="15" customHeight="1">
      <c r="A939" s="46" t="s">
        <v>5198</v>
      </c>
      <c r="B939" s="50" t="s">
        <v>5199</v>
      </c>
      <c r="C939" s="54" t="s">
        <v>118</v>
      </c>
      <c r="D939" s="74">
        <v>4</v>
      </c>
      <c r="E939" s="50" t="s">
        <v>81</v>
      </c>
      <c r="F939" s="50">
        <v>3</v>
      </c>
      <c r="G939" s="50">
        <v>4</v>
      </c>
      <c r="H939" s="51" t="s">
        <v>1491</v>
      </c>
      <c r="I939" s="50" t="s">
        <v>5200</v>
      </c>
      <c r="J939" s="54" t="s">
        <v>73</v>
      </c>
      <c r="K939" s="50" t="s">
        <v>864</v>
      </c>
      <c r="L939" s="50" t="s">
        <v>5201</v>
      </c>
      <c r="M939" s="50"/>
      <c r="N939" s="50"/>
      <c r="O939" s="54"/>
      <c r="P939" s="56" t="s">
        <v>185</v>
      </c>
      <c r="Q939" s="50" t="s">
        <v>633</v>
      </c>
      <c r="R939" s="50"/>
      <c r="S939" s="50"/>
      <c r="T939" s="50"/>
      <c r="U939" s="56"/>
      <c r="V939" s="57"/>
      <c r="W939" s="56"/>
      <c r="X939" s="50"/>
      <c r="Y939" s="50"/>
      <c r="Z939" s="50"/>
      <c r="AA939" s="56"/>
      <c r="AB939" s="57"/>
      <c r="AC939" s="54">
        <v>1</v>
      </c>
      <c r="AD939" s="54">
        <f>SUM(AE939:AK939)</f>
        <v>0</v>
      </c>
      <c r="AE939" s="66"/>
      <c r="AF939" s="66"/>
      <c r="AG939" s="66"/>
      <c r="AH939" s="66"/>
      <c r="AI939" s="66"/>
      <c r="AJ939" s="66"/>
      <c r="AK939" s="66"/>
      <c r="AL939" s="54">
        <f>IF((AC939-SUM(AE939:AK939))&lt;0,0,AC939-SUM(AE939:AK939))</f>
        <v>1</v>
      </c>
      <c r="AM939" s="54">
        <f>SUM(AN939:AT939)</f>
        <v>0</v>
      </c>
      <c r="AN939" s="52"/>
      <c r="AO939" s="52"/>
      <c r="AP939" s="52"/>
      <c r="AQ939" s="52"/>
      <c r="AR939" s="52"/>
      <c r="AS939" s="52"/>
      <c r="AT939" s="52"/>
      <c r="AU939" s="54">
        <f>MAX(0,$AM939-$AC939-$AW939)</f>
        <v>0</v>
      </c>
      <c r="AV939" s="54"/>
      <c r="AW939" s="54"/>
      <c r="AX939" s="65">
        <v>0</v>
      </c>
      <c r="AY939" s="57">
        <f>IF(AND($AU939&gt;0,ISNUMBER($AX939)),$AU939*$AX939,0)</f>
        <v>0</v>
      </c>
      <c r="AZ939" s="46"/>
      <c r="BA939" s="52"/>
      <c r="BB939" s="52"/>
      <c r="BC939" s="52"/>
      <c r="BD939" s="52"/>
      <c r="BE939" s="52"/>
      <c r="BF939" s="52"/>
    </row>
    <row r="940" spans="1:58" ht="15" customHeight="1">
      <c r="A940" s="46" t="s">
        <v>5202</v>
      </c>
      <c r="B940" s="50" t="s">
        <v>5203</v>
      </c>
      <c r="C940" s="54" t="s">
        <v>118</v>
      </c>
      <c r="D940" s="74">
        <v>1</v>
      </c>
      <c r="E940" s="50" t="s">
        <v>189</v>
      </c>
      <c r="F940" s="50"/>
      <c r="G940" s="50"/>
      <c r="H940" s="51" t="s">
        <v>724</v>
      </c>
      <c r="I940" s="50" t="s">
        <v>5204</v>
      </c>
      <c r="J940" s="54" t="s">
        <v>73</v>
      </c>
      <c r="K940" s="50" t="s">
        <v>864</v>
      </c>
      <c r="L940" s="50" t="s">
        <v>5205</v>
      </c>
      <c r="M940" s="50"/>
      <c r="N940" s="50"/>
      <c r="O940" s="54"/>
      <c r="P940" s="56" t="s">
        <v>76</v>
      </c>
      <c r="Q940" s="50" t="s">
        <v>729</v>
      </c>
      <c r="R940" s="50"/>
      <c r="S940" s="50"/>
      <c r="T940" s="50"/>
      <c r="U940" s="56"/>
      <c r="V940" s="57"/>
      <c r="W940" s="56"/>
      <c r="X940" s="50"/>
      <c r="Y940" s="50"/>
      <c r="Z940" s="50"/>
      <c r="AA940" s="56"/>
      <c r="AB940" s="57"/>
      <c r="AC940" s="54">
        <v>1</v>
      </c>
      <c r="AD940" s="54">
        <f>SUM(AE940:AK940)</f>
        <v>0</v>
      </c>
      <c r="AE940" s="66"/>
      <c r="AF940" s="66"/>
      <c r="AG940" s="66"/>
      <c r="AH940" s="66"/>
      <c r="AI940" s="66"/>
      <c r="AJ940" s="66"/>
      <c r="AK940" s="66"/>
      <c r="AL940" s="54">
        <f>IF((AC940-SUM(AE940:AK940))&lt;0,0,AC940-SUM(AE940:AK940))</f>
        <v>1</v>
      </c>
      <c r="AM940" s="54">
        <f>SUM(AN940:AT940)</f>
        <v>0</v>
      </c>
      <c r="AN940" s="52"/>
      <c r="AO940" s="52"/>
      <c r="AP940" s="52"/>
      <c r="AQ940" s="52"/>
      <c r="AR940" s="52"/>
      <c r="AS940" s="52"/>
      <c r="AT940" s="52"/>
      <c r="AU940" s="54">
        <f>MAX(0,$AM940-$AC940-$AW940)</f>
        <v>0</v>
      </c>
      <c r="AV940" s="54"/>
      <c r="AW940" s="54"/>
      <c r="AX940" s="65">
        <v>0</v>
      </c>
      <c r="AY940" s="57">
        <f>IF(AND($AU940&gt;0,ISNUMBER($AX940)),$AU940*$AX940,0)</f>
        <v>0</v>
      </c>
      <c r="AZ940" s="46"/>
      <c r="BA940" s="52"/>
      <c r="BB940" s="52"/>
      <c r="BC940" s="52"/>
      <c r="BD940" s="52"/>
      <c r="BE940" s="52"/>
      <c r="BF940" s="52"/>
    </row>
    <row r="941" spans="1:58" ht="15" customHeight="1">
      <c r="A941" s="46" t="s">
        <v>5206</v>
      </c>
      <c r="B941" s="50" t="s">
        <v>5207</v>
      </c>
      <c r="C941" s="54" t="s">
        <v>70</v>
      </c>
      <c r="D941" s="74">
        <v>4</v>
      </c>
      <c r="E941" s="50" t="s">
        <v>5208</v>
      </c>
      <c r="F941" s="50"/>
      <c r="G941" s="50"/>
      <c r="H941" s="51" t="s">
        <v>1019</v>
      </c>
      <c r="I941" s="50" t="s">
        <v>5209</v>
      </c>
      <c r="J941" s="54" t="s">
        <v>73</v>
      </c>
      <c r="K941" s="50" t="s">
        <v>1493</v>
      </c>
      <c r="L941" s="50" t="s">
        <v>5210</v>
      </c>
      <c r="M941" s="50" t="s">
        <v>5211</v>
      </c>
      <c r="N941" s="50"/>
      <c r="O941" s="54"/>
      <c r="P941" s="56" t="s">
        <v>185</v>
      </c>
      <c r="Q941" s="50" t="s">
        <v>669</v>
      </c>
      <c r="R941" s="50"/>
      <c r="S941" s="50"/>
      <c r="T941" s="50"/>
      <c r="U941" s="56"/>
      <c r="V941" s="57"/>
      <c r="W941" s="56"/>
      <c r="X941" s="50"/>
      <c r="Y941" s="50"/>
      <c r="Z941" s="50"/>
      <c r="AA941" s="56"/>
      <c r="AB941" s="57"/>
      <c r="AC941" s="54">
        <v>1</v>
      </c>
      <c r="AD941" s="54">
        <f>SUM(AE941:AK941)</f>
        <v>0</v>
      </c>
      <c r="AE941" s="66"/>
      <c r="AF941" s="66"/>
      <c r="AG941" s="66"/>
      <c r="AH941" s="66"/>
      <c r="AI941" s="66"/>
      <c r="AJ941" s="66"/>
      <c r="AK941" s="66"/>
      <c r="AL941" s="54">
        <f>IF((AC941-SUM(AE941:AK941))&lt;0,0,AC941-SUM(AE941:AK941))</f>
        <v>1</v>
      </c>
      <c r="AM941" s="54">
        <f>SUM(AN941:AT941)</f>
        <v>0</v>
      </c>
      <c r="AN941" s="52"/>
      <c r="AO941" s="52"/>
      <c r="AP941" s="52"/>
      <c r="AQ941" s="52"/>
      <c r="AR941" s="52"/>
      <c r="AS941" s="52"/>
      <c r="AT941" s="52"/>
      <c r="AU941" s="54">
        <f>MAX(0,$AM941-$AC941-$AW941)</f>
        <v>0</v>
      </c>
      <c r="AV941" s="54"/>
      <c r="AW941" s="54"/>
      <c r="AX941" s="65">
        <v>0</v>
      </c>
      <c r="AY941" s="57">
        <f>IF(AND($AU941&gt;0,ISNUMBER($AX941)),$AU941*$AX941,0)</f>
        <v>0</v>
      </c>
      <c r="AZ941" s="46"/>
      <c r="BA941" s="52"/>
      <c r="BB941" s="52"/>
      <c r="BC941" s="52"/>
      <c r="BD941" s="52"/>
      <c r="BE941" s="52"/>
      <c r="BF941" s="52"/>
    </row>
    <row r="942" spans="1:58" ht="15" customHeight="1">
      <c r="A942" s="46" t="s">
        <v>5212</v>
      </c>
      <c r="B942" s="50" t="s">
        <v>5213</v>
      </c>
      <c r="C942" s="54" t="s">
        <v>109</v>
      </c>
      <c r="D942" s="74">
        <v>3</v>
      </c>
      <c r="E942" s="50" t="s">
        <v>110</v>
      </c>
      <c r="F942" s="50">
        <v>1</v>
      </c>
      <c r="G942" s="50">
        <v>3</v>
      </c>
      <c r="H942" s="51" t="s">
        <v>5214</v>
      </c>
      <c r="I942" s="50" t="s">
        <v>5215</v>
      </c>
      <c r="J942" s="54" t="s">
        <v>73</v>
      </c>
      <c r="K942" s="50" t="s">
        <v>661</v>
      </c>
      <c r="L942" s="50" t="s">
        <v>5216</v>
      </c>
      <c r="M942" s="50" t="s">
        <v>304</v>
      </c>
      <c r="N942" s="50"/>
      <c r="O942" s="56">
        <v>3143</v>
      </c>
      <c r="P942" s="56" t="s">
        <v>185</v>
      </c>
      <c r="Q942" s="50" t="s">
        <v>633</v>
      </c>
      <c r="R942" s="50"/>
      <c r="S942" s="50"/>
      <c r="T942" s="50"/>
      <c r="U942" s="56"/>
      <c r="V942" s="57"/>
      <c r="W942" s="56"/>
      <c r="X942" s="50"/>
      <c r="Y942" s="50"/>
      <c r="Z942" s="50"/>
      <c r="AA942" s="56"/>
      <c r="AB942" s="57"/>
      <c r="AC942" s="54">
        <v>1</v>
      </c>
      <c r="AD942" s="54">
        <f>SUM(AE942:AK942)</f>
        <v>0</v>
      </c>
      <c r="AE942" s="66"/>
      <c r="AF942" s="66"/>
      <c r="AG942" s="66"/>
      <c r="AH942" s="66"/>
      <c r="AI942" s="66"/>
      <c r="AJ942" s="66"/>
      <c r="AK942" s="66"/>
      <c r="AL942" s="54">
        <f>IF((AC942-SUM(AE942:AK942))&lt;0,0,AC942-SUM(AE942:AK942))</f>
        <v>1</v>
      </c>
      <c r="AM942" s="54">
        <f>SUM(AN942:AT942)</f>
        <v>0</v>
      </c>
      <c r="AN942" s="52"/>
      <c r="AO942" s="52"/>
      <c r="AP942" s="52"/>
      <c r="AQ942" s="52"/>
      <c r="AR942" s="52"/>
      <c r="AS942" s="52"/>
      <c r="AT942" s="52"/>
      <c r="AU942" s="54">
        <f>MAX(0,$AM942-$AC942-$AW942)</f>
        <v>0</v>
      </c>
      <c r="AV942" s="54"/>
      <c r="AW942" s="54"/>
      <c r="AX942" s="65">
        <v>0</v>
      </c>
      <c r="AY942" s="57">
        <f>IF(AND($AU942&gt;0,ISNUMBER($AX942)),$AU942*$AX942,0)</f>
        <v>0</v>
      </c>
      <c r="AZ942" s="46"/>
      <c r="BA942" s="52"/>
      <c r="BB942" s="52"/>
      <c r="BC942" s="52"/>
      <c r="BD942" s="52"/>
      <c r="BE942" s="52"/>
      <c r="BF942" s="52"/>
    </row>
    <row r="943" spans="1:58" ht="15" customHeight="1">
      <c r="A943" s="46" t="s">
        <v>5217</v>
      </c>
      <c r="B943" s="50" t="s">
        <v>5218</v>
      </c>
      <c r="C943" s="54" t="s">
        <v>118</v>
      </c>
      <c r="D943" s="74">
        <v>2</v>
      </c>
      <c r="E943" s="50" t="s">
        <v>71</v>
      </c>
      <c r="F943" s="50"/>
      <c r="G943" s="50"/>
      <c r="H943" s="51"/>
      <c r="I943" s="50" t="s">
        <v>5219</v>
      </c>
      <c r="J943" s="54" t="s">
        <v>73</v>
      </c>
      <c r="K943" s="50" t="s">
        <v>661</v>
      </c>
      <c r="L943" s="50" t="s">
        <v>5220</v>
      </c>
      <c r="M943" s="50" t="s">
        <v>5221</v>
      </c>
      <c r="N943" s="50"/>
      <c r="O943" s="54"/>
      <c r="P943" s="56" t="s">
        <v>76</v>
      </c>
      <c r="Q943" s="50" t="s">
        <v>691</v>
      </c>
      <c r="R943" s="50" t="s">
        <v>5222</v>
      </c>
      <c r="S943" s="50">
        <v>1</v>
      </c>
      <c r="T943" s="50">
        <v>0</v>
      </c>
      <c r="U943" s="56" t="s">
        <v>772</v>
      </c>
      <c r="V943" s="57"/>
      <c r="W943" s="56"/>
      <c r="X943" s="50"/>
      <c r="Y943" s="50"/>
      <c r="Z943" s="50"/>
      <c r="AA943" s="56"/>
      <c r="AB943" s="57"/>
      <c r="AC943" s="54">
        <v>1</v>
      </c>
      <c r="AD943" s="54">
        <f>SUM(AE943:AK943)</f>
        <v>0</v>
      </c>
      <c r="AE943" s="66"/>
      <c r="AF943" s="66"/>
      <c r="AG943" s="66"/>
      <c r="AH943" s="66"/>
      <c r="AI943" s="66"/>
      <c r="AJ943" s="66"/>
      <c r="AK943" s="66"/>
      <c r="AL943" s="54">
        <f>IF((AC943-SUM(AE943:AK943))&lt;0,0,AC943-SUM(AE943:AK943))</f>
        <v>1</v>
      </c>
      <c r="AM943" s="54">
        <f>SUM(AN943:AT943)</f>
        <v>0</v>
      </c>
      <c r="AN943" s="52"/>
      <c r="AO943" s="52"/>
      <c r="AP943" s="52"/>
      <c r="AQ943" s="52"/>
      <c r="AR943" s="52"/>
      <c r="AS943" s="52"/>
      <c r="AT943" s="52"/>
      <c r="AU943" s="54">
        <f>MAX(0,$AM943-$AC943-$AW943)</f>
        <v>0</v>
      </c>
      <c r="AV943" s="54"/>
      <c r="AW943" s="54"/>
      <c r="AX943" s="65">
        <v>0</v>
      </c>
      <c r="AY943" s="57">
        <f>IF(AND($AU943&gt;0,ISNUMBER($AX943)),$AU943*$AX943,0)</f>
        <v>0</v>
      </c>
      <c r="AZ943" s="46"/>
      <c r="BA943" s="52"/>
      <c r="BB943" s="52"/>
      <c r="BC943" s="52"/>
      <c r="BD943" s="52"/>
      <c r="BE943" s="52"/>
      <c r="BF943" s="52"/>
    </row>
    <row r="944" spans="1:58" ht="15" customHeight="1">
      <c r="A944" s="46" t="s">
        <v>5223</v>
      </c>
      <c r="B944" s="50" t="s">
        <v>5224</v>
      </c>
      <c r="C944" s="54" t="s">
        <v>101</v>
      </c>
      <c r="D944" s="74">
        <v>4</v>
      </c>
      <c r="E944" s="50" t="s">
        <v>81</v>
      </c>
      <c r="F944" s="50">
        <v>4</v>
      </c>
      <c r="G944" s="50">
        <v>3</v>
      </c>
      <c r="H944" s="51" t="s">
        <v>5225</v>
      </c>
      <c r="I944" s="50" t="s">
        <v>5226</v>
      </c>
      <c r="J944" s="54" t="s">
        <v>73</v>
      </c>
      <c r="K944" s="50" t="s">
        <v>661</v>
      </c>
      <c r="L944" s="50" t="s">
        <v>5227</v>
      </c>
      <c r="M944" s="50" t="s">
        <v>5228</v>
      </c>
      <c r="N944" s="50"/>
      <c r="O944" s="54"/>
      <c r="P944" s="56" t="s">
        <v>76</v>
      </c>
      <c r="Q944" s="50" t="s">
        <v>729</v>
      </c>
      <c r="R944" s="50"/>
      <c r="S944" s="50"/>
      <c r="T944" s="50"/>
      <c r="U944" s="56"/>
      <c r="V944" s="57"/>
      <c r="W944" s="56"/>
      <c r="X944" s="50"/>
      <c r="Y944" s="50"/>
      <c r="Z944" s="50"/>
      <c r="AA944" s="56"/>
      <c r="AB944" s="57"/>
      <c r="AC944" s="54">
        <v>1</v>
      </c>
      <c r="AD944" s="54">
        <f>SUM(AE944:AK944)</f>
        <v>0</v>
      </c>
      <c r="AE944" s="66"/>
      <c r="AF944" s="66"/>
      <c r="AG944" s="66"/>
      <c r="AH944" s="66"/>
      <c r="AI944" s="66"/>
      <c r="AJ944" s="66"/>
      <c r="AK944" s="66"/>
      <c r="AL944" s="54">
        <f>IF((AC944-SUM(AE944:AK944))&lt;0,0,AC944-SUM(AE944:AK944))</f>
        <v>1</v>
      </c>
      <c r="AM944" s="54">
        <f>SUM(AN944:AT944)</f>
        <v>0</v>
      </c>
      <c r="AN944" s="52"/>
      <c r="AO944" s="52"/>
      <c r="AP944" s="52"/>
      <c r="AQ944" s="52"/>
      <c r="AR944" s="52"/>
      <c r="AS944" s="52"/>
      <c r="AT944" s="52"/>
      <c r="AU944" s="54">
        <f>MAX(0,$AM944-$AC944-$AW944)</f>
        <v>0</v>
      </c>
      <c r="AV944" s="54"/>
      <c r="AW944" s="54"/>
      <c r="AX944" s="65">
        <v>0</v>
      </c>
      <c r="AY944" s="57">
        <f>IF(AND($AU944&gt;0,ISNUMBER($AX944)),$AU944*$AX944,0)</f>
        <v>0</v>
      </c>
      <c r="AZ944" s="46"/>
      <c r="BA944" s="52"/>
      <c r="BB944" s="52"/>
      <c r="BC944" s="52"/>
      <c r="BD944" s="52"/>
      <c r="BE944" s="52"/>
      <c r="BF944" s="52"/>
    </row>
    <row r="945" spans="1:58" ht="15" customHeight="1">
      <c r="A945" s="46" t="s">
        <v>5229</v>
      </c>
      <c r="B945" s="50" t="s">
        <v>5230</v>
      </c>
      <c r="C945" s="54" t="s">
        <v>70</v>
      </c>
      <c r="D945" s="74">
        <v>2</v>
      </c>
      <c r="E945" s="50" t="s">
        <v>110</v>
      </c>
      <c r="F945" s="50">
        <v>1</v>
      </c>
      <c r="G945" s="50">
        <v>3</v>
      </c>
      <c r="H945" s="51" t="s">
        <v>1174</v>
      </c>
      <c r="I945" s="50" t="s">
        <v>5231</v>
      </c>
      <c r="J945" s="54" t="s">
        <v>73</v>
      </c>
      <c r="K945" s="50" t="s">
        <v>1099</v>
      </c>
      <c r="L945" s="50" t="s">
        <v>5232</v>
      </c>
      <c r="M945" s="50" t="s">
        <v>5233</v>
      </c>
      <c r="N945" s="50" t="s">
        <v>5234</v>
      </c>
      <c r="O945" s="56">
        <v>509</v>
      </c>
      <c r="P945" s="56" t="s">
        <v>86</v>
      </c>
      <c r="Q945" s="50" t="s">
        <v>669</v>
      </c>
      <c r="R945" s="50"/>
      <c r="S945" s="50"/>
      <c r="T945" s="50"/>
      <c r="U945" s="56"/>
      <c r="V945" s="57"/>
      <c r="W945" s="56"/>
      <c r="X945" s="50"/>
      <c r="Y945" s="50"/>
      <c r="Z945" s="50"/>
      <c r="AA945" s="56"/>
      <c r="AB945" s="57"/>
      <c r="AC945" s="54">
        <v>1</v>
      </c>
      <c r="AD945" s="54">
        <f>SUM(AE945:AK945)</f>
        <v>0</v>
      </c>
      <c r="AE945" s="66"/>
      <c r="AF945" s="66"/>
      <c r="AG945" s="66"/>
      <c r="AH945" s="66"/>
      <c r="AI945" s="66"/>
      <c r="AJ945" s="66"/>
      <c r="AK945" s="66"/>
      <c r="AL945" s="54">
        <f>IF((AC945-SUM(AE945:AK945))&lt;0,0,AC945-SUM(AE945:AK945))</f>
        <v>1</v>
      </c>
      <c r="AM945" s="54">
        <f>SUM(AN945:AT945)</f>
        <v>0</v>
      </c>
      <c r="AN945" s="52"/>
      <c r="AO945" s="52"/>
      <c r="AP945" s="52"/>
      <c r="AQ945" s="52"/>
      <c r="AR945" s="52"/>
      <c r="AS945" s="52"/>
      <c r="AT945" s="52"/>
      <c r="AU945" s="54">
        <f>MAX(0,$AM945-$AC945-$AW945)</f>
        <v>0</v>
      </c>
      <c r="AV945" s="54"/>
      <c r="AW945" s="54"/>
      <c r="AX945" s="65">
        <v>0</v>
      </c>
      <c r="AY945" s="57">
        <f>IF(AND($AU945&gt;0,ISNUMBER($AX945)),$AU945*$AX945,0)</f>
        <v>0</v>
      </c>
      <c r="AZ945" s="46"/>
      <c r="BA945" s="52"/>
      <c r="BB945" s="52"/>
      <c r="BC945" s="52"/>
      <c r="BD945" s="52"/>
      <c r="BE945" s="52"/>
      <c r="BF945" s="52"/>
    </row>
    <row r="946" spans="1:58" ht="15" customHeight="1">
      <c r="A946" s="46" t="s">
        <v>5235</v>
      </c>
      <c r="B946" s="50" t="s">
        <v>5236</v>
      </c>
      <c r="C946" s="54" t="s">
        <v>181</v>
      </c>
      <c r="D946" s="74">
        <v>1</v>
      </c>
      <c r="E946" s="50" t="s">
        <v>2971</v>
      </c>
      <c r="F946" s="50"/>
      <c r="G946" s="50"/>
      <c r="H946" s="51" t="s">
        <v>3902</v>
      </c>
      <c r="I946" s="50" t="s">
        <v>5237</v>
      </c>
      <c r="J946" s="54" t="s">
        <v>73</v>
      </c>
      <c r="K946" s="50" t="s">
        <v>273</v>
      </c>
      <c r="L946" s="50" t="s">
        <v>5238</v>
      </c>
      <c r="M946" s="50" t="s">
        <v>5239</v>
      </c>
      <c r="N946" s="50"/>
      <c r="O946" s="54"/>
      <c r="P946" s="56" t="s">
        <v>185</v>
      </c>
      <c r="Q946" s="50" t="s">
        <v>729</v>
      </c>
      <c r="R946" s="50"/>
      <c r="S946" s="50"/>
      <c r="T946" s="50"/>
      <c r="U946" s="56"/>
      <c r="V946" s="57"/>
      <c r="W946" s="56"/>
      <c r="X946" s="50"/>
      <c r="Y946" s="50"/>
      <c r="Z946" s="50"/>
      <c r="AA946" s="56"/>
      <c r="AB946" s="57"/>
      <c r="AC946" s="54">
        <v>1</v>
      </c>
      <c r="AD946" s="54">
        <f>SUM(AE946:AK946)</f>
        <v>0</v>
      </c>
      <c r="AE946" s="66"/>
      <c r="AF946" s="66"/>
      <c r="AG946" s="66"/>
      <c r="AH946" s="66"/>
      <c r="AI946" s="66"/>
      <c r="AJ946" s="66"/>
      <c r="AK946" s="66"/>
      <c r="AL946" s="54">
        <f>IF((AC946-SUM(AE946:AK946))&lt;0,0,AC946-SUM(AE946:AK946))</f>
        <v>1</v>
      </c>
      <c r="AM946" s="54">
        <f>SUM(AN946:AT946)</f>
        <v>0</v>
      </c>
      <c r="AN946" s="52"/>
      <c r="AO946" s="52"/>
      <c r="AP946" s="52"/>
      <c r="AQ946" s="52"/>
      <c r="AR946" s="52"/>
      <c r="AS946" s="52"/>
      <c r="AT946" s="52"/>
      <c r="AU946" s="54">
        <f>MAX(0,$AM946-$AC946-$AW946)</f>
        <v>0</v>
      </c>
      <c r="AV946" s="54"/>
      <c r="AW946" s="54"/>
      <c r="AX946" s="65">
        <v>0</v>
      </c>
      <c r="AY946" s="57">
        <f>IF(AND($AU946&gt;0,ISNUMBER($AX946)),$AU946*$AX946,0)</f>
        <v>0</v>
      </c>
      <c r="AZ946" s="46"/>
      <c r="BA946" s="52"/>
      <c r="BB946" s="52"/>
      <c r="BC946" s="52"/>
      <c r="BD946" s="52"/>
      <c r="BE946" s="52"/>
      <c r="BF946" s="52"/>
    </row>
    <row r="947" spans="1:58" ht="15" customHeight="1">
      <c r="A947" s="46" t="s">
        <v>5240</v>
      </c>
      <c r="B947" s="50" t="s">
        <v>5241</v>
      </c>
      <c r="C947" s="54" t="s">
        <v>101</v>
      </c>
      <c r="D947" s="74">
        <v>6</v>
      </c>
      <c r="E947" s="50" t="s">
        <v>81</v>
      </c>
      <c r="F947" s="50">
        <v>6</v>
      </c>
      <c r="G947" s="50">
        <v>7</v>
      </c>
      <c r="H947" s="51" t="s">
        <v>919</v>
      </c>
      <c r="I947" s="50" t="s">
        <v>5242</v>
      </c>
      <c r="J947" s="54" t="s">
        <v>73</v>
      </c>
      <c r="K947" s="50" t="s">
        <v>170</v>
      </c>
      <c r="L947" s="50" t="s">
        <v>5243</v>
      </c>
      <c r="M947" s="50" t="s">
        <v>5244</v>
      </c>
      <c r="N947" s="50"/>
      <c r="O947" s="54"/>
      <c r="P947" s="56" t="s">
        <v>185</v>
      </c>
      <c r="Q947" s="50" t="s">
        <v>633</v>
      </c>
      <c r="R947" s="50"/>
      <c r="S947" s="50"/>
      <c r="T947" s="50"/>
      <c r="U947" s="56"/>
      <c r="V947" s="57"/>
      <c r="W947" s="56"/>
      <c r="X947" s="50"/>
      <c r="Y947" s="50"/>
      <c r="Z947" s="50"/>
      <c r="AA947" s="56"/>
      <c r="AB947" s="57"/>
      <c r="AC947" s="54">
        <v>1</v>
      </c>
      <c r="AD947" s="54">
        <f>SUM(AE947:AK947)</f>
        <v>0</v>
      </c>
      <c r="AE947" s="66"/>
      <c r="AF947" s="66"/>
      <c r="AG947" s="66"/>
      <c r="AH947" s="66"/>
      <c r="AI947" s="66"/>
      <c r="AJ947" s="66"/>
      <c r="AK947" s="66"/>
      <c r="AL947" s="54">
        <f>IF((AC947-SUM(AE947:AK947))&lt;0,0,AC947-SUM(AE947:AK947))</f>
        <v>1</v>
      </c>
      <c r="AM947" s="54">
        <f>SUM(AN947:AT947)</f>
        <v>0</v>
      </c>
      <c r="AN947" s="52"/>
      <c r="AO947" s="52"/>
      <c r="AP947" s="52"/>
      <c r="AQ947" s="52"/>
      <c r="AR947" s="52"/>
      <c r="AS947" s="52"/>
      <c r="AT947" s="52"/>
      <c r="AU947" s="54">
        <f>MAX(0,$AM947-$AC947-$AW947)</f>
        <v>0</v>
      </c>
      <c r="AV947" s="54"/>
      <c r="AW947" s="54"/>
      <c r="AX947" s="65">
        <v>0</v>
      </c>
      <c r="AY947" s="57">
        <f>IF(AND($AU947&gt;0,ISNUMBER($AX947)),$AU947*$AX947,0)</f>
        <v>0</v>
      </c>
      <c r="AZ947" s="46"/>
      <c r="BA947" s="52"/>
      <c r="BB947" s="52"/>
      <c r="BC947" s="52"/>
      <c r="BD947" s="52"/>
      <c r="BE947" s="52"/>
      <c r="BF947" s="52"/>
    </row>
    <row r="948" spans="1:58" ht="15" customHeight="1">
      <c r="A948" s="46" t="s">
        <v>5245</v>
      </c>
      <c r="B948" s="50" t="s">
        <v>5246</v>
      </c>
      <c r="C948" s="54" t="s">
        <v>109</v>
      </c>
      <c r="D948" s="74">
        <v>5</v>
      </c>
      <c r="E948" s="50" t="s">
        <v>81</v>
      </c>
      <c r="F948" s="50">
        <v>5</v>
      </c>
      <c r="G948" s="50">
        <v>5</v>
      </c>
      <c r="H948" s="51" t="s">
        <v>4581</v>
      </c>
      <c r="I948" s="50" t="s">
        <v>5247</v>
      </c>
      <c r="J948" s="54" t="s">
        <v>73</v>
      </c>
      <c r="K948" s="50" t="s">
        <v>170</v>
      </c>
      <c r="L948" s="50" t="s">
        <v>5248</v>
      </c>
      <c r="M948" s="50"/>
      <c r="N948" s="50"/>
      <c r="O948" s="54"/>
      <c r="P948" s="56" t="s">
        <v>185</v>
      </c>
      <c r="Q948" s="50" t="s">
        <v>633</v>
      </c>
      <c r="R948" s="50"/>
      <c r="S948" s="50"/>
      <c r="T948" s="50"/>
      <c r="U948" s="56"/>
      <c r="V948" s="57"/>
      <c r="W948" s="56"/>
      <c r="X948" s="50"/>
      <c r="Y948" s="50"/>
      <c r="Z948" s="50"/>
      <c r="AA948" s="56"/>
      <c r="AB948" s="57"/>
      <c r="AC948" s="54">
        <v>1</v>
      </c>
      <c r="AD948" s="54">
        <f>SUM(AE948:AK948)</f>
        <v>0</v>
      </c>
      <c r="AE948" s="66"/>
      <c r="AF948" s="66"/>
      <c r="AG948" s="66"/>
      <c r="AH948" s="66"/>
      <c r="AI948" s="66"/>
      <c r="AJ948" s="66"/>
      <c r="AK948" s="66"/>
      <c r="AL948" s="54">
        <f>IF((AC948-SUM(AE948:AK948))&lt;0,0,AC948-SUM(AE948:AK948))</f>
        <v>1</v>
      </c>
      <c r="AM948" s="54">
        <f>SUM(AN948:AT948)</f>
        <v>0</v>
      </c>
      <c r="AN948" s="52"/>
      <c r="AO948" s="52"/>
      <c r="AP948" s="52"/>
      <c r="AQ948" s="52"/>
      <c r="AR948" s="52"/>
      <c r="AS948" s="52"/>
      <c r="AT948" s="52"/>
      <c r="AU948" s="54">
        <f>MAX(0,$AM948-$AC948-$AW948)</f>
        <v>0</v>
      </c>
      <c r="AV948" s="54"/>
      <c r="AW948" s="54"/>
      <c r="AX948" s="65">
        <v>0</v>
      </c>
      <c r="AY948" s="57">
        <f>IF(AND($AU948&gt;0,ISNUMBER($AX948)),$AU948*$AX948,0)</f>
        <v>0</v>
      </c>
      <c r="AZ948" s="46"/>
      <c r="BA948" s="52"/>
      <c r="BB948" s="52"/>
      <c r="BC948" s="52"/>
      <c r="BD948" s="52"/>
      <c r="BE948" s="52"/>
      <c r="BF948" s="52"/>
    </row>
    <row r="949" spans="1:58" ht="15" customHeight="1">
      <c r="A949" s="46" t="s">
        <v>5249</v>
      </c>
      <c r="B949" s="50" t="s">
        <v>5250</v>
      </c>
      <c r="C949" s="54" t="s">
        <v>80</v>
      </c>
      <c r="D949" s="74">
        <v>6</v>
      </c>
      <c r="E949" s="50" t="s">
        <v>81</v>
      </c>
      <c r="F949" s="50">
        <v>5</v>
      </c>
      <c r="G949" s="50">
        <v>7</v>
      </c>
      <c r="H949" s="51" t="s">
        <v>2034</v>
      </c>
      <c r="I949" s="50" t="s">
        <v>5251</v>
      </c>
      <c r="J949" s="54" t="s">
        <v>73</v>
      </c>
      <c r="K949" s="50" t="s">
        <v>170</v>
      </c>
      <c r="L949" s="50" t="s">
        <v>5252</v>
      </c>
      <c r="M949" s="50" t="s">
        <v>5253</v>
      </c>
      <c r="N949" s="50"/>
      <c r="O949" s="54"/>
      <c r="P949" s="56" t="s">
        <v>76</v>
      </c>
      <c r="Q949" s="50" t="s">
        <v>729</v>
      </c>
      <c r="R949" s="50"/>
      <c r="S949" s="50"/>
      <c r="T949" s="50"/>
      <c r="U949" s="56"/>
      <c r="V949" s="57"/>
      <c r="W949" s="56"/>
      <c r="X949" s="50"/>
      <c r="Y949" s="50"/>
      <c r="Z949" s="50"/>
      <c r="AA949" s="56"/>
      <c r="AB949" s="57"/>
      <c r="AC949" s="54">
        <v>1</v>
      </c>
      <c r="AD949" s="54">
        <f>SUM(AE949:AK949)</f>
        <v>0</v>
      </c>
      <c r="AE949" s="66"/>
      <c r="AF949" s="66"/>
      <c r="AG949" s="66"/>
      <c r="AH949" s="66"/>
      <c r="AI949" s="66"/>
      <c r="AJ949" s="66"/>
      <c r="AK949" s="66"/>
      <c r="AL949" s="54">
        <f>IF((AC949-SUM(AE949:AK949))&lt;0,0,AC949-SUM(AE949:AK949))</f>
        <v>1</v>
      </c>
      <c r="AM949" s="54">
        <f>SUM(AN949:AT949)</f>
        <v>0</v>
      </c>
      <c r="AN949" s="52"/>
      <c r="AO949" s="52"/>
      <c r="AP949" s="52"/>
      <c r="AQ949" s="52"/>
      <c r="AR949" s="52"/>
      <c r="AS949" s="52"/>
      <c r="AT949" s="52"/>
      <c r="AU949" s="54">
        <f>MAX(0,$AM949-$AC949-$AW949)</f>
        <v>0</v>
      </c>
      <c r="AV949" s="54"/>
      <c r="AW949" s="54"/>
      <c r="AX949" s="65">
        <v>0</v>
      </c>
      <c r="AY949" s="57">
        <f>IF(AND($AU949&gt;0,ISNUMBER($AX949)),$AU949*$AX949,0)</f>
        <v>0</v>
      </c>
      <c r="AZ949" s="46"/>
      <c r="BA949" s="52"/>
      <c r="BB949" s="52"/>
      <c r="BC949" s="52"/>
      <c r="BD949" s="52"/>
      <c r="BE949" s="52"/>
      <c r="BF949" s="52"/>
    </row>
    <row r="950" spans="1:58" ht="15" customHeight="1">
      <c r="A950" s="46" t="s">
        <v>5254</v>
      </c>
      <c r="B950" s="50" t="s">
        <v>5255</v>
      </c>
      <c r="C950" s="54" t="s">
        <v>232</v>
      </c>
      <c r="D950" s="74">
        <v>2</v>
      </c>
      <c r="E950" s="50" t="s">
        <v>984</v>
      </c>
      <c r="F950" s="50"/>
      <c r="G950" s="50"/>
      <c r="H950" s="51"/>
      <c r="I950" s="50" t="s">
        <v>5256</v>
      </c>
      <c r="J950" s="54" t="s">
        <v>73</v>
      </c>
      <c r="K950" s="50" t="s">
        <v>1752</v>
      </c>
      <c r="L950" s="50" t="s">
        <v>3821</v>
      </c>
      <c r="M950" s="50" t="s">
        <v>5257</v>
      </c>
      <c r="N950" s="50"/>
      <c r="O950" s="54"/>
      <c r="P950" s="56" t="s">
        <v>185</v>
      </c>
      <c r="Q950" s="50" t="s">
        <v>633</v>
      </c>
      <c r="R950" s="50"/>
      <c r="S950" s="50"/>
      <c r="T950" s="50"/>
      <c r="U950" s="56"/>
      <c r="V950" s="57"/>
      <c r="W950" s="56"/>
      <c r="X950" s="50"/>
      <c r="Y950" s="50"/>
      <c r="Z950" s="50"/>
      <c r="AA950" s="56"/>
      <c r="AB950" s="57"/>
      <c r="AC950" s="54">
        <v>1</v>
      </c>
      <c r="AD950" s="54">
        <f>SUM(AE950:AK950)</f>
        <v>0</v>
      </c>
      <c r="AE950" s="66"/>
      <c r="AF950" s="66"/>
      <c r="AG950" s="66"/>
      <c r="AH950" s="66"/>
      <c r="AI950" s="66"/>
      <c r="AJ950" s="66"/>
      <c r="AK950" s="66"/>
      <c r="AL950" s="54">
        <f>IF((AC950-SUM(AE950:AK950))&lt;0,0,AC950-SUM(AE950:AK950))</f>
        <v>1</v>
      </c>
      <c r="AM950" s="54">
        <f>SUM(AN950:AT950)</f>
        <v>0</v>
      </c>
      <c r="AN950" s="52"/>
      <c r="AO950" s="52"/>
      <c r="AP950" s="52"/>
      <c r="AQ950" s="52"/>
      <c r="AR950" s="52"/>
      <c r="AS950" s="52"/>
      <c r="AT950" s="52"/>
      <c r="AU950" s="54">
        <f>MAX(0,$AM950-$AC950-$AW950)</f>
        <v>0</v>
      </c>
      <c r="AV950" s="54"/>
      <c r="AW950" s="54"/>
      <c r="AX950" s="65">
        <v>0</v>
      </c>
      <c r="AY950" s="57">
        <f>IF(AND($AU950&gt;0,ISNUMBER($AX950)),$AU950*$AX950,0)</f>
        <v>0</v>
      </c>
      <c r="AZ950" s="46"/>
      <c r="BA950" s="52"/>
      <c r="BB950" s="52"/>
      <c r="BC950" s="52"/>
      <c r="BD950" s="52"/>
      <c r="BE950" s="52"/>
      <c r="BF950" s="52"/>
    </row>
    <row r="951" spans="1:58" ht="15" customHeight="1">
      <c r="A951" s="46" t="s">
        <v>5258</v>
      </c>
      <c r="B951" s="50" t="s">
        <v>5259</v>
      </c>
      <c r="C951" s="54" t="s">
        <v>70</v>
      </c>
      <c r="D951" s="74">
        <v>4</v>
      </c>
      <c r="E951" s="50" t="s">
        <v>81</v>
      </c>
      <c r="F951" s="50">
        <v>4</v>
      </c>
      <c r="G951" s="50">
        <v>4</v>
      </c>
      <c r="H951" s="51" t="s">
        <v>5260</v>
      </c>
      <c r="I951" s="50" t="s">
        <v>5261</v>
      </c>
      <c r="J951" s="54" t="s">
        <v>73</v>
      </c>
      <c r="K951" s="50" t="s">
        <v>261</v>
      </c>
      <c r="L951" s="50" t="s">
        <v>5262</v>
      </c>
      <c r="M951" s="50" t="s">
        <v>817</v>
      </c>
      <c r="N951" s="50"/>
      <c r="O951" s="54"/>
      <c r="P951" s="56" t="s">
        <v>86</v>
      </c>
      <c r="Q951" s="50" t="s">
        <v>729</v>
      </c>
      <c r="R951" s="50"/>
      <c r="S951" s="50"/>
      <c r="T951" s="50"/>
      <c r="U951" s="56"/>
      <c r="V951" s="57"/>
      <c r="W951" s="56"/>
      <c r="X951" s="50"/>
      <c r="Y951" s="50"/>
      <c r="Z951" s="50"/>
      <c r="AA951" s="56"/>
      <c r="AB951" s="57"/>
      <c r="AC951" s="54">
        <v>1</v>
      </c>
      <c r="AD951" s="54">
        <f>SUM(AE951:AK951)</f>
        <v>0</v>
      </c>
      <c r="AE951" s="66"/>
      <c r="AF951" s="66"/>
      <c r="AG951" s="66"/>
      <c r="AH951" s="66"/>
      <c r="AI951" s="66"/>
      <c r="AJ951" s="66"/>
      <c r="AK951" s="66"/>
      <c r="AL951" s="54">
        <f>IF((AC951-SUM(AE951:AK951))&lt;0,0,AC951-SUM(AE951:AK951))</f>
        <v>1</v>
      </c>
      <c r="AM951" s="54">
        <f>SUM(AN951:AT951)</f>
        <v>0</v>
      </c>
      <c r="AN951" s="52"/>
      <c r="AO951" s="52"/>
      <c r="AP951" s="52"/>
      <c r="AQ951" s="52"/>
      <c r="AR951" s="52"/>
      <c r="AS951" s="52"/>
      <c r="AT951" s="52"/>
      <c r="AU951" s="54">
        <f>MAX(0,$AM951-$AC951-$AW951)</f>
        <v>0</v>
      </c>
      <c r="AV951" s="54"/>
      <c r="AW951" s="54"/>
      <c r="AX951" s="65">
        <v>0</v>
      </c>
      <c r="AY951" s="57">
        <f>IF(AND($AU951&gt;0,ISNUMBER($AX951)),$AU951*$AX951,0)</f>
        <v>0</v>
      </c>
      <c r="AZ951" s="46"/>
      <c r="BA951" s="52"/>
      <c r="BB951" s="52"/>
      <c r="BC951" s="52"/>
      <c r="BD951" s="52"/>
      <c r="BE951" s="52"/>
      <c r="BF951" s="52"/>
    </row>
    <row r="952" spans="1:58" ht="15" customHeight="1">
      <c r="A952" s="46" t="s">
        <v>5263</v>
      </c>
      <c r="B952" s="50" t="s">
        <v>5264</v>
      </c>
      <c r="C952" s="54" t="s">
        <v>80</v>
      </c>
      <c r="D952" s="74">
        <v>3</v>
      </c>
      <c r="E952" s="50" t="s">
        <v>81</v>
      </c>
      <c r="F952" s="50">
        <v>3</v>
      </c>
      <c r="G952" s="50">
        <v>2</v>
      </c>
      <c r="H952" s="51" t="s">
        <v>5265</v>
      </c>
      <c r="I952" s="50" t="s">
        <v>5266</v>
      </c>
      <c r="J952" s="54" t="s">
        <v>73</v>
      </c>
      <c r="K952" s="50" t="s">
        <v>98</v>
      </c>
      <c r="L952" s="50" t="s">
        <v>5267</v>
      </c>
      <c r="M952" s="50"/>
      <c r="N952" s="50"/>
      <c r="O952" s="54"/>
      <c r="P952" s="56" t="s">
        <v>185</v>
      </c>
      <c r="Q952" s="50" t="s">
        <v>669</v>
      </c>
      <c r="R952" s="50"/>
      <c r="S952" s="50"/>
      <c r="T952" s="50"/>
      <c r="U952" s="56"/>
      <c r="V952" s="57"/>
      <c r="W952" s="56"/>
      <c r="X952" s="50"/>
      <c r="Y952" s="50"/>
      <c r="Z952" s="50"/>
      <c r="AA952" s="56"/>
      <c r="AB952" s="57"/>
      <c r="AC952" s="54">
        <v>1</v>
      </c>
      <c r="AD952" s="54">
        <f>SUM(AE952:AK952)</f>
        <v>1</v>
      </c>
      <c r="AE952" s="66"/>
      <c r="AF952" s="66"/>
      <c r="AG952" s="66"/>
      <c r="AH952" s="66"/>
      <c r="AI952" s="66"/>
      <c r="AJ952" s="66"/>
      <c r="AK952" s="66">
        <v>1</v>
      </c>
      <c r="AL952" s="54">
        <f>IF((AC952-SUM(AE952:AK952))&lt;0,0,AC952-SUM(AE952:AK952))</f>
        <v>0</v>
      </c>
      <c r="AM952" s="54">
        <f>SUM(AN952:AT952)</f>
        <v>1</v>
      </c>
      <c r="AN952" s="52"/>
      <c r="AO952" s="52"/>
      <c r="AP952" s="52"/>
      <c r="AQ952" s="52"/>
      <c r="AR952" s="52"/>
      <c r="AS952" s="52"/>
      <c r="AT952" s="52">
        <v>1</v>
      </c>
      <c r="AU952" s="54">
        <f>MAX(0,$AM952-$AC952-$AW952)</f>
        <v>0</v>
      </c>
      <c r="AV952" s="54"/>
      <c r="AW952" s="54"/>
      <c r="AX952" s="65">
        <v>0</v>
      </c>
      <c r="AY952" s="57">
        <f>IF(AND($AU952&gt;0,ISNUMBER($AX952)),$AU952*$AX952,0)</f>
        <v>0</v>
      </c>
      <c r="AZ952" s="46"/>
      <c r="BA952" s="52"/>
      <c r="BB952" s="52"/>
      <c r="BC952" s="52"/>
      <c r="BD952" s="52"/>
      <c r="BE952" s="52"/>
      <c r="BF952" s="52"/>
    </row>
    <row r="953" spans="1:58" ht="15" customHeight="1">
      <c r="A953" s="46" t="s">
        <v>5268</v>
      </c>
      <c r="B953" s="50" t="s">
        <v>5269</v>
      </c>
      <c r="C953" s="54" t="s">
        <v>80</v>
      </c>
      <c r="D953" s="74">
        <v>6</v>
      </c>
      <c r="E953" s="50" t="s">
        <v>189</v>
      </c>
      <c r="F953" s="50"/>
      <c r="G953" s="50"/>
      <c r="H953" s="51"/>
      <c r="I953" s="50" t="s">
        <v>5270</v>
      </c>
      <c r="J953" s="54" t="s">
        <v>73</v>
      </c>
      <c r="K953" s="50" t="s">
        <v>98</v>
      </c>
      <c r="L953" s="50" t="s">
        <v>5271</v>
      </c>
      <c r="M953" s="50" t="s">
        <v>5272</v>
      </c>
      <c r="N953" s="50"/>
      <c r="O953" s="54"/>
      <c r="P953" s="56" t="s">
        <v>185</v>
      </c>
      <c r="Q953" s="50" t="s">
        <v>633</v>
      </c>
      <c r="R953" s="50"/>
      <c r="S953" s="50"/>
      <c r="T953" s="50"/>
      <c r="U953" s="56"/>
      <c r="V953" s="57"/>
      <c r="W953" s="56"/>
      <c r="X953" s="50"/>
      <c r="Y953" s="50"/>
      <c r="Z953" s="50"/>
      <c r="AA953" s="56"/>
      <c r="AB953" s="57"/>
      <c r="AC953" s="54">
        <v>1</v>
      </c>
      <c r="AD953" s="54">
        <f>SUM(AE953:AK953)</f>
        <v>0</v>
      </c>
      <c r="AE953" s="66"/>
      <c r="AF953" s="66"/>
      <c r="AG953" s="66"/>
      <c r="AH953" s="66"/>
      <c r="AI953" s="66"/>
      <c r="AJ953" s="66"/>
      <c r="AK953" s="66"/>
      <c r="AL953" s="54">
        <f>IF((AC953-SUM(AE953:AK953))&lt;0,0,AC953-SUM(AE953:AK953))</f>
        <v>1</v>
      </c>
      <c r="AM953" s="54">
        <f>SUM(AN953:AT953)</f>
        <v>0</v>
      </c>
      <c r="AN953" s="52"/>
      <c r="AO953" s="52"/>
      <c r="AP953" s="52"/>
      <c r="AQ953" s="52"/>
      <c r="AR953" s="52"/>
      <c r="AS953" s="52"/>
      <c r="AT953" s="52"/>
      <c r="AU953" s="54">
        <f>MAX(0,$AM953-$AC953-$AW953)</f>
        <v>0</v>
      </c>
      <c r="AV953" s="54"/>
      <c r="AW953" s="54"/>
      <c r="AX953" s="65">
        <v>0</v>
      </c>
      <c r="AY953" s="57">
        <f>IF(AND($AU953&gt;0,ISNUMBER($AX953)),$AU953*$AX953,0)</f>
        <v>0</v>
      </c>
      <c r="AZ953" s="46"/>
      <c r="BA953" s="52"/>
      <c r="BB953" s="52"/>
      <c r="BC953" s="52"/>
      <c r="BD953" s="52"/>
      <c r="BE953" s="52"/>
      <c r="BF953" s="52"/>
    </row>
    <row r="954" spans="1:58" ht="15" customHeight="1">
      <c r="A954" s="46" t="s">
        <v>5273</v>
      </c>
      <c r="B954" s="50" t="s">
        <v>5274</v>
      </c>
      <c r="C954" s="54" t="s">
        <v>311</v>
      </c>
      <c r="D954" s="74">
        <v>0</v>
      </c>
      <c r="E954" s="50" t="s">
        <v>312</v>
      </c>
      <c r="F954" s="50"/>
      <c r="G954" s="50"/>
      <c r="H954" s="51" t="s">
        <v>1044</v>
      </c>
      <c r="I954" s="50" t="s">
        <v>5275</v>
      </c>
      <c r="J954" s="54" t="s">
        <v>73</v>
      </c>
      <c r="K954" s="56" t="s">
        <v>312</v>
      </c>
      <c r="L954" s="56" t="s">
        <v>5276</v>
      </c>
      <c r="M954" s="56"/>
      <c r="N954" s="56"/>
      <c r="O954" s="54"/>
      <c r="P954" s="56" t="s">
        <v>76</v>
      </c>
      <c r="Q954" s="56" t="s">
        <v>482</v>
      </c>
      <c r="R954" s="54"/>
      <c r="S954" s="54"/>
      <c r="T954" s="54"/>
      <c r="U954" s="56"/>
      <c r="V954" s="57"/>
      <c r="W954" s="56"/>
      <c r="X954" s="54"/>
      <c r="Y954" s="54"/>
      <c r="Z954" s="54"/>
      <c r="AA954" s="56"/>
      <c r="AB954" s="57"/>
      <c r="AC954" s="54">
        <v>1</v>
      </c>
      <c r="AD954" s="54">
        <f>SUM(AE954:AK954)</f>
        <v>1</v>
      </c>
      <c r="AE954" s="66"/>
      <c r="AF954" s="66"/>
      <c r="AG954" s="66"/>
      <c r="AH954" s="66"/>
      <c r="AI954" s="66">
        <v>1</v>
      </c>
      <c r="AJ954" s="66"/>
      <c r="AK954" s="66"/>
      <c r="AL954" s="54">
        <f>IF((AC954-SUM(AE954:AK954))&lt;0,0,AC954-SUM(AE954:AK954))</f>
        <v>0</v>
      </c>
      <c r="AM954" s="54">
        <f>SUM(AN954:AT954)</f>
        <v>1</v>
      </c>
      <c r="AN954" s="52"/>
      <c r="AO954" s="52"/>
      <c r="AP954" s="52"/>
      <c r="AQ954" s="52"/>
      <c r="AR954" s="52">
        <v>1</v>
      </c>
      <c r="AS954" s="52"/>
      <c r="AT954" s="52"/>
      <c r="AU954" s="54">
        <f>MAX(0,$AM954-$AC954-$AW954)</f>
        <v>0</v>
      </c>
      <c r="AV954" s="54"/>
      <c r="AW954" s="54"/>
      <c r="AX954" s="65">
        <v>0</v>
      </c>
      <c r="AY954" s="57">
        <f>IF(AND($AU954&gt;0,ISNUMBER($AX954)),$AU954*$AX954,0)</f>
        <v>0</v>
      </c>
      <c r="AZ954" s="46"/>
      <c r="BA954" s="52"/>
      <c r="BB954" s="52"/>
      <c r="BC954" s="52"/>
      <c r="BD954" s="52"/>
      <c r="BE954" s="52"/>
      <c r="BF954" s="52"/>
    </row>
    <row r="955" spans="1:58" ht="15" customHeight="1">
      <c r="A955" s="46" t="s">
        <v>5277</v>
      </c>
      <c r="B955" s="50" t="s">
        <v>5278</v>
      </c>
      <c r="C955" s="54" t="s">
        <v>311</v>
      </c>
      <c r="D955" s="74">
        <v>0</v>
      </c>
      <c r="E955" s="50" t="s">
        <v>312</v>
      </c>
      <c r="F955" s="50"/>
      <c r="G955" s="50"/>
      <c r="H955" s="51"/>
      <c r="I955" s="50" t="s">
        <v>5279</v>
      </c>
      <c r="J955" s="54" t="s">
        <v>73</v>
      </c>
      <c r="K955" s="50" t="s">
        <v>312</v>
      </c>
      <c r="L955" s="50" t="s">
        <v>5280</v>
      </c>
      <c r="M955" s="50" t="s">
        <v>747</v>
      </c>
      <c r="N955" s="50" t="s">
        <v>5281</v>
      </c>
      <c r="O955" s="54"/>
      <c r="P955" s="56" t="s">
        <v>76</v>
      </c>
      <c r="Q955" s="50" t="s">
        <v>691</v>
      </c>
      <c r="R955" s="50" t="s">
        <v>5282</v>
      </c>
      <c r="S955" s="50">
        <v>1</v>
      </c>
      <c r="T955" s="50">
        <v>0</v>
      </c>
      <c r="U955" s="56" t="s">
        <v>1276</v>
      </c>
      <c r="V955" s="57"/>
      <c r="W955" s="56"/>
      <c r="X955" s="50"/>
      <c r="Y955" s="50"/>
      <c r="Z955" s="50"/>
      <c r="AA955" s="56"/>
      <c r="AB955" s="57"/>
      <c r="AC955" s="54">
        <v>1</v>
      </c>
      <c r="AD955" s="54">
        <f>SUM(AE955:AK955)</f>
        <v>0</v>
      </c>
      <c r="AE955" s="66"/>
      <c r="AF955" s="66"/>
      <c r="AG955" s="66"/>
      <c r="AH955" s="66"/>
      <c r="AI955" s="66"/>
      <c r="AJ955" s="66"/>
      <c r="AK955" s="66"/>
      <c r="AL955" s="54">
        <f>IF((AC955-SUM(AE955:AK955))&lt;0,0,AC955-SUM(AE955:AK955))</f>
        <v>1</v>
      </c>
      <c r="AM955" s="54">
        <f>SUM(AN955:AT955)</f>
        <v>0</v>
      </c>
      <c r="AN955" s="52"/>
      <c r="AO955" s="52"/>
      <c r="AP955" s="52"/>
      <c r="AQ955" s="52"/>
      <c r="AR955" s="52"/>
      <c r="AS955" s="52"/>
      <c r="AT955" s="52"/>
      <c r="AU955" s="54">
        <f>MAX(0,$AM955-$AC955-$AW955)</f>
        <v>0</v>
      </c>
      <c r="AV955" s="54"/>
      <c r="AW955" s="54"/>
      <c r="AX955" s="65">
        <v>0</v>
      </c>
      <c r="AY955" s="57">
        <f>IF(AND($AU955&gt;0,ISNUMBER($AX955)),$AU955*$AX955,0)</f>
        <v>0</v>
      </c>
      <c r="AZ955" s="46"/>
      <c r="BA955" s="52"/>
      <c r="BB955" s="52"/>
      <c r="BC955" s="52"/>
      <c r="BD955" s="52"/>
      <c r="BE955" s="52"/>
      <c r="BF955" s="52"/>
    </row>
    <row r="956" spans="1:58" ht="15" customHeight="1">
      <c r="A956" s="46" t="s">
        <v>5283</v>
      </c>
      <c r="B956" s="46" t="s">
        <v>5284</v>
      </c>
      <c r="C956" s="52" t="s">
        <v>311</v>
      </c>
      <c r="D956" s="75">
        <v>0</v>
      </c>
      <c r="E956" s="46" t="s">
        <v>312</v>
      </c>
      <c r="F956" s="50"/>
      <c r="G956" s="50"/>
      <c r="H956" s="51"/>
      <c r="I956" s="50" t="s">
        <v>5285</v>
      </c>
      <c r="J956" s="52" t="s">
        <v>73</v>
      </c>
      <c r="K956" s="46" t="s">
        <v>312</v>
      </c>
      <c r="L956" s="50" t="s">
        <v>5286</v>
      </c>
      <c r="M956" s="50" t="s">
        <v>5287</v>
      </c>
      <c r="N956" s="50"/>
      <c r="O956" s="54"/>
      <c r="P956" s="55" t="s">
        <v>86</v>
      </c>
      <c r="Q956" s="46" t="s">
        <v>528</v>
      </c>
      <c r="R956" s="46"/>
      <c r="S956" s="46"/>
      <c r="T956" s="46"/>
      <c r="U956" s="56"/>
      <c r="V956" s="57"/>
      <c r="W956" s="56"/>
      <c r="X956" s="46"/>
      <c r="Y956" s="46"/>
      <c r="Z956" s="46"/>
      <c r="AA956" s="56"/>
      <c r="AB956" s="57"/>
      <c r="AC956" s="54">
        <v>1</v>
      </c>
      <c r="AD956" s="54">
        <f>SUM(AE956:AK956)</f>
        <v>1</v>
      </c>
      <c r="AE956" s="66"/>
      <c r="AF956" s="66"/>
      <c r="AG956" s="66"/>
      <c r="AH956" s="66">
        <v>1</v>
      </c>
      <c r="AI956" s="66"/>
      <c r="AJ956" s="66"/>
      <c r="AK956" s="66"/>
      <c r="AL956" s="54">
        <f>IF((AC956-SUM(AE956:AK956))&lt;0,0,AC956-SUM(AE956:AK956))</f>
        <v>0</v>
      </c>
      <c r="AM956" s="54">
        <f>SUM(AN956:AT956)</f>
        <v>1</v>
      </c>
      <c r="AN956" s="52"/>
      <c r="AO956" s="52"/>
      <c r="AP956" s="52"/>
      <c r="AQ956" s="52">
        <v>1</v>
      </c>
      <c r="AR956" s="52"/>
      <c r="AS956" s="52"/>
      <c r="AT956" s="52"/>
      <c r="AU956" s="54">
        <f>MAX(0,$AM956-$AC956-$AW956)</f>
        <v>0</v>
      </c>
      <c r="AV956" s="52"/>
      <c r="AW956" s="52"/>
      <c r="AX956" s="65">
        <v>0</v>
      </c>
      <c r="AY956" s="57">
        <f>IF(AND($AU956&gt;0,ISNUMBER($AX956)),$AU956*$AX956,0)</f>
        <v>0</v>
      </c>
      <c r="AZ956" s="46"/>
      <c r="BA956" s="52"/>
      <c r="BB956" s="52"/>
      <c r="BC956" s="52"/>
      <c r="BD956" s="52"/>
      <c r="BE956" s="52"/>
      <c r="BF956" s="52"/>
    </row>
    <row r="957" spans="1:58" ht="15" customHeight="1">
      <c r="A957" s="46" t="s">
        <v>5288</v>
      </c>
      <c r="B957" s="50" t="s">
        <v>5289</v>
      </c>
      <c r="C957" s="54" t="s">
        <v>101</v>
      </c>
      <c r="D957" s="74">
        <v>4</v>
      </c>
      <c r="E957" s="50" t="s">
        <v>81</v>
      </c>
      <c r="F957" s="50">
        <v>2</v>
      </c>
      <c r="G957" s="50">
        <v>4</v>
      </c>
      <c r="H957" s="51" t="s">
        <v>1019</v>
      </c>
      <c r="I957" s="50" t="s">
        <v>5290</v>
      </c>
      <c r="J957" s="54" t="s">
        <v>73</v>
      </c>
      <c r="K957" s="50" t="s">
        <v>121</v>
      </c>
      <c r="L957" s="50" t="s">
        <v>242</v>
      </c>
      <c r="M957" s="50" t="s">
        <v>5291</v>
      </c>
      <c r="N957" s="50"/>
      <c r="O957" s="54"/>
      <c r="P957" s="56" t="s">
        <v>185</v>
      </c>
      <c r="Q957" s="50" t="s">
        <v>669</v>
      </c>
      <c r="R957" s="50"/>
      <c r="S957" s="50"/>
      <c r="T957" s="50"/>
      <c r="U957" s="56"/>
      <c r="V957" s="57"/>
      <c r="W957" s="56"/>
      <c r="X957" s="50"/>
      <c r="Y957" s="50"/>
      <c r="Z957" s="50"/>
      <c r="AA957" s="56"/>
      <c r="AB957" s="57"/>
      <c r="AC957" s="54">
        <v>1</v>
      </c>
      <c r="AD957" s="54">
        <f>SUM(AE957:AK957)</f>
        <v>0</v>
      </c>
      <c r="AE957" s="66"/>
      <c r="AF957" s="66"/>
      <c r="AG957" s="66"/>
      <c r="AH957" s="66"/>
      <c r="AI957" s="66"/>
      <c r="AJ957" s="66"/>
      <c r="AK957" s="66"/>
      <c r="AL957" s="54">
        <f>IF((AC957-SUM(AE957:AK957))&lt;0,0,AC957-SUM(AE957:AK957))</f>
        <v>1</v>
      </c>
      <c r="AM957" s="54">
        <f>SUM(AN957:AT957)</f>
        <v>0</v>
      </c>
      <c r="AN957" s="52"/>
      <c r="AO957" s="52"/>
      <c r="AP957" s="52"/>
      <c r="AQ957" s="52"/>
      <c r="AR957" s="52"/>
      <c r="AS957" s="52"/>
      <c r="AT957" s="52"/>
      <c r="AU957" s="54">
        <f>MAX(0,$AM957-$AC957-$AW957)</f>
        <v>0</v>
      </c>
      <c r="AV957" s="54"/>
      <c r="AW957" s="54"/>
      <c r="AX957" s="65">
        <v>0</v>
      </c>
      <c r="AY957" s="57">
        <f>IF(AND($AU957&gt;0,ISNUMBER($AX957)),$AU957*$AX957,0)</f>
        <v>0</v>
      </c>
      <c r="AZ957" s="46"/>
      <c r="BA957" s="52"/>
      <c r="BB957" s="52"/>
      <c r="BC957" s="52"/>
      <c r="BD957" s="52"/>
      <c r="BE957" s="52"/>
      <c r="BF957" s="52"/>
    </row>
    <row r="958" spans="1:58" ht="15" customHeight="1">
      <c r="A958" s="46" t="s">
        <v>5292</v>
      </c>
      <c r="B958" s="50" t="s">
        <v>5293</v>
      </c>
      <c r="C958" s="54" t="s">
        <v>109</v>
      </c>
      <c r="D958" s="74">
        <v>2</v>
      </c>
      <c r="E958" s="50" t="s">
        <v>384</v>
      </c>
      <c r="F958" s="50"/>
      <c r="G958" s="50"/>
      <c r="H958" s="51"/>
      <c r="I958" s="50" t="s">
        <v>5294</v>
      </c>
      <c r="J958" s="54" t="s">
        <v>73</v>
      </c>
      <c r="K958" s="50" t="s">
        <v>84</v>
      </c>
      <c r="L958" s="50" t="s">
        <v>5295</v>
      </c>
      <c r="M958" s="50" t="s">
        <v>5296</v>
      </c>
      <c r="N958" s="50"/>
      <c r="O958" s="54"/>
      <c r="P958" s="56" t="s">
        <v>185</v>
      </c>
      <c r="Q958" s="50" t="s">
        <v>729</v>
      </c>
      <c r="R958" s="50"/>
      <c r="S958" s="50"/>
      <c r="T958" s="50"/>
      <c r="U958" s="56"/>
      <c r="V958" s="57"/>
      <c r="W958" s="56"/>
      <c r="X958" s="50"/>
      <c r="Y958" s="50"/>
      <c r="Z958" s="50"/>
      <c r="AA958" s="56"/>
      <c r="AB958" s="57"/>
      <c r="AC958" s="54">
        <v>1</v>
      </c>
      <c r="AD958" s="54">
        <f>SUM(AE958:AK958)</f>
        <v>0</v>
      </c>
      <c r="AE958" s="66"/>
      <c r="AF958" s="66"/>
      <c r="AG958" s="66"/>
      <c r="AH958" s="66"/>
      <c r="AI958" s="66"/>
      <c r="AJ958" s="66"/>
      <c r="AK958" s="66"/>
      <c r="AL958" s="54">
        <f>IF((AC958-SUM(AE958:AK958))&lt;0,0,AC958-SUM(AE958:AK958))</f>
        <v>1</v>
      </c>
      <c r="AM958" s="54">
        <f>SUM(AN958:AT958)</f>
        <v>0</v>
      </c>
      <c r="AN958" s="52"/>
      <c r="AO958" s="52"/>
      <c r="AP958" s="52"/>
      <c r="AQ958" s="52"/>
      <c r="AR958" s="52"/>
      <c r="AS958" s="52"/>
      <c r="AT958" s="52"/>
      <c r="AU958" s="54">
        <f>MAX(0,$AM958-$AC958-$AW958)</f>
        <v>0</v>
      </c>
      <c r="AV958" s="54"/>
      <c r="AW958" s="54"/>
      <c r="AX958" s="65">
        <v>0</v>
      </c>
      <c r="AY958" s="57">
        <f>IF(AND($AU958&gt;0,ISNUMBER($AX958)),$AU958*$AX958,0)</f>
        <v>0</v>
      </c>
      <c r="AZ958" s="46"/>
      <c r="BA958" s="52"/>
      <c r="BB958" s="52"/>
      <c r="BC958" s="52"/>
      <c r="BD958" s="52"/>
      <c r="BE958" s="52"/>
      <c r="BF958" s="52"/>
    </row>
    <row r="959" spans="1:58" ht="15" customHeight="1">
      <c r="A959" s="46" t="s">
        <v>5297</v>
      </c>
      <c r="B959" s="50" t="s">
        <v>5298</v>
      </c>
      <c r="C959" s="54" t="s">
        <v>118</v>
      </c>
      <c r="D959" s="74">
        <v>4</v>
      </c>
      <c r="E959" s="50" t="s">
        <v>81</v>
      </c>
      <c r="F959" s="50">
        <v>0</v>
      </c>
      <c r="G959" s="50">
        <v>5</v>
      </c>
      <c r="H959" s="51" t="s">
        <v>5085</v>
      </c>
      <c r="I959" s="50" t="s">
        <v>5299</v>
      </c>
      <c r="J959" s="54" t="s">
        <v>73</v>
      </c>
      <c r="K959" s="50" t="s">
        <v>84</v>
      </c>
      <c r="L959" s="50" t="s">
        <v>5300</v>
      </c>
      <c r="M959" s="50"/>
      <c r="N959" s="50"/>
      <c r="O959" s="54"/>
      <c r="P959" s="56" t="s">
        <v>185</v>
      </c>
      <c r="Q959" s="50" t="s">
        <v>669</v>
      </c>
      <c r="R959" s="50"/>
      <c r="S959" s="50"/>
      <c r="T959" s="50"/>
      <c r="U959" s="56"/>
      <c r="V959" s="57"/>
      <c r="W959" s="56"/>
      <c r="X959" s="50"/>
      <c r="Y959" s="50"/>
      <c r="Z959" s="50"/>
      <c r="AA959" s="56"/>
      <c r="AB959" s="57"/>
      <c r="AC959" s="54">
        <v>1</v>
      </c>
      <c r="AD959" s="54">
        <f>SUM(AE959:AK959)</f>
        <v>0</v>
      </c>
      <c r="AE959" s="66"/>
      <c r="AF959" s="66"/>
      <c r="AG959" s="66"/>
      <c r="AH959" s="66"/>
      <c r="AI959" s="66"/>
      <c r="AJ959" s="66"/>
      <c r="AK959" s="66"/>
      <c r="AL959" s="54">
        <f>IF((AC959-SUM(AE959:AK959))&lt;0,0,AC959-SUM(AE959:AK959))</f>
        <v>1</v>
      </c>
      <c r="AM959" s="54">
        <f>SUM(AN959:AT959)</f>
        <v>0</v>
      </c>
      <c r="AN959" s="52"/>
      <c r="AO959" s="52"/>
      <c r="AP959" s="52"/>
      <c r="AQ959" s="52"/>
      <c r="AR959" s="52"/>
      <c r="AS959" s="52"/>
      <c r="AT959" s="52"/>
      <c r="AU959" s="54">
        <f>MAX(0,$AM959-$AC959-$AW959)</f>
        <v>0</v>
      </c>
      <c r="AV959" s="54"/>
      <c r="AW959" s="54"/>
      <c r="AX959" s="65">
        <v>0</v>
      </c>
      <c r="AY959" s="57">
        <f>IF(AND($AU959&gt;0,ISNUMBER($AX959)),$AU959*$AX959,0)</f>
        <v>0</v>
      </c>
      <c r="AZ959" s="46"/>
      <c r="BA959" s="52"/>
      <c r="BB959" s="52"/>
      <c r="BC959" s="52"/>
      <c r="BD959" s="52"/>
      <c r="BE959" s="52"/>
      <c r="BF959" s="52"/>
    </row>
    <row r="960" spans="1:58" ht="15" customHeight="1">
      <c r="A960" s="46" t="s">
        <v>5301</v>
      </c>
      <c r="B960" s="50" t="s">
        <v>5302</v>
      </c>
      <c r="C960" s="54" t="s">
        <v>118</v>
      </c>
      <c r="D960" s="74">
        <v>1</v>
      </c>
      <c r="E960" s="50" t="s">
        <v>110</v>
      </c>
      <c r="F960" s="50">
        <v>1</v>
      </c>
      <c r="G960" s="50">
        <v>1</v>
      </c>
      <c r="H960" s="51" t="s">
        <v>5303</v>
      </c>
      <c r="I960" s="50" t="s">
        <v>5304</v>
      </c>
      <c r="J960" s="54" t="s">
        <v>73</v>
      </c>
      <c r="K960" s="50" t="s">
        <v>254</v>
      </c>
      <c r="L960" s="50" t="s">
        <v>1184</v>
      </c>
      <c r="M960" s="50" t="s">
        <v>5305</v>
      </c>
      <c r="N960" s="50"/>
      <c r="O960" s="56">
        <v>5459</v>
      </c>
      <c r="P960" s="56" t="s">
        <v>185</v>
      </c>
      <c r="Q960" s="50" t="s">
        <v>633</v>
      </c>
      <c r="R960" s="50"/>
      <c r="S960" s="50"/>
      <c r="T960" s="50"/>
      <c r="U960" s="50"/>
      <c r="V960" s="57"/>
      <c r="W960" s="50"/>
      <c r="X960" s="50"/>
      <c r="Y960" s="50"/>
      <c r="Z960" s="50"/>
      <c r="AA960" s="50"/>
      <c r="AB960" s="57"/>
      <c r="AC960" s="54">
        <v>1</v>
      </c>
      <c r="AD960" s="54">
        <f>SUM(AE960:AK960)</f>
        <v>1</v>
      </c>
      <c r="AE960" s="66"/>
      <c r="AF960" s="66">
        <v>1</v>
      </c>
      <c r="AG960" s="66"/>
      <c r="AH960" s="66"/>
      <c r="AI960" s="66"/>
      <c r="AJ960" s="66"/>
      <c r="AK960" s="66"/>
      <c r="AL960" s="54">
        <f>IF((AC960-SUM(AE960:AK960))&lt;0,0,AC960-SUM(AE960:AK960))</f>
        <v>0</v>
      </c>
      <c r="AM960" s="54">
        <f>SUM(AN960:AT960)</f>
        <v>1</v>
      </c>
      <c r="AN960" s="52"/>
      <c r="AO960" s="52">
        <v>1</v>
      </c>
      <c r="AP960" s="52"/>
      <c r="AQ960" s="52"/>
      <c r="AR960" s="52"/>
      <c r="AS960" s="52"/>
      <c r="AT960" s="52"/>
      <c r="AU960" s="54">
        <f>MAX(0,$AM960-$AC960-$AW960)</f>
        <v>0</v>
      </c>
      <c r="AV960" s="54"/>
      <c r="AW960" s="54"/>
      <c r="AX960" s="65">
        <v>0</v>
      </c>
      <c r="AY960" s="57">
        <f>IF(AND($AU960&gt;0,ISNUMBER($AX960)),$AU960*$AX960,0)</f>
        <v>0</v>
      </c>
      <c r="AZ960" s="46"/>
      <c r="BA960" s="52"/>
      <c r="BB960" s="52"/>
      <c r="BC960" s="52"/>
      <c r="BD960" s="52"/>
      <c r="BE960" s="52"/>
      <c r="BF960" s="52"/>
    </row>
    <row r="961" spans="1:58" ht="15" customHeight="1">
      <c r="A961" s="46" t="s">
        <v>5306</v>
      </c>
      <c r="B961" s="50" t="s">
        <v>5307</v>
      </c>
      <c r="C961" s="54" t="s">
        <v>70</v>
      </c>
      <c r="D961" s="74">
        <v>4</v>
      </c>
      <c r="E961" s="50" t="s">
        <v>110</v>
      </c>
      <c r="F961" s="50">
        <v>4</v>
      </c>
      <c r="G961" s="50">
        <v>3</v>
      </c>
      <c r="H961" s="51" t="s">
        <v>1683</v>
      </c>
      <c r="I961" s="50" t="s">
        <v>5308</v>
      </c>
      <c r="J961" s="54" t="s">
        <v>73</v>
      </c>
      <c r="K961" s="50" t="s">
        <v>104</v>
      </c>
      <c r="L961" s="50" t="s">
        <v>5309</v>
      </c>
      <c r="M961" s="50" t="s">
        <v>5310</v>
      </c>
      <c r="N961" s="50"/>
      <c r="O961" s="56">
        <v>4673</v>
      </c>
      <c r="P961" s="56" t="s">
        <v>185</v>
      </c>
      <c r="Q961" s="50" t="s">
        <v>633</v>
      </c>
      <c r="R961" s="50"/>
      <c r="S961" s="50"/>
      <c r="T961" s="50"/>
      <c r="U961" s="56"/>
      <c r="V961" s="57"/>
      <c r="W961" s="56"/>
      <c r="X961" s="50"/>
      <c r="Y961" s="50"/>
      <c r="Z961" s="50"/>
      <c r="AA961" s="56"/>
      <c r="AB961" s="57"/>
      <c r="AC961" s="54">
        <v>1</v>
      </c>
      <c r="AD961" s="54">
        <f>SUM(AE961:AK961)</f>
        <v>0</v>
      </c>
      <c r="AE961" s="66"/>
      <c r="AF961" s="66"/>
      <c r="AG961" s="66"/>
      <c r="AH961" s="66"/>
      <c r="AI961" s="66"/>
      <c r="AJ961" s="66"/>
      <c r="AK961" s="66"/>
      <c r="AL961" s="54">
        <f>IF((AC961-SUM(AE961:AK961))&lt;0,0,AC961-SUM(AE961:AK961))</f>
        <v>1</v>
      </c>
      <c r="AM961" s="54">
        <f>SUM(AN961:AT961)</f>
        <v>0</v>
      </c>
      <c r="AN961" s="52"/>
      <c r="AO961" s="52"/>
      <c r="AP961" s="52"/>
      <c r="AQ961" s="52"/>
      <c r="AR961" s="52"/>
      <c r="AS961" s="52"/>
      <c r="AT961" s="52"/>
      <c r="AU961" s="54">
        <f>MAX(0,$AM961-$AC961-$AW961)</f>
        <v>0</v>
      </c>
      <c r="AV961" s="54"/>
      <c r="AW961" s="54"/>
      <c r="AX961" s="65">
        <v>0</v>
      </c>
      <c r="AY961" s="57">
        <f>IF(AND($AU961&gt;0,ISNUMBER($AX961)),$AU961*$AX961,0)</f>
        <v>0</v>
      </c>
      <c r="AZ961" s="46"/>
      <c r="BA961" s="52"/>
      <c r="BB961" s="52"/>
      <c r="BC961" s="52"/>
      <c r="BD961" s="52"/>
      <c r="BE961" s="52"/>
      <c r="BF961" s="52"/>
    </row>
    <row r="962" spans="1:58" ht="15" customHeight="1">
      <c r="A962" s="46" t="s">
        <v>5311</v>
      </c>
      <c r="B962" s="50" t="s">
        <v>5312</v>
      </c>
      <c r="C962" s="54" t="s">
        <v>70</v>
      </c>
      <c r="D962" s="74">
        <v>3</v>
      </c>
      <c r="E962" s="50" t="s">
        <v>110</v>
      </c>
      <c r="F962" s="50">
        <v>3</v>
      </c>
      <c r="G962" s="50">
        <v>2</v>
      </c>
      <c r="H962" s="51" t="s">
        <v>1683</v>
      </c>
      <c r="I962" s="50" t="s">
        <v>5313</v>
      </c>
      <c r="J962" s="54" t="s">
        <v>73</v>
      </c>
      <c r="K962" s="50" t="s">
        <v>104</v>
      </c>
      <c r="L962" s="50" t="s">
        <v>4943</v>
      </c>
      <c r="M962" s="50" t="s">
        <v>1823</v>
      </c>
      <c r="N962" s="50"/>
      <c r="O962" s="56">
        <v>6602</v>
      </c>
      <c r="P962" s="56" t="s">
        <v>76</v>
      </c>
      <c r="Q962" s="50" t="s">
        <v>633</v>
      </c>
      <c r="R962" s="50"/>
      <c r="S962" s="50"/>
      <c r="T962" s="50"/>
      <c r="U962" s="56"/>
      <c r="V962" s="57"/>
      <c r="W962" s="56"/>
      <c r="X962" s="50"/>
      <c r="Y962" s="50"/>
      <c r="Z962" s="50"/>
      <c r="AA962" s="56"/>
      <c r="AB962" s="57"/>
      <c r="AC962" s="54">
        <v>1</v>
      </c>
      <c r="AD962" s="54">
        <f>SUM(AE962:AK962)</f>
        <v>0</v>
      </c>
      <c r="AE962" s="66"/>
      <c r="AF962" s="66"/>
      <c r="AG962" s="66"/>
      <c r="AH962" s="66"/>
      <c r="AI962" s="66"/>
      <c r="AJ962" s="66"/>
      <c r="AK962" s="66"/>
      <c r="AL962" s="54">
        <f>IF((AC962-SUM(AE962:AK962))&lt;0,0,AC962-SUM(AE962:AK962))</f>
        <v>1</v>
      </c>
      <c r="AM962" s="54">
        <f>SUM(AN962:AT962)</f>
        <v>0</v>
      </c>
      <c r="AN962" s="52"/>
      <c r="AO962" s="52"/>
      <c r="AP962" s="52"/>
      <c r="AQ962" s="52"/>
      <c r="AR962" s="52"/>
      <c r="AS962" s="52"/>
      <c r="AT962" s="52"/>
      <c r="AU962" s="54">
        <f>MAX(0,$AM962-$AC962-$AW962)</f>
        <v>0</v>
      </c>
      <c r="AV962" s="54"/>
      <c r="AW962" s="54"/>
      <c r="AX962" s="65">
        <v>0</v>
      </c>
      <c r="AY962" s="57">
        <f>IF(AND($AU962&gt;0,ISNUMBER($AX962)),$AU962*$AX962,0)</f>
        <v>0</v>
      </c>
      <c r="AZ962" s="46"/>
      <c r="BA962" s="52"/>
      <c r="BB962" s="52"/>
      <c r="BC962" s="52"/>
      <c r="BD962" s="52"/>
      <c r="BE962" s="52"/>
      <c r="BF962" s="52"/>
    </row>
    <row r="963" spans="1:58" ht="15" customHeight="1">
      <c r="A963" s="46" t="s">
        <v>909</v>
      </c>
      <c r="B963" s="50" t="s">
        <v>5314</v>
      </c>
      <c r="C963" s="54" t="s">
        <v>232</v>
      </c>
      <c r="D963" s="74">
        <v>2</v>
      </c>
      <c r="E963" s="50" t="s">
        <v>233</v>
      </c>
      <c r="F963" s="50"/>
      <c r="G963" s="50"/>
      <c r="H963" s="51"/>
      <c r="I963" s="50" t="s">
        <v>1151</v>
      </c>
      <c r="J963" s="54" t="s">
        <v>73</v>
      </c>
      <c r="K963" s="50" t="s">
        <v>104</v>
      </c>
      <c r="L963" s="50" t="s">
        <v>1153</v>
      </c>
      <c r="M963" s="50" t="s">
        <v>1152</v>
      </c>
      <c r="N963" s="50"/>
      <c r="O963" s="54"/>
      <c r="P963" s="56" t="s">
        <v>185</v>
      </c>
      <c r="Q963" s="50" t="s">
        <v>477</v>
      </c>
      <c r="R963" s="56"/>
      <c r="S963" s="54"/>
      <c r="T963" s="54"/>
      <c r="U963" s="56"/>
      <c r="V963" s="57"/>
      <c r="W963" s="68"/>
      <c r="X963" s="56"/>
      <c r="Y963" s="54"/>
      <c r="Z963" s="54"/>
      <c r="AA963" s="56"/>
      <c r="AB963" s="57"/>
      <c r="AC963" s="54">
        <v>1</v>
      </c>
      <c r="AD963" s="54">
        <f>SUM(AE963:AK963)</f>
        <v>0</v>
      </c>
      <c r="AE963" s="66"/>
      <c r="AF963" s="66"/>
      <c r="AG963" s="66"/>
      <c r="AH963" s="66"/>
      <c r="AI963" s="66"/>
      <c r="AJ963" s="66"/>
      <c r="AK963" s="66"/>
      <c r="AL963" s="54">
        <f>IF((AC963-SUM(AE963:AK963))&lt;0,0,AC963-SUM(AE963:AK963))</f>
        <v>1</v>
      </c>
      <c r="AM963" s="54">
        <f>SUM(AN963:AT963)</f>
        <v>1</v>
      </c>
      <c r="AN963" s="52"/>
      <c r="AO963" s="52"/>
      <c r="AP963" s="52"/>
      <c r="AQ963" s="52"/>
      <c r="AR963" s="52">
        <v>1</v>
      </c>
      <c r="AS963" s="52"/>
      <c r="AT963" s="52"/>
      <c r="AU963" s="54">
        <f>MAX(0,$AM963-$AC963-$AW963)</f>
        <v>0</v>
      </c>
      <c r="AV963" s="54"/>
      <c r="AW963" s="54"/>
      <c r="AX963" s="65">
        <v>0</v>
      </c>
      <c r="AY963" s="57">
        <f>IF(AND($AU963&gt;0,ISNUMBER($AX963)),$AU963*$AX963,0)</f>
        <v>0</v>
      </c>
      <c r="AZ963" s="46"/>
      <c r="BA963" s="52"/>
      <c r="BB963" s="52"/>
      <c r="BC963" s="52"/>
      <c r="BD963" s="52"/>
      <c r="BE963" s="52"/>
      <c r="BF963" s="52"/>
    </row>
    <row r="964" spans="1:58" ht="15" customHeight="1">
      <c r="A964" s="46" t="s">
        <v>5315</v>
      </c>
      <c r="B964" s="50" t="s">
        <v>5316</v>
      </c>
      <c r="C964" s="54" t="s">
        <v>101</v>
      </c>
      <c r="D964" s="74">
        <v>2</v>
      </c>
      <c r="E964" s="50" t="s">
        <v>81</v>
      </c>
      <c r="F964" s="50">
        <v>1</v>
      </c>
      <c r="G964" s="50">
        <v>2</v>
      </c>
      <c r="H964" s="51" t="s">
        <v>102</v>
      </c>
      <c r="I964" s="50" t="s">
        <v>5317</v>
      </c>
      <c r="J964" s="54" t="s">
        <v>73</v>
      </c>
      <c r="K964" s="50" t="s">
        <v>104</v>
      </c>
      <c r="L964" s="50" t="s">
        <v>5318</v>
      </c>
      <c r="M964" s="50" t="s">
        <v>5319</v>
      </c>
      <c r="N964" s="50" t="s">
        <v>130</v>
      </c>
      <c r="O964" s="54"/>
      <c r="P964" s="56" t="s">
        <v>185</v>
      </c>
      <c r="Q964" s="50" t="s">
        <v>633</v>
      </c>
      <c r="R964" s="50"/>
      <c r="S964" s="50"/>
      <c r="T964" s="50"/>
      <c r="U964" s="56"/>
      <c r="V964" s="57"/>
      <c r="W964" s="56"/>
      <c r="X964" s="50"/>
      <c r="Y964" s="50"/>
      <c r="Z964" s="50"/>
      <c r="AA964" s="56"/>
      <c r="AB964" s="57"/>
      <c r="AC964" s="54">
        <v>1</v>
      </c>
      <c r="AD964" s="54">
        <f>SUM(AE964:AK964)</f>
        <v>1</v>
      </c>
      <c r="AE964" s="66"/>
      <c r="AF964" s="66">
        <v>1</v>
      </c>
      <c r="AG964" s="66"/>
      <c r="AH964" s="66"/>
      <c r="AI964" s="66"/>
      <c r="AJ964" s="66"/>
      <c r="AK964" s="66"/>
      <c r="AL964" s="54">
        <f>IF((AC964-SUM(AE964:AK964))&lt;0,0,AC964-SUM(AE964:AK964))</f>
        <v>0</v>
      </c>
      <c r="AM964" s="54">
        <f>SUM(AN964:AT964)</f>
        <v>0</v>
      </c>
      <c r="AN964" s="52"/>
      <c r="AO964" s="52"/>
      <c r="AP964" s="52"/>
      <c r="AQ964" s="52"/>
      <c r="AR964" s="52"/>
      <c r="AS964" s="52"/>
      <c r="AT964" s="52"/>
      <c r="AU964" s="54">
        <f>MAX(0,$AM964-$AC964-$AW964)</f>
        <v>0</v>
      </c>
      <c r="AV964" s="54"/>
      <c r="AW964" s="54"/>
      <c r="AX964" s="65">
        <v>0</v>
      </c>
      <c r="AY964" s="57">
        <f>IF(AND($AU964&gt;0,ISNUMBER($AX964)),$AU964*$AX964,0)</f>
        <v>0</v>
      </c>
      <c r="AZ964" s="46"/>
      <c r="BA964" s="52" t="s">
        <v>395</v>
      </c>
      <c r="BB964" s="52"/>
      <c r="BC964" s="52"/>
      <c r="BD964" s="52"/>
      <c r="BE964" s="52"/>
      <c r="BF964" s="52"/>
    </row>
    <row r="965" spans="1:58" ht="15" customHeight="1">
      <c r="A965" s="46" t="s">
        <v>5320</v>
      </c>
      <c r="B965" s="50" t="s">
        <v>5321</v>
      </c>
      <c r="C965" s="54" t="s">
        <v>70</v>
      </c>
      <c r="D965" s="74">
        <v>3</v>
      </c>
      <c r="E965" s="50" t="s">
        <v>384</v>
      </c>
      <c r="F965" s="50"/>
      <c r="G965" s="50"/>
      <c r="H965" s="51" t="s">
        <v>3663</v>
      </c>
      <c r="I965" s="50" t="s">
        <v>5322</v>
      </c>
      <c r="J965" s="54" t="s">
        <v>73</v>
      </c>
      <c r="K965" s="50" t="s">
        <v>104</v>
      </c>
      <c r="L965" s="50" t="s">
        <v>5323</v>
      </c>
      <c r="M965" s="50" t="s">
        <v>5324</v>
      </c>
      <c r="N965" s="50"/>
      <c r="O965" s="54"/>
      <c r="P965" s="56" t="s">
        <v>86</v>
      </c>
      <c r="Q965" s="50" t="s">
        <v>633</v>
      </c>
      <c r="R965" s="50"/>
      <c r="S965" s="50"/>
      <c r="T965" s="50"/>
      <c r="U965" s="56"/>
      <c r="V965" s="57"/>
      <c r="W965" s="56"/>
      <c r="X965" s="50"/>
      <c r="Y965" s="50"/>
      <c r="Z965" s="50"/>
      <c r="AA965" s="56"/>
      <c r="AB965" s="57"/>
      <c r="AC965" s="54">
        <v>1</v>
      </c>
      <c r="AD965" s="54">
        <f>SUM(AE965:AK965)</f>
        <v>0</v>
      </c>
      <c r="AE965" s="66"/>
      <c r="AF965" s="66"/>
      <c r="AG965" s="66"/>
      <c r="AH965" s="66"/>
      <c r="AI965" s="66"/>
      <c r="AJ965" s="66"/>
      <c r="AK965" s="66"/>
      <c r="AL965" s="54">
        <f>IF((AC965-SUM(AE965:AK965))&lt;0,0,AC965-SUM(AE965:AK965))</f>
        <v>1</v>
      </c>
      <c r="AM965" s="54">
        <f>SUM(AN965:AT965)</f>
        <v>0</v>
      </c>
      <c r="AN965" s="52"/>
      <c r="AO965" s="52"/>
      <c r="AP965" s="52"/>
      <c r="AQ965" s="52"/>
      <c r="AR965" s="52"/>
      <c r="AS965" s="52"/>
      <c r="AT965" s="52"/>
      <c r="AU965" s="54">
        <f>MAX(0,$AM965-$AC965-$AW965)</f>
        <v>0</v>
      </c>
      <c r="AV965" s="54"/>
      <c r="AW965" s="54"/>
      <c r="AX965" s="65">
        <v>0</v>
      </c>
      <c r="AY965" s="57">
        <f>IF(AND($AU965&gt;0,ISNUMBER($AX965)),$AU965*$AX965,0)</f>
        <v>0</v>
      </c>
      <c r="AZ965" s="46"/>
      <c r="BA965" s="52"/>
      <c r="BB965" s="52"/>
      <c r="BC965" s="52"/>
      <c r="BD965" s="52"/>
      <c r="BE965" s="52"/>
      <c r="BF965" s="52"/>
    </row>
    <row r="966" spans="1:58" ht="15" customHeight="1">
      <c r="A966" s="46" t="s">
        <v>5325</v>
      </c>
      <c r="B966" s="50" t="s">
        <v>5326</v>
      </c>
      <c r="C966" s="54" t="s">
        <v>181</v>
      </c>
      <c r="D966" s="74">
        <v>4</v>
      </c>
      <c r="E966" s="50" t="s">
        <v>71</v>
      </c>
      <c r="F966" s="50"/>
      <c r="G966" s="50"/>
      <c r="H966" s="51"/>
      <c r="I966" s="50" t="s">
        <v>5327</v>
      </c>
      <c r="J966" s="54" t="s">
        <v>73</v>
      </c>
      <c r="K966" s="50" t="s">
        <v>474</v>
      </c>
      <c r="L966" s="50" t="s">
        <v>5328</v>
      </c>
      <c r="M966" s="50" t="s">
        <v>5329</v>
      </c>
      <c r="N966" s="50"/>
      <c r="O966" s="54"/>
      <c r="P966" s="56" t="s">
        <v>185</v>
      </c>
      <c r="Q966" s="50" t="s">
        <v>633</v>
      </c>
      <c r="R966" s="50"/>
      <c r="S966" s="50"/>
      <c r="T966" s="50"/>
      <c r="U966" s="56"/>
      <c r="V966" s="57"/>
      <c r="W966" s="56"/>
      <c r="X966" s="50"/>
      <c r="Y966" s="50"/>
      <c r="Z966" s="50"/>
      <c r="AA966" s="56"/>
      <c r="AB966" s="57"/>
      <c r="AC966" s="54">
        <v>1</v>
      </c>
      <c r="AD966" s="54">
        <f>SUM(AE966:AK966)</f>
        <v>0</v>
      </c>
      <c r="AE966" s="66"/>
      <c r="AF966" s="66"/>
      <c r="AG966" s="66"/>
      <c r="AH966" s="66"/>
      <c r="AI966" s="66"/>
      <c r="AJ966" s="66"/>
      <c r="AK966" s="66"/>
      <c r="AL966" s="54">
        <f>IF((AC966-SUM(AE966:AK966))&lt;0,0,AC966-SUM(AE966:AK966))</f>
        <v>1</v>
      </c>
      <c r="AM966" s="54">
        <f>SUM(AN966:AT966)</f>
        <v>0</v>
      </c>
      <c r="AN966" s="52"/>
      <c r="AO966" s="52"/>
      <c r="AP966" s="52"/>
      <c r="AQ966" s="52"/>
      <c r="AR966" s="52"/>
      <c r="AS966" s="52"/>
      <c r="AT966" s="52"/>
      <c r="AU966" s="54">
        <f>MAX(0,$AM966-$AC966-$AW966)</f>
        <v>0</v>
      </c>
      <c r="AV966" s="54"/>
      <c r="AW966" s="54"/>
      <c r="AX966" s="65">
        <v>0</v>
      </c>
      <c r="AY966" s="57">
        <f>IF(AND($AU966&gt;0,ISNUMBER($AX966)),$AU966*$AX966,0)</f>
        <v>0</v>
      </c>
      <c r="AZ966" s="46"/>
      <c r="BA966" s="52"/>
      <c r="BB966" s="52"/>
      <c r="BC966" s="52"/>
      <c r="BD966" s="52"/>
      <c r="BE966" s="52"/>
      <c r="BF966" s="52"/>
    </row>
    <row r="967" spans="1:58" ht="15" customHeight="1">
      <c r="A967" s="46" t="s">
        <v>5330</v>
      </c>
      <c r="B967" s="50" t="s">
        <v>5331</v>
      </c>
      <c r="C967" s="54" t="s">
        <v>109</v>
      </c>
      <c r="D967" s="74">
        <v>7</v>
      </c>
      <c r="E967" s="50" t="s">
        <v>71</v>
      </c>
      <c r="F967" s="50"/>
      <c r="G967" s="50"/>
      <c r="H967" s="51"/>
      <c r="I967" s="50" t="s">
        <v>5332</v>
      </c>
      <c r="J967" s="54" t="s">
        <v>196</v>
      </c>
      <c r="K967" s="56" t="s">
        <v>474</v>
      </c>
      <c r="L967" s="56" t="s">
        <v>5333</v>
      </c>
      <c r="M967" s="56"/>
      <c r="N967" s="56"/>
      <c r="O967" s="54"/>
      <c r="P967" s="56" t="s">
        <v>86</v>
      </c>
      <c r="Q967" s="56" t="s">
        <v>3704</v>
      </c>
      <c r="R967" s="50"/>
      <c r="S967" s="50"/>
      <c r="T967" s="50"/>
      <c r="U967" s="50"/>
      <c r="V967" s="57"/>
      <c r="W967" s="50"/>
      <c r="X967" s="50"/>
      <c r="Y967" s="50"/>
      <c r="Z967" s="50"/>
      <c r="AA967" s="50"/>
      <c r="AB967" s="57"/>
      <c r="AC967" s="54">
        <v>1</v>
      </c>
      <c r="AD967" s="54">
        <f>SUM(AE967:AK967)</f>
        <v>0</v>
      </c>
      <c r="AE967" s="66"/>
      <c r="AF967" s="66"/>
      <c r="AG967" s="66"/>
      <c r="AH967" s="66"/>
      <c r="AI967" s="66"/>
      <c r="AJ967" s="66"/>
      <c r="AK967" s="66"/>
      <c r="AL967" s="54">
        <f>IF((AC967-SUM(AE967:AK967))&lt;0,0,AC967-SUM(AE967:AK967))</f>
        <v>1</v>
      </c>
      <c r="AM967" s="54">
        <f>SUM(AN967:AT967)</f>
        <v>0</v>
      </c>
      <c r="AN967" s="52"/>
      <c r="AO967" s="52"/>
      <c r="AP967" s="52"/>
      <c r="AQ967" s="52"/>
      <c r="AR967" s="52"/>
      <c r="AS967" s="52"/>
      <c r="AT967" s="52"/>
      <c r="AU967" s="54">
        <f>MAX(0,$AM967-$AC967-$AW967)</f>
        <v>0</v>
      </c>
      <c r="AV967" s="54"/>
      <c r="AW967" s="54"/>
      <c r="AX967" s="65">
        <v>0</v>
      </c>
      <c r="AY967" s="57">
        <f>IF(AND($AU967&gt;0,ISNUMBER($AX967)),$AU967*$AX967,0)</f>
        <v>0</v>
      </c>
      <c r="AZ967" s="46"/>
      <c r="BA967" s="52"/>
      <c r="BB967" s="52"/>
      <c r="BC967" s="52"/>
      <c r="BD967" s="52"/>
      <c r="BE967" s="52"/>
      <c r="BF967" s="52"/>
    </row>
    <row r="968" spans="1:58" ht="15" customHeight="1">
      <c r="A968" s="46" t="s">
        <v>5334</v>
      </c>
      <c r="B968" s="50" t="s">
        <v>5335</v>
      </c>
      <c r="C968" s="54" t="s">
        <v>109</v>
      </c>
      <c r="D968" s="74">
        <v>6</v>
      </c>
      <c r="E968" s="50" t="s">
        <v>81</v>
      </c>
      <c r="F968" s="50">
        <v>3</v>
      </c>
      <c r="G968" s="50">
        <v>5</v>
      </c>
      <c r="H968" s="51" t="s">
        <v>2723</v>
      </c>
      <c r="I968" s="50" t="s">
        <v>5336</v>
      </c>
      <c r="J968" s="54" t="s">
        <v>73</v>
      </c>
      <c r="K968" s="50" t="s">
        <v>474</v>
      </c>
      <c r="L968" s="50" t="s">
        <v>5337</v>
      </c>
      <c r="M968" s="50" t="s">
        <v>5338</v>
      </c>
      <c r="N968" s="50" t="s">
        <v>5339</v>
      </c>
      <c r="O968" s="54"/>
      <c r="P968" s="56" t="s">
        <v>114</v>
      </c>
      <c r="Q968" s="50" t="s">
        <v>669</v>
      </c>
      <c r="R968" s="50"/>
      <c r="S968" s="50"/>
      <c r="T968" s="50"/>
      <c r="U968" s="50"/>
      <c r="V968" s="57"/>
      <c r="W968" s="50"/>
      <c r="X968" s="50"/>
      <c r="Y968" s="50"/>
      <c r="Z968" s="50"/>
      <c r="AA968" s="50"/>
      <c r="AB968" s="57"/>
      <c r="AC968" s="54">
        <v>1</v>
      </c>
      <c r="AD968" s="54">
        <f>SUM(AE968:AK968)</f>
        <v>0</v>
      </c>
      <c r="AE968" s="66"/>
      <c r="AF968" s="66"/>
      <c r="AG968" s="66"/>
      <c r="AH968" s="66"/>
      <c r="AI968" s="66"/>
      <c r="AJ968" s="66"/>
      <c r="AK968" s="66"/>
      <c r="AL968" s="54">
        <f>IF((AC968-SUM(AE968:AK968))&lt;0,0,AC968-SUM(AE968:AK968))</f>
        <v>1</v>
      </c>
      <c r="AM968" s="54">
        <f>SUM(AN968:AT968)</f>
        <v>0</v>
      </c>
      <c r="AN968" s="52"/>
      <c r="AO968" s="52"/>
      <c r="AP968" s="52"/>
      <c r="AQ968" s="52"/>
      <c r="AR968" s="52"/>
      <c r="AS968" s="52"/>
      <c r="AT968" s="52"/>
      <c r="AU968" s="54">
        <f>MAX(0,$AM968-$AC968-$AW968)</f>
        <v>0</v>
      </c>
      <c r="AV968" s="54"/>
      <c r="AW968" s="54"/>
      <c r="AX968" s="65">
        <v>0</v>
      </c>
      <c r="AY968" s="57">
        <f>IF(AND($AU968&gt;0,ISNUMBER($AX968)),$AU968*$AX968,0)</f>
        <v>0</v>
      </c>
      <c r="AZ968" s="46"/>
      <c r="BA968" s="52"/>
      <c r="BB968" s="52"/>
      <c r="BC968" s="52"/>
      <c r="BD968" s="52"/>
      <c r="BE968" s="52"/>
      <c r="BF968" s="52"/>
    </row>
    <row r="969" spans="1:58" ht="15" customHeight="1">
      <c r="A969" s="46" t="s">
        <v>5340</v>
      </c>
      <c r="B969" s="50" t="s">
        <v>5341</v>
      </c>
      <c r="C969" s="54" t="s">
        <v>118</v>
      </c>
      <c r="D969" s="74">
        <v>3</v>
      </c>
      <c r="E969" s="50" t="s">
        <v>384</v>
      </c>
      <c r="F969" s="50">
        <v>3</v>
      </c>
      <c r="G969" s="50">
        <v>4</v>
      </c>
      <c r="H969" s="51" t="s">
        <v>3663</v>
      </c>
      <c r="I969" s="50" t="s">
        <v>5342</v>
      </c>
      <c r="J969" s="54" t="s">
        <v>73</v>
      </c>
      <c r="K969" s="56" t="s">
        <v>474</v>
      </c>
      <c r="L969" s="56" t="s">
        <v>5343</v>
      </c>
      <c r="M969" s="56" t="s">
        <v>5344</v>
      </c>
      <c r="N969" s="56" t="s">
        <v>5345</v>
      </c>
      <c r="O969" s="54"/>
      <c r="P969" s="56" t="s">
        <v>86</v>
      </c>
      <c r="Q969" s="56" t="s">
        <v>2294</v>
      </c>
      <c r="R969" s="50"/>
      <c r="S969" s="50"/>
      <c r="T969" s="50"/>
      <c r="U969" s="50"/>
      <c r="V969" s="57"/>
      <c r="W969" s="50"/>
      <c r="X969" s="50"/>
      <c r="Y969" s="50"/>
      <c r="Z969" s="50"/>
      <c r="AA969" s="50"/>
      <c r="AB969" s="57"/>
      <c r="AC969" s="54">
        <v>1</v>
      </c>
      <c r="AD969" s="54">
        <f>SUM(AE969:AK969)</f>
        <v>0</v>
      </c>
      <c r="AE969" s="66"/>
      <c r="AF969" s="66"/>
      <c r="AG969" s="66"/>
      <c r="AH969" s="66"/>
      <c r="AI969" s="66"/>
      <c r="AJ969" s="66"/>
      <c r="AK969" s="66"/>
      <c r="AL969" s="54">
        <f>IF((AC969-SUM(AE969:AK969))&lt;0,0,AC969-SUM(AE969:AK969))</f>
        <v>1</v>
      </c>
      <c r="AM969" s="54">
        <f>SUM(AN969:AT969)</f>
        <v>0</v>
      </c>
      <c r="AN969" s="52"/>
      <c r="AO969" s="52"/>
      <c r="AP969" s="52"/>
      <c r="AQ969" s="52"/>
      <c r="AR969" s="52"/>
      <c r="AS969" s="52"/>
      <c r="AT969" s="52"/>
      <c r="AU969" s="54">
        <f>MAX(0,$AM969-$AC969-$AW969)</f>
        <v>0</v>
      </c>
      <c r="AV969" s="54"/>
      <c r="AW969" s="54"/>
      <c r="AX969" s="65">
        <v>0</v>
      </c>
      <c r="AY969" s="57">
        <f>IF(AND($AU969&gt;0,ISNUMBER($AX969)),$AU969*$AX969,0)</f>
        <v>0</v>
      </c>
      <c r="AZ969" s="46"/>
      <c r="BA969" s="52"/>
      <c r="BB969" s="52"/>
      <c r="BC969" s="52"/>
      <c r="BD969" s="52"/>
      <c r="BE969" s="52"/>
      <c r="BF969" s="52"/>
    </row>
    <row r="970" spans="1:58" ht="15" customHeight="1">
      <c r="A970" s="46" t="s">
        <v>5346</v>
      </c>
      <c r="B970" s="50" t="s">
        <v>5347</v>
      </c>
      <c r="C970" s="54" t="s">
        <v>181</v>
      </c>
      <c r="D970" s="74">
        <v>2</v>
      </c>
      <c r="E970" s="50" t="s">
        <v>71</v>
      </c>
      <c r="F970" s="50"/>
      <c r="G970" s="50"/>
      <c r="H970" s="51"/>
      <c r="I970" s="50" t="s">
        <v>5348</v>
      </c>
      <c r="J970" s="54" t="s">
        <v>73</v>
      </c>
      <c r="K970" s="50" t="s">
        <v>135</v>
      </c>
      <c r="L970" s="50" t="s">
        <v>624</v>
      </c>
      <c r="M970" s="50" t="s">
        <v>5349</v>
      </c>
      <c r="N970" s="50"/>
      <c r="O970" s="54"/>
      <c r="P970" s="56" t="s">
        <v>76</v>
      </c>
      <c r="Q970" s="50" t="s">
        <v>691</v>
      </c>
      <c r="R970" s="50" t="s">
        <v>5350</v>
      </c>
      <c r="S970" s="50">
        <v>1</v>
      </c>
      <c r="T970" s="50">
        <v>0</v>
      </c>
      <c r="U970" s="56" t="s">
        <v>1698</v>
      </c>
      <c r="V970" s="57"/>
      <c r="W970" s="56"/>
      <c r="X970" s="50"/>
      <c r="Y970" s="50"/>
      <c r="Z970" s="50"/>
      <c r="AA970" s="56"/>
      <c r="AB970" s="57"/>
      <c r="AC970" s="54">
        <v>1</v>
      </c>
      <c r="AD970" s="54">
        <f>SUM(AE970:AK970)</f>
        <v>0</v>
      </c>
      <c r="AE970" s="66"/>
      <c r="AF970" s="66"/>
      <c r="AG970" s="66"/>
      <c r="AH970" s="66"/>
      <c r="AI970" s="66"/>
      <c r="AJ970" s="66"/>
      <c r="AK970" s="66"/>
      <c r="AL970" s="54">
        <f>IF((AC970-SUM(AE970:AK970))&lt;0,0,AC970-SUM(AE970:AK970))</f>
        <v>1</v>
      </c>
      <c r="AM970" s="54">
        <f>SUM(AN970:AT970)</f>
        <v>0</v>
      </c>
      <c r="AN970" s="52"/>
      <c r="AO970" s="52"/>
      <c r="AP970" s="52"/>
      <c r="AQ970" s="52"/>
      <c r="AR970" s="52"/>
      <c r="AS970" s="52"/>
      <c r="AT970" s="52"/>
      <c r="AU970" s="54">
        <f>MAX(0,$AM970-$AC970-$AW970)</f>
        <v>0</v>
      </c>
      <c r="AV970" s="54"/>
      <c r="AW970" s="54"/>
      <c r="AX970" s="65">
        <v>0</v>
      </c>
      <c r="AY970" s="57">
        <f>IF(AND($AU970&gt;0,ISNUMBER($AX970)),$AU970*$AX970,0)</f>
        <v>0</v>
      </c>
      <c r="AZ970" s="46"/>
      <c r="BA970" s="52"/>
      <c r="BB970" s="52"/>
      <c r="BC970" s="52"/>
      <c r="BD970" s="52"/>
      <c r="BE970" s="52"/>
      <c r="BF970" s="52"/>
    </row>
    <row r="971" spans="1:58" ht="15" customHeight="1">
      <c r="A971" s="46" t="s">
        <v>5351</v>
      </c>
      <c r="B971" s="50" t="s">
        <v>5352</v>
      </c>
      <c r="C971" s="54" t="s">
        <v>101</v>
      </c>
      <c r="D971" s="74">
        <v>2</v>
      </c>
      <c r="E971" s="50" t="s">
        <v>81</v>
      </c>
      <c r="F971" s="50">
        <v>3</v>
      </c>
      <c r="G971" s="50">
        <v>1</v>
      </c>
      <c r="H971" s="51" t="s">
        <v>5214</v>
      </c>
      <c r="I971" s="50" t="s">
        <v>5353</v>
      </c>
      <c r="J971" s="54" t="s">
        <v>73</v>
      </c>
      <c r="K971" s="50" t="s">
        <v>135</v>
      </c>
      <c r="L971" s="50" t="s">
        <v>5354</v>
      </c>
      <c r="M971" s="50" t="s">
        <v>304</v>
      </c>
      <c r="N971" s="50"/>
      <c r="O971" s="54"/>
      <c r="P971" s="56" t="s">
        <v>76</v>
      </c>
      <c r="Q971" s="50" t="s">
        <v>691</v>
      </c>
      <c r="R971" s="50" t="s">
        <v>5355</v>
      </c>
      <c r="S971" s="50">
        <v>1</v>
      </c>
      <c r="T971" s="50">
        <v>0</v>
      </c>
      <c r="U971" s="56" t="s">
        <v>1193</v>
      </c>
      <c r="V971" s="57"/>
      <c r="W971" s="56"/>
      <c r="X971" s="50"/>
      <c r="Y971" s="50"/>
      <c r="Z971" s="50"/>
      <c r="AA971" s="56"/>
      <c r="AB971" s="57"/>
      <c r="AC971" s="54">
        <v>1</v>
      </c>
      <c r="AD971" s="54">
        <f>SUM(AE971:AK971)</f>
        <v>0</v>
      </c>
      <c r="AE971" s="66"/>
      <c r="AF971" s="66"/>
      <c r="AG971" s="66"/>
      <c r="AH971" s="66"/>
      <c r="AI971" s="66"/>
      <c r="AJ971" s="66"/>
      <c r="AK971" s="66"/>
      <c r="AL971" s="54">
        <f>IF((AC971-SUM(AE971:AK971))&lt;0,0,AC971-SUM(AE971:AK971))</f>
        <v>1</v>
      </c>
      <c r="AM971" s="54">
        <f>SUM(AN971:AT971)</f>
        <v>0</v>
      </c>
      <c r="AN971" s="52"/>
      <c r="AO971" s="52"/>
      <c r="AP971" s="52"/>
      <c r="AQ971" s="52"/>
      <c r="AR971" s="52"/>
      <c r="AS971" s="52"/>
      <c r="AT971" s="52"/>
      <c r="AU971" s="54">
        <f>MAX(0,$AM971-$AC971-$AW971)</f>
        <v>0</v>
      </c>
      <c r="AV971" s="54"/>
      <c r="AW971" s="54"/>
      <c r="AX971" s="65">
        <v>0</v>
      </c>
      <c r="AY971" s="57">
        <f>IF(AND($AU971&gt;0,ISNUMBER($AX971)),$AU971*$AX971,0)</f>
        <v>0</v>
      </c>
      <c r="AZ971" s="46"/>
      <c r="BA971" s="52"/>
      <c r="BB971" s="52"/>
      <c r="BC971" s="52"/>
      <c r="BD971" s="52"/>
      <c r="BE971" s="52"/>
      <c r="BF971" s="52"/>
    </row>
    <row r="972" spans="1:58" ht="15" customHeight="1">
      <c r="A972" s="46" t="s">
        <v>5356</v>
      </c>
      <c r="B972" s="50" t="s">
        <v>5357</v>
      </c>
      <c r="C972" s="54" t="s">
        <v>70</v>
      </c>
      <c r="D972" s="74">
        <v>4</v>
      </c>
      <c r="E972" s="50" t="s">
        <v>189</v>
      </c>
      <c r="F972" s="50"/>
      <c r="G972" s="50"/>
      <c r="H972" s="51"/>
      <c r="I972" s="50" t="s">
        <v>5358</v>
      </c>
      <c r="J972" s="54" t="s">
        <v>73</v>
      </c>
      <c r="K972" s="50" t="s">
        <v>135</v>
      </c>
      <c r="L972" s="50" t="s">
        <v>5359</v>
      </c>
      <c r="M972" s="50" t="s">
        <v>5360</v>
      </c>
      <c r="N972" s="50"/>
      <c r="O972" s="54"/>
      <c r="P972" s="56" t="s">
        <v>185</v>
      </c>
      <c r="Q972" s="50" t="s">
        <v>691</v>
      </c>
      <c r="R972" s="50" t="s">
        <v>5361</v>
      </c>
      <c r="S972" s="50">
        <v>1</v>
      </c>
      <c r="T972" s="50">
        <v>0</v>
      </c>
      <c r="U972" s="56" t="s">
        <v>5362</v>
      </c>
      <c r="V972" s="57"/>
      <c r="W972" s="56"/>
      <c r="X972" s="50"/>
      <c r="Y972" s="50"/>
      <c r="Z972" s="50"/>
      <c r="AA972" s="56"/>
      <c r="AB972" s="57"/>
      <c r="AC972" s="54">
        <v>1</v>
      </c>
      <c r="AD972" s="54">
        <f>SUM(AE972:AK972)</f>
        <v>0</v>
      </c>
      <c r="AE972" s="66"/>
      <c r="AF972" s="66"/>
      <c r="AG972" s="66"/>
      <c r="AH972" s="66"/>
      <c r="AI972" s="66"/>
      <c r="AJ972" s="66"/>
      <c r="AK972" s="66"/>
      <c r="AL972" s="54">
        <f>IF((AC972-SUM(AE972:AK972))&lt;0,0,AC972-SUM(AE972:AK972))</f>
        <v>1</v>
      </c>
      <c r="AM972" s="54">
        <f>SUM(AN972:AT972)</f>
        <v>0</v>
      </c>
      <c r="AN972" s="52"/>
      <c r="AO972" s="52"/>
      <c r="AP972" s="52"/>
      <c r="AQ972" s="52"/>
      <c r="AR972" s="52"/>
      <c r="AS972" s="52"/>
      <c r="AT972" s="52"/>
      <c r="AU972" s="54">
        <f>MAX(0,$AM972-$AC972-$AW972)</f>
        <v>0</v>
      </c>
      <c r="AV972" s="54"/>
      <c r="AW972" s="54"/>
      <c r="AX972" s="65">
        <v>0</v>
      </c>
      <c r="AY972" s="57">
        <f>IF(AND($AU972&gt;0,ISNUMBER($AX972)),$AU972*$AX972,0)</f>
        <v>0</v>
      </c>
      <c r="AZ972" s="46"/>
      <c r="BA972" s="52"/>
      <c r="BB972" s="52"/>
      <c r="BC972" s="52"/>
      <c r="BD972" s="52"/>
      <c r="BE972" s="52"/>
      <c r="BF972" s="52"/>
    </row>
    <row r="973" spans="1:58" ht="15" customHeight="1">
      <c r="A973" s="46" t="s">
        <v>5363</v>
      </c>
      <c r="B973" s="50" t="s">
        <v>5364</v>
      </c>
      <c r="C973" s="54" t="s">
        <v>181</v>
      </c>
      <c r="D973" s="74">
        <v>3</v>
      </c>
      <c r="E973" s="50" t="s">
        <v>189</v>
      </c>
      <c r="F973" s="50"/>
      <c r="G973" s="50"/>
      <c r="H973" s="51"/>
      <c r="I973" s="50" t="s">
        <v>5365</v>
      </c>
      <c r="J973" s="54" t="s">
        <v>73</v>
      </c>
      <c r="K973" s="50" t="s">
        <v>135</v>
      </c>
      <c r="L973" s="50" t="s">
        <v>1812</v>
      </c>
      <c r="M973" s="50"/>
      <c r="N973" s="50"/>
      <c r="O973" s="54"/>
      <c r="P973" s="56" t="s">
        <v>76</v>
      </c>
      <c r="Q973" s="50" t="s">
        <v>633</v>
      </c>
      <c r="R973" s="50"/>
      <c r="S973" s="50"/>
      <c r="T973" s="50"/>
      <c r="U973" s="56"/>
      <c r="V973" s="57"/>
      <c r="W973" s="56"/>
      <c r="X973" s="50"/>
      <c r="Y973" s="50"/>
      <c r="Z973" s="50"/>
      <c r="AA973" s="56"/>
      <c r="AB973" s="57"/>
      <c r="AC973" s="54">
        <v>1</v>
      </c>
      <c r="AD973" s="54">
        <f>SUM(AE973:AK973)</f>
        <v>0</v>
      </c>
      <c r="AE973" s="66"/>
      <c r="AF973" s="66"/>
      <c r="AG973" s="66"/>
      <c r="AH973" s="66"/>
      <c r="AI973" s="66"/>
      <c r="AJ973" s="66"/>
      <c r="AK973" s="66"/>
      <c r="AL973" s="54">
        <f>IF((AC973-SUM(AE973:AK973))&lt;0,0,AC973-SUM(AE973:AK973))</f>
        <v>1</v>
      </c>
      <c r="AM973" s="54">
        <f>SUM(AN973:AT973)</f>
        <v>0</v>
      </c>
      <c r="AN973" s="52"/>
      <c r="AO973" s="52"/>
      <c r="AP973" s="52"/>
      <c r="AQ973" s="52"/>
      <c r="AR973" s="52"/>
      <c r="AS973" s="52"/>
      <c r="AT973" s="52"/>
      <c r="AU973" s="54">
        <f>MAX(0,$AM973-$AC973-$AW973)</f>
        <v>0</v>
      </c>
      <c r="AV973" s="54"/>
      <c r="AW973" s="54"/>
      <c r="AX973" s="65">
        <v>0</v>
      </c>
      <c r="AY973" s="57">
        <f>IF(AND($AU973&gt;0,ISNUMBER($AX973)),$AU973*$AX973,0)</f>
        <v>0</v>
      </c>
      <c r="AZ973" s="46"/>
      <c r="BA973" s="52"/>
      <c r="BB973" s="52"/>
      <c r="BC973" s="52"/>
      <c r="BD973" s="52"/>
      <c r="BE973" s="52"/>
      <c r="BF973" s="52"/>
    </row>
    <row r="974" spans="1:58" ht="15" customHeight="1">
      <c r="A974" s="46" t="s">
        <v>5366</v>
      </c>
      <c r="B974" s="50" t="s">
        <v>5367</v>
      </c>
      <c r="C974" s="54" t="s">
        <v>181</v>
      </c>
      <c r="D974" s="74">
        <v>3</v>
      </c>
      <c r="E974" s="50" t="s">
        <v>384</v>
      </c>
      <c r="F974" s="50"/>
      <c r="G974" s="50"/>
      <c r="H974" s="51" t="s">
        <v>1256</v>
      </c>
      <c r="I974" s="50" t="s">
        <v>5368</v>
      </c>
      <c r="J974" s="54" t="s">
        <v>73</v>
      </c>
      <c r="K974" s="50" t="s">
        <v>135</v>
      </c>
      <c r="L974" s="50" t="s">
        <v>5369</v>
      </c>
      <c r="M974" s="50" t="s">
        <v>5370</v>
      </c>
      <c r="N974" s="50"/>
      <c r="O974" s="54"/>
      <c r="P974" s="56" t="s">
        <v>76</v>
      </c>
      <c r="Q974" s="50" t="s">
        <v>729</v>
      </c>
      <c r="R974" s="50"/>
      <c r="S974" s="50"/>
      <c r="T974" s="50"/>
      <c r="U974" s="56"/>
      <c r="V974" s="57"/>
      <c r="W974" s="56"/>
      <c r="X974" s="50"/>
      <c r="Y974" s="50"/>
      <c r="Z974" s="50"/>
      <c r="AA974" s="56"/>
      <c r="AB974" s="57"/>
      <c r="AC974" s="54">
        <v>1</v>
      </c>
      <c r="AD974" s="54">
        <f>SUM(AE974:AK974)</f>
        <v>1</v>
      </c>
      <c r="AE974" s="66"/>
      <c r="AF974" s="66"/>
      <c r="AG974" s="66"/>
      <c r="AH974" s="66"/>
      <c r="AI974" s="66"/>
      <c r="AJ974" s="66"/>
      <c r="AK974" s="66">
        <v>1</v>
      </c>
      <c r="AL974" s="54">
        <f>IF((AC974-SUM(AE974:AK974))&lt;0,0,AC974-SUM(AE974:AK974))</f>
        <v>0</v>
      </c>
      <c r="AM974" s="54">
        <f>SUM(AN974:AT974)</f>
        <v>0</v>
      </c>
      <c r="AN974" s="52"/>
      <c r="AO974" s="52"/>
      <c r="AP974" s="52"/>
      <c r="AQ974" s="52"/>
      <c r="AR974" s="52"/>
      <c r="AS974" s="52"/>
      <c r="AT974" s="52"/>
      <c r="AU974" s="54">
        <f>MAX(0,$AM974-$AC974-$AW974)</f>
        <v>0</v>
      </c>
      <c r="AV974" s="54"/>
      <c r="AW974" s="54"/>
      <c r="AX974" s="65">
        <v>0</v>
      </c>
      <c r="AY974" s="57">
        <f>IF(AND($AU974&gt;0,ISNUMBER($AX974)),$AU974*$AX974,0)</f>
        <v>0</v>
      </c>
      <c r="AZ974" s="46"/>
      <c r="BA974" s="52"/>
      <c r="BB974" s="52"/>
      <c r="BC974" s="52"/>
      <c r="BD974" s="52"/>
      <c r="BE974" s="52"/>
      <c r="BF974" s="52" t="s">
        <v>193</v>
      </c>
    </row>
    <row r="975" spans="1:58" ht="15" customHeight="1">
      <c r="A975" s="46" t="s">
        <v>5371</v>
      </c>
      <c r="B975" s="50" t="s">
        <v>5372</v>
      </c>
      <c r="C975" s="54" t="s">
        <v>232</v>
      </c>
      <c r="D975" s="74">
        <v>3</v>
      </c>
      <c r="E975" s="50" t="s">
        <v>984</v>
      </c>
      <c r="F975" s="50"/>
      <c r="G975" s="50"/>
      <c r="H975" s="51" t="s">
        <v>519</v>
      </c>
      <c r="I975" s="50" t="s">
        <v>5373</v>
      </c>
      <c r="J975" s="54" t="s">
        <v>73</v>
      </c>
      <c r="K975" s="50" t="s">
        <v>135</v>
      </c>
      <c r="L975" s="50" t="s">
        <v>5374</v>
      </c>
      <c r="M975" s="50" t="s">
        <v>5375</v>
      </c>
      <c r="N975" s="50" t="s">
        <v>85</v>
      </c>
      <c r="O975" s="54"/>
      <c r="P975" s="56" t="s">
        <v>185</v>
      </c>
      <c r="Q975" s="50" t="s">
        <v>633</v>
      </c>
      <c r="R975" s="50"/>
      <c r="S975" s="50"/>
      <c r="T975" s="50"/>
      <c r="U975" s="56"/>
      <c r="V975" s="57"/>
      <c r="W975" s="56"/>
      <c r="X975" s="50"/>
      <c r="Y975" s="50"/>
      <c r="Z975" s="50"/>
      <c r="AA975" s="56"/>
      <c r="AB975" s="57"/>
      <c r="AC975" s="54">
        <v>1</v>
      </c>
      <c r="AD975" s="54">
        <f>SUM(AE975:AK975)</f>
        <v>1</v>
      </c>
      <c r="AE975" s="66"/>
      <c r="AF975" s="66"/>
      <c r="AG975" s="66"/>
      <c r="AH975" s="66"/>
      <c r="AI975" s="66"/>
      <c r="AJ975" s="66"/>
      <c r="AK975" s="66">
        <v>1</v>
      </c>
      <c r="AL975" s="54">
        <f>IF((AC975-SUM(AE975:AK975))&lt;0,0,AC975-SUM(AE975:AK975))</f>
        <v>0</v>
      </c>
      <c r="AM975" s="54">
        <f>SUM(AN975:AT975)</f>
        <v>1</v>
      </c>
      <c r="AN975" s="52"/>
      <c r="AO975" s="52"/>
      <c r="AP975" s="52"/>
      <c r="AQ975" s="52"/>
      <c r="AR975" s="52"/>
      <c r="AS975" s="52"/>
      <c r="AT975" s="52">
        <v>1</v>
      </c>
      <c r="AU975" s="54">
        <f>MAX(0,$AM975-$AC975-$AW975)</f>
        <v>0</v>
      </c>
      <c r="AV975" s="54"/>
      <c r="AW975" s="54"/>
      <c r="AX975" s="65">
        <v>0</v>
      </c>
      <c r="AY975" s="57">
        <f>IF(AND($AU975&gt;0,ISNUMBER($AX975)),$AU975*$AX975,0)</f>
        <v>0</v>
      </c>
      <c r="AZ975" s="46"/>
      <c r="BA975" s="52"/>
      <c r="BB975" s="52"/>
      <c r="BC975" s="52"/>
      <c r="BD975" s="52"/>
      <c r="BE975" s="52"/>
      <c r="BF975" s="52"/>
    </row>
    <row r="976" spans="1:58" ht="15" customHeight="1">
      <c r="A976" s="46" t="s">
        <v>5376</v>
      </c>
      <c r="B976" s="50" t="s">
        <v>5377</v>
      </c>
      <c r="C976" s="54" t="s">
        <v>70</v>
      </c>
      <c r="D976" s="74">
        <v>4</v>
      </c>
      <c r="E976" s="50" t="s">
        <v>384</v>
      </c>
      <c r="F976" s="50"/>
      <c r="G976" s="50"/>
      <c r="H976" s="51" t="s">
        <v>3663</v>
      </c>
      <c r="I976" s="50" t="s">
        <v>5378</v>
      </c>
      <c r="J976" s="54" t="s">
        <v>73</v>
      </c>
      <c r="K976" s="50" t="s">
        <v>135</v>
      </c>
      <c r="L976" s="50" t="s">
        <v>5379</v>
      </c>
      <c r="M976" s="50" t="s">
        <v>5380</v>
      </c>
      <c r="N976" s="50" t="s">
        <v>5381</v>
      </c>
      <c r="O976" s="54"/>
      <c r="P976" s="56" t="s">
        <v>185</v>
      </c>
      <c r="Q976" s="50" t="s">
        <v>633</v>
      </c>
      <c r="R976" s="50"/>
      <c r="S976" s="50"/>
      <c r="T976" s="50"/>
      <c r="U976" s="56"/>
      <c r="V976" s="57"/>
      <c r="W976" s="56"/>
      <c r="X976" s="50"/>
      <c r="Y976" s="50"/>
      <c r="Z976" s="50"/>
      <c r="AA976" s="56"/>
      <c r="AB976" s="57"/>
      <c r="AC976" s="54">
        <v>1</v>
      </c>
      <c r="AD976" s="54">
        <f>SUM(AE976:AK976)</f>
        <v>1</v>
      </c>
      <c r="AE976" s="66"/>
      <c r="AF976" s="66"/>
      <c r="AG976" s="66"/>
      <c r="AH976" s="66"/>
      <c r="AI976" s="66"/>
      <c r="AJ976" s="66">
        <v>1</v>
      </c>
      <c r="AK976" s="66"/>
      <c r="AL976" s="54">
        <f>IF((AC976-SUM(AE976:AK976))&lt;0,0,AC976-SUM(AE976:AK976))</f>
        <v>0</v>
      </c>
      <c r="AM976" s="54">
        <f>SUM(AN976:AT976)</f>
        <v>0</v>
      </c>
      <c r="AN976" s="52"/>
      <c r="AO976" s="52"/>
      <c r="AP976" s="52"/>
      <c r="AQ976" s="52"/>
      <c r="AR976" s="52"/>
      <c r="AS976" s="52"/>
      <c r="AT976" s="52"/>
      <c r="AU976" s="54">
        <f>MAX(0,$AM976-$AC976-$AW976)</f>
        <v>0</v>
      </c>
      <c r="AV976" s="54"/>
      <c r="AW976" s="54"/>
      <c r="AX976" s="65">
        <v>0</v>
      </c>
      <c r="AY976" s="57">
        <f>IF(AND($AU976&gt;0,ISNUMBER($AX976)),$AU976*$AX976,0)</f>
        <v>0</v>
      </c>
      <c r="AZ976" s="46"/>
      <c r="BA976" s="52"/>
      <c r="BB976" s="52"/>
      <c r="BC976" s="52"/>
      <c r="BD976" s="52"/>
      <c r="BE976" s="52" t="s">
        <v>214</v>
      </c>
      <c r="BF976" s="52"/>
    </row>
    <row r="977" spans="1:58" ht="15" customHeight="1">
      <c r="A977" s="46" t="s">
        <v>5382</v>
      </c>
      <c r="B977" s="50" t="s">
        <v>5383</v>
      </c>
      <c r="C977" s="54" t="s">
        <v>70</v>
      </c>
      <c r="D977" s="74">
        <v>2</v>
      </c>
      <c r="E977" s="50" t="s">
        <v>81</v>
      </c>
      <c r="F977" s="50">
        <v>1</v>
      </c>
      <c r="G977" s="50">
        <v>1</v>
      </c>
      <c r="H977" s="51" t="s">
        <v>1174</v>
      </c>
      <c r="I977" s="50" t="s">
        <v>5384</v>
      </c>
      <c r="J977" s="54" t="s">
        <v>73</v>
      </c>
      <c r="K977" s="50" t="s">
        <v>135</v>
      </c>
      <c r="L977" s="50" t="s">
        <v>5385</v>
      </c>
      <c r="M977" s="50"/>
      <c r="N977" s="50"/>
      <c r="O977" s="54"/>
      <c r="P977" s="56" t="s">
        <v>185</v>
      </c>
      <c r="Q977" s="50" t="s">
        <v>669</v>
      </c>
      <c r="R977" s="50"/>
      <c r="S977" s="50"/>
      <c r="T977" s="50"/>
      <c r="U977" s="56"/>
      <c r="V977" s="57"/>
      <c r="W977" s="56"/>
      <c r="X977" s="50"/>
      <c r="Y977" s="50"/>
      <c r="Z977" s="50"/>
      <c r="AA977" s="56"/>
      <c r="AB977" s="57"/>
      <c r="AC977" s="54">
        <v>1</v>
      </c>
      <c r="AD977" s="54">
        <f>SUM(AE977:AK977)</f>
        <v>0</v>
      </c>
      <c r="AE977" s="66"/>
      <c r="AF977" s="66"/>
      <c r="AG977" s="66"/>
      <c r="AH977" s="66"/>
      <c r="AI977" s="66"/>
      <c r="AJ977" s="66"/>
      <c r="AK977" s="66"/>
      <c r="AL977" s="54">
        <f>IF((AC977-SUM(AE977:AK977))&lt;0,0,AC977-SUM(AE977:AK977))</f>
        <v>1</v>
      </c>
      <c r="AM977" s="54">
        <f>SUM(AN977:AT977)</f>
        <v>0</v>
      </c>
      <c r="AN977" s="52"/>
      <c r="AO977" s="52"/>
      <c r="AP977" s="52"/>
      <c r="AQ977" s="52"/>
      <c r="AR977" s="52"/>
      <c r="AS977" s="52"/>
      <c r="AT977" s="52"/>
      <c r="AU977" s="54">
        <f>MAX(0,$AM977-$AC977-$AW977)</f>
        <v>0</v>
      </c>
      <c r="AV977" s="54"/>
      <c r="AW977" s="54"/>
      <c r="AX977" s="65">
        <v>0</v>
      </c>
      <c r="AY977" s="57">
        <f>IF(AND($AU977&gt;0,ISNUMBER($AX977)),$AU977*$AX977,0)</f>
        <v>0</v>
      </c>
      <c r="AZ977" s="46"/>
      <c r="BA977" s="52"/>
      <c r="BB977" s="52"/>
      <c r="BC977" s="52"/>
      <c r="BD977" s="52"/>
      <c r="BE977" s="52"/>
      <c r="BF977" s="52"/>
    </row>
    <row r="978" spans="1:58" ht="15" customHeight="1">
      <c r="A978" s="46" t="s">
        <v>5386</v>
      </c>
      <c r="B978" s="50" t="s">
        <v>5387</v>
      </c>
      <c r="C978" s="54" t="s">
        <v>232</v>
      </c>
      <c r="D978" s="74">
        <v>2</v>
      </c>
      <c r="E978" s="50" t="s">
        <v>233</v>
      </c>
      <c r="F978" s="50"/>
      <c r="G978" s="50"/>
      <c r="H978" s="51" t="s">
        <v>519</v>
      </c>
      <c r="I978" s="50" t="s">
        <v>5388</v>
      </c>
      <c r="J978" s="54" t="s">
        <v>73</v>
      </c>
      <c r="K978" s="50" t="s">
        <v>129</v>
      </c>
      <c r="L978" s="50" t="s">
        <v>5389</v>
      </c>
      <c r="M978" s="50" t="s">
        <v>5390</v>
      </c>
      <c r="N978" s="50"/>
      <c r="O978" s="54"/>
      <c r="P978" s="56" t="s">
        <v>76</v>
      </c>
      <c r="Q978" s="50" t="s">
        <v>669</v>
      </c>
      <c r="R978" s="50"/>
      <c r="S978" s="50"/>
      <c r="T978" s="50"/>
      <c r="U978" s="56"/>
      <c r="V978" s="57"/>
      <c r="W978" s="56"/>
      <c r="X978" s="50"/>
      <c r="Y978" s="50"/>
      <c r="Z978" s="50"/>
      <c r="AA978" s="56"/>
      <c r="AB978" s="57"/>
      <c r="AC978" s="54">
        <v>1</v>
      </c>
      <c r="AD978" s="54">
        <f>SUM(AE978:AK978)</f>
        <v>0</v>
      </c>
      <c r="AE978" s="66"/>
      <c r="AF978" s="66"/>
      <c r="AG978" s="66"/>
      <c r="AH978" s="66"/>
      <c r="AI978" s="66"/>
      <c r="AJ978" s="66"/>
      <c r="AK978" s="66"/>
      <c r="AL978" s="54">
        <f>IF((AC978-SUM(AE978:AK978))&lt;0,0,AC978-SUM(AE978:AK978))</f>
        <v>1</v>
      </c>
      <c r="AM978" s="54">
        <f>SUM(AN978:AT978)</f>
        <v>0</v>
      </c>
      <c r="AN978" s="52"/>
      <c r="AO978" s="52"/>
      <c r="AP978" s="52"/>
      <c r="AQ978" s="52"/>
      <c r="AR978" s="52"/>
      <c r="AS978" s="52"/>
      <c r="AT978" s="52"/>
      <c r="AU978" s="54">
        <f>MAX(0,$AM978-$AC978-$AW978)</f>
        <v>0</v>
      </c>
      <c r="AV978" s="54"/>
      <c r="AW978" s="54"/>
      <c r="AX978" s="65">
        <v>0</v>
      </c>
      <c r="AY978" s="57">
        <f>IF(AND($AU978&gt;0,ISNUMBER($AX978)),$AU978*$AX978,0)</f>
        <v>0</v>
      </c>
      <c r="AZ978" s="46"/>
      <c r="BA978" s="52"/>
      <c r="BB978" s="52"/>
      <c r="BC978" s="52"/>
      <c r="BD978" s="52"/>
      <c r="BE978" s="52"/>
      <c r="BF978" s="52"/>
    </row>
    <row r="979" spans="1:58" ht="15" customHeight="1">
      <c r="A979" s="46" t="s">
        <v>5391</v>
      </c>
      <c r="B979" s="50" t="s">
        <v>5392</v>
      </c>
      <c r="C979" s="54" t="s">
        <v>70</v>
      </c>
      <c r="D979" s="74">
        <v>2</v>
      </c>
      <c r="E979" s="50" t="s">
        <v>81</v>
      </c>
      <c r="F979" s="50">
        <v>2</v>
      </c>
      <c r="G979" s="50">
        <v>2</v>
      </c>
      <c r="H979" s="51" t="s">
        <v>1626</v>
      </c>
      <c r="I979" s="50" t="s">
        <v>5393</v>
      </c>
      <c r="J979" s="54" t="s">
        <v>73</v>
      </c>
      <c r="K979" s="50" t="s">
        <v>129</v>
      </c>
      <c r="L979" s="50" t="s">
        <v>5394</v>
      </c>
      <c r="M979" s="50"/>
      <c r="N979" s="50"/>
      <c r="O979" s="54"/>
      <c r="P979" s="56" t="s">
        <v>185</v>
      </c>
      <c r="Q979" s="50" t="s">
        <v>633</v>
      </c>
      <c r="R979" s="50"/>
      <c r="S979" s="50"/>
      <c r="T979" s="50"/>
      <c r="U979" s="56"/>
      <c r="V979" s="57"/>
      <c r="W979" s="56"/>
      <c r="X979" s="50"/>
      <c r="Y979" s="50"/>
      <c r="Z979" s="50"/>
      <c r="AA979" s="56"/>
      <c r="AB979" s="57"/>
      <c r="AC979" s="54">
        <v>1</v>
      </c>
      <c r="AD979" s="54">
        <f>SUM(AE979:AK979)</f>
        <v>0</v>
      </c>
      <c r="AE979" s="66"/>
      <c r="AF979" s="66"/>
      <c r="AG979" s="66"/>
      <c r="AH979" s="66"/>
      <c r="AI979" s="66"/>
      <c r="AJ979" s="66"/>
      <c r="AK979" s="66"/>
      <c r="AL979" s="54">
        <f>IF((AC979-SUM(AE979:AK979))&lt;0,0,AC979-SUM(AE979:AK979))</f>
        <v>1</v>
      </c>
      <c r="AM979" s="54">
        <f>SUM(AN979:AT979)</f>
        <v>0</v>
      </c>
      <c r="AN979" s="52"/>
      <c r="AO979" s="52"/>
      <c r="AP979" s="52"/>
      <c r="AQ979" s="52"/>
      <c r="AR979" s="52"/>
      <c r="AS979" s="52"/>
      <c r="AT979" s="52"/>
      <c r="AU979" s="54">
        <f>MAX(0,$AM979-$AC979-$AW979)</f>
        <v>0</v>
      </c>
      <c r="AV979" s="54"/>
      <c r="AW979" s="54"/>
      <c r="AX979" s="65">
        <v>0</v>
      </c>
      <c r="AY979" s="57">
        <f>IF(AND($AU979&gt;0,ISNUMBER($AX979)),$AU979*$AX979,0)</f>
        <v>0</v>
      </c>
      <c r="AZ979" s="46"/>
      <c r="BA979" s="52"/>
      <c r="BB979" s="52"/>
      <c r="BC979" s="52"/>
      <c r="BD979" s="52"/>
      <c r="BE979" s="52"/>
      <c r="BF979" s="52"/>
    </row>
    <row r="980" spans="1:58" ht="15" customHeight="1">
      <c r="A980" s="46" t="s">
        <v>5395</v>
      </c>
      <c r="B980" s="50" t="s">
        <v>5396</v>
      </c>
      <c r="C980" s="54" t="s">
        <v>101</v>
      </c>
      <c r="D980" s="74">
        <v>5</v>
      </c>
      <c r="E980" s="50" t="s">
        <v>531</v>
      </c>
      <c r="F980" s="50">
        <v>5</v>
      </c>
      <c r="G980" s="50">
        <v>5</v>
      </c>
      <c r="H980" s="51" t="s">
        <v>5397</v>
      </c>
      <c r="I980" s="50" t="s">
        <v>5398</v>
      </c>
      <c r="J980" s="54" t="s">
        <v>73</v>
      </c>
      <c r="K980" s="50" t="s">
        <v>676</v>
      </c>
      <c r="L980" s="50" t="s">
        <v>5399</v>
      </c>
      <c r="M980" s="50" t="s">
        <v>5400</v>
      </c>
      <c r="N980" s="50"/>
      <c r="O980" s="54"/>
      <c r="P980" s="56" t="s">
        <v>76</v>
      </c>
      <c r="Q980" s="50" t="s">
        <v>691</v>
      </c>
      <c r="R980" s="50" t="s">
        <v>5401</v>
      </c>
      <c r="S980" s="50">
        <v>1</v>
      </c>
      <c r="T980" s="50">
        <v>0</v>
      </c>
      <c r="U980" s="56" t="s">
        <v>969</v>
      </c>
      <c r="V980" s="57"/>
      <c r="W980" s="56"/>
      <c r="X980" s="50"/>
      <c r="Y980" s="50"/>
      <c r="Z980" s="50"/>
      <c r="AA980" s="56"/>
      <c r="AB980" s="57"/>
      <c r="AC980" s="54">
        <v>1</v>
      </c>
      <c r="AD980" s="54">
        <f>SUM(AE980:AK980)</f>
        <v>0</v>
      </c>
      <c r="AE980" s="66"/>
      <c r="AF980" s="66"/>
      <c r="AG980" s="66"/>
      <c r="AH980" s="66"/>
      <c r="AI980" s="66"/>
      <c r="AJ980" s="66"/>
      <c r="AK980" s="66"/>
      <c r="AL980" s="54">
        <f>IF((AC980-SUM(AE980:AK980))&lt;0,0,AC980-SUM(AE980:AK980))</f>
        <v>1</v>
      </c>
      <c r="AM980" s="54">
        <f>SUM(AN980:AT980)</f>
        <v>0</v>
      </c>
      <c r="AN980" s="52"/>
      <c r="AO980" s="52"/>
      <c r="AP980" s="52"/>
      <c r="AQ980" s="52"/>
      <c r="AR980" s="52"/>
      <c r="AS980" s="52"/>
      <c r="AT980" s="52"/>
      <c r="AU980" s="54">
        <f>MAX(0,$AM980-$AC980-$AW980)</f>
        <v>0</v>
      </c>
      <c r="AV980" s="54"/>
      <c r="AW980" s="54"/>
      <c r="AX980" s="65">
        <v>0</v>
      </c>
      <c r="AY980" s="57">
        <f>IF(AND($AU980&gt;0,ISNUMBER($AX980)),$AU980*$AX980,0)</f>
        <v>0</v>
      </c>
      <c r="AZ980" s="46"/>
      <c r="BA980" s="52"/>
      <c r="BB980" s="52"/>
      <c r="BC980" s="52"/>
      <c r="BD980" s="52"/>
      <c r="BE980" s="52"/>
      <c r="BF980" s="52"/>
    </row>
    <row r="981" spans="1:58" ht="15" customHeight="1">
      <c r="A981" s="46" t="s">
        <v>5402</v>
      </c>
      <c r="B981" s="50" t="s">
        <v>5403</v>
      </c>
      <c r="C981" s="54" t="s">
        <v>70</v>
      </c>
      <c r="D981" s="74">
        <v>2</v>
      </c>
      <c r="E981" s="50" t="s">
        <v>81</v>
      </c>
      <c r="F981" s="50">
        <v>2</v>
      </c>
      <c r="G981" s="50">
        <v>1</v>
      </c>
      <c r="H981" s="51" t="s">
        <v>1771</v>
      </c>
      <c r="I981" s="50" t="s">
        <v>5404</v>
      </c>
      <c r="J981" s="54" t="s">
        <v>73</v>
      </c>
      <c r="K981" s="50" t="s">
        <v>676</v>
      </c>
      <c r="L981" s="50" t="s">
        <v>5405</v>
      </c>
      <c r="M981" s="50" t="s">
        <v>5406</v>
      </c>
      <c r="N981" s="50"/>
      <c r="O981" s="54"/>
      <c r="P981" s="56" t="s">
        <v>76</v>
      </c>
      <c r="Q981" s="50" t="s">
        <v>691</v>
      </c>
      <c r="R981" s="50" t="s">
        <v>5407</v>
      </c>
      <c r="S981" s="50">
        <v>1</v>
      </c>
      <c r="T981" s="50">
        <v>0</v>
      </c>
      <c r="U981" s="56" t="s">
        <v>5408</v>
      </c>
      <c r="V981" s="57"/>
      <c r="W981" s="56"/>
      <c r="X981" s="50"/>
      <c r="Y981" s="50"/>
      <c r="Z981" s="50"/>
      <c r="AA981" s="56"/>
      <c r="AB981" s="57"/>
      <c r="AC981" s="54">
        <v>1</v>
      </c>
      <c r="AD981" s="54">
        <f>SUM(AE981:AK981)</f>
        <v>0</v>
      </c>
      <c r="AE981" s="66"/>
      <c r="AF981" s="66"/>
      <c r="AG981" s="66"/>
      <c r="AH981" s="66"/>
      <c r="AI981" s="66"/>
      <c r="AJ981" s="66"/>
      <c r="AK981" s="66"/>
      <c r="AL981" s="54">
        <f>IF((AC981-SUM(AE981:AK981))&lt;0,0,AC981-SUM(AE981:AK981))</f>
        <v>1</v>
      </c>
      <c r="AM981" s="54">
        <f>SUM(AN981:AT981)</f>
        <v>0</v>
      </c>
      <c r="AN981" s="52"/>
      <c r="AO981" s="52"/>
      <c r="AP981" s="52"/>
      <c r="AQ981" s="52"/>
      <c r="AR981" s="52"/>
      <c r="AS981" s="52"/>
      <c r="AT981" s="52"/>
      <c r="AU981" s="54">
        <f>MAX(0,$AM981-$AC981-$AW981)</f>
        <v>0</v>
      </c>
      <c r="AV981" s="54"/>
      <c r="AW981" s="54"/>
      <c r="AX981" s="65">
        <v>0</v>
      </c>
      <c r="AY981" s="57">
        <f>IF(AND($AU981&gt;0,ISNUMBER($AX981)),$AU981*$AX981,0)</f>
        <v>0</v>
      </c>
      <c r="AZ981" s="46"/>
      <c r="BA981" s="52"/>
      <c r="BB981" s="52"/>
      <c r="BC981" s="52"/>
      <c r="BD981" s="52"/>
      <c r="BE981" s="52"/>
      <c r="BF981" s="52"/>
    </row>
    <row r="982" spans="1:58" ht="15" customHeight="1">
      <c r="A982" s="46" t="s">
        <v>5409</v>
      </c>
      <c r="B982" s="50" t="s">
        <v>5410</v>
      </c>
      <c r="C982" s="54" t="s">
        <v>181</v>
      </c>
      <c r="D982" s="74">
        <v>2</v>
      </c>
      <c r="E982" s="50" t="s">
        <v>81</v>
      </c>
      <c r="F982" s="50">
        <v>2</v>
      </c>
      <c r="G982" s="50">
        <v>2</v>
      </c>
      <c r="H982" s="51" t="s">
        <v>775</v>
      </c>
      <c r="I982" s="50" t="s">
        <v>5411</v>
      </c>
      <c r="J982" s="54" t="s">
        <v>73</v>
      </c>
      <c r="K982" s="50" t="s">
        <v>676</v>
      </c>
      <c r="L982" s="50" t="s">
        <v>242</v>
      </c>
      <c r="M982" s="50" t="s">
        <v>5412</v>
      </c>
      <c r="N982" s="50"/>
      <c r="O982" s="54"/>
      <c r="P982" s="56" t="s">
        <v>76</v>
      </c>
      <c r="Q982" s="50" t="s">
        <v>633</v>
      </c>
      <c r="R982" s="50"/>
      <c r="S982" s="50"/>
      <c r="T982" s="50"/>
      <c r="U982" s="56"/>
      <c r="V982" s="57"/>
      <c r="W982" s="56"/>
      <c r="X982" s="50"/>
      <c r="Y982" s="50"/>
      <c r="Z982" s="50"/>
      <c r="AA982" s="56"/>
      <c r="AB982" s="57"/>
      <c r="AC982" s="54">
        <v>1</v>
      </c>
      <c r="AD982" s="54">
        <f>SUM(AE982:AK982)</f>
        <v>0</v>
      </c>
      <c r="AE982" s="66"/>
      <c r="AF982" s="66"/>
      <c r="AG982" s="66"/>
      <c r="AH982" s="66"/>
      <c r="AI982" s="66"/>
      <c r="AJ982" s="66"/>
      <c r="AK982" s="66"/>
      <c r="AL982" s="54">
        <f>IF((AC982-SUM(AE982:AK982))&lt;0,0,AC982-SUM(AE982:AK982))</f>
        <v>1</v>
      </c>
      <c r="AM982" s="54">
        <f>SUM(AN982:AT982)</f>
        <v>0</v>
      </c>
      <c r="AN982" s="52"/>
      <c r="AO982" s="52"/>
      <c r="AP982" s="52"/>
      <c r="AQ982" s="52"/>
      <c r="AR982" s="52"/>
      <c r="AS982" s="52"/>
      <c r="AT982" s="52"/>
      <c r="AU982" s="54">
        <f>MAX(0,$AM982-$AC982-$AW982)</f>
        <v>0</v>
      </c>
      <c r="AV982" s="54"/>
      <c r="AW982" s="54"/>
      <c r="AX982" s="65">
        <v>0</v>
      </c>
      <c r="AY982" s="57">
        <f>IF(AND($AU982&gt;0,ISNUMBER($AX982)),$AU982*$AX982,0)</f>
        <v>0</v>
      </c>
      <c r="AZ982" s="46"/>
      <c r="BA982" s="52"/>
      <c r="BB982" s="52"/>
      <c r="BC982" s="52"/>
      <c r="BD982" s="52"/>
      <c r="BE982" s="52"/>
      <c r="BF982" s="52"/>
    </row>
    <row r="983" spans="1:58" ht="15" customHeight="1">
      <c r="A983" s="46" t="s">
        <v>5413</v>
      </c>
      <c r="B983" s="50" t="s">
        <v>5414</v>
      </c>
      <c r="C983" s="54" t="s">
        <v>101</v>
      </c>
      <c r="D983" s="74">
        <v>3</v>
      </c>
      <c r="E983" s="50" t="s">
        <v>81</v>
      </c>
      <c r="F983" s="50">
        <v>3</v>
      </c>
      <c r="G983" s="50">
        <v>2</v>
      </c>
      <c r="H983" s="51" t="s">
        <v>4581</v>
      </c>
      <c r="I983" s="50" t="s">
        <v>5415</v>
      </c>
      <c r="J983" s="54" t="s">
        <v>73</v>
      </c>
      <c r="K983" s="50" t="s">
        <v>676</v>
      </c>
      <c r="L983" s="50" t="s">
        <v>5416</v>
      </c>
      <c r="M983" s="50" t="s">
        <v>85</v>
      </c>
      <c r="N983" s="50"/>
      <c r="O983" s="54"/>
      <c r="P983" s="56" t="s">
        <v>76</v>
      </c>
      <c r="Q983" s="50" t="s">
        <v>633</v>
      </c>
      <c r="R983" s="50"/>
      <c r="S983" s="50"/>
      <c r="T983" s="50"/>
      <c r="U983" s="56"/>
      <c r="V983" s="57"/>
      <c r="W983" s="56"/>
      <c r="X983" s="50"/>
      <c r="Y983" s="50"/>
      <c r="Z983" s="50"/>
      <c r="AA983" s="56"/>
      <c r="AB983" s="57"/>
      <c r="AC983" s="54">
        <v>1</v>
      </c>
      <c r="AD983" s="54">
        <f>SUM(AE983:AK983)</f>
        <v>0</v>
      </c>
      <c r="AE983" s="66"/>
      <c r="AF983" s="66"/>
      <c r="AG983" s="66"/>
      <c r="AH983" s="66"/>
      <c r="AI983" s="66"/>
      <c r="AJ983" s="66"/>
      <c r="AK983" s="66"/>
      <c r="AL983" s="54">
        <f>IF((AC983-SUM(AE983:AK983))&lt;0,0,AC983-SUM(AE983:AK983))</f>
        <v>1</v>
      </c>
      <c r="AM983" s="54">
        <f>SUM(AN983:AT983)</f>
        <v>0</v>
      </c>
      <c r="AN983" s="52"/>
      <c r="AO983" s="52"/>
      <c r="AP983" s="52"/>
      <c r="AQ983" s="52"/>
      <c r="AR983" s="52"/>
      <c r="AS983" s="52"/>
      <c r="AT983" s="52"/>
      <c r="AU983" s="54">
        <f>MAX(0,$AM983-$AC983-$AW983)</f>
        <v>0</v>
      </c>
      <c r="AV983" s="54"/>
      <c r="AW983" s="54"/>
      <c r="AX983" s="65">
        <v>0</v>
      </c>
      <c r="AY983" s="57">
        <f>IF(AND($AU983&gt;0,ISNUMBER($AX983)),$AU983*$AX983,0)</f>
        <v>0</v>
      </c>
      <c r="AZ983" s="46"/>
      <c r="BA983" s="52"/>
      <c r="BB983" s="52"/>
      <c r="BC983" s="52"/>
      <c r="BD983" s="52"/>
      <c r="BE983" s="52"/>
      <c r="BF983" s="52"/>
    </row>
    <row r="984" spans="1:58" ht="15" customHeight="1">
      <c r="A984" s="46" t="s">
        <v>5417</v>
      </c>
      <c r="B984" s="50" t="s">
        <v>5418</v>
      </c>
      <c r="C984" s="54" t="s">
        <v>109</v>
      </c>
      <c r="D984" s="74">
        <v>4</v>
      </c>
      <c r="E984" s="50" t="s">
        <v>81</v>
      </c>
      <c r="F984" s="50">
        <v>3</v>
      </c>
      <c r="G984" s="50">
        <v>4</v>
      </c>
      <c r="H984" s="51" t="s">
        <v>150</v>
      </c>
      <c r="I984" s="50" t="s">
        <v>5419</v>
      </c>
      <c r="J984" s="54" t="s">
        <v>73</v>
      </c>
      <c r="K984" s="50" t="s">
        <v>676</v>
      </c>
      <c r="L984" s="50" t="s">
        <v>3822</v>
      </c>
      <c r="M984" s="50" t="s">
        <v>304</v>
      </c>
      <c r="N984" s="50"/>
      <c r="O984" s="54"/>
      <c r="P984" s="56" t="s">
        <v>76</v>
      </c>
      <c r="Q984" s="50" t="s">
        <v>669</v>
      </c>
      <c r="R984" s="50"/>
      <c r="S984" s="50"/>
      <c r="T984" s="50"/>
      <c r="U984" s="56"/>
      <c r="V984" s="57"/>
      <c r="W984" s="56"/>
      <c r="X984" s="50"/>
      <c r="Y984" s="50"/>
      <c r="Z984" s="50"/>
      <c r="AA984" s="56"/>
      <c r="AB984" s="57"/>
      <c r="AC984" s="54">
        <v>1</v>
      </c>
      <c r="AD984" s="54">
        <f>SUM(AE984:AK984)</f>
        <v>0</v>
      </c>
      <c r="AE984" s="66"/>
      <c r="AF984" s="66"/>
      <c r="AG984" s="66"/>
      <c r="AH984" s="66"/>
      <c r="AI984" s="66"/>
      <c r="AJ984" s="66"/>
      <c r="AK984" s="66"/>
      <c r="AL984" s="54">
        <f>IF((AC984-SUM(AE984:AK984))&lt;0,0,AC984-SUM(AE984:AK984))</f>
        <v>1</v>
      </c>
      <c r="AM984" s="54">
        <f>SUM(AN984:AT984)</f>
        <v>0</v>
      </c>
      <c r="AN984" s="52"/>
      <c r="AO984" s="52"/>
      <c r="AP984" s="52"/>
      <c r="AQ984" s="52"/>
      <c r="AR984" s="52"/>
      <c r="AS984" s="52"/>
      <c r="AT984" s="52"/>
      <c r="AU984" s="54">
        <f>MAX(0,$AM984-$AC984-$AW984)</f>
        <v>0</v>
      </c>
      <c r="AV984" s="54"/>
      <c r="AW984" s="54"/>
      <c r="AX984" s="65">
        <v>0</v>
      </c>
      <c r="AY984" s="57">
        <f>IF(AND($AU984&gt;0,ISNUMBER($AX984)),$AU984*$AX984,0)</f>
        <v>0</v>
      </c>
      <c r="AZ984" s="46"/>
      <c r="BA984" s="52"/>
      <c r="BB984" s="52"/>
      <c r="BC984" s="52"/>
      <c r="BD984" s="52"/>
      <c r="BE984" s="52"/>
      <c r="BF984" s="52"/>
    </row>
    <row r="985" spans="1:58" ht="15" customHeight="1">
      <c r="A985" s="46" t="s">
        <v>5420</v>
      </c>
      <c r="B985" s="50" t="s">
        <v>5421</v>
      </c>
      <c r="C985" s="54" t="s">
        <v>109</v>
      </c>
      <c r="D985" s="74">
        <v>2</v>
      </c>
      <c r="E985" s="50" t="s">
        <v>81</v>
      </c>
      <c r="F985" s="50">
        <v>2</v>
      </c>
      <c r="G985" s="50">
        <v>1</v>
      </c>
      <c r="H985" s="51" t="s">
        <v>150</v>
      </c>
      <c r="I985" s="50" t="s">
        <v>5422</v>
      </c>
      <c r="J985" s="54" t="s">
        <v>73</v>
      </c>
      <c r="K985" s="50" t="s">
        <v>676</v>
      </c>
      <c r="L985" s="50" t="s">
        <v>3822</v>
      </c>
      <c r="M985" s="50" t="s">
        <v>5405</v>
      </c>
      <c r="N985" s="50"/>
      <c r="O985" s="54"/>
      <c r="P985" s="56" t="s">
        <v>76</v>
      </c>
      <c r="Q985" s="50" t="s">
        <v>669</v>
      </c>
      <c r="R985" s="50"/>
      <c r="S985" s="50"/>
      <c r="T985" s="50"/>
      <c r="U985" s="56"/>
      <c r="V985" s="57"/>
      <c r="W985" s="56"/>
      <c r="X985" s="50"/>
      <c r="Y985" s="50"/>
      <c r="Z985" s="50"/>
      <c r="AA985" s="56"/>
      <c r="AB985" s="57"/>
      <c r="AC985" s="54">
        <v>1</v>
      </c>
      <c r="AD985" s="54">
        <f>SUM(AE985:AK985)</f>
        <v>0</v>
      </c>
      <c r="AE985" s="66"/>
      <c r="AF985" s="66"/>
      <c r="AG985" s="66"/>
      <c r="AH985" s="66"/>
      <c r="AI985" s="66"/>
      <c r="AJ985" s="66"/>
      <c r="AK985" s="66"/>
      <c r="AL985" s="54">
        <f>IF((AC985-SUM(AE985:AK985))&lt;0,0,AC985-SUM(AE985:AK985))</f>
        <v>1</v>
      </c>
      <c r="AM985" s="54">
        <f>SUM(AN985:AT985)</f>
        <v>0</v>
      </c>
      <c r="AN985" s="52"/>
      <c r="AO985" s="52"/>
      <c r="AP985" s="52"/>
      <c r="AQ985" s="52"/>
      <c r="AR985" s="52"/>
      <c r="AS985" s="52"/>
      <c r="AT985" s="52"/>
      <c r="AU985" s="54">
        <f>MAX(0,$AM985-$AC985-$AW985)</f>
        <v>0</v>
      </c>
      <c r="AV985" s="54"/>
      <c r="AW985" s="54"/>
      <c r="AX985" s="65">
        <v>0</v>
      </c>
      <c r="AY985" s="57">
        <f>IF(AND($AU985&gt;0,ISNUMBER($AX985)),$AU985*$AX985,0)</f>
        <v>0</v>
      </c>
      <c r="AZ985" s="46"/>
      <c r="BA985" s="52"/>
      <c r="BB985" s="52"/>
      <c r="BC985" s="52"/>
      <c r="BD985" s="52"/>
      <c r="BE985" s="52"/>
      <c r="BF985" s="52"/>
    </row>
    <row r="986" spans="1:58" ht="15" customHeight="1">
      <c r="A986" s="46" t="s">
        <v>5423</v>
      </c>
      <c r="B986" s="50" t="s">
        <v>5424</v>
      </c>
      <c r="C986" s="54" t="s">
        <v>70</v>
      </c>
      <c r="D986" s="74">
        <v>1</v>
      </c>
      <c r="E986" s="50" t="s">
        <v>81</v>
      </c>
      <c r="F986" s="50">
        <v>1</v>
      </c>
      <c r="G986" s="50">
        <v>2</v>
      </c>
      <c r="H986" s="51" t="s">
        <v>1232</v>
      </c>
      <c r="I986" s="50" t="s">
        <v>5425</v>
      </c>
      <c r="J986" s="54" t="s">
        <v>73</v>
      </c>
      <c r="K986" s="50" t="s">
        <v>676</v>
      </c>
      <c r="L986" s="50" t="s">
        <v>5426</v>
      </c>
      <c r="M986" s="50" t="s">
        <v>5427</v>
      </c>
      <c r="N986" s="50"/>
      <c r="O986" s="54"/>
      <c r="P986" s="56" t="s">
        <v>76</v>
      </c>
      <c r="Q986" s="50" t="s">
        <v>729</v>
      </c>
      <c r="R986" s="50"/>
      <c r="S986" s="50"/>
      <c r="T986" s="50"/>
      <c r="U986" s="56"/>
      <c r="V986" s="57"/>
      <c r="W986" s="56"/>
      <c r="X986" s="50"/>
      <c r="Y986" s="50"/>
      <c r="Z986" s="50"/>
      <c r="AA986" s="56"/>
      <c r="AB986" s="57"/>
      <c r="AC986" s="54">
        <v>1</v>
      </c>
      <c r="AD986" s="54">
        <f>SUM(AE986:AK986)</f>
        <v>0</v>
      </c>
      <c r="AE986" s="66"/>
      <c r="AF986" s="66"/>
      <c r="AG986" s="66"/>
      <c r="AH986" s="66"/>
      <c r="AI986" s="66"/>
      <c r="AJ986" s="66"/>
      <c r="AK986" s="66"/>
      <c r="AL986" s="54">
        <f>IF((AC986-SUM(AE986:AK986))&lt;0,0,AC986-SUM(AE986:AK986))</f>
        <v>1</v>
      </c>
      <c r="AM986" s="54">
        <f>SUM(AN986:AT986)</f>
        <v>0</v>
      </c>
      <c r="AN986" s="52"/>
      <c r="AO986" s="52"/>
      <c r="AP986" s="52"/>
      <c r="AQ986" s="52"/>
      <c r="AR986" s="52"/>
      <c r="AS986" s="52"/>
      <c r="AT986" s="52"/>
      <c r="AU986" s="54">
        <f>MAX(0,$AM986-$AC986-$AW986)</f>
        <v>0</v>
      </c>
      <c r="AV986" s="54"/>
      <c r="AW986" s="54"/>
      <c r="AX986" s="65">
        <v>0</v>
      </c>
      <c r="AY986" s="57">
        <f>IF(AND($AU986&gt;0,ISNUMBER($AX986)),$AU986*$AX986,0)</f>
        <v>0</v>
      </c>
      <c r="AZ986" s="46"/>
      <c r="BA986" s="52"/>
      <c r="BB986" s="52"/>
      <c r="BC986" s="52"/>
      <c r="BD986" s="52"/>
      <c r="BE986" s="52"/>
      <c r="BF986" s="52"/>
    </row>
    <row r="987" spans="1:58" ht="15" customHeight="1">
      <c r="A987" s="46" t="s">
        <v>5428</v>
      </c>
      <c r="B987" s="50" t="s">
        <v>5429</v>
      </c>
      <c r="C987" s="54" t="s">
        <v>118</v>
      </c>
      <c r="D987" s="74">
        <v>5</v>
      </c>
      <c r="E987" s="50" t="s">
        <v>81</v>
      </c>
      <c r="F987" s="50">
        <v>2</v>
      </c>
      <c r="G987" s="50">
        <v>5</v>
      </c>
      <c r="H987" s="51" t="s">
        <v>5430</v>
      </c>
      <c r="I987" s="50" t="s">
        <v>5431</v>
      </c>
      <c r="J987" s="54" t="s">
        <v>73</v>
      </c>
      <c r="K987" s="50" t="s">
        <v>676</v>
      </c>
      <c r="L987" s="50" t="s">
        <v>5432</v>
      </c>
      <c r="M987" s="50" t="s">
        <v>136</v>
      </c>
      <c r="N987" s="50"/>
      <c r="O987" s="54"/>
      <c r="P987" s="56" t="s">
        <v>185</v>
      </c>
      <c r="Q987" s="50" t="s">
        <v>633</v>
      </c>
      <c r="R987" s="50"/>
      <c r="S987" s="50"/>
      <c r="T987" s="50"/>
      <c r="U987" s="56"/>
      <c r="V987" s="57"/>
      <c r="W987" s="56"/>
      <c r="X987" s="50"/>
      <c r="Y987" s="50"/>
      <c r="Z987" s="50"/>
      <c r="AA987" s="56"/>
      <c r="AB987" s="57"/>
      <c r="AC987" s="54">
        <v>1</v>
      </c>
      <c r="AD987" s="54">
        <f>SUM(AE987:AK987)</f>
        <v>0</v>
      </c>
      <c r="AE987" s="66"/>
      <c r="AF987" s="66"/>
      <c r="AG987" s="66"/>
      <c r="AH987" s="66"/>
      <c r="AI987" s="66"/>
      <c r="AJ987" s="66"/>
      <c r="AK987" s="66"/>
      <c r="AL987" s="54">
        <f>IF((AC987-SUM(AE987:AK987))&lt;0,0,AC987-SUM(AE987:AK987))</f>
        <v>1</v>
      </c>
      <c r="AM987" s="54">
        <f>SUM(AN987:AT987)</f>
        <v>0</v>
      </c>
      <c r="AN987" s="52"/>
      <c r="AO987" s="52"/>
      <c r="AP987" s="52"/>
      <c r="AQ987" s="52"/>
      <c r="AR987" s="52"/>
      <c r="AS987" s="52"/>
      <c r="AT987" s="52"/>
      <c r="AU987" s="54">
        <f>MAX(0,$AM987-$AC987-$AW987)</f>
        <v>0</v>
      </c>
      <c r="AV987" s="54"/>
      <c r="AW987" s="54"/>
      <c r="AX987" s="65">
        <v>0</v>
      </c>
      <c r="AY987" s="57">
        <f>IF(AND($AU987&gt;0,ISNUMBER($AX987)),$AU987*$AX987,0)</f>
        <v>0</v>
      </c>
      <c r="AZ987" s="46"/>
      <c r="BA987" s="52"/>
      <c r="BB987" s="52"/>
      <c r="BC987" s="52"/>
      <c r="BD987" s="52"/>
      <c r="BE987" s="52"/>
      <c r="BF987" s="52"/>
    </row>
    <row r="988" spans="1:58" ht="15" customHeight="1">
      <c r="A988" s="46" t="s">
        <v>5433</v>
      </c>
      <c r="B988" s="50" t="s">
        <v>5434</v>
      </c>
      <c r="C988" s="54" t="s">
        <v>70</v>
      </c>
      <c r="D988" s="74">
        <v>3</v>
      </c>
      <c r="E988" s="50" t="s">
        <v>384</v>
      </c>
      <c r="F988" s="50">
        <v>2</v>
      </c>
      <c r="G988" s="50">
        <v>2</v>
      </c>
      <c r="H988" s="51" t="s">
        <v>3663</v>
      </c>
      <c r="I988" s="50" t="s">
        <v>5435</v>
      </c>
      <c r="J988" s="54" t="s">
        <v>196</v>
      </c>
      <c r="K988" s="56" t="s">
        <v>550</v>
      </c>
      <c r="L988" s="56" t="s">
        <v>5436</v>
      </c>
      <c r="M988" s="56"/>
      <c r="N988" s="56"/>
      <c r="O988" s="54"/>
      <c r="P988" s="56" t="s">
        <v>86</v>
      </c>
      <c r="Q988" s="56" t="s">
        <v>2294</v>
      </c>
      <c r="R988" s="54"/>
      <c r="S988" s="54"/>
      <c r="T988" s="54"/>
      <c r="U988" s="54"/>
      <c r="V988" s="57"/>
      <c r="W988" s="54"/>
      <c r="X988" s="54"/>
      <c r="Y988" s="54"/>
      <c r="Z988" s="54"/>
      <c r="AA988" s="54"/>
      <c r="AB988" s="57"/>
      <c r="AC988" s="54">
        <v>1</v>
      </c>
      <c r="AD988" s="54">
        <f>SUM(AE988:AK988)</f>
        <v>1</v>
      </c>
      <c r="AE988" s="66"/>
      <c r="AF988" s="66"/>
      <c r="AG988" s="66"/>
      <c r="AH988" s="66"/>
      <c r="AI988" s="66"/>
      <c r="AJ988" s="66">
        <v>1</v>
      </c>
      <c r="AK988" s="66"/>
      <c r="AL988" s="54">
        <f>IF((AC988-SUM(AE988:AK988))&lt;0,0,AC988-SUM(AE988:AK988))</f>
        <v>0</v>
      </c>
      <c r="AM988" s="54">
        <f>SUM(AN988:AT988)</f>
        <v>1</v>
      </c>
      <c r="AN988" s="52"/>
      <c r="AO988" s="52"/>
      <c r="AP988" s="52"/>
      <c r="AQ988" s="52"/>
      <c r="AR988" s="52"/>
      <c r="AS988" s="52">
        <v>1</v>
      </c>
      <c r="AT988" s="52"/>
      <c r="AU988" s="54">
        <f>MAX(0,$AM988-$AC988-$AW988)</f>
        <v>0</v>
      </c>
      <c r="AV988" s="54"/>
      <c r="AW988" s="54"/>
      <c r="AX988" s="65">
        <v>0</v>
      </c>
      <c r="AY988" s="57">
        <f>IF(AND($AU988&gt;0,ISNUMBER($AX988)),$AU988*$AX988,0)</f>
        <v>0</v>
      </c>
      <c r="AZ988" s="46"/>
      <c r="BA988" s="52"/>
      <c r="BB988" s="52"/>
      <c r="BC988" s="52"/>
      <c r="BD988" s="52"/>
      <c r="BE988" s="52"/>
      <c r="BF988" s="52"/>
    </row>
    <row r="989" spans="1:58" ht="15" customHeight="1">
      <c r="A989" s="46" t="s">
        <v>5437</v>
      </c>
      <c r="B989" s="50" t="s">
        <v>5438</v>
      </c>
      <c r="C989" s="54" t="s">
        <v>80</v>
      </c>
      <c r="D989" s="74">
        <v>3</v>
      </c>
      <c r="E989" s="50" t="s">
        <v>384</v>
      </c>
      <c r="F989" s="50"/>
      <c r="G989" s="50"/>
      <c r="H989" s="51" t="s">
        <v>1256</v>
      </c>
      <c r="I989" s="50" t="s">
        <v>5439</v>
      </c>
      <c r="J989" s="54" t="s">
        <v>196</v>
      </c>
      <c r="K989" s="56" t="s">
        <v>550</v>
      </c>
      <c r="L989" s="56" t="s">
        <v>1646</v>
      </c>
      <c r="M989" s="56" t="s">
        <v>5440</v>
      </c>
      <c r="N989" s="56" t="s">
        <v>5441</v>
      </c>
      <c r="O989" s="54"/>
      <c r="P989" s="56" t="s">
        <v>185</v>
      </c>
      <c r="Q989" s="56" t="s">
        <v>5442</v>
      </c>
      <c r="R989" s="50"/>
      <c r="S989" s="50"/>
      <c r="T989" s="50"/>
      <c r="U989" s="50"/>
      <c r="V989" s="57"/>
      <c r="W989" s="50"/>
      <c r="X989" s="50"/>
      <c r="Y989" s="50"/>
      <c r="Z989" s="50"/>
      <c r="AA989" s="50"/>
      <c r="AB989" s="57"/>
      <c r="AC989" s="54">
        <v>1</v>
      </c>
      <c r="AD989" s="54">
        <f>SUM(AE989:AK989)</f>
        <v>1</v>
      </c>
      <c r="AE989" s="66"/>
      <c r="AF989" s="66">
        <v>1</v>
      </c>
      <c r="AG989" s="66"/>
      <c r="AH989" s="66"/>
      <c r="AI989" s="66"/>
      <c r="AJ989" s="66"/>
      <c r="AK989" s="66"/>
      <c r="AL989" s="54">
        <f>IF((AC989-SUM(AE989:AK989))&lt;0,0,AC989-SUM(AE989:AK989))</f>
        <v>0</v>
      </c>
      <c r="AM989" s="54">
        <f>SUM(AN989:AT989)</f>
        <v>1</v>
      </c>
      <c r="AN989" s="52"/>
      <c r="AO989" s="52">
        <v>1</v>
      </c>
      <c r="AP989" s="52"/>
      <c r="AQ989" s="52"/>
      <c r="AR989" s="52"/>
      <c r="AS989" s="52"/>
      <c r="AT989" s="52"/>
      <c r="AU989" s="54">
        <f>MAX(0,$AM989-$AC989-$AW989)</f>
        <v>0</v>
      </c>
      <c r="AV989" s="54"/>
      <c r="AW989" s="54"/>
      <c r="AX989" s="65">
        <v>0</v>
      </c>
      <c r="AY989" s="57">
        <f>IF(AND($AU989&gt;0,ISNUMBER($AX989)),$AU989*$AX989,0)</f>
        <v>0</v>
      </c>
      <c r="AZ989" s="46"/>
      <c r="BA989" s="52"/>
      <c r="BB989" s="52"/>
      <c r="BC989" s="52"/>
      <c r="BD989" s="52"/>
      <c r="BE989" s="52"/>
      <c r="BF989" s="52"/>
    </row>
    <row r="990" spans="1:58" ht="15" customHeight="1">
      <c r="A990" s="46" t="s">
        <v>5443</v>
      </c>
      <c r="B990" s="50" t="s">
        <v>5444</v>
      </c>
      <c r="C990" s="54" t="s">
        <v>101</v>
      </c>
      <c r="D990" s="74">
        <v>4</v>
      </c>
      <c r="E990" s="50" t="s">
        <v>81</v>
      </c>
      <c r="F990" s="50">
        <v>6</v>
      </c>
      <c r="G990" s="50">
        <v>6</v>
      </c>
      <c r="H990" s="51" t="s">
        <v>5445</v>
      </c>
      <c r="I990" s="50" t="s">
        <v>5446</v>
      </c>
      <c r="J990" s="54" t="s">
        <v>73</v>
      </c>
      <c r="K990" s="56" t="s">
        <v>104</v>
      </c>
      <c r="L990" s="56" t="s">
        <v>5447</v>
      </c>
      <c r="M990" s="56" t="s">
        <v>130</v>
      </c>
      <c r="N990" s="56"/>
      <c r="O990" s="54"/>
      <c r="P990" s="56" t="s">
        <v>114</v>
      </c>
      <c r="Q990" s="56" t="s">
        <v>691</v>
      </c>
      <c r="R990" s="50" t="s">
        <v>5448</v>
      </c>
      <c r="S990" s="50">
        <v>1</v>
      </c>
      <c r="T990" s="50">
        <v>0</v>
      </c>
      <c r="U990" s="50" t="s">
        <v>3266</v>
      </c>
      <c r="V990" s="57">
        <v>34.01</v>
      </c>
      <c r="W990" s="50"/>
      <c r="X990" s="50"/>
      <c r="Y990" s="50"/>
      <c r="Z990" s="50"/>
      <c r="AA990" s="50"/>
      <c r="AB990" s="57"/>
      <c r="AC990" s="54">
        <v>1</v>
      </c>
      <c r="AD990" s="54">
        <f>SUM(AE990:AK990)</f>
        <v>0</v>
      </c>
      <c r="AE990" s="66"/>
      <c r="AF990" s="66"/>
      <c r="AG990" s="66"/>
      <c r="AH990" s="66"/>
      <c r="AI990" s="66"/>
      <c r="AJ990" s="66"/>
      <c r="AK990" s="66"/>
      <c r="AL990" s="54">
        <f>IF((AC990-SUM(AE990:AK990))&lt;0,0,AC990-SUM(AE990:AK990))</f>
        <v>1</v>
      </c>
      <c r="AM990" s="54">
        <f>SUM(AN990:AT990)</f>
        <v>0</v>
      </c>
      <c r="AN990" s="52"/>
      <c r="AO990" s="52"/>
      <c r="AP990" s="52"/>
      <c r="AQ990" s="52"/>
      <c r="AR990" s="52"/>
      <c r="AS990" s="52"/>
      <c r="AT990" s="52"/>
      <c r="AU990" s="54">
        <f>MAX(0,$AM990-$AC990-$AW990)</f>
        <v>0</v>
      </c>
      <c r="AV990" s="54"/>
      <c r="AW990" s="54"/>
      <c r="AX990" s="65">
        <v>0</v>
      </c>
      <c r="AY990" s="57">
        <f>IF(AND($AU990&gt;0,ISNUMBER($AX990)),$AU990*$AX990,0)</f>
        <v>0</v>
      </c>
      <c r="AZ990" s="46"/>
      <c r="BA990" s="52"/>
      <c r="BB990" s="52"/>
      <c r="BC990" s="52"/>
      <c r="BD990" s="52"/>
      <c r="BE990" s="52"/>
      <c r="BF990" s="52"/>
    </row>
    <row r="991" spans="1:58" ht="15" customHeight="1">
      <c r="A991" s="46" t="s">
        <v>5449</v>
      </c>
      <c r="B991" s="50" t="s">
        <v>5450</v>
      </c>
      <c r="C991" s="54" t="s">
        <v>70</v>
      </c>
      <c r="D991" s="74">
        <v>3</v>
      </c>
      <c r="E991" s="50" t="s">
        <v>110</v>
      </c>
      <c r="F991" s="50">
        <v>3</v>
      </c>
      <c r="G991" s="50">
        <v>2</v>
      </c>
      <c r="H991" s="51" t="s">
        <v>1771</v>
      </c>
      <c r="I991" s="50" t="s">
        <v>5451</v>
      </c>
      <c r="J991" s="54" t="s">
        <v>73</v>
      </c>
      <c r="K991" s="56" t="s">
        <v>273</v>
      </c>
      <c r="L991" s="56" t="s">
        <v>5452</v>
      </c>
      <c r="M991" s="56" t="s">
        <v>5453</v>
      </c>
      <c r="N991" s="56" t="s">
        <v>304</v>
      </c>
      <c r="O991" s="54"/>
      <c r="P991" s="56" t="s">
        <v>185</v>
      </c>
      <c r="Q991" s="56" t="s">
        <v>691</v>
      </c>
      <c r="R991" s="50" t="s">
        <v>5454</v>
      </c>
      <c r="S991" s="50">
        <v>1</v>
      </c>
      <c r="T991" s="50">
        <v>0</v>
      </c>
      <c r="U991" s="50" t="s">
        <v>947</v>
      </c>
      <c r="V991" s="57">
        <v>0.39</v>
      </c>
      <c r="W991" s="50"/>
      <c r="X991" s="50"/>
      <c r="Y991" s="50"/>
      <c r="Z991" s="50"/>
      <c r="AA991" s="50"/>
      <c r="AB991" s="57"/>
      <c r="AC991" s="54">
        <v>1</v>
      </c>
      <c r="AD991" s="54">
        <f>SUM(AE991:AK991)</f>
        <v>0</v>
      </c>
      <c r="AE991" s="66"/>
      <c r="AF991" s="66"/>
      <c r="AG991" s="66"/>
      <c r="AH991" s="66"/>
      <c r="AI991" s="66"/>
      <c r="AJ991" s="66"/>
      <c r="AK991" s="66"/>
      <c r="AL991" s="54">
        <f>IF((AC991-SUM(AE991:AK991))&lt;0,0,AC991-SUM(AE991:AK991))</f>
        <v>1</v>
      </c>
      <c r="AM991" s="54">
        <f>SUM(AN991:AT991)</f>
        <v>0</v>
      </c>
      <c r="AN991" s="52"/>
      <c r="AO991" s="52"/>
      <c r="AP991" s="52"/>
      <c r="AQ991" s="52"/>
      <c r="AR991" s="52"/>
      <c r="AS991" s="52"/>
      <c r="AT991" s="52"/>
      <c r="AU991" s="54">
        <f>MAX(0,$AM991-$AC991-$AW991)</f>
        <v>0</v>
      </c>
      <c r="AV991" s="54"/>
      <c r="AW991" s="54"/>
      <c r="AX991" s="65">
        <v>0</v>
      </c>
      <c r="AY991" s="57">
        <f>IF(AND($AU991&gt;0,ISNUMBER($AX991)),$AU991*$AX991,0)</f>
        <v>0</v>
      </c>
      <c r="AZ991" s="46"/>
      <c r="BA991" s="52"/>
      <c r="BB991" s="52"/>
      <c r="BC991" s="52"/>
      <c r="BD991" s="52"/>
      <c r="BE991" s="52"/>
      <c r="BF991" s="52"/>
    </row>
    <row r="992" spans="1:58" ht="15" customHeight="1">
      <c r="A992" s="46" t="s">
        <v>5455</v>
      </c>
      <c r="B992" s="50" t="s">
        <v>5456</v>
      </c>
      <c r="C992" s="54" t="s">
        <v>118</v>
      </c>
      <c r="D992" s="74">
        <v>3</v>
      </c>
      <c r="E992" s="50" t="s">
        <v>189</v>
      </c>
      <c r="F992" s="50"/>
      <c r="G992" s="50"/>
      <c r="H992" s="51"/>
      <c r="I992" s="50" t="s">
        <v>5457</v>
      </c>
      <c r="J992" s="54" t="s">
        <v>73</v>
      </c>
      <c r="K992" s="56" t="s">
        <v>135</v>
      </c>
      <c r="L992" s="56" t="s">
        <v>5458</v>
      </c>
      <c r="M992" s="56" t="s">
        <v>3486</v>
      </c>
      <c r="N992" s="56"/>
      <c r="O992" s="54"/>
      <c r="P992" s="56" t="s">
        <v>185</v>
      </c>
      <c r="Q992" s="56" t="s">
        <v>691</v>
      </c>
      <c r="R992" s="50" t="s">
        <v>5459</v>
      </c>
      <c r="S992" s="50">
        <v>1</v>
      </c>
      <c r="T992" s="50">
        <v>0</v>
      </c>
      <c r="U992" s="50" t="s">
        <v>1785</v>
      </c>
      <c r="V992" s="57">
        <v>0.28999999999999998</v>
      </c>
      <c r="W992" s="50"/>
      <c r="X992" s="50"/>
      <c r="Y992" s="50"/>
      <c r="Z992" s="50"/>
      <c r="AA992" s="50"/>
      <c r="AB992" s="57"/>
      <c r="AC992" s="54">
        <v>1</v>
      </c>
      <c r="AD992" s="54">
        <f>SUM(AE992:AK992)</f>
        <v>0</v>
      </c>
      <c r="AE992" s="66"/>
      <c r="AF992" s="66"/>
      <c r="AG992" s="66"/>
      <c r="AH992" s="66"/>
      <c r="AI992" s="66"/>
      <c r="AJ992" s="66"/>
      <c r="AK992" s="66"/>
      <c r="AL992" s="54">
        <f>IF((AC992-SUM(AE992:AK992))&lt;0,0,AC992-SUM(AE992:AK992))</f>
        <v>1</v>
      </c>
      <c r="AM992" s="54">
        <f>SUM(AN992:AT992)</f>
        <v>0</v>
      </c>
      <c r="AN992" s="52"/>
      <c r="AO992" s="52"/>
      <c r="AP992" s="52"/>
      <c r="AQ992" s="52"/>
      <c r="AR992" s="52"/>
      <c r="AS992" s="52"/>
      <c r="AT992" s="52"/>
      <c r="AU992" s="54">
        <f>MAX(0,$AM992-$AC992-$AW992)</f>
        <v>0</v>
      </c>
      <c r="AV992" s="54"/>
      <c r="AW992" s="54"/>
      <c r="AX992" s="65">
        <v>0</v>
      </c>
      <c r="AY992" s="57">
        <f>IF(AND($AU992&gt;0,ISNUMBER($AX992)),$AU992*$AX992,0)</f>
        <v>0</v>
      </c>
      <c r="AZ992" s="46"/>
      <c r="BA992" s="52"/>
      <c r="BB992" s="52"/>
      <c r="BC992" s="52"/>
      <c r="BD992" s="52"/>
      <c r="BE992" s="52"/>
      <c r="BF992" s="52"/>
    </row>
    <row r="993" spans="1:58" ht="15" customHeight="1">
      <c r="A993" s="46" t="s">
        <v>5460</v>
      </c>
      <c r="B993" s="50" t="s">
        <v>5461</v>
      </c>
      <c r="C993" s="54" t="s">
        <v>70</v>
      </c>
      <c r="D993" s="74">
        <v>2</v>
      </c>
      <c r="E993" s="50" t="s">
        <v>81</v>
      </c>
      <c r="F993" s="50">
        <v>2</v>
      </c>
      <c r="G993" s="50">
        <v>2</v>
      </c>
      <c r="H993" s="51" t="s">
        <v>5462</v>
      </c>
      <c r="I993" s="50" t="s">
        <v>5463</v>
      </c>
      <c r="J993" s="54" t="s">
        <v>73</v>
      </c>
      <c r="K993" s="56" t="s">
        <v>2888</v>
      </c>
      <c r="L993" s="56" t="s">
        <v>5464</v>
      </c>
      <c r="M993" s="56"/>
      <c r="N993" s="56"/>
      <c r="O993" s="54"/>
      <c r="P993" s="56" t="s">
        <v>76</v>
      </c>
      <c r="Q993" s="56" t="s">
        <v>691</v>
      </c>
      <c r="R993" s="50" t="s">
        <v>5465</v>
      </c>
      <c r="S993" s="50">
        <v>1</v>
      </c>
      <c r="T993" s="50">
        <v>0</v>
      </c>
      <c r="U993" s="50" t="s">
        <v>1130</v>
      </c>
      <c r="V993" s="57">
        <v>0.24</v>
      </c>
      <c r="W993" s="50"/>
      <c r="X993" s="50"/>
      <c r="Y993" s="50"/>
      <c r="Z993" s="50"/>
      <c r="AA993" s="50"/>
      <c r="AB993" s="57"/>
      <c r="AC993" s="54">
        <v>1</v>
      </c>
      <c r="AD993" s="54">
        <f>SUM(AE993:AK993)</f>
        <v>0</v>
      </c>
      <c r="AE993" s="66"/>
      <c r="AF993" s="66"/>
      <c r="AG993" s="66"/>
      <c r="AH993" s="66"/>
      <c r="AI993" s="66"/>
      <c r="AJ993" s="66"/>
      <c r="AK993" s="66"/>
      <c r="AL993" s="54">
        <f>IF((AC993-SUM(AE993:AK993))&lt;0,0,AC993-SUM(AE993:AK993))</f>
        <v>1</v>
      </c>
      <c r="AM993" s="54">
        <f>SUM(AN993:AT993)</f>
        <v>0</v>
      </c>
      <c r="AN993" s="52"/>
      <c r="AO993" s="52"/>
      <c r="AP993" s="52"/>
      <c r="AQ993" s="52"/>
      <c r="AR993" s="52"/>
      <c r="AS993" s="52"/>
      <c r="AT993" s="52"/>
      <c r="AU993" s="54">
        <f>MAX(0,$AM993-$AC993-$AW993)</f>
        <v>0</v>
      </c>
      <c r="AV993" s="54"/>
      <c r="AW993" s="54"/>
      <c r="AX993" s="65">
        <v>0</v>
      </c>
      <c r="AY993" s="57">
        <f>IF(AND($AU993&gt;0,ISNUMBER($AX993)),$AU993*$AX993,0)</f>
        <v>0</v>
      </c>
      <c r="AZ993" s="46"/>
      <c r="BA993" s="52"/>
      <c r="BB993" s="52"/>
      <c r="BC993" s="52"/>
      <c r="BD993" s="52"/>
      <c r="BE993" s="52"/>
      <c r="BF993" s="52"/>
    </row>
    <row r="994" spans="1:58" ht="15" customHeight="1">
      <c r="A994" s="46" t="s">
        <v>5466</v>
      </c>
      <c r="B994" s="50" t="s">
        <v>5467</v>
      </c>
      <c r="C994" s="54" t="s">
        <v>181</v>
      </c>
      <c r="D994" s="74">
        <v>2</v>
      </c>
      <c r="E994" s="50" t="s">
        <v>189</v>
      </c>
      <c r="F994" s="50"/>
      <c r="G994" s="50"/>
      <c r="H994" s="51"/>
      <c r="I994" s="50" t="s">
        <v>5468</v>
      </c>
      <c r="J994" s="54" t="s">
        <v>73</v>
      </c>
      <c r="K994" s="56" t="s">
        <v>135</v>
      </c>
      <c r="L994" s="56" t="s">
        <v>5469</v>
      </c>
      <c r="M994" s="56"/>
      <c r="N994" s="56"/>
      <c r="O994" s="54"/>
      <c r="P994" s="56" t="s">
        <v>76</v>
      </c>
      <c r="Q994" s="56" t="s">
        <v>691</v>
      </c>
      <c r="R994" s="50" t="s">
        <v>5470</v>
      </c>
      <c r="S994" s="50">
        <v>1</v>
      </c>
      <c r="T994" s="50">
        <v>0</v>
      </c>
      <c r="U994" s="50" t="s">
        <v>5471</v>
      </c>
      <c r="V994" s="57">
        <v>0.82</v>
      </c>
      <c r="W994" s="50"/>
      <c r="X994" s="50"/>
      <c r="Y994" s="50"/>
      <c r="Z994" s="50"/>
      <c r="AA994" s="50"/>
      <c r="AB994" s="57"/>
      <c r="AC994" s="54">
        <v>1</v>
      </c>
      <c r="AD994" s="54">
        <f>SUM(AE994:AK994)</f>
        <v>0</v>
      </c>
      <c r="AE994" s="66"/>
      <c r="AF994" s="66"/>
      <c r="AG994" s="66"/>
      <c r="AH994" s="66"/>
      <c r="AI994" s="66"/>
      <c r="AJ994" s="66"/>
      <c r="AK994" s="66"/>
      <c r="AL994" s="54">
        <f>IF((AC994-SUM(AE994:AK994))&lt;0,0,AC994-SUM(AE994:AK994))</f>
        <v>1</v>
      </c>
      <c r="AM994" s="54">
        <f>SUM(AN994:AT994)</f>
        <v>0</v>
      </c>
      <c r="AN994" s="52"/>
      <c r="AO994" s="52"/>
      <c r="AP994" s="52"/>
      <c r="AQ994" s="52"/>
      <c r="AR994" s="52"/>
      <c r="AS994" s="52"/>
      <c r="AT994" s="52"/>
      <c r="AU994" s="54">
        <f>MAX(0,$AM994-$AC994-$AW994)</f>
        <v>0</v>
      </c>
      <c r="AV994" s="54"/>
      <c r="AW994" s="54"/>
      <c r="AX994" s="65">
        <v>0</v>
      </c>
      <c r="AY994" s="57">
        <f>IF(AND($AU994&gt;0,ISNUMBER($AX994)),$AU994*$AX994,0)</f>
        <v>0</v>
      </c>
      <c r="AZ994" s="46"/>
      <c r="BA994" s="52"/>
      <c r="BB994" s="52"/>
      <c r="BC994" s="52"/>
      <c r="BD994" s="52"/>
      <c r="BE994" s="52"/>
      <c r="BF994" s="52"/>
    </row>
    <row r="995" spans="1:58" ht="15" customHeight="1">
      <c r="A995" s="46" t="s">
        <v>5472</v>
      </c>
      <c r="B995" s="50" t="s">
        <v>5473</v>
      </c>
      <c r="C995" s="54" t="s">
        <v>70</v>
      </c>
      <c r="D995" s="74">
        <v>3</v>
      </c>
      <c r="E995" s="50" t="s">
        <v>81</v>
      </c>
      <c r="F995" s="50">
        <v>3</v>
      </c>
      <c r="G995" s="50">
        <v>3</v>
      </c>
      <c r="H995" s="51" t="s">
        <v>1174</v>
      </c>
      <c r="I995" s="50" t="s">
        <v>5474</v>
      </c>
      <c r="J995" s="54" t="s">
        <v>73</v>
      </c>
      <c r="K995" s="56" t="s">
        <v>104</v>
      </c>
      <c r="L995" s="56" t="s">
        <v>5475</v>
      </c>
      <c r="M995" s="56" t="s">
        <v>5476</v>
      </c>
      <c r="N995" s="56"/>
      <c r="O995" s="54"/>
      <c r="P995" s="56" t="s">
        <v>86</v>
      </c>
      <c r="Q995" s="56" t="s">
        <v>691</v>
      </c>
      <c r="R995" s="50" t="s">
        <v>5477</v>
      </c>
      <c r="S995" s="50">
        <v>1</v>
      </c>
      <c r="T995" s="50">
        <v>0</v>
      </c>
      <c r="U995" s="50" t="s">
        <v>5362</v>
      </c>
      <c r="V995" s="57">
        <v>1.6</v>
      </c>
      <c r="W995" s="50"/>
      <c r="X995" s="50"/>
      <c r="Y995" s="50"/>
      <c r="Z995" s="50"/>
      <c r="AA995" s="50"/>
      <c r="AB995" s="57"/>
      <c r="AC995" s="54">
        <v>1</v>
      </c>
      <c r="AD995" s="54">
        <f>SUM(AE995:AK995)</f>
        <v>0</v>
      </c>
      <c r="AE995" s="66"/>
      <c r="AF995" s="66"/>
      <c r="AG995" s="66"/>
      <c r="AH995" s="66"/>
      <c r="AI995" s="66"/>
      <c r="AJ995" s="66"/>
      <c r="AK995" s="66"/>
      <c r="AL995" s="54">
        <f>IF((AC995-SUM(AE995:AK995))&lt;0,0,AC995-SUM(AE995:AK995))</f>
        <v>1</v>
      </c>
      <c r="AM995" s="54">
        <f>SUM(AN995:AT995)</f>
        <v>0</v>
      </c>
      <c r="AN995" s="52"/>
      <c r="AO995" s="52"/>
      <c r="AP995" s="52"/>
      <c r="AQ995" s="52"/>
      <c r="AR995" s="52"/>
      <c r="AS995" s="52"/>
      <c r="AT995" s="52"/>
      <c r="AU995" s="54">
        <f>MAX(0,$AM995-$AC995-$AW995)</f>
        <v>0</v>
      </c>
      <c r="AV995" s="54"/>
      <c r="AW995" s="54"/>
      <c r="AX995" s="65">
        <v>0</v>
      </c>
      <c r="AY995" s="57">
        <f>IF(AND($AU995&gt;0,ISNUMBER($AX995)),$AU995*$AX995,0)</f>
        <v>0</v>
      </c>
      <c r="AZ995" s="46"/>
      <c r="BA995" s="52"/>
      <c r="BB995" s="52"/>
      <c r="BC995" s="52"/>
      <c r="BD995" s="52"/>
      <c r="BE995" s="52"/>
      <c r="BF995" s="52"/>
    </row>
    <row r="996" spans="1:58" ht="15" customHeight="1">
      <c r="A996" s="46" t="s">
        <v>5478</v>
      </c>
      <c r="B996" s="50" t="s">
        <v>5479</v>
      </c>
      <c r="C996" s="54" t="s">
        <v>109</v>
      </c>
      <c r="D996" s="74">
        <v>4</v>
      </c>
      <c r="E996" s="50" t="s">
        <v>81</v>
      </c>
      <c r="F996" s="50">
        <v>3</v>
      </c>
      <c r="G996" s="50">
        <v>4</v>
      </c>
      <c r="H996" s="51" t="s">
        <v>4559</v>
      </c>
      <c r="I996" s="50" t="s">
        <v>5480</v>
      </c>
      <c r="J996" s="54" t="s">
        <v>73</v>
      </c>
      <c r="K996" s="56" t="s">
        <v>661</v>
      </c>
      <c r="L996" s="56" t="s">
        <v>5481</v>
      </c>
      <c r="M996" s="56" t="s">
        <v>136</v>
      </c>
      <c r="N996" s="56"/>
      <c r="O996" s="54"/>
      <c r="P996" s="56" t="s">
        <v>185</v>
      </c>
      <c r="Q996" s="56" t="s">
        <v>691</v>
      </c>
      <c r="R996" s="50" t="s">
        <v>4291</v>
      </c>
      <c r="S996" s="50">
        <v>1</v>
      </c>
      <c r="T996" s="50">
        <v>0</v>
      </c>
      <c r="U996" s="50" t="s">
        <v>5482</v>
      </c>
      <c r="V996" s="57">
        <v>0.3</v>
      </c>
      <c r="W996" s="50"/>
      <c r="X996" s="50"/>
      <c r="Y996" s="50"/>
      <c r="Z996" s="50"/>
      <c r="AA996" s="50"/>
      <c r="AB996" s="57"/>
      <c r="AC996" s="54">
        <v>1</v>
      </c>
      <c r="AD996" s="54">
        <f>SUM(AE996:AK996)</f>
        <v>0</v>
      </c>
      <c r="AE996" s="66"/>
      <c r="AF996" s="66"/>
      <c r="AG996" s="66"/>
      <c r="AH996" s="66"/>
      <c r="AI996" s="66"/>
      <c r="AJ996" s="66"/>
      <c r="AK996" s="66"/>
      <c r="AL996" s="54">
        <f>IF((AC996-SUM(AE996:AK996))&lt;0,0,AC996-SUM(AE996:AK996))</f>
        <v>1</v>
      </c>
      <c r="AM996" s="54">
        <f>SUM(AN996:AT996)</f>
        <v>0</v>
      </c>
      <c r="AN996" s="52"/>
      <c r="AO996" s="52"/>
      <c r="AP996" s="52"/>
      <c r="AQ996" s="52"/>
      <c r="AR996" s="52"/>
      <c r="AS996" s="52"/>
      <c r="AT996" s="52"/>
      <c r="AU996" s="54">
        <f>MAX(0,$AM996-$AC996-$AW996)</f>
        <v>0</v>
      </c>
      <c r="AV996" s="54"/>
      <c r="AW996" s="54"/>
      <c r="AX996" s="65">
        <v>0</v>
      </c>
      <c r="AY996" s="57">
        <f>IF(AND($AU996&gt;0,ISNUMBER($AX996)),$AU996*$AX996,0)</f>
        <v>0</v>
      </c>
      <c r="AZ996" s="46"/>
      <c r="BA996" s="52"/>
      <c r="BB996" s="52"/>
      <c r="BC996" s="52"/>
      <c r="BD996" s="52"/>
      <c r="BE996" s="52"/>
      <c r="BF996" s="52"/>
    </row>
    <row r="997" spans="1:58" ht="15" customHeight="1">
      <c r="A997" s="46" t="s">
        <v>5483</v>
      </c>
      <c r="B997" s="50" t="s">
        <v>5484</v>
      </c>
      <c r="C997" s="54" t="s">
        <v>109</v>
      </c>
      <c r="D997" s="74">
        <v>2</v>
      </c>
      <c r="E997" s="50" t="s">
        <v>81</v>
      </c>
      <c r="F997" s="50">
        <v>2</v>
      </c>
      <c r="G997" s="50">
        <v>2</v>
      </c>
      <c r="H997" s="51" t="s">
        <v>5485</v>
      </c>
      <c r="I997" s="50" t="s">
        <v>5486</v>
      </c>
      <c r="J997" s="54" t="s">
        <v>73</v>
      </c>
      <c r="K997" s="56" t="s">
        <v>474</v>
      </c>
      <c r="L997" s="56" t="s">
        <v>5487</v>
      </c>
      <c r="M997" s="56" t="s">
        <v>5476</v>
      </c>
      <c r="N997" s="56"/>
      <c r="O997" s="54"/>
      <c r="P997" s="56" t="s">
        <v>185</v>
      </c>
      <c r="Q997" s="56" t="s">
        <v>691</v>
      </c>
      <c r="R997" s="50" t="s">
        <v>5488</v>
      </c>
      <c r="S997" s="50">
        <v>1</v>
      </c>
      <c r="T997" s="50">
        <v>0</v>
      </c>
      <c r="U997" s="50" t="s">
        <v>3258</v>
      </c>
      <c r="V997" s="57">
        <v>0.48</v>
      </c>
      <c r="W997" s="50"/>
      <c r="X997" s="50"/>
      <c r="Y997" s="50"/>
      <c r="Z997" s="50"/>
      <c r="AA997" s="50"/>
      <c r="AB997" s="57"/>
      <c r="AC997" s="54">
        <v>1</v>
      </c>
      <c r="AD997" s="54">
        <f>SUM(AE997:AK997)</f>
        <v>0</v>
      </c>
      <c r="AE997" s="66"/>
      <c r="AF997" s="66"/>
      <c r="AG997" s="66"/>
      <c r="AH997" s="66"/>
      <c r="AI997" s="66"/>
      <c r="AJ997" s="66"/>
      <c r="AK997" s="66"/>
      <c r="AL997" s="54">
        <f>IF((AC997-SUM(AE997:AK997))&lt;0,0,AC997-SUM(AE997:AK997))</f>
        <v>1</v>
      </c>
      <c r="AM997" s="54">
        <f>SUM(AN997:AT997)</f>
        <v>0</v>
      </c>
      <c r="AN997" s="52"/>
      <c r="AO997" s="52"/>
      <c r="AP997" s="52"/>
      <c r="AQ997" s="52"/>
      <c r="AR997" s="52"/>
      <c r="AS997" s="52"/>
      <c r="AT997" s="52"/>
      <c r="AU997" s="54">
        <f>MAX(0,$AM997-$AC997-$AW997)</f>
        <v>0</v>
      </c>
      <c r="AV997" s="54"/>
      <c r="AW997" s="54"/>
      <c r="AX997" s="65">
        <v>0</v>
      </c>
      <c r="AY997" s="57">
        <f>IF(AND($AU997&gt;0,ISNUMBER($AX997)),$AU997*$AX997,0)</f>
        <v>0</v>
      </c>
      <c r="AZ997" s="46"/>
      <c r="BA997" s="52"/>
      <c r="BB997" s="52"/>
      <c r="BC997" s="52"/>
      <c r="BD997" s="52"/>
      <c r="BE997" s="52"/>
      <c r="BF997" s="52"/>
    </row>
    <row r="998" spans="1:58" ht="15" customHeight="1">
      <c r="A998" s="46" t="s">
        <v>5489</v>
      </c>
      <c r="B998" s="50" t="s">
        <v>5490</v>
      </c>
      <c r="C998" s="54" t="s">
        <v>70</v>
      </c>
      <c r="D998" s="74">
        <v>5</v>
      </c>
      <c r="E998" s="50" t="s">
        <v>81</v>
      </c>
      <c r="F998" s="50">
        <v>4</v>
      </c>
      <c r="G998" s="50">
        <v>5</v>
      </c>
      <c r="H998" s="51" t="s">
        <v>5491</v>
      </c>
      <c r="I998" s="50" t="s">
        <v>5492</v>
      </c>
      <c r="J998" s="54" t="s">
        <v>73</v>
      </c>
      <c r="K998" s="56" t="s">
        <v>386</v>
      </c>
      <c r="L998" s="56" t="s">
        <v>5493</v>
      </c>
      <c r="M998" s="56" t="s">
        <v>304</v>
      </c>
      <c r="N998" s="56"/>
      <c r="O998" s="54"/>
      <c r="P998" s="56" t="s">
        <v>76</v>
      </c>
      <c r="Q998" s="56" t="s">
        <v>691</v>
      </c>
      <c r="R998" s="50" t="s">
        <v>5494</v>
      </c>
      <c r="S998" s="50">
        <v>1</v>
      </c>
      <c r="T998" s="50">
        <v>0</v>
      </c>
      <c r="U998" s="50" t="s">
        <v>5495</v>
      </c>
      <c r="V998" s="57">
        <v>0.17</v>
      </c>
      <c r="W998" s="50"/>
      <c r="X998" s="50"/>
      <c r="Y998" s="50"/>
      <c r="Z998" s="50"/>
      <c r="AA998" s="50"/>
      <c r="AB998" s="57"/>
      <c r="AC998" s="54">
        <v>1</v>
      </c>
      <c r="AD998" s="54">
        <f>SUM(AE998:AK998)</f>
        <v>0</v>
      </c>
      <c r="AE998" s="66"/>
      <c r="AF998" s="66"/>
      <c r="AG998" s="66"/>
      <c r="AH998" s="66"/>
      <c r="AI998" s="66"/>
      <c r="AJ998" s="66"/>
      <c r="AK998" s="66"/>
      <c r="AL998" s="54">
        <f>IF((AC998-SUM(AE998:AK998))&lt;0,0,AC998-SUM(AE998:AK998))</f>
        <v>1</v>
      </c>
      <c r="AM998" s="54">
        <f>SUM(AN998:AT998)</f>
        <v>0</v>
      </c>
      <c r="AN998" s="52"/>
      <c r="AO998" s="52"/>
      <c r="AP998" s="52"/>
      <c r="AQ998" s="52"/>
      <c r="AR998" s="52"/>
      <c r="AS998" s="52"/>
      <c r="AT998" s="52"/>
      <c r="AU998" s="54">
        <f>MAX(0,$AM998-$AC998-$AW998)</f>
        <v>0</v>
      </c>
      <c r="AV998" s="54"/>
      <c r="AW998" s="54"/>
      <c r="AX998" s="65">
        <v>0</v>
      </c>
      <c r="AY998" s="57">
        <f>IF(AND($AU998&gt;0,ISNUMBER($AX998)),$AU998*$AX998,0)</f>
        <v>0</v>
      </c>
      <c r="AZ998" s="46"/>
      <c r="BA998" s="52"/>
      <c r="BB998" s="52"/>
      <c r="BC998" s="52"/>
      <c r="BD998" s="52"/>
      <c r="BE998" s="52"/>
      <c r="BF998" s="52"/>
    </row>
    <row r="999" spans="1:58" ht="15" customHeight="1">
      <c r="A999" s="46" t="s">
        <v>5496</v>
      </c>
      <c r="B999" s="50" t="s">
        <v>5497</v>
      </c>
      <c r="C999" s="54" t="s">
        <v>80</v>
      </c>
      <c r="D999" s="74">
        <v>2</v>
      </c>
      <c r="E999" s="50" t="s">
        <v>189</v>
      </c>
      <c r="F999" s="50"/>
      <c r="G999" s="50"/>
      <c r="H999" s="51"/>
      <c r="I999" s="50" t="s">
        <v>5498</v>
      </c>
      <c r="J999" s="54" t="s">
        <v>73</v>
      </c>
      <c r="K999" s="56" t="s">
        <v>98</v>
      </c>
      <c r="L999" s="56" t="s">
        <v>5499</v>
      </c>
      <c r="M999" s="56"/>
      <c r="N999" s="56"/>
      <c r="O999" s="54"/>
      <c r="P999" s="56" t="s">
        <v>185</v>
      </c>
      <c r="Q999" s="56" t="s">
        <v>5500</v>
      </c>
      <c r="R999" s="50" t="s">
        <v>1308</v>
      </c>
      <c r="S999" s="50">
        <v>1</v>
      </c>
      <c r="T999" s="50">
        <v>1</v>
      </c>
      <c r="U999" s="50" t="s">
        <v>3729</v>
      </c>
      <c r="V999" s="57">
        <v>9.84</v>
      </c>
      <c r="W999" s="50"/>
      <c r="X999" s="50"/>
      <c r="Y999" s="50"/>
      <c r="Z999" s="50"/>
      <c r="AA999" s="50"/>
      <c r="AB999" s="57"/>
      <c r="AC999" s="54">
        <v>1</v>
      </c>
      <c r="AD999" s="54">
        <f>SUM(AE999:AK999)</f>
        <v>0</v>
      </c>
      <c r="AE999" s="66"/>
      <c r="AF999" s="66"/>
      <c r="AG999" s="66"/>
      <c r="AH999" s="66"/>
      <c r="AI999" s="66"/>
      <c r="AJ999" s="66"/>
      <c r="AK999" s="66"/>
      <c r="AL999" s="54">
        <f>IF((AC999-SUM(AE999:AK999))&lt;0,0,AC999-SUM(AE999:AK999))</f>
        <v>1</v>
      </c>
      <c r="AM999" s="54">
        <f>SUM(AN999:AT999)</f>
        <v>0</v>
      </c>
      <c r="AN999" s="52"/>
      <c r="AO999" s="52"/>
      <c r="AP999" s="52"/>
      <c r="AQ999" s="52"/>
      <c r="AR999" s="52"/>
      <c r="AS999" s="52"/>
      <c r="AT999" s="52"/>
      <c r="AU999" s="54">
        <f>MAX(0,$AM999-$AC999-$AW999)</f>
        <v>0</v>
      </c>
      <c r="AV999" s="54"/>
      <c r="AW999" s="54"/>
      <c r="AX999" s="65">
        <v>0</v>
      </c>
      <c r="AY999" s="57">
        <f>IF(AND($AU999&gt;0,ISNUMBER($AX999)),$AU999*$AX999,0)</f>
        <v>0</v>
      </c>
      <c r="AZ999" s="46"/>
      <c r="BA999" s="52"/>
      <c r="BB999" s="52"/>
      <c r="BC999" s="52"/>
      <c r="BD999" s="52"/>
      <c r="BE999" s="52"/>
      <c r="BF999" s="52"/>
    </row>
    <row r="1000" spans="1:58" ht="15" customHeight="1">
      <c r="A1000" s="46" t="s">
        <v>5501</v>
      </c>
      <c r="B1000" s="50" t="s">
        <v>5502</v>
      </c>
      <c r="C1000" s="54" t="s">
        <v>118</v>
      </c>
      <c r="D1000" s="74">
        <v>5</v>
      </c>
      <c r="E1000" s="50" t="s">
        <v>384</v>
      </c>
      <c r="F1000" s="50"/>
      <c r="G1000" s="50"/>
      <c r="H1000" s="51"/>
      <c r="I1000" s="50" t="s">
        <v>5503</v>
      </c>
      <c r="J1000" s="54" t="s">
        <v>73</v>
      </c>
      <c r="K1000" s="56" t="s">
        <v>661</v>
      </c>
      <c r="L1000" s="56" t="s">
        <v>5504</v>
      </c>
      <c r="M1000" s="56"/>
      <c r="N1000" s="56"/>
      <c r="O1000" s="54"/>
      <c r="P1000" s="56" t="s">
        <v>86</v>
      </c>
      <c r="Q1000" s="56" t="s">
        <v>172</v>
      </c>
      <c r="R1000" s="50" t="s">
        <v>5505</v>
      </c>
      <c r="S1000" s="50">
        <v>1</v>
      </c>
      <c r="T1000" s="50">
        <v>0</v>
      </c>
      <c r="U1000" s="50" t="s">
        <v>5506</v>
      </c>
      <c r="V1000" s="57">
        <v>8.19</v>
      </c>
      <c r="W1000" s="50"/>
      <c r="X1000" s="50"/>
      <c r="Y1000" s="50"/>
      <c r="Z1000" s="50"/>
      <c r="AA1000" s="50"/>
      <c r="AB1000" s="57"/>
      <c r="AC1000" s="54">
        <v>1</v>
      </c>
      <c r="AD1000" s="54">
        <f>SUM(AE1000:AK1000)</f>
        <v>0</v>
      </c>
      <c r="AE1000" s="66"/>
      <c r="AF1000" s="66"/>
      <c r="AG1000" s="66"/>
      <c r="AH1000" s="66"/>
      <c r="AI1000" s="66"/>
      <c r="AJ1000" s="66"/>
      <c r="AK1000" s="66"/>
      <c r="AL1000" s="54">
        <f>IF((AC1000-SUM(AE1000:AK1000))&lt;0,0,AC1000-SUM(AE1000:AK1000))</f>
        <v>1</v>
      </c>
      <c r="AM1000" s="54">
        <f>SUM(AN1000:AT1000)</f>
        <v>0</v>
      </c>
      <c r="AN1000" s="52"/>
      <c r="AO1000" s="52"/>
      <c r="AP1000" s="52"/>
      <c r="AQ1000" s="52"/>
      <c r="AR1000" s="52"/>
      <c r="AS1000" s="52"/>
      <c r="AT1000" s="52"/>
      <c r="AU1000" s="54">
        <f>MAX(0,$AM1000-$AC1000-$AW1000)</f>
        <v>0</v>
      </c>
      <c r="AV1000" s="54"/>
      <c r="AW1000" s="54"/>
      <c r="AX1000" s="65">
        <v>0</v>
      </c>
      <c r="AY1000" s="57">
        <f>IF(AND($AU1000&gt;0,ISNUMBER($AX1000)),$AU1000*$AX1000,0)</f>
        <v>0</v>
      </c>
      <c r="AZ1000" s="46"/>
      <c r="BA1000" s="52"/>
      <c r="BB1000" s="52"/>
      <c r="BC1000" s="52"/>
      <c r="BD1000" s="52"/>
      <c r="BE1000" s="52"/>
      <c r="BF1000" s="52"/>
    </row>
    <row r="1001" spans="1:58" ht="15" customHeight="1">
      <c r="A1001" s="46" t="s">
        <v>5507</v>
      </c>
      <c r="B1001" s="50" t="s">
        <v>5508</v>
      </c>
      <c r="C1001" s="54" t="s">
        <v>118</v>
      </c>
      <c r="D1001" s="74">
        <v>3</v>
      </c>
      <c r="E1001" s="50" t="s">
        <v>189</v>
      </c>
      <c r="F1001" s="50"/>
      <c r="G1001" s="50"/>
      <c r="H1001" s="51"/>
      <c r="I1001" s="50" t="s">
        <v>5509</v>
      </c>
      <c r="J1001" s="54" t="s">
        <v>73</v>
      </c>
      <c r="K1001" s="56" t="s">
        <v>98</v>
      </c>
      <c r="L1001" s="56" t="s">
        <v>5510</v>
      </c>
      <c r="M1001" s="56"/>
      <c r="N1001" s="56"/>
      <c r="O1001" s="54"/>
      <c r="P1001" s="56" t="s">
        <v>76</v>
      </c>
      <c r="Q1001" s="56" t="s">
        <v>1035</v>
      </c>
      <c r="R1001" s="50" t="s">
        <v>5511</v>
      </c>
      <c r="S1001" s="50">
        <v>1</v>
      </c>
      <c r="T1001" s="50">
        <v>0</v>
      </c>
      <c r="U1001" s="50" t="s">
        <v>5512</v>
      </c>
      <c r="V1001" s="57">
        <v>1.63</v>
      </c>
      <c r="W1001" s="50"/>
      <c r="X1001" s="50"/>
      <c r="Y1001" s="50"/>
      <c r="Z1001" s="50"/>
      <c r="AA1001" s="50"/>
      <c r="AB1001" s="57"/>
      <c r="AC1001" s="54">
        <v>1</v>
      </c>
      <c r="AD1001" s="54">
        <f>SUM(AE1001:AK1001)</f>
        <v>0</v>
      </c>
      <c r="AE1001" s="66"/>
      <c r="AF1001" s="66"/>
      <c r="AG1001" s="66"/>
      <c r="AH1001" s="66"/>
      <c r="AI1001" s="66"/>
      <c r="AJ1001" s="66"/>
      <c r="AK1001" s="66"/>
      <c r="AL1001" s="54">
        <f>IF((AC1001-SUM(AE1001:AK1001))&lt;0,0,AC1001-SUM(AE1001:AK1001))</f>
        <v>1</v>
      </c>
      <c r="AM1001" s="54">
        <f>SUM(AN1001:AT1001)</f>
        <v>0</v>
      </c>
      <c r="AN1001" s="52"/>
      <c r="AO1001" s="52"/>
      <c r="AP1001" s="52"/>
      <c r="AQ1001" s="52"/>
      <c r="AR1001" s="52"/>
      <c r="AS1001" s="52"/>
      <c r="AT1001" s="52"/>
      <c r="AU1001" s="54">
        <f>MAX(0,$AM1001-$AC1001-$AW1001)</f>
        <v>0</v>
      </c>
      <c r="AV1001" s="54"/>
      <c r="AW1001" s="54"/>
      <c r="AX1001" s="65">
        <v>0</v>
      </c>
      <c r="AY1001" s="57">
        <f>IF(AND($AU1001&gt;0,ISNUMBER($AX1001)),$AU1001*$AX1001,0)</f>
        <v>0</v>
      </c>
      <c r="AZ1001" s="46"/>
      <c r="BA1001" s="52"/>
      <c r="BB1001" s="52"/>
      <c r="BC1001" s="52"/>
      <c r="BD1001" s="52"/>
      <c r="BE1001" s="52"/>
      <c r="BF1001" s="52"/>
    </row>
    <row r="1002" spans="1:58" ht="15" customHeight="1">
      <c r="A1002" s="46" t="s">
        <v>5513</v>
      </c>
      <c r="B1002" s="50" t="s">
        <v>5514</v>
      </c>
      <c r="C1002" s="54" t="s">
        <v>80</v>
      </c>
      <c r="D1002" s="74">
        <v>2</v>
      </c>
      <c r="E1002" s="50" t="s">
        <v>189</v>
      </c>
      <c r="F1002" s="50"/>
      <c r="G1002" s="50"/>
      <c r="H1002" s="51"/>
      <c r="I1002" s="50" t="s">
        <v>5515</v>
      </c>
      <c r="J1002" s="54" t="s">
        <v>73</v>
      </c>
      <c r="K1002" s="56" t="s">
        <v>98</v>
      </c>
      <c r="L1002" s="56" t="s">
        <v>5516</v>
      </c>
      <c r="M1002" s="56"/>
      <c r="N1002" s="56"/>
      <c r="O1002" s="54"/>
      <c r="P1002" s="56" t="s">
        <v>76</v>
      </c>
      <c r="Q1002" s="56" t="s">
        <v>1115</v>
      </c>
      <c r="R1002" s="50" t="s">
        <v>5517</v>
      </c>
      <c r="S1002" s="50">
        <v>1</v>
      </c>
      <c r="T1002" s="50">
        <v>0</v>
      </c>
      <c r="U1002" s="50" t="s">
        <v>5518</v>
      </c>
      <c r="V1002" s="57">
        <v>0.18</v>
      </c>
      <c r="W1002" s="50"/>
      <c r="X1002" s="50"/>
      <c r="Y1002" s="50"/>
      <c r="Z1002" s="50"/>
      <c r="AA1002" s="50"/>
      <c r="AB1002" s="57"/>
      <c r="AC1002" s="54">
        <v>1</v>
      </c>
      <c r="AD1002" s="54">
        <f>SUM(AE1002:AK1002)</f>
        <v>0</v>
      </c>
      <c r="AE1002" s="66"/>
      <c r="AF1002" s="66"/>
      <c r="AG1002" s="66"/>
      <c r="AH1002" s="66"/>
      <c r="AI1002" s="66"/>
      <c r="AJ1002" s="66"/>
      <c r="AK1002" s="66"/>
      <c r="AL1002" s="54">
        <f>IF((AC1002-SUM(AE1002:AK1002))&lt;0,0,AC1002-SUM(AE1002:AK1002))</f>
        <v>1</v>
      </c>
      <c r="AM1002" s="54">
        <f>SUM(AN1002:AT1002)</f>
        <v>0</v>
      </c>
      <c r="AN1002" s="52"/>
      <c r="AO1002" s="52"/>
      <c r="AP1002" s="52"/>
      <c r="AQ1002" s="52"/>
      <c r="AR1002" s="52"/>
      <c r="AS1002" s="52"/>
      <c r="AT1002" s="52"/>
      <c r="AU1002" s="54">
        <f>MAX(0,$AM1002-$AC1002-$AW1002)</f>
        <v>0</v>
      </c>
      <c r="AV1002" s="54"/>
      <c r="AW1002" s="54"/>
      <c r="AX1002" s="65">
        <v>0</v>
      </c>
      <c r="AY1002" s="57">
        <f>IF(AND($AU1002&gt;0,ISNUMBER($AX1002)),$AU1002*$AX1002,0)</f>
        <v>0</v>
      </c>
      <c r="AZ1002" s="46"/>
      <c r="BA1002" s="52"/>
      <c r="BB1002" s="52"/>
      <c r="BC1002" s="52"/>
      <c r="BD1002" s="52"/>
      <c r="BE1002" s="52"/>
      <c r="BF1002" s="52"/>
    </row>
    <row r="1003" spans="1:58" ht="15" customHeight="1">
      <c r="A1003" s="46" t="s">
        <v>5519</v>
      </c>
      <c r="B1003" s="50" t="s">
        <v>5520</v>
      </c>
      <c r="C1003" s="54" t="s">
        <v>118</v>
      </c>
      <c r="D1003" s="74">
        <v>3</v>
      </c>
      <c r="E1003" s="50" t="s">
        <v>81</v>
      </c>
      <c r="F1003" s="50">
        <v>1</v>
      </c>
      <c r="G1003" s="50">
        <v>1</v>
      </c>
      <c r="H1003" s="51" t="s">
        <v>1977</v>
      </c>
      <c r="I1003" s="50" t="s">
        <v>5521</v>
      </c>
      <c r="J1003" s="54" t="s">
        <v>73</v>
      </c>
      <c r="K1003" s="56" t="s">
        <v>129</v>
      </c>
      <c r="L1003" s="56" t="s">
        <v>3527</v>
      </c>
      <c r="M1003" s="56" t="s">
        <v>5522</v>
      </c>
      <c r="N1003" s="56" t="s">
        <v>136</v>
      </c>
      <c r="O1003" s="54"/>
      <c r="P1003" s="56" t="s">
        <v>86</v>
      </c>
      <c r="Q1003" s="56" t="s">
        <v>2358</v>
      </c>
      <c r="R1003" s="50" t="s">
        <v>5523</v>
      </c>
      <c r="S1003" s="50">
        <v>1</v>
      </c>
      <c r="T1003" s="50">
        <v>0</v>
      </c>
      <c r="U1003" s="50" t="s">
        <v>5524</v>
      </c>
      <c r="V1003" s="57">
        <v>0.18</v>
      </c>
      <c r="W1003" s="50"/>
      <c r="X1003" s="50"/>
      <c r="Y1003" s="50"/>
      <c r="Z1003" s="50"/>
      <c r="AA1003" s="50"/>
      <c r="AB1003" s="57"/>
      <c r="AC1003" s="54">
        <v>1</v>
      </c>
      <c r="AD1003" s="54">
        <f>SUM(AE1003:AK1003)</f>
        <v>0</v>
      </c>
      <c r="AE1003" s="66"/>
      <c r="AF1003" s="66"/>
      <c r="AG1003" s="66"/>
      <c r="AH1003" s="66"/>
      <c r="AI1003" s="66"/>
      <c r="AJ1003" s="66"/>
      <c r="AK1003" s="66"/>
      <c r="AL1003" s="54">
        <f>IF((AC1003-SUM(AE1003:AK1003))&lt;0,0,AC1003-SUM(AE1003:AK1003))</f>
        <v>1</v>
      </c>
      <c r="AM1003" s="54">
        <f>SUM(AN1003:AT1003)</f>
        <v>0</v>
      </c>
      <c r="AN1003" s="52"/>
      <c r="AO1003" s="52"/>
      <c r="AP1003" s="52"/>
      <c r="AQ1003" s="52"/>
      <c r="AR1003" s="52"/>
      <c r="AS1003" s="52"/>
      <c r="AT1003" s="52"/>
      <c r="AU1003" s="54">
        <f>MAX(0,$AM1003-$AC1003-$AW1003)</f>
        <v>0</v>
      </c>
      <c r="AV1003" s="54"/>
      <c r="AW1003" s="54"/>
      <c r="AX1003" s="65">
        <v>0</v>
      </c>
      <c r="AY1003" s="57">
        <f>IF(AND($AU1003&gt;0,ISNUMBER($AX1003)),$AU1003*$AX1003,0)</f>
        <v>0</v>
      </c>
      <c r="AZ1003" s="46"/>
      <c r="BA1003" s="52"/>
      <c r="BB1003" s="52"/>
      <c r="BC1003" s="52"/>
      <c r="BD1003" s="52"/>
      <c r="BE1003" s="52"/>
      <c r="BF1003" s="52"/>
    </row>
    <row r="1004" spans="1:58" ht="15" customHeight="1">
      <c r="A1004" s="46" t="s">
        <v>5525</v>
      </c>
      <c r="B1004" s="50" t="s">
        <v>5526</v>
      </c>
      <c r="C1004" s="54" t="s">
        <v>101</v>
      </c>
      <c r="D1004" s="74">
        <v>4</v>
      </c>
      <c r="E1004" s="50" t="s">
        <v>71</v>
      </c>
      <c r="F1004" s="50"/>
      <c r="G1004" s="50"/>
      <c r="H1004" s="51"/>
      <c r="I1004" s="50" t="s">
        <v>5527</v>
      </c>
      <c r="J1004" s="54" t="s">
        <v>73</v>
      </c>
      <c r="K1004" s="56" t="s">
        <v>92</v>
      </c>
      <c r="L1004" s="56" t="s">
        <v>5528</v>
      </c>
      <c r="M1004" s="56"/>
      <c r="N1004" s="56"/>
      <c r="O1004" s="54"/>
      <c r="P1004" s="56" t="s">
        <v>185</v>
      </c>
      <c r="Q1004" s="56" t="s">
        <v>123</v>
      </c>
      <c r="R1004" s="50" t="s">
        <v>5529</v>
      </c>
      <c r="S1004" s="50">
        <v>1</v>
      </c>
      <c r="T1004" s="50">
        <v>1</v>
      </c>
      <c r="U1004" s="50" t="s">
        <v>5530</v>
      </c>
      <c r="V1004" s="57">
        <v>0.49</v>
      </c>
      <c r="W1004" s="50"/>
      <c r="X1004" s="50"/>
      <c r="Y1004" s="50"/>
      <c r="Z1004" s="50"/>
      <c r="AA1004" s="50"/>
      <c r="AB1004" s="57"/>
      <c r="AC1004" s="54">
        <v>1</v>
      </c>
      <c r="AD1004" s="54">
        <f>SUM(AE1004:AK1004)</f>
        <v>0</v>
      </c>
      <c r="AE1004" s="66"/>
      <c r="AF1004" s="66"/>
      <c r="AG1004" s="66"/>
      <c r="AH1004" s="66"/>
      <c r="AI1004" s="66"/>
      <c r="AJ1004" s="66"/>
      <c r="AK1004" s="66"/>
      <c r="AL1004" s="54">
        <f>IF((AC1004-SUM(AE1004:AK1004))&lt;0,0,AC1004-SUM(AE1004:AK1004))</f>
        <v>1</v>
      </c>
      <c r="AM1004" s="54">
        <f>SUM(AN1004:AT1004)</f>
        <v>0</v>
      </c>
      <c r="AN1004" s="52"/>
      <c r="AO1004" s="52"/>
      <c r="AP1004" s="52"/>
      <c r="AQ1004" s="52"/>
      <c r="AR1004" s="52"/>
      <c r="AS1004" s="52"/>
      <c r="AT1004" s="52"/>
      <c r="AU1004" s="54">
        <f>MAX(0,$AM1004-$AC1004-$AW1004)</f>
        <v>0</v>
      </c>
      <c r="AV1004" s="54"/>
      <c r="AW1004" s="54"/>
      <c r="AX1004" s="65">
        <v>0</v>
      </c>
      <c r="AY1004" s="57">
        <f>IF(AND($AU1004&gt;0,ISNUMBER($AX1004)),$AU1004*$AX1004,0)</f>
        <v>0</v>
      </c>
      <c r="AZ1004" s="46"/>
      <c r="BA1004" s="52"/>
      <c r="BB1004" s="52"/>
      <c r="BC1004" s="52"/>
      <c r="BD1004" s="52"/>
      <c r="BE1004" s="52"/>
      <c r="BF1004" s="52"/>
    </row>
    <row r="1005" spans="1:58" ht="15" customHeight="1">
      <c r="A1005" s="46" t="s">
        <v>5531</v>
      </c>
      <c r="B1005" s="50" t="s">
        <v>5532</v>
      </c>
      <c r="C1005" s="54" t="s">
        <v>70</v>
      </c>
      <c r="D1005" s="74">
        <v>1</v>
      </c>
      <c r="E1005" s="50" t="s">
        <v>189</v>
      </c>
      <c r="F1005" s="50"/>
      <c r="G1005" s="50"/>
      <c r="H1005" s="51"/>
      <c r="I1005" s="50" t="s">
        <v>5533</v>
      </c>
      <c r="J1005" s="54" t="s">
        <v>73</v>
      </c>
      <c r="K1005" s="56" t="s">
        <v>98</v>
      </c>
      <c r="L1005" s="56" t="s">
        <v>5534</v>
      </c>
      <c r="M1005" s="56" t="s">
        <v>5535</v>
      </c>
      <c r="N1005" s="56"/>
      <c r="O1005" s="54"/>
      <c r="P1005" s="56" t="s">
        <v>76</v>
      </c>
      <c r="Q1005" s="56" t="s">
        <v>5536</v>
      </c>
      <c r="R1005" s="50" t="s">
        <v>5537</v>
      </c>
      <c r="S1005" s="50">
        <v>1</v>
      </c>
      <c r="T1005" s="50">
        <v>0</v>
      </c>
      <c r="U1005" s="50" t="s">
        <v>5538</v>
      </c>
      <c r="V1005" s="57">
        <v>4.09</v>
      </c>
      <c r="W1005" s="50"/>
      <c r="X1005" s="50"/>
      <c r="Y1005" s="50"/>
      <c r="Z1005" s="50"/>
      <c r="AA1005" s="50"/>
      <c r="AB1005" s="57"/>
      <c r="AC1005" s="54">
        <v>1</v>
      </c>
      <c r="AD1005" s="54">
        <f>SUM(AE1005:AK1005)</f>
        <v>0</v>
      </c>
      <c r="AE1005" s="66"/>
      <c r="AF1005" s="66"/>
      <c r="AG1005" s="66"/>
      <c r="AH1005" s="66"/>
      <c r="AI1005" s="66"/>
      <c r="AJ1005" s="66"/>
      <c r="AK1005" s="66"/>
      <c r="AL1005" s="54">
        <f>IF((AC1005-SUM(AE1005:AK1005))&lt;0,0,AC1005-SUM(AE1005:AK1005))</f>
        <v>1</v>
      </c>
      <c r="AM1005" s="54">
        <f>SUM(AN1005:AT1005)</f>
        <v>0</v>
      </c>
      <c r="AN1005" s="52"/>
      <c r="AO1005" s="52"/>
      <c r="AP1005" s="52"/>
      <c r="AQ1005" s="52"/>
      <c r="AR1005" s="52"/>
      <c r="AS1005" s="52"/>
      <c r="AT1005" s="52"/>
      <c r="AU1005" s="54">
        <f>MAX(0,$AM1005-$AC1005-$AW1005)</f>
        <v>0</v>
      </c>
      <c r="AV1005" s="54"/>
      <c r="AW1005" s="54"/>
      <c r="AX1005" s="65">
        <v>0</v>
      </c>
      <c r="AY1005" s="57">
        <f>IF(AND($AU1005&gt;0,ISNUMBER($AX1005)),$AU1005*$AX1005,0)</f>
        <v>0</v>
      </c>
      <c r="AZ1005" s="46"/>
      <c r="BA1005" s="52"/>
      <c r="BB1005" s="52"/>
      <c r="BC1005" s="52"/>
      <c r="BD1005" s="52"/>
      <c r="BE1005" s="52"/>
      <c r="BF1005" s="52"/>
    </row>
    <row r="1006" spans="1:58" ht="15" customHeight="1">
      <c r="A1006" s="46" t="s">
        <v>5539</v>
      </c>
      <c r="B1006" s="50" t="s">
        <v>5540</v>
      </c>
      <c r="C1006" s="54" t="s">
        <v>80</v>
      </c>
      <c r="D1006" s="74">
        <v>4</v>
      </c>
      <c r="E1006" s="50" t="s">
        <v>189</v>
      </c>
      <c r="F1006" s="50"/>
      <c r="G1006" s="50"/>
      <c r="H1006" s="51"/>
      <c r="I1006" s="50" t="s">
        <v>5541</v>
      </c>
      <c r="J1006" s="54" t="s">
        <v>73</v>
      </c>
      <c r="K1006" s="56" t="s">
        <v>202</v>
      </c>
      <c r="L1006" s="56" t="s">
        <v>5542</v>
      </c>
      <c r="M1006" s="56" t="s">
        <v>590</v>
      </c>
      <c r="N1006" s="56"/>
      <c r="O1006" s="54"/>
      <c r="P1006" s="56" t="s">
        <v>185</v>
      </c>
      <c r="Q1006" s="56" t="s">
        <v>4183</v>
      </c>
      <c r="R1006" s="50" t="s">
        <v>3474</v>
      </c>
      <c r="S1006" s="50">
        <v>1</v>
      </c>
      <c r="T1006" s="50">
        <v>0</v>
      </c>
      <c r="U1006" s="50" t="s">
        <v>5543</v>
      </c>
      <c r="V1006" s="57">
        <v>0.41</v>
      </c>
      <c r="W1006" s="50"/>
      <c r="X1006" s="50"/>
      <c r="Y1006" s="50"/>
      <c r="Z1006" s="50"/>
      <c r="AA1006" s="50"/>
      <c r="AB1006" s="57"/>
      <c r="AC1006" s="54">
        <v>1</v>
      </c>
      <c r="AD1006" s="54">
        <f>SUM(AE1006:AK1006)</f>
        <v>0</v>
      </c>
      <c r="AE1006" s="66"/>
      <c r="AF1006" s="66"/>
      <c r="AG1006" s="66"/>
      <c r="AH1006" s="66"/>
      <c r="AI1006" s="66"/>
      <c r="AJ1006" s="66"/>
      <c r="AK1006" s="66"/>
      <c r="AL1006" s="54">
        <f>IF((AC1006-SUM(AE1006:AK1006))&lt;0,0,AC1006-SUM(AE1006:AK1006))</f>
        <v>1</v>
      </c>
      <c r="AM1006" s="54">
        <f>SUM(AN1006:AT1006)</f>
        <v>0</v>
      </c>
      <c r="AN1006" s="52"/>
      <c r="AO1006" s="52"/>
      <c r="AP1006" s="52"/>
      <c r="AQ1006" s="52"/>
      <c r="AR1006" s="52"/>
      <c r="AS1006" s="52"/>
      <c r="AT1006" s="52"/>
      <c r="AU1006" s="54">
        <f>MAX(0,$AM1006-$AC1006-$AW1006)</f>
        <v>0</v>
      </c>
      <c r="AV1006" s="54"/>
      <c r="AW1006" s="54"/>
      <c r="AX1006" s="65">
        <v>0</v>
      </c>
      <c r="AY1006" s="57">
        <f>IF(AND($AU1006&gt;0,ISNUMBER($AX1006)),$AU1006*$AX1006,0)</f>
        <v>0</v>
      </c>
      <c r="AZ1006" s="46"/>
      <c r="BA1006" s="52"/>
      <c r="BB1006" s="52"/>
      <c r="BC1006" s="52"/>
      <c r="BD1006" s="52"/>
      <c r="BE1006" s="52"/>
      <c r="BF1006" s="52"/>
    </row>
    <row r="1007" spans="1:58" ht="15" customHeight="1">
      <c r="A1007" s="46" t="s">
        <v>5544</v>
      </c>
      <c r="B1007" s="50" t="s">
        <v>5545</v>
      </c>
      <c r="C1007" s="54" t="s">
        <v>118</v>
      </c>
      <c r="D1007" s="74">
        <v>4</v>
      </c>
      <c r="E1007" s="50" t="s">
        <v>81</v>
      </c>
      <c r="F1007" s="50">
        <v>3</v>
      </c>
      <c r="G1007" s="50">
        <v>4</v>
      </c>
      <c r="H1007" s="51" t="s">
        <v>1737</v>
      </c>
      <c r="I1007" s="50" t="s">
        <v>5546</v>
      </c>
      <c r="J1007" s="54" t="s">
        <v>73</v>
      </c>
      <c r="K1007" s="56" t="s">
        <v>3168</v>
      </c>
      <c r="L1007" s="56" t="s">
        <v>5547</v>
      </c>
      <c r="M1007" s="56" t="s">
        <v>85</v>
      </c>
      <c r="N1007" s="56"/>
      <c r="O1007" s="54"/>
      <c r="P1007" s="56" t="s">
        <v>86</v>
      </c>
      <c r="Q1007" s="56" t="s">
        <v>4504</v>
      </c>
      <c r="R1007" s="50" t="s">
        <v>5548</v>
      </c>
      <c r="S1007" s="50">
        <v>1</v>
      </c>
      <c r="T1007" s="50">
        <v>0</v>
      </c>
      <c r="U1007" s="50" t="s">
        <v>5549</v>
      </c>
      <c r="V1007" s="57">
        <v>2.1800000000000002</v>
      </c>
      <c r="W1007" s="50"/>
      <c r="X1007" s="50"/>
      <c r="Y1007" s="50"/>
      <c r="Z1007" s="50"/>
      <c r="AA1007" s="50"/>
      <c r="AB1007" s="57"/>
      <c r="AC1007" s="54">
        <v>1</v>
      </c>
      <c r="AD1007" s="54">
        <f>SUM(AE1007:AK1007)</f>
        <v>0</v>
      </c>
      <c r="AE1007" s="66"/>
      <c r="AF1007" s="66"/>
      <c r="AG1007" s="66"/>
      <c r="AH1007" s="66"/>
      <c r="AI1007" s="66"/>
      <c r="AJ1007" s="66"/>
      <c r="AK1007" s="66"/>
      <c r="AL1007" s="54">
        <f>IF((AC1007-SUM(AE1007:AK1007))&lt;0,0,AC1007-SUM(AE1007:AK1007))</f>
        <v>1</v>
      </c>
      <c r="AM1007" s="54">
        <f>SUM(AN1007:AT1007)</f>
        <v>0</v>
      </c>
      <c r="AN1007" s="52"/>
      <c r="AO1007" s="52"/>
      <c r="AP1007" s="52"/>
      <c r="AQ1007" s="52"/>
      <c r="AR1007" s="52"/>
      <c r="AS1007" s="52"/>
      <c r="AT1007" s="52"/>
      <c r="AU1007" s="54">
        <f>MAX(0,$AM1007-$AC1007-$AW1007)</f>
        <v>0</v>
      </c>
      <c r="AV1007" s="54"/>
      <c r="AW1007" s="54"/>
      <c r="AX1007" s="65">
        <v>0</v>
      </c>
      <c r="AY1007" s="57">
        <f>IF(AND($AU1007&gt;0,ISNUMBER($AX1007)),$AU1007*$AX1007,0)</f>
        <v>0</v>
      </c>
      <c r="AZ1007" s="46"/>
      <c r="BA1007" s="52"/>
      <c r="BB1007" s="52"/>
      <c r="BC1007" s="52"/>
      <c r="BD1007" s="52"/>
      <c r="BE1007" s="52"/>
      <c r="BF1007" s="52"/>
    </row>
    <row r="1008" spans="1:58" ht="15" customHeight="1">
      <c r="A1008" s="46" t="s">
        <v>5550</v>
      </c>
      <c r="B1008" s="50" t="s">
        <v>5551</v>
      </c>
      <c r="C1008" s="54" t="s">
        <v>101</v>
      </c>
      <c r="D1008" s="74">
        <v>2</v>
      </c>
      <c r="E1008" s="50" t="s">
        <v>81</v>
      </c>
      <c r="F1008" s="50">
        <v>2</v>
      </c>
      <c r="G1008" s="50">
        <v>2</v>
      </c>
      <c r="H1008" s="51" t="s">
        <v>3852</v>
      </c>
      <c r="I1008" s="50" t="s">
        <v>5552</v>
      </c>
      <c r="J1008" s="54" t="s">
        <v>73</v>
      </c>
      <c r="K1008" s="56" t="s">
        <v>2664</v>
      </c>
      <c r="L1008" s="56" t="s">
        <v>5553</v>
      </c>
      <c r="M1008" s="56"/>
      <c r="N1008" s="56"/>
      <c r="O1008" s="54"/>
      <c r="P1008" s="56" t="s">
        <v>86</v>
      </c>
      <c r="Q1008" s="56" t="s">
        <v>5554</v>
      </c>
      <c r="R1008" s="50" t="s">
        <v>5555</v>
      </c>
      <c r="S1008" s="50">
        <v>1</v>
      </c>
      <c r="T1008" s="50">
        <v>0</v>
      </c>
      <c r="U1008" s="50" t="s">
        <v>5556</v>
      </c>
      <c r="V1008" s="57">
        <v>4.9800000000000004</v>
      </c>
      <c r="W1008" s="50"/>
      <c r="X1008" s="50"/>
      <c r="Y1008" s="50"/>
      <c r="Z1008" s="50"/>
      <c r="AA1008" s="50"/>
      <c r="AB1008" s="57"/>
      <c r="AC1008" s="54">
        <v>1</v>
      </c>
      <c r="AD1008" s="54">
        <f>SUM(AE1008:AK1008)</f>
        <v>0</v>
      </c>
      <c r="AE1008" s="66"/>
      <c r="AF1008" s="66"/>
      <c r="AG1008" s="66"/>
      <c r="AH1008" s="66"/>
      <c r="AI1008" s="66"/>
      <c r="AJ1008" s="66"/>
      <c r="AK1008" s="66"/>
      <c r="AL1008" s="54">
        <f>IF((AC1008-SUM(AE1008:AK1008))&lt;0,0,AC1008-SUM(AE1008:AK1008))</f>
        <v>1</v>
      </c>
      <c r="AM1008" s="54">
        <f>SUM(AN1008:AT1008)</f>
        <v>0</v>
      </c>
      <c r="AN1008" s="52"/>
      <c r="AO1008" s="52"/>
      <c r="AP1008" s="52"/>
      <c r="AQ1008" s="52"/>
      <c r="AR1008" s="52"/>
      <c r="AS1008" s="52"/>
      <c r="AT1008" s="52"/>
      <c r="AU1008" s="54">
        <f>MAX(0,$AM1008-$AC1008-$AW1008)</f>
        <v>0</v>
      </c>
      <c r="AV1008" s="54"/>
      <c r="AW1008" s="54"/>
      <c r="AX1008" s="65">
        <v>0</v>
      </c>
      <c r="AY1008" s="57">
        <f>IF(AND($AU1008&gt;0,ISNUMBER($AX1008)),$AU1008*$AX1008,0)</f>
        <v>0</v>
      </c>
      <c r="AZ1008" s="46"/>
      <c r="BA1008" s="52"/>
      <c r="BB1008" s="52"/>
      <c r="BC1008" s="52"/>
      <c r="BD1008" s="52"/>
      <c r="BE1008" s="52"/>
      <c r="BF1008" s="52"/>
    </row>
    <row r="1009" spans="1:58" ht="15" customHeight="1">
      <c r="A1009" s="46" t="s">
        <v>5557</v>
      </c>
      <c r="B1009" s="50" t="s">
        <v>5558</v>
      </c>
      <c r="C1009" s="54" t="s">
        <v>118</v>
      </c>
      <c r="D1009" s="74">
        <v>3</v>
      </c>
      <c r="E1009" s="50" t="s">
        <v>384</v>
      </c>
      <c r="F1009" s="50"/>
      <c r="G1009" s="50"/>
      <c r="H1009" s="51"/>
      <c r="I1009" s="50" t="s">
        <v>5559</v>
      </c>
      <c r="J1009" s="54" t="s">
        <v>73</v>
      </c>
      <c r="K1009" s="56" t="s">
        <v>135</v>
      </c>
      <c r="L1009" s="56" t="s">
        <v>5560</v>
      </c>
      <c r="M1009" s="56"/>
      <c r="N1009" s="56"/>
      <c r="O1009" s="54"/>
      <c r="P1009" s="56" t="s">
        <v>76</v>
      </c>
      <c r="Q1009" s="56" t="s">
        <v>1963</v>
      </c>
      <c r="R1009" s="50" t="s">
        <v>5561</v>
      </c>
      <c r="S1009" s="50">
        <v>1</v>
      </c>
      <c r="T1009" s="50">
        <v>0</v>
      </c>
      <c r="U1009" s="50" t="s">
        <v>5562</v>
      </c>
      <c r="V1009" s="57">
        <v>0.17</v>
      </c>
      <c r="W1009" s="50"/>
      <c r="X1009" s="50"/>
      <c r="Y1009" s="50"/>
      <c r="Z1009" s="50"/>
      <c r="AA1009" s="50"/>
      <c r="AB1009" s="57"/>
      <c r="AC1009" s="54">
        <v>1</v>
      </c>
      <c r="AD1009" s="54">
        <f>SUM(AE1009:AK1009)</f>
        <v>0</v>
      </c>
      <c r="AE1009" s="66"/>
      <c r="AF1009" s="66"/>
      <c r="AG1009" s="66"/>
      <c r="AH1009" s="66"/>
      <c r="AI1009" s="66"/>
      <c r="AJ1009" s="66"/>
      <c r="AK1009" s="66"/>
      <c r="AL1009" s="54">
        <f>IF((AC1009-SUM(AE1009:AK1009))&lt;0,0,AC1009-SUM(AE1009:AK1009))</f>
        <v>1</v>
      </c>
      <c r="AM1009" s="54">
        <f>SUM(AN1009:AT1009)</f>
        <v>0</v>
      </c>
      <c r="AN1009" s="52"/>
      <c r="AO1009" s="52"/>
      <c r="AP1009" s="52"/>
      <c r="AQ1009" s="52"/>
      <c r="AR1009" s="52"/>
      <c r="AS1009" s="52"/>
      <c r="AT1009" s="52"/>
      <c r="AU1009" s="54">
        <f>MAX(0,$AM1009-$AC1009-$AW1009)</f>
        <v>0</v>
      </c>
      <c r="AV1009" s="54"/>
      <c r="AW1009" s="54"/>
      <c r="AX1009" s="65">
        <v>0</v>
      </c>
      <c r="AY1009" s="57">
        <f>IF(AND($AU1009&gt;0,ISNUMBER($AX1009)),$AU1009*$AX1009,0)</f>
        <v>0</v>
      </c>
      <c r="AZ1009" s="46"/>
      <c r="BA1009" s="52"/>
      <c r="BB1009" s="52"/>
      <c r="BC1009" s="52"/>
      <c r="BD1009" s="52"/>
      <c r="BE1009" s="52"/>
      <c r="BF1009" s="52"/>
    </row>
    <row r="1010" spans="1:58" ht="15" customHeight="1">
      <c r="A1010" s="46" t="s">
        <v>5563</v>
      </c>
      <c r="B1010" s="50" t="s">
        <v>5564</v>
      </c>
      <c r="C1010" s="54" t="s">
        <v>118</v>
      </c>
      <c r="D1010" s="74">
        <v>1</v>
      </c>
      <c r="E1010" s="50" t="s">
        <v>189</v>
      </c>
      <c r="F1010" s="50"/>
      <c r="G1010" s="50"/>
      <c r="H1010" s="51"/>
      <c r="I1010" s="50" t="s">
        <v>5565</v>
      </c>
      <c r="J1010" s="54" t="s">
        <v>73</v>
      </c>
      <c r="K1010" s="56" t="s">
        <v>254</v>
      </c>
      <c r="L1010" s="56" t="s">
        <v>5566</v>
      </c>
      <c r="M1010" s="56" t="s">
        <v>5567</v>
      </c>
      <c r="N1010" s="56"/>
      <c r="O1010" s="54"/>
      <c r="P1010" s="56" t="s">
        <v>76</v>
      </c>
      <c r="Q1010" s="56" t="s">
        <v>2757</v>
      </c>
      <c r="R1010" s="50" t="s">
        <v>5568</v>
      </c>
      <c r="S1010" s="50">
        <v>1</v>
      </c>
      <c r="T1010" s="50">
        <v>0</v>
      </c>
      <c r="U1010" s="50" t="s">
        <v>5569</v>
      </c>
      <c r="V1010" s="57">
        <v>0.32</v>
      </c>
      <c r="W1010" s="50"/>
      <c r="X1010" s="50"/>
      <c r="Y1010" s="50"/>
      <c r="Z1010" s="50"/>
      <c r="AA1010" s="50"/>
      <c r="AB1010" s="57"/>
      <c r="AC1010" s="54">
        <v>1</v>
      </c>
      <c r="AD1010" s="54">
        <f>SUM(AE1010:AK1010)</f>
        <v>0</v>
      </c>
      <c r="AE1010" s="66"/>
      <c r="AF1010" s="66"/>
      <c r="AG1010" s="66"/>
      <c r="AH1010" s="66"/>
      <c r="AI1010" s="66"/>
      <c r="AJ1010" s="66"/>
      <c r="AK1010" s="66"/>
      <c r="AL1010" s="54">
        <f>IF((AC1010-SUM(AE1010:AK1010))&lt;0,0,AC1010-SUM(AE1010:AK1010))</f>
        <v>1</v>
      </c>
      <c r="AM1010" s="54">
        <f>SUM(AN1010:AT1010)</f>
        <v>0</v>
      </c>
      <c r="AN1010" s="52"/>
      <c r="AO1010" s="52"/>
      <c r="AP1010" s="52"/>
      <c r="AQ1010" s="52"/>
      <c r="AR1010" s="52"/>
      <c r="AS1010" s="52"/>
      <c r="AT1010" s="52"/>
      <c r="AU1010" s="54">
        <f>MAX(0,$AM1010-$AC1010-$AW1010)</f>
        <v>0</v>
      </c>
      <c r="AV1010" s="54"/>
      <c r="AW1010" s="54"/>
      <c r="AX1010" s="65">
        <v>0</v>
      </c>
      <c r="AY1010" s="57">
        <f>IF(AND($AU1010&gt;0,ISNUMBER($AX1010)),$AU1010*$AX1010,0)</f>
        <v>0</v>
      </c>
      <c r="AZ1010" s="46"/>
      <c r="BA1010" s="52"/>
      <c r="BB1010" s="52"/>
      <c r="BC1010" s="52"/>
      <c r="BD1010" s="52"/>
      <c r="BE1010" s="52"/>
      <c r="BF1010" s="52"/>
    </row>
    <row r="1011" spans="1:58" ht="15" customHeight="1">
      <c r="A1011" s="46" t="s">
        <v>5570</v>
      </c>
      <c r="B1011" s="50" t="s">
        <v>5571</v>
      </c>
      <c r="C1011" s="54" t="s">
        <v>80</v>
      </c>
      <c r="D1011" s="74">
        <v>3</v>
      </c>
      <c r="E1011" s="50" t="s">
        <v>81</v>
      </c>
      <c r="F1011" s="50">
        <v>0</v>
      </c>
      <c r="G1011" s="50">
        <v>5</v>
      </c>
      <c r="H1011" s="51" t="s">
        <v>1977</v>
      </c>
      <c r="I1011" s="50" t="s">
        <v>5572</v>
      </c>
      <c r="J1011" s="54" t="s">
        <v>73</v>
      </c>
      <c r="K1011" s="56" t="s">
        <v>2664</v>
      </c>
      <c r="L1011" s="56" t="s">
        <v>5573</v>
      </c>
      <c r="M1011" s="56" t="s">
        <v>136</v>
      </c>
      <c r="N1011" s="56" t="s">
        <v>594</v>
      </c>
      <c r="O1011" s="54"/>
      <c r="P1011" s="56" t="s">
        <v>76</v>
      </c>
      <c r="Q1011" s="56" t="s">
        <v>5574</v>
      </c>
      <c r="R1011" s="50"/>
      <c r="S1011" s="50"/>
      <c r="T1011" s="50"/>
      <c r="U1011" s="50"/>
      <c r="V1011" s="57">
        <v>0.22</v>
      </c>
      <c r="W1011" s="50"/>
      <c r="X1011" s="50"/>
      <c r="Y1011" s="50"/>
      <c r="Z1011" s="50"/>
      <c r="AA1011" s="50"/>
      <c r="AB1011" s="57"/>
      <c r="AC1011" s="54">
        <v>1</v>
      </c>
      <c r="AD1011" s="54">
        <f>SUM(AE1011:AK1011)</f>
        <v>0</v>
      </c>
      <c r="AE1011" s="66"/>
      <c r="AF1011" s="66"/>
      <c r="AG1011" s="66"/>
      <c r="AH1011" s="66"/>
      <c r="AI1011" s="66"/>
      <c r="AJ1011" s="66"/>
      <c r="AK1011" s="66"/>
      <c r="AL1011" s="54">
        <f>IF((AC1011-SUM(AE1011:AK1011))&lt;0,0,AC1011-SUM(AE1011:AK1011))</f>
        <v>1</v>
      </c>
      <c r="AM1011" s="54">
        <f>SUM(AN1011:AT1011)</f>
        <v>0</v>
      </c>
      <c r="AN1011" s="52"/>
      <c r="AO1011" s="52"/>
      <c r="AP1011" s="52"/>
      <c r="AQ1011" s="52"/>
      <c r="AR1011" s="52"/>
      <c r="AS1011" s="52"/>
      <c r="AT1011" s="52"/>
      <c r="AU1011" s="54">
        <f>MAX(0,$AM1011-$AC1011-$AW1011)</f>
        <v>0</v>
      </c>
      <c r="AV1011" s="54"/>
      <c r="AW1011" s="54"/>
      <c r="AX1011" s="65">
        <v>0</v>
      </c>
      <c r="AY1011" s="57">
        <f>IF(AND($AU1011&gt;0,ISNUMBER($AX1011)),$AU1011*$AX1011,0)</f>
        <v>0</v>
      </c>
      <c r="AZ1011" s="46"/>
      <c r="BA1011" s="52"/>
      <c r="BB1011" s="52"/>
      <c r="BC1011" s="52"/>
      <c r="BD1011" s="52"/>
      <c r="BE1011" s="52"/>
      <c r="BF1011" s="52"/>
    </row>
    <row r="1012" spans="1:58" ht="15" customHeight="1">
      <c r="A1012" s="46" t="s">
        <v>5575</v>
      </c>
      <c r="B1012" s="50" t="s">
        <v>5576</v>
      </c>
      <c r="C1012" s="54" t="s">
        <v>80</v>
      </c>
      <c r="D1012" s="74">
        <v>2</v>
      </c>
      <c r="E1012" s="50" t="s">
        <v>189</v>
      </c>
      <c r="F1012" s="50"/>
      <c r="G1012" s="50"/>
      <c r="H1012" s="51"/>
      <c r="I1012" s="50" t="s">
        <v>5509</v>
      </c>
      <c r="J1012" s="54" t="s">
        <v>73</v>
      </c>
      <c r="K1012" s="56" t="s">
        <v>98</v>
      </c>
      <c r="L1012" s="56" t="s">
        <v>5510</v>
      </c>
      <c r="M1012" s="56"/>
      <c r="N1012" s="56"/>
      <c r="O1012" s="54"/>
      <c r="P1012" s="56" t="s">
        <v>76</v>
      </c>
      <c r="Q1012" s="56" t="s">
        <v>5577</v>
      </c>
      <c r="R1012" s="50"/>
      <c r="S1012" s="50"/>
      <c r="T1012" s="50"/>
      <c r="U1012" s="50"/>
      <c r="V1012" s="57">
        <v>0.6</v>
      </c>
      <c r="W1012" s="50"/>
      <c r="X1012" s="50"/>
      <c r="Y1012" s="50"/>
      <c r="Z1012" s="50"/>
      <c r="AA1012" s="50"/>
      <c r="AB1012" s="57"/>
      <c r="AC1012" s="54">
        <v>1</v>
      </c>
      <c r="AD1012" s="54">
        <f>SUM(AE1012:AK1012)</f>
        <v>0</v>
      </c>
      <c r="AE1012" s="66"/>
      <c r="AF1012" s="66"/>
      <c r="AG1012" s="66"/>
      <c r="AH1012" s="66"/>
      <c r="AI1012" s="66"/>
      <c r="AJ1012" s="66"/>
      <c r="AK1012" s="66"/>
      <c r="AL1012" s="54">
        <f>IF((AC1012-SUM(AE1012:AK1012))&lt;0,0,AC1012-SUM(AE1012:AK1012))</f>
        <v>1</v>
      </c>
      <c r="AM1012" s="54">
        <f>SUM(AN1012:AT1012)</f>
        <v>0</v>
      </c>
      <c r="AN1012" s="52"/>
      <c r="AO1012" s="52"/>
      <c r="AP1012" s="52"/>
      <c r="AQ1012" s="52"/>
      <c r="AR1012" s="52"/>
      <c r="AS1012" s="52"/>
      <c r="AT1012" s="52"/>
      <c r="AU1012" s="54">
        <f>MAX(0,$AM1012-$AC1012-$AW1012)</f>
        <v>0</v>
      </c>
      <c r="AV1012" s="54"/>
      <c r="AW1012" s="54"/>
      <c r="AX1012" s="65">
        <v>0</v>
      </c>
      <c r="AY1012" s="57">
        <f>IF(AND($AU1012&gt;0,ISNUMBER($AX1012)),$AU1012*$AX1012,0)</f>
        <v>0</v>
      </c>
      <c r="AZ1012" s="46"/>
      <c r="BA1012" s="52"/>
      <c r="BB1012" s="52"/>
      <c r="BC1012" s="52"/>
      <c r="BD1012" s="52"/>
      <c r="BE1012" s="52"/>
      <c r="BF1012" s="52"/>
    </row>
    <row r="1013" spans="1:58" ht="15" customHeight="1">
      <c r="A1013" s="46" t="s">
        <v>5578</v>
      </c>
      <c r="B1013" s="50" t="s">
        <v>5579</v>
      </c>
      <c r="C1013" s="54" t="s">
        <v>80</v>
      </c>
      <c r="D1013" s="74">
        <v>2</v>
      </c>
      <c r="E1013" s="50" t="s">
        <v>189</v>
      </c>
      <c r="F1013" s="50"/>
      <c r="G1013" s="50"/>
      <c r="H1013" s="51"/>
      <c r="I1013" s="50" t="s">
        <v>5580</v>
      </c>
      <c r="J1013" s="54" t="s">
        <v>73</v>
      </c>
      <c r="K1013" s="56" t="s">
        <v>135</v>
      </c>
      <c r="L1013" s="56" t="s">
        <v>5581</v>
      </c>
      <c r="M1013" s="56"/>
      <c r="N1013" s="56"/>
      <c r="O1013" s="54"/>
      <c r="P1013" s="56" t="s">
        <v>185</v>
      </c>
      <c r="Q1013" s="56" t="s">
        <v>93</v>
      </c>
      <c r="R1013" s="50"/>
      <c r="S1013" s="50"/>
      <c r="T1013" s="50"/>
      <c r="U1013" s="50"/>
      <c r="V1013" s="57">
        <v>0.28999999999999998</v>
      </c>
      <c r="W1013" s="50"/>
      <c r="X1013" s="50"/>
      <c r="Y1013" s="50"/>
      <c r="Z1013" s="50"/>
      <c r="AA1013" s="50"/>
      <c r="AB1013" s="57"/>
      <c r="AC1013" s="54">
        <v>1</v>
      </c>
      <c r="AD1013" s="54">
        <f>SUM(AE1013:AK1013)</f>
        <v>0</v>
      </c>
      <c r="AE1013" s="66"/>
      <c r="AF1013" s="66"/>
      <c r="AG1013" s="66"/>
      <c r="AH1013" s="66"/>
      <c r="AI1013" s="66"/>
      <c r="AJ1013" s="66"/>
      <c r="AK1013" s="66"/>
      <c r="AL1013" s="54">
        <f>IF((AC1013-SUM(AE1013:AK1013))&lt;0,0,AC1013-SUM(AE1013:AK1013))</f>
        <v>1</v>
      </c>
      <c r="AM1013" s="54">
        <f>SUM(AN1013:AT1013)</f>
        <v>0</v>
      </c>
      <c r="AN1013" s="52"/>
      <c r="AO1013" s="52"/>
      <c r="AP1013" s="52"/>
      <c r="AQ1013" s="52"/>
      <c r="AR1013" s="52"/>
      <c r="AS1013" s="52"/>
      <c r="AT1013" s="52"/>
      <c r="AU1013" s="54">
        <f>MAX(0,$AM1013-$AC1013-$AW1013)</f>
        <v>0</v>
      </c>
      <c r="AV1013" s="54"/>
      <c r="AW1013" s="54"/>
      <c r="AX1013" s="65">
        <v>0</v>
      </c>
      <c r="AY1013" s="57">
        <f>IF(AND($AU1013&gt;0,ISNUMBER($AX1013)),$AU1013*$AX1013,0)</f>
        <v>0</v>
      </c>
      <c r="AZ1013" s="46"/>
      <c r="BA1013" s="52"/>
      <c r="BB1013" s="52"/>
      <c r="BC1013" s="52"/>
      <c r="BD1013" s="52"/>
      <c r="BE1013" s="52"/>
      <c r="BF1013" s="52"/>
    </row>
    <row r="1014" spans="1:58" ht="15" customHeight="1">
      <c r="A1014" s="46" t="s">
        <v>5582</v>
      </c>
      <c r="B1014" s="50" t="s">
        <v>5583</v>
      </c>
      <c r="C1014" s="54" t="s">
        <v>101</v>
      </c>
      <c r="D1014" s="74">
        <v>5</v>
      </c>
      <c r="E1014" s="50" t="s">
        <v>71</v>
      </c>
      <c r="F1014" s="50"/>
      <c r="G1014" s="50"/>
      <c r="H1014" s="51"/>
      <c r="I1014" s="50" t="s">
        <v>5584</v>
      </c>
      <c r="J1014" s="54" t="s">
        <v>73</v>
      </c>
      <c r="K1014" s="56" t="s">
        <v>92</v>
      </c>
      <c r="L1014" s="56" t="s">
        <v>5585</v>
      </c>
      <c r="M1014" s="56" t="s">
        <v>5586</v>
      </c>
      <c r="N1014" s="56"/>
      <c r="O1014" s="54"/>
      <c r="P1014" s="56" t="s">
        <v>86</v>
      </c>
      <c r="Q1014" s="56" t="s">
        <v>208</v>
      </c>
      <c r="R1014" s="50"/>
      <c r="S1014" s="50"/>
      <c r="T1014" s="50"/>
      <c r="U1014" s="50"/>
      <c r="V1014" s="57">
        <v>1.51</v>
      </c>
      <c r="W1014" s="50"/>
      <c r="X1014" s="50"/>
      <c r="Y1014" s="50"/>
      <c r="Z1014" s="50"/>
      <c r="AA1014" s="50"/>
      <c r="AB1014" s="57"/>
      <c r="AC1014" s="54">
        <v>1</v>
      </c>
      <c r="AD1014" s="54">
        <f>SUM(AE1014:AK1014)</f>
        <v>0</v>
      </c>
      <c r="AE1014" s="66"/>
      <c r="AF1014" s="66"/>
      <c r="AG1014" s="66"/>
      <c r="AH1014" s="66"/>
      <c r="AI1014" s="66"/>
      <c r="AJ1014" s="66"/>
      <c r="AK1014" s="66"/>
      <c r="AL1014" s="54">
        <f>IF((AC1014-SUM(AE1014:AK1014))&lt;0,0,AC1014-SUM(AE1014:AK1014))</f>
        <v>1</v>
      </c>
      <c r="AM1014" s="54">
        <f>SUM(AN1014:AT1014)</f>
        <v>0</v>
      </c>
      <c r="AN1014" s="52"/>
      <c r="AO1014" s="52"/>
      <c r="AP1014" s="52"/>
      <c r="AQ1014" s="52"/>
      <c r="AR1014" s="52"/>
      <c r="AS1014" s="52"/>
      <c r="AT1014" s="52"/>
      <c r="AU1014" s="54">
        <f>MAX(0,$AM1014-$AC1014-$AW1014)</f>
        <v>0</v>
      </c>
      <c r="AV1014" s="54"/>
      <c r="AW1014" s="54"/>
      <c r="AX1014" s="65">
        <v>0</v>
      </c>
      <c r="AY1014" s="57">
        <f>IF(AND($AU1014&gt;0,ISNUMBER($AX1014)),$AU1014*$AX1014,0)</f>
        <v>0</v>
      </c>
      <c r="AZ1014" s="46"/>
      <c r="BA1014" s="52"/>
      <c r="BB1014" s="52"/>
      <c r="BC1014" s="52"/>
      <c r="BD1014" s="52"/>
      <c r="BE1014" s="52"/>
      <c r="BF1014" s="52"/>
    </row>
    <row r="1015" spans="1:58" ht="15" customHeight="1">
      <c r="A1015" s="46" t="s">
        <v>5587</v>
      </c>
      <c r="B1015" s="50" t="s">
        <v>5588</v>
      </c>
      <c r="C1015" s="54" t="s">
        <v>101</v>
      </c>
      <c r="D1015" s="74">
        <v>4</v>
      </c>
      <c r="E1015" s="50" t="s">
        <v>81</v>
      </c>
      <c r="F1015" s="50">
        <v>0</v>
      </c>
      <c r="G1015" s="50">
        <v>3</v>
      </c>
      <c r="H1015" s="51" t="s">
        <v>1019</v>
      </c>
      <c r="I1015" s="50" t="s">
        <v>5589</v>
      </c>
      <c r="J1015" s="54" t="s">
        <v>73</v>
      </c>
      <c r="K1015" s="56" t="s">
        <v>661</v>
      </c>
      <c r="L1015" s="56" t="s">
        <v>5590</v>
      </c>
      <c r="M1015" s="56" t="s">
        <v>5591</v>
      </c>
      <c r="N1015" s="56"/>
      <c r="O1015" s="54"/>
      <c r="P1015" s="56" t="s">
        <v>86</v>
      </c>
      <c r="Q1015" s="56" t="s">
        <v>3028</v>
      </c>
      <c r="R1015" s="50"/>
      <c r="S1015" s="50"/>
      <c r="T1015" s="50"/>
      <c r="U1015" s="50"/>
      <c r="V1015" s="57">
        <v>0.37</v>
      </c>
      <c r="W1015" s="68"/>
      <c r="X1015" s="50"/>
      <c r="Y1015" s="50"/>
      <c r="Z1015" s="50"/>
      <c r="AA1015" s="50"/>
      <c r="AB1015" s="57"/>
      <c r="AC1015" s="54">
        <v>0</v>
      </c>
      <c r="AD1015" s="54">
        <f>SUM(AE1015:AK1015)</f>
        <v>0</v>
      </c>
      <c r="AE1015" s="66"/>
      <c r="AF1015" s="66"/>
      <c r="AG1015" s="66"/>
      <c r="AH1015" s="66"/>
      <c r="AI1015" s="66"/>
      <c r="AJ1015" s="66"/>
      <c r="AK1015" s="66"/>
      <c r="AL1015" s="54">
        <f>IF((AC1015-SUM(AE1015:AK1015))&lt;0,0,AC1015-SUM(AE1015:AK1015))</f>
        <v>0</v>
      </c>
      <c r="AM1015" s="54">
        <f>SUM(AN1015:AT1015)</f>
        <v>0</v>
      </c>
      <c r="AN1015" s="54"/>
      <c r="AO1015" s="54"/>
      <c r="AP1015" s="54"/>
      <c r="AQ1015" s="54"/>
      <c r="AR1015" s="54"/>
      <c r="AS1015" s="54"/>
      <c r="AT1015" s="54"/>
      <c r="AU1015" s="54">
        <f>MAX(0,$AM1015-$AC1015-$AW1015)</f>
        <v>0</v>
      </c>
      <c r="AV1015" s="54"/>
      <c r="AW1015" s="54"/>
      <c r="AX1015" s="65">
        <v>0</v>
      </c>
      <c r="AY1015" s="57">
        <f>IF(AND($AU1015&gt;0,ISNUMBER($AX1015)),$AU1015*$AX1015,0)</f>
        <v>0</v>
      </c>
      <c r="AZ1015" s="72"/>
      <c r="BA1015" s="73"/>
      <c r="BB1015" s="73"/>
      <c r="BC1015" s="73"/>
      <c r="BD1015" s="73"/>
      <c r="BE1015" s="73"/>
      <c r="BF1015" s="73"/>
    </row>
    <row r="1016" spans="1:58" ht="15" customHeight="1">
      <c r="A1016" s="46" t="s">
        <v>5592</v>
      </c>
      <c r="B1016" s="50" t="s">
        <v>5593</v>
      </c>
      <c r="C1016" s="54" t="s">
        <v>118</v>
      </c>
      <c r="D1016" s="74">
        <v>4</v>
      </c>
      <c r="E1016" s="50" t="s">
        <v>81</v>
      </c>
      <c r="F1016" s="50">
        <v>1</v>
      </c>
      <c r="G1016" s="50">
        <v>6</v>
      </c>
      <c r="H1016" s="51" t="s">
        <v>5594</v>
      </c>
      <c r="I1016" s="50" t="s">
        <v>5595</v>
      </c>
      <c r="J1016" s="54" t="s">
        <v>73</v>
      </c>
      <c r="K1016" s="56" t="s">
        <v>121</v>
      </c>
      <c r="L1016" s="56" t="s">
        <v>5596</v>
      </c>
      <c r="M1016" s="56" t="s">
        <v>4228</v>
      </c>
      <c r="N1016" s="56"/>
      <c r="O1016" s="54"/>
      <c r="P1016" s="56" t="s">
        <v>86</v>
      </c>
      <c r="Q1016" s="56" t="s">
        <v>1035</v>
      </c>
      <c r="R1016" s="50"/>
      <c r="S1016" s="50"/>
      <c r="T1016" s="50"/>
      <c r="U1016" s="50"/>
      <c r="V1016" s="57">
        <v>0.35</v>
      </c>
      <c r="W1016" s="68"/>
      <c r="X1016" s="50"/>
      <c r="Y1016" s="50"/>
      <c r="Z1016" s="50"/>
      <c r="AA1016" s="50"/>
      <c r="AB1016" s="57"/>
      <c r="AC1016" s="54">
        <v>0</v>
      </c>
      <c r="AD1016" s="54">
        <f>SUM(AE1016:AK1016)</f>
        <v>0</v>
      </c>
      <c r="AE1016" s="66"/>
      <c r="AF1016" s="66"/>
      <c r="AG1016" s="66"/>
      <c r="AH1016" s="66"/>
      <c r="AI1016" s="66"/>
      <c r="AJ1016" s="66"/>
      <c r="AK1016" s="66"/>
      <c r="AL1016" s="54">
        <f>IF((AC1016-SUM(AE1016:AK1016))&lt;0,0,AC1016-SUM(AE1016:AK1016))</f>
        <v>0</v>
      </c>
      <c r="AM1016" s="54">
        <f>SUM(AN1016:AT1016)</f>
        <v>0</v>
      </c>
      <c r="AN1016" s="54"/>
      <c r="AO1016" s="54"/>
      <c r="AP1016" s="54"/>
      <c r="AQ1016" s="54"/>
      <c r="AR1016" s="54"/>
      <c r="AS1016" s="54"/>
      <c r="AT1016" s="54"/>
      <c r="AU1016" s="54">
        <f>MAX(0,$AM1016-$AC1016-$AW1016)</f>
        <v>0</v>
      </c>
      <c r="AV1016" s="54"/>
      <c r="AW1016" s="54"/>
      <c r="AX1016" s="65">
        <v>0</v>
      </c>
      <c r="AY1016" s="57">
        <f>IF(AND($AU1016&gt;0,ISNUMBER($AX1016)),$AU1016*$AX1016,0)</f>
        <v>0</v>
      </c>
      <c r="AZ1016" s="72"/>
      <c r="BA1016" s="73"/>
      <c r="BB1016" s="73"/>
      <c r="BC1016" s="73"/>
      <c r="BD1016" s="73"/>
      <c r="BE1016" s="73"/>
      <c r="BF1016" s="73"/>
    </row>
    <row r="1017" spans="1:58" ht="15" customHeight="1">
      <c r="A1017" s="46" t="s">
        <v>5597</v>
      </c>
      <c r="B1017" s="50" t="s">
        <v>5598</v>
      </c>
      <c r="C1017" s="54" t="s">
        <v>101</v>
      </c>
      <c r="D1017" s="74">
        <v>4</v>
      </c>
      <c r="E1017" s="50" t="s">
        <v>81</v>
      </c>
      <c r="F1017" s="50">
        <v>3</v>
      </c>
      <c r="G1017" s="50">
        <v>4</v>
      </c>
      <c r="H1017" s="51" t="s">
        <v>5599</v>
      </c>
      <c r="I1017" s="50" t="s">
        <v>5600</v>
      </c>
      <c r="J1017" s="54" t="s">
        <v>73</v>
      </c>
      <c r="K1017" s="56" t="s">
        <v>129</v>
      </c>
      <c r="L1017" s="56" t="s">
        <v>5601</v>
      </c>
      <c r="M1017" s="56" t="s">
        <v>5602</v>
      </c>
      <c r="N1017" s="56"/>
      <c r="O1017" s="54"/>
      <c r="P1017" s="56" t="s">
        <v>86</v>
      </c>
      <c r="Q1017" s="56" t="s">
        <v>131</v>
      </c>
      <c r="R1017" s="50"/>
      <c r="S1017" s="50"/>
      <c r="T1017" s="50"/>
      <c r="U1017" s="50"/>
      <c r="V1017" s="57">
        <v>0.32</v>
      </c>
      <c r="W1017" s="68"/>
      <c r="X1017" s="50"/>
      <c r="Y1017" s="50"/>
      <c r="Z1017" s="50"/>
      <c r="AA1017" s="50"/>
      <c r="AB1017" s="57"/>
      <c r="AC1017" s="54">
        <v>0</v>
      </c>
      <c r="AD1017" s="54">
        <f>SUM(AE1017:AK1017)</f>
        <v>0</v>
      </c>
      <c r="AE1017" s="66"/>
      <c r="AF1017" s="66"/>
      <c r="AG1017" s="66"/>
      <c r="AH1017" s="66"/>
      <c r="AI1017" s="66"/>
      <c r="AJ1017" s="66"/>
      <c r="AK1017" s="66"/>
      <c r="AL1017" s="54">
        <f>IF((AC1017-SUM(AE1017:AK1017))&lt;0,0,AC1017-SUM(AE1017:AK1017))</f>
        <v>0</v>
      </c>
      <c r="AM1017" s="54">
        <f>SUM(AN1017:AT1017)</f>
        <v>0</v>
      </c>
      <c r="AN1017" s="54"/>
      <c r="AO1017" s="54"/>
      <c r="AP1017" s="54"/>
      <c r="AQ1017" s="54"/>
      <c r="AR1017" s="54"/>
      <c r="AS1017" s="54"/>
      <c r="AT1017" s="54"/>
      <c r="AU1017" s="54">
        <f>MAX(0,$AM1017-$AC1017-$AW1017)</f>
        <v>0</v>
      </c>
      <c r="AV1017" s="54"/>
      <c r="AW1017" s="54"/>
      <c r="AX1017" s="65">
        <v>0</v>
      </c>
      <c r="AY1017" s="57">
        <f>IF(AND($AU1017&gt;0,ISNUMBER($AX1017)),$AU1017*$AX1017,0)</f>
        <v>0</v>
      </c>
      <c r="AZ1017" s="72"/>
      <c r="BA1017" s="73"/>
      <c r="BB1017" s="73"/>
      <c r="BC1017" s="73"/>
      <c r="BD1017" s="73"/>
      <c r="BE1017" s="73"/>
      <c r="BF1017" s="73"/>
    </row>
    <row r="1018" spans="1:58" ht="15" customHeight="1">
      <c r="A1018" s="46" t="s">
        <v>5603</v>
      </c>
      <c r="B1018" s="50" t="s">
        <v>5604</v>
      </c>
      <c r="C1018" s="54" t="s">
        <v>118</v>
      </c>
      <c r="D1018" s="74">
        <v>4</v>
      </c>
      <c r="E1018" s="50" t="s">
        <v>81</v>
      </c>
      <c r="F1018" s="50">
        <v>3</v>
      </c>
      <c r="G1018" s="50">
        <v>3</v>
      </c>
      <c r="H1018" s="51" t="s">
        <v>127</v>
      </c>
      <c r="I1018" s="50" t="s">
        <v>5605</v>
      </c>
      <c r="J1018" s="54" t="s">
        <v>73</v>
      </c>
      <c r="K1018" s="56" t="s">
        <v>661</v>
      </c>
      <c r="L1018" s="56" t="s">
        <v>5606</v>
      </c>
      <c r="M1018" s="56"/>
      <c r="N1018" s="56"/>
      <c r="O1018" s="54"/>
      <c r="P1018" s="56" t="s">
        <v>86</v>
      </c>
      <c r="Q1018" s="56" t="s">
        <v>1908</v>
      </c>
      <c r="R1018" s="50"/>
      <c r="S1018" s="50"/>
      <c r="T1018" s="50"/>
      <c r="U1018" s="50"/>
      <c r="V1018" s="57">
        <v>0.3</v>
      </c>
      <c r="W1018" s="68"/>
      <c r="X1018" s="50"/>
      <c r="Y1018" s="50"/>
      <c r="Z1018" s="50"/>
      <c r="AA1018" s="50"/>
      <c r="AB1018" s="57"/>
      <c r="AC1018" s="54">
        <v>0</v>
      </c>
      <c r="AD1018" s="54">
        <f>SUM(AE1018:AK1018)</f>
        <v>0</v>
      </c>
      <c r="AE1018" s="66"/>
      <c r="AF1018" s="66"/>
      <c r="AG1018" s="66"/>
      <c r="AH1018" s="66"/>
      <c r="AI1018" s="66"/>
      <c r="AJ1018" s="66"/>
      <c r="AK1018" s="66"/>
      <c r="AL1018" s="54">
        <f>IF((AC1018-SUM(AE1018:AK1018))&lt;0,0,AC1018-SUM(AE1018:AK1018))</f>
        <v>0</v>
      </c>
      <c r="AM1018" s="54">
        <f>SUM(AN1018:AT1018)</f>
        <v>0</v>
      </c>
      <c r="AN1018" s="54"/>
      <c r="AO1018" s="54"/>
      <c r="AP1018" s="54"/>
      <c r="AQ1018" s="54"/>
      <c r="AR1018" s="54"/>
      <c r="AS1018" s="54"/>
      <c r="AT1018" s="54"/>
      <c r="AU1018" s="54">
        <f>MAX(0,$AM1018-$AC1018-$AW1018)</f>
        <v>0</v>
      </c>
      <c r="AV1018" s="54"/>
      <c r="AW1018" s="54"/>
      <c r="AX1018" s="65">
        <v>0</v>
      </c>
      <c r="AY1018" s="57">
        <f>IF(AND($AU1018&gt;0,ISNUMBER($AX1018)),$AU1018*$AX1018,0)</f>
        <v>0</v>
      </c>
      <c r="AZ1018" s="72"/>
      <c r="BA1018" s="73"/>
      <c r="BB1018" s="73"/>
      <c r="BC1018" s="73"/>
      <c r="BD1018" s="73"/>
      <c r="BE1018" s="73"/>
      <c r="BF1018" s="73"/>
    </row>
    <row r="1019" spans="1:58" ht="15" customHeight="1">
      <c r="A1019" s="46" t="s">
        <v>5607</v>
      </c>
      <c r="B1019" s="50" t="s">
        <v>5608</v>
      </c>
      <c r="C1019" s="54" t="s">
        <v>311</v>
      </c>
      <c r="D1019" s="74">
        <v>0</v>
      </c>
      <c r="E1019" s="50" t="s">
        <v>312</v>
      </c>
      <c r="F1019" s="50"/>
      <c r="G1019" s="50"/>
      <c r="H1019" s="51"/>
      <c r="I1019" s="50" t="s">
        <v>5609</v>
      </c>
      <c r="J1019" s="54" t="s">
        <v>73</v>
      </c>
      <c r="K1019" s="56" t="s">
        <v>1752</v>
      </c>
      <c r="L1019" s="56" t="s">
        <v>740</v>
      </c>
      <c r="M1019" s="56" t="s">
        <v>5610</v>
      </c>
      <c r="N1019" s="56"/>
      <c r="O1019" s="54"/>
      <c r="P1019" s="56" t="s">
        <v>185</v>
      </c>
      <c r="Q1019" s="56" t="s">
        <v>392</v>
      </c>
      <c r="R1019" s="50"/>
      <c r="S1019" s="50"/>
      <c r="T1019" s="50"/>
      <c r="U1019" s="50"/>
      <c r="V1019" s="57">
        <v>0.3</v>
      </c>
      <c r="W1019" s="68"/>
      <c r="X1019" s="50"/>
      <c r="Y1019" s="50"/>
      <c r="Z1019" s="50"/>
      <c r="AA1019" s="50"/>
      <c r="AB1019" s="57"/>
      <c r="AC1019" s="54">
        <v>0</v>
      </c>
      <c r="AD1019" s="54">
        <f>SUM(AE1019:AK1019)</f>
        <v>0</v>
      </c>
      <c r="AE1019" s="66"/>
      <c r="AF1019" s="66"/>
      <c r="AG1019" s="66"/>
      <c r="AH1019" s="66"/>
      <c r="AI1019" s="66"/>
      <c r="AJ1019" s="66"/>
      <c r="AK1019" s="66"/>
      <c r="AL1019" s="54">
        <f>IF((AC1019-SUM(AE1019:AK1019))&lt;0,0,AC1019-SUM(AE1019:AK1019))</f>
        <v>0</v>
      </c>
      <c r="AM1019" s="54">
        <f>SUM(AN1019:AT1019)</f>
        <v>0</v>
      </c>
      <c r="AN1019" s="54"/>
      <c r="AO1019" s="54"/>
      <c r="AP1019" s="54"/>
      <c r="AQ1019" s="54"/>
      <c r="AR1019" s="54"/>
      <c r="AS1019" s="54"/>
      <c r="AT1019" s="54"/>
      <c r="AU1019" s="54">
        <f>MAX(0,$AM1019-$AC1019-$AW1019)</f>
        <v>0</v>
      </c>
      <c r="AV1019" s="54"/>
      <c r="AW1019" s="54"/>
      <c r="AX1019" s="65">
        <v>0</v>
      </c>
      <c r="AY1019" s="57">
        <f>IF(AND($AU1019&gt;0,ISNUMBER($AX1019)),$AU1019*$AX1019,0)</f>
        <v>0</v>
      </c>
      <c r="AZ1019" s="72"/>
      <c r="BA1019" s="73"/>
      <c r="BB1019" s="73"/>
      <c r="BC1019" s="73"/>
      <c r="BD1019" s="73"/>
      <c r="BE1019" s="73"/>
      <c r="BF1019" s="73"/>
    </row>
    <row r="1020" spans="1:58" ht="15" customHeight="1">
      <c r="A1020" s="46" t="s">
        <v>5611</v>
      </c>
      <c r="B1020" s="50" t="s">
        <v>5612</v>
      </c>
      <c r="C1020" s="54" t="s">
        <v>311</v>
      </c>
      <c r="D1020" s="74">
        <v>0</v>
      </c>
      <c r="E1020" s="50" t="s">
        <v>312</v>
      </c>
      <c r="F1020" s="50"/>
      <c r="G1020" s="50"/>
      <c r="H1020" s="51" t="s">
        <v>313</v>
      </c>
      <c r="I1020" s="50" t="s">
        <v>5613</v>
      </c>
      <c r="J1020" s="54" t="s">
        <v>73</v>
      </c>
      <c r="K1020" s="56" t="s">
        <v>312</v>
      </c>
      <c r="L1020" s="56" t="s">
        <v>1014</v>
      </c>
      <c r="M1020" s="56" t="s">
        <v>747</v>
      </c>
      <c r="N1020" s="56"/>
      <c r="O1020" s="54"/>
      <c r="P1020" s="56" t="s">
        <v>76</v>
      </c>
      <c r="Q1020" s="56" t="s">
        <v>528</v>
      </c>
      <c r="R1020" s="50"/>
      <c r="S1020" s="50"/>
      <c r="T1020" s="50"/>
      <c r="U1020" s="50"/>
      <c r="V1020" s="57">
        <v>0.26</v>
      </c>
      <c r="W1020" s="68"/>
      <c r="X1020" s="50"/>
      <c r="Y1020" s="50"/>
      <c r="Z1020" s="50"/>
      <c r="AA1020" s="50"/>
      <c r="AB1020" s="57"/>
      <c r="AC1020" s="54">
        <v>0</v>
      </c>
      <c r="AD1020" s="54">
        <f>SUM(AE1020:AK1020)</f>
        <v>0</v>
      </c>
      <c r="AE1020" s="66"/>
      <c r="AF1020" s="66"/>
      <c r="AG1020" s="66"/>
      <c r="AH1020" s="66"/>
      <c r="AI1020" s="66"/>
      <c r="AJ1020" s="66"/>
      <c r="AK1020" s="66"/>
      <c r="AL1020" s="54">
        <f>IF((AC1020-SUM(AE1020:AK1020))&lt;0,0,AC1020-SUM(AE1020:AK1020))</f>
        <v>0</v>
      </c>
      <c r="AM1020" s="54">
        <f>SUM(AN1020:AT1020)</f>
        <v>0</v>
      </c>
      <c r="AN1020" s="54"/>
      <c r="AO1020" s="54"/>
      <c r="AP1020" s="54"/>
      <c r="AQ1020" s="54"/>
      <c r="AR1020" s="54"/>
      <c r="AS1020" s="54"/>
      <c r="AT1020" s="54"/>
      <c r="AU1020" s="54">
        <f>MAX(0,$AM1020-$AC1020-$AW1020)</f>
        <v>0</v>
      </c>
      <c r="AV1020" s="54"/>
      <c r="AW1020" s="54"/>
      <c r="AX1020" s="65">
        <v>0</v>
      </c>
      <c r="AY1020" s="57">
        <f>IF(AND($AU1020&gt;0,ISNUMBER($AX1020)),$AU1020*$AX1020,0)</f>
        <v>0</v>
      </c>
      <c r="AZ1020" s="72"/>
      <c r="BA1020" s="73"/>
      <c r="BB1020" s="73"/>
      <c r="BC1020" s="73"/>
      <c r="BD1020" s="73"/>
      <c r="BE1020" s="73"/>
      <c r="BF1020" s="73"/>
    </row>
    <row r="1021" spans="1:58" ht="15" customHeight="1">
      <c r="A1021" s="46" t="s">
        <v>5614</v>
      </c>
      <c r="B1021" s="50" t="s">
        <v>5615</v>
      </c>
      <c r="C1021" s="54" t="s">
        <v>80</v>
      </c>
      <c r="D1021" s="74">
        <v>3</v>
      </c>
      <c r="E1021" s="50" t="s">
        <v>384</v>
      </c>
      <c r="F1021" s="50"/>
      <c r="G1021" s="50"/>
      <c r="H1021" s="51"/>
      <c r="I1021" s="50" t="s">
        <v>5616</v>
      </c>
      <c r="J1021" s="54" t="s">
        <v>196</v>
      </c>
      <c r="K1021" s="56" t="s">
        <v>92</v>
      </c>
      <c r="L1021" s="56" t="s">
        <v>5616</v>
      </c>
      <c r="M1021" s="56"/>
      <c r="N1021" s="56"/>
      <c r="O1021" s="54"/>
      <c r="P1021" s="56" t="s">
        <v>86</v>
      </c>
      <c r="Q1021" s="56" t="s">
        <v>5617</v>
      </c>
      <c r="R1021" s="50"/>
      <c r="S1021" s="50"/>
      <c r="T1021" s="50"/>
      <c r="U1021" s="50"/>
      <c r="V1021" s="57">
        <v>70.180000000000007</v>
      </c>
      <c r="W1021" s="68"/>
      <c r="X1021" s="50"/>
      <c r="Y1021" s="50"/>
      <c r="Z1021" s="50"/>
      <c r="AA1021" s="50"/>
      <c r="AB1021" s="57"/>
      <c r="AC1021" s="54">
        <v>0</v>
      </c>
      <c r="AD1021" s="54">
        <f>SUM(AE1021:AK1021)</f>
        <v>0</v>
      </c>
      <c r="AE1021" s="66"/>
      <c r="AF1021" s="66"/>
      <c r="AG1021" s="66"/>
      <c r="AH1021" s="66"/>
      <c r="AI1021" s="66"/>
      <c r="AJ1021" s="66"/>
      <c r="AK1021" s="66"/>
      <c r="AL1021" s="54">
        <f>IF((AC1021-SUM(AE1021:AK1021))&lt;0,0,AC1021-SUM(AE1021:AK1021))</f>
        <v>0</v>
      </c>
      <c r="AM1021" s="54">
        <f>SUM(AN1021:AT1021)</f>
        <v>0</v>
      </c>
      <c r="AN1021" s="54"/>
      <c r="AO1021" s="54"/>
      <c r="AP1021" s="54"/>
      <c r="AQ1021" s="54"/>
      <c r="AR1021" s="54"/>
      <c r="AS1021" s="54"/>
      <c r="AT1021" s="54"/>
      <c r="AU1021" s="54">
        <f>MAX(0,$AM1021-$AC1021-$AW1021)</f>
        <v>0</v>
      </c>
      <c r="AV1021" s="54"/>
      <c r="AW1021" s="54"/>
      <c r="AX1021" s="65">
        <v>0</v>
      </c>
      <c r="AY1021" s="57">
        <f>IF(AND($AU1021&gt;0,ISNUMBER($AX1021)),$AU1021*$AX1021,0)</f>
        <v>0</v>
      </c>
      <c r="AZ1021" s="72"/>
      <c r="BA1021" s="73"/>
      <c r="BB1021" s="73"/>
      <c r="BC1021" s="73"/>
      <c r="BD1021" s="73"/>
      <c r="BE1021" s="73"/>
      <c r="BF1021" s="73"/>
    </row>
    <row r="1022" spans="1:58" ht="15" customHeight="1">
      <c r="A1022" s="46" t="s">
        <v>5618</v>
      </c>
      <c r="B1022" s="50" t="s">
        <v>5619</v>
      </c>
      <c r="C1022" s="54" t="s">
        <v>118</v>
      </c>
      <c r="D1022" s="74">
        <v>4</v>
      </c>
      <c r="E1022" s="50" t="s">
        <v>384</v>
      </c>
      <c r="F1022" s="50"/>
      <c r="G1022" s="50"/>
      <c r="H1022" s="51"/>
      <c r="I1022" s="50" t="s">
        <v>5620</v>
      </c>
      <c r="J1022" s="54" t="s">
        <v>196</v>
      </c>
      <c r="K1022" s="56" t="s">
        <v>129</v>
      </c>
      <c r="L1022" s="56" t="s">
        <v>5620</v>
      </c>
      <c r="M1022" s="56"/>
      <c r="N1022" s="56"/>
      <c r="O1022" s="54"/>
      <c r="P1022" s="56" t="s">
        <v>86</v>
      </c>
      <c r="Q1022" s="56" t="s">
        <v>721</v>
      </c>
      <c r="R1022" s="50"/>
      <c r="S1022" s="50"/>
      <c r="T1022" s="50"/>
      <c r="U1022" s="50"/>
      <c r="V1022" s="57">
        <v>61.48</v>
      </c>
      <c r="W1022" s="68"/>
      <c r="X1022" s="50"/>
      <c r="Y1022" s="50"/>
      <c r="Z1022" s="50"/>
      <c r="AA1022" s="50"/>
      <c r="AB1022" s="57"/>
      <c r="AC1022" s="54">
        <v>0</v>
      </c>
      <c r="AD1022" s="54">
        <f>SUM(AE1022:AK1022)</f>
        <v>0</v>
      </c>
      <c r="AE1022" s="66"/>
      <c r="AF1022" s="66"/>
      <c r="AG1022" s="66"/>
      <c r="AH1022" s="66"/>
      <c r="AI1022" s="66"/>
      <c r="AJ1022" s="66"/>
      <c r="AK1022" s="66"/>
      <c r="AL1022" s="54">
        <f>IF((AC1022-SUM(AE1022:AK1022))&lt;0,0,AC1022-SUM(AE1022:AK1022))</f>
        <v>0</v>
      </c>
      <c r="AM1022" s="54">
        <f>SUM(AN1022:AT1022)</f>
        <v>0</v>
      </c>
      <c r="AN1022" s="54"/>
      <c r="AO1022" s="54"/>
      <c r="AP1022" s="54"/>
      <c r="AQ1022" s="54"/>
      <c r="AR1022" s="54"/>
      <c r="AS1022" s="54"/>
      <c r="AT1022" s="54"/>
      <c r="AU1022" s="54">
        <f>MAX(0,$AM1022-$AC1022-$AW1022)</f>
        <v>0</v>
      </c>
      <c r="AV1022" s="54"/>
      <c r="AW1022" s="54"/>
      <c r="AX1022" s="65">
        <v>0</v>
      </c>
      <c r="AY1022" s="57">
        <f>IF(AND($AU1022&gt;0,ISNUMBER($AX1022)),$AU1022*$AX1022,0)</f>
        <v>0</v>
      </c>
      <c r="AZ1022" s="72"/>
      <c r="BA1022" s="73"/>
      <c r="BB1022" s="73"/>
      <c r="BC1022" s="73"/>
      <c r="BD1022" s="73"/>
      <c r="BE1022" s="73"/>
      <c r="BF1022" s="73"/>
    </row>
    <row r="1023" spans="1:58" ht="15" customHeight="1">
      <c r="A1023" s="46" t="s">
        <v>5621</v>
      </c>
      <c r="B1023" s="50" t="s">
        <v>5622</v>
      </c>
      <c r="C1023" s="54" t="s">
        <v>118</v>
      </c>
      <c r="D1023" s="74">
        <v>4</v>
      </c>
      <c r="E1023" s="50" t="s">
        <v>384</v>
      </c>
      <c r="F1023" s="50"/>
      <c r="G1023" s="50"/>
      <c r="H1023" s="51"/>
      <c r="I1023" s="50" t="s">
        <v>5623</v>
      </c>
      <c r="J1023" s="54" t="s">
        <v>196</v>
      </c>
      <c r="K1023" s="56" t="s">
        <v>104</v>
      </c>
      <c r="L1023" s="56" t="s">
        <v>5624</v>
      </c>
      <c r="M1023" s="56"/>
      <c r="N1023" s="56"/>
      <c r="O1023" s="54"/>
      <c r="P1023" s="56" t="s">
        <v>114</v>
      </c>
      <c r="Q1023" s="56" t="s">
        <v>410</v>
      </c>
      <c r="R1023" s="50"/>
      <c r="S1023" s="50"/>
      <c r="T1023" s="50"/>
      <c r="U1023" s="50"/>
      <c r="V1023" s="57">
        <v>59.26</v>
      </c>
      <c r="W1023" s="68"/>
      <c r="X1023" s="50"/>
      <c r="Y1023" s="50"/>
      <c r="Z1023" s="50"/>
      <c r="AA1023" s="50"/>
      <c r="AB1023" s="57"/>
      <c r="AC1023" s="54">
        <v>0</v>
      </c>
      <c r="AD1023" s="54">
        <f>SUM(AE1023:AK1023)</f>
        <v>0</v>
      </c>
      <c r="AE1023" s="66"/>
      <c r="AF1023" s="66"/>
      <c r="AG1023" s="66"/>
      <c r="AH1023" s="66"/>
      <c r="AI1023" s="66"/>
      <c r="AJ1023" s="66"/>
      <c r="AK1023" s="66"/>
      <c r="AL1023" s="54">
        <f>IF((AC1023-SUM(AE1023:AK1023))&lt;0,0,AC1023-SUM(AE1023:AK1023))</f>
        <v>0</v>
      </c>
      <c r="AM1023" s="54">
        <f>SUM(AN1023:AT1023)</f>
        <v>0</v>
      </c>
      <c r="AN1023" s="54"/>
      <c r="AO1023" s="54"/>
      <c r="AP1023" s="54"/>
      <c r="AQ1023" s="54"/>
      <c r="AR1023" s="54"/>
      <c r="AS1023" s="54"/>
      <c r="AT1023" s="54"/>
      <c r="AU1023" s="54">
        <f>MAX(0,$AM1023-$AC1023-$AW1023)</f>
        <v>0</v>
      </c>
      <c r="AV1023" s="54"/>
      <c r="AW1023" s="54"/>
      <c r="AX1023" s="65">
        <v>0</v>
      </c>
      <c r="AY1023" s="57">
        <f>IF(AND($AU1023&gt;0,ISNUMBER($AX1023)),$AU1023*$AX1023,0)</f>
        <v>0</v>
      </c>
      <c r="AZ1023" s="72"/>
      <c r="BA1023" s="73"/>
      <c r="BB1023" s="73"/>
      <c r="BC1023" s="73"/>
      <c r="BD1023" s="73"/>
      <c r="BE1023" s="73"/>
      <c r="BF1023" s="73"/>
    </row>
    <row r="1024" spans="1:58" ht="15" customHeight="1">
      <c r="A1024" s="46" t="s">
        <v>5625</v>
      </c>
      <c r="B1024" s="50" t="s">
        <v>5626</v>
      </c>
      <c r="C1024" s="54" t="s">
        <v>101</v>
      </c>
      <c r="D1024" s="74">
        <v>6</v>
      </c>
      <c r="E1024" s="50" t="s">
        <v>110</v>
      </c>
      <c r="F1024" s="50">
        <v>6</v>
      </c>
      <c r="G1024" s="50">
        <v>6</v>
      </c>
      <c r="H1024" s="51" t="s">
        <v>5627</v>
      </c>
      <c r="I1024" s="50" t="s">
        <v>5628</v>
      </c>
      <c r="J1024" s="54" t="s">
        <v>196</v>
      </c>
      <c r="K1024" s="56" t="s">
        <v>661</v>
      </c>
      <c r="L1024" s="56" t="s">
        <v>5629</v>
      </c>
      <c r="M1024" s="56"/>
      <c r="N1024" s="56"/>
      <c r="O1024" s="54"/>
      <c r="P1024" s="56" t="s">
        <v>114</v>
      </c>
      <c r="Q1024" s="56" t="s">
        <v>305</v>
      </c>
      <c r="R1024" s="50"/>
      <c r="S1024" s="50"/>
      <c r="T1024" s="50"/>
      <c r="U1024" s="50"/>
      <c r="V1024" s="57">
        <v>54.2</v>
      </c>
      <c r="W1024" s="68"/>
      <c r="X1024" s="50"/>
      <c r="Y1024" s="50"/>
      <c r="Z1024" s="50"/>
      <c r="AA1024" s="50"/>
      <c r="AB1024" s="57"/>
      <c r="AC1024" s="54">
        <v>0</v>
      </c>
      <c r="AD1024" s="54">
        <f>SUM(AE1024:AK1024)</f>
        <v>0</v>
      </c>
      <c r="AE1024" s="66"/>
      <c r="AF1024" s="66"/>
      <c r="AG1024" s="66"/>
      <c r="AH1024" s="66"/>
      <c r="AI1024" s="66"/>
      <c r="AJ1024" s="66"/>
      <c r="AK1024" s="66"/>
      <c r="AL1024" s="54">
        <f>IF((AC1024-SUM(AE1024:AK1024))&lt;0,0,AC1024-SUM(AE1024:AK1024))</f>
        <v>0</v>
      </c>
      <c r="AM1024" s="54">
        <f>SUM(AN1024:AT1024)</f>
        <v>0</v>
      </c>
      <c r="AN1024" s="54"/>
      <c r="AO1024" s="54"/>
      <c r="AP1024" s="54"/>
      <c r="AQ1024" s="54"/>
      <c r="AR1024" s="54"/>
      <c r="AS1024" s="54"/>
      <c r="AT1024" s="54"/>
      <c r="AU1024" s="54">
        <f>MAX(0,$AM1024-$AC1024-$AW1024)</f>
        <v>0</v>
      </c>
      <c r="AV1024" s="54"/>
      <c r="AW1024" s="54"/>
      <c r="AX1024" s="65">
        <v>0</v>
      </c>
      <c r="AY1024" s="57">
        <f>IF(AND($AU1024&gt;0,ISNUMBER($AX1024)),$AU1024*$AX1024,0)</f>
        <v>0</v>
      </c>
      <c r="AZ1024" s="72"/>
      <c r="BA1024" s="73"/>
      <c r="BB1024" s="73"/>
      <c r="BC1024" s="73"/>
      <c r="BD1024" s="73"/>
      <c r="BE1024" s="73"/>
      <c r="BF1024" s="73"/>
    </row>
    <row r="1025" spans="1:58" ht="15" customHeight="1">
      <c r="A1025" s="46" t="s">
        <v>5630</v>
      </c>
      <c r="B1025" s="50" t="s">
        <v>5631</v>
      </c>
      <c r="C1025" s="54" t="s">
        <v>70</v>
      </c>
      <c r="D1025" s="74">
        <v>3</v>
      </c>
      <c r="E1025" s="50" t="s">
        <v>71</v>
      </c>
      <c r="F1025" s="50"/>
      <c r="G1025" s="50"/>
      <c r="H1025" s="51"/>
      <c r="I1025" s="50" t="s">
        <v>5632</v>
      </c>
      <c r="J1025" s="54" t="s">
        <v>196</v>
      </c>
      <c r="K1025" s="56" t="s">
        <v>104</v>
      </c>
      <c r="L1025" s="56" t="s">
        <v>5633</v>
      </c>
      <c r="M1025" s="56" t="s">
        <v>5634</v>
      </c>
      <c r="N1025" s="56" t="s">
        <v>5635</v>
      </c>
      <c r="O1025" s="54"/>
      <c r="P1025" s="56" t="s">
        <v>86</v>
      </c>
      <c r="Q1025" s="56" t="s">
        <v>141</v>
      </c>
      <c r="R1025" s="50"/>
      <c r="S1025" s="50"/>
      <c r="T1025" s="50"/>
      <c r="U1025" s="50"/>
      <c r="V1025" s="57">
        <v>40.33</v>
      </c>
      <c r="W1025" s="68"/>
      <c r="X1025" s="50"/>
      <c r="Y1025" s="50"/>
      <c r="Z1025" s="50"/>
      <c r="AA1025" s="50"/>
      <c r="AB1025" s="57"/>
      <c r="AC1025" s="54">
        <v>0</v>
      </c>
      <c r="AD1025" s="54">
        <f>SUM(AE1025:AK1025)</f>
        <v>0</v>
      </c>
      <c r="AE1025" s="66"/>
      <c r="AF1025" s="66"/>
      <c r="AG1025" s="66"/>
      <c r="AH1025" s="66"/>
      <c r="AI1025" s="66"/>
      <c r="AJ1025" s="66"/>
      <c r="AK1025" s="66"/>
      <c r="AL1025" s="54">
        <f>IF((AC1025-SUM(AE1025:AK1025))&lt;0,0,AC1025-SUM(AE1025:AK1025))</f>
        <v>0</v>
      </c>
      <c r="AM1025" s="54">
        <f>SUM(AN1025:AT1025)</f>
        <v>0</v>
      </c>
      <c r="AN1025" s="54"/>
      <c r="AO1025" s="54"/>
      <c r="AP1025" s="54"/>
      <c r="AQ1025" s="54"/>
      <c r="AR1025" s="54"/>
      <c r="AS1025" s="54"/>
      <c r="AT1025" s="54"/>
      <c r="AU1025" s="54">
        <f>MAX(0,$AM1025-$AC1025-$AW1025)</f>
        <v>0</v>
      </c>
      <c r="AV1025" s="54"/>
      <c r="AW1025" s="54"/>
      <c r="AX1025" s="65">
        <v>0</v>
      </c>
      <c r="AY1025" s="57">
        <f>IF(AND($AU1025&gt;0,ISNUMBER($AX1025)),$AU1025*$AX1025,0)</f>
        <v>0</v>
      </c>
      <c r="AZ1025" s="72"/>
      <c r="BA1025" s="73"/>
      <c r="BB1025" s="73"/>
      <c r="BC1025" s="73"/>
      <c r="BD1025" s="73"/>
      <c r="BE1025" s="73"/>
      <c r="BF1025" s="73"/>
    </row>
    <row r="1026" spans="1:58" ht="15" customHeight="1">
      <c r="A1026" s="46" t="s">
        <v>5636</v>
      </c>
      <c r="B1026" s="50" t="s">
        <v>5637</v>
      </c>
      <c r="C1026" s="54" t="s">
        <v>181</v>
      </c>
      <c r="D1026" s="74">
        <v>2</v>
      </c>
      <c r="E1026" s="50" t="s">
        <v>2971</v>
      </c>
      <c r="F1026" s="50"/>
      <c r="G1026" s="50"/>
      <c r="H1026" s="51"/>
      <c r="I1026" s="50" t="s">
        <v>5638</v>
      </c>
      <c r="J1026" s="54" t="s">
        <v>196</v>
      </c>
      <c r="K1026" s="56" t="s">
        <v>424</v>
      </c>
      <c r="L1026" s="56" t="s">
        <v>5639</v>
      </c>
      <c r="M1026" s="56"/>
      <c r="N1026" s="56"/>
      <c r="O1026" s="54"/>
      <c r="P1026" s="56" t="s">
        <v>114</v>
      </c>
      <c r="Q1026" s="56" t="s">
        <v>575</v>
      </c>
      <c r="R1026" s="50"/>
      <c r="S1026" s="50"/>
      <c r="T1026" s="50"/>
      <c r="U1026" s="50"/>
      <c r="V1026" s="57">
        <v>25.23</v>
      </c>
      <c r="W1026" s="68"/>
      <c r="X1026" s="50"/>
      <c r="Y1026" s="50"/>
      <c r="Z1026" s="50"/>
      <c r="AA1026" s="50"/>
      <c r="AB1026" s="57"/>
      <c r="AC1026" s="54">
        <v>0</v>
      </c>
      <c r="AD1026" s="54">
        <f>SUM(AE1026:AK1026)</f>
        <v>0</v>
      </c>
      <c r="AE1026" s="66"/>
      <c r="AF1026" s="66"/>
      <c r="AG1026" s="66"/>
      <c r="AH1026" s="66"/>
      <c r="AI1026" s="66"/>
      <c r="AJ1026" s="66"/>
      <c r="AK1026" s="66"/>
      <c r="AL1026" s="54">
        <f>IF((AC1026-SUM(AE1026:AK1026))&lt;0,0,AC1026-SUM(AE1026:AK1026))</f>
        <v>0</v>
      </c>
      <c r="AM1026" s="54">
        <f>SUM(AN1026:AT1026)</f>
        <v>0</v>
      </c>
      <c r="AN1026" s="54"/>
      <c r="AO1026" s="54"/>
      <c r="AP1026" s="54"/>
      <c r="AQ1026" s="54"/>
      <c r="AR1026" s="54"/>
      <c r="AS1026" s="54"/>
      <c r="AT1026" s="54"/>
      <c r="AU1026" s="54">
        <f>MAX(0,$AM1026-$AC1026-$AW1026)</f>
        <v>0</v>
      </c>
      <c r="AV1026" s="54"/>
      <c r="AW1026" s="54"/>
      <c r="AX1026" s="65">
        <v>0</v>
      </c>
      <c r="AY1026" s="57">
        <f>IF(AND($AU1026&gt;0,ISNUMBER($AX1026)),$AU1026*$AX1026,0)</f>
        <v>0</v>
      </c>
      <c r="AZ1026" s="72"/>
      <c r="BA1026" s="73"/>
      <c r="BB1026" s="73"/>
      <c r="BC1026" s="73"/>
      <c r="BD1026" s="73"/>
      <c r="BE1026" s="73"/>
      <c r="BF1026" s="73"/>
    </row>
    <row r="1027" spans="1:58" ht="15" customHeight="1">
      <c r="A1027" s="46" t="s">
        <v>5640</v>
      </c>
      <c r="B1027" s="50" t="s">
        <v>5641</v>
      </c>
      <c r="C1027" s="54" t="s">
        <v>232</v>
      </c>
      <c r="D1027" s="74">
        <v>4</v>
      </c>
      <c r="E1027" s="50" t="s">
        <v>233</v>
      </c>
      <c r="F1027" s="50"/>
      <c r="G1027" s="50"/>
      <c r="H1027" s="51"/>
      <c r="I1027" s="50" t="s">
        <v>5642</v>
      </c>
      <c r="J1027" s="54" t="s">
        <v>196</v>
      </c>
      <c r="K1027" s="56" t="s">
        <v>170</v>
      </c>
      <c r="L1027" s="56" t="s">
        <v>5642</v>
      </c>
      <c r="M1027" s="56"/>
      <c r="N1027" s="56"/>
      <c r="O1027" s="54"/>
      <c r="P1027" s="56" t="s">
        <v>86</v>
      </c>
      <c r="Q1027" s="56" t="s">
        <v>2192</v>
      </c>
      <c r="R1027" s="54"/>
      <c r="S1027" s="54"/>
      <c r="T1027" s="54"/>
      <c r="U1027" s="54"/>
      <c r="V1027" s="57">
        <v>22.33</v>
      </c>
      <c r="W1027" s="68"/>
      <c r="X1027" s="54"/>
      <c r="Y1027" s="54"/>
      <c r="Z1027" s="54"/>
      <c r="AA1027" s="54"/>
      <c r="AB1027" s="57"/>
      <c r="AC1027" s="54">
        <v>0</v>
      </c>
      <c r="AD1027" s="54">
        <f>SUM(AE1027:AK1027)</f>
        <v>0</v>
      </c>
      <c r="AE1027" s="66"/>
      <c r="AF1027" s="66"/>
      <c r="AG1027" s="66"/>
      <c r="AH1027" s="66"/>
      <c r="AI1027" s="66"/>
      <c r="AJ1027" s="66"/>
      <c r="AK1027" s="66"/>
      <c r="AL1027" s="54">
        <f>IF((AC1027-SUM(AE1027:AK1027))&lt;0,0,AC1027-SUM(AE1027:AK1027))</f>
        <v>0</v>
      </c>
      <c r="AM1027" s="54">
        <f>SUM(AN1027:AT1027)</f>
        <v>0</v>
      </c>
      <c r="AN1027" s="54"/>
      <c r="AO1027" s="54"/>
      <c r="AP1027" s="54"/>
      <c r="AQ1027" s="54"/>
      <c r="AR1027" s="54"/>
      <c r="AS1027" s="54"/>
      <c r="AT1027" s="54"/>
      <c r="AU1027" s="54">
        <f>MAX(0,$AM1027-$AC1027-$AW1027)</f>
        <v>0</v>
      </c>
      <c r="AV1027" s="54"/>
      <c r="AW1027" s="54"/>
      <c r="AX1027" s="65">
        <v>0</v>
      </c>
      <c r="AY1027" s="57">
        <f>IF(AND($AU1027&gt;0,ISNUMBER($AX1027)),$AU1027*$AX1027,0)</f>
        <v>0</v>
      </c>
      <c r="AZ1027" s="72"/>
      <c r="BA1027" s="73"/>
      <c r="BB1027" s="73"/>
      <c r="BC1027" s="73"/>
      <c r="BD1027" s="73"/>
      <c r="BE1027" s="73"/>
      <c r="BF1027" s="73"/>
    </row>
    <row r="1028" spans="1:58" ht="15" customHeight="1">
      <c r="A1028" s="46" t="s">
        <v>5643</v>
      </c>
      <c r="B1028" s="50" t="s">
        <v>5644</v>
      </c>
      <c r="C1028" s="54" t="s">
        <v>101</v>
      </c>
      <c r="D1028" s="74">
        <v>2</v>
      </c>
      <c r="E1028" s="50" t="s">
        <v>189</v>
      </c>
      <c r="F1028" s="50"/>
      <c r="G1028" s="50"/>
      <c r="H1028" s="51"/>
      <c r="I1028" s="50" t="s">
        <v>5645</v>
      </c>
      <c r="J1028" s="54" t="s">
        <v>196</v>
      </c>
      <c r="K1028" s="56" t="s">
        <v>254</v>
      </c>
      <c r="L1028" s="56" t="s">
        <v>5645</v>
      </c>
      <c r="M1028" s="56"/>
      <c r="N1028" s="56"/>
      <c r="O1028" s="54"/>
      <c r="P1028" s="56" t="s">
        <v>86</v>
      </c>
      <c r="Q1028" s="56" t="s">
        <v>4183</v>
      </c>
      <c r="R1028" s="54"/>
      <c r="S1028" s="54"/>
      <c r="T1028" s="54"/>
      <c r="U1028" s="54"/>
      <c r="V1028" s="57">
        <v>16.88</v>
      </c>
      <c r="W1028" s="68"/>
      <c r="X1028" s="54"/>
      <c r="Y1028" s="54"/>
      <c r="Z1028" s="54"/>
      <c r="AA1028" s="54"/>
      <c r="AB1028" s="57"/>
      <c r="AC1028" s="54">
        <v>0</v>
      </c>
      <c r="AD1028" s="54">
        <f>SUM(AE1028:AK1028)</f>
        <v>0</v>
      </c>
      <c r="AE1028" s="66"/>
      <c r="AF1028" s="66"/>
      <c r="AG1028" s="66"/>
      <c r="AH1028" s="66"/>
      <c r="AI1028" s="66"/>
      <c r="AJ1028" s="66"/>
      <c r="AK1028" s="66"/>
      <c r="AL1028" s="54">
        <f>IF((AC1028-SUM(AE1028:AK1028))&lt;0,0,AC1028-SUM(AE1028:AK1028))</f>
        <v>0</v>
      </c>
      <c r="AM1028" s="54">
        <f>SUM(AN1028:AT1028)</f>
        <v>0</v>
      </c>
      <c r="AN1028" s="54"/>
      <c r="AO1028" s="54"/>
      <c r="AP1028" s="54"/>
      <c r="AQ1028" s="54"/>
      <c r="AR1028" s="54"/>
      <c r="AS1028" s="54"/>
      <c r="AT1028" s="54"/>
      <c r="AU1028" s="54">
        <f>MAX(0,$AM1028-$AC1028-$AW1028)</f>
        <v>0</v>
      </c>
      <c r="AV1028" s="54"/>
      <c r="AW1028" s="54"/>
      <c r="AX1028" s="65">
        <v>0</v>
      </c>
      <c r="AY1028" s="57">
        <f>IF(AND($AU1028&gt;0,ISNUMBER($AX1028)),$AU1028*$AX1028,0)</f>
        <v>0</v>
      </c>
      <c r="AZ1028" s="72"/>
      <c r="BA1028" s="73"/>
      <c r="BB1028" s="73"/>
      <c r="BC1028" s="73"/>
      <c r="BD1028" s="73"/>
      <c r="BE1028" s="73"/>
      <c r="BF1028" s="73"/>
    </row>
    <row r="1029" spans="1:58" ht="15" customHeight="1">
      <c r="A1029" s="46" t="s">
        <v>5646</v>
      </c>
      <c r="B1029" s="50" t="s">
        <v>5647</v>
      </c>
      <c r="C1029" s="54" t="s">
        <v>232</v>
      </c>
      <c r="D1029" s="74">
        <v>3</v>
      </c>
      <c r="E1029" s="50" t="s">
        <v>233</v>
      </c>
      <c r="F1029" s="50"/>
      <c r="G1029" s="50"/>
      <c r="H1029" s="51"/>
      <c r="I1029" s="50" t="s">
        <v>5648</v>
      </c>
      <c r="J1029" s="54" t="s">
        <v>196</v>
      </c>
      <c r="K1029" s="56" t="s">
        <v>247</v>
      </c>
      <c r="L1029" s="56" t="s">
        <v>5648</v>
      </c>
      <c r="M1029" s="56"/>
      <c r="N1029" s="56"/>
      <c r="O1029" s="54"/>
      <c r="P1029" s="56" t="s">
        <v>185</v>
      </c>
      <c r="Q1029" s="56" t="s">
        <v>5649</v>
      </c>
      <c r="R1029" s="50"/>
      <c r="S1029" s="50"/>
      <c r="T1029" s="50"/>
      <c r="U1029" s="50"/>
      <c r="V1029" s="57">
        <v>16.55</v>
      </c>
      <c r="W1029" s="68"/>
      <c r="X1029" s="50"/>
      <c r="Y1029" s="50"/>
      <c r="Z1029" s="50"/>
      <c r="AA1029" s="50"/>
      <c r="AB1029" s="57"/>
      <c r="AC1029" s="54">
        <v>0</v>
      </c>
      <c r="AD1029" s="54">
        <f>SUM(AE1029:AK1029)</f>
        <v>0</v>
      </c>
      <c r="AE1029" s="66"/>
      <c r="AF1029" s="66"/>
      <c r="AG1029" s="66"/>
      <c r="AH1029" s="66"/>
      <c r="AI1029" s="66"/>
      <c r="AJ1029" s="66"/>
      <c r="AK1029" s="66"/>
      <c r="AL1029" s="54">
        <f>IF((AC1029-SUM(AE1029:AK1029))&lt;0,0,AC1029-SUM(AE1029:AK1029))</f>
        <v>0</v>
      </c>
      <c r="AM1029" s="54">
        <f>SUM(AN1029:AT1029)</f>
        <v>0</v>
      </c>
      <c r="AN1029" s="54"/>
      <c r="AO1029" s="54"/>
      <c r="AP1029" s="54"/>
      <c r="AQ1029" s="54"/>
      <c r="AR1029" s="54"/>
      <c r="AS1029" s="54"/>
      <c r="AT1029" s="54"/>
      <c r="AU1029" s="54">
        <f>MAX(0,$AM1029-$AC1029-$AW1029)</f>
        <v>0</v>
      </c>
      <c r="AV1029" s="54"/>
      <c r="AW1029" s="54"/>
      <c r="AX1029" s="65">
        <v>0</v>
      </c>
      <c r="AY1029" s="57">
        <f>IF(AND($AU1029&gt;0,ISNUMBER($AX1029)),$AU1029*$AX1029,0)</f>
        <v>0</v>
      </c>
      <c r="AZ1029" s="72"/>
      <c r="BA1029" s="73"/>
      <c r="BB1029" s="73"/>
      <c r="BC1029" s="73"/>
      <c r="BD1029" s="73"/>
      <c r="BE1029" s="73"/>
      <c r="BF1029" s="73"/>
    </row>
    <row r="1030" spans="1:58" ht="15" customHeight="1">
      <c r="A1030" s="46" t="s">
        <v>5650</v>
      </c>
      <c r="B1030" s="50" t="s">
        <v>5651</v>
      </c>
      <c r="C1030" s="54" t="s">
        <v>181</v>
      </c>
      <c r="D1030" s="74">
        <v>6</v>
      </c>
      <c r="E1030" s="50" t="s">
        <v>984</v>
      </c>
      <c r="F1030" s="50"/>
      <c r="G1030" s="50"/>
      <c r="H1030" s="51"/>
      <c r="I1030" s="50" t="s">
        <v>5652</v>
      </c>
      <c r="J1030" s="54" t="s">
        <v>196</v>
      </c>
      <c r="K1030" s="56" t="s">
        <v>550</v>
      </c>
      <c r="L1030" s="56" t="s">
        <v>5653</v>
      </c>
      <c r="M1030" s="56" t="s">
        <v>5654</v>
      </c>
      <c r="N1030" s="56" t="s">
        <v>5655</v>
      </c>
      <c r="O1030" s="54"/>
      <c r="P1030" s="56" t="s">
        <v>86</v>
      </c>
      <c r="Q1030" s="56" t="s">
        <v>462</v>
      </c>
      <c r="R1030" s="50"/>
      <c r="S1030" s="50"/>
      <c r="T1030" s="50"/>
      <c r="U1030" s="50"/>
      <c r="V1030" s="57">
        <v>16.37</v>
      </c>
      <c r="W1030" s="68"/>
      <c r="X1030" s="50"/>
      <c r="Y1030" s="50"/>
      <c r="Z1030" s="50"/>
      <c r="AA1030" s="50"/>
      <c r="AB1030" s="57"/>
      <c r="AC1030" s="54">
        <v>0</v>
      </c>
      <c r="AD1030" s="54">
        <f>SUM(AE1030:AK1030)</f>
        <v>0</v>
      </c>
      <c r="AE1030" s="66"/>
      <c r="AF1030" s="66"/>
      <c r="AG1030" s="66"/>
      <c r="AH1030" s="66"/>
      <c r="AI1030" s="66"/>
      <c r="AJ1030" s="66"/>
      <c r="AK1030" s="66"/>
      <c r="AL1030" s="54">
        <f>IF((AC1030-SUM(AE1030:AK1030))&lt;0,0,AC1030-SUM(AE1030:AK1030))</f>
        <v>0</v>
      </c>
      <c r="AM1030" s="54">
        <f>SUM(AN1030:AT1030)</f>
        <v>0</v>
      </c>
      <c r="AN1030" s="54"/>
      <c r="AO1030" s="54"/>
      <c r="AP1030" s="54"/>
      <c r="AQ1030" s="54"/>
      <c r="AR1030" s="54"/>
      <c r="AS1030" s="54"/>
      <c r="AT1030" s="54"/>
      <c r="AU1030" s="54">
        <f>MAX(0,$AM1030-$AC1030-$AW1030)</f>
        <v>0</v>
      </c>
      <c r="AV1030" s="54"/>
      <c r="AW1030" s="54"/>
      <c r="AX1030" s="65">
        <v>0</v>
      </c>
      <c r="AY1030" s="57">
        <f>IF(AND($AU1030&gt;0,ISNUMBER($AX1030)),$AU1030*$AX1030,0)</f>
        <v>0</v>
      </c>
      <c r="AZ1030" s="72"/>
      <c r="BA1030" s="73"/>
      <c r="BB1030" s="73"/>
      <c r="BC1030" s="73"/>
      <c r="BD1030" s="73"/>
      <c r="BE1030" s="73"/>
      <c r="BF1030" s="73"/>
    </row>
    <row r="1031" spans="1:58" ht="15" customHeight="1">
      <c r="A1031" s="46" t="s">
        <v>5656</v>
      </c>
      <c r="B1031" s="50" t="s">
        <v>5657</v>
      </c>
      <c r="C1031" s="54" t="s">
        <v>181</v>
      </c>
      <c r="D1031" s="74">
        <v>5</v>
      </c>
      <c r="E1031" s="50" t="s">
        <v>384</v>
      </c>
      <c r="F1031" s="50"/>
      <c r="G1031" s="50"/>
      <c r="H1031" s="51"/>
      <c r="I1031" s="50" t="s">
        <v>5658</v>
      </c>
      <c r="J1031" s="54" t="s">
        <v>196</v>
      </c>
      <c r="K1031" s="56" t="s">
        <v>135</v>
      </c>
      <c r="L1031" s="56" t="s">
        <v>5658</v>
      </c>
      <c r="M1031" s="56"/>
      <c r="N1031" s="56"/>
      <c r="O1031" s="54"/>
      <c r="P1031" s="56" t="s">
        <v>86</v>
      </c>
      <c r="Q1031" s="56" t="s">
        <v>3989</v>
      </c>
      <c r="R1031" s="50"/>
      <c r="S1031" s="50"/>
      <c r="T1031" s="50"/>
      <c r="U1031" s="50"/>
      <c r="V1031" s="57">
        <v>15.32</v>
      </c>
      <c r="W1031" s="68"/>
      <c r="X1031" s="50"/>
      <c r="Y1031" s="50"/>
      <c r="Z1031" s="50"/>
      <c r="AA1031" s="50"/>
      <c r="AB1031" s="57"/>
      <c r="AC1031" s="54">
        <v>0</v>
      </c>
      <c r="AD1031" s="54">
        <f>SUM(AE1031:AK1031)</f>
        <v>0</v>
      </c>
      <c r="AE1031" s="66"/>
      <c r="AF1031" s="66"/>
      <c r="AG1031" s="66"/>
      <c r="AH1031" s="66"/>
      <c r="AI1031" s="66"/>
      <c r="AJ1031" s="66"/>
      <c r="AK1031" s="66"/>
      <c r="AL1031" s="54">
        <f>IF((AC1031-SUM(AE1031:AK1031))&lt;0,0,AC1031-SUM(AE1031:AK1031))</f>
        <v>0</v>
      </c>
      <c r="AM1031" s="54">
        <f>SUM(AN1031:AT1031)</f>
        <v>0</v>
      </c>
      <c r="AN1031" s="54"/>
      <c r="AO1031" s="54"/>
      <c r="AP1031" s="54"/>
      <c r="AQ1031" s="54"/>
      <c r="AR1031" s="54"/>
      <c r="AS1031" s="54"/>
      <c r="AT1031" s="54"/>
      <c r="AU1031" s="54">
        <f>MAX(0,$AM1031-$AC1031-$AW1031)</f>
        <v>0</v>
      </c>
      <c r="AV1031" s="54"/>
      <c r="AW1031" s="54"/>
      <c r="AX1031" s="65">
        <v>0</v>
      </c>
      <c r="AY1031" s="57">
        <f>IF(AND($AU1031&gt;0,ISNUMBER($AX1031)),$AU1031*$AX1031,0)</f>
        <v>0</v>
      </c>
      <c r="AZ1031" s="72"/>
      <c r="BA1031" s="73"/>
      <c r="BB1031" s="73"/>
      <c r="BC1031" s="73"/>
      <c r="BD1031" s="73"/>
      <c r="BE1031" s="73"/>
      <c r="BF1031" s="73"/>
    </row>
    <row r="1032" spans="1:58" ht="15" customHeight="1">
      <c r="A1032" s="46" t="s">
        <v>5659</v>
      </c>
      <c r="B1032" s="50" t="s">
        <v>5660</v>
      </c>
      <c r="C1032" s="54" t="s">
        <v>232</v>
      </c>
      <c r="D1032" s="74">
        <v>2</v>
      </c>
      <c r="E1032" s="50" t="s">
        <v>233</v>
      </c>
      <c r="F1032" s="50"/>
      <c r="G1032" s="50"/>
      <c r="H1032" s="51"/>
      <c r="I1032" s="50" t="s">
        <v>5661</v>
      </c>
      <c r="J1032" s="54" t="s">
        <v>196</v>
      </c>
      <c r="K1032" s="56" t="s">
        <v>705</v>
      </c>
      <c r="L1032" s="56" t="s">
        <v>5661</v>
      </c>
      <c r="M1032" s="56"/>
      <c r="N1032" s="56"/>
      <c r="O1032" s="54"/>
      <c r="P1032" s="56" t="s">
        <v>86</v>
      </c>
      <c r="Q1032" s="56" t="s">
        <v>249</v>
      </c>
      <c r="R1032" s="54"/>
      <c r="S1032" s="54"/>
      <c r="T1032" s="54"/>
      <c r="U1032" s="54"/>
      <c r="V1032" s="57">
        <v>13.89</v>
      </c>
      <c r="W1032" s="68"/>
      <c r="X1032" s="54"/>
      <c r="Y1032" s="54"/>
      <c r="Z1032" s="54"/>
      <c r="AA1032" s="54"/>
      <c r="AB1032" s="57"/>
      <c r="AC1032" s="54">
        <v>0</v>
      </c>
      <c r="AD1032" s="54">
        <f>SUM(AE1032:AK1032)</f>
        <v>0</v>
      </c>
      <c r="AE1032" s="66"/>
      <c r="AF1032" s="66"/>
      <c r="AG1032" s="66"/>
      <c r="AH1032" s="66"/>
      <c r="AI1032" s="66"/>
      <c r="AJ1032" s="66"/>
      <c r="AK1032" s="66"/>
      <c r="AL1032" s="54">
        <f>IF((AC1032-SUM(AE1032:AK1032))&lt;0,0,AC1032-SUM(AE1032:AK1032))</f>
        <v>0</v>
      </c>
      <c r="AM1032" s="54">
        <f>SUM(AN1032:AT1032)</f>
        <v>0</v>
      </c>
      <c r="AN1032" s="54"/>
      <c r="AO1032" s="54"/>
      <c r="AP1032" s="54"/>
      <c r="AQ1032" s="54"/>
      <c r="AR1032" s="54"/>
      <c r="AS1032" s="54"/>
      <c r="AT1032" s="54"/>
      <c r="AU1032" s="54">
        <f>MAX(0,$AM1032-$AC1032-$AW1032)</f>
        <v>0</v>
      </c>
      <c r="AV1032" s="54"/>
      <c r="AW1032" s="54"/>
      <c r="AX1032" s="65">
        <v>0</v>
      </c>
      <c r="AY1032" s="57">
        <f>IF(AND($AU1032&gt;0,ISNUMBER($AX1032)),$AU1032*$AX1032,0)</f>
        <v>0</v>
      </c>
      <c r="AZ1032" s="72"/>
      <c r="BA1032" s="73"/>
      <c r="BB1032" s="73"/>
      <c r="BC1032" s="73"/>
      <c r="BD1032" s="73"/>
      <c r="BE1032" s="73"/>
      <c r="BF1032" s="73"/>
    </row>
    <row r="1033" spans="1:58" ht="15" customHeight="1">
      <c r="A1033" s="46" t="s">
        <v>5662</v>
      </c>
      <c r="B1033" s="50" t="s">
        <v>5663</v>
      </c>
      <c r="C1033" s="54" t="s">
        <v>232</v>
      </c>
      <c r="D1033" s="74">
        <v>6</v>
      </c>
      <c r="E1033" s="50" t="s">
        <v>233</v>
      </c>
      <c r="F1033" s="50"/>
      <c r="G1033" s="50"/>
      <c r="H1033" s="51"/>
      <c r="I1033" s="50" t="s">
        <v>5664</v>
      </c>
      <c r="J1033" s="54" t="s">
        <v>196</v>
      </c>
      <c r="K1033" s="56" t="s">
        <v>344</v>
      </c>
      <c r="L1033" s="56" t="s">
        <v>5664</v>
      </c>
      <c r="M1033" s="56"/>
      <c r="N1033" s="56"/>
      <c r="O1033" s="54"/>
      <c r="P1033" s="56" t="s">
        <v>86</v>
      </c>
      <c r="Q1033" s="56" t="s">
        <v>616</v>
      </c>
      <c r="R1033" s="54"/>
      <c r="S1033" s="54"/>
      <c r="T1033" s="54"/>
      <c r="U1033" s="54"/>
      <c r="V1033" s="57">
        <v>13.6</v>
      </c>
      <c r="W1033" s="68"/>
      <c r="X1033" s="54"/>
      <c r="Y1033" s="54"/>
      <c r="Z1033" s="54"/>
      <c r="AA1033" s="54"/>
      <c r="AB1033" s="57"/>
      <c r="AC1033" s="54">
        <v>0</v>
      </c>
      <c r="AD1033" s="54">
        <f>SUM(AE1033:AK1033)</f>
        <v>0</v>
      </c>
      <c r="AE1033" s="66"/>
      <c r="AF1033" s="66"/>
      <c r="AG1033" s="66"/>
      <c r="AH1033" s="66"/>
      <c r="AI1033" s="66"/>
      <c r="AJ1033" s="66"/>
      <c r="AK1033" s="66"/>
      <c r="AL1033" s="54">
        <f>IF((AC1033-SUM(AE1033:AK1033))&lt;0,0,AC1033-SUM(AE1033:AK1033))</f>
        <v>0</v>
      </c>
      <c r="AM1033" s="54">
        <f>SUM(AN1033:AT1033)</f>
        <v>0</v>
      </c>
      <c r="AN1033" s="54"/>
      <c r="AO1033" s="54"/>
      <c r="AP1033" s="54"/>
      <c r="AQ1033" s="54"/>
      <c r="AR1033" s="54"/>
      <c r="AS1033" s="54"/>
      <c r="AT1033" s="54"/>
      <c r="AU1033" s="54">
        <f>MAX(0,$AM1033-$AC1033-$AW1033)</f>
        <v>0</v>
      </c>
      <c r="AV1033" s="54"/>
      <c r="AW1033" s="54"/>
      <c r="AX1033" s="65">
        <v>0</v>
      </c>
      <c r="AY1033" s="57">
        <f>IF(AND($AU1033&gt;0,ISNUMBER($AX1033)),$AU1033*$AX1033,0)</f>
        <v>0</v>
      </c>
      <c r="AZ1033" s="72"/>
      <c r="BA1033" s="73"/>
      <c r="BB1033" s="73"/>
      <c r="BC1033" s="73"/>
      <c r="BD1033" s="73"/>
      <c r="BE1033" s="73"/>
      <c r="BF1033" s="73"/>
    </row>
    <row r="1034" spans="1:58" ht="15" customHeight="1">
      <c r="A1034" s="46" t="s">
        <v>5665</v>
      </c>
      <c r="B1034" s="50" t="s">
        <v>5666</v>
      </c>
      <c r="C1034" s="54" t="s">
        <v>70</v>
      </c>
      <c r="D1034" s="74">
        <v>6</v>
      </c>
      <c r="E1034" s="50" t="s">
        <v>110</v>
      </c>
      <c r="F1034" s="50">
        <v>4</v>
      </c>
      <c r="G1034" s="50">
        <v>4</v>
      </c>
      <c r="H1034" s="51" t="s">
        <v>3384</v>
      </c>
      <c r="I1034" s="50" t="s">
        <v>5667</v>
      </c>
      <c r="J1034" s="54" t="s">
        <v>196</v>
      </c>
      <c r="K1034" s="56" t="s">
        <v>170</v>
      </c>
      <c r="L1034" s="56" t="s">
        <v>5668</v>
      </c>
      <c r="M1034" s="56"/>
      <c r="N1034" s="56"/>
      <c r="O1034" s="54"/>
      <c r="P1034" s="56" t="s">
        <v>86</v>
      </c>
      <c r="Q1034" s="56" t="s">
        <v>1889</v>
      </c>
      <c r="R1034" s="50"/>
      <c r="S1034" s="50"/>
      <c r="T1034" s="50"/>
      <c r="U1034" s="50"/>
      <c r="V1034" s="57">
        <v>13.56</v>
      </c>
      <c r="W1034" s="68"/>
      <c r="X1034" s="50"/>
      <c r="Y1034" s="50"/>
      <c r="Z1034" s="50"/>
      <c r="AA1034" s="50"/>
      <c r="AB1034" s="57"/>
      <c r="AC1034" s="54">
        <v>0</v>
      </c>
      <c r="AD1034" s="54">
        <f>SUM(AE1034:AK1034)</f>
        <v>0</v>
      </c>
      <c r="AE1034" s="66"/>
      <c r="AF1034" s="66"/>
      <c r="AG1034" s="66"/>
      <c r="AH1034" s="66"/>
      <c r="AI1034" s="66"/>
      <c r="AJ1034" s="66"/>
      <c r="AK1034" s="66"/>
      <c r="AL1034" s="54">
        <f>IF((AC1034-SUM(AE1034:AK1034))&lt;0,0,AC1034-SUM(AE1034:AK1034))</f>
        <v>0</v>
      </c>
      <c r="AM1034" s="54">
        <f>SUM(AN1034:AT1034)</f>
        <v>0</v>
      </c>
      <c r="AN1034" s="54"/>
      <c r="AO1034" s="54"/>
      <c r="AP1034" s="54"/>
      <c r="AQ1034" s="54"/>
      <c r="AR1034" s="54"/>
      <c r="AS1034" s="54"/>
      <c r="AT1034" s="54"/>
      <c r="AU1034" s="54">
        <f>MAX(0,$AM1034-$AC1034-$AW1034)</f>
        <v>0</v>
      </c>
      <c r="AV1034" s="54"/>
      <c r="AW1034" s="54"/>
      <c r="AX1034" s="65">
        <v>0</v>
      </c>
      <c r="AY1034" s="57">
        <f>IF(AND($AU1034&gt;0,ISNUMBER($AX1034)),$AU1034*$AX1034,0)</f>
        <v>0</v>
      </c>
      <c r="AZ1034" s="72"/>
      <c r="BA1034" s="73"/>
      <c r="BB1034" s="73"/>
      <c r="BC1034" s="73"/>
      <c r="BD1034" s="73"/>
      <c r="BE1034" s="73"/>
      <c r="BF1034" s="73"/>
    </row>
    <row r="1035" spans="1:58" ht="15" customHeight="1">
      <c r="A1035" s="46" t="s">
        <v>5669</v>
      </c>
      <c r="B1035" s="50" t="s">
        <v>5670</v>
      </c>
      <c r="C1035" s="54" t="s">
        <v>118</v>
      </c>
      <c r="D1035" s="74">
        <v>4</v>
      </c>
      <c r="E1035" s="50" t="s">
        <v>384</v>
      </c>
      <c r="F1035" s="50"/>
      <c r="G1035" s="50"/>
      <c r="H1035" s="51"/>
      <c r="I1035" s="50" t="s">
        <v>5671</v>
      </c>
      <c r="J1035" s="54" t="s">
        <v>196</v>
      </c>
      <c r="K1035" s="56" t="s">
        <v>202</v>
      </c>
      <c r="L1035" s="56" t="s">
        <v>5672</v>
      </c>
      <c r="M1035" s="56"/>
      <c r="N1035" s="56"/>
      <c r="O1035" s="54"/>
      <c r="P1035" s="56" t="s">
        <v>86</v>
      </c>
      <c r="Q1035" s="56" t="s">
        <v>546</v>
      </c>
      <c r="R1035" s="50"/>
      <c r="S1035" s="50"/>
      <c r="T1035" s="50"/>
      <c r="U1035" s="50"/>
      <c r="V1035" s="57">
        <v>10.49</v>
      </c>
      <c r="W1035" s="68"/>
      <c r="X1035" s="50"/>
      <c r="Y1035" s="50"/>
      <c r="Z1035" s="50"/>
      <c r="AA1035" s="50"/>
      <c r="AB1035" s="57"/>
      <c r="AC1035" s="54">
        <v>0</v>
      </c>
      <c r="AD1035" s="54">
        <f>SUM(AE1035:AK1035)</f>
        <v>0</v>
      </c>
      <c r="AE1035" s="66"/>
      <c r="AF1035" s="66"/>
      <c r="AG1035" s="66"/>
      <c r="AH1035" s="66"/>
      <c r="AI1035" s="66"/>
      <c r="AJ1035" s="66"/>
      <c r="AK1035" s="66"/>
      <c r="AL1035" s="54">
        <f>IF((AC1035-SUM(AE1035:AK1035))&lt;0,0,AC1035-SUM(AE1035:AK1035))</f>
        <v>0</v>
      </c>
      <c r="AM1035" s="54">
        <f>SUM(AN1035:AT1035)</f>
        <v>0</v>
      </c>
      <c r="AN1035" s="54"/>
      <c r="AO1035" s="54"/>
      <c r="AP1035" s="54"/>
      <c r="AQ1035" s="54"/>
      <c r="AR1035" s="54"/>
      <c r="AS1035" s="54"/>
      <c r="AT1035" s="54"/>
      <c r="AU1035" s="54">
        <f>MAX(0,$AM1035-$AC1035-$AW1035)</f>
        <v>0</v>
      </c>
      <c r="AV1035" s="54"/>
      <c r="AW1035" s="54"/>
      <c r="AX1035" s="65">
        <v>0</v>
      </c>
      <c r="AY1035" s="57">
        <f>IF(AND($AU1035&gt;0,ISNUMBER($AX1035)),$AU1035*$AX1035,0)</f>
        <v>0</v>
      </c>
      <c r="AZ1035" s="72"/>
      <c r="BA1035" s="73"/>
      <c r="BB1035" s="73"/>
      <c r="BC1035" s="73"/>
      <c r="BD1035" s="73"/>
      <c r="BE1035" s="73"/>
      <c r="BF1035" s="73"/>
    </row>
    <row r="1036" spans="1:58" ht="15" customHeight="1">
      <c r="A1036" s="46" t="s">
        <v>5673</v>
      </c>
      <c r="B1036" s="50" t="s">
        <v>5674</v>
      </c>
      <c r="C1036" s="54" t="s">
        <v>70</v>
      </c>
      <c r="D1036" s="74">
        <v>4</v>
      </c>
      <c r="E1036" s="50" t="s">
        <v>384</v>
      </c>
      <c r="F1036" s="50"/>
      <c r="G1036" s="50"/>
      <c r="H1036" s="51"/>
      <c r="I1036" s="50" t="s">
        <v>5675</v>
      </c>
      <c r="J1036" s="54" t="s">
        <v>196</v>
      </c>
      <c r="K1036" s="56" t="s">
        <v>1493</v>
      </c>
      <c r="L1036" s="56" t="s">
        <v>5676</v>
      </c>
      <c r="M1036" s="56"/>
      <c r="N1036" s="56"/>
      <c r="O1036" s="54"/>
      <c r="P1036" s="56" t="s">
        <v>86</v>
      </c>
      <c r="Q1036" s="56" t="s">
        <v>5677</v>
      </c>
      <c r="R1036" s="54"/>
      <c r="S1036" s="54"/>
      <c r="T1036" s="54"/>
      <c r="U1036" s="54"/>
      <c r="V1036" s="57">
        <v>10.119999999999999</v>
      </c>
      <c r="W1036" s="68"/>
      <c r="X1036" s="54"/>
      <c r="Y1036" s="54"/>
      <c r="Z1036" s="54"/>
      <c r="AA1036" s="54"/>
      <c r="AB1036" s="57"/>
      <c r="AC1036" s="54">
        <v>0</v>
      </c>
      <c r="AD1036" s="54">
        <f>SUM(AE1036:AK1036)</f>
        <v>0</v>
      </c>
      <c r="AE1036" s="66"/>
      <c r="AF1036" s="66"/>
      <c r="AG1036" s="66"/>
      <c r="AH1036" s="66"/>
      <c r="AI1036" s="66"/>
      <c r="AJ1036" s="66"/>
      <c r="AK1036" s="66"/>
      <c r="AL1036" s="54">
        <f>IF((AC1036-SUM(AE1036:AK1036))&lt;0,0,AC1036-SUM(AE1036:AK1036))</f>
        <v>0</v>
      </c>
      <c r="AM1036" s="54">
        <f>SUM(AN1036:AT1036)</f>
        <v>0</v>
      </c>
      <c r="AN1036" s="54"/>
      <c r="AO1036" s="54"/>
      <c r="AP1036" s="54"/>
      <c r="AQ1036" s="54"/>
      <c r="AR1036" s="54"/>
      <c r="AS1036" s="54"/>
      <c r="AT1036" s="54"/>
      <c r="AU1036" s="54">
        <f>MAX(0,$AM1036-$AC1036-$AW1036)</f>
        <v>0</v>
      </c>
      <c r="AV1036" s="54"/>
      <c r="AW1036" s="54"/>
      <c r="AX1036" s="65">
        <v>0</v>
      </c>
      <c r="AY1036" s="57">
        <f>IF(AND($AU1036&gt;0,ISNUMBER($AX1036)),$AU1036*$AX1036,0)</f>
        <v>0</v>
      </c>
      <c r="AZ1036" s="72"/>
      <c r="BA1036" s="73"/>
      <c r="BB1036" s="73"/>
      <c r="BC1036" s="73"/>
      <c r="BD1036" s="73"/>
      <c r="BE1036" s="73"/>
      <c r="BF1036" s="73"/>
    </row>
    <row r="1037" spans="1:58" ht="15" customHeight="1">
      <c r="A1037" s="46" t="s">
        <v>5678</v>
      </c>
      <c r="B1037" s="50" t="s">
        <v>5679</v>
      </c>
      <c r="C1037" s="54" t="s">
        <v>109</v>
      </c>
      <c r="D1037" s="74">
        <v>3</v>
      </c>
      <c r="E1037" s="50" t="s">
        <v>110</v>
      </c>
      <c r="F1037" s="50">
        <v>2</v>
      </c>
      <c r="G1037" s="50">
        <v>3</v>
      </c>
      <c r="H1037" s="51" t="s">
        <v>1835</v>
      </c>
      <c r="I1037" s="50" t="s">
        <v>5680</v>
      </c>
      <c r="J1037" s="54" t="s">
        <v>196</v>
      </c>
      <c r="K1037" s="56" t="s">
        <v>273</v>
      </c>
      <c r="L1037" s="56" t="s">
        <v>5681</v>
      </c>
      <c r="M1037" s="56"/>
      <c r="N1037" s="56"/>
      <c r="O1037" s="54"/>
      <c r="P1037" s="56" t="s">
        <v>86</v>
      </c>
      <c r="Q1037" s="56" t="s">
        <v>2192</v>
      </c>
      <c r="R1037" s="54"/>
      <c r="S1037" s="54"/>
      <c r="T1037" s="54"/>
      <c r="U1037" s="54"/>
      <c r="V1037" s="57">
        <v>8.9600000000000009</v>
      </c>
      <c r="W1037" s="68"/>
      <c r="X1037" s="54"/>
      <c r="Y1037" s="54"/>
      <c r="Z1037" s="54"/>
      <c r="AA1037" s="54"/>
      <c r="AB1037" s="57"/>
      <c r="AC1037" s="54">
        <v>0</v>
      </c>
      <c r="AD1037" s="54">
        <f>SUM(AE1037:AK1037)</f>
        <v>0</v>
      </c>
      <c r="AE1037" s="66"/>
      <c r="AF1037" s="66"/>
      <c r="AG1037" s="66"/>
      <c r="AH1037" s="66"/>
      <c r="AI1037" s="66"/>
      <c r="AJ1037" s="66"/>
      <c r="AK1037" s="66"/>
      <c r="AL1037" s="54">
        <f>IF((AC1037-SUM(AE1037:AK1037))&lt;0,0,AC1037-SUM(AE1037:AK1037))</f>
        <v>0</v>
      </c>
      <c r="AM1037" s="54">
        <f>SUM(AN1037:AT1037)</f>
        <v>0</v>
      </c>
      <c r="AN1037" s="54"/>
      <c r="AO1037" s="54"/>
      <c r="AP1037" s="54"/>
      <c r="AQ1037" s="54"/>
      <c r="AR1037" s="54"/>
      <c r="AS1037" s="54"/>
      <c r="AT1037" s="54"/>
      <c r="AU1037" s="54">
        <f>MAX(0,$AM1037-$AC1037-$AW1037)</f>
        <v>0</v>
      </c>
      <c r="AV1037" s="54"/>
      <c r="AW1037" s="54"/>
      <c r="AX1037" s="65">
        <v>0</v>
      </c>
      <c r="AY1037" s="57">
        <f>IF(AND($AU1037&gt;0,ISNUMBER($AX1037)),$AU1037*$AX1037,0)</f>
        <v>0</v>
      </c>
      <c r="AZ1037" s="72"/>
      <c r="BA1037" s="73"/>
      <c r="BB1037" s="73"/>
      <c r="BC1037" s="73"/>
      <c r="BD1037" s="73"/>
      <c r="BE1037" s="73"/>
      <c r="BF1037" s="73"/>
    </row>
    <row r="1038" spans="1:58" ht="15" customHeight="1">
      <c r="A1038" s="46" t="s">
        <v>5682</v>
      </c>
      <c r="B1038" s="50" t="s">
        <v>5683</v>
      </c>
      <c r="C1038" s="54" t="s">
        <v>70</v>
      </c>
      <c r="D1038" s="74">
        <v>3</v>
      </c>
      <c r="E1038" s="50" t="s">
        <v>81</v>
      </c>
      <c r="F1038" s="50">
        <v>2</v>
      </c>
      <c r="G1038" s="50">
        <v>3</v>
      </c>
      <c r="H1038" s="51" t="s">
        <v>1771</v>
      </c>
      <c r="I1038" s="50" t="s">
        <v>5684</v>
      </c>
      <c r="J1038" s="54" t="s">
        <v>196</v>
      </c>
      <c r="K1038" s="56" t="s">
        <v>129</v>
      </c>
      <c r="L1038" s="56" t="s">
        <v>5685</v>
      </c>
      <c r="M1038" s="56"/>
      <c r="N1038" s="56"/>
      <c r="O1038" s="54"/>
      <c r="P1038" s="56" t="s">
        <v>86</v>
      </c>
      <c r="Q1038" s="56" t="s">
        <v>2492</v>
      </c>
      <c r="R1038" s="50"/>
      <c r="S1038" s="50"/>
      <c r="T1038" s="50"/>
      <c r="U1038" s="50"/>
      <c r="V1038" s="57">
        <v>8.08</v>
      </c>
      <c r="W1038" s="68"/>
      <c r="X1038" s="50"/>
      <c r="Y1038" s="50"/>
      <c r="Z1038" s="50"/>
      <c r="AA1038" s="50"/>
      <c r="AB1038" s="57"/>
      <c r="AC1038" s="54">
        <v>0</v>
      </c>
      <c r="AD1038" s="54">
        <f>SUM(AE1038:AK1038)</f>
        <v>0</v>
      </c>
      <c r="AE1038" s="66"/>
      <c r="AF1038" s="66"/>
      <c r="AG1038" s="66"/>
      <c r="AH1038" s="66"/>
      <c r="AI1038" s="66"/>
      <c r="AJ1038" s="66"/>
      <c r="AK1038" s="66"/>
      <c r="AL1038" s="54">
        <f>IF((AC1038-SUM(AE1038:AK1038))&lt;0,0,AC1038-SUM(AE1038:AK1038))</f>
        <v>0</v>
      </c>
      <c r="AM1038" s="54">
        <f>SUM(AN1038:AT1038)</f>
        <v>0</v>
      </c>
      <c r="AN1038" s="54"/>
      <c r="AO1038" s="54"/>
      <c r="AP1038" s="54"/>
      <c r="AQ1038" s="54"/>
      <c r="AR1038" s="54"/>
      <c r="AS1038" s="54"/>
      <c r="AT1038" s="54"/>
      <c r="AU1038" s="54">
        <f>MAX(0,$AM1038-$AC1038-$AW1038)</f>
        <v>0</v>
      </c>
      <c r="AV1038" s="54"/>
      <c r="AW1038" s="54"/>
      <c r="AX1038" s="65">
        <v>0</v>
      </c>
      <c r="AY1038" s="57">
        <f>IF(AND($AU1038&gt;0,ISNUMBER($AX1038)),$AU1038*$AX1038,0)</f>
        <v>0</v>
      </c>
      <c r="AZ1038" s="72"/>
      <c r="BA1038" s="73"/>
      <c r="BB1038" s="73"/>
      <c r="BC1038" s="73"/>
      <c r="BD1038" s="73"/>
      <c r="BE1038" s="73"/>
      <c r="BF1038" s="73"/>
    </row>
    <row r="1039" spans="1:58" ht="15" customHeight="1">
      <c r="A1039" s="46" t="s">
        <v>5686</v>
      </c>
      <c r="B1039" s="50" t="s">
        <v>5687</v>
      </c>
      <c r="C1039" s="54" t="s">
        <v>70</v>
      </c>
      <c r="D1039" s="74">
        <v>2</v>
      </c>
      <c r="E1039" s="50" t="s">
        <v>81</v>
      </c>
      <c r="F1039" s="50">
        <v>1</v>
      </c>
      <c r="G1039" s="50">
        <v>1</v>
      </c>
      <c r="H1039" s="51" t="s">
        <v>245</v>
      </c>
      <c r="I1039" s="50" t="s">
        <v>5688</v>
      </c>
      <c r="J1039" s="54" t="s">
        <v>196</v>
      </c>
      <c r="K1039" s="56" t="s">
        <v>2664</v>
      </c>
      <c r="L1039" s="56" t="s">
        <v>5689</v>
      </c>
      <c r="M1039" s="56"/>
      <c r="N1039" s="56"/>
      <c r="O1039" s="54"/>
      <c r="P1039" s="56" t="s">
        <v>185</v>
      </c>
      <c r="Q1039" s="56" t="s">
        <v>4427</v>
      </c>
      <c r="R1039" s="50"/>
      <c r="S1039" s="50"/>
      <c r="T1039" s="50"/>
      <c r="U1039" s="50"/>
      <c r="V1039" s="57">
        <v>6.8</v>
      </c>
      <c r="W1039" s="68"/>
      <c r="X1039" s="50"/>
      <c r="Y1039" s="50"/>
      <c r="Z1039" s="50"/>
      <c r="AA1039" s="50"/>
      <c r="AB1039" s="57"/>
      <c r="AC1039" s="54">
        <v>0</v>
      </c>
      <c r="AD1039" s="54">
        <f>SUM(AE1039:AK1039)</f>
        <v>0</v>
      </c>
      <c r="AE1039" s="66"/>
      <c r="AF1039" s="66"/>
      <c r="AG1039" s="66"/>
      <c r="AH1039" s="66"/>
      <c r="AI1039" s="66"/>
      <c r="AJ1039" s="66"/>
      <c r="AK1039" s="66"/>
      <c r="AL1039" s="54">
        <f>IF((AC1039-SUM(AE1039:AK1039))&lt;0,0,AC1039-SUM(AE1039:AK1039))</f>
        <v>0</v>
      </c>
      <c r="AM1039" s="54">
        <f>SUM(AN1039:AT1039)</f>
        <v>0</v>
      </c>
      <c r="AN1039" s="54"/>
      <c r="AO1039" s="54"/>
      <c r="AP1039" s="54"/>
      <c r="AQ1039" s="54"/>
      <c r="AR1039" s="54"/>
      <c r="AS1039" s="54"/>
      <c r="AT1039" s="54"/>
      <c r="AU1039" s="54">
        <f>MAX(0,$AM1039-$AC1039-$AW1039)</f>
        <v>0</v>
      </c>
      <c r="AV1039" s="54"/>
      <c r="AW1039" s="54"/>
      <c r="AX1039" s="65">
        <v>0</v>
      </c>
      <c r="AY1039" s="57">
        <f>IF(AND($AU1039&gt;0,ISNUMBER($AX1039)),$AU1039*$AX1039,0)</f>
        <v>0</v>
      </c>
      <c r="AZ1039" s="72"/>
      <c r="BA1039" s="73"/>
      <c r="BB1039" s="73"/>
      <c r="BC1039" s="73"/>
      <c r="BD1039" s="73"/>
      <c r="BE1039" s="73"/>
      <c r="BF1039" s="73"/>
    </row>
    <row r="1040" spans="1:58" ht="15" customHeight="1">
      <c r="A1040" s="46" t="s">
        <v>5690</v>
      </c>
      <c r="B1040" s="50" t="s">
        <v>5691</v>
      </c>
      <c r="C1040" s="54" t="s">
        <v>118</v>
      </c>
      <c r="D1040" s="74">
        <v>7</v>
      </c>
      <c r="E1040" s="50" t="s">
        <v>71</v>
      </c>
      <c r="F1040" s="50"/>
      <c r="G1040" s="50"/>
      <c r="H1040" s="51"/>
      <c r="I1040" s="50" t="s">
        <v>5692</v>
      </c>
      <c r="J1040" s="54" t="s">
        <v>196</v>
      </c>
      <c r="K1040" s="56" t="s">
        <v>170</v>
      </c>
      <c r="L1040" s="56" t="s">
        <v>5692</v>
      </c>
      <c r="M1040" s="56"/>
      <c r="N1040" s="56"/>
      <c r="O1040" s="54"/>
      <c r="P1040" s="56" t="s">
        <v>86</v>
      </c>
      <c r="Q1040" s="56" t="s">
        <v>721</v>
      </c>
      <c r="R1040" s="54"/>
      <c r="S1040" s="54"/>
      <c r="T1040" s="54"/>
      <c r="U1040" s="54"/>
      <c r="V1040" s="57">
        <v>6.68</v>
      </c>
      <c r="W1040" s="68"/>
      <c r="X1040" s="54"/>
      <c r="Y1040" s="54"/>
      <c r="Z1040" s="54"/>
      <c r="AA1040" s="54"/>
      <c r="AB1040" s="57"/>
      <c r="AC1040" s="54">
        <v>0</v>
      </c>
      <c r="AD1040" s="54">
        <f>SUM(AE1040:AK1040)</f>
        <v>0</v>
      </c>
      <c r="AE1040" s="66"/>
      <c r="AF1040" s="66"/>
      <c r="AG1040" s="66"/>
      <c r="AH1040" s="66"/>
      <c r="AI1040" s="66"/>
      <c r="AJ1040" s="66"/>
      <c r="AK1040" s="66"/>
      <c r="AL1040" s="54">
        <f>IF((AC1040-SUM(AE1040:AK1040))&lt;0,0,AC1040-SUM(AE1040:AK1040))</f>
        <v>0</v>
      </c>
      <c r="AM1040" s="54">
        <f>SUM(AN1040:AT1040)</f>
        <v>0</v>
      </c>
      <c r="AN1040" s="54"/>
      <c r="AO1040" s="54"/>
      <c r="AP1040" s="54"/>
      <c r="AQ1040" s="54"/>
      <c r="AR1040" s="54"/>
      <c r="AS1040" s="54"/>
      <c r="AT1040" s="54"/>
      <c r="AU1040" s="54">
        <f>MAX(0,$AM1040-$AC1040-$AW1040)</f>
        <v>0</v>
      </c>
      <c r="AV1040" s="54"/>
      <c r="AW1040" s="54"/>
      <c r="AX1040" s="65">
        <v>0</v>
      </c>
      <c r="AY1040" s="57">
        <f>IF(AND($AU1040&gt;0,ISNUMBER($AX1040)),$AU1040*$AX1040,0)</f>
        <v>0</v>
      </c>
      <c r="AZ1040" s="72"/>
      <c r="BA1040" s="73"/>
      <c r="BB1040" s="73"/>
      <c r="BC1040" s="73"/>
      <c r="BD1040" s="73"/>
      <c r="BE1040" s="73"/>
      <c r="BF1040" s="73"/>
    </row>
    <row r="1041" spans="1:58" ht="15" customHeight="1">
      <c r="A1041" s="46" t="s">
        <v>5693</v>
      </c>
      <c r="B1041" s="50" t="s">
        <v>5694</v>
      </c>
      <c r="C1041" s="54" t="s">
        <v>118</v>
      </c>
      <c r="D1041" s="74">
        <v>6</v>
      </c>
      <c r="E1041" s="50" t="s">
        <v>71</v>
      </c>
      <c r="F1041" s="50"/>
      <c r="G1041" s="50"/>
      <c r="H1041" s="51"/>
      <c r="I1041" s="50" t="s">
        <v>5695</v>
      </c>
      <c r="J1041" s="54" t="s">
        <v>196</v>
      </c>
      <c r="K1041" s="56" t="s">
        <v>424</v>
      </c>
      <c r="L1041" s="56" t="s">
        <v>5695</v>
      </c>
      <c r="M1041" s="56"/>
      <c r="N1041" s="56"/>
      <c r="O1041" s="54"/>
      <c r="P1041" s="56" t="s">
        <v>86</v>
      </c>
      <c r="Q1041" s="56" t="s">
        <v>2294</v>
      </c>
      <c r="R1041" s="50"/>
      <c r="S1041" s="50"/>
      <c r="T1041" s="50"/>
      <c r="U1041" s="50"/>
      <c r="V1041" s="57">
        <v>6.17</v>
      </c>
      <c r="W1041" s="68"/>
      <c r="X1041" s="50"/>
      <c r="Y1041" s="50"/>
      <c r="Z1041" s="50"/>
      <c r="AA1041" s="50"/>
      <c r="AB1041" s="57"/>
      <c r="AC1041" s="54">
        <v>0</v>
      </c>
      <c r="AD1041" s="54">
        <f>SUM(AE1041:AK1041)</f>
        <v>0</v>
      </c>
      <c r="AE1041" s="66"/>
      <c r="AF1041" s="66"/>
      <c r="AG1041" s="66"/>
      <c r="AH1041" s="66"/>
      <c r="AI1041" s="66"/>
      <c r="AJ1041" s="66"/>
      <c r="AK1041" s="66"/>
      <c r="AL1041" s="54">
        <f>IF((AC1041-SUM(AE1041:AK1041))&lt;0,0,AC1041-SUM(AE1041:AK1041))</f>
        <v>0</v>
      </c>
      <c r="AM1041" s="54">
        <f>SUM(AN1041:AT1041)</f>
        <v>0</v>
      </c>
      <c r="AN1041" s="54"/>
      <c r="AO1041" s="54"/>
      <c r="AP1041" s="54"/>
      <c r="AQ1041" s="54"/>
      <c r="AR1041" s="54"/>
      <c r="AS1041" s="54"/>
      <c r="AT1041" s="54"/>
      <c r="AU1041" s="54">
        <f>MAX(0,$AM1041-$AC1041-$AW1041)</f>
        <v>0</v>
      </c>
      <c r="AV1041" s="54"/>
      <c r="AW1041" s="54"/>
      <c r="AX1041" s="65">
        <v>0</v>
      </c>
      <c r="AY1041" s="57">
        <f>IF(AND($AU1041&gt;0,ISNUMBER($AX1041)),$AU1041*$AX1041,0)</f>
        <v>0</v>
      </c>
      <c r="AZ1041" s="72"/>
      <c r="BA1041" s="73"/>
      <c r="BB1041" s="73"/>
      <c r="BC1041" s="73"/>
      <c r="BD1041" s="73"/>
      <c r="BE1041" s="73"/>
      <c r="BF1041" s="73"/>
    </row>
    <row r="1042" spans="1:58" ht="15" customHeight="1">
      <c r="A1042" s="46" t="s">
        <v>5696</v>
      </c>
      <c r="B1042" s="50" t="s">
        <v>5697</v>
      </c>
      <c r="C1042" s="54" t="s">
        <v>232</v>
      </c>
      <c r="D1042" s="74">
        <v>4</v>
      </c>
      <c r="E1042" s="50" t="s">
        <v>233</v>
      </c>
      <c r="F1042" s="50"/>
      <c r="G1042" s="50"/>
      <c r="H1042" s="51"/>
      <c r="I1042" s="50" t="s">
        <v>5698</v>
      </c>
      <c r="J1042" s="54" t="s">
        <v>196</v>
      </c>
      <c r="K1042" s="56" t="s">
        <v>550</v>
      </c>
      <c r="L1042" s="56" t="s">
        <v>5699</v>
      </c>
      <c r="M1042" s="56"/>
      <c r="N1042" s="56"/>
      <c r="O1042" s="54"/>
      <c r="P1042" s="56" t="s">
        <v>86</v>
      </c>
      <c r="Q1042" s="56" t="s">
        <v>2192</v>
      </c>
      <c r="R1042" s="50"/>
      <c r="S1042" s="50"/>
      <c r="T1042" s="50"/>
      <c r="U1042" s="50"/>
      <c r="V1042" s="57">
        <v>6.15</v>
      </c>
      <c r="W1042" s="68"/>
      <c r="X1042" s="50"/>
      <c r="Y1042" s="50"/>
      <c r="Z1042" s="50"/>
      <c r="AA1042" s="50"/>
      <c r="AB1042" s="57"/>
      <c r="AC1042" s="54">
        <v>0</v>
      </c>
      <c r="AD1042" s="54">
        <f>SUM(AE1042:AK1042)</f>
        <v>0</v>
      </c>
      <c r="AE1042" s="66"/>
      <c r="AF1042" s="66"/>
      <c r="AG1042" s="66"/>
      <c r="AH1042" s="66"/>
      <c r="AI1042" s="66"/>
      <c r="AJ1042" s="66"/>
      <c r="AK1042" s="66"/>
      <c r="AL1042" s="54">
        <f>IF((AC1042-SUM(AE1042:AK1042))&lt;0,0,AC1042-SUM(AE1042:AK1042))</f>
        <v>0</v>
      </c>
      <c r="AM1042" s="54">
        <f>SUM(AN1042:AT1042)</f>
        <v>0</v>
      </c>
      <c r="AN1042" s="54"/>
      <c r="AO1042" s="54"/>
      <c r="AP1042" s="54"/>
      <c r="AQ1042" s="54"/>
      <c r="AR1042" s="54"/>
      <c r="AS1042" s="54"/>
      <c r="AT1042" s="54"/>
      <c r="AU1042" s="54">
        <f>MAX(0,$AM1042-$AC1042-$AW1042)</f>
        <v>0</v>
      </c>
      <c r="AV1042" s="54"/>
      <c r="AW1042" s="54"/>
      <c r="AX1042" s="65">
        <v>0</v>
      </c>
      <c r="AY1042" s="57">
        <f>IF(AND($AU1042&gt;0,ISNUMBER($AX1042)),$AU1042*$AX1042,0)</f>
        <v>0</v>
      </c>
      <c r="AZ1042" s="72"/>
      <c r="BA1042" s="73"/>
      <c r="BB1042" s="73"/>
      <c r="BC1042" s="73"/>
      <c r="BD1042" s="73"/>
      <c r="BE1042" s="73"/>
      <c r="BF1042" s="73"/>
    </row>
    <row r="1043" spans="1:58" ht="15" customHeight="1">
      <c r="A1043" s="46" t="s">
        <v>5700</v>
      </c>
      <c r="B1043" s="50" t="s">
        <v>5701</v>
      </c>
      <c r="C1043" s="54" t="s">
        <v>109</v>
      </c>
      <c r="D1043" s="74">
        <v>5</v>
      </c>
      <c r="E1043" s="50" t="s">
        <v>189</v>
      </c>
      <c r="F1043" s="50"/>
      <c r="G1043" s="50"/>
      <c r="H1043" s="51"/>
      <c r="I1043" s="50" t="s">
        <v>5702</v>
      </c>
      <c r="J1043" s="54" t="s">
        <v>196</v>
      </c>
      <c r="K1043" s="56" t="s">
        <v>254</v>
      </c>
      <c r="L1043" s="56" t="s">
        <v>5703</v>
      </c>
      <c r="M1043" s="56"/>
      <c r="N1043" s="56"/>
      <c r="O1043" s="54"/>
      <c r="P1043" s="56" t="s">
        <v>86</v>
      </c>
      <c r="Q1043" s="56" t="s">
        <v>2216</v>
      </c>
      <c r="R1043" s="50"/>
      <c r="S1043" s="50"/>
      <c r="T1043" s="50"/>
      <c r="U1043" s="50"/>
      <c r="V1043" s="57">
        <v>5.95</v>
      </c>
      <c r="W1043" s="68"/>
      <c r="X1043" s="50"/>
      <c r="Y1043" s="50"/>
      <c r="Z1043" s="50"/>
      <c r="AA1043" s="50"/>
      <c r="AB1043" s="57"/>
      <c r="AC1043" s="54">
        <v>0</v>
      </c>
      <c r="AD1043" s="54">
        <f>SUM(AE1043:AK1043)</f>
        <v>0</v>
      </c>
      <c r="AE1043" s="66"/>
      <c r="AF1043" s="66"/>
      <c r="AG1043" s="66"/>
      <c r="AH1043" s="66"/>
      <c r="AI1043" s="66"/>
      <c r="AJ1043" s="66"/>
      <c r="AK1043" s="66"/>
      <c r="AL1043" s="54">
        <f>IF((AC1043-SUM(AE1043:AK1043))&lt;0,0,AC1043-SUM(AE1043:AK1043))</f>
        <v>0</v>
      </c>
      <c r="AM1043" s="54">
        <f>SUM(AN1043:AT1043)</f>
        <v>0</v>
      </c>
      <c r="AN1043" s="54"/>
      <c r="AO1043" s="54"/>
      <c r="AP1043" s="54"/>
      <c r="AQ1043" s="54"/>
      <c r="AR1043" s="54"/>
      <c r="AS1043" s="54"/>
      <c r="AT1043" s="54"/>
      <c r="AU1043" s="54">
        <f>MAX(0,$AM1043-$AC1043-$AW1043)</f>
        <v>0</v>
      </c>
      <c r="AV1043" s="54"/>
      <c r="AW1043" s="54"/>
      <c r="AX1043" s="65">
        <v>0</v>
      </c>
      <c r="AY1043" s="57">
        <f>IF(AND($AU1043&gt;0,ISNUMBER($AX1043)),$AU1043*$AX1043,0)</f>
        <v>0</v>
      </c>
      <c r="AZ1043" s="72"/>
      <c r="BA1043" s="73"/>
      <c r="BB1043" s="73"/>
      <c r="BC1043" s="73"/>
      <c r="BD1043" s="73"/>
      <c r="BE1043" s="73"/>
      <c r="BF1043" s="73"/>
    </row>
    <row r="1044" spans="1:58" ht="15" customHeight="1">
      <c r="A1044" s="46" t="s">
        <v>5704</v>
      </c>
      <c r="B1044" s="50" t="s">
        <v>5705</v>
      </c>
      <c r="C1044" s="54" t="s">
        <v>109</v>
      </c>
      <c r="D1044" s="74">
        <v>4</v>
      </c>
      <c r="E1044" s="50" t="s">
        <v>110</v>
      </c>
      <c r="F1044" s="50">
        <v>1</v>
      </c>
      <c r="G1044" s="50">
        <v>1</v>
      </c>
      <c r="H1044" s="51" t="s">
        <v>5706</v>
      </c>
      <c r="I1044" s="50" t="s">
        <v>5707</v>
      </c>
      <c r="J1044" s="54" t="s">
        <v>196</v>
      </c>
      <c r="K1044" s="56" t="s">
        <v>129</v>
      </c>
      <c r="L1044" s="56" t="s">
        <v>5708</v>
      </c>
      <c r="M1044" s="56"/>
      <c r="N1044" s="56"/>
      <c r="O1044" s="54"/>
      <c r="P1044" s="56" t="s">
        <v>114</v>
      </c>
      <c r="Q1044" s="56" t="s">
        <v>1405</v>
      </c>
      <c r="R1044" s="50"/>
      <c r="S1044" s="50"/>
      <c r="T1044" s="50"/>
      <c r="U1044" s="50"/>
      <c r="V1044" s="57">
        <v>5.57</v>
      </c>
      <c r="W1044" s="68"/>
      <c r="X1044" s="50"/>
      <c r="Y1044" s="50"/>
      <c r="Z1044" s="50"/>
      <c r="AA1044" s="50"/>
      <c r="AB1044" s="57"/>
      <c r="AC1044" s="54">
        <v>0</v>
      </c>
      <c r="AD1044" s="54">
        <f>SUM(AE1044:AK1044)</f>
        <v>0</v>
      </c>
      <c r="AE1044" s="66"/>
      <c r="AF1044" s="66"/>
      <c r="AG1044" s="66"/>
      <c r="AH1044" s="66"/>
      <c r="AI1044" s="66"/>
      <c r="AJ1044" s="66"/>
      <c r="AK1044" s="66"/>
      <c r="AL1044" s="54">
        <f>IF((AC1044-SUM(AE1044:AK1044))&lt;0,0,AC1044-SUM(AE1044:AK1044))</f>
        <v>0</v>
      </c>
      <c r="AM1044" s="54">
        <f>SUM(AN1044:AT1044)</f>
        <v>0</v>
      </c>
      <c r="AN1044" s="54"/>
      <c r="AO1044" s="54"/>
      <c r="AP1044" s="54"/>
      <c r="AQ1044" s="54"/>
      <c r="AR1044" s="54"/>
      <c r="AS1044" s="54"/>
      <c r="AT1044" s="54"/>
      <c r="AU1044" s="54">
        <f>MAX(0,$AM1044-$AC1044-$AW1044)</f>
        <v>0</v>
      </c>
      <c r="AV1044" s="54"/>
      <c r="AW1044" s="54"/>
      <c r="AX1044" s="65">
        <v>0</v>
      </c>
      <c r="AY1044" s="57">
        <f>IF(AND($AU1044&gt;0,ISNUMBER($AX1044)),$AU1044*$AX1044,0)</f>
        <v>0</v>
      </c>
      <c r="AZ1044" s="72"/>
      <c r="BA1044" s="73"/>
      <c r="BB1044" s="73"/>
      <c r="BC1044" s="73"/>
      <c r="BD1044" s="73"/>
      <c r="BE1044" s="73"/>
      <c r="BF1044" s="73"/>
    </row>
    <row r="1045" spans="1:58" ht="15" customHeight="1">
      <c r="A1045" s="46" t="s">
        <v>5709</v>
      </c>
      <c r="B1045" s="50" t="s">
        <v>5710</v>
      </c>
      <c r="C1045" s="54" t="s">
        <v>232</v>
      </c>
      <c r="D1045" s="74">
        <v>0</v>
      </c>
      <c r="E1045" s="50" t="s">
        <v>312</v>
      </c>
      <c r="F1045" s="50"/>
      <c r="G1045" s="50"/>
      <c r="H1045" s="51"/>
      <c r="I1045" s="50" t="s">
        <v>5711</v>
      </c>
      <c r="J1045" s="54" t="s">
        <v>196</v>
      </c>
      <c r="K1045" s="56" t="s">
        <v>312</v>
      </c>
      <c r="L1045" s="56" t="s">
        <v>5711</v>
      </c>
      <c r="M1045" s="56"/>
      <c r="N1045" s="56"/>
      <c r="O1045" s="54"/>
      <c r="P1045" s="56" t="s">
        <v>86</v>
      </c>
      <c r="Q1045" s="56" t="s">
        <v>141</v>
      </c>
      <c r="R1045" s="50"/>
      <c r="S1045" s="50"/>
      <c r="T1045" s="50"/>
      <c r="U1045" s="50"/>
      <c r="V1045" s="57">
        <v>5.38</v>
      </c>
      <c r="W1045" s="68"/>
      <c r="X1045" s="50"/>
      <c r="Y1045" s="50"/>
      <c r="Z1045" s="50"/>
      <c r="AA1045" s="50"/>
      <c r="AB1045" s="57"/>
      <c r="AC1045" s="54">
        <v>0</v>
      </c>
      <c r="AD1045" s="54">
        <f>SUM(AE1045:AK1045)</f>
        <v>0</v>
      </c>
      <c r="AE1045" s="66"/>
      <c r="AF1045" s="66"/>
      <c r="AG1045" s="66"/>
      <c r="AH1045" s="66"/>
      <c r="AI1045" s="66"/>
      <c r="AJ1045" s="66"/>
      <c r="AK1045" s="66"/>
      <c r="AL1045" s="54">
        <f>IF((AC1045-SUM(AE1045:AK1045))&lt;0,0,AC1045-SUM(AE1045:AK1045))</f>
        <v>0</v>
      </c>
      <c r="AM1045" s="54">
        <f>SUM(AN1045:AT1045)</f>
        <v>0</v>
      </c>
      <c r="AN1045" s="54"/>
      <c r="AO1045" s="54"/>
      <c r="AP1045" s="54"/>
      <c r="AQ1045" s="54"/>
      <c r="AR1045" s="54"/>
      <c r="AS1045" s="54"/>
      <c r="AT1045" s="54"/>
      <c r="AU1045" s="54">
        <f>MAX(0,$AM1045-$AC1045-$AW1045)</f>
        <v>0</v>
      </c>
      <c r="AV1045" s="54"/>
      <c r="AW1045" s="54"/>
      <c r="AX1045" s="65">
        <v>0</v>
      </c>
      <c r="AY1045" s="57">
        <f>IF(AND($AU1045&gt;0,ISNUMBER($AX1045)),$AU1045*$AX1045,0)</f>
        <v>0</v>
      </c>
      <c r="AZ1045" s="72"/>
      <c r="BA1045" s="73"/>
      <c r="BB1045" s="73"/>
      <c r="BC1045" s="73"/>
      <c r="BD1045" s="73"/>
      <c r="BE1045" s="73"/>
      <c r="BF1045" s="73"/>
    </row>
    <row r="1046" spans="1:58" ht="15" customHeight="1">
      <c r="A1046" s="46" t="s">
        <v>5712</v>
      </c>
      <c r="B1046" s="50" t="s">
        <v>5713</v>
      </c>
      <c r="C1046" s="54" t="s">
        <v>70</v>
      </c>
      <c r="D1046" s="74">
        <v>3</v>
      </c>
      <c r="E1046" s="50" t="s">
        <v>384</v>
      </c>
      <c r="F1046" s="50"/>
      <c r="G1046" s="50"/>
      <c r="H1046" s="51"/>
      <c r="I1046" s="50" t="s">
        <v>5714</v>
      </c>
      <c r="J1046" s="54" t="s">
        <v>196</v>
      </c>
      <c r="K1046" s="56" t="s">
        <v>261</v>
      </c>
      <c r="L1046" s="56" t="s">
        <v>5714</v>
      </c>
      <c r="M1046" s="56"/>
      <c r="N1046" s="56"/>
      <c r="O1046" s="54"/>
      <c r="P1046" s="56" t="s">
        <v>86</v>
      </c>
      <c r="Q1046" s="56" t="s">
        <v>742</v>
      </c>
      <c r="R1046" s="54"/>
      <c r="S1046" s="54"/>
      <c r="T1046" s="54"/>
      <c r="U1046" s="54"/>
      <c r="V1046" s="57">
        <v>5.2</v>
      </c>
      <c r="W1046" s="68"/>
      <c r="X1046" s="54"/>
      <c r="Y1046" s="54"/>
      <c r="Z1046" s="54"/>
      <c r="AA1046" s="54"/>
      <c r="AB1046" s="57"/>
      <c r="AC1046" s="54">
        <v>0</v>
      </c>
      <c r="AD1046" s="54">
        <f>SUM(AE1046:AK1046)</f>
        <v>0</v>
      </c>
      <c r="AE1046" s="66"/>
      <c r="AF1046" s="66"/>
      <c r="AG1046" s="66"/>
      <c r="AH1046" s="66"/>
      <c r="AI1046" s="66"/>
      <c r="AJ1046" s="66"/>
      <c r="AK1046" s="66"/>
      <c r="AL1046" s="54">
        <f>IF((AC1046-SUM(AE1046:AK1046))&lt;0,0,AC1046-SUM(AE1046:AK1046))</f>
        <v>0</v>
      </c>
      <c r="AM1046" s="54">
        <f>SUM(AN1046:AT1046)</f>
        <v>0</v>
      </c>
      <c r="AN1046" s="54"/>
      <c r="AO1046" s="54"/>
      <c r="AP1046" s="54"/>
      <c r="AQ1046" s="54"/>
      <c r="AR1046" s="54"/>
      <c r="AS1046" s="54"/>
      <c r="AT1046" s="54"/>
      <c r="AU1046" s="54">
        <f>MAX(0,$AM1046-$AC1046-$AW1046)</f>
        <v>0</v>
      </c>
      <c r="AV1046" s="54"/>
      <c r="AW1046" s="54"/>
      <c r="AX1046" s="65">
        <v>0</v>
      </c>
      <c r="AY1046" s="57">
        <f>IF(AND($AU1046&gt;0,ISNUMBER($AX1046)),$AU1046*$AX1046,0)</f>
        <v>0</v>
      </c>
      <c r="AZ1046" s="72"/>
      <c r="BA1046" s="73"/>
      <c r="BB1046" s="73"/>
      <c r="BC1046" s="73"/>
      <c r="BD1046" s="73"/>
      <c r="BE1046" s="73"/>
      <c r="BF1046" s="73"/>
    </row>
    <row r="1047" spans="1:58" ht="15" customHeight="1">
      <c r="A1047" s="46" t="s">
        <v>5715</v>
      </c>
      <c r="B1047" s="50" t="s">
        <v>5716</v>
      </c>
      <c r="C1047" s="54" t="s">
        <v>181</v>
      </c>
      <c r="D1047" s="74">
        <v>3</v>
      </c>
      <c r="E1047" s="50" t="s">
        <v>110</v>
      </c>
      <c r="F1047" s="50">
        <v>3</v>
      </c>
      <c r="G1047" s="50">
        <v>3</v>
      </c>
      <c r="H1047" s="51" t="s">
        <v>5717</v>
      </c>
      <c r="I1047" s="50" t="s">
        <v>5718</v>
      </c>
      <c r="J1047" s="54" t="s">
        <v>73</v>
      </c>
      <c r="K1047" s="50" t="s">
        <v>92</v>
      </c>
      <c r="L1047" s="50" t="s">
        <v>5719</v>
      </c>
      <c r="M1047" s="50"/>
      <c r="N1047" s="50"/>
      <c r="O1047" s="54"/>
      <c r="P1047" s="56" t="s">
        <v>86</v>
      </c>
      <c r="Q1047" s="50" t="s">
        <v>528</v>
      </c>
      <c r="R1047" s="56"/>
      <c r="S1047" s="54"/>
      <c r="T1047" s="54"/>
      <c r="U1047" s="56"/>
      <c r="V1047" s="57">
        <v>4.93</v>
      </c>
      <c r="W1047" s="68"/>
      <c r="X1047" s="56"/>
      <c r="Y1047" s="54"/>
      <c r="Z1047" s="54"/>
      <c r="AA1047" s="56"/>
      <c r="AB1047" s="57"/>
      <c r="AC1047" s="54">
        <v>0</v>
      </c>
      <c r="AD1047" s="54">
        <f>SUM(AE1047:AK1047)</f>
        <v>0</v>
      </c>
      <c r="AE1047" s="66"/>
      <c r="AF1047" s="66"/>
      <c r="AG1047" s="66"/>
      <c r="AH1047" s="66"/>
      <c r="AI1047" s="66"/>
      <c r="AJ1047" s="66"/>
      <c r="AK1047" s="66"/>
      <c r="AL1047" s="54">
        <f>IF((AC1047-SUM(AE1047:AK1047))&lt;0,0,AC1047-SUM(AE1047:AK1047))</f>
        <v>0</v>
      </c>
      <c r="AM1047" s="54">
        <f>SUM(AN1047:AT1047)</f>
        <v>0</v>
      </c>
      <c r="AN1047" s="52"/>
      <c r="AO1047" s="52"/>
      <c r="AP1047" s="52"/>
      <c r="AQ1047" s="52"/>
      <c r="AR1047" s="52"/>
      <c r="AS1047" s="52"/>
      <c r="AT1047" s="52"/>
      <c r="AU1047" s="54">
        <f>MAX(0,$AM1047-$AC1047-$AW1047)</f>
        <v>0</v>
      </c>
      <c r="AV1047" s="54"/>
      <c r="AW1047" s="54"/>
      <c r="AX1047" s="65">
        <v>0</v>
      </c>
      <c r="AY1047" s="57">
        <f>IF(AND($AU1047&gt;0,ISNUMBER($AX1047)),$AU1047*$AX1047,0)</f>
        <v>0</v>
      </c>
      <c r="AZ1047" s="46"/>
      <c r="BA1047" s="52"/>
      <c r="BB1047" s="52"/>
      <c r="BC1047" s="52"/>
      <c r="BD1047" s="52"/>
      <c r="BE1047" s="52"/>
      <c r="BF1047" s="52"/>
    </row>
    <row r="1048" spans="1:58" ht="15" customHeight="1">
      <c r="A1048" s="46" t="s">
        <v>5720</v>
      </c>
      <c r="B1048" s="50" t="s">
        <v>5721</v>
      </c>
      <c r="C1048" s="54" t="s">
        <v>109</v>
      </c>
      <c r="D1048" s="74">
        <v>3</v>
      </c>
      <c r="E1048" s="50" t="s">
        <v>110</v>
      </c>
      <c r="F1048" s="50">
        <v>1</v>
      </c>
      <c r="G1048" s="50">
        <v>2</v>
      </c>
      <c r="H1048" s="51" t="s">
        <v>1232</v>
      </c>
      <c r="I1048" s="50" t="s">
        <v>5722</v>
      </c>
      <c r="J1048" s="54" t="s">
        <v>196</v>
      </c>
      <c r="K1048" s="56" t="s">
        <v>129</v>
      </c>
      <c r="L1048" s="56" t="s">
        <v>5723</v>
      </c>
      <c r="M1048" s="56"/>
      <c r="N1048" s="56"/>
      <c r="O1048" s="54"/>
      <c r="P1048" s="56" t="s">
        <v>86</v>
      </c>
      <c r="Q1048" s="56" t="s">
        <v>2201</v>
      </c>
      <c r="R1048" s="50"/>
      <c r="S1048" s="50"/>
      <c r="T1048" s="50"/>
      <c r="U1048" s="50"/>
      <c r="V1048" s="57">
        <v>4.6399999999999997</v>
      </c>
      <c r="W1048" s="68"/>
      <c r="X1048" s="50"/>
      <c r="Y1048" s="50"/>
      <c r="Z1048" s="50"/>
      <c r="AA1048" s="50"/>
      <c r="AB1048" s="57"/>
      <c r="AC1048" s="54">
        <v>0</v>
      </c>
      <c r="AD1048" s="54">
        <f>SUM(AE1048:AK1048)</f>
        <v>0</v>
      </c>
      <c r="AE1048" s="66"/>
      <c r="AF1048" s="66"/>
      <c r="AG1048" s="66"/>
      <c r="AH1048" s="66"/>
      <c r="AI1048" s="66"/>
      <c r="AJ1048" s="66"/>
      <c r="AK1048" s="66"/>
      <c r="AL1048" s="54">
        <f>IF((AC1048-SUM(AE1048:AK1048))&lt;0,0,AC1048-SUM(AE1048:AK1048))</f>
        <v>0</v>
      </c>
      <c r="AM1048" s="54">
        <f>SUM(AN1048:AT1048)</f>
        <v>0</v>
      </c>
      <c r="AN1048" s="54"/>
      <c r="AO1048" s="54"/>
      <c r="AP1048" s="54"/>
      <c r="AQ1048" s="54"/>
      <c r="AR1048" s="54"/>
      <c r="AS1048" s="54"/>
      <c r="AT1048" s="54"/>
      <c r="AU1048" s="54">
        <f>MAX(0,$AM1048-$AC1048-$AW1048)</f>
        <v>0</v>
      </c>
      <c r="AV1048" s="54"/>
      <c r="AW1048" s="54"/>
      <c r="AX1048" s="65">
        <v>0</v>
      </c>
      <c r="AY1048" s="57">
        <f>IF(AND($AU1048&gt;0,ISNUMBER($AX1048)),$AU1048*$AX1048,0)</f>
        <v>0</v>
      </c>
      <c r="AZ1048" s="72"/>
      <c r="BA1048" s="73"/>
      <c r="BB1048" s="73"/>
      <c r="BC1048" s="73"/>
      <c r="BD1048" s="73"/>
      <c r="BE1048" s="73"/>
      <c r="BF1048" s="73"/>
    </row>
    <row r="1049" spans="1:58" ht="15" customHeight="1">
      <c r="A1049" s="46" t="s">
        <v>5724</v>
      </c>
      <c r="B1049" s="50" t="s">
        <v>5725</v>
      </c>
      <c r="C1049" s="54" t="s">
        <v>101</v>
      </c>
      <c r="D1049" s="74">
        <v>3</v>
      </c>
      <c r="E1049" s="50" t="s">
        <v>110</v>
      </c>
      <c r="F1049" s="50">
        <v>1</v>
      </c>
      <c r="G1049" s="50">
        <v>1</v>
      </c>
      <c r="H1049" s="51" t="s">
        <v>5726</v>
      </c>
      <c r="I1049" s="50" t="s">
        <v>5727</v>
      </c>
      <c r="J1049" s="54" t="s">
        <v>196</v>
      </c>
      <c r="K1049" s="56" t="s">
        <v>661</v>
      </c>
      <c r="L1049" s="56" t="s">
        <v>5728</v>
      </c>
      <c r="M1049" s="56"/>
      <c r="N1049" s="56"/>
      <c r="O1049" s="54"/>
      <c r="P1049" s="56" t="s">
        <v>86</v>
      </c>
      <c r="Q1049" s="56" t="s">
        <v>137</v>
      </c>
      <c r="R1049" s="50"/>
      <c r="S1049" s="50"/>
      <c r="T1049" s="50"/>
      <c r="U1049" s="50"/>
      <c r="V1049" s="57">
        <v>4.4800000000000004</v>
      </c>
      <c r="W1049" s="68"/>
      <c r="X1049" s="50"/>
      <c r="Y1049" s="50"/>
      <c r="Z1049" s="50"/>
      <c r="AA1049" s="50"/>
      <c r="AB1049" s="57"/>
      <c r="AC1049" s="54">
        <v>0</v>
      </c>
      <c r="AD1049" s="54">
        <f>SUM(AE1049:AK1049)</f>
        <v>0</v>
      </c>
      <c r="AE1049" s="66"/>
      <c r="AF1049" s="66"/>
      <c r="AG1049" s="66"/>
      <c r="AH1049" s="66"/>
      <c r="AI1049" s="66"/>
      <c r="AJ1049" s="66"/>
      <c r="AK1049" s="66"/>
      <c r="AL1049" s="54">
        <f>IF((AC1049-SUM(AE1049:AK1049))&lt;0,0,AC1049-SUM(AE1049:AK1049))</f>
        <v>0</v>
      </c>
      <c r="AM1049" s="54">
        <f>SUM(AN1049:AT1049)</f>
        <v>0</v>
      </c>
      <c r="AN1049" s="54"/>
      <c r="AO1049" s="54"/>
      <c r="AP1049" s="54"/>
      <c r="AQ1049" s="54"/>
      <c r="AR1049" s="54"/>
      <c r="AS1049" s="54"/>
      <c r="AT1049" s="54"/>
      <c r="AU1049" s="54">
        <f>MAX(0,$AM1049-$AC1049-$AW1049)</f>
        <v>0</v>
      </c>
      <c r="AV1049" s="54"/>
      <c r="AW1049" s="54"/>
      <c r="AX1049" s="65">
        <v>0</v>
      </c>
      <c r="AY1049" s="57">
        <f>IF(AND($AU1049&gt;0,ISNUMBER($AX1049)),$AU1049*$AX1049,0)</f>
        <v>0</v>
      </c>
      <c r="AZ1049" s="72"/>
      <c r="BA1049" s="73"/>
      <c r="BB1049" s="73"/>
      <c r="BC1049" s="73"/>
      <c r="BD1049" s="73"/>
      <c r="BE1049" s="73"/>
      <c r="BF1049" s="73"/>
    </row>
    <row r="1050" spans="1:58" ht="15" customHeight="1">
      <c r="A1050" s="46" t="s">
        <v>5729</v>
      </c>
      <c r="B1050" s="50" t="s">
        <v>5730</v>
      </c>
      <c r="C1050" s="54" t="s">
        <v>70</v>
      </c>
      <c r="D1050" s="74">
        <v>3</v>
      </c>
      <c r="E1050" s="50" t="s">
        <v>110</v>
      </c>
      <c r="F1050" s="50">
        <v>2</v>
      </c>
      <c r="G1050" s="50">
        <v>2</v>
      </c>
      <c r="H1050" s="51" t="s">
        <v>318</v>
      </c>
      <c r="I1050" s="50" t="s">
        <v>5731</v>
      </c>
      <c r="J1050" s="54" t="s">
        <v>196</v>
      </c>
      <c r="K1050" s="56" t="s">
        <v>2811</v>
      </c>
      <c r="L1050" s="56" t="s">
        <v>5732</v>
      </c>
      <c r="M1050" s="56"/>
      <c r="N1050" s="56"/>
      <c r="O1050" s="54"/>
      <c r="P1050" s="56" t="s">
        <v>86</v>
      </c>
      <c r="Q1050" s="56" t="s">
        <v>293</v>
      </c>
      <c r="R1050" s="50"/>
      <c r="S1050" s="50"/>
      <c r="T1050" s="50"/>
      <c r="U1050" s="50"/>
      <c r="V1050" s="57">
        <v>4.42</v>
      </c>
      <c r="W1050" s="68"/>
      <c r="X1050" s="50"/>
      <c r="Y1050" s="50"/>
      <c r="Z1050" s="50"/>
      <c r="AA1050" s="50"/>
      <c r="AB1050" s="57"/>
      <c r="AC1050" s="54">
        <v>0</v>
      </c>
      <c r="AD1050" s="54">
        <f>SUM(AE1050:AK1050)</f>
        <v>0</v>
      </c>
      <c r="AE1050" s="66"/>
      <c r="AF1050" s="66"/>
      <c r="AG1050" s="66"/>
      <c r="AH1050" s="66"/>
      <c r="AI1050" s="66"/>
      <c r="AJ1050" s="66"/>
      <c r="AK1050" s="66"/>
      <c r="AL1050" s="54">
        <f>IF((AC1050-SUM(AE1050:AK1050))&lt;0,0,AC1050-SUM(AE1050:AK1050))</f>
        <v>0</v>
      </c>
      <c r="AM1050" s="54">
        <f>SUM(AN1050:AT1050)</f>
        <v>0</v>
      </c>
      <c r="AN1050" s="54"/>
      <c r="AO1050" s="54"/>
      <c r="AP1050" s="54"/>
      <c r="AQ1050" s="54"/>
      <c r="AR1050" s="54"/>
      <c r="AS1050" s="54"/>
      <c r="AT1050" s="54"/>
      <c r="AU1050" s="54">
        <f>MAX(0,$AM1050-$AC1050-$AW1050)</f>
        <v>0</v>
      </c>
      <c r="AV1050" s="54"/>
      <c r="AW1050" s="54"/>
      <c r="AX1050" s="65">
        <v>0</v>
      </c>
      <c r="AY1050" s="57">
        <f>IF(AND($AU1050&gt;0,ISNUMBER($AX1050)),$AU1050*$AX1050,0)</f>
        <v>0</v>
      </c>
      <c r="AZ1050" s="72"/>
      <c r="BA1050" s="73"/>
      <c r="BB1050" s="73"/>
      <c r="BC1050" s="73"/>
      <c r="BD1050" s="73"/>
      <c r="BE1050" s="73"/>
      <c r="BF1050" s="73"/>
    </row>
    <row r="1051" spans="1:58" ht="15" customHeight="1">
      <c r="A1051" s="46" t="s">
        <v>5733</v>
      </c>
      <c r="B1051" s="50" t="s">
        <v>5734</v>
      </c>
      <c r="C1051" s="54" t="s">
        <v>101</v>
      </c>
      <c r="D1051" s="74">
        <v>1</v>
      </c>
      <c r="E1051" s="50" t="s">
        <v>384</v>
      </c>
      <c r="F1051" s="50"/>
      <c r="G1051" s="50"/>
      <c r="H1051" s="51"/>
      <c r="I1051" s="50" t="s">
        <v>5735</v>
      </c>
      <c r="J1051" s="54" t="s">
        <v>196</v>
      </c>
      <c r="K1051" s="56" t="s">
        <v>550</v>
      </c>
      <c r="L1051" s="56" t="s">
        <v>5736</v>
      </c>
      <c r="M1051" s="56"/>
      <c r="N1051" s="56"/>
      <c r="O1051" s="54"/>
      <c r="P1051" s="56" t="s">
        <v>86</v>
      </c>
      <c r="Q1051" s="56" t="s">
        <v>1030</v>
      </c>
      <c r="R1051" s="50"/>
      <c r="S1051" s="50"/>
      <c r="T1051" s="50"/>
      <c r="U1051" s="50"/>
      <c r="V1051" s="57">
        <v>3.69</v>
      </c>
      <c r="W1051" s="68"/>
      <c r="X1051" s="50"/>
      <c r="Y1051" s="50"/>
      <c r="Z1051" s="50"/>
      <c r="AA1051" s="50"/>
      <c r="AB1051" s="57"/>
      <c r="AC1051" s="54">
        <v>0</v>
      </c>
      <c r="AD1051" s="54">
        <f>SUM(AE1051:AK1051)</f>
        <v>0</v>
      </c>
      <c r="AE1051" s="66"/>
      <c r="AF1051" s="66"/>
      <c r="AG1051" s="66"/>
      <c r="AH1051" s="66"/>
      <c r="AI1051" s="66"/>
      <c r="AJ1051" s="66"/>
      <c r="AK1051" s="66"/>
      <c r="AL1051" s="54">
        <f>IF((AC1051-SUM(AE1051:AK1051))&lt;0,0,AC1051-SUM(AE1051:AK1051))</f>
        <v>0</v>
      </c>
      <c r="AM1051" s="54">
        <f>SUM(AN1051:AT1051)</f>
        <v>0</v>
      </c>
      <c r="AN1051" s="54"/>
      <c r="AO1051" s="54"/>
      <c r="AP1051" s="54"/>
      <c r="AQ1051" s="54"/>
      <c r="AR1051" s="54"/>
      <c r="AS1051" s="54"/>
      <c r="AT1051" s="54"/>
      <c r="AU1051" s="54">
        <f>MAX(0,$AM1051-$AC1051-$AW1051)</f>
        <v>0</v>
      </c>
      <c r="AV1051" s="54"/>
      <c r="AW1051" s="54"/>
      <c r="AX1051" s="65">
        <v>0</v>
      </c>
      <c r="AY1051" s="57">
        <f>IF(AND($AU1051&gt;0,ISNUMBER($AX1051)),$AU1051*$AX1051,0)</f>
        <v>0</v>
      </c>
      <c r="AZ1051" s="72"/>
      <c r="BA1051" s="73"/>
      <c r="BB1051" s="73"/>
      <c r="BC1051" s="73"/>
      <c r="BD1051" s="73"/>
      <c r="BE1051" s="73"/>
      <c r="BF1051" s="73"/>
    </row>
    <row r="1052" spans="1:58" ht="15" customHeight="1">
      <c r="A1052" s="46" t="s">
        <v>5737</v>
      </c>
      <c r="B1052" s="50" t="s">
        <v>5738</v>
      </c>
      <c r="C1052" s="54" t="s">
        <v>181</v>
      </c>
      <c r="D1052" s="74">
        <v>2</v>
      </c>
      <c r="E1052" s="50" t="s">
        <v>81</v>
      </c>
      <c r="F1052" s="50">
        <v>0</v>
      </c>
      <c r="G1052" s="50">
        <v>1</v>
      </c>
      <c r="H1052" s="51" t="s">
        <v>1156</v>
      </c>
      <c r="I1052" s="50" t="s">
        <v>5739</v>
      </c>
      <c r="J1052" s="54" t="s">
        <v>196</v>
      </c>
      <c r="K1052" s="56" t="s">
        <v>273</v>
      </c>
      <c r="L1052" s="56" t="s">
        <v>5740</v>
      </c>
      <c r="M1052" s="56"/>
      <c r="N1052" s="56"/>
      <c r="O1052" s="54"/>
      <c r="P1052" s="56" t="s">
        <v>185</v>
      </c>
      <c r="Q1052" s="56" t="s">
        <v>172</v>
      </c>
      <c r="R1052" s="50"/>
      <c r="S1052" s="50"/>
      <c r="T1052" s="50"/>
      <c r="U1052" s="50"/>
      <c r="V1052" s="57">
        <v>3.68</v>
      </c>
      <c r="W1052" s="68"/>
      <c r="X1052" s="50"/>
      <c r="Y1052" s="50"/>
      <c r="Z1052" s="50"/>
      <c r="AA1052" s="50"/>
      <c r="AB1052" s="57"/>
      <c r="AC1052" s="54">
        <v>0</v>
      </c>
      <c r="AD1052" s="54">
        <f>SUM(AE1052:AK1052)</f>
        <v>0</v>
      </c>
      <c r="AE1052" s="66"/>
      <c r="AF1052" s="66"/>
      <c r="AG1052" s="66"/>
      <c r="AH1052" s="66"/>
      <c r="AI1052" s="66"/>
      <c r="AJ1052" s="66"/>
      <c r="AK1052" s="66"/>
      <c r="AL1052" s="54">
        <f>IF((AC1052-SUM(AE1052:AK1052))&lt;0,0,AC1052-SUM(AE1052:AK1052))</f>
        <v>0</v>
      </c>
      <c r="AM1052" s="54">
        <f>SUM(AN1052:AT1052)</f>
        <v>0</v>
      </c>
      <c r="AN1052" s="54"/>
      <c r="AO1052" s="54"/>
      <c r="AP1052" s="54"/>
      <c r="AQ1052" s="54"/>
      <c r="AR1052" s="54"/>
      <c r="AS1052" s="54"/>
      <c r="AT1052" s="54"/>
      <c r="AU1052" s="54">
        <f>MAX(0,$AM1052-$AC1052-$AW1052)</f>
        <v>0</v>
      </c>
      <c r="AV1052" s="54"/>
      <c r="AW1052" s="54"/>
      <c r="AX1052" s="65">
        <v>0</v>
      </c>
      <c r="AY1052" s="57">
        <f>IF(AND($AU1052&gt;0,ISNUMBER($AX1052)),$AU1052*$AX1052,0)</f>
        <v>0</v>
      </c>
      <c r="AZ1052" s="72"/>
      <c r="BA1052" s="73"/>
      <c r="BB1052" s="73"/>
      <c r="BC1052" s="73"/>
      <c r="BD1052" s="73"/>
      <c r="BE1052" s="73"/>
      <c r="BF1052" s="73"/>
    </row>
    <row r="1053" spans="1:58" ht="15" customHeight="1">
      <c r="A1053" s="46" t="s">
        <v>5741</v>
      </c>
      <c r="B1053" s="50" t="s">
        <v>5742</v>
      </c>
      <c r="C1053" s="54" t="s">
        <v>70</v>
      </c>
      <c r="D1053" s="74">
        <v>4</v>
      </c>
      <c r="E1053" s="50" t="s">
        <v>189</v>
      </c>
      <c r="F1053" s="50"/>
      <c r="G1053" s="50"/>
      <c r="H1053" s="51"/>
      <c r="I1053" s="50" t="s">
        <v>2490</v>
      </c>
      <c r="J1053" s="54" t="s">
        <v>73</v>
      </c>
      <c r="K1053" s="56" t="s">
        <v>550</v>
      </c>
      <c r="L1053" s="56" t="s">
        <v>5743</v>
      </c>
      <c r="M1053" s="56" t="s">
        <v>5744</v>
      </c>
      <c r="N1053" s="56"/>
      <c r="O1053" s="54"/>
      <c r="P1053" s="56" t="s">
        <v>76</v>
      </c>
      <c r="Q1053" s="56" t="s">
        <v>546</v>
      </c>
      <c r="R1053" s="50"/>
      <c r="S1053" s="50"/>
      <c r="T1053" s="50"/>
      <c r="U1053" s="50"/>
      <c r="V1053" s="57">
        <v>3.34</v>
      </c>
      <c r="W1053" s="68"/>
      <c r="X1053" s="50"/>
      <c r="Y1053" s="50"/>
      <c r="Z1053" s="50"/>
      <c r="AA1053" s="50"/>
      <c r="AB1053" s="57"/>
      <c r="AC1053" s="54">
        <v>0</v>
      </c>
      <c r="AD1053" s="54">
        <f>SUM(AE1053:AK1053)</f>
        <v>0</v>
      </c>
      <c r="AE1053" s="66"/>
      <c r="AF1053" s="66"/>
      <c r="AG1053" s="66"/>
      <c r="AH1053" s="66"/>
      <c r="AI1053" s="66"/>
      <c r="AJ1053" s="66"/>
      <c r="AK1053" s="66"/>
      <c r="AL1053" s="54">
        <f>IF((AC1053-SUM(AE1053:AK1053))&lt;0,0,AC1053-SUM(AE1053:AK1053))</f>
        <v>0</v>
      </c>
      <c r="AM1053" s="54">
        <f>SUM(AN1053:AT1053)</f>
        <v>0</v>
      </c>
      <c r="AN1053" s="54"/>
      <c r="AO1053" s="54"/>
      <c r="AP1053" s="54"/>
      <c r="AQ1053" s="54"/>
      <c r="AR1053" s="54"/>
      <c r="AS1053" s="54"/>
      <c r="AT1053" s="54"/>
      <c r="AU1053" s="54">
        <f>MAX(0,$AM1053-$AC1053-$AW1053)</f>
        <v>0</v>
      </c>
      <c r="AV1053" s="54"/>
      <c r="AW1053" s="54"/>
      <c r="AX1053" s="65">
        <v>0</v>
      </c>
      <c r="AY1053" s="57">
        <f>IF(AND($AU1053&gt;0,ISNUMBER($AX1053)),$AU1053*$AX1053,0)</f>
        <v>0</v>
      </c>
      <c r="AZ1053" s="72"/>
      <c r="BA1053" s="73"/>
      <c r="BB1053" s="73"/>
      <c r="BC1053" s="73"/>
      <c r="BD1053" s="73"/>
      <c r="BE1053" s="73"/>
      <c r="BF1053" s="73"/>
    </row>
    <row r="1054" spans="1:58" ht="15" customHeight="1">
      <c r="A1054" s="46" t="s">
        <v>5745</v>
      </c>
      <c r="B1054" s="50" t="s">
        <v>5746</v>
      </c>
      <c r="C1054" s="54" t="s">
        <v>118</v>
      </c>
      <c r="D1054" s="74">
        <v>1</v>
      </c>
      <c r="E1054" s="50" t="s">
        <v>2951</v>
      </c>
      <c r="F1054" s="50">
        <v>1</v>
      </c>
      <c r="G1054" s="50">
        <v>1</v>
      </c>
      <c r="H1054" s="51" t="s">
        <v>5747</v>
      </c>
      <c r="I1054" s="50" t="s">
        <v>5748</v>
      </c>
      <c r="J1054" s="54" t="s">
        <v>196</v>
      </c>
      <c r="K1054" s="56" t="s">
        <v>254</v>
      </c>
      <c r="L1054" s="56" t="s">
        <v>5749</v>
      </c>
      <c r="M1054" s="56" t="s">
        <v>5750</v>
      </c>
      <c r="N1054" s="56" t="s">
        <v>5751</v>
      </c>
      <c r="O1054" s="54"/>
      <c r="P1054" s="56" t="s">
        <v>86</v>
      </c>
      <c r="Q1054" s="56" t="s">
        <v>1870</v>
      </c>
      <c r="R1054" s="50"/>
      <c r="S1054" s="50"/>
      <c r="T1054" s="50"/>
      <c r="U1054" s="50"/>
      <c r="V1054" s="57">
        <v>3.27</v>
      </c>
      <c r="W1054" s="68"/>
      <c r="X1054" s="50"/>
      <c r="Y1054" s="50"/>
      <c r="Z1054" s="50"/>
      <c r="AA1054" s="50"/>
      <c r="AB1054" s="57"/>
      <c r="AC1054" s="54">
        <v>0</v>
      </c>
      <c r="AD1054" s="54">
        <f>SUM(AE1054:AK1054)</f>
        <v>0</v>
      </c>
      <c r="AE1054" s="66"/>
      <c r="AF1054" s="66"/>
      <c r="AG1054" s="66"/>
      <c r="AH1054" s="66"/>
      <c r="AI1054" s="66"/>
      <c r="AJ1054" s="66"/>
      <c r="AK1054" s="66"/>
      <c r="AL1054" s="54">
        <f>IF((AC1054-SUM(AE1054:AK1054))&lt;0,0,AC1054-SUM(AE1054:AK1054))</f>
        <v>0</v>
      </c>
      <c r="AM1054" s="54">
        <f>SUM(AN1054:AT1054)</f>
        <v>0</v>
      </c>
      <c r="AN1054" s="54"/>
      <c r="AO1054" s="54"/>
      <c r="AP1054" s="54"/>
      <c r="AQ1054" s="54"/>
      <c r="AR1054" s="54"/>
      <c r="AS1054" s="54"/>
      <c r="AT1054" s="54"/>
      <c r="AU1054" s="54">
        <f>MAX(0,$AM1054-$AC1054-$AW1054)</f>
        <v>0</v>
      </c>
      <c r="AV1054" s="54"/>
      <c r="AW1054" s="54"/>
      <c r="AX1054" s="65">
        <v>0</v>
      </c>
      <c r="AY1054" s="57">
        <f>IF(AND($AU1054&gt;0,ISNUMBER($AX1054)),$AU1054*$AX1054,0)</f>
        <v>0</v>
      </c>
      <c r="AZ1054" s="72"/>
      <c r="BA1054" s="73"/>
      <c r="BB1054" s="73"/>
      <c r="BC1054" s="73"/>
      <c r="BD1054" s="73"/>
      <c r="BE1054" s="73"/>
      <c r="BF1054" s="73"/>
    </row>
    <row r="1055" spans="1:58" ht="15" customHeight="1">
      <c r="A1055" s="46" t="s">
        <v>5752</v>
      </c>
      <c r="B1055" s="50" t="s">
        <v>5753</v>
      </c>
      <c r="C1055" s="54" t="s">
        <v>232</v>
      </c>
      <c r="D1055" s="74">
        <v>3</v>
      </c>
      <c r="E1055" s="50" t="s">
        <v>233</v>
      </c>
      <c r="F1055" s="50"/>
      <c r="G1055" s="50"/>
      <c r="H1055" s="51"/>
      <c r="I1055" s="50" t="s">
        <v>5754</v>
      </c>
      <c r="J1055" s="54" t="s">
        <v>73</v>
      </c>
      <c r="K1055" s="56" t="s">
        <v>550</v>
      </c>
      <c r="L1055" s="56" t="s">
        <v>5755</v>
      </c>
      <c r="M1055" s="56" t="s">
        <v>5756</v>
      </c>
      <c r="N1055" s="56"/>
      <c r="O1055" s="54"/>
      <c r="P1055" s="56" t="s">
        <v>86</v>
      </c>
      <c r="Q1055" s="56" t="s">
        <v>1343</v>
      </c>
      <c r="R1055" s="50"/>
      <c r="S1055" s="50"/>
      <c r="T1055" s="50"/>
      <c r="U1055" s="50"/>
      <c r="V1055" s="57">
        <v>3.24</v>
      </c>
      <c r="W1055" s="68"/>
      <c r="X1055" s="50"/>
      <c r="Y1055" s="50"/>
      <c r="Z1055" s="50"/>
      <c r="AA1055" s="50"/>
      <c r="AB1055" s="57"/>
      <c r="AC1055" s="54">
        <v>0</v>
      </c>
      <c r="AD1055" s="54">
        <f>SUM(AE1055:AK1055)</f>
        <v>0</v>
      </c>
      <c r="AE1055" s="66"/>
      <c r="AF1055" s="66"/>
      <c r="AG1055" s="66"/>
      <c r="AH1055" s="66"/>
      <c r="AI1055" s="66"/>
      <c r="AJ1055" s="66"/>
      <c r="AK1055" s="66"/>
      <c r="AL1055" s="54">
        <f>IF((AC1055-SUM(AE1055:AK1055))&lt;0,0,AC1055-SUM(AE1055:AK1055))</f>
        <v>0</v>
      </c>
      <c r="AM1055" s="54">
        <f>SUM(AN1055:AT1055)</f>
        <v>0</v>
      </c>
      <c r="AN1055" s="54"/>
      <c r="AO1055" s="54"/>
      <c r="AP1055" s="54"/>
      <c r="AQ1055" s="54"/>
      <c r="AR1055" s="54"/>
      <c r="AS1055" s="54"/>
      <c r="AT1055" s="54"/>
      <c r="AU1055" s="54">
        <f>MAX(0,$AM1055-$AC1055-$AW1055)</f>
        <v>0</v>
      </c>
      <c r="AV1055" s="54"/>
      <c r="AW1055" s="54"/>
      <c r="AX1055" s="65">
        <v>0</v>
      </c>
      <c r="AY1055" s="57">
        <f>IF(AND($AU1055&gt;0,ISNUMBER($AX1055)),$AU1055*$AX1055,0)</f>
        <v>0</v>
      </c>
      <c r="AZ1055" s="72"/>
      <c r="BA1055" s="73"/>
      <c r="BB1055" s="73"/>
      <c r="BC1055" s="73"/>
      <c r="BD1055" s="73"/>
      <c r="BE1055" s="73"/>
      <c r="BF1055" s="73"/>
    </row>
    <row r="1056" spans="1:58" ht="15" customHeight="1">
      <c r="A1056" s="46" t="s">
        <v>5757</v>
      </c>
      <c r="B1056" s="50" t="s">
        <v>5758</v>
      </c>
      <c r="C1056" s="54" t="s">
        <v>181</v>
      </c>
      <c r="D1056" s="74">
        <v>2</v>
      </c>
      <c r="E1056" s="50" t="s">
        <v>71</v>
      </c>
      <c r="F1056" s="50"/>
      <c r="G1056" s="50"/>
      <c r="H1056" s="51"/>
      <c r="I1056" s="50" t="s">
        <v>5759</v>
      </c>
      <c r="J1056" s="54" t="s">
        <v>73</v>
      </c>
      <c r="K1056" s="56" t="s">
        <v>92</v>
      </c>
      <c r="L1056" s="56" t="s">
        <v>5760</v>
      </c>
      <c r="M1056" s="56"/>
      <c r="N1056" s="56"/>
      <c r="O1056" s="54"/>
      <c r="P1056" s="56" t="s">
        <v>76</v>
      </c>
      <c r="Q1056" s="56" t="s">
        <v>1016</v>
      </c>
      <c r="R1056" s="50"/>
      <c r="S1056" s="50"/>
      <c r="T1056" s="50"/>
      <c r="U1056" s="50"/>
      <c r="V1056" s="57">
        <v>2.89</v>
      </c>
      <c r="W1056" s="68"/>
      <c r="X1056" s="50"/>
      <c r="Y1056" s="50"/>
      <c r="Z1056" s="50"/>
      <c r="AA1056" s="50"/>
      <c r="AB1056" s="57"/>
      <c r="AC1056" s="54">
        <v>0</v>
      </c>
      <c r="AD1056" s="54">
        <f>SUM(AE1056:AK1056)</f>
        <v>0</v>
      </c>
      <c r="AE1056" s="66"/>
      <c r="AF1056" s="66"/>
      <c r="AG1056" s="66"/>
      <c r="AH1056" s="66"/>
      <c r="AI1056" s="66"/>
      <c r="AJ1056" s="66"/>
      <c r="AK1056" s="66"/>
      <c r="AL1056" s="54">
        <f>IF((AC1056-SUM(AE1056:AK1056))&lt;0,0,AC1056-SUM(AE1056:AK1056))</f>
        <v>0</v>
      </c>
      <c r="AM1056" s="54">
        <f>SUM(AN1056:AT1056)</f>
        <v>0</v>
      </c>
      <c r="AN1056" s="54"/>
      <c r="AO1056" s="54"/>
      <c r="AP1056" s="54"/>
      <c r="AQ1056" s="54"/>
      <c r="AR1056" s="54"/>
      <c r="AS1056" s="54"/>
      <c r="AT1056" s="54"/>
      <c r="AU1056" s="54">
        <f>MAX(0,$AM1056-$AC1056-$AW1056)</f>
        <v>0</v>
      </c>
      <c r="AV1056" s="54"/>
      <c r="AW1056" s="54"/>
      <c r="AX1056" s="65">
        <v>0</v>
      </c>
      <c r="AY1056" s="57">
        <f>IF(AND($AU1056&gt;0,ISNUMBER($AX1056)),$AU1056*$AX1056,0)</f>
        <v>0</v>
      </c>
      <c r="AZ1056" s="72"/>
      <c r="BA1056" s="73"/>
      <c r="BB1056" s="73"/>
      <c r="BC1056" s="73"/>
      <c r="BD1056" s="73"/>
      <c r="BE1056" s="73"/>
      <c r="BF1056" s="73"/>
    </row>
    <row r="1057" spans="1:58" ht="15" customHeight="1">
      <c r="A1057" s="46" t="s">
        <v>5761</v>
      </c>
      <c r="B1057" s="50" t="s">
        <v>5762</v>
      </c>
      <c r="C1057" s="54" t="s">
        <v>70</v>
      </c>
      <c r="D1057" s="74">
        <v>5</v>
      </c>
      <c r="E1057" s="50" t="s">
        <v>81</v>
      </c>
      <c r="F1057" s="50">
        <v>2</v>
      </c>
      <c r="G1057" s="50">
        <v>2</v>
      </c>
      <c r="H1057" s="51" t="s">
        <v>245</v>
      </c>
      <c r="I1057" s="50" t="s">
        <v>5763</v>
      </c>
      <c r="J1057" s="54" t="s">
        <v>196</v>
      </c>
      <c r="K1057" s="56" t="s">
        <v>170</v>
      </c>
      <c r="L1057" s="56" t="s">
        <v>5764</v>
      </c>
      <c r="M1057" s="56" t="s">
        <v>5765</v>
      </c>
      <c r="N1057" s="56"/>
      <c r="O1057" s="54"/>
      <c r="P1057" s="56" t="s">
        <v>86</v>
      </c>
      <c r="Q1057" s="56" t="s">
        <v>1127</v>
      </c>
      <c r="R1057" s="50"/>
      <c r="S1057" s="50"/>
      <c r="T1057" s="50"/>
      <c r="U1057" s="50"/>
      <c r="V1057" s="57">
        <v>2.88</v>
      </c>
      <c r="W1057" s="68"/>
      <c r="X1057" s="50"/>
      <c r="Y1057" s="50"/>
      <c r="Z1057" s="50"/>
      <c r="AA1057" s="50"/>
      <c r="AB1057" s="57"/>
      <c r="AC1057" s="54">
        <v>0</v>
      </c>
      <c r="AD1057" s="54">
        <f>SUM(AE1057:AK1057)</f>
        <v>0</v>
      </c>
      <c r="AE1057" s="66"/>
      <c r="AF1057" s="66"/>
      <c r="AG1057" s="66"/>
      <c r="AH1057" s="66"/>
      <c r="AI1057" s="66"/>
      <c r="AJ1057" s="66"/>
      <c r="AK1057" s="66"/>
      <c r="AL1057" s="54">
        <f>IF((AC1057-SUM(AE1057:AK1057))&lt;0,0,AC1057-SUM(AE1057:AK1057))</f>
        <v>0</v>
      </c>
      <c r="AM1057" s="54">
        <f>SUM(AN1057:AT1057)</f>
        <v>0</v>
      </c>
      <c r="AN1057" s="54"/>
      <c r="AO1057" s="54"/>
      <c r="AP1057" s="54"/>
      <c r="AQ1057" s="54"/>
      <c r="AR1057" s="54"/>
      <c r="AS1057" s="54"/>
      <c r="AT1057" s="54"/>
      <c r="AU1057" s="54">
        <f>MAX(0,$AM1057-$AC1057-$AW1057)</f>
        <v>0</v>
      </c>
      <c r="AV1057" s="54"/>
      <c r="AW1057" s="54"/>
      <c r="AX1057" s="65">
        <v>0</v>
      </c>
      <c r="AY1057" s="57">
        <f>IF(AND($AU1057&gt;0,ISNUMBER($AX1057)),$AU1057*$AX1057,0)</f>
        <v>0</v>
      </c>
      <c r="AZ1057" s="72"/>
      <c r="BA1057" s="73"/>
      <c r="BB1057" s="73"/>
      <c r="BC1057" s="73"/>
      <c r="BD1057" s="73"/>
      <c r="BE1057" s="73"/>
      <c r="BF1057" s="73"/>
    </row>
    <row r="1058" spans="1:58" ht="15" customHeight="1">
      <c r="A1058" s="46" t="s">
        <v>5766</v>
      </c>
      <c r="B1058" s="50" t="s">
        <v>5767</v>
      </c>
      <c r="C1058" s="54" t="s">
        <v>101</v>
      </c>
      <c r="D1058" s="74">
        <v>4</v>
      </c>
      <c r="E1058" s="50" t="s">
        <v>81</v>
      </c>
      <c r="F1058" s="50">
        <v>2</v>
      </c>
      <c r="G1058" s="50">
        <v>4</v>
      </c>
      <c r="H1058" s="51" t="s">
        <v>5768</v>
      </c>
      <c r="I1058" s="50" t="s">
        <v>5769</v>
      </c>
      <c r="J1058" s="54" t="s">
        <v>73</v>
      </c>
      <c r="K1058" s="56" t="s">
        <v>497</v>
      </c>
      <c r="L1058" s="56" t="s">
        <v>1943</v>
      </c>
      <c r="M1058" s="56" t="s">
        <v>5770</v>
      </c>
      <c r="N1058" s="56"/>
      <c r="O1058" s="54"/>
      <c r="P1058" s="56" t="s">
        <v>86</v>
      </c>
      <c r="Q1058" s="56" t="s">
        <v>131</v>
      </c>
      <c r="R1058" s="50"/>
      <c r="S1058" s="50"/>
      <c r="T1058" s="50"/>
      <c r="U1058" s="50"/>
      <c r="V1058" s="57">
        <v>2.63</v>
      </c>
      <c r="W1058" s="68"/>
      <c r="X1058" s="50"/>
      <c r="Y1058" s="50"/>
      <c r="Z1058" s="50"/>
      <c r="AA1058" s="50"/>
      <c r="AB1058" s="57"/>
      <c r="AC1058" s="54">
        <v>0</v>
      </c>
      <c r="AD1058" s="54">
        <f>SUM(AE1058:AK1058)</f>
        <v>0</v>
      </c>
      <c r="AE1058" s="66"/>
      <c r="AF1058" s="66"/>
      <c r="AG1058" s="66"/>
      <c r="AH1058" s="66"/>
      <c r="AI1058" s="66"/>
      <c r="AJ1058" s="66"/>
      <c r="AK1058" s="66"/>
      <c r="AL1058" s="54">
        <f>IF((AC1058-SUM(AE1058:AK1058))&lt;0,0,AC1058-SUM(AE1058:AK1058))</f>
        <v>0</v>
      </c>
      <c r="AM1058" s="54">
        <f>SUM(AN1058:AT1058)</f>
        <v>0</v>
      </c>
      <c r="AN1058" s="54"/>
      <c r="AO1058" s="54"/>
      <c r="AP1058" s="54"/>
      <c r="AQ1058" s="54"/>
      <c r="AR1058" s="54"/>
      <c r="AS1058" s="54"/>
      <c r="AT1058" s="54"/>
      <c r="AU1058" s="54">
        <f>MAX(0,$AM1058-$AC1058-$AW1058)</f>
        <v>0</v>
      </c>
      <c r="AV1058" s="54"/>
      <c r="AW1058" s="54"/>
      <c r="AX1058" s="65">
        <v>0</v>
      </c>
      <c r="AY1058" s="57">
        <f>IF(AND($AU1058&gt;0,ISNUMBER($AX1058)),$AU1058*$AX1058,0)</f>
        <v>0</v>
      </c>
      <c r="AZ1058" s="72"/>
      <c r="BA1058" s="73"/>
      <c r="BB1058" s="73"/>
      <c r="BC1058" s="73"/>
      <c r="BD1058" s="73"/>
      <c r="BE1058" s="73"/>
      <c r="BF1058" s="73"/>
    </row>
    <row r="1059" spans="1:58" ht="15" customHeight="1">
      <c r="A1059" s="46" t="s">
        <v>5771</v>
      </c>
      <c r="B1059" s="50" t="s">
        <v>5772</v>
      </c>
      <c r="C1059" s="54" t="s">
        <v>70</v>
      </c>
      <c r="D1059" s="74">
        <v>2</v>
      </c>
      <c r="E1059" s="50" t="s">
        <v>81</v>
      </c>
      <c r="F1059" s="50">
        <v>1</v>
      </c>
      <c r="G1059" s="50">
        <v>2</v>
      </c>
      <c r="H1059" s="51" t="s">
        <v>318</v>
      </c>
      <c r="I1059" s="50" t="s">
        <v>5773</v>
      </c>
      <c r="J1059" s="54" t="s">
        <v>196</v>
      </c>
      <c r="K1059" s="56" t="s">
        <v>84</v>
      </c>
      <c r="L1059" s="56" t="s">
        <v>5774</v>
      </c>
      <c r="M1059" s="56"/>
      <c r="N1059" s="56"/>
      <c r="O1059" s="54"/>
      <c r="P1059" s="56" t="s">
        <v>86</v>
      </c>
      <c r="Q1059" s="56" t="s">
        <v>1127</v>
      </c>
      <c r="R1059" s="50"/>
      <c r="S1059" s="50"/>
      <c r="T1059" s="50"/>
      <c r="U1059" s="50"/>
      <c r="V1059" s="57">
        <v>2.62</v>
      </c>
      <c r="W1059" s="68"/>
      <c r="X1059" s="50"/>
      <c r="Y1059" s="50"/>
      <c r="Z1059" s="50"/>
      <c r="AA1059" s="50"/>
      <c r="AB1059" s="57"/>
      <c r="AC1059" s="54">
        <v>0</v>
      </c>
      <c r="AD1059" s="54">
        <f>SUM(AE1059:AK1059)</f>
        <v>0</v>
      </c>
      <c r="AE1059" s="66"/>
      <c r="AF1059" s="66"/>
      <c r="AG1059" s="66"/>
      <c r="AH1059" s="66"/>
      <c r="AI1059" s="66"/>
      <c r="AJ1059" s="66"/>
      <c r="AK1059" s="66"/>
      <c r="AL1059" s="54">
        <f>IF((AC1059-SUM(AE1059:AK1059))&lt;0,0,AC1059-SUM(AE1059:AK1059))</f>
        <v>0</v>
      </c>
      <c r="AM1059" s="54">
        <f>SUM(AN1059:AT1059)</f>
        <v>0</v>
      </c>
      <c r="AN1059" s="54"/>
      <c r="AO1059" s="54"/>
      <c r="AP1059" s="54"/>
      <c r="AQ1059" s="54"/>
      <c r="AR1059" s="54"/>
      <c r="AS1059" s="54"/>
      <c r="AT1059" s="54"/>
      <c r="AU1059" s="54">
        <f>MAX(0,$AM1059-$AC1059-$AW1059)</f>
        <v>0</v>
      </c>
      <c r="AV1059" s="54"/>
      <c r="AW1059" s="54"/>
      <c r="AX1059" s="65">
        <v>0</v>
      </c>
      <c r="AY1059" s="57">
        <f>IF(AND($AU1059&gt;0,ISNUMBER($AX1059)),$AU1059*$AX1059,0)</f>
        <v>0</v>
      </c>
      <c r="AZ1059" s="72"/>
      <c r="BA1059" s="73"/>
      <c r="BB1059" s="73"/>
      <c r="BC1059" s="73"/>
      <c r="BD1059" s="73"/>
      <c r="BE1059" s="73"/>
      <c r="BF1059" s="73"/>
    </row>
    <row r="1060" spans="1:58" ht="15" customHeight="1">
      <c r="A1060" s="46" t="s">
        <v>5775</v>
      </c>
      <c r="B1060" s="50" t="s">
        <v>5776</v>
      </c>
      <c r="C1060" s="54" t="s">
        <v>70</v>
      </c>
      <c r="D1060" s="74">
        <v>0</v>
      </c>
      <c r="E1060" s="50" t="s">
        <v>5777</v>
      </c>
      <c r="F1060" s="50"/>
      <c r="G1060" s="50"/>
      <c r="H1060" s="51"/>
      <c r="I1060" s="50" t="s">
        <v>5778</v>
      </c>
      <c r="J1060" s="54" t="s">
        <v>73</v>
      </c>
      <c r="K1060" s="56" t="s">
        <v>312</v>
      </c>
      <c r="L1060" s="56" t="s">
        <v>640</v>
      </c>
      <c r="M1060" s="56"/>
      <c r="N1060" s="56"/>
      <c r="O1060" s="54"/>
      <c r="P1060" s="56" t="s">
        <v>76</v>
      </c>
      <c r="Q1060" s="56" t="s">
        <v>523</v>
      </c>
      <c r="R1060" s="50"/>
      <c r="S1060" s="50"/>
      <c r="T1060" s="50"/>
      <c r="U1060" s="50"/>
      <c r="V1060" s="57">
        <v>2.34</v>
      </c>
      <c r="W1060" s="68"/>
      <c r="X1060" s="50"/>
      <c r="Y1060" s="50"/>
      <c r="Z1060" s="50"/>
      <c r="AA1060" s="50"/>
      <c r="AB1060" s="57"/>
      <c r="AC1060" s="54">
        <v>0</v>
      </c>
      <c r="AD1060" s="54">
        <f>SUM(AE1060:AK1060)</f>
        <v>0</v>
      </c>
      <c r="AE1060" s="66"/>
      <c r="AF1060" s="66"/>
      <c r="AG1060" s="66"/>
      <c r="AH1060" s="66"/>
      <c r="AI1060" s="66"/>
      <c r="AJ1060" s="66"/>
      <c r="AK1060" s="66"/>
      <c r="AL1060" s="54">
        <f>IF((AC1060-SUM(AE1060:AK1060))&lt;0,0,AC1060-SUM(AE1060:AK1060))</f>
        <v>0</v>
      </c>
      <c r="AM1060" s="54">
        <f>SUM(AN1060:AT1060)</f>
        <v>0</v>
      </c>
      <c r="AN1060" s="54"/>
      <c r="AO1060" s="54"/>
      <c r="AP1060" s="54"/>
      <c r="AQ1060" s="54"/>
      <c r="AR1060" s="54"/>
      <c r="AS1060" s="54"/>
      <c r="AT1060" s="54"/>
      <c r="AU1060" s="54">
        <f>MAX(0,$AM1060-$AC1060-$AW1060)</f>
        <v>0</v>
      </c>
      <c r="AV1060" s="54"/>
      <c r="AW1060" s="54"/>
      <c r="AX1060" s="65">
        <v>0</v>
      </c>
      <c r="AY1060" s="57">
        <f>IF(AND($AU1060&gt;0,ISNUMBER($AX1060)),$AU1060*$AX1060,0)</f>
        <v>0</v>
      </c>
      <c r="AZ1060" s="72"/>
      <c r="BA1060" s="73"/>
      <c r="BB1060" s="73"/>
      <c r="BC1060" s="73"/>
      <c r="BD1060" s="73"/>
      <c r="BE1060" s="73"/>
      <c r="BF1060" s="73"/>
    </row>
    <row r="1061" spans="1:58" ht="15" customHeight="1">
      <c r="A1061" s="46" t="s">
        <v>5779</v>
      </c>
      <c r="B1061" s="50" t="s">
        <v>5780</v>
      </c>
      <c r="C1061" s="54" t="s">
        <v>70</v>
      </c>
      <c r="D1061" s="74">
        <v>2</v>
      </c>
      <c r="E1061" s="50" t="s">
        <v>189</v>
      </c>
      <c r="F1061" s="50"/>
      <c r="G1061" s="50"/>
      <c r="H1061" s="51"/>
      <c r="I1061" s="50" t="s">
        <v>5781</v>
      </c>
      <c r="J1061" s="54" t="s">
        <v>73</v>
      </c>
      <c r="K1061" s="56" t="s">
        <v>104</v>
      </c>
      <c r="L1061" s="56" t="s">
        <v>5782</v>
      </c>
      <c r="M1061" s="56"/>
      <c r="N1061" s="56"/>
      <c r="O1061" s="54"/>
      <c r="P1061" s="56" t="s">
        <v>76</v>
      </c>
      <c r="Q1061" s="56" t="s">
        <v>172</v>
      </c>
      <c r="R1061" s="50"/>
      <c r="S1061" s="50"/>
      <c r="T1061" s="50"/>
      <c r="U1061" s="50"/>
      <c r="V1061" s="57">
        <v>2.34</v>
      </c>
      <c r="W1061" s="68"/>
      <c r="X1061" s="50"/>
      <c r="Y1061" s="50"/>
      <c r="Z1061" s="50"/>
      <c r="AA1061" s="50"/>
      <c r="AB1061" s="57"/>
      <c r="AC1061" s="54">
        <v>0</v>
      </c>
      <c r="AD1061" s="54">
        <f>SUM(AE1061:AK1061)</f>
        <v>0</v>
      </c>
      <c r="AE1061" s="66"/>
      <c r="AF1061" s="66"/>
      <c r="AG1061" s="66"/>
      <c r="AH1061" s="66"/>
      <c r="AI1061" s="66"/>
      <c r="AJ1061" s="66"/>
      <c r="AK1061" s="66"/>
      <c r="AL1061" s="54">
        <f>IF((AC1061-SUM(AE1061:AK1061))&lt;0,0,AC1061-SUM(AE1061:AK1061))</f>
        <v>0</v>
      </c>
      <c r="AM1061" s="54">
        <f>SUM(AN1061:AT1061)</f>
        <v>0</v>
      </c>
      <c r="AN1061" s="54"/>
      <c r="AO1061" s="54"/>
      <c r="AP1061" s="54"/>
      <c r="AQ1061" s="54"/>
      <c r="AR1061" s="54"/>
      <c r="AS1061" s="54"/>
      <c r="AT1061" s="54"/>
      <c r="AU1061" s="54">
        <f>MAX(0,$AM1061-$AC1061-$AW1061)</f>
        <v>0</v>
      </c>
      <c r="AV1061" s="54"/>
      <c r="AW1061" s="54"/>
      <c r="AX1061" s="65">
        <v>0</v>
      </c>
      <c r="AY1061" s="57">
        <f>IF(AND($AU1061&gt;0,ISNUMBER($AX1061)),$AU1061*$AX1061,0)</f>
        <v>0</v>
      </c>
      <c r="AZ1061" s="72"/>
      <c r="BA1061" s="73"/>
      <c r="BB1061" s="73"/>
      <c r="BC1061" s="73"/>
      <c r="BD1061" s="73"/>
      <c r="BE1061" s="73"/>
      <c r="BF1061" s="73"/>
    </row>
    <row r="1062" spans="1:58" ht="15" customHeight="1">
      <c r="A1062" s="46" t="s">
        <v>5783</v>
      </c>
      <c r="B1062" s="50" t="s">
        <v>5784</v>
      </c>
      <c r="C1062" s="54" t="s">
        <v>101</v>
      </c>
      <c r="D1062" s="74">
        <v>3</v>
      </c>
      <c r="E1062" s="50" t="s">
        <v>71</v>
      </c>
      <c r="F1062" s="50"/>
      <c r="G1062" s="50"/>
      <c r="H1062" s="51" t="s">
        <v>5785</v>
      </c>
      <c r="I1062" s="50" t="s">
        <v>3409</v>
      </c>
      <c r="J1062" s="54" t="s">
        <v>196</v>
      </c>
      <c r="K1062" s="56" t="s">
        <v>104</v>
      </c>
      <c r="L1062" s="56" t="s">
        <v>5786</v>
      </c>
      <c r="M1062" s="56"/>
      <c r="N1062" s="56"/>
      <c r="O1062" s="54"/>
      <c r="P1062" s="56" t="s">
        <v>76</v>
      </c>
      <c r="Q1062" s="56" t="s">
        <v>4423</v>
      </c>
      <c r="R1062" s="50"/>
      <c r="S1062" s="50"/>
      <c r="T1062" s="50"/>
      <c r="U1062" s="50"/>
      <c r="V1062" s="57">
        <v>2.27</v>
      </c>
      <c r="W1062" s="68"/>
      <c r="X1062" s="50"/>
      <c r="Y1062" s="50"/>
      <c r="Z1062" s="50"/>
      <c r="AA1062" s="50"/>
      <c r="AB1062" s="57"/>
      <c r="AC1062" s="54">
        <v>0</v>
      </c>
      <c r="AD1062" s="54">
        <f>SUM(AE1062:AK1062)</f>
        <v>0</v>
      </c>
      <c r="AE1062" s="66"/>
      <c r="AF1062" s="66"/>
      <c r="AG1062" s="66"/>
      <c r="AH1062" s="66"/>
      <c r="AI1062" s="66"/>
      <c r="AJ1062" s="66"/>
      <c r="AK1062" s="66"/>
      <c r="AL1062" s="54">
        <f>IF((AC1062-SUM(AE1062:AK1062))&lt;0,0,AC1062-SUM(AE1062:AK1062))</f>
        <v>0</v>
      </c>
      <c r="AM1062" s="54">
        <f>SUM(AN1062:AT1062)</f>
        <v>0</v>
      </c>
      <c r="AN1062" s="54"/>
      <c r="AO1062" s="54"/>
      <c r="AP1062" s="54"/>
      <c r="AQ1062" s="54"/>
      <c r="AR1062" s="54"/>
      <c r="AS1062" s="54"/>
      <c r="AT1062" s="54"/>
      <c r="AU1062" s="54">
        <f>MAX(0,$AM1062-$AC1062-$AW1062)</f>
        <v>0</v>
      </c>
      <c r="AV1062" s="54"/>
      <c r="AW1062" s="54"/>
      <c r="AX1062" s="65">
        <v>0</v>
      </c>
      <c r="AY1062" s="57">
        <f>IF(AND($AU1062&gt;0,ISNUMBER($AX1062)),$AU1062*$AX1062,0)</f>
        <v>0</v>
      </c>
      <c r="AZ1062" s="72"/>
      <c r="BA1062" s="73"/>
      <c r="BB1062" s="73"/>
      <c r="BC1062" s="73"/>
      <c r="BD1062" s="73"/>
      <c r="BE1062" s="73"/>
      <c r="BF1062" s="73"/>
    </row>
    <row r="1063" spans="1:58" ht="15" customHeight="1">
      <c r="A1063" s="46" t="s">
        <v>5787</v>
      </c>
      <c r="B1063" s="50" t="s">
        <v>5788</v>
      </c>
      <c r="C1063" s="54" t="s">
        <v>118</v>
      </c>
      <c r="D1063" s="74">
        <v>2</v>
      </c>
      <c r="E1063" s="50" t="s">
        <v>189</v>
      </c>
      <c r="F1063" s="50"/>
      <c r="G1063" s="50"/>
      <c r="H1063" s="51"/>
      <c r="I1063" s="50" t="s">
        <v>5789</v>
      </c>
      <c r="J1063" s="54" t="s">
        <v>196</v>
      </c>
      <c r="K1063" s="56" t="s">
        <v>474</v>
      </c>
      <c r="L1063" s="56" t="s">
        <v>5790</v>
      </c>
      <c r="M1063" s="56"/>
      <c r="N1063" s="56"/>
      <c r="O1063" s="54"/>
      <c r="P1063" s="56" t="s">
        <v>86</v>
      </c>
      <c r="Q1063" s="56" t="s">
        <v>2358</v>
      </c>
      <c r="R1063" s="50"/>
      <c r="S1063" s="50"/>
      <c r="T1063" s="50"/>
      <c r="U1063" s="50"/>
      <c r="V1063" s="57">
        <v>2.27</v>
      </c>
      <c r="W1063" s="68"/>
      <c r="X1063" s="50"/>
      <c r="Y1063" s="50"/>
      <c r="Z1063" s="50"/>
      <c r="AA1063" s="50"/>
      <c r="AB1063" s="57"/>
      <c r="AC1063" s="54">
        <v>0</v>
      </c>
      <c r="AD1063" s="54">
        <f>SUM(AE1063:AK1063)</f>
        <v>0</v>
      </c>
      <c r="AE1063" s="66"/>
      <c r="AF1063" s="66"/>
      <c r="AG1063" s="66"/>
      <c r="AH1063" s="66"/>
      <c r="AI1063" s="66"/>
      <c r="AJ1063" s="66"/>
      <c r="AK1063" s="66"/>
      <c r="AL1063" s="54">
        <f>IF((AC1063-SUM(AE1063:AK1063))&lt;0,0,AC1063-SUM(AE1063:AK1063))</f>
        <v>0</v>
      </c>
      <c r="AM1063" s="54">
        <f>SUM(AN1063:AT1063)</f>
        <v>0</v>
      </c>
      <c r="AN1063" s="54"/>
      <c r="AO1063" s="54"/>
      <c r="AP1063" s="54"/>
      <c r="AQ1063" s="54"/>
      <c r="AR1063" s="54"/>
      <c r="AS1063" s="54"/>
      <c r="AT1063" s="54"/>
      <c r="AU1063" s="54">
        <f>MAX(0,$AM1063-$AC1063-$AW1063)</f>
        <v>0</v>
      </c>
      <c r="AV1063" s="54"/>
      <c r="AW1063" s="54"/>
      <c r="AX1063" s="65">
        <v>0</v>
      </c>
      <c r="AY1063" s="57">
        <f>IF(AND($AU1063&gt;0,ISNUMBER($AX1063)),$AU1063*$AX1063,0)</f>
        <v>0</v>
      </c>
      <c r="AZ1063" s="72"/>
      <c r="BA1063" s="73"/>
      <c r="BB1063" s="73"/>
      <c r="BC1063" s="73"/>
      <c r="BD1063" s="73"/>
      <c r="BE1063" s="73"/>
      <c r="BF1063" s="73"/>
    </row>
    <row r="1064" spans="1:58" ht="15" customHeight="1">
      <c r="A1064" s="46" t="s">
        <v>5791</v>
      </c>
      <c r="B1064" s="50" t="s">
        <v>5792</v>
      </c>
      <c r="C1064" s="54" t="s">
        <v>181</v>
      </c>
      <c r="D1064" s="74">
        <v>3</v>
      </c>
      <c r="E1064" s="50" t="s">
        <v>81</v>
      </c>
      <c r="F1064" s="50">
        <v>0</v>
      </c>
      <c r="G1064" s="50">
        <v>2</v>
      </c>
      <c r="H1064" s="51" t="s">
        <v>465</v>
      </c>
      <c r="I1064" s="50" t="s">
        <v>5793</v>
      </c>
      <c r="J1064" s="54" t="s">
        <v>73</v>
      </c>
      <c r="K1064" s="56" t="s">
        <v>676</v>
      </c>
      <c r="L1064" s="56" t="s">
        <v>594</v>
      </c>
      <c r="M1064" s="56" t="s">
        <v>5794</v>
      </c>
      <c r="N1064" s="56"/>
      <c r="O1064" s="54"/>
      <c r="P1064" s="56" t="s">
        <v>185</v>
      </c>
      <c r="Q1064" s="56" t="s">
        <v>523</v>
      </c>
      <c r="R1064" s="50"/>
      <c r="S1064" s="50"/>
      <c r="T1064" s="50"/>
      <c r="U1064" s="50"/>
      <c r="V1064" s="57">
        <v>2.2400000000000002</v>
      </c>
      <c r="W1064" s="68"/>
      <c r="X1064" s="50"/>
      <c r="Y1064" s="50"/>
      <c r="Z1064" s="50"/>
      <c r="AA1064" s="50"/>
      <c r="AB1064" s="57"/>
      <c r="AC1064" s="54">
        <v>0</v>
      </c>
      <c r="AD1064" s="54">
        <f>SUM(AE1064:AK1064)</f>
        <v>0</v>
      </c>
      <c r="AE1064" s="66"/>
      <c r="AF1064" s="66"/>
      <c r="AG1064" s="66"/>
      <c r="AH1064" s="66"/>
      <c r="AI1064" s="66"/>
      <c r="AJ1064" s="66"/>
      <c r="AK1064" s="66"/>
      <c r="AL1064" s="54">
        <f>IF((AC1064-SUM(AE1064:AK1064))&lt;0,0,AC1064-SUM(AE1064:AK1064))</f>
        <v>0</v>
      </c>
      <c r="AM1064" s="54">
        <f>SUM(AN1064:AT1064)</f>
        <v>0</v>
      </c>
      <c r="AN1064" s="54"/>
      <c r="AO1064" s="54"/>
      <c r="AP1064" s="54"/>
      <c r="AQ1064" s="54"/>
      <c r="AR1064" s="54"/>
      <c r="AS1064" s="54"/>
      <c r="AT1064" s="54"/>
      <c r="AU1064" s="54">
        <f>MAX(0,$AM1064-$AC1064-$AW1064)</f>
        <v>0</v>
      </c>
      <c r="AV1064" s="54"/>
      <c r="AW1064" s="54"/>
      <c r="AX1064" s="65">
        <v>0</v>
      </c>
      <c r="AY1064" s="57">
        <f>IF(AND($AU1064&gt;0,ISNUMBER($AX1064)),$AU1064*$AX1064,0)</f>
        <v>0</v>
      </c>
      <c r="AZ1064" s="72"/>
      <c r="BA1064" s="73"/>
      <c r="BB1064" s="73"/>
      <c r="BC1064" s="73"/>
      <c r="BD1064" s="73"/>
      <c r="BE1064" s="73"/>
      <c r="BF1064" s="73"/>
    </row>
    <row r="1065" spans="1:58" ht="15" customHeight="1">
      <c r="A1065" s="46" t="s">
        <v>5795</v>
      </c>
      <c r="B1065" s="50" t="s">
        <v>5796</v>
      </c>
      <c r="C1065" s="54" t="s">
        <v>232</v>
      </c>
      <c r="D1065" s="74">
        <v>2</v>
      </c>
      <c r="E1065" s="50" t="s">
        <v>5797</v>
      </c>
      <c r="F1065" s="50"/>
      <c r="G1065" s="50"/>
      <c r="H1065" s="51"/>
      <c r="I1065" s="50" t="s">
        <v>5798</v>
      </c>
      <c r="J1065" s="54" t="s">
        <v>73</v>
      </c>
      <c r="K1065" s="56" t="s">
        <v>235</v>
      </c>
      <c r="L1065" s="56" t="s">
        <v>5799</v>
      </c>
      <c r="M1065" s="56" t="s">
        <v>5280</v>
      </c>
      <c r="N1065" s="56"/>
      <c r="O1065" s="54"/>
      <c r="P1065" s="56" t="s">
        <v>185</v>
      </c>
      <c r="Q1065" s="56" t="s">
        <v>5800</v>
      </c>
      <c r="R1065" s="50"/>
      <c r="S1065" s="50"/>
      <c r="T1065" s="50"/>
      <c r="U1065" s="50"/>
      <c r="V1065" s="57">
        <v>2.23</v>
      </c>
      <c r="W1065" s="68"/>
      <c r="X1065" s="50"/>
      <c r="Y1065" s="50"/>
      <c r="Z1065" s="50"/>
      <c r="AA1065" s="50"/>
      <c r="AB1065" s="57"/>
      <c r="AC1065" s="54">
        <v>0</v>
      </c>
      <c r="AD1065" s="54">
        <f>SUM(AE1065:AK1065)</f>
        <v>0</v>
      </c>
      <c r="AE1065" s="66"/>
      <c r="AF1065" s="66"/>
      <c r="AG1065" s="66"/>
      <c r="AH1065" s="66"/>
      <c r="AI1065" s="66"/>
      <c r="AJ1065" s="66"/>
      <c r="AK1065" s="66"/>
      <c r="AL1065" s="54">
        <f>IF((AC1065-SUM(AE1065:AK1065))&lt;0,0,AC1065-SUM(AE1065:AK1065))</f>
        <v>0</v>
      </c>
      <c r="AM1065" s="54">
        <f>SUM(AN1065:AT1065)</f>
        <v>0</v>
      </c>
      <c r="AN1065" s="54"/>
      <c r="AO1065" s="54"/>
      <c r="AP1065" s="54"/>
      <c r="AQ1065" s="54"/>
      <c r="AR1065" s="54"/>
      <c r="AS1065" s="54"/>
      <c r="AT1065" s="54"/>
      <c r="AU1065" s="54">
        <f>MAX(0,$AM1065-$AC1065-$AW1065)</f>
        <v>0</v>
      </c>
      <c r="AV1065" s="54"/>
      <c r="AW1065" s="54"/>
      <c r="AX1065" s="65">
        <v>0</v>
      </c>
      <c r="AY1065" s="57">
        <f>IF(AND($AU1065&gt;0,ISNUMBER($AX1065)),$AU1065*$AX1065,0)</f>
        <v>0</v>
      </c>
      <c r="AZ1065" s="72"/>
      <c r="BA1065" s="73"/>
      <c r="BB1065" s="73"/>
      <c r="BC1065" s="73"/>
      <c r="BD1065" s="73"/>
      <c r="BE1065" s="73"/>
      <c r="BF1065" s="73"/>
    </row>
    <row r="1066" spans="1:58" ht="15" customHeight="1">
      <c r="A1066" s="46" t="s">
        <v>5801</v>
      </c>
      <c r="B1066" s="50" t="s">
        <v>5802</v>
      </c>
      <c r="C1066" s="54" t="s">
        <v>118</v>
      </c>
      <c r="D1066" s="74">
        <v>2</v>
      </c>
      <c r="E1066" s="50" t="s">
        <v>81</v>
      </c>
      <c r="F1066" s="50">
        <v>0</v>
      </c>
      <c r="G1066" s="50">
        <v>3</v>
      </c>
      <c r="H1066" s="51" t="s">
        <v>1232</v>
      </c>
      <c r="I1066" s="50" t="s">
        <v>5803</v>
      </c>
      <c r="J1066" s="54" t="s">
        <v>73</v>
      </c>
      <c r="K1066" s="56" t="s">
        <v>676</v>
      </c>
      <c r="L1066" s="56" t="s">
        <v>594</v>
      </c>
      <c r="M1066" s="56" t="s">
        <v>5804</v>
      </c>
      <c r="N1066" s="56"/>
      <c r="O1066" s="54"/>
      <c r="P1066" s="56" t="s">
        <v>76</v>
      </c>
      <c r="Q1066" s="56" t="s">
        <v>466</v>
      </c>
      <c r="R1066" s="50"/>
      <c r="S1066" s="50"/>
      <c r="T1066" s="50"/>
      <c r="U1066" s="50"/>
      <c r="V1066" s="57">
        <v>1.84</v>
      </c>
      <c r="W1066" s="68"/>
      <c r="X1066" s="50"/>
      <c r="Y1066" s="50"/>
      <c r="Z1066" s="50"/>
      <c r="AA1066" s="50"/>
      <c r="AB1066" s="57"/>
      <c r="AC1066" s="54">
        <v>0</v>
      </c>
      <c r="AD1066" s="54">
        <f>SUM(AE1066:AK1066)</f>
        <v>0</v>
      </c>
      <c r="AE1066" s="66"/>
      <c r="AF1066" s="66"/>
      <c r="AG1066" s="66"/>
      <c r="AH1066" s="66"/>
      <c r="AI1066" s="66"/>
      <c r="AJ1066" s="66"/>
      <c r="AK1066" s="66"/>
      <c r="AL1066" s="54">
        <f>IF((AC1066-SUM(AE1066:AK1066))&lt;0,0,AC1066-SUM(AE1066:AK1066))</f>
        <v>0</v>
      </c>
      <c r="AM1066" s="54">
        <f>SUM(AN1066:AT1066)</f>
        <v>0</v>
      </c>
      <c r="AN1066" s="54"/>
      <c r="AO1066" s="54"/>
      <c r="AP1066" s="54"/>
      <c r="AQ1066" s="54"/>
      <c r="AR1066" s="54"/>
      <c r="AS1066" s="54"/>
      <c r="AT1066" s="54"/>
      <c r="AU1066" s="54">
        <f>MAX(0,$AM1066-$AC1066-$AW1066)</f>
        <v>0</v>
      </c>
      <c r="AV1066" s="54"/>
      <c r="AW1066" s="54"/>
      <c r="AX1066" s="65">
        <v>0</v>
      </c>
      <c r="AY1066" s="57">
        <f>IF(AND($AU1066&gt;0,ISNUMBER($AX1066)),$AU1066*$AX1066,0)</f>
        <v>0</v>
      </c>
      <c r="AZ1066" s="72"/>
      <c r="BA1066" s="73"/>
      <c r="BB1066" s="73"/>
      <c r="BC1066" s="73"/>
      <c r="BD1066" s="73"/>
      <c r="BE1066" s="73"/>
      <c r="BF1066" s="73"/>
    </row>
    <row r="1067" spans="1:58" ht="15" customHeight="1">
      <c r="A1067" s="46" t="s">
        <v>5805</v>
      </c>
      <c r="B1067" s="50" t="s">
        <v>5806</v>
      </c>
      <c r="C1067" s="54" t="s">
        <v>118</v>
      </c>
      <c r="D1067" s="74">
        <v>2</v>
      </c>
      <c r="E1067" s="50" t="s">
        <v>384</v>
      </c>
      <c r="F1067" s="50"/>
      <c r="G1067" s="50"/>
      <c r="H1067" s="51"/>
      <c r="I1067" s="50" t="s">
        <v>5807</v>
      </c>
      <c r="J1067" s="54" t="s">
        <v>196</v>
      </c>
      <c r="K1067" s="56" t="s">
        <v>497</v>
      </c>
      <c r="L1067" s="56" t="s">
        <v>5807</v>
      </c>
      <c r="M1067" s="56"/>
      <c r="N1067" s="56"/>
      <c r="O1067" s="54"/>
      <c r="P1067" s="56" t="s">
        <v>86</v>
      </c>
      <c r="Q1067" s="56" t="s">
        <v>432</v>
      </c>
      <c r="R1067" s="54"/>
      <c r="S1067" s="54"/>
      <c r="T1067" s="54"/>
      <c r="U1067" s="54"/>
      <c r="V1067" s="57">
        <v>1.83</v>
      </c>
      <c r="W1067" s="68"/>
      <c r="X1067" s="54"/>
      <c r="Y1067" s="54"/>
      <c r="Z1067" s="54"/>
      <c r="AA1067" s="54"/>
      <c r="AB1067" s="57"/>
      <c r="AC1067" s="54">
        <v>0</v>
      </c>
      <c r="AD1067" s="54">
        <f>SUM(AE1067:AK1067)</f>
        <v>0</v>
      </c>
      <c r="AE1067" s="66"/>
      <c r="AF1067" s="66"/>
      <c r="AG1067" s="66"/>
      <c r="AH1067" s="66"/>
      <c r="AI1067" s="66"/>
      <c r="AJ1067" s="66"/>
      <c r="AK1067" s="66"/>
      <c r="AL1067" s="54">
        <f>IF((AC1067-SUM(AE1067:AK1067))&lt;0,0,AC1067-SUM(AE1067:AK1067))</f>
        <v>0</v>
      </c>
      <c r="AM1067" s="54">
        <f>SUM(AN1067:AT1067)</f>
        <v>0</v>
      </c>
      <c r="AN1067" s="54"/>
      <c r="AO1067" s="54"/>
      <c r="AP1067" s="54"/>
      <c r="AQ1067" s="54"/>
      <c r="AR1067" s="54"/>
      <c r="AS1067" s="54"/>
      <c r="AT1067" s="54"/>
      <c r="AU1067" s="54">
        <f>MAX(0,$AM1067-$AC1067-$AW1067)</f>
        <v>0</v>
      </c>
      <c r="AV1067" s="54"/>
      <c r="AW1067" s="54"/>
      <c r="AX1067" s="65">
        <v>0</v>
      </c>
      <c r="AY1067" s="57">
        <f>IF(AND($AU1067&gt;0,ISNUMBER($AX1067)),$AU1067*$AX1067,0)</f>
        <v>0</v>
      </c>
      <c r="AZ1067" s="72"/>
      <c r="BA1067" s="73"/>
      <c r="BB1067" s="73"/>
      <c r="BC1067" s="73"/>
      <c r="BD1067" s="73"/>
      <c r="BE1067" s="73"/>
      <c r="BF1067" s="73"/>
    </row>
    <row r="1068" spans="1:58" ht="15" customHeight="1">
      <c r="A1068" s="46" t="s">
        <v>5808</v>
      </c>
      <c r="B1068" s="50" t="s">
        <v>5809</v>
      </c>
      <c r="C1068" s="54" t="s">
        <v>109</v>
      </c>
      <c r="D1068" s="74">
        <v>4</v>
      </c>
      <c r="E1068" s="50" t="s">
        <v>110</v>
      </c>
      <c r="F1068" s="50">
        <v>3</v>
      </c>
      <c r="G1068" s="50">
        <v>2</v>
      </c>
      <c r="H1068" s="51" t="s">
        <v>3548</v>
      </c>
      <c r="I1068" s="50" t="s">
        <v>5810</v>
      </c>
      <c r="J1068" s="54" t="s">
        <v>73</v>
      </c>
      <c r="K1068" s="56" t="s">
        <v>129</v>
      </c>
      <c r="L1068" s="56" t="s">
        <v>136</v>
      </c>
      <c r="M1068" s="56" t="s">
        <v>5811</v>
      </c>
      <c r="N1068" s="56" t="s">
        <v>5812</v>
      </c>
      <c r="O1068" s="54"/>
      <c r="P1068" s="56" t="s">
        <v>114</v>
      </c>
      <c r="Q1068" s="56" t="s">
        <v>2216</v>
      </c>
      <c r="R1068" s="50"/>
      <c r="S1068" s="50"/>
      <c r="T1068" s="50"/>
      <c r="U1068" s="50"/>
      <c r="V1068" s="57">
        <v>1.71</v>
      </c>
      <c r="W1068" s="68"/>
      <c r="X1068" s="50"/>
      <c r="Y1068" s="50"/>
      <c r="Z1068" s="50"/>
      <c r="AA1068" s="50"/>
      <c r="AB1068" s="57"/>
      <c r="AC1068" s="54">
        <v>0</v>
      </c>
      <c r="AD1068" s="54">
        <f>SUM(AE1068:AK1068)</f>
        <v>0</v>
      </c>
      <c r="AE1068" s="66"/>
      <c r="AF1068" s="66"/>
      <c r="AG1068" s="66"/>
      <c r="AH1068" s="66"/>
      <c r="AI1068" s="66"/>
      <c r="AJ1068" s="66"/>
      <c r="AK1068" s="66"/>
      <c r="AL1068" s="54">
        <f>IF((AC1068-SUM(AE1068:AK1068))&lt;0,0,AC1068-SUM(AE1068:AK1068))</f>
        <v>0</v>
      </c>
      <c r="AM1068" s="54">
        <f>SUM(AN1068:AT1068)</f>
        <v>0</v>
      </c>
      <c r="AN1068" s="54"/>
      <c r="AO1068" s="54"/>
      <c r="AP1068" s="54"/>
      <c r="AQ1068" s="54"/>
      <c r="AR1068" s="54"/>
      <c r="AS1068" s="54"/>
      <c r="AT1068" s="54"/>
      <c r="AU1068" s="54">
        <f>MAX(0,$AM1068-$AC1068-$AW1068)</f>
        <v>0</v>
      </c>
      <c r="AV1068" s="54"/>
      <c r="AW1068" s="54"/>
      <c r="AX1068" s="65">
        <v>0</v>
      </c>
      <c r="AY1068" s="57">
        <f>IF(AND($AU1068&gt;0,ISNUMBER($AX1068)),$AU1068*$AX1068,0)</f>
        <v>0</v>
      </c>
      <c r="AZ1068" s="72"/>
      <c r="BA1068" s="73"/>
      <c r="BB1068" s="73"/>
      <c r="BC1068" s="73"/>
      <c r="BD1068" s="73"/>
      <c r="BE1068" s="73"/>
      <c r="BF1068" s="73"/>
    </row>
    <row r="1069" spans="1:58" ht="15" customHeight="1">
      <c r="A1069" s="46" t="s">
        <v>5813</v>
      </c>
      <c r="B1069" s="50" t="s">
        <v>5814</v>
      </c>
      <c r="C1069" s="54" t="s">
        <v>311</v>
      </c>
      <c r="D1069" s="74">
        <v>0</v>
      </c>
      <c r="E1069" s="50" t="s">
        <v>312</v>
      </c>
      <c r="F1069" s="50"/>
      <c r="G1069" s="50"/>
      <c r="H1069" s="51"/>
      <c r="I1069" s="50" t="s">
        <v>5815</v>
      </c>
      <c r="J1069" s="54" t="s">
        <v>73</v>
      </c>
      <c r="K1069" s="56" t="s">
        <v>312</v>
      </c>
      <c r="L1069" s="56" t="s">
        <v>5816</v>
      </c>
      <c r="M1069" s="56"/>
      <c r="N1069" s="56"/>
      <c r="O1069" s="54"/>
      <c r="P1069" s="56" t="s">
        <v>86</v>
      </c>
      <c r="Q1069" s="56" t="s">
        <v>437</v>
      </c>
      <c r="R1069" s="50"/>
      <c r="S1069" s="50"/>
      <c r="T1069" s="50"/>
      <c r="U1069" s="50"/>
      <c r="V1069" s="57">
        <v>1.69</v>
      </c>
      <c r="W1069" s="68"/>
      <c r="X1069" s="50"/>
      <c r="Y1069" s="50"/>
      <c r="Z1069" s="50"/>
      <c r="AA1069" s="50"/>
      <c r="AB1069" s="57"/>
      <c r="AC1069" s="54">
        <v>0</v>
      </c>
      <c r="AD1069" s="54">
        <f>SUM(AE1069:AK1069)</f>
        <v>0</v>
      </c>
      <c r="AE1069" s="66"/>
      <c r="AF1069" s="66"/>
      <c r="AG1069" s="66"/>
      <c r="AH1069" s="66"/>
      <c r="AI1069" s="66"/>
      <c r="AJ1069" s="66"/>
      <c r="AK1069" s="66"/>
      <c r="AL1069" s="54">
        <f>IF((AC1069-SUM(AE1069:AK1069))&lt;0,0,AC1069-SUM(AE1069:AK1069))</f>
        <v>0</v>
      </c>
      <c r="AM1069" s="54">
        <f>SUM(AN1069:AT1069)</f>
        <v>0</v>
      </c>
      <c r="AN1069" s="54"/>
      <c r="AO1069" s="54"/>
      <c r="AP1069" s="54"/>
      <c r="AQ1069" s="54"/>
      <c r="AR1069" s="54"/>
      <c r="AS1069" s="54"/>
      <c r="AT1069" s="54"/>
      <c r="AU1069" s="54">
        <f>MAX(0,$AM1069-$AC1069-$AW1069)</f>
        <v>0</v>
      </c>
      <c r="AV1069" s="54"/>
      <c r="AW1069" s="54"/>
      <c r="AX1069" s="65">
        <v>0</v>
      </c>
      <c r="AY1069" s="57">
        <f>IF(AND($AU1069&gt;0,ISNUMBER($AX1069)),$AU1069*$AX1069,0)</f>
        <v>0</v>
      </c>
      <c r="AZ1069" s="72"/>
      <c r="BA1069" s="73"/>
      <c r="BB1069" s="73"/>
      <c r="BC1069" s="73"/>
      <c r="BD1069" s="73"/>
      <c r="BE1069" s="73"/>
      <c r="BF1069" s="73"/>
    </row>
    <row r="1070" spans="1:58" ht="15" customHeight="1">
      <c r="A1070" s="46" t="s">
        <v>5817</v>
      </c>
      <c r="B1070" s="50" t="s">
        <v>5818</v>
      </c>
      <c r="C1070" s="54" t="s">
        <v>181</v>
      </c>
      <c r="D1070" s="74">
        <v>4</v>
      </c>
      <c r="E1070" s="50" t="s">
        <v>81</v>
      </c>
      <c r="F1070" s="50">
        <v>2</v>
      </c>
      <c r="G1070" s="50">
        <v>3</v>
      </c>
      <c r="H1070" s="51" t="s">
        <v>1469</v>
      </c>
      <c r="I1070" s="50" t="s">
        <v>5819</v>
      </c>
      <c r="J1070" s="54" t="s">
        <v>73</v>
      </c>
      <c r="K1070" s="56" t="s">
        <v>273</v>
      </c>
      <c r="L1070" s="56" t="s">
        <v>136</v>
      </c>
      <c r="M1070" s="56" t="s">
        <v>5820</v>
      </c>
      <c r="N1070" s="56"/>
      <c r="O1070" s="54"/>
      <c r="P1070" s="56" t="s">
        <v>76</v>
      </c>
      <c r="Q1070" s="56" t="s">
        <v>5821</v>
      </c>
      <c r="R1070" s="50"/>
      <c r="S1070" s="50"/>
      <c r="T1070" s="50"/>
      <c r="U1070" s="50"/>
      <c r="V1070" s="57">
        <v>1.65</v>
      </c>
      <c r="W1070" s="68"/>
      <c r="X1070" s="50"/>
      <c r="Y1070" s="50"/>
      <c r="Z1070" s="50"/>
      <c r="AA1070" s="50"/>
      <c r="AB1070" s="57"/>
      <c r="AC1070" s="54">
        <v>0</v>
      </c>
      <c r="AD1070" s="54">
        <f>SUM(AE1070:AK1070)</f>
        <v>0</v>
      </c>
      <c r="AE1070" s="66"/>
      <c r="AF1070" s="66"/>
      <c r="AG1070" s="66"/>
      <c r="AH1070" s="66"/>
      <c r="AI1070" s="66"/>
      <c r="AJ1070" s="66"/>
      <c r="AK1070" s="66"/>
      <c r="AL1070" s="54">
        <f>IF((AC1070-SUM(AE1070:AK1070))&lt;0,0,AC1070-SUM(AE1070:AK1070))</f>
        <v>0</v>
      </c>
      <c r="AM1070" s="54">
        <f>SUM(AN1070:AT1070)</f>
        <v>0</v>
      </c>
      <c r="AN1070" s="54"/>
      <c r="AO1070" s="54"/>
      <c r="AP1070" s="54"/>
      <c r="AQ1070" s="54"/>
      <c r="AR1070" s="54"/>
      <c r="AS1070" s="54"/>
      <c r="AT1070" s="54"/>
      <c r="AU1070" s="54">
        <f>MAX(0,$AM1070-$AC1070-$AW1070)</f>
        <v>0</v>
      </c>
      <c r="AV1070" s="54"/>
      <c r="AW1070" s="54"/>
      <c r="AX1070" s="65">
        <v>0</v>
      </c>
      <c r="AY1070" s="57">
        <f>IF(AND($AU1070&gt;0,ISNUMBER($AX1070)),$AU1070*$AX1070,0)</f>
        <v>0</v>
      </c>
      <c r="AZ1070" s="72"/>
      <c r="BA1070" s="73"/>
      <c r="BB1070" s="73"/>
      <c r="BC1070" s="73"/>
      <c r="BD1070" s="73"/>
      <c r="BE1070" s="73"/>
      <c r="BF1070" s="73"/>
    </row>
    <row r="1071" spans="1:58" ht="15" customHeight="1">
      <c r="A1071" s="46" t="s">
        <v>5822</v>
      </c>
      <c r="B1071" s="50" t="s">
        <v>5823</v>
      </c>
      <c r="C1071" s="54" t="s">
        <v>109</v>
      </c>
      <c r="D1071" s="74">
        <v>5</v>
      </c>
      <c r="E1071" s="50" t="s">
        <v>81</v>
      </c>
      <c r="F1071" s="50">
        <v>3</v>
      </c>
      <c r="G1071" s="50">
        <v>4</v>
      </c>
      <c r="H1071" s="51" t="s">
        <v>578</v>
      </c>
      <c r="I1071" s="50" t="s">
        <v>5824</v>
      </c>
      <c r="J1071" s="54" t="s">
        <v>73</v>
      </c>
      <c r="K1071" s="56" t="s">
        <v>84</v>
      </c>
      <c r="L1071" s="56" t="s">
        <v>5825</v>
      </c>
      <c r="M1071" s="56" t="s">
        <v>5826</v>
      </c>
      <c r="N1071" s="56" t="s">
        <v>5827</v>
      </c>
      <c r="O1071" s="54"/>
      <c r="P1071" s="56" t="s">
        <v>86</v>
      </c>
      <c r="Q1071" s="56" t="s">
        <v>2285</v>
      </c>
      <c r="R1071" s="50"/>
      <c r="S1071" s="50"/>
      <c r="T1071" s="50"/>
      <c r="U1071" s="50"/>
      <c r="V1071" s="57">
        <v>1.63</v>
      </c>
      <c r="W1071" s="68"/>
      <c r="X1071" s="50"/>
      <c r="Y1071" s="50"/>
      <c r="Z1071" s="50"/>
      <c r="AA1071" s="50"/>
      <c r="AB1071" s="57"/>
      <c r="AC1071" s="54">
        <v>0</v>
      </c>
      <c r="AD1071" s="54">
        <f>SUM(AE1071:AK1071)</f>
        <v>0</v>
      </c>
      <c r="AE1071" s="66"/>
      <c r="AF1071" s="66"/>
      <c r="AG1071" s="66"/>
      <c r="AH1071" s="66"/>
      <c r="AI1071" s="66"/>
      <c r="AJ1071" s="66"/>
      <c r="AK1071" s="66"/>
      <c r="AL1071" s="54">
        <f>IF((AC1071-SUM(AE1071:AK1071))&lt;0,0,AC1071-SUM(AE1071:AK1071))</f>
        <v>0</v>
      </c>
      <c r="AM1071" s="54">
        <f>SUM(AN1071:AT1071)</f>
        <v>0</v>
      </c>
      <c r="AN1071" s="54"/>
      <c r="AO1071" s="54"/>
      <c r="AP1071" s="54"/>
      <c r="AQ1071" s="54"/>
      <c r="AR1071" s="54"/>
      <c r="AS1071" s="54"/>
      <c r="AT1071" s="54"/>
      <c r="AU1071" s="54">
        <f>MAX(0,$AM1071-$AC1071-$AW1071)</f>
        <v>0</v>
      </c>
      <c r="AV1071" s="54"/>
      <c r="AW1071" s="54"/>
      <c r="AX1071" s="65">
        <v>0</v>
      </c>
      <c r="AY1071" s="57">
        <f>IF(AND($AU1071&gt;0,ISNUMBER($AX1071)),$AU1071*$AX1071,0)</f>
        <v>0</v>
      </c>
      <c r="AZ1071" s="72"/>
      <c r="BA1071" s="73"/>
      <c r="BB1071" s="73"/>
      <c r="BC1071" s="73"/>
      <c r="BD1071" s="73"/>
      <c r="BE1071" s="73"/>
      <c r="BF1071" s="73"/>
    </row>
    <row r="1072" spans="1:58" ht="15" customHeight="1">
      <c r="A1072" s="46" t="s">
        <v>5828</v>
      </c>
      <c r="B1072" s="50" t="s">
        <v>5829</v>
      </c>
      <c r="C1072" s="54" t="s">
        <v>109</v>
      </c>
      <c r="D1072" s="74">
        <v>2</v>
      </c>
      <c r="E1072" s="50" t="s">
        <v>71</v>
      </c>
      <c r="F1072" s="50"/>
      <c r="G1072" s="50"/>
      <c r="H1072" s="51"/>
      <c r="I1072" s="50" t="s">
        <v>5830</v>
      </c>
      <c r="J1072" s="54" t="s">
        <v>73</v>
      </c>
      <c r="K1072" s="56" t="s">
        <v>129</v>
      </c>
      <c r="L1072" s="56" t="s">
        <v>5831</v>
      </c>
      <c r="M1072" s="56"/>
      <c r="N1072" s="56"/>
      <c r="O1072" s="54"/>
      <c r="P1072" s="56" t="s">
        <v>114</v>
      </c>
      <c r="Q1072" s="56" t="s">
        <v>1970</v>
      </c>
      <c r="R1072" s="50"/>
      <c r="S1072" s="50"/>
      <c r="T1072" s="50"/>
      <c r="U1072" s="50"/>
      <c r="V1072" s="57">
        <v>1.58</v>
      </c>
      <c r="W1072" s="68"/>
      <c r="X1072" s="50"/>
      <c r="Y1072" s="50"/>
      <c r="Z1072" s="50"/>
      <c r="AA1072" s="50"/>
      <c r="AB1072" s="57"/>
      <c r="AC1072" s="54">
        <v>0</v>
      </c>
      <c r="AD1072" s="54">
        <f>SUM(AE1072:AK1072)</f>
        <v>0</v>
      </c>
      <c r="AE1072" s="66"/>
      <c r="AF1072" s="66"/>
      <c r="AG1072" s="66"/>
      <c r="AH1072" s="66"/>
      <c r="AI1072" s="66"/>
      <c r="AJ1072" s="66"/>
      <c r="AK1072" s="66"/>
      <c r="AL1072" s="54">
        <f>IF((AC1072-SUM(AE1072:AK1072))&lt;0,0,AC1072-SUM(AE1072:AK1072))</f>
        <v>0</v>
      </c>
      <c r="AM1072" s="54">
        <f>SUM(AN1072:AT1072)</f>
        <v>0</v>
      </c>
      <c r="AN1072" s="54"/>
      <c r="AO1072" s="54"/>
      <c r="AP1072" s="54"/>
      <c r="AQ1072" s="54"/>
      <c r="AR1072" s="54"/>
      <c r="AS1072" s="54"/>
      <c r="AT1072" s="54"/>
      <c r="AU1072" s="54">
        <f>MAX(0,$AM1072-$AC1072-$AW1072)</f>
        <v>0</v>
      </c>
      <c r="AV1072" s="54"/>
      <c r="AW1072" s="54"/>
      <c r="AX1072" s="65">
        <v>0</v>
      </c>
      <c r="AY1072" s="57">
        <f>IF(AND($AU1072&gt;0,ISNUMBER($AX1072)),$AU1072*$AX1072,0)</f>
        <v>0</v>
      </c>
      <c r="AZ1072" s="72"/>
      <c r="BA1072" s="73"/>
      <c r="BB1072" s="73"/>
      <c r="BC1072" s="73"/>
      <c r="BD1072" s="73"/>
      <c r="BE1072" s="73"/>
      <c r="BF1072" s="73"/>
    </row>
    <row r="1073" spans="1:58" ht="15" customHeight="1">
      <c r="A1073" s="46" t="s">
        <v>5832</v>
      </c>
      <c r="B1073" s="50" t="s">
        <v>5833</v>
      </c>
      <c r="C1073" s="54" t="s">
        <v>118</v>
      </c>
      <c r="D1073" s="74">
        <v>1</v>
      </c>
      <c r="E1073" s="50" t="s">
        <v>81</v>
      </c>
      <c r="F1073" s="50">
        <v>0</v>
      </c>
      <c r="G1073" s="50">
        <v>4</v>
      </c>
      <c r="H1073" s="51" t="s">
        <v>1232</v>
      </c>
      <c r="I1073" s="50" t="s">
        <v>5834</v>
      </c>
      <c r="J1073" s="54" t="s">
        <v>73</v>
      </c>
      <c r="K1073" s="56" t="s">
        <v>676</v>
      </c>
      <c r="L1073" s="56" t="s">
        <v>594</v>
      </c>
      <c r="M1073" s="56" t="s">
        <v>5835</v>
      </c>
      <c r="N1073" s="56"/>
      <c r="O1073" s="54"/>
      <c r="P1073" s="56" t="s">
        <v>185</v>
      </c>
      <c r="Q1073" s="56" t="s">
        <v>907</v>
      </c>
      <c r="R1073" s="50"/>
      <c r="S1073" s="50"/>
      <c r="T1073" s="50"/>
      <c r="U1073" s="50"/>
      <c r="V1073" s="57">
        <v>1.4</v>
      </c>
      <c r="W1073" s="68"/>
      <c r="X1073" s="50"/>
      <c r="Y1073" s="50"/>
      <c r="Z1073" s="50"/>
      <c r="AA1073" s="50"/>
      <c r="AB1073" s="57"/>
      <c r="AC1073" s="54">
        <v>0</v>
      </c>
      <c r="AD1073" s="54">
        <f>SUM(AE1073:AK1073)</f>
        <v>0</v>
      </c>
      <c r="AE1073" s="66"/>
      <c r="AF1073" s="66"/>
      <c r="AG1073" s="66"/>
      <c r="AH1073" s="66"/>
      <c r="AI1073" s="66"/>
      <c r="AJ1073" s="66"/>
      <c r="AK1073" s="66"/>
      <c r="AL1073" s="54">
        <f>IF((AC1073-SUM(AE1073:AK1073))&lt;0,0,AC1073-SUM(AE1073:AK1073))</f>
        <v>0</v>
      </c>
      <c r="AM1073" s="54">
        <f>SUM(AN1073:AT1073)</f>
        <v>0</v>
      </c>
      <c r="AN1073" s="54"/>
      <c r="AO1073" s="54"/>
      <c r="AP1073" s="54"/>
      <c r="AQ1073" s="54"/>
      <c r="AR1073" s="54"/>
      <c r="AS1073" s="54"/>
      <c r="AT1073" s="54"/>
      <c r="AU1073" s="54">
        <f>MAX(0,$AM1073-$AC1073-$AW1073)</f>
        <v>0</v>
      </c>
      <c r="AV1073" s="54"/>
      <c r="AW1073" s="54"/>
      <c r="AX1073" s="65">
        <v>0</v>
      </c>
      <c r="AY1073" s="57">
        <f>IF(AND($AU1073&gt;0,ISNUMBER($AX1073)),$AU1073*$AX1073,0)</f>
        <v>0</v>
      </c>
      <c r="AZ1073" s="72"/>
      <c r="BA1073" s="73"/>
      <c r="BB1073" s="73"/>
      <c r="BC1073" s="73"/>
      <c r="BD1073" s="73"/>
      <c r="BE1073" s="73"/>
      <c r="BF1073" s="73"/>
    </row>
    <row r="1074" spans="1:58" ht="15" customHeight="1">
      <c r="A1074" s="46" t="s">
        <v>5836</v>
      </c>
      <c r="B1074" s="50" t="s">
        <v>5837</v>
      </c>
      <c r="C1074" s="54" t="s">
        <v>181</v>
      </c>
      <c r="D1074" s="74">
        <v>3</v>
      </c>
      <c r="E1074" s="50" t="s">
        <v>81</v>
      </c>
      <c r="F1074" s="50">
        <v>2</v>
      </c>
      <c r="G1074" s="50">
        <v>2</v>
      </c>
      <c r="H1074" s="51" t="s">
        <v>2361</v>
      </c>
      <c r="I1074" s="50" t="s">
        <v>5838</v>
      </c>
      <c r="J1074" s="54" t="s">
        <v>73</v>
      </c>
      <c r="K1074" s="56" t="s">
        <v>129</v>
      </c>
      <c r="L1074" s="56" t="s">
        <v>5839</v>
      </c>
      <c r="M1074" s="56"/>
      <c r="N1074" s="56"/>
      <c r="O1074" s="54"/>
      <c r="P1074" s="56" t="s">
        <v>86</v>
      </c>
      <c r="Q1074" s="56" t="s">
        <v>1379</v>
      </c>
      <c r="R1074" s="54"/>
      <c r="S1074" s="54"/>
      <c r="T1074" s="54"/>
      <c r="U1074" s="54"/>
      <c r="V1074" s="57">
        <v>1.1399999999999999</v>
      </c>
      <c r="W1074" s="68"/>
      <c r="X1074" s="54"/>
      <c r="Y1074" s="54"/>
      <c r="Z1074" s="54"/>
      <c r="AA1074" s="54"/>
      <c r="AB1074" s="57"/>
      <c r="AC1074" s="54">
        <v>0</v>
      </c>
      <c r="AD1074" s="54">
        <f>SUM(AE1074:AK1074)</f>
        <v>0</v>
      </c>
      <c r="AE1074" s="66"/>
      <c r="AF1074" s="66"/>
      <c r="AG1074" s="66"/>
      <c r="AH1074" s="66"/>
      <c r="AI1074" s="66"/>
      <c r="AJ1074" s="66"/>
      <c r="AK1074" s="66"/>
      <c r="AL1074" s="54">
        <f>IF((AC1074-SUM(AE1074:AK1074))&lt;0,0,AC1074-SUM(AE1074:AK1074))</f>
        <v>0</v>
      </c>
      <c r="AM1074" s="54">
        <f>SUM(AN1074:AT1074)</f>
        <v>0</v>
      </c>
      <c r="AN1074" s="54"/>
      <c r="AO1074" s="54"/>
      <c r="AP1074" s="54"/>
      <c r="AQ1074" s="54"/>
      <c r="AR1074" s="54"/>
      <c r="AS1074" s="54"/>
      <c r="AT1074" s="54"/>
      <c r="AU1074" s="54">
        <f>MAX(0,$AM1074-$AC1074-$AW1074)</f>
        <v>0</v>
      </c>
      <c r="AV1074" s="54"/>
      <c r="AW1074" s="54"/>
      <c r="AX1074" s="65">
        <v>0</v>
      </c>
      <c r="AY1074" s="57">
        <f>IF(AND($AU1074&gt;0,ISNUMBER($AX1074)),$AU1074*$AX1074,0)</f>
        <v>0</v>
      </c>
      <c r="AZ1074" s="72"/>
      <c r="BA1074" s="73"/>
      <c r="BB1074" s="73"/>
      <c r="BC1074" s="73"/>
      <c r="BD1074" s="73"/>
      <c r="BE1074" s="73"/>
      <c r="BF1074" s="73"/>
    </row>
    <row r="1075" spans="1:58" ht="15" customHeight="1">
      <c r="A1075" s="46" t="s">
        <v>5840</v>
      </c>
      <c r="B1075" s="50" t="s">
        <v>5841</v>
      </c>
      <c r="C1075" s="54" t="s">
        <v>109</v>
      </c>
      <c r="D1075" s="74">
        <v>4</v>
      </c>
      <c r="E1075" s="50" t="s">
        <v>110</v>
      </c>
      <c r="F1075" s="50">
        <v>3</v>
      </c>
      <c r="G1075" s="50">
        <v>3</v>
      </c>
      <c r="H1075" s="51" t="s">
        <v>5842</v>
      </c>
      <c r="I1075" s="50" t="s">
        <v>5843</v>
      </c>
      <c r="J1075" s="54" t="s">
        <v>73</v>
      </c>
      <c r="K1075" s="56" t="s">
        <v>344</v>
      </c>
      <c r="L1075" s="56" t="s">
        <v>5844</v>
      </c>
      <c r="M1075" s="56" t="s">
        <v>5845</v>
      </c>
      <c r="N1075" s="56"/>
      <c r="O1075" s="54"/>
      <c r="P1075" s="56" t="s">
        <v>86</v>
      </c>
      <c r="Q1075" s="56" t="s">
        <v>1870</v>
      </c>
      <c r="R1075" s="50"/>
      <c r="S1075" s="50"/>
      <c r="T1075" s="50"/>
      <c r="U1075" s="50"/>
      <c r="V1075" s="57">
        <v>0.95</v>
      </c>
      <c r="W1075" s="68"/>
      <c r="X1075" s="50"/>
      <c r="Y1075" s="50"/>
      <c r="Z1075" s="50"/>
      <c r="AA1075" s="50"/>
      <c r="AB1075" s="57"/>
      <c r="AC1075" s="54">
        <v>0</v>
      </c>
      <c r="AD1075" s="54">
        <f>SUM(AE1075:AK1075)</f>
        <v>0</v>
      </c>
      <c r="AE1075" s="66"/>
      <c r="AF1075" s="66"/>
      <c r="AG1075" s="66"/>
      <c r="AH1075" s="66"/>
      <c r="AI1075" s="66"/>
      <c r="AJ1075" s="66"/>
      <c r="AK1075" s="66"/>
      <c r="AL1075" s="54">
        <f>IF((AC1075-SUM(AE1075:AK1075))&lt;0,0,AC1075-SUM(AE1075:AK1075))</f>
        <v>0</v>
      </c>
      <c r="AM1075" s="54">
        <f>SUM(AN1075:AT1075)</f>
        <v>0</v>
      </c>
      <c r="AN1075" s="54"/>
      <c r="AO1075" s="54"/>
      <c r="AP1075" s="54"/>
      <c r="AQ1075" s="54"/>
      <c r="AR1075" s="54"/>
      <c r="AS1075" s="54"/>
      <c r="AT1075" s="54"/>
      <c r="AU1075" s="54">
        <f>MAX(0,$AM1075-$AC1075-$AW1075)</f>
        <v>0</v>
      </c>
      <c r="AV1075" s="54"/>
      <c r="AW1075" s="54"/>
      <c r="AX1075" s="65">
        <v>0</v>
      </c>
      <c r="AY1075" s="57">
        <f>IF(AND($AU1075&gt;0,ISNUMBER($AX1075)),$AU1075*$AX1075,0)</f>
        <v>0</v>
      </c>
      <c r="AZ1075" s="72"/>
      <c r="BA1075" s="73"/>
      <c r="BB1075" s="73"/>
      <c r="BC1075" s="73"/>
      <c r="BD1075" s="73"/>
      <c r="BE1075" s="73"/>
      <c r="BF1075" s="73"/>
    </row>
    <row r="1076" spans="1:58" ht="15" customHeight="1">
      <c r="A1076" s="46" t="s">
        <v>5846</v>
      </c>
      <c r="B1076" s="50" t="s">
        <v>5847</v>
      </c>
      <c r="C1076" s="54" t="s">
        <v>181</v>
      </c>
      <c r="D1076" s="74">
        <v>2</v>
      </c>
      <c r="E1076" s="50" t="s">
        <v>81</v>
      </c>
      <c r="F1076" s="50">
        <v>3</v>
      </c>
      <c r="G1076" s="50">
        <v>3</v>
      </c>
      <c r="H1076" s="51" t="s">
        <v>5848</v>
      </c>
      <c r="I1076" s="50" t="s">
        <v>5849</v>
      </c>
      <c r="J1076" s="54" t="s">
        <v>73</v>
      </c>
      <c r="K1076" s="56" t="s">
        <v>497</v>
      </c>
      <c r="L1076" s="56" t="s">
        <v>5850</v>
      </c>
      <c r="M1076" s="56" t="s">
        <v>5851</v>
      </c>
      <c r="N1076" s="56"/>
      <c r="O1076" s="54"/>
      <c r="P1076" s="56" t="s">
        <v>86</v>
      </c>
      <c r="Q1076" s="56" t="s">
        <v>575</v>
      </c>
      <c r="R1076" s="50"/>
      <c r="S1076" s="50"/>
      <c r="T1076" s="50"/>
      <c r="U1076" s="50"/>
      <c r="V1076" s="57">
        <v>0.95</v>
      </c>
      <c r="W1076" s="68"/>
      <c r="X1076" s="50"/>
      <c r="Y1076" s="50"/>
      <c r="Z1076" s="50"/>
      <c r="AA1076" s="50"/>
      <c r="AB1076" s="57"/>
      <c r="AC1076" s="54">
        <v>0</v>
      </c>
      <c r="AD1076" s="54">
        <f>SUM(AE1076:AK1076)</f>
        <v>0</v>
      </c>
      <c r="AE1076" s="66"/>
      <c r="AF1076" s="66"/>
      <c r="AG1076" s="66"/>
      <c r="AH1076" s="66"/>
      <c r="AI1076" s="66"/>
      <c r="AJ1076" s="66"/>
      <c r="AK1076" s="66"/>
      <c r="AL1076" s="54">
        <f>IF((AC1076-SUM(AE1076:AK1076))&lt;0,0,AC1076-SUM(AE1076:AK1076))</f>
        <v>0</v>
      </c>
      <c r="AM1076" s="54">
        <f>SUM(AN1076:AT1076)</f>
        <v>0</v>
      </c>
      <c r="AN1076" s="54"/>
      <c r="AO1076" s="54"/>
      <c r="AP1076" s="54"/>
      <c r="AQ1076" s="54"/>
      <c r="AR1076" s="54"/>
      <c r="AS1076" s="54"/>
      <c r="AT1076" s="54"/>
      <c r="AU1076" s="54">
        <f>MAX(0,$AM1076-$AC1076-$AW1076)</f>
        <v>0</v>
      </c>
      <c r="AV1076" s="54"/>
      <c r="AW1076" s="54"/>
      <c r="AX1076" s="65">
        <v>0</v>
      </c>
      <c r="AY1076" s="57">
        <f>IF(AND($AU1076&gt;0,ISNUMBER($AX1076)),$AU1076*$AX1076,0)</f>
        <v>0</v>
      </c>
      <c r="AZ1076" s="72"/>
      <c r="BA1076" s="73"/>
      <c r="BB1076" s="73"/>
      <c r="BC1076" s="73"/>
      <c r="BD1076" s="73"/>
      <c r="BE1076" s="73"/>
      <c r="BF1076" s="73"/>
    </row>
    <row r="1077" spans="1:58" ht="15" customHeight="1">
      <c r="A1077" s="46" t="s">
        <v>5852</v>
      </c>
      <c r="B1077" s="50" t="s">
        <v>5853</v>
      </c>
      <c r="C1077" s="54" t="s">
        <v>311</v>
      </c>
      <c r="D1077" s="74">
        <v>0</v>
      </c>
      <c r="E1077" s="50" t="s">
        <v>312</v>
      </c>
      <c r="F1077" s="50"/>
      <c r="G1077" s="50"/>
      <c r="H1077" s="51"/>
      <c r="I1077" s="50" t="s">
        <v>5854</v>
      </c>
      <c r="J1077" s="54" t="s">
        <v>196</v>
      </c>
      <c r="K1077" s="56" t="s">
        <v>312</v>
      </c>
      <c r="L1077" s="56" t="s">
        <v>1153</v>
      </c>
      <c r="M1077" s="56" t="s">
        <v>5855</v>
      </c>
      <c r="N1077" s="56"/>
      <c r="O1077" s="54"/>
      <c r="P1077" s="56" t="s">
        <v>86</v>
      </c>
      <c r="Q1077" s="56" t="s">
        <v>3704</v>
      </c>
      <c r="R1077" s="50"/>
      <c r="S1077" s="50"/>
      <c r="T1077" s="50"/>
      <c r="U1077" s="50"/>
      <c r="V1077" s="57">
        <v>0.93</v>
      </c>
      <c r="W1077" s="68"/>
      <c r="X1077" s="50"/>
      <c r="Y1077" s="50"/>
      <c r="Z1077" s="50"/>
      <c r="AA1077" s="50"/>
      <c r="AB1077" s="57"/>
      <c r="AC1077" s="54">
        <v>0</v>
      </c>
      <c r="AD1077" s="54">
        <f>SUM(AE1077:AK1077)</f>
        <v>0</v>
      </c>
      <c r="AE1077" s="66"/>
      <c r="AF1077" s="66"/>
      <c r="AG1077" s="66"/>
      <c r="AH1077" s="66"/>
      <c r="AI1077" s="66"/>
      <c r="AJ1077" s="66"/>
      <c r="AK1077" s="66"/>
      <c r="AL1077" s="54">
        <f>IF((AC1077-SUM(AE1077:AK1077))&lt;0,0,AC1077-SUM(AE1077:AK1077))</f>
        <v>0</v>
      </c>
      <c r="AM1077" s="54">
        <f>SUM(AN1077:AT1077)</f>
        <v>0</v>
      </c>
      <c r="AN1077" s="54"/>
      <c r="AO1077" s="54"/>
      <c r="AP1077" s="54"/>
      <c r="AQ1077" s="54"/>
      <c r="AR1077" s="54"/>
      <c r="AS1077" s="54"/>
      <c r="AT1077" s="54"/>
      <c r="AU1077" s="54">
        <f>MAX(0,$AM1077-$AC1077-$AW1077)</f>
        <v>0</v>
      </c>
      <c r="AV1077" s="54"/>
      <c r="AW1077" s="54"/>
      <c r="AX1077" s="65">
        <v>0</v>
      </c>
      <c r="AY1077" s="57">
        <f>IF(AND($AU1077&gt;0,ISNUMBER($AX1077)),$AU1077*$AX1077,0)</f>
        <v>0</v>
      </c>
      <c r="AZ1077" s="72"/>
      <c r="BA1077" s="73"/>
      <c r="BB1077" s="73"/>
      <c r="BC1077" s="73"/>
      <c r="BD1077" s="73"/>
      <c r="BE1077" s="73"/>
      <c r="BF1077" s="73"/>
    </row>
    <row r="1078" spans="1:58" ht="15" customHeight="1">
      <c r="A1078" s="46" t="s">
        <v>5856</v>
      </c>
      <c r="B1078" s="50" t="s">
        <v>5857</v>
      </c>
      <c r="C1078" s="54" t="s">
        <v>109</v>
      </c>
      <c r="D1078" s="74">
        <v>3</v>
      </c>
      <c r="E1078" s="50" t="s">
        <v>110</v>
      </c>
      <c r="F1078" s="50">
        <v>1</v>
      </c>
      <c r="G1078" s="50">
        <v>3</v>
      </c>
      <c r="H1078" s="51" t="s">
        <v>5858</v>
      </c>
      <c r="I1078" s="50" t="s">
        <v>5859</v>
      </c>
      <c r="J1078" s="54" t="s">
        <v>73</v>
      </c>
      <c r="K1078" s="56" t="s">
        <v>92</v>
      </c>
      <c r="L1078" s="56" t="s">
        <v>136</v>
      </c>
      <c r="M1078" s="56" t="s">
        <v>5860</v>
      </c>
      <c r="N1078" s="56"/>
      <c r="O1078" s="54"/>
      <c r="P1078" s="56" t="s">
        <v>114</v>
      </c>
      <c r="Q1078" s="56" t="s">
        <v>2216</v>
      </c>
      <c r="R1078" s="50"/>
      <c r="S1078" s="50"/>
      <c r="T1078" s="50"/>
      <c r="U1078" s="50"/>
      <c r="V1078" s="57">
        <v>0.87</v>
      </c>
      <c r="W1078" s="68"/>
      <c r="X1078" s="50"/>
      <c r="Y1078" s="50"/>
      <c r="Z1078" s="50"/>
      <c r="AA1078" s="50"/>
      <c r="AB1078" s="57"/>
      <c r="AC1078" s="54">
        <v>0</v>
      </c>
      <c r="AD1078" s="54">
        <f>SUM(AE1078:AK1078)</f>
        <v>0</v>
      </c>
      <c r="AE1078" s="66"/>
      <c r="AF1078" s="66"/>
      <c r="AG1078" s="66"/>
      <c r="AH1078" s="66"/>
      <c r="AI1078" s="66"/>
      <c r="AJ1078" s="66"/>
      <c r="AK1078" s="66"/>
      <c r="AL1078" s="54">
        <f>IF((AC1078-SUM(AE1078:AK1078))&lt;0,0,AC1078-SUM(AE1078:AK1078))</f>
        <v>0</v>
      </c>
      <c r="AM1078" s="54">
        <f>SUM(AN1078:AT1078)</f>
        <v>0</v>
      </c>
      <c r="AN1078" s="54"/>
      <c r="AO1078" s="54"/>
      <c r="AP1078" s="54"/>
      <c r="AQ1078" s="54"/>
      <c r="AR1078" s="54"/>
      <c r="AS1078" s="54"/>
      <c r="AT1078" s="54"/>
      <c r="AU1078" s="54">
        <f>MAX(0,$AM1078-$AC1078-$AW1078)</f>
        <v>0</v>
      </c>
      <c r="AV1078" s="54"/>
      <c r="AW1078" s="54"/>
      <c r="AX1078" s="65">
        <v>0</v>
      </c>
      <c r="AY1078" s="57">
        <f>IF(AND($AU1078&gt;0,ISNUMBER($AX1078)),$AU1078*$AX1078,0)</f>
        <v>0</v>
      </c>
      <c r="AZ1078" s="72"/>
      <c r="BA1078" s="73"/>
      <c r="BB1078" s="73"/>
      <c r="BC1078" s="73"/>
      <c r="BD1078" s="73"/>
      <c r="BE1078" s="73"/>
      <c r="BF1078" s="73"/>
    </row>
    <row r="1079" spans="1:58" ht="15" customHeight="1">
      <c r="A1079" s="46" t="s">
        <v>5861</v>
      </c>
      <c r="B1079" s="50" t="s">
        <v>5862</v>
      </c>
      <c r="C1079" s="54" t="s">
        <v>118</v>
      </c>
      <c r="D1079" s="74">
        <v>4</v>
      </c>
      <c r="E1079" s="50" t="s">
        <v>81</v>
      </c>
      <c r="F1079" s="50">
        <v>2</v>
      </c>
      <c r="G1079" s="50">
        <v>3</v>
      </c>
      <c r="H1079" s="51" t="s">
        <v>1977</v>
      </c>
      <c r="I1079" s="50" t="s">
        <v>5863</v>
      </c>
      <c r="J1079" s="54" t="s">
        <v>73</v>
      </c>
      <c r="K1079" s="56" t="s">
        <v>3168</v>
      </c>
      <c r="L1079" s="56" t="s">
        <v>136</v>
      </c>
      <c r="M1079" s="56" t="s">
        <v>5864</v>
      </c>
      <c r="N1079" s="56"/>
      <c r="O1079" s="54"/>
      <c r="P1079" s="56" t="s">
        <v>86</v>
      </c>
      <c r="Q1079" s="56" t="s">
        <v>5865</v>
      </c>
      <c r="R1079" s="50"/>
      <c r="S1079" s="50"/>
      <c r="T1079" s="50"/>
      <c r="U1079" s="50"/>
      <c r="V1079" s="57">
        <v>0.83</v>
      </c>
      <c r="W1079" s="68"/>
      <c r="X1079" s="50"/>
      <c r="Y1079" s="50"/>
      <c r="Z1079" s="50"/>
      <c r="AA1079" s="50"/>
      <c r="AB1079" s="57"/>
      <c r="AC1079" s="54">
        <v>0</v>
      </c>
      <c r="AD1079" s="54">
        <f>SUM(AE1079:AK1079)</f>
        <v>0</v>
      </c>
      <c r="AE1079" s="66"/>
      <c r="AF1079" s="66"/>
      <c r="AG1079" s="66"/>
      <c r="AH1079" s="66"/>
      <c r="AI1079" s="66"/>
      <c r="AJ1079" s="66"/>
      <c r="AK1079" s="66"/>
      <c r="AL1079" s="54">
        <f>IF((AC1079-SUM(AE1079:AK1079))&lt;0,0,AC1079-SUM(AE1079:AK1079))</f>
        <v>0</v>
      </c>
      <c r="AM1079" s="54">
        <f>SUM(AN1079:AT1079)</f>
        <v>0</v>
      </c>
      <c r="AN1079" s="54"/>
      <c r="AO1079" s="54"/>
      <c r="AP1079" s="54"/>
      <c r="AQ1079" s="54"/>
      <c r="AR1079" s="54"/>
      <c r="AS1079" s="54"/>
      <c r="AT1079" s="54"/>
      <c r="AU1079" s="54">
        <f>MAX(0,$AM1079-$AC1079-$AW1079)</f>
        <v>0</v>
      </c>
      <c r="AV1079" s="54"/>
      <c r="AW1079" s="54"/>
      <c r="AX1079" s="65">
        <v>0</v>
      </c>
      <c r="AY1079" s="57">
        <f>IF(AND($AU1079&gt;0,ISNUMBER($AX1079)),$AU1079*$AX1079,0)</f>
        <v>0</v>
      </c>
      <c r="AZ1079" s="72"/>
      <c r="BA1079" s="73"/>
      <c r="BB1079" s="73"/>
      <c r="BC1079" s="73"/>
      <c r="BD1079" s="73"/>
      <c r="BE1079" s="73"/>
      <c r="BF1079" s="73"/>
    </row>
    <row r="1080" spans="1:58" ht="15" customHeight="1">
      <c r="A1080" s="46" t="s">
        <v>5866</v>
      </c>
      <c r="B1080" s="50" t="s">
        <v>5867</v>
      </c>
      <c r="C1080" s="54" t="s">
        <v>311</v>
      </c>
      <c r="D1080" s="74">
        <v>0</v>
      </c>
      <c r="E1080" s="50" t="s">
        <v>312</v>
      </c>
      <c r="F1080" s="50"/>
      <c r="G1080" s="50"/>
      <c r="H1080" s="51"/>
      <c r="I1080" s="50" t="s">
        <v>5868</v>
      </c>
      <c r="J1080" s="54" t="s">
        <v>196</v>
      </c>
      <c r="K1080" s="56" t="s">
        <v>312</v>
      </c>
      <c r="L1080" s="56" t="s">
        <v>5869</v>
      </c>
      <c r="M1080" s="56" t="s">
        <v>5870</v>
      </c>
      <c r="N1080" s="56"/>
      <c r="O1080" s="54"/>
      <c r="P1080" s="56" t="s">
        <v>86</v>
      </c>
      <c r="Q1080" s="56" t="s">
        <v>1360</v>
      </c>
      <c r="R1080" s="50"/>
      <c r="S1080" s="50"/>
      <c r="T1080" s="50"/>
      <c r="U1080" s="50"/>
      <c r="V1080" s="57">
        <v>0.64</v>
      </c>
      <c r="W1080" s="68"/>
      <c r="X1080" s="50"/>
      <c r="Y1080" s="50"/>
      <c r="Z1080" s="50"/>
      <c r="AA1080" s="50"/>
      <c r="AB1080" s="57"/>
      <c r="AC1080" s="54">
        <v>0</v>
      </c>
      <c r="AD1080" s="54">
        <f>SUM(AE1080:AK1080)</f>
        <v>0</v>
      </c>
      <c r="AE1080" s="66"/>
      <c r="AF1080" s="66"/>
      <c r="AG1080" s="66"/>
      <c r="AH1080" s="66"/>
      <c r="AI1080" s="66"/>
      <c r="AJ1080" s="66"/>
      <c r="AK1080" s="66"/>
      <c r="AL1080" s="54">
        <f>IF((AC1080-SUM(AE1080:AK1080))&lt;0,0,AC1080-SUM(AE1080:AK1080))</f>
        <v>0</v>
      </c>
      <c r="AM1080" s="54">
        <f>SUM(AN1080:AT1080)</f>
        <v>0</v>
      </c>
      <c r="AN1080" s="54"/>
      <c r="AO1080" s="54"/>
      <c r="AP1080" s="54"/>
      <c r="AQ1080" s="54"/>
      <c r="AR1080" s="54"/>
      <c r="AS1080" s="54"/>
      <c r="AT1080" s="54"/>
      <c r="AU1080" s="54">
        <f>MAX(0,$AM1080-$AC1080-$AW1080)</f>
        <v>0</v>
      </c>
      <c r="AV1080" s="54"/>
      <c r="AW1080" s="54"/>
      <c r="AX1080" s="65">
        <v>0</v>
      </c>
      <c r="AY1080" s="57">
        <f>IF(AND($AU1080&gt;0,ISNUMBER($AX1080)),$AU1080*$AX1080,0)</f>
        <v>0</v>
      </c>
      <c r="AZ1080" s="72"/>
      <c r="BA1080" s="73"/>
      <c r="BB1080" s="73"/>
      <c r="BC1080" s="73"/>
      <c r="BD1080" s="73"/>
      <c r="BE1080" s="73"/>
      <c r="BF1080" s="73"/>
    </row>
    <row r="1081" spans="1:58" ht="15" customHeight="1">
      <c r="A1081" s="46" t="s">
        <v>5871</v>
      </c>
      <c r="B1081" s="50" t="s">
        <v>5872</v>
      </c>
      <c r="C1081" s="54" t="s">
        <v>109</v>
      </c>
      <c r="D1081" s="74">
        <v>6</v>
      </c>
      <c r="E1081" s="50" t="s">
        <v>110</v>
      </c>
      <c r="F1081" s="50">
        <v>3</v>
      </c>
      <c r="G1081" s="50">
        <v>7</v>
      </c>
      <c r="H1081" s="51" t="s">
        <v>495</v>
      </c>
      <c r="I1081" s="50" t="s">
        <v>5873</v>
      </c>
      <c r="J1081" s="54" t="s">
        <v>73</v>
      </c>
      <c r="K1081" s="56" t="s">
        <v>474</v>
      </c>
      <c r="L1081" s="56" t="s">
        <v>5874</v>
      </c>
      <c r="M1081" s="56" t="s">
        <v>5875</v>
      </c>
      <c r="N1081" s="56"/>
      <c r="O1081" s="54"/>
      <c r="P1081" s="56" t="s">
        <v>86</v>
      </c>
      <c r="Q1081" s="56" t="s">
        <v>141</v>
      </c>
      <c r="R1081" s="50"/>
      <c r="S1081" s="50"/>
      <c r="T1081" s="50"/>
      <c r="U1081" s="50"/>
      <c r="V1081" s="57">
        <v>0.52</v>
      </c>
      <c r="W1081" s="68"/>
      <c r="X1081" s="50"/>
      <c r="Y1081" s="50"/>
      <c r="Z1081" s="50"/>
      <c r="AA1081" s="50"/>
      <c r="AB1081" s="57"/>
      <c r="AC1081" s="54">
        <v>0</v>
      </c>
      <c r="AD1081" s="54">
        <f>SUM(AE1081:AK1081)</f>
        <v>0</v>
      </c>
      <c r="AE1081" s="66"/>
      <c r="AF1081" s="66"/>
      <c r="AG1081" s="66"/>
      <c r="AH1081" s="66"/>
      <c r="AI1081" s="66"/>
      <c r="AJ1081" s="66"/>
      <c r="AK1081" s="66"/>
      <c r="AL1081" s="54">
        <f>IF((AC1081-SUM(AE1081:AK1081))&lt;0,0,AC1081-SUM(AE1081:AK1081))</f>
        <v>0</v>
      </c>
      <c r="AM1081" s="54">
        <f>SUM(AN1081:AT1081)</f>
        <v>0</v>
      </c>
      <c r="AN1081" s="54"/>
      <c r="AO1081" s="54"/>
      <c r="AP1081" s="54"/>
      <c r="AQ1081" s="54"/>
      <c r="AR1081" s="54"/>
      <c r="AS1081" s="54"/>
      <c r="AT1081" s="54"/>
      <c r="AU1081" s="54">
        <f>MAX(0,$AM1081-$AC1081-$AW1081)</f>
        <v>0</v>
      </c>
      <c r="AV1081" s="54"/>
      <c r="AW1081" s="54"/>
      <c r="AX1081" s="65">
        <v>0</v>
      </c>
      <c r="AY1081" s="57">
        <f>IF(AND($AU1081&gt;0,ISNUMBER($AX1081)),$AU1081*$AX1081,0)</f>
        <v>0</v>
      </c>
      <c r="AZ1081" s="72"/>
      <c r="BA1081" s="73"/>
      <c r="BB1081" s="73"/>
      <c r="BC1081" s="73"/>
      <c r="BD1081" s="73"/>
      <c r="BE1081" s="73"/>
      <c r="BF1081" s="73"/>
    </row>
    <row r="1082" spans="1:58" ht="15" customHeight="1">
      <c r="A1082" s="46" t="s">
        <v>5876</v>
      </c>
      <c r="B1082" s="50" t="s">
        <v>5877</v>
      </c>
      <c r="C1082" s="54" t="s">
        <v>101</v>
      </c>
      <c r="D1082" s="74">
        <v>2</v>
      </c>
      <c r="E1082" s="50" t="s">
        <v>81</v>
      </c>
      <c r="F1082" s="50">
        <v>3</v>
      </c>
      <c r="G1082" s="50">
        <v>2</v>
      </c>
      <c r="H1082" s="51" t="s">
        <v>5878</v>
      </c>
      <c r="I1082" s="50" t="s">
        <v>5879</v>
      </c>
      <c r="J1082" s="54" t="s">
        <v>73</v>
      </c>
      <c r="K1082" s="56" t="s">
        <v>726</v>
      </c>
      <c r="L1082" s="56" t="s">
        <v>320</v>
      </c>
      <c r="M1082" s="56" t="s">
        <v>5880</v>
      </c>
      <c r="N1082" s="56" t="s">
        <v>5881</v>
      </c>
      <c r="O1082" s="54"/>
      <c r="P1082" s="56" t="s">
        <v>185</v>
      </c>
      <c r="Q1082" s="56" t="s">
        <v>1870</v>
      </c>
      <c r="R1082" s="50"/>
      <c r="S1082" s="50"/>
      <c r="T1082" s="50"/>
      <c r="U1082" s="50"/>
      <c r="V1082" s="57">
        <v>0.51</v>
      </c>
      <c r="W1082" s="68"/>
      <c r="X1082" s="50"/>
      <c r="Y1082" s="50"/>
      <c r="Z1082" s="50"/>
      <c r="AA1082" s="50"/>
      <c r="AB1082" s="57"/>
      <c r="AC1082" s="54">
        <v>0</v>
      </c>
      <c r="AD1082" s="54">
        <f>SUM(AE1082:AK1082)</f>
        <v>0</v>
      </c>
      <c r="AE1082" s="66"/>
      <c r="AF1082" s="66"/>
      <c r="AG1082" s="66"/>
      <c r="AH1082" s="66"/>
      <c r="AI1082" s="66"/>
      <c r="AJ1082" s="66"/>
      <c r="AK1082" s="66"/>
      <c r="AL1082" s="54">
        <f>IF((AC1082-SUM(AE1082:AK1082))&lt;0,0,AC1082-SUM(AE1082:AK1082))</f>
        <v>0</v>
      </c>
      <c r="AM1082" s="54">
        <f>SUM(AN1082:AT1082)</f>
        <v>0</v>
      </c>
      <c r="AN1082" s="54"/>
      <c r="AO1082" s="54"/>
      <c r="AP1082" s="54"/>
      <c r="AQ1082" s="54"/>
      <c r="AR1082" s="54"/>
      <c r="AS1082" s="54"/>
      <c r="AT1082" s="54"/>
      <c r="AU1082" s="54">
        <f>MAX(0,$AM1082-$AC1082-$AW1082)</f>
        <v>0</v>
      </c>
      <c r="AV1082" s="54"/>
      <c r="AW1082" s="54"/>
      <c r="AX1082" s="65">
        <v>0</v>
      </c>
      <c r="AY1082" s="57">
        <f>IF(AND($AU1082&gt;0,ISNUMBER($AX1082)),$AU1082*$AX1082,0)</f>
        <v>0</v>
      </c>
      <c r="AZ1082" s="72"/>
      <c r="BA1082" s="73"/>
      <c r="BB1082" s="73"/>
      <c r="BC1082" s="73"/>
      <c r="BD1082" s="73"/>
      <c r="BE1082" s="73"/>
      <c r="BF1082" s="73"/>
    </row>
    <row r="1083" spans="1:58" ht="15" customHeight="1">
      <c r="A1083" s="46" t="s">
        <v>5882</v>
      </c>
      <c r="B1083" s="50" t="s">
        <v>5883</v>
      </c>
      <c r="C1083" s="54" t="s">
        <v>70</v>
      </c>
      <c r="D1083" s="74">
        <v>2</v>
      </c>
      <c r="E1083" s="50" t="s">
        <v>384</v>
      </c>
      <c r="F1083" s="50"/>
      <c r="G1083" s="50"/>
      <c r="H1083" s="51"/>
      <c r="I1083" s="50" t="s">
        <v>5884</v>
      </c>
      <c r="J1083" s="54" t="s">
        <v>73</v>
      </c>
      <c r="K1083" s="56" t="s">
        <v>84</v>
      </c>
      <c r="L1083" s="56" t="s">
        <v>5885</v>
      </c>
      <c r="M1083" s="56"/>
      <c r="N1083" s="56"/>
      <c r="O1083" s="54"/>
      <c r="P1083" s="56" t="s">
        <v>185</v>
      </c>
      <c r="Q1083" s="56" t="s">
        <v>293</v>
      </c>
      <c r="R1083" s="50"/>
      <c r="S1083" s="50"/>
      <c r="T1083" s="50"/>
      <c r="U1083" s="50"/>
      <c r="V1083" s="57">
        <v>0.42</v>
      </c>
      <c r="W1083" s="68"/>
      <c r="X1083" s="50"/>
      <c r="Y1083" s="50"/>
      <c r="Z1083" s="50"/>
      <c r="AA1083" s="50"/>
      <c r="AB1083" s="57"/>
      <c r="AC1083" s="54">
        <v>0</v>
      </c>
      <c r="AD1083" s="54">
        <f>SUM(AE1083:AK1083)</f>
        <v>0</v>
      </c>
      <c r="AE1083" s="66"/>
      <c r="AF1083" s="66"/>
      <c r="AG1083" s="66"/>
      <c r="AH1083" s="66"/>
      <c r="AI1083" s="66"/>
      <c r="AJ1083" s="66"/>
      <c r="AK1083" s="66"/>
      <c r="AL1083" s="54">
        <f>IF((AC1083-SUM(AE1083:AK1083))&lt;0,0,AC1083-SUM(AE1083:AK1083))</f>
        <v>0</v>
      </c>
      <c r="AM1083" s="54">
        <f>SUM(AN1083:AT1083)</f>
        <v>0</v>
      </c>
      <c r="AN1083" s="54"/>
      <c r="AO1083" s="54"/>
      <c r="AP1083" s="54"/>
      <c r="AQ1083" s="54"/>
      <c r="AR1083" s="54"/>
      <c r="AS1083" s="54"/>
      <c r="AT1083" s="54"/>
      <c r="AU1083" s="54">
        <f>MAX(0,$AM1083-$AC1083-$AW1083)</f>
        <v>0</v>
      </c>
      <c r="AV1083" s="54"/>
      <c r="AW1083" s="54"/>
      <c r="AX1083" s="65">
        <v>0</v>
      </c>
      <c r="AY1083" s="57">
        <f>IF(AND($AU1083&gt;0,ISNUMBER($AX1083)),$AU1083*$AX1083,0)</f>
        <v>0</v>
      </c>
      <c r="AZ1083" s="72"/>
      <c r="BA1083" s="73"/>
      <c r="BB1083" s="73"/>
      <c r="BC1083" s="73"/>
      <c r="BD1083" s="73"/>
      <c r="BE1083" s="73"/>
      <c r="BF1083" s="73"/>
    </row>
    <row r="1084" spans="1:58" ht="15" customHeight="1">
      <c r="A1084" s="46" t="s">
        <v>5886</v>
      </c>
      <c r="B1084" s="50" t="s">
        <v>5887</v>
      </c>
      <c r="C1084" s="54" t="s">
        <v>232</v>
      </c>
      <c r="D1084" s="74">
        <v>2</v>
      </c>
      <c r="E1084" s="50" t="s">
        <v>233</v>
      </c>
      <c r="F1084" s="50"/>
      <c r="G1084" s="50"/>
      <c r="H1084" s="51"/>
      <c r="I1084" s="50" t="s">
        <v>5888</v>
      </c>
      <c r="J1084" s="54" t="s">
        <v>73</v>
      </c>
      <c r="K1084" s="56" t="s">
        <v>235</v>
      </c>
      <c r="L1084" s="56" t="s">
        <v>5889</v>
      </c>
      <c r="M1084" s="56" t="s">
        <v>5890</v>
      </c>
      <c r="N1084" s="56"/>
      <c r="O1084" s="54"/>
      <c r="P1084" s="56" t="s">
        <v>185</v>
      </c>
      <c r="Q1084" s="56" t="s">
        <v>2307</v>
      </c>
      <c r="R1084" s="50"/>
      <c r="S1084" s="50"/>
      <c r="T1084" s="50"/>
      <c r="U1084" s="50"/>
      <c r="V1084" s="57">
        <v>0.42</v>
      </c>
      <c r="W1084" s="68"/>
      <c r="X1084" s="50"/>
      <c r="Y1084" s="50"/>
      <c r="Z1084" s="50"/>
      <c r="AA1084" s="50"/>
      <c r="AB1084" s="57"/>
      <c r="AC1084" s="54">
        <v>0</v>
      </c>
      <c r="AD1084" s="54">
        <f>SUM(AE1084:AK1084)</f>
        <v>0</v>
      </c>
      <c r="AE1084" s="66"/>
      <c r="AF1084" s="66"/>
      <c r="AG1084" s="66"/>
      <c r="AH1084" s="66"/>
      <c r="AI1084" s="66"/>
      <c r="AJ1084" s="66"/>
      <c r="AK1084" s="66"/>
      <c r="AL1084" s="54">
        <f>IF((AC1084-SUM(AE1084:AK1084))&lt;0,0,AC1084-SUM(AE1084:AK1084))</f>
        <v>0</v>
      </c>
      <c r="AM1084" s="54">
        <f>SUM(AN1084:AT1084)</f>
        <v>0</v>
      </c>
      <c r="AN1084" s="54"/>
      <c r="AO1084" s="54"/>
      <c r="AP1084" s="54"/>
      <c r="AQ1084" s="54"/>
      <c r="AR1084" s="54"/>
      <c r="AS1084" s="54"/>
      <c r="AT1084" s="54"/>
      <c r="AU1084" s="54">
        <f>MAX(0,$AM1084-$AC1084-$AW1084)</f>
        <v>0</v>
      </c>
      <c r="AV1084" s="54"/>
      <c r="AW1084" s="54"/>
      <c r="AX1084" s="65">
        <v>0</v>
      </c>
      <c r="AY1084" s="57">
        <f>IF(AND($AU1084&gt;0,ISNUMBER($AX1084)),$AU1084*$AX1084,0)</f>
        <v>0</v>
      </c>
      <c r="AZ1084" s="72"/>
      <c r="BA1084" s="73"/>
      <c r="BB1084" s="73"/>
      <c r="BC1084" s="73"/>
      <c r="BD1084" s="73"/>
      <c r="BE1084" s="73"/>
      <c r="BF1084" s="73"/>
    </row>
    <row r="1085" spans="1:58" ht="15" customHeight="1">
      <c r="A1085" s="46" t="s">
        <v>5891</v>
      </c>
      <c r="B1085" s="50" t="s">
        <v>5892</v>
      </c>
      <c r="C1085" s="54" t="s">
        <v>232</v>
      </c>
      <c r="D1085" s="74">
        <v>2</v>
      </c>
      <c r="E1085" s="50" t="s">
        <v>233</v>
      </c>
      <c r="F1085" s="50"/>
      <c r="G1085" s="50"/>
      <c r="H1085" s="51" t="s">
        <v>519</v>
      </c>
      <c r="I1085" s="50" t="s">
        <v>5893</v>
      </c>
      <c r="J1085" s="54" t="s">
        <v>73</v>
      </c>
      <c r="K1085" s="56" t="s">
        <v>92</v>
      </c>
      <c r="L1085" s="56" t="s">
        <v>5894</v>
      </c>
      <c r="M1085" s="56" t="s">
        <v>5895</v>
      </c>
      <c r="N1085" s="56"/>
      <c r="O1085" s="54"/>
      <c r="P1085" s="56" t="s">
        <v>185</v>
      </c>
      <c r="Q1085" s="56" t="s">
        <v>523</v>
      </c>
      <c r="R1085" s="50"/>
      <c r="S1085" s="50"/>
      <c r="T1085" s="50"/>
      <c r="U1085" s="50"/>
      <c r="V1085" s="57">
        <v>0.41</v>
      </c>
      <c r="W1085" s="68"/>
      <c r="X1085" s="50"/>
      <c r="Y1085" s="50"/>
      <c r="Z1085" s="50"/>
      <c r="AA1085" s="50"/>
      <c r="AB1085" s="57"/>
      <c r="AC1085" s="54">
        <v>0</v>
      </c>
      <c r="AD1085" s="54">
        <f>SUM(AE1085:AK1085)</f>
        <v>0</v>
      </c>
      <c r="AE1085" s="66"/>
      <c r="AF1085" s="66"/>
      <c r="AG1085" s="66"/>
      <c r="AH1085" s="66"/>
      <c r="AI1085" s="66"/>
      <c r="AJ1085" s="66"/>
      <c r="AK1085" s="66"/>
      <c r="AL1085" s="54">
        <f>IF((AC1085-SUM(AE1085:AK1085))&lt;0,0,AC1085-SUM(AE1085:AK1085))</f>
        <v>0</v>
      </c>
      <c r="AM1085" s="54">
        <f>SUM(AN1085:AT1085)</f>
        <v>0</v>
      </c>
      <c r="AN1085" s="54"/>
      <c r="AO1085" s="54"/>
      <c r="AP1085" s="54"/>
      <c r="AQ1085" s="54"/>
      <c r="AR1085" s="54"/>
      <c r="AS1085" s="54"/>
      <c r="AT1085" s="54"/>
      <c r="AU1085" s="54">
        <f>MAX(0,$AM1085-$AC1085-$AW1085)</f>
        <v>0</v>
      </c>
      <c r="AV1085" s="54"/>
      <c r="AW1085" s="54"/>
      <c r="AX1085" s="65">
        <v>0</v>
      </c>
      <c r="AY1085" s="57">
        <f>IF(AND($AU1085&gt;0,ISNUMBER($AX1085)),$AU1085*$AX1085,0)</f>
        <v>0</v>
      </c>
      <c r="AZ1085" s="72"/>
      <c r="BA1085" s="73"/>
      <c r="BB1085" s="73"/>
      <c r="BC1085" s="73"/>
      <c r="BD1085" s="73"/>
      <c r="BE1085" s="73"/>
      <c r="BF1085" s="73"/>
    </row>
    <row r="1086" spans="1:58" ht="15" customHeight="1">
      <c r="A1086" s="46" t="s">
        <v>5896</v>
      </c>
      <c r="B1086" s="50" t="s">
        <v>5897</v>
      </c>
      <c r="C1086" s="54" t="s">
        <v>181</v>
      </c>
      <c r="D1086" s="74">
        <v>3</v>
      </c>
      <c r="E1086" s="50" t="s">
        <v>71</v>
      </c>
      <c r="F1086" s="50"/>
      <c r="G1086" s="50"/>
      <c r="H1086" s="51"/>
      <c r="I1086" s="50" t="s">
        <v>5898</v>
      </c>
      <c r="J1086" s="54" t="s">
        <v>73</v>
      </c>
      <c r="K1086" s="56" t="s">
        <v>92</v>
      </c>
      <c r="L1086" s="56" t="s">
        <v>5899</v>
      </c>
      <c r="M1086" s="56"/>
      <c r="N1086" s="56"/>
      <c r="O1086" s="54"/>
      <c r="P1086" s="56" t="s">
        <v>76</v>
      </c>
      <c r="Q1086" s="56" t="s">
        <v>1870</v>
      </c>
      <c r="R1086" s="50"/>
      <c r="S1086" s="50"/>
      <c r="T1086" s="50"/>
      <c r="U1086" s="50"/>
      <c r="V1086" s="57">
        <v>0.4</v>
      </c>
      <c r="W1086" s="68"/>
      <c r="X1086" s="50"/>
      <c r="Y1086" s="50"/>
      <c r="Z1086" s="50"/>
      <c r="AA1086" s="50"/>
      <c r="AB1086" s="57"/>
      <c r="AC1086" s="54">
        <v>0</v>
      </c>
      <c r="AD1086" s="54">
        <f>SUM(AE1086:AK1086)</f>
        <v>0</v>
      </c>
      <c r="AE1086" s="66"/>
      <c r="AF1086" s="66"/>
      <c r="AG1086" s="66"/>
      <c r="AH1086" s="66"/>
      <c r="AI1086" s="66"/>
      <c r="AJ1086" s="66"/>
      <c r="AK1086" s="66"/>
      <c r="AL1086" s="54">
        <f>IF((AC1086-SUM(AE1086:AK1086))&lt;0,0,AC1086-SUM(AE1086:AK1086))</f>
        <v>0</v>
      </c>
      <c r="AM1086" s="54">
        <f>SUM(AN1086:AT1086)</f>
        <v>0</v>
      </c>
      <c r="AN1086" s="54"/>
      <c r="AO1086" s="54"/>
      <c r="AP1086" s="54"/>
      <c r="AQ1086" s="54"/>
      <c r="AR1086" s="54"/>
      <c r="AS1086" s="54"/>
      <c r="AT1086" s="54"/>
      <c r="AU1086" s="54">
        <f>MAX(0,$AM1086-$AC1086-$AW1086)</f>
        <v>0</v>
      </c>
      <c r="AV1086" s="54"/>
      <c r="AW1086" s="54"/>
      <c r="AX1086" s="65">
        <v>0</v>
      </c>
      <c r="AY1086" s="57">
        <f>IF(AND($AU1086&gt;0,ISNUMBER($AX1086)),$AU1086*$AX1086,0)</f>
        <v>0</v>
      </c>
      <c r="AZ1086" s="72"/>
      <c r="BA1086" s="73"/>
      <c r="BB1086" s="73"/>
      <c r="BC1086" s="73"/>
      <c r="BD1086" s="73"/>
      <c r="BE1086" s="73"/>
      <c r="BF1086" s="73"/>
    </row>
    <row r="1087" spans="1:58" ht="15" customHeight="1">
      <c r="A1087" s="46" t="s">
        <v>5900</v>
      </c>
      <c r="B1087" s="50" t="s">
        <v>5901</v>
      </c>
      <c r="C1087" s="54" t="s">
        <v>70</v>
      </c>
      <c r="D1087" s="74">
        <v>2</v>
      </c>
      <c r="E1087" s="50" t="s">
        <v>233</v>
      </c>
      <c r="F1087" s="50"/>
      <c r="G1087" s="50"/>
      <c r="H1087" s="51"/>
      <c r="I1087" s="50" t="s">
        <v>5902</v>
      </c>
      <c r="J1087" s="54" t="s">
        <v>73</v>
      </c>
      <c r="K1087" s="56" t="s">
        <v>235</v>
      </c>
      <c r="L1087" s="56" t="s">
        <v>5903</v>
      </c>
      <c r="M1087" s="56"/>
      <c r="N1087" s="56"/>
      <c r="O1087" s="54"/>
      <c r="P1087" s="56" t="s">
        <v>76</v>
      </c>
      <c r="Q1087" s="56" t="s">
        <v>399</v>
      </c>
      <c r="R1087" s="50"/>
      <c r="S1087" s="50"/>
      <c r="T1087" s="50"/>
      <c r="U1087" s="50"/>
      <c r="V1087" s="57">
        <v>0.4</v>
      </c>
      <c r="W1087" s="68"/>
      <c r="X1087" s="50"/>
      <c r="Y1087" s="50"/>
      <c r="Z1087" s="50"/>
      <c r="AA1087" s="50"/>
      <c r="AB1087" s="57"/>
      <c r="AC1087" s="54">
        <v>0</v>
      </c>
      <c r="AD1087" s="54">
        <f>SUM(AE1087:AK1087)</f>
        <v>0</v>
      </c>
      <c r="AE1087" s="66"/>
      <c r="AF1087" s="66"/>
      <c r="AG1087" s="66"/>
      <c r="AH1087" s="66"/>
      <c r="AI1087" s="66"/>
      <c r="AJ1087" s="66"/>
      <c r="AK1087" s="66"/>
      <c r="AL1087" s="54">
        <f>IF((AC1087-SUM(AE1087:AK1087))&lt;0,0,AC1087-SUM(AE1087:AK1087))</f>
        <v>0</v>
      </c>
      <c r="AM1087" s="54">
        <f>SUM(AN1087:AT1087)</f>
        <v>0</v>
      </c>
      <c r="AN1087" s="54"/>
      <c r="AO1087" s="54"/>
      <c r="AP1087" s="54"/>
      <c r="AQ1087" s="54"/>
      <c r="AR1087" s="54"/>
      <c r="AS1087" s="54"/>
      <c r="AT1087" s="54"/>
      <c r="AU1087" s="54">
        <f>MAX(0,$AM1087-$AC1087-$AW1087)</f>
        <v>0</v>
      </c>
      <c r="AV1087" s="54"/>
      <c r="AW1087" s="54"/>
      <c r="AX1087" s="65">
        <v>0</v>
      </c>
      <c r="AY1087" s="57">
        <f>IF(AND($AU1087&gt;0,ISNUMBER($AX1087)),$AU1087*$AX1087,0)</f>
        <v>0</v>
      </c>
      <c r="AZ1087" s="72"/>
      <c r="BA1087" s="73"/>
      <c r="BB1087" s="73"/>
      <c r="BC1087" s="73"/>
      <c r="BD1087" s="73"/>
      <c r="BE1087" s="73"/>
      <c r="BF1087" s="73"/>
    </row>
    <row r="1088" spans="1:58" ht="15" customHeight="1">
      <c r="A1088" s="46" t="s">
        <v>5904</v>
      </c>
      <c r="B1088" s="50" t="s">
        <v>5905</v>
      </c>
      <c r="C1088" s="54" t="s">
        <v>118</v>
      </c>
      <c r="D1088" s="74">
        <v>4</v>
      </c>
      <c r="E1088" s="50" t="s">
        <v>81</v>
      </c>
      <c r="F1088" s="50">
        <v>3</v>
      </c>
      <c r="G1088" s="50">
        <v>4</v>
      </c>
      <c r="H1088" s="51" t="s">
        <v>2245</v>
      </c>
      <c r="I1088" s="50" t="s">
        <v>5906</v>
      </c>
      <c r="J1088" s="54" t="s">
        <v>73</v>
      </c>
      <c r="K1088" s="56" t="s">
        <v>202</v>
      </c>
      <c r="L1088" s="56" t="s">
        <v>85</v>
      </c>
      <c r="M1088" s="56" t="s">
        <v>136</v>
      </c>
      <c r="N1088" s="56" t="s">
        <v>5907</v>
      </c>
      <c r="O1088" s="54"/>
      <c r="P1088" s="56" t="s">
        <v>86</v>
      </c>
      <c r="Q1088" s="56" t="s">
        <v>172</v>
      </c>
      <c r="R1088" s="50"/>
      <c r="S1088" s="50"/>
      <c r="T1088" s="50"/>
      <c r="U1088" s="50"/>
      <c r="V1088" s="57">
        <v>0.38</v>
      </c>
      <c r="W1088" s="68"/>
      <c r="X1088" s="50"/>
      <c r="Y1088" s="50"/>
      <c r="Z1088" s="50"/>
      <c r="AA1088" s="50"/>
      <c r="AB1088" s="57"/>
      <c r="AC1088" s="54">
        <v>0</v>
      </c>
      <c r="AD1088" s="54">
        <f>SUM(AE1088:AK1088)</f>
        <v>0</v>
      </c>
      <c r="AE1088" s="66"/>
      <c r="AF1088" s="66"/>
      <c r="AG1088" s="66"/>
      <c r="AH1088" s="66"/>
      <c r="AI1088" s="66"/>
      <c r="AJ1088" s="66"/>
      <c r="AK1088" s="66"/>
      <c r="AL1088" s="54">
        <f>IF((AC1088-SUM(AE1088:AK1088))&lt;0,0,AC1088-SUM(AE1088:AK1088))</f>
        <v>0</v>
      </c>
      <c r="AM1088" s="54">
        <f>SUM(AN1088:AT1088)</f>
        <v>0</v>
      </c>
      <c r="AN1088" s="54"/>
      <c r="AO1088" s="54"/>
      <c r="AP1088" s="54"/>
      <c r="AQ1088" s="54"/>
      <c r="AR1088" s="54"/>
      <c r="AS1088" s="54"/>
      <c r="AT1088" s="54"/>
      <c r="AU1088" s="54">
        <f>MAX(0,$AM1088-$AC1088-$AW1088)</f>
        <v>0</v>
      </c>
      <c r="AV1088" s="54"/>
      <c r="AW1088" s="54"/>
      <c r="AX1088" s="65">
        <v>0</v>
      </c>
      <c r="AY1088" s="57">
        <f>IF(AND($AU1088&gt;0,ISNUMBER($AX1088)),$AU1088*$AX1088,0)</f>
        <v>0</v>
      </c>
      <c r="AZ1088" s="72"/>
      <c r="BA1088" s="73"/>
      <c r="BB1088" s="73"/>
      <c r="BC1088" s="73"/>
      <c r="BD1088" s="73"/>
      <c r="BE1088" s="73"/>
      <c r="BF1088" s="73"/>
    </row>
    <row r="1089" spans="1:58" ht="15" customHeight="1">
      <c r="A1089" s="46" t="s">
        <v>5908</v>
      </c>
      <c r="B1089" s="50" t="s">
        <v>5909</v>
      </c>
      <c r="C1089" s="54" t="s">
        <v>109</v>
      </c>
      <c r="D1089" s="74">
        <v>0</v>
      </c>
      <c r="E1089" s="50" t="s">
        <v>312</v>
      </c>
      <c r="F1089" s="50"/>
      <c r="G1089" s="50"/>
      <c r="H1089" s="51"/>
      <c r="I1089" s="50" t="s">
        <v>5910</v>
      </c>
      <c r="J1089" s="54" t="s">
        <v>73</v>
      </c>
      <c r="K1089" s="56" t="s">
        <v>312</v>
      </c>
      <c r="L1089" s="56" t="s">
        <v>5911</v>
      </c>
      <c r="M1089" s="56"/>
      <c r="N1089" s="56"/>
      <c r="O1089" s="54"/>
      <c r="P1089" s="56" t="s">
        <v>86</v>
      </c>
      <c r="Q1089" s="56" t="s">
        <v>420</v>
      </c>
      <c r="R1089" s="54"/>
      <c r="S1089" s="54"/>
      <c r="T1089" s="54"/>
      <c r="U1089" s="54"/>
      <c r="V1089" s="57">
        <v>0.38</v>
      </c>
      <c r="W1089" s="68"/>
      <c r="X1089" s="54"/>
      <c r="Y1089" s="54"/>
      <c r="Z1089" s="54"/>
      <c r="AA1089" s="54"/>
      <c r="AB1089" s="57"/>
      <c r="AC1089" s="54">
        <v>0</v>
      </c>
      <c r="AD1089" s="54">
        <f>SUM(AE1089:AK1089)</f>
        <v>0</v>
      </c>
      <c r="AE1089" s="66"/>
      <c r="AF1089" s="66"/>
      <c r="AG1089" s="66"/>
      <c r="AH1089" s="66"/>
      <c r="AI1089" s="66"/>
      <c r="AJ1089" s="66"/>
      <c r="AK1089" s="66"/>
      <c r="AL1089" s="54">
        <f>IF((AC1089-SUM(AE1089:AK1089))&lt;0,0,AC1089-SUM(AE1089:AK1089))</f>
        <v>0</v>
      </c>
      <c r="AM1089" s="54">
        <f>SUM(AN1089:AT1089)</f>
        <v>0</v>
      </c>
      <c r="AN1089" s="54"/>
      <c r="AO1089" s="54"/>
      <c r="AP1089" s="54"/>
      <c r="AQ1089" s="54"/>
      <c r="AR1089" s="54"/>
      <c r="AS1089" s="54"/>
      <c r="AT1089" s="54"/>
      <c r="AU1089" s="54">
        <f>MAX(0,$AM1089-$AC1089-$AW1089)</f>
        <v>0</v>
      </c>
      <c r="AV1089" s="54"/>
      <c r="AW1089" s="54"/>
      <c r="AX1089" s="65">
        <v>0</v>
      </c>
      <c r="AY1089" s="57">
        <f>IF(AND($AU1089&gt;0,ISNUMBER($AX1089)),$AU1089*$AX1089,0)</f>
        <v>0</v>
      </c>
      <c r="AZ1089" s="72"/>
      <c r="BA1089" s="73"/>
      <c r="BB1089" s="73"/>
      <c r="BC1089" s="73"/>
      <c r="BD1089" s="73"/>
      <c r="BE1089" s="73"/>
      <c r="BF1089" s="73"/>
    </row>
    <row r="1090" spans="1:58" ht="15" customHeight="1">
      <c r="A1090" s="46" t="s">
        <v>5912</v>
      </c>
      <c r="B1090" s="50" t="s">
        <v>5913</v>
      </c>
      <c r="C1090" s="54" t="s">
        <v>181</v>
      </c>
      <c r="D1090" s="74">
        <v>3</v>
      </c>
      <c r="E1090" s="50" t="s">
        <v>189</v>
      </c>
      <c r="F1090" s="50"/>
      <c r="G1090" s="50"/>
      <c r="H1090" s="51"/>
      <c r="I1090" s="50" t="s">
        <v>5914</v>
      </c>
      <c r="J1090" s="54" t="s">
        <v>73</v>
      </c>
      <c r="K1090" s="56" t="s">
        <v>135</v>
      </c>
      <c r="L1090" s="56" t="s">
        <v>5915</v>
      </c>
      <c r="M1090" s="56"/>
      <c r="N1090" s="56"/>
      <c r="O1090" s="54"/>
      <c r="P1090" s="56" t="s">
        <v>76</v>
      </c>
      <c r="Q1090" s="56" t="s">
        <v>1870</v>
      </c>
      <c r="R1090" s="50"/>
      <c r="S1090" s="50"/>
      <c r="T1090" s="50"/>
      <c r="U1090" s="50"/>
      <c r="V1090" s="57">
        <v>0.38</v>
      </c>
      <c r="W1090" s="68"/>
      <c r="X1090" s="50"/>
      <c r="Y1090" s="50"/>
      <c r="Z1090" s="50"/>
      <c r="AA1090" s="50"/>
      <c r="AB1090" s="57"/>
      <c r="AC1090" s="54">
        <v>0</v>
      </c>
      <c r="AD1090" s="54">
        <f>SUM(AE1090:AK1090)</f>
        <v>0</v>
      </c>
      <c r="AE1090" s="66"/>
      <c r="AF1090" s="66"/>
      <c r="AG1090" s="66"/>
      <c r="AH1090" s="66"/>
      <c r="AI1090" s="66"/>
      <c r="AJ1090" s="66"/>
      <c r="AK1090" s="66"/>
      <c r="AL1090" s="54">
        <f>IF((AC1090-SUM(AE1090:AK1090))&lt;0,0,AC1090-SUM(AE1090:AK1090))</f>
        <v>0</v>
      </c>
      <c r="AM1090" s="54">
        <f>SUM(AN1090:AT1090)</f>
        <v>0</v>
      </c>
      <c r="AN1090" s="54"/>
      <c r="AO1090" s="54"/>
      <c r="AP1090" s="54"/>
      <c r="AQ1090" s="54"/>
      <c r="AR1090" s="54"/>
      <c r="AS1090" s="54"/>
      <c r="AT1090" s="54"/>
      <c r="AU1090" s="54">
        <f>MAX(0,$AM1090-$AC1090-$AW1090)</f>
        <v>0</v>
      </c>
      <c r="AV1090" s="54"/>
      <c r="AW1090" s="54"/>
      <c r="AX1090" s="65">
        <v>0</v>
      </c>
      <c r="AY1090" s="57">
        <f>IF(AND($AU1090&gt;0,ISNUMBER($AX1090)),$AU1090*$AX1090,0)</f>
        <v>0</v>
      </c>
      <c r="AZ1090" s="72"/>
      <c r="BA1090" s="73"/>
      <c r="BB1090" s="73"/>
      <c r="BC1090" s="73"/>
      <c r="BD1090" s="73"/>
      <c r="BE1090" s="73"/>
      <c r="BF1090" s="73"/>
    </row>
    <row r="1091" spans="1:58" ht="15" customHeight="1">
      <c r="A1091" s="46" t="s">
        <v>5916</v>
      </c>
      <c r="B1091" s="50" t="s">
        <v>5917</v>
      </c>
      <c r="C1091" s="54" t="s">
        <v>109</v>
      </c>
      <c r="D1091" s="74">
        <v>2</v>
      </c>
      <c r="E1091" s="50" t="s">
        <v>81</v>
      </c>
      <c r="F1091" s="50">
        <v>2</v>
      </c>
      <c r="G1091" s="50">
        <v>2</v>
      </c>
      <c r="H1091" s="51" t="s">
        <v>5918</v>
      </c>
      <c r="I1091" s="50" t="s">
        <v>5919</v>
      </c>
      <c r="J1091" s="54" t="s">
        <v>73</v>
      </c>
      <c r="K1091" s="56" t="s">
        <v>104</v>
      </c>
      <c r="L1091" s="56" t="s">
        <v>5920</v>
      </c>
      <c r="M1091" s="56"/>
      <c r="N1091" s="56"/>
      <c r="O1091" s="54"/>
      <c r="P1091" s="56" t="s">
        <v>185</v>
      </c>
      <c r="Q1091" s="56" t="s">
        <v>2081</v>
      </c>
      <c r="R1091" s="50"/>
      <c r="S1091" s="50"/>
      <c r="T1091" s="50"/>
      <c r="U1091" s="50"/>
      <c r="V1091" s="57">
        <v>0.36</v>
      </c>
      <c r="W1091" s="68"/>
      <c r="X1091" s="50"/>
      <c r="Y1091" s="50"/>
      <c r="Z1091" s="50"/>
      <c r="AA1091" s="50"/>
      <c r="AB1091" s="57"/>
      <c r="AC1091" s="54">
        <v>0</v>
      </c>
      <c r="AD1091" s="54">
        <f>SUM(AE1091:AK1091)</f>
        <v>0</v>
      </c>
      <c r="AE1091" s="66"/>
      <c r="AF1091" s="66"/>
      <c r="AG1091" s="66"/>
      <c r="AH1091" s="66"/>
      <c r="AI1091" s="66"/>
      <c r="AJ1091" s="66"/>
      <c r="AK1091" s="66"/>
      <c r="AL1091" s="54">
        <f>IF((AC1091-SUM(AE1091:AK1091))&lt;0,0,AC1091-SUM(AE1091:AK1091))</f>
        <v>0</v>
      </c>
      <c r="AM1091" s="54">
        <f>SUM(AN1091:AT1091)</f>
        <v>0</v>
      </c>
      <c r="AN1091" s="54"/>
      <c r="AO1091" s="54"/>
      <c r="AP1091" s="54"/>
      <c r="AQ1091" s="54"/>
      <c r="AR1091" s="54"/>
      <c r="AS1091" s="54"/>
      <c r="AT1091" s="54"/>
      <c r="AU1091" s="54">
        <f>MAX(0,$AM1091-$AC1091-$AW1091)</f>
        <v>0</v>
      </c>
      <c r="AV1091" s="54"/>
      <c r="AW1091" s="54"/>
      <c r="AX1091" s="65">
        <v>0</v>
      </c>
      <c r="AY1091" s="57">
        <f>IF(AND($AU1091&gt;0,ISNUMBER($AX1091)),$AU1091*$AX1091,0)</f>
        <v>0</v>
      </c>
      <c r="AZ1091" s="72"/>
      <c r="BA1091" s="73"/>
      <c r="BB1091" s="73"/>
      <c r="BC1091" s="73"/>
      <c r="BD1091" s="73"/>
      <c r="BE1091" s="73"/>
      <c r="BF1091" s="73"/>
    </row>
    <row r="1092" spans="1:58" ht="15" customHeight="1">
      <c r="A1092" s="46" t="s">
        <v>5921</v>
      </c>
      <c r="B1092" s="50" t="s">
        <v>5922</v>
      </c>
      <c r="C1092" s="54" t="s">
        <v>109</v>
      </c>
      <c r="D1092" s="74">
        <v>2</v>
      </c>
      <c r="E1092" s="50" t="s">
        <v>81</v>
      </c>
      <c r="F1092" s="50">
        <v>2</v>
      </c>
      <c r="G1092" s="50">
        <v>2</v>
      </c>
      <c r="H1092" s="51" t="s">
        <v>1701</v>
      </c>
      <c r="I1092" s="50" t="s">
        <v>5923</v>
      </c>
      <c r="J1092" s="54" t="s">
        <v>73</v>
      </c>
      <c r="K1092" s="56" t="s">
        <v>2794</v>
      </c>
      <c r="L1092" s="56" t="s">
        <v>5924</v>
      </c>
      <c r="M1092" s="56" t="s">
        <v>5925</v>
      </c>
      <c r="N1092" s="56"/>
      <c r="O1092" s="54"/>
      <c r="P1092" s="56" t="s">
        <v>86</v>
      </c>
      <c r="Q1092" s="56" t="s">
        <v>2757</v>
      </c>
      <c r="R1092" s="50"/>
      <c r="S1092" s="50"/>
      <c r="T1092" s="50"/>
      <c r="U1092" s="50"/>
      <c r="V1092" s="57">
        <v>0.36</v>
      </c>
      <c r="W1092" s="68"/>
      <c r="X1092" s="50"/>
      <c r="Y1092" s="50"/>
      <c r="Z1092" s="50"/>
      <c r="AA1092" s="50"/>
      <c r="AB1092" s="57"/>
      <c r="AC1092" s="54">
        <v>0</v>
      </c>
      <c r="AD1092" s="54">
        <f>SUM(AE1092:AK1092)</f>
        <v>0</v>
      </c>
      <c r="AE1092" s="66"/>
      <c r="AF1092" s="66"/>
      <c r="AG1092" s="66"/>
      <c r="AH1092" s="66"/>
      <c r="AI1092" s="66"/>
      <c r="AJ1092" s="66"/>
      <c r="AK1092" s="66"/>
      <c r="AL1092" s="54">
        <f>IF((AC1092-SUM(AE1092:AK1092))&lt;0,0,AC1092-SUM(AE1092:AK1092))</f>
        <v>0</v>
      </c>
      <c r="AM1092" s="54">
        <f>SUM(AN1092:AT1092)</f>
        <v>0</v>
      </c>
      <c r="AN1092" s="54"/>
      <c r="AO1092" s="54"/>
      <c r="AP1092" s="54"/>
      <c r="AQ1092" s="54"/>
      <c r="AR1092" s="54"/>
      <c r="AS1092" s="54"/>
      <c r="AT1092" s="54"/>
      <c r="AU1092" s="54">
        <f>MAX(0,$AM1092-$AC1092-$AW1092)</f>
        <v>0</v>
      </c>
      <c r="AV1092" s="54"/>
      <c r="AW1092" s="54"/>
      <c r="AX1092" s="65">
        <v>0</v>
      </c>
      <c r="AY1092" s="57">
        <f>IF(AND($AU1092&gt;0,ISNUMBER($AX1092)),$AU1092*$AX1092,0)</f>
        <v>0</v>
      </c>
      <c r="AZ1092" s="72"/>
      <c r="BA1092" s="73"/>
      <c r="BB1092" s="73"/>
      <c r="BC1092" s="73"/>
      <c r="BD1092" s="73"/>
      <c r="BE1092" s="73"/>
      <c r="BF1092" s="73"/>
    </row>
    <row r="1093" spans="1:58" ht="15" customHeight="1">
      <c r="A1093" s="46" t="s">
        <v>5926</v>
      </c>
      <c r="B1093" s="50" t="s">
        <v>5927</v>
      </c>
      <c r="C1093" s="54" t="s">
        <v>181</v>
      </c>
      <c r="D1093" s="74">
        <v>3</v>
      </c>
      <c r="E1093" s="50" t="s">
        <v>81</v>
      </c>
      <c r="F1093" s="50">
        <v>3</v>
      </c>
      <c r="G1093" s="50">
        <v>2</v>
      </c>
      <c r="H1093" s="51" t="s">
        <v>1558</v>
      </c>
      <c r="I1093" s="50" t="s">
        <v>5928</v>
      </c>
      <c r="J1093" s="54" t="s">
        <v>196</v>
      </c>
      <c r="K1093" s="56" t="s">
        <v>676</v>
      </c>
      <c r="L1093" s="56" t="s">
        <v>5929</v>
      </c>
      <c r="M1093" s="56"/>
      <c r="N1093" s="56"/>
      <c r="O1093" s="54"/>
      <c r="P1093" s="56" t="s">
        <v>76</v>
      </c>
      <c r="Q1093" s="56" t="s">
        <v>2183</v>
      </c>
      <c r="R1093" s="50"/>
      <c r="S1093" s="50"/>
      <c r="T1093" s="50"/>
      <c r="U1093" s="50"/>
      <c r="V1093" s="57">
        <v>0.36</v>
      </c>
      <c r="W1093" s="68"/>
      <c r="X1093" s="50"/>
      <c r="Y1093" s="50"/>
      <c r="Z1093" s="50"/>
      <c r="AA1093" s="50"/>
      <c r="AB1093" s="57"/>
      <c r="AC1093" s="54">
        <v>0</v>
      </c>
      <c r="AD1093" s="54">
        <f>SUM(AE1093:AK1093)</f>
        <v>0</v>
      </c>
      <c r="AE1093" s="66"/>
      <c r="AF1093" s="66"/>
      <c r="AG1093" s="66"/>
      <c r="AH1093" s="66"/>
      <c r="AI1093" s="66"/>
      <c r="AJ1093" s="66"/>
      <c r="AK1093" s="66"/>
      <c r="AL1093" s="54">
        <f>IF((AC1093-SUM(AE1093:AK1093))&lt;0,0,AC1093-SUM(AE1093:AK1093))</f>
        <v>0</v>
      </c>
      <c r="AM1093" s="54">
        <f>SUM(AN1093:AT1093)</f>
        <v>0</v>
      </c>
      <c r="AN1093" s="54"/>
      <c r="AO1093" s="54"/>
      <c r="AP1093" s="54"/>
      <c r="AQ1093" s="54"/>
      <c r="AR1093" s="54"/>
      <c r="AS1093" s="54"/>
      <c r="AT1093" s="54"/>
      <c r="AU1093" s="54">
        <f>MAX(0,$AM1093-$AC1093-$AW1093)</f>
        <v>0</v>
      </c>
      <c r="AV1093" s="54"/>
      <c r="AW1093" s="54"/>
      <c r="AX1093" s="65">
        <v>0</v>
      </c>
      <c r="AY1093" s="57">
        <f>IF(AND($AU1093&gt;0,ISNUMBER($AX1093)),$AU1093*$AX1093,0)</f>
        <v>0</v>
      </c>
      <c r="AZ1093" s="72"/>
      <c r="BA1093" s="73"/>
      <c r="BB1093" s="73"/>
      <c r="BC1093" s="73"/>
      <c r="BD1093" s="73"/>
      <c r="BE1093" s="73"/>
      <c r="BF1093" s="73"/>
    </row>
    <row r="1094" spans="1:58" ht="15" customHeight="1">
      <c r="A1094" s="46" t="s">
        <v>5930</v>
      </c>
      <c r="B1094" s="50" t="s">
        <v>5931</v>
      </c>
      <c r="C1094" s="54" t="s">
        <v>232</v>
      </c>
      <c r="D1094" s="74">
        <v>4</v>
      </c>
      <c r="E1094" s="50" t="s">
        <v>233</v>
      </c>
      <c r="F1094" s="50"/>
      <c r="G1094" s="50"/>
      <c r="H1094" s="51"/>
      <c r="I1094" s="50" t="s">
        <v>5932</v>
      </c>
      <c r="J1094" s="54" t="s">
        <v>73</v>
      </c>
      <c r="K1094" s="56" t="s">
        <v>170</v>
      </c>
      <c r="L1094" s="56" t="s">
        <v>5933</v>
      </c>
      <c r="M1094" s="56" t="s">
        <v>5934</v>
      </c>
      <c r="N1094" s="56" t="s">
        <v>5935</v>
      </c>
      <c r="O1094" s="54"/>
      <c r="P1094" s="56" t="s">
        <v>86</v>
      </c>
      <c r="Q1094" s="56" t="s">
        <v>1148</v>
      </c>
      <c r="R1094" s="50"/>
      <c r="S1094" s="50"/>
      <c r="T1094" s="50"/>
      <c r="U1094" s="50"/>
      <c r="V1094" s="57">
        <v>0.35</v>
      </c>
      <c r="W1094" s="68"/>
      <c r="X1094" s="50"/>
      <c r="Y1094" s="50"/>
      <c r="Z1094" s="50"/>
      <c r="AA1094" s="50"/>
      <c r="AB1094" s="57"/>
      <c r="AC1094" s="54">
        <v>0</v>
      </c>
      <c r="AD1094" s="54">
        <f>SUM(AE1094:AK1094)</f>
        <v>0</v>
      </c>
      <c r="AE1094" s="66"/>
      <c r="AF1094" s="66"/>
      <c r="AG1094" s="66"/>
      <c r="AH1094" s="66"/>
      <c r="AI1094" s="66"/>
      <c r="AJ1094" s="66"/>
      <c r="AK1094" s="66"/>
      <c r="AL1094" s="54">
        <f>IF((AC1094-SUM(AE1094:AK1094))&lt;0,0,AC1094-SUM(AE1094:AK1094))</f>
        <v>0</v>
      </c>
      <c r="AM1094" s="54">
        <f>SUM(AN1094:AT1094)</f>
        <v>0</v>
      </c>
      <c r="AN1094" s="54"/>
      <c r="AO1094" s="54"/>
      <c r="AP1094" s="54"/>
      <c r="AQ1094" s="54"/>
      <c r="AR1094" s="54"/>
      <c r="AS1094" s="54"/>
      <c r="AT1094" s="54"/>
      <c r="AU1094" s="54">
        <f>MAX(0,$AM1094-$AC1094-$AW1094)</f>
        <v>0</v>
      </c>
      <c r="AV1094" s="54"/>
      <c r="AW1094" s="54"/>
      <c r="AX1094" s="65">
        <v>0</v>
      </c>
      <c r="AY1094" s="57">
        <f>IF(AND($AU1094&gt;0,ISNUMBER($AX1094)),$AU1094*$AX1094,0)</f>
        <v>0</v>
      </c>
      <c r="AZ1094" s="72"/>
      <c r="BA1094" s="73"/>
      <c r="BB1094" s="73"/>
      <c r="BC1094" s="73"/>
      <c r="BD1094" s="73"/>
      <c r="BE1094" s="73"/>
      <c r="BF1094" s="73"/>
    </row>
    <row r="1095" spans="1:58" ht="15" customHeight="1">
      <c r="A1095" s="46" t="s">
        <v>5936</v>
      </c>
      <c r="B1095" s="50" t="s">
        <v>5937</v>
      </c>
      <c r="C1095" s="54" t="s">
        <v>109</v>
      </c>
      <c r="D1095" s="74">
        <v>0</v>
      </c>
      <c r="E1095" s="50" t="s">
        <v>312</v>
      </c>
      <c r="F1095" s="50"/>
      <c r="G1095" s="50"/>
      <c r="H1095" s="51"/>
      <c r="I1095" s="50" t="s">
        <v>5938</v>
      </c>
      <c r="J1095" s="54" t="s">
        <v>73</v>
      </c>
      <c r="K1095" s="56" t="s">
        <v>312</v>
      </c>
      <c r="L1095" s="56" t="s">
        <v>5939</v>
      </c>
      <c r="M1095" s="56"/>
      <c r="N1095" s="56"/>
      <c r="O1095" s="54"/>
      <c r="P1095" s="56" t="s">
        <v>86</v>
      </c>
      <c r="Q1095" s="56" t="s">
        <v>437</v>
      </c>
      <c r="R1095" s="54"/>
      <c r="S1095" s="54"/>
      <c r="T1095" s="54"/>
      <c r="U1095" s="54"/>
      <c r="V1095" s="57">
        <v>0.35</v>
      </c>
      <c r="W1095" s="68"/>
      <c r="X1095" s="54"/>
      <c r="Y1095" s="54"/>
      <c r="Z1095" s="54"/>
      <c r="AA1095" s="54"/>
      <c r="AB1095" s="57"/>
      <c r="AC1095" s="54">
        <v>0</v>
      </c>
      <c r="AD1095" s="54">
        <f>SUM(AE1095:AK1095)</f>
        <v>0</v>
      </c>
      <c r="AE1095" s="66"/>
      <c r="AF1095" s="66"/>
      <c r="AG1095" s="66"/>
      <c r="AH1095" s="66"/>
      <c r="AI1095" s="66"/>
      <c r="AJ1095" s="66"/>
      <c r="AK1095" s="66"/>
      <c r="AL1095" s="54">
        <f>IF((AC1095-SUM(AE1095:AK1095))&lt;0,0,AC1095-SUM(AE1095:AK1095))</f>
        <v>0</v>
      </c>
      <c r="AM1095" s="54">
        <f>SUM(AN1095:AT1095)</f>
        <v>0</v>
      </c>
      <c r="AN1095" s="54"/>
      <c r="AO1095" s="54"/>
      <c r="AP1095" s="54"/>
      <c r="AQ1095" s="54"/>
      <c r="AR1095" s="54"/>
      <c r="AS1095" s="54"/>
      <c r="AT1095" s="54"/>
      <c r="AU1095" s="54">
        <f>MAX(0,$AM1095-$AC1095-$AW1095)</f>
        <v>0</v>
      </c>
      <c r="AV1095" s="54"/>
      <c r="AW1095" s="54"/>
      <c r="AX1095" s="65">
        <v>0</v>
      </c>
      <c r="AY1095" s="57">
        <f>IF(AND($AU1095&gt;0,ISNUMBER($AX1095)),$AU1095*$AX1095,0)</f>
        <v>0</v>
      </c>
      <c r="AZ1095" s="72"/>
      <c r="BA1095" s="73"/>
      <c r="BB1095" s="73"/>
      <c r="BC1095" s="73"/>
      <c r="BD1095" s="73"/>
      <c r="BE1095" s="73"/>
      <c r="BF1095" s="73"/>
    </row>
    <row r="1096" spans="1:58" ht="15" customHeight="1">
      <c r="A1096" s="46" t="s">
        <v>5940</v>
      </c>
      <c r="B1096" s="50" t="s">
        <v>5941</v>
      </c>
      <c r="C1096" s="54" t="s">
        <v>232</v>
      </c>
      <c r="D1096" s="74">
        <v>2</v>
      </c>
      <c r="E1096" s="50" t="s">
        <v>233</v>
      </c>
      <c r="F1096" s="50" t="s">
        <v>126</v>
      </c>
      <c r="G1096" s="50" t="s">
        <v>126</v>
      </c>
      <c r="H1096" s="51" t="s">
        <v>2473</v>
      </c>
      <c r="I1096" s="50" t="s">
        <v>5942</v>
      </c>
      <c r="J1096" s="54" t="s">
        <v>73</v>
      </c>
      <c r="K1096" s="56" t="s">
        <v>550</v>
      </c>
      <c r="L1096" s="56" t="s">
        <v>5943</v>
      </c>
      <c r="M1096" s="56" t="s">
        <v>5944</v>
      </c>
      <c r="N1096" s="56" t="s">
        <v>5945</v>
      </c>
      <c r="O1096" s="54"/>
      <c r="P1096" s="56" t="s">
        <v>86</v>
      </c>
      <c r="Q1096" s="56" t="s">
        <v>2492</v>
      </c>
      <c r="R1096" s="50"/>
      <c r="S1096" s="50"/>
      <c r="T1096" s="50"/>
      <c r="U1096" s="50"/>
      <c r="V1096" s="57">
        <v>0.35</v>
      </c>
      <c r="W1096" s="68"/>
      <c r="X1096" s="50"/>
      <c r="Y1096" s="50"/>
      <c r="Z1096" s="50"/>
      <c r="AA1096" s="50"/>
      <c r="AB1096" s="57"/>
      <c r="AC1096" s="54">
        <v>0</v>
      </c>
      <c r="AD1096" s="54">
        <f>SUM(AE1096:AK1096)</f>
        <v>0</v>
      </c>
      <c r="AE1096" s="66"/>
      <c r="AF1096" s="66"/>
      <c r="AG1096" s="66"/>
      <c r="AH1096" s="66"/>
      <c r="AI1096" s="66"/>
      <c r="AJ1096" s="66"/>
      <c r="AK1096" s="66"/>
      <c r="AL1096" s="54">
        <f>IF((AC1096-SUM(AE1096:AK1096))&lt;0,0,AC1096-SUM(AE1096:AK1096))</f>
        <v>0</v>
      </c>
      <c r="AM1096" s="54">
        <f>SUM(AN1096:AT1096)</f>
        <v>0</v>
      </c>
      <c r="AN1096" s="54"/>
      <c r="AO1096" s="54"/>
      <c r="AP1096" s="54"/>
      <c r="AQ1096" s="54"/>
      <c r="AR1096" s="54"/>
      <c r="AS1096" s="54"/>
      <c r="AT1096" s="54"/>
      <c r="AU1096" s="54">
        <f>MAX(0,$AM1096-$AC1096-$AW1096)</f>
        <v>0</v>
      </c>
      <c r="AV1096" s="54"/>
      <c r="AW1096" s="54"/>
      <c r="AX1096" s="65">
        <v>0</v>
      </c>
      <c r="AY1096" s="57">
        <f>IF(AND($AU1096&gt;0,ISNUMBER($AX1096)),$AU1096*$AX1096,0)</f>
        <v>0</v>
      </c>
      <c r="AZ1096" s="72"/>
      <c r="BA1096" s="73"/>
      <c r="BB1096" s="73"/>
      <c r="BC1096" s="73"/>
      <c r="BD1096" s="73"/>
      <c r="BE1096" s="73"/>
      <c r="BF1096" s="73"/>
    </row>
    <row r="1097" spans="1:58" ht="15" customHeight="1">
      <c r="A1097" s="46" t="s">
        <v>5946</v>
      </c>
      <c r="B1097" s="50" t="s">
        <v>5947</v>
      </c>
      <c r="C1097" s="54" t="s">
        <v>101</v>
      </c>
      <c r="D1097" s="74">
        <v>3</v>
      </c>
      <c r="E1097" s="50" t="s">
        <v>81</v>
      </c>
      <c r="F1097" s="50">
        <v>0</v>
      </c>
      <c r="G1097" s="50">
        <v>2</v>
      </c>
      <c r="H1097" s="51" t="s">
        <v>1436</v>
      </c>
      <c r="I1097" s="50" t="s">
        <v>5948</v>
      </c>
      <c r="J1097" s="54" t="s">
        <v>73</v>
      </c>
      <c r="K1097" s="56" t="s">
        <v>129</v>
      </c>
      <c r="L1097" s="56" t="s">
        <v>594</v>
      </c>
      <c r="M1097" s="56" t="s">
        <v>5949</v>
      </c>
      <c r="N1097" s="56"/>
      <c r="O1097" s="54"/>
      <c r="P1097" s="56" t="s">
        <v>86</v>
      </c>
      <c r="Q1097" s="56" t="s">
        <v>1107</v>
      </c>
      <c r="R1097" s="50"/>
      <c r="S1097" s="50"/>
      <c r="T1097" s="50"/>
      <c r="U1097" s="50"/>
      <c r="V1097" s="57">
        <v>0.34</v>
      </c>
      <c r="W1097" s="68"/>
      <c r="X1097" s="50"/>
      <c r="Y1097" s="50"/>
      <c r="Z1097" s="50"/>
      <c r="AA1097" s="50"/>
      <c r="AB1097" s="57"/>
      <c r="AC1097" s="54">
        <v>0</v>
      </c>
      <c r="AD1097" s="54">
        <f>SUM(AE1097:AK1097)</f>
        <v>0</v>
      </c>
      <c r="AE1097" s="66"/>
      <c r="AF1097" s="66"/>
      <c r="AG1097" s="66"/>
      <c r="AH1097" s="66"/>
      <c r="AI1097" s="66"/>
      <c r="AJ1097" s="66"/>
      <c r="AK1097" s="66"/>
      <c r="AL1097" s="54">
        <f>IF((AC1097-SUM(AE1097:AK1097))&lt;0,0,AC1097-SUM(AE1097:AK1097))</f>
        <v>0</v>
      </c>
      <c r="AM1097" s="54">
        <f>SUM(AN1097:AT1097)</f>
        <v>0</v>
      </c>
      <c r="AN1097" s="54"/>
      <c r="AO1097" s="54"/>
      <c r="AP1097" s="54"/>
      <c r="AQ1097" s="54"/>
      <c r="AR1097" s="54"/>
      <c r="AS1097" s="54"/>
      <c r="AT1097" s="54"/>
      <c r="AU1097" s="54">
        <f>MAX(0,$AM1097-$AC1097-$AW1097)</f>
        <v>0</v>
      </c>
      <c r="AV1097" s="54"/>
      <c r="AW1097" s="54"/>
      <c r="AX1097" s="65">
        <v>0</v>
      </c>
      <c r="AY1097" s="57">
        <f>IF(AND($AU1097&gt;0,ISNUMBER($AX1097)),$AU1097*$AX1097,0)</f>
        <v>0</v>
      </c>
      <c r="AZ1097" s="72"/>
      <c r="BA1097" s="73"/>
      <c r="BB1097" s="73"/>
      <c r="BC1097" s="73"/>
      <c r="BD1097" s="73"/>
      <c r="BE1097" s="73"/>
      <c r="BF1097" s="73"/>
    </row>
    <row r="1098" spans="1:58" ht="15" customHeight="1">
      <c r="A1098" s="46" t="s">
        <v>5950</v>
      </c>
      <c r="B1098" s="50" t="s">
        <v>5951</v>
      </c>
      <c r="C1098" s="54" t="s">
        <v>232</v>
      </c>
      <c r="D1098" s="74">
        <v>2</v>
      </c>
      <c r="E1098" s="50" t="s">
        <v>531</v>
      </c>
      <c r="F1098" s="50">
        <v>0</v>
      </c>
      <c r="G1098" s="50">
        <v>7</v>
      </c>
      <c r="H1098" s="51" t="s">
        <v>465</v>
      </c>
      <c r="I1098" s="50" t="s">
        <v>5952</v>
      </c>
      <c r="J1098" s="54" t="s">
        <v>73</v>
      </c>
      <c r="K1098" s="56" t="s">
        <v>676</v>
      </c>
      <c r="L1098" s="56" t="s">
        <v>594</v>
      </c>
      <c r="M1098" s="56" t="s">
        <v>5953</v>
      </c>
      <c r="N1098" s="56"/>
      <c r="O1098" s="54"/>
      <c r="P1098" s="56" t="s">
        <v>185</v>
      </c>
      <c r="Q1098" s="56" t="s">
        <v>4172</v>
      </c>
      <c r="R1098" s="50"/>
      <c r="S1098" s="50"/>
      <c r="T1098" s="50"/>
      <c r="U1098" s="50"/>
      <c r="V1098" s="57">
        <v>0.31</v>
      </c>
      <c r="W1098" s="68"/>
      <c r="X1098" s="50"/>
      <c r="Y1098" s="50"/>
      <c r="Z1098" s="50"/>
      <c r="AA1098" s="50"/>
      <c r="AB1098" s="57"/>
      <c r="AC1098" s="54">
        <v>0</v>
      </c>
      <c r="AD1098" s="54">
        <f>SUM(AE1098:AK1098)</f>
        <v>0</v>
      </c>
      <c r="AE1098" s="66"/>
      <c r="AF1098" s="66"/>
      <c r="AG1098" s="66"/>
      <c r="AH1098" s="66"/>
      <c r="AI1098" s="66"/>
      <c r="AJ1098" s="66"/>
      <c r="AK1098" s="66"/>
      <c r="AL1098" s="54">
        <f>IF((AC1098-SUM(AE1098:AK1098))&lt;0,0,AC1098-SUM(AE1098:AK1098))</f>
        <v>0</v>
      </c>
      <c r="AM1098" s="54">
        <f>SUM(AN1098:AT1098)</f>
        <v>0</v>
      </c>
      <c r="AN1098" s="54"/>
      <c r="AO1098" s="54"/>
      <c r="AP1098" s="54"/>
      <c r="AQ1098" s="54"/>
      <c r="AR1098" s="54"/>
      <c r="AS1098" s="54"/>
      <c r="AT1098" s="54"/>
      <c r="AU1098" s="54">
        <f>MAX(0,$AM1098-$AC1098-$AW1098)</f>
        <v>0</v>
      </c>
      <c r="AV1098" s="54"/>
      <c r="AW1098" s="54"/>
      <c r="AX1098" s="65">
        <v>0</v>
      </c>
      <c r="AY1098" s="57">
        <f>IF(AND($AU1098&gt;0,ISNUMBER($AX1098)),$AU1098*$AX1098,0)</f>
        <v>0</v>
      </c>
      <c r="AZ1098" s="72"/>
      <c r="BA1098" s="73"/>
      <c r="BB1098" s="73"/>
      <c r="BC1098" s="73"/>
      <c r="BD1098" s="73"/>
      <c r="BE1098" s="73"/>
      <c r="BF1098" s="73"/>
    </row>
    <row r="1099" spans="1:58" ht="15" customHeight="1">
      <c r="A1099" s="46" t="s">
        <v>5954</v>
      </c>
      <c r="B1099" s="50" t="s">
        <v>5955</v>
      </c>
      <c r="C1099" s="54" t="s">
        <v>118</v>
      </c>
      <c r="D1099" s="74">
        <v>5</v>
      </c>
      <c r="E1099" s="50" t="s">
        <v>71</v>
      </c>
      <c r="F1099" s="50"/>
      <c r="G1099" s="50"/>
      <c r="H1099" s="51"/>
      <c r="I1099" s="50" t="s">
        <v>5956</v>
      </c>
      <c r="J1099" s="54" t="s">
        <v>196</v>
      </c>
      <c r="K1099" s="56" t="s">
        <v>424</v>
      </c>
      <c r="L1099" s="56" t="s">
        <v>5956</v>
      </c>
      <c r="M1099" s="56"/>
      <c r="N1099" s="56"/>
      <c r="O1099" s="54"/>
      <c r="P1099" s="56" t="s">
        <v>86</v>
      </c>
      <c r="Q1099" s="56" t="s">
        <v>274</v>
      </c>
      <c r="R1099" s="54"/>
      <c r="S1099" s="54"/>
      <c r="T1099" s="54"/>
      <c r="U1099" s="54"/>
      <c r="V1099" s="57">
        <v>0.3</v>
      </c>
      <c r="W1099" s="68"/>
      <c r="X1099" s="54"/>
      <c r="Y1099" s="54"/>
      <c r="Z1099" s="54"/>
      <c r="AA1099" s="54"/>
      <c r="AB1099" s="57"/>
      <c r="AC1099" s="54">
        <v>0</v>
      </c>
      <c r="AD1099" s="54">
        <f>SUM(AE1099:AK1099)</f>
        <v>0</v>
      </c>
      <c r="AE1099" s="66"/>
      <c r="AF1099" s="66"/>
      <c r="AG1099" s="66"/>
      <c r="AH1099" s="66"/>
      <c r="AI1099" s="66"/>
      <c r="AJ1099" s="66"/>
      <c r="AK1099" s="66"/>
      <c r="AL1099" s="54">
        <f>IF((AC1099-SUM(AE1099:AK1099))&lt;0,0,AC1099-SUM(AE1099:AK1099))</f>
        <v>0</v>
      </c>
      <c r="AM1099" s="54">
        <f>SUM(AN1099:AT1099)</f>
        <v>0</v>
      </c>
      <c r="AN1099" s="54"/>
      <c r="AO1099" s="54"/>
      <c r="AP1099" s="54"/>
      <c r="AQ1099" s="54"/>
      <c r="AR1099" s="54"/>
      <c r="AS1099" s="54"/>
      <c r="AT1099" s="54"/>
      <c r="AU1099" s="54">
        <f>MAX(0,$AM1099-$AC1099-$AW1099)</f>
        <v>0</v>
      </c>
      <c r="AV1099" s="54"/>
      <c r="AW1099" s="54"/>
      <c r="AX1099" s="65">
        <v>0</v>
      </c>
      <c r="AY1099" s="57">
        <f>IF(AND($AU1099&gt;0,ISNUMBER($AX1099)),$AU1099*$AX1099,0)</f>
        <v>0</v>
      </c>
      <c r="AZ1099" s="72"/>
      <c r="BA1099" s="73"/>
      <c r="BB1099" s="73"/>
      <c r="BC1099" s="73"/>
      <c r="BD1099" s="73"/>
      <c r="BE1099" s="73"/>
      <c r="BF1099" s="73"/>
    </row>
    <row r="1100" spans="1:58" ht="15" customHeight="1">
      <c r="A1100" s="46" t="s">
        <v>5957</v>
      </c>
      <c r="B1100" s="50" t="s">
        <v>5958</v>
      </c>
      <c r="C1100" s="54" t="s">
        <v>70</v>
      </c>
      <c r="D1100" s="74">
        <v>3</v>
      </c>
      <c r="E1100" s="50" t="s">
        <v>81</v>
      </c>
      <c r="F1100" s="50">
        <v>2</v>
      </c>
      <c r="G1100" s="50">
        <v>1</v>
      </c>
      <c r="H1100" s="51" t="s">
        <v>5959</v>
      </c>
      <c r="I1100" s="50" t="s">
        <v>5960</v>
      </c>
      <c r="J1100" s="54" t="s">
        <v>73</v>
      </c>
      <c r="K1100" s="56" t="s">
        <v>261</v>
      </c>
      <c r="L1100" s="56" t="s">
        <v>5961</v>
      </c>
      <c r="M1100" s="56" t="s">
        <v>817</v>
      </c>
      <c r="N1100" s="56" t="s">
        <v>5962</v>
      </c>
      <c r="O1100" s="54"/>
      <c r="P1100" s="56" t="s">
        <v>185</v>
      </c>
      <c r="Q1100" s="56" t="s">
        <v>1070</v>
      </c>
      <c r="R1100" s="50"/>
      <c r="S1100" s="50"/>
      <c r="T1100" s="50"/>
      <c r="U1100" s="50"/>
      <c r="V1100" s="57">
        <v>0.3</v>
      </c>
      <c r="W1100" s="68"/>
      <c r="X1100" s="50"/>
      <c r="Y1100" s="50"/>
      <c r="Z1100" s="50"/>
      <c r="AA1100" s="50"/>
      <c r="AB1100" s="57"/>
      <c r="AC1100" s="54">
        <v>0</v>
      </c>
      <c r="AD1100" s="54">
        <f>SUM(AE1100:AK1100)</f>
        <v>0</v>
      </c>
      <c r="AE1100" s="66"/>
      <c r="AF1100" s="66"/>
      <c r="AG1100" s="66"/>
      <c r="AH1100" s="66"/>
      <c r="AI1100" s="66"/>
      <c r="AJ1100" s="66"/>
      <c r="AK1100" s="66"/>
      <c r="AL1100" s="54">
        <f>IF((AC1100-SUM(AE1100:AK1100))&lt;0,0,AC1100-SUM(AE1100:AK1100))</f>
        <v>0</v>
      </c>
      <c r="AM1100" s="54">
        <f>SUM(AN1100:AT1100)</f>
        <v>0</v>
      </c>
      <c r="AN1100" s="54"/>
      <c r="AO1100" s="54"/>
      <c r="AP1100" s="54"/>
      <c r="AQ1100" s="54"/>
      <c r="AR1100" s="54"/>
      <c r="AS1100" s="54"/>
      <c r="AT1100" s="54"/>
      <c r="AU1100" s="54">
        <f>MAX(0,$AM1100-$AC1100-$AW1100)</f>
        <v>0</v>
      </c>
      <c r="AV1100" s="54"/>
      <c r="AW1100" s="54"/>
      <c r="AX1100" s="65">
        <v>0</v>
      </c>
      <c r="AY1100" s="57">
        <f>IF(AND($AU1100&gt;0,ISNUMBER($AX1100)),$AU1100*$AX1100,0)</f>
        <v>0</v>
      </c>
      <c r="AZ1100" s="72"/>
      <c r="BA1100" s="73"/>
      <c r="BB1100" s="73"/>
      <c r="BC1100" s="73"/>
      <c r="BD1100" s="73"/>
      <c r="BE1100" s="73"/>
      <c r="BF1100" s="73"/>
    </row>
    <row r="1101" spans="1:58" ht="15" customHeight="1">
      <c r="A1101" s="46" t="s">
        <v>5963</v>
      </c>
      <c r="B1101" s="50" t="s">
        <v>5964</v>
      </c>
      <c r="C1101" s="54" t="s">
        <v>311</v>
      </c>
      <c r="D1101" s="74">
        <v>0</v>
      </c>
      <c r="E1101" s="50" t="s">
        <v>312</v>
      </c>
      <c r="F1101" s="50"/>
      <c r="G1101" s="50"/>
      <c r="H1101" s="51"/>
      <c r="I1101" s="50" t="s">
        <v>5965</v>
      </c>
      <c r="J1101" s="54" t="s">
        <v>73</v>
      </c>
      <c r="K1101" s="56" t="s">
        <v>312</v>
      </c>
      <c r="L1101" s="56" t="s">
        <v>1358</v>
      </c>
      <c r="M1101" s="56" t="s">
        <v>5966</v>
      </c>
      <c r="N1101" s="56"/>
      <c r="O1101" s="54"/>
      <c r="P1101" s="56" t="s">
        <v>86</v>
      </c>
      <c r="Q1101" s="56" t="s">
        <v>1970</v>
      </c>
      <c r="R1101" s="50"/>
      <c r="S1101" s="50"/>
      <c r="T1101" s="50"/>
      <c r="U1101" s="50"/>
      <c r="V1101" s="57">
        <v>0.3</v>
      </c>
      <c r="W1101" s="68"/>
      <c r="X1101" s="50"/>
      <c r="Y1101" s="50"/>
      <c r="Z1101" s="50"/>
      <c r="AA1101" s="50"/>
      <c r="AB1101" s="57"/>
      <c r="AC1101" s="54">
        <v>0</v>
      </c>
      <c r="AD1101" s="54">
        <f>SUM(AE1101:AK1101)</f>
        <v>0</v>
      </c>
      <c r="AE1101" s="66"/>
      <c r="AF1101" s="66"/>
      <c r="AG1101" s="66"/>
      <c r="AH1101" s="66"/>
      <c r="AI1101" s="66"/>
      <c r="AJ1101" s="66"/>
      <c r="AK1101" s="66"/>
      <c r="AL1101" s="54">
        <f>IF((AC1101-SUM(AE1101:AK1101))&lt;0,0,AC1101-SUM(AE1101:AK1101))</f>
        <v>0</v>
      </c>
      <c r="AM1101" s="54">
        <f>SUM(AN1101:AT1101)</f>
        <v>0</v>
      </c>
      <c r="AN1101" s="54"/>
      <c r="AO1101" s="54"/>
      <c r="AP1101" s="54"/>
      <c r="AQ1101" s="54"/>
      <c r="AR1101" s="54"/>
      <c r="AS1101" s="54"/>
      <c r="AT1101" s="54"/>
      <c r="AU1101" s="54">
        <f>MAX(0,$AM1101-$AC1101-$AW1101)</f>
        <v>0</v>
      </c>
      <c r="AV1101" s="54"/>
      <c r="AW1101" s="54"/>
      <c r="AX1101" s="65">
        <v>0</v>
      </c>
      <c r="AY1101" s="57">
        <f>IF(AND($AU1101&gt;0,ISNUMBER($AX1101)),$AU1101*$AX1101,0)</f>
        <v>0</v>
      </c>
      <c r="AZ1101" s="72"/>
      <c r="BA1101" s="73"/>
      <c r="BB1101" s="73"/>
      <c r="BC1101" s="73"/>
      <c r="BD1101" s="73"/>
      <c r="BE1101" s="73"/>
      <c r="BF1101" s="73"/>
    </row>
    <row r="1102" spans="1:58" ht="15" customHeight="1">
      <c r="A1102" s="46" t="s">
        <v>5967</v>
      </c>
      <c r="B1102" s="50" t="s">
        <v>5968</v>
      </c>
      <c r="C1102" s="54" t="s">
        <v>232</v>
      </c>
      <c r="D1102" s="74">
        <v>3</v>
      </c>
      <c r="E1102" s="50" t="s">
        <v>233</v>
      </c>
      <c r="F1102" s="50"/>
      <c r="G1102" s="50"/>
      <c r="H1102" s="51"/>
      <c r="I1102" s="50" t="s">
        <v>5969</v>
      </c>
      <c r="J1102" s="54" t="s">
        <v>73</v>
      </c>
      <c r="K1102" s="56" t="s">
        <v>235</v>
      </c>
      <c r="L1102" s="56" t="s">
        <v>1448</v>
      </c>
      <c r="M1102" s="56" t="s">
        <v>5970</v>
      </c>
      <c r="N1102" s="56" t="s">
        <v>5971</v>
      </c>
      <c r="O1102" s="54"/>
      <c r="P1102" s="56" t="s">
        <v>185</v>
      </c>
      <c r="Q1102" s="56" t="s">
        <v>2628</v>
      </c>
      <c r="R1102" s="50"/>
      <c r="S1102" s="50"/>
      <c r="T1102" s="50"/>
      <c r="U1102" s="50"/>
      <c r="V1102" s="57">
        <v>0.3</v>
      </c>
      <c r="W1102" s="68"/>
      <c r="X1102" s="50"/>
      <c r="Y1102" s="50"/>
      <c r="Z1102" s="50"/>
      <c r="AA1102" s="50"/>
      <c r="AB1102" s="57"/>
      <c r="AC1102" s="54">
        <v>0</v>
      </c>
      <c r="AD1102" s="54">
        <f>SUM(AE1102:AK1102)</f>
        <v>0</v>
      </c>
      <c r="AE1102" s="66"/>
      <c r="AF1102" s="66"/>
      <c r="AG1102" s="66"/>
      <c r="AH1102" s="66"/>
      <c r="AI1102" s="66"/>
      <c r="AJ1102" s="66"/>
      <c r="AK1102" s="66"/>
      <c r="AL1102" s="54">
        <f>IF((AC1102-SUM(AE1102:AK1102))&lt;0,0,AC1102-SUM(AE1102:AK1102))</f>
        <v>0</v>
      </c>
      <c r="AM1102" s="54">
        <f>SUM(AN1102:AT1102)</f>
        <v>0</v>
      </c>
      <c r="AN1102" s="54"/>
      <c r="AO1102" s="54"/>
      <c r="AP1102" s="54"/>
      <c r="AQ1102" s="54"/>
      <c r="AR1102" s="54"/>
      <c r="AS1102" s="54"/>
      <c r="AT1102" s="54"/>
      <c r="AU1102" s="54">
        <f>MAX(0,$AM1102-$AC1102-$AW1102)</f>
        <v>0</v>
      </c>
      <c r="AV1102" s="54"/>
      <c r="AW1102" s="54"/>
      <c r="AX1102" s="65">
        <v>0</v>
      </c>
      <c r="AY1102" s="57">
        <f>IF(AND($AU1102&gt;0,ISNUMBER($AX1102)),$AU1102*$AX1102,0)</f>
        <v>0</v>
      </c>
      <c r="AZ1102" s="72"/>
      <c r="BA1102" s="73"/>
      <c r="BB1102" s="73"/>
      <c r="BC1102" s="73"/>
      <c r="BD1102" s="73"/>
      <c r="BE1102" s="73"/>
      <c r="BF1102" s="73"/>
    </row>
    <row r="1103" spans="1:58" ht="15" customHeight="1">
      <c r="A1103" s="46" t="s">
        <v>5972</v>
      </c>
      <c r="B1103" s="50" t="s">
        <v>5973</v>
      </c>
      <c r="C1103" s="54" t="s">
        <v>118</v>
      </c>
      <c r="D1103" s="74">
        <v>1</v>
      </c>
      <c r="E1103" s="50" t="s">
        <v>81</v>
      </c>
      <c r="F1103" s="50">
        <v>1</v>
      </c>
      <c r="G1103" s="50">
        <v>1</v>
      </c>
      <c r="H1103" s="51" t="s">
        <v>5726</v>
      </c>
      <c r="I1103" s="50" t="s">
        <v>5974</v>
      </c>
      <c r="J1103" s="54" t="s">
        <v>73</v>
      </c>
      <c r="K1103" s="56" t="s">
        <v>129</v>
      </c>
      <c r="L1103" s="56" t="s">
        <v>5975</v>
      </c>
      <c r="M1103" s="56"/>
      <c r="N1103" s="56"/>
      <c r="O1103" s="54"/>
      <c r="P1103" s="56" t="s">
        <v>76</v>
      </c>
      <c r="Q1103" s="56" t="s">
        <v>492</v>
      </c>
      <c r="R1103" s="50"/>
      <c r="S1103" s="50"/>
      <c r="T1103" s="50"/>
      <c r="U1103" s="50"/>
      <c r="V1103" s="57">
        <v>0.3</v>
      </c>
      <c r="W1103" s="68"/>
      <c r="X1103" s="50"/>
      <c r="Y1103" s="50"/>
      <c r="Z1103" s="50"/>
      <c r="AA1103" s="50"/>
      <c r="AB1103" s="57"/>
      <c r="AC1103" s="54">
        <v>0</v>
      </c>
      <c r="AD1103" s="54">
        <f>SUM(AE1103:AK1103)</f>
        <v>0</v>
      </c>
      <c r="AE1103" s="66"/>
      <c r="AF1103" s="66"/>
      <c r="AG1103" s="66"/>
      <c r="AH1103" s="66"/>
      <c r="AI1103" s="66"/>
      <c r="AJ1103" s="66"/>
      <c r="AK1103" s="66"/>
      <c r="AL1103" s="54">
        <f>IF((AC1103-SUM(AE1103:AK1103))&lt;0,0,AC1103-SUM(AE1103:AK1103))</f>
        <v>0</v>
      </c>
      <c r="AM1103" s="54">
        <f>SUM(AN1103:AT1103)</f>
        <v>0</v>
      </c>
      <c r="AN1103" s="54"/>
      <c r="AO1103" s="54"/>
      <c r="AP1103" s="54"/>
      <c r="AQ1103" s="54"/>
      <c r="AR1103" s="54"/>
      <c r="AS1103" s="54"/>
      <c r="AT1103" s="54"/>
      <c r="AU1103" s="54">
        <f>MAX(0,$AM1103-$AC1103-$AW1103)</f>
        <v>0</v>
      </c>
      <c r="AV1103" s="54"/>
      <c r="AW1103" s="54"/>
      <c r="AX1103" s="65">
        <v>0</v>
      </c>
      <c r="AY1103" s="57">
        <f>IF(AND($AU1103&gt;0,ISNUMBER($AX1103)),$AU1103*$AX1103,0)</f>
        <v>0</v>
      </c>
      <c r="AZ1103" s="72"/>
      <c r="BA1103" s="73"/>
      <c r="BB1103" s="73"/>
      <c r="BC1103" s="73"/>
      <c r="BD1103" s="73"/>
      <c r="BE1103" s="73"/>
      <c r="BF1103" s="73"/>
    </row>
    <row r="1104" spans="1:58" ht="15" customHeight="1">
      <c r="A1104" s="46" t="s">
        <v>5976</v>
      </c>
      <c r="B1104" s="50" t="s">
        <v>5977</v>
      </c>
      <c r="C1104" s="54" t="s">
        <v>311</v>
      </c>
      <c r="D1104" s="74">
        <v>0</v>
      </c>
      <c r="E1104" s="50" t="s">
        <v>312</v>
      </c>
      <c r="F1104" s="50"/>
      <c r="G1104" s="50"/>
      <c r="H1104" s="51"/>
      <c r="I1104" s="50" t="s">
        <v>5978</v>
      </c>
      <c r="J1104" s="54" t="s">
        <v>73</v>
      </c>
      <c r="K1104" s="56" t="s">
        <v>312</v>
      </c>
      <c r="L1104" s="56" t="s">
        <v>5979</v>
      </c>
      <c r="M1104" s="56" t="s">
        <v>5980</v>
      </c>
      <c r="N1104" s="56"/>
      <c r="O1104" s="54"/>
      <c r="P1104" s="56" t="s">
        <v>76</v>
      </c>
      <c r="Q1104" s="56" t="s">
        <v>1970</v>
      </c>
      <c r="R1104" s="50"/>
      <c r="S1104" s="50"/>
      <c r="T1104" s="50"/>
      <c r="U1104" s="50"/>
      <c r="V1104" s="57">
        <v>0.28999999999999998</v>
      </c>
      <c r="W1104" s="68"/>
      <c r="X1104" s="50"/>
      <c r="Y1104" s="50"/>
      <c r="Z1104" s="50"/>
      <c r="AA1104" s="50"/>
      <c r="AB1104" s="57"/>
      <c r="AC1104" s="54">
        <v>0</v>
      </c>
      <c r="AD1104" s="54">
        <f>SUM(AE1104:AK1104)</f>
        <v>0</v>
      </c>
      <c r="AE1104" s="66"/>
      <c r="AF1104" s="66"/>
      <c r="AG1104" s="66"/>
      <c r="AH1104" s="66"/>
      <c r="AI1104" s="66"/>
      <c r="AJ1104" s="66"/>
      <c r="AK1104" s="66"/>
      <c r="AL1104" s="54">
        <f>IF((AC1104-SUM(AE1104:AK1104))&lt;0,0,AC1104-SUM(AE1104:AK1104))</f>
        <v>0</v>
      </c>
      <c r="AM1104" s="54">
        <f>SUM(AN1104:AT1104)</f>
        <v>0</v>
      </c>
      <c r="AN1104" s="54"/>
      <c r="AO1104" s="54"/>
      <c r="AP1104" s="54"/>
      <c r="AQ1104" s="54"/>
      <c r="AR1104" s="54"/>
      <c r="AS1104" s="54"/>
      <c r="AT1104" s="54"/>
      <c r="AU1104" s="54">
        <f>MAX(0,$AM1104-$AC1104-$AW1104)</f>
        <v>0</v>
      </c>
      <c r="AV1104" s="54"/>
      <c r="AW1104" s="54"/>
      <c r="AX1104" s="65">
        <v>0</v>
      </c>
      <c r="AY1104" s="57">
        <f>IF(AND($AU1104&gt;0,ISNUMBER($AX1104)),$AU1104*$AX1104,0)</f>
        <v>0</v>
      </c>
      <c r="AZ1104" s="72"/>
      <c r="BA1104" s="73"/>
      <c r="BB1104" s="73"/>
      <c r="BC1104" s="73"/>
      <c r="BD1104" s="73"/>
      <c r="BE1104" s="73"/>
      <c r="BF1104" s="73"/>
    </row>
    <row r="1105" spans="1:58" ht="15" customHeight="1">
      <c r="A1105" s="46" t="s">
        <v>5981</v>
      </c>
      <c r="B1105" s="50" t="s">
        <v>5982</v>
      </c>
      <c r="C1105" s="54" t="s">
        <v>109</v>
      </c>
      <c r="D1105" s="74">
        <v>4</v>
      </c>
      <c r="E1105" s="50" t="s">
        <v>189</v>
      </c>
      <c r="F1105" s="50"/>
      <c r="G1105" s="50"/>
      <c r="H1105" s="51"/>
      <c r="I1105" s="50" t="s">
        <v>5983</v>
      </c>
      <c r="J1105" s="54" t="s">
        <v>73</v>
      </c>
      <c r="K1105" s="56" t="s">
        <v>135</v>
      </c>
      <c r="L1105" s="56" t="s">
        <v>1922</v>
      </c>
      <c r="M1105" s="56"/>
      <c r="N1105" s="56"/>
      <c r="O1105" s="54"/>
      <c r="P1105" s="56" t="s">
        <v>86</v>
      </c>
      <c r="Q1105" s="56" t="s">
        <v>1030</v>
      </c>
      <c r="R1105" s="50"/>
      <c r="S1105" s="50"/>
      <c r="T1105" s="50"/>
      <c r="U1105" s="50"/>
      <c r="V1105" s="57">
        <v>0.28999999999999998</v>
      </c>
      <c r="W1105" s="68"/>
      <c r="X1105" s="50"/>
      <c r="Y1105" s="50"/>
      <c r="Z1105" s="50"/>
      <c r="AA1105" s="50"/>
      <c r="AB1105" s="57"/>
      <c r="AC1105" s="54">
        <v>0</v>
      </c>
      <c r="AD1105" s="54">
        <f>SUM(AE1105:AK1105)</f>
        <v>0</v>
      </c>
      <c r="AE1105" s="66"/>
      <c r="AF1105" s="66"/>
      <c r="AG1105" s="66"/>
      <c r="AH1105" s="66"/>
      <c r="AI1105" s="66"/>
      <c r="AJ1105" s="66"/>
      <c r="AK1105" s="66"/>
      <c r="AL1105" s="54">
        <f>IF((AC1105-SUM(AE1105:AK1105))&lt;0,0,AC1105-SUM(AE1105:AK1105))</f>
        <v>0</v>
      </c>
      <c r="AM1105" s="54">
        <f>SUM(AN1105:AT1105)</f>
        <v>0</v>
      </c>
      <c r="AN1105" s="54"/>
      <c r="AO1105" s="54"/>
      <c r="AP1105" s="54"/>
      <c r="AQ1105" s="54"/>
      <c r="AR1105" s="54"/>
      <c r="AS1105" s="54"/>
      <c r="AT1105" s="54"/>
      <c r="AU1105" s="54">
        <f>MAX(0,$AM1105-$AC1105-$AW1105)</f>
        <v>0</v>
      </c>
      <c r="AV1105" s="54"/>
      <c r="AW1105" s="54"/>
      <c r="AX1105" s="65">
        <v>0</v>
      </c>
      <c r="AY1105" s="57">
        <f>IF(AND($AU1105&gt;0,ISNUMBER($AX1105)),$AU1105*$AX1105,0)</f>
        <v>0</v>
      </c>
      <c r="AZ1105" s="72"/>
      <c r="BA1105" s="73"/>
      <c r="BB1105" s="73"/>
      <c r="BC1105" s="73"/>
      <c r="BD1105" s="73"/>
      <c r="BE1105" s="73"/>
      <c r="BF1105" s="73"/>
    </row>
    <row r="1106" spans="1:58" ht="15" customHeight="1">
      <c r="A1106" s="46" t="s">
        <v>5984</v>
      </c>
      <c r="B1106" s="50" t="s">
        <v>5985</v>
      </c>
      <c r="C1106" s="54" t="s">
        <v>118</v>
      </c>
      <c r="D1106" s="74">
        <v>4</v>
      </c>
      <c r="E1106" s="50" t="s">
        <v>81</v>
      </c>
      <c r="F1106" s="50">
        <v>1</v>
      </c>
      <c r="G1106" s="50">
        <v>7</v>
      </c>
      <c r="H1106" s="51" t="s">
        <v>1977</v>
      </c>
      <c r="I1106" s="50" t="s">
        <v>5986</v>
      </c>
      <c r="J1106" s="54" t="s">
        <v>73</v>
      </c>
      <c r="K1106" s="56" t="s">
        <v>676</v>
      </c>
      <c r="L1106" s="56" t="s">
        <v>3088</v>
      </c>
      <c r="M1106" s="56"/>
      <c r="N1106" s="56"/>
      <c r="O1106" s="54"/>
      <c r="P1106" s="56" t="s">
        <v>185</v>
      </c>
      <c r="Q1106" s="56" t="s">
        <v>4423</v>
      </c>
      <c r="R1106" s="50"/>
      <c r="S1106" s="50"/>
      <c r="T1106" s="50"/>
      <c r="U1106" s="50"/>
      <c r="V1106" s="57">
        <v>0.28999999999999998</v>
      </c>
      <c r="W1106" s="68"/>
      <c r="X1106" s="50"/>
      <c r="Y1106" s="50"/>
      <c r="Z1106" s="50"/>
      <c r="AA1106" s="50"/>
      <c r="AB1106" s="57"/>
      <c r="AC1106" s="54">
        <v>0</v>
      </c>
      <c r="AD1106" s="54">
        <f>SUM(AE1106:AK1106)</f>
        <v>0</v>
      </c>
      <c r="AE1106" s="66"/>
      <c r="AF1106" s="66"/>
      <c r="AG1106" s="66"/>
      <c r="AH1106" s="66"/>
      <c r="AI1106" s="66"/>
      <c r="AJ1106" s="66"/>
      <c r="AK1106" s="66"/>
      <c r="AL1106" s="54">
        <f>IF((AC1106-SUM(AE1106:AK1106))&lt;0,0,AC1106-SUM(AE1106:AK1106))</f>
        <v>0</v>
      </c>
      <c r="AM1106" s="54">
        <f>SUM(AN1106:AT1106)</f>
        <v>0</v>
      </c>
      <c r="AN1106" s="54"/>
      <c r="AO1106" s="54"/>
      <c r="AP1106" s="54"/>
      <c r="AQ1106" s="54"/>
      <c r="AR1106" s="54"/>
      <c r="AS1106" s="54"/>
      <c r="AT1106" s="54"/>
      <c r="AU1106" s="54">
        <f>MAX(0,$AM1106-$AC1106-$AW1106)</f>
        <v>0</v>
      </c>
      <c r="AV1106" s="54"/>
      <c r="AW1106" s="54"/>
      <c r="AX1106" s="65">
        <v>0</v>
      </c>
      <c r="AY1106" s="57">
        <f>IF(AND($AU1106&gt;0,ISNUMBER($AX1106)),$AU1106*$AX1106,0)</f>
        <v>0</v>
      </c>
      <c r="AZ1106" s="72"/>
      <c r="BA1106" s="73"/>
      <c r="BB1106" s="73"/>
      <c r="BC1106" s="73"/>
      <c r="BD1106" s="73"/>
      <c r="BE1106" s="73"/>
      <c r="BF1106" s="73"/>
    </row>
    <row r="1107" spans="1:58" ht="15" customHeight="1">
      <c r="A1107" s="46" t="s">
        <v>5987</v>
      </c>
      <c r="B1107" s="50" t="s">
        <v>5988</v>
      </c>
      <c r="C1107" s="54" t="s">
        <v>109</v>
      </c>
      <c r="D1107" s="74">
        <v>3</v>
      </c>
      <c r="E1107" s="50" t="s">
        <v>81</v>
      </c>
      <c r="F1107" s="50">
        <v>1</v>
      </c>
      <c r="G1107" s="50">
        <v>1</v>
      </c>
      <c r="H1107" s="51" t="s">
        <v>1019</v>
      </c>
      <c r="I1107" s="50" t="s">
        <v>5989</v>
      </c>
      <c r="J1107" s="54" t="s">
        <v>73</v>
      </c>
      <c r="K1107" s="56" t="s">
        <v>152</v>
      </c>
      <c r="L1107" s="56" t="s">
        <v>5990</v>
      </c>
      <c r="M1107" s="56"/>
      <c r="N1107" s="56"/>
      <c r="O1107" s="54"/>
      <c r="P1107" s="56" t="s">
        <v>185</v>
      </c>
      <c r="Q1107" s="56" t="s">
        <v>2358</v>
      </c>
      <c r="R1107" s="50"/>
      <c r="S1107" s="50"/>
      <c r="T1107" s="50"/>
      <c r="U1107" s="50"/>
      <c r="V1107" s="57">
        <v>0.27</v>
      </c>
      <c r="W1107" s="68"/>
      <c r="X1107" s="50"/>
      <c r="Y1107" s="50"/>
      <c r="Z1107" s="50"/>
      <c r="AA1107" s="50"/>
      <c r="AB1107" s="57"/>
      <c r="AC1107" s="54">
        <v>0</v>
      </c>
      <c r="AD1107" s="54">
        <f>SUM(AE1107:AK1107)</f>
        <v>0</v>
      </c>
      <c r="AE1107" s="66"/>
      <c r="AF1107" s="66"/>
      <c r="AG1107" s="66"/>
      <c r="AH1107" s="66"/>
      <c r="AI1107" s="66"/>
      <c r="AJ1107" s="66"/>
      <c r="AK1107" s="66"/>
      <c r="AL1107" s="54">
        <f>IF((AC1107-SUM(AE1107:AK1107))&lt;0,0,AC1107-SUM(AE1107:AK1107))</f>
        <v>0</v>
      </c>
      <c r="AM1107" s="54">
        <f>SUM(AN1107:AT1107)</f>
        <v>0</v>
      </c>
      <c r="AN1107" s="54"/>
      <c r="AO1107" s="54"/>
      <c r="AP1107" s="54"/>
      <c r="AQ1107" s="54"/>
      <c r="AR1107" s="54"/>
      <c r="AS1107" s="54"/>
      <c r="AT1107" s="54"/>
      <c r="AU1107" s="54">
        <f>MAX(0,$AM1107-$AC1107-$AW1107)</f>
        <v>0</v>
      </c>
      <c r="AV1107" s="54"/>
      <c r="AW1107" s="54"/>
      <c r="AX1107" s="65">
        <v>0</v>
      </c>
      <c r="AY1107" s="57">
        <f>IF(AND($AU1107&gt;0,ISNUMBER($AX1107)),$AU1107*$AX1107,0)</f>
        <v>0</v>
      </c>
      <c r="AZ1107" s="72"/>
      <c r="BA1107" s="73"/>
      <c r="BB1107" s="73"/>
      <c r="BC1107" s="73"/>
      <c r="BD1107" s="73"/>
      <c r="BE1107" s="73"/>
      <c r="BF1107" s="73"/>
    </row>
    <row r="1108" spans="1:58" ht="15" customHeight="1">
      <c r="A1108" s="46" t="s">
        <v>5991</v>
      </c>
      <c r="B1108" s="50" t="s">
        <v>5992</v>
      </c>
      <c r="C1108" s="54" t="s">
        <v>70</v>
      </c>
      <c r="D1108" s="74">
        <v>2</v>
      </c>
      <c r="E1108" s="50" t="s">
        <v>189</v>
      </c>
      <c r="F1108" s="50"/>
      <c r="G1108" s="50"/>
      <c r="H1108" s="51"/>
      <c r="I1108" s="50" t="s">
        <v>5993</v>
      </c>
      <c r="J1108" s="54" t="s">
        <v>73</v>
      </c>
      <c r="K1108" s="56" t="s">
        <v>135</v>
      </c>
      <c r="L1108" s="56" t="s">
        <v>5994</v>
      </c>
      <c r="M1108" s="56" t="s">
        <v>5995</v>
      </c>
      <c r="N1108" s="56"/>
      <c r="O1108" s="54"/>
      <c r="P1108" s="56" t="s">
        <v>185</v>
      </c>
      <c r="Q1108" s="56" t="s">
        <v>575</v>
      </c>
      <c r="R1108" s="50"/>
      <c r="S1108" s="50"/>
      <c r="T1108" s="50"/>
      <c r="U1108" s="50"/>
      <c r="V1108" s="57">
        <v>0.27</v>
      </c>
      <c r="W1108" s="68"/>
      <c r="X1108" s="50"/>
      <c r="Y1108" s="50"/>
      <c r="Z1108" s="50"/>
      <c r="AA1108" s="50"/>
      <c r="AB1108" s="57"/>
      <c r="AC1108" s="54">
        <v>0</v>
      </c>
      <c r="AD1108" s="54">
        <f>SUM(AE1108:AK1108)</f>
        <v>0</v>
      </c>
      <c r="AE1108" s="66"/>
      <c r="AF1108" s="66"/>
      <c r="AG1108" s="66"/>
      <c r="AH1108" s="66"/>
      <c r="AI1108" s="66"/>
      <c r="AJ1108" s="66"/>
      <c r="AK1108" s="66"/>
      <c r="AL1108" s="54">
        <f>IF((AC1108-SUM(AE1108:AK1108))&lt;0,0,AC1108-SUM(AE1108:AK1108))</f>
        <v>0</v>
      </c>
      <c r="AM1108" s="54">
        <f>SUM(AN1108:AT1108)</f>
        <v>0</v>
      </c>
      <c r="AN1108" s="54"/>
      <c r="AO1108" s="54"/>
      <c r="AP1108" s="54"/>
      <c r="AQ1108" s="54"/>
      <c r="AR1108" s="54"/>
      <c r="AS1108" s="54"/>
      <c r="AT1108" s="54"/>
      <c r="AU1108" s="54">
        <f>MAX(0,$AM1108-$AC1108-$AW1108)</f>
        <v>0</v>
      </c>
      <c r="AV1108" s="54"/>
      <c r="AW1108" s="54"/>
      <c r="AX1108" s="65">
        <v>0</v>
      </c>
      <c r="AY1108" s="57">
        <f>IF(AND($AU1108&gt;0,ISNUMBER($AX1108)),$AU1108*$AX1108,0)</f>
        <v>0</v>
      </c>
      <c r="AZ1108" s="72"/>
      <c r="BA1108" s="73"/>
      <c r="BB1108" s="73"/>
      <c r="BC1108" s="73"/>
      <c r="BD1108" s="73"/>
      <c r="BE1108" s="73"/>
      <c r="BF1108" s="73"/>
    </row>
    <row r="1109" spans="1:58" ht="15" customHeight="1">
      <c r="A1109" s="46" t="s">
        <v>5996</v>
      </c>
      <c r="B1109" s="50" t="s">
        <v>5997</v>
      </c>
      <c r="C1109" s="54" t="s">
        <v>80</v>
      </c>
      <c r="D1109" s="74">
        <v>2</v>
      </c>
      <c r="E1109" s="50" t="s">
        <v>189</v>
      </c>
      <c r="F1109" s="50"/>
      <c r="G1109" s="50"/>
      <c r="H1109" s="51"/>
      <c r="I1109" s="50" t="s">
        <v>5998</v>
      </c>
      <c r="J1109" s="54" t="s">
        <v>73</v>
      </c>
      <c r="K1109" s="56" t="s">
        <v>135</v>
      </c>
      <c r="L1109" s="56" t="s">
        <v>5999</v>
      </c>
      <c r="M1109" s="56"/>
      <c r="N1109" s="56"/>
      <c r="O1109" s="54"/>
      <c r="P1109" s="56" t="s">
        <v>185</v>
      </c>
      <c r="Q1109" s="56" t="s">
        <v>1870</v>
      </c>
      <c r="R1109" s="50"/>
      <c r="S1109" s="50"/>
      <c r="T1109" s="50"/>
      <c r="U1109" s="50"/>
      <c r="V1109" s="57">
        <v>0.26</v>
      </c>
      <c r="W1109" s="68"/>
      <c r="X1109" s="50"/>
      <c r="Y1109" s="50"/>
      <c r="Z1109" s="50"/>
      <c r="AA1109" s="50"/>
      <c r="AB1109" s="57"/>
      <c r="AC1109" s="54">
        <v>0</v>
      </c>
      <c r="AD1109" s="54">
        <f>SUM(AE1109:AK1109)</f>
        <v>0</v>
      </c>
      <c r="AE1109" s="66"/>
      <c r="AF1109" s="66"/>
      <c r="AG1109" s="66"/>
      <c r="AH1109" s="66"/>
      <c r="AI1109" s="66"/>
      <c r="AJ1109" s="66"/>
      <c r="AK1109" s="66"/>
      <c r="AL1109" s="54">
        <f>IF((AC1109-SUM(AE1109:AK1109))&lt;0,0,AC1109-SUM(AE1109:AK1109))</f>
        <v>0</v>
      </c>
      <c r="AM1109" s="54">
        <f>SUM(AN1109:AT1109)</f>
        <v>0</v>
      </c>
      <c r="AN1109" s="54"/>
      <c r="AO1109" s="54"/>
      <c r="AP1109" s="54"/>
      <c r="AQ1109" s="54"/>
      <c r="AR1109" s="54"/>
      <c r="AS1109" s="54"/>
      <c r="AT1109" s="54"/>
      <c r="AU1109" s="54">
        <f>MAX(0,$AM1109-$AC1109-$AW1109)</f>
        <v>0</v>
      </c>
      <c r="AV1109" s="54"/>
      <c r="AW1109" s="54"/>
      <c r="AX1109" s="65">
        <v>0</v>
      </c>
      <c r="AY1109" s="57">
        <f>IF(AND($AU1109&gt;0,ISNUMBER($AX1109)),$AU1109*$AX1109,0)</f>
        <v>0</v>
      </c>
      <c r="AZ1109" s="72"/>
      <c r="BA1109" s="73"/>
      <c r="BB1109" s="73"/>
      <c r="BC1109" s="73"/>
      <c r="BD1109" s="73"/>
      <c r="BE1109" s="73"/>
      <c r="BF1109" s="73"/>
    </row>
    <row r="1110" spans="1:58" ht="15" customHeight="1">
      <c r="A1110" s="46" t="s">
        <v>6000</v>
      </c>
      <c r="B1110" s="50" t="s">
        <v>6001</v>
      </c>
      <c r="C1110" s="54" t="s">
        <v>181</v>
      </c>
      <c r="D1110" s="74">
        <v>2</v>
      </c>
      <c r="E1110" s="50" t="s">
        <v>189</v>
      </c>
      <c r="F1110" s="50"/>
      <c r="G1110" s="50"/>
      <c r="H1110" s="51"/>
      <c r="I1110" s="50" t="s">
        <v>6002</v>
      </c>
      <c r="J1110" s="54" t="s">
        <v>73</v>
      </c>
      <c r="K1110" s="56" t="s">
        <v>247</v>
      </c>
      <c r="L1110" s="56" t="s">
        <v>6003</v>
      </c>
      <c r="M1110" s="56"/>
      <c r="N1110" s="56"/>
      <c r="O1110" s="54"/>
      <c r="P1110" s="56" t="s">
        <v>76</v>
      </c>
      <c r="Q1110" s="56" t="s">
        <v>509</v>
      </c>
      <c r="R1110" s="50"/>
      <c r="S1110" s="50"/>
      <c r="T1110" s="50"/>
      <c r="U1110" s="50"/>
      <c r="V1110" s="57">
        <v>0.26</v>
      </c>
      <c r="W1110" s="68"/>
      <c r="X1110" s="50"/>
      <c r="Y1110" s="50"/>
      <c r="Z1110" s="50"/>
      <c r="AA1110" s="50"/>
      <c r="AB1110" s="57"/>
      <c r="AC1110" s="54">
        <v>0</v>
      </c>
      <c r="AD1110" s="54">
        <f>SUM(AE1110:AK1110)</f>
        <v>0</v>
      </c>
      <c r="AE1110" s="66"/>
      <c r="AF1110" s="66"/>
      <c r="AG1110" s="66"/>
      <c r="AH1110" s="66"/>
      <c r="AI1110" s="66"/>
      <c r="AJ1110" s="66"/>
      <c r="AK1110" s="66"/>
      <c r="AL1110" s="54">
        <f>IF((AC1110-SUM(AE1110:AK1110))&lt;0,0,AC1110-SUM(AE1110:AK1110))</f>
        <v>0</v>
      </c>
      <c r="AM1110" s="54">
        <f>SUM(AN1110:AT1110)</f>
        <v>0</v>
      </c>
      <c r="AN1110" s="54"/>
      <c r="AO1110" s="54"/>
      <c r="AP1110" s="54"/>
      <c r="AQ1110" s="54"/>
      <c r="AR1110" s="54"/>
      <c r="AS1110" s="54"/>
      <c r="AT1110" s="54"/>
      <c r="AU1110" s="54">
        <f>MAX(0,$AM1110-$AC1110-$AW1110)</f>
        <v>0</v>
      </c>
      <c r="AV1110" s="54"/>
      <c r="AW1110" s="54"/>
      <c r="AX1110" s="65">
        <v>0</v>
      </c>
      <c r="AY1110" s="57">
        <f>IF(AND($AU1110&gt;0,ISNUMBER($AX1110)),$AU1110*$AX1110,0)</f>
        <v>0</v>
      </c>
      <c r="AZ1110" s="72"/>
      <c r="BA1110" s="73"/>
      <c r="BB1110" s="73"/>
      <c r="BC1110" s="73"/>
      <c r="BD1110" s="73"/>
      <c r="BE1110" s="73"/>
      <c r="BF1110" s="73"/>
    </row>
    <row r="1111" spans="1:58" ht="15" customHeight="1">
      <c r="A1111" s="46" t="s">
        <v>6004</v>
      </c>
      <c r="B1111" s="50" t="s">
        <v>6005</v>
      </c>
      <c r="C1111" s="54" t="s">
        <v>109</v>
      </c>
      <c r="D1111" s="74">
        <v>2</v>
      </c>
      <c r="E1111" s="50" t="s">
        <v>189</v>
      </c>
      <c r="F1111" s="50"/>
      <c r="G1111" s="50"/>
      <c r="H1111" s="51"/>
      <c r="I1111" s="50" t="s">
        <v>6006</v>
      </c>
      <c r="J1111" s="54" t="s">
        <v>73</v>
      </c>
      <c r="K1111" s="56" t="s">
        <v>202</v>
      </c>
      <c r="L1111" s="56" t="s">
        <v>2678</v>
      </c>
      <c r="M1111" s="56" t="s">
        <v>6007</v>
      </c>
      <c r="N1111" s="56"/>
      <c r="O1111" s="54"/>
      <c r="P1111" s="56" t="s">
        <v>76</v>
      </c>
      <c r="Q1111" s="56" t="s">
        <v>2307</v>
      </c>
      <c r="R1111" s="50"/>
      <c r="S1111" s="50"/>
      <c r="T1111" s="50"/>
      <c r="U1111" s="50"/>
      <c r="V1111" s="57">
        <v>0.24</v>
      </c>
      <c r="W1111" s="68"/>
      <c r="X1111" s="50"/>
      <c r="Y1111" s="50"/>
      <c r="Z1111" s="50"/>
      <c r="AA1111" s="50"/>
      <c r="AB1111" s="57"/>
      <c r="AC1111" s="54">
        <v>0</v>
      </c>
      <c r="AD1111" s="54">
        <f>SUM(AE1111:AK1111)</f>
        <v>0</v>
      </c>
      <c r="AE1111" s="66"/>
      <c r="AF1111" s="66"/>
      <c r="AG1111" s="66"/>
      <c r="AH1111" s="66"/>
      <c r="AI1111" s="66"/>
      <c r="AJ1111" s="66"/>
      <c r="AK1111" s="66"/>
      <c r="AL1111" s="54">
        <f>IF((AC1111-SUM(AE1111:AK1111))&lt;0,0,AC1111-SUM(AE1111:AK1111))</f>
        <v>0</v>
      </c>
      <c r="AM1111" s="54">
        <f>SUM(AN1111:AT1111)</f>
        <v>0</v>
      </c>
      <c r="AN1111" s="54"/>
      <c r="AO1111" s="54"/>
      <c r="AP1111" s="54"/>
      <c r="AQ1111" s="54"/>
      <c r="AR1111" s="54"/>
      <c r="AS1111" s="54"/>
      <c r="AT1111" s="54"/>
      <c r="AU1111" s="54">
        <f>MAX(0,$AM1111-$AC1111-$AW1111)</f>
        <v>0</v>
      </c>
      <c r="AV1111" s="54"/>
      <c r="AW1111" s="54"/>
      <c r="AX1111" s="65">
        <v>0</v>
      </c>
      <c r="AY1111" s="57">
        <f>IF(AND($AU1111&gt;0,ISNUMBER($AX1111)),$AU1111*$AX1111,0)</f>
        <v>0</v>
      </c>
      <c r="AZ1111" s="72"/>
      <c r="BA1111" s="73"/>
      <c r="BB1111" s="73"/>
      <c r="BC1111" s="73"/>
      <c r="BD1111" s="73"/>
      <c r="BE1111" s="73"/>
      <c r="BF1111" s="73"/>
    </row>
    <row r="1112" spans="1:58" ht="15" customHeight="1">
      <c r="A1112" s="46" t="s">
        <v>6008</v>
      </c>
      <c r="B1112" s="50" t="s">
        <v>6009</v>
      </c>
      <c r="C1112" s="54" t="s">
        <v>101</v>
      </c>
      <c r="D1112" s="74">
        <v>2</v>
      </c>
      <c r="E1112" s="50" t="s">
        <v>71</v>
      </c>
      <c r="F1112" s="50"/>
      <c r="G1112" s="50"/>
      <c r="H1112" s="51"/>
      <c r="I1112" s="50" t="s">
        <v>6010</v>
      </c>
      <c r="J1112" s="54" t="s">
        <v>73</v>
      </c>
      <c r="K1112" s="50" t="s">
        <v>92</v>
      </c>
      <c r="L1112" s="50" t="s">
        <v>6011</v>
      </c>
      <c r="M1112" s="50" t="s">
        <v>590</v>
      </c>
      <c r="N1112" s="50"/>
      <c r="O1112" s="54"/>
      <c r="P1112" s="56" t="s">
        <v>76</v>
      </c>
      <c r="Q1112" s="50" t="s">
        <v>907</v>
      </c>
      <c r="R1112" s="56"/>
      <c r="S1112" s="54"/>
      <c r="T1112" s="54"/>
      <c r="U1112" s="56"/>
      <c r="V1112" s="57">
        <v>0.24</v>
      </c>
      <c r="W1112" s="68"/>
      <c r="X1112" s="56"/>
      <c r="Y1112" s="54"/>
      <c r="Z1112" s="54"/>
      <c r="AA1112" s="56"/>
      <c r="AB1112" s="57"/>
      <c r="AC1112" s="54">
        <v>0</v>
      </c>
      <c r="AD1112" s="54">
        <f>SUM(AE1112:AK1112)</f>
        <v>0</v>
      </c>
      <c r="AE1112" s="66"/>
      <c r="AF1112" s="66"/>
      <c r="AG1112" s="66"/>
      <c r="AH1112" s="66"/>
      <c r="AI1112" s="66"/>
      <c r="AJ1112" s="66"/>
      <c r="AK1112" s="66"/>
      <c r="AL1112" s="54">
        <f>IF((AC1112-SUM(AE1112:AK1112))&lt;0,0,AC1112-SUM(AE1112:AK1112))</f>
        <v>0</v>
      </c>
      <c r="AM1112" s="54">
        <f>SUM(AN1112:AT1112)</f>
        <v>0</v>
      </c>
      <c r="AN1112" s="52"/>
      <c r="AO1112" s="52"/>
      <c r="AP1112" s="52"/>
      <c r="AQ1112" s="52"/>
      <c r="AR1112" s="52"/>
      <c r="AS1112" s="52"/>
      <c r="AT1112" s="52"/>
      <c r="AU1112" s="54">
        <f>MAX(0,$AM1112-$AC1112-$AW1112)</f>
        <v>0</v>
      </c>
      <c r="AV1112" s="54"/>
      <c r="AW1112" s="54"/>
      <c r="AX1112" s="65">
        <v>0</v>
      </c>
      <c r="AY1112" s="57">
        <f>IF(AND($AU1112&gt;0,ISNUMBER($AX1112)),$AU1112*$AX1112,0)</f>
        <v>0</v>
      </c>
      <c r="AZ1112" s="46"/>
      <c r="BA1112" s="52"/>
      <c r="BB1112" s="52"/>
      <c r="BC1112" s="52"/>
      <c r="BD1112" s="52"/>
      <c r="BE1112" s="52"/>
      <c r="BF1112" s="52"/>
    </row>
    <row r="1113" spans="1:58" ht="15" customHeight="1">
      <c r="A1113" s="46" t="s">
        <v>6012</v>
      </c>
      <c r="B1113" s="50" t="s">
        <v>6013</v>
      </c>
      <c r="C1113" s="54" t="s">
        <v>118</v>
      </c>
      <c r="D1113" s="74">
        <v>3</v>
      </c>
      <c r="E1113" s="50" t="s">
        <v>81</v>
      </c>
      <c r="F1113" s="50">
        <v>2</v>
      </c>
      <c r="G1113" s="50">
        <v>1</v>
      </c>
      <c r="H1113" s="51" t="s">
        <v>2912</v>
      </c>
      <c r="I1113" s="50" t="s">
        <v>6014</v>
      </c>
      <c r="J1113" s="54" t="s">
        <v>73</v>
      </c>
      <c r="K1113" s="56" t="s">
        <v>92</v>
      </c>
      <c r="L1113" s="56" t="s">
        <v>6015</v>
      </c>
      <c r="M1113" s="56" t="s">
        <v>995</v>
      </c>
      <c r="N1113" s="56"/>
      <c r="O1113" s="54"/>
      <c r="P1113" s="56" t="s">
        <v>76</v>
      </c>
      <c r="Q1113" s="56" t="s">
        <v>2492</v>
      </c>
      <c r="R1113" s="50"/>
      <c r="S1113" s="50"/>
      <c r="T1113" s="50"/>
      <c r="U1113" s="50"/>
      <c r="V1113" s="57">
        <v>0.23</v>
      </c>
      <c r="W1113" s="68"/>
      <c r="X1113" s="50"/>
      <c r="Y1113" s="50"/>
      <c r="Z1113" s="50"/>
      <c r="AA1113" s="50"/>
      <c r="AB1113" s="57"/>
      <c r="AC1113" s="54">
        <v>0</v>
      </c>
      <c r="AD1113" s="54">
        <f>SUM(AE1113:AK1113)</f>
        <v>0</v>
      </c>
      <c r="AE1113" s="66"/>
      <c r="AF1113" s="66"/>
      <c r="AG1113" s="66"/>
      <c r="AH1113" s="66"/>
      <c r="AI1113" s="66"/>
      <c r="AJ1113" s="66"/>
      <c r="AK1113" s="66"/>
      <c r="AL1113" s="54">
        <f>IF((AC1113-SUM(AE1113:AK1113))&lt;0,0,AC1113-SUM(AE1113:AK1113))</f>
        <v>0</v>
      </c>
      <c r="AM1113" s="54">
        <f>SUM(AN1113:AT1113)</f>
        <v>0</v>
      </c>
      <c r="AN1113" s="54"/>
      <c r="AO1113" s="54"/>
      <c r="AP1113" s="54"/>
      <c r="AQ1113" s="54"/>
      <c r="AR1113" s="54"/>
      <c r="AS1113" s="54"/>
      <c r="AT1113" s="54"/>
      <c r="AU1113" s="54">
        <f>MAX(0,$AM1113-$AC1113-$AW1113)</f>
        <v>0</v>
      </c>
      <c r="AV1113" s="54"/>
      <c r="AW1113" s="54"/>
      <c r="AX1113" s="65">
        <v>0</v>
      </c>
      <c r="AY1113" s="57">
        <f>IF(AND($AU1113&gt;0,ISNUMBER($AX1113)),$AU1113*$AX1113,0)</f>
        <v>0</v>
      </c>
      <c r="AZ1113" s="72"/>
      <c r="BA1113" s="73"/>
      <c r="BB1113" s="73"/>
      <c r="BC1113" s="73"/>
      <c r="BD1113" s="73"/>
      <c r="BE1113" s="73"/>
      <c r="BF1113" s="73"/>
    </row>
    <row r="1114" spans="1:58" ht="15" customHeight="1">
      <c r="A1114" s="46" t="s">
        <v>6016</v>
      </c>
      <c r="B1114" s="50" t="s">
        <v>6017</v>
      </c>
      <c r="C1114" s="54" t="s">
        <v>70</v>
      </c>
      <c r="D1114" s="74">
        <v>3</v>
      </c>
      <c r="E1114" s="50" t="s">
        <v>81</v>
      </c>
      <c r="F1114" s="50">
        <v>1</v>
      </c>
      <c r="G1114" s="50">
        <v>1</v>
      </c>
      <c r="H1114" s="51" t="s">
        <v>856</v>
      </c>
      <c r="I1114" s="50" t="s">
        <v>6018</v>
      </c>
      <c r="J1114" s="54" t="s">
        <v>73</v>
      </c>
      <c r="K1114" s="56" t="s">
        <v>1099</v>
      </c>
      <c r="L1114" s="56" t="s">
        <v>6019</v>
      </c>
      <c r="M1114" s="56"/>
      <c r="N1114" s="56"/>
      <c r="O1114" s="54"/>
      <c r="P1114" s="56" t="s">
        <v>76</v>
      </c>
      <c r="Q1114" s="56" t="s">
        <v>1165</v>
      </c>
      <c r="R1114" s="50"/>
      <c r="S1114" s="50"/>
      <c r="T1114" s="50"/>
      <c r="U1114" s="50"/>
      <c r="V1114" s="57">
        <v>0.2</v>
      </c>
      <c r="W1114" s="68"/>
      <c r="X1114" s="50"/>
      <c r="Y1114" s="50"/>
      <c r="Z1114" s="50"/>
      <c r="AA1114" s="50"/>
      <c r="AB1114" s="57"/>
      <c r="AC1114" s="54">
        <v>0</v>
      </c>
      <c r="AD1114" s="54">
        <f>SUM(AE1114:AK1114)</f>
        <v>0</v>
      </c>
      <c r="AE1114" s="66"/>
      <c r="AF1114" s="66"/>
      <c r="AG1114" s="66"/>
      <c r="AH1114" s="66"/>
      <c r="AI1114" s="66"/>
      <c r="AJ1114" s="66"/>
      <c r="AK1114" s="66"/>
      <c r="AL1114" s="54">
        <f>IF((AC1114-SUM(AE1114:AK1114))&lt;0,0,AC1114-SUM(AE1114:AK1114))</f>
        <v>0</v>
      </c>
      <c r="AM1114" s="54">
        <f>SUM(AN1114:AT1114)</f>
        <v>0</v>
      </c>
      <c r="AN1114" s="54"/>
      <c r="AO1114" s="54"/>
      <c r="AP1114" s="54"/>
      <c r="AQ1114" s="54"/>
      <c r="AR1114" s="54"/>
      <c r="AS1114" s="54"/>
      <c r="AT1114" s="54"/>
      <c r="AU1114" s="54">
        <f>MAX(0,$AM1114-$AC1114-$AW1114)</f>
        <v>0</v>
      </c>
      <c r="AV1114" s="54"/>
      <c r="AW1114" s="54"/>
      <c r="AX1114" s="65">
        <v>0</v>
      </c>
      <c r="AY1114" s="57">
        <f>IF(AND($AU1114&gt;0,ISNUMBER($AX1114)),$AU1114*$AX1114,0)</f>
        <v>0</v>
      </c>
      <c r="AZ1114" s="72"/>
      <c r="BA1114" s="73"/>
      <c r="BB1114" s="73"/>
      <c r="BC1114" s="73"/>
      <c r="BD1114" s="73"/>
      <c r="BE1114" s="73"/>
      <c r="BF1114" s="73"/>
    </row>
    <row r="1115" spans="1:58" ht="15" customHeight="1">
      <c r="A1115" s="46" t="s">
        <v>6020</v>
      </c>
      <c r="B1115" s="50" t="s">
        <v>6021</v>
      </c>
      <c r="C1115" s="54" t="s">
        <v>118</v>
      </c>
      <c r="D1115" s="74">
        <v>2</v>
      </c>
      <c r="E1115" s="50" t="s">
        <v>71</v>
      </c>
      <c r="F1115" s="50"/>
      <c r="G1115" s="50"/>
      <c r="H1115" s="51"/>
      <c r="I1115" s="50" t="s">
        <v>6022</v>
      </c>
      <c r="J1115" s="54" t="s">
        <v>73</v>
      </c>
      <c r="K1115" s="56" t="s">
        <v>129</v>
      </c>
      <c r="L1115" s="56" t="s">
        <v>6023</v>
      </c>
      <c r="M1115" s="56"/>
      <c r="N1115" s="56"/>
      <c r="O1115" s="54"/>
      <c r="P1115" s="56" t="s">
        <v>76</v>
      </c>
      <c r="Q1115" s="56" t="s">
        <v>1102</v>
      </c>
      <c r="R1115" s="50"/>
      <c r="S1115" s="50"/>
      <c r="T1115" s="50"/>
      <c r="U1115" s="50"/>
      <c r="V1115" s="57">
        <v>0.18</v>
      </c>
      <c r="W1115" s="68"/>
      <c r="X1115" s="50"/>
      <c r="Y1115" s="50"/>
      <c r="Z1115" s="50"/>
      <c r="AA1115" s="50"/>
      <c r="AB1115" s="57"/>
      <c r="AC1115" s="54">
        <v>0</v>
      </c>
      <c r="AD1115" s="54">
        <f>SUM(AE1115:AK1115)</f>
        <v>0</v>
      </c>
      <c r="AE1115" s="66"/>
      <c r="AF1115" s="66"/>
      <c r="AG1115" s="66"/>
      <c r="AH1115" s="66"/>
      <c r="AI1115" s="66"/>
      <c r="AJ1115" s="66"/>
      <c r="AK1115" s="66"/>
      <c r="AL1115" s="54">
        <f>IF((AC1115-SUM(AE1115:AK1115))&lt;0,0,AC1115-SUM(AE1115:AK1115))</f>
        <v>0</v>
      </c>
      <c r="AM1115" s="54">
        <f>SUM(AN1115:AT1115)</f>
        <v>0</v>
      </c>
      <c r="AN1115" s="54"/>
      <c r="AO1115" s="54"/>
      <c r="AP1115" s="54"/>
      <c r="AQ1115" s="54"/>
      <c r="AR1115" s="54"/>
      <c r="AS1115" s="54"/>
      <c r="AT1115" s="54"/>
      <c r="AU1115" s="54">
        <f>MAX(0,$AM1115-$AC1115-$AW1115)</f>
        <v>0</v>
      </c>
      <c r="AV1115" s="54"/>
      <c r="AW1115" s="54"/>
      <c r="AX1115" s="65">
        <v>0</v>
      </c>
      <c r="AY1115" s="57">
        <f>IF(AND($AU1115&gt;0,ISNUMBER($AX1115)),$AU1115*$AX1115,0)</f>
        <v>0</v>
      </c>
      <c r="AZ1115" s="72"/>
      <c r="BA1115" s="73"/>
      <c r="BB1115" s="73"/>
      <c r="BC1115" s="73"/>
      <c r="BD1115" s="73"/>
      <c r="BE1115" s="73"/>
      <c r="BF1115" s="73"/>
    </row>
    <row r="1116" spans="1:58" ht="15" customHeight="1">
      <c r="A1116" s="46" t="s">
        <v>6024</v>
      </c>
      <c r="B1116" s="50" t="s">
        <v>6025</v>
      </c>
      <c r="C1116" s="54" t="s">
        <v>109</v>
      </c>
      <c r="D1116" s="74">
        <v>0</v>
      </c>
      <c r="E1116" s="50" t="s">
        <v>312</v>
      </c>
      <c r="F1116" s="50"/>
      <c r="G1116" s="50"/>
      <c r="H1116" s="51"/>
      <c r="I1116" s="50" t="s">
        <v>6026</v>
      </c>
      <c r="J1116" s="54" t="s">
        <v>73</v>
      </c>
      <c r="K1116" s="56" t="s">
        <v>312</v>
      </c>
      <c r="L1116" s="56" t="s">
        <v>1029</v>
      </c>
      <c r="M1116" s="56"/>
      <c r="N1116" s="56"/>
      <c r="O1116" s="54"/>
      <c r="P1116" s="56" t="s">
        <v>76</v>
      </c>
      <c r="Q1116" s="56" t="s">
        <v>1030</v>
      </c>
      <c r="R1116" s="54"/>
      <c r="S1116" s="54"/>
      <c r="T1116" s="54"/>
      <c r="U1116" s="54"/>
      <c r="V1116" s="57">
        <v>0.15</v>
      </c>
      <c r="W1116" s="68"/>
      <c r="X1116" s="54"/>
      <c r="Y1116" s="54"/>
      <c r="Z1116" s="54"/>
      <c r="AA1116" s="54"/>
      <c r="AB1116" s="57"/>
      <c r="AC1116" s="54">
        <v>0</v>
      </c>
      <c r="AD1116" s="54">
        <f>SUM(AE1116:AK1116)</f>
        <v>0</v>
      </c>
      <c r="AE1116" s="66"/>
      <c r="AF1116" s="66"/>
      <c r="AG1116" s="66"/>
      <c r="AH1116" s="66"/>
      <c r="AI1116" s="66"/>
      <c r="AJ1116" s="66"/>
      <c r="AK1116" s="66"/>
      <c r="AL1116" s="54">
        <f>IF((AC1116-SUM(AE1116:AK1116))&lt;0,0,AC1116-SUM(AE1116:AK1116))</f>
        <v>0</v>
      </c>
      <c r="AM1116" s="54">
        <f>SUM(AN1116:AT1116)</f>
        <v>0</v>
      </c>
      <c r="AN1116" s="54"/>
      <c r="AO1116" s="54"/>
      <c r="AP1116" s="54"/>
      <c r="AQ1116" s="54"/>
      <c r="AR1116" s="54"/>
      <c r="AS1116" s="54"/>
      <c r="AT1116" s="54"/>
      <c r="AU1116" s="54">
        <f>MAX(0,$AM1116-$AC1116-$AW1116)</f>
        <v>0</v>
      </c>
      <c r="AV1116" s="54"/>
      <c r="AW1116" s="54"/>
      <c r="AX1116" s="65">
        <v>0</v>
      </c>
      <c r="AY1116" s="57">
        <f>IF(AND($AU1116&gt;0,ISNUMBER($AX1116)),$AU1116*$AX1116,0)</f>
        <v>0</v>
      </c>
      <c r="AZ1116" s="72"/>
      <c r="BA1116" s="73"/>
      <c r="BB1116" s="73"/>
      <c r="BC1116" s="73"/>
      <c r="BD1116" s="73"/>
      <c r="BE1116" s="73"/>
      <c r="BF1116" s="73"/>
    </row>
    <row r="1117" spans="1:58" ht="15" customHeight="1">
      <c r="A1117" s="46" t="s">
        <v>6027</v>
      </c>
      <c r="B1117" s="50" t="s">
        <v>6028</v>
      </c>
      <c r="C1117" s="54" t="s">
        <v>118</v>
      </c>
      <c r="D1117" s="74">
        <v>1</v>
      </c>
      <c r="E1117" s="50" t="s">
        <v>81</v>
      </c>
      <c r="F1117" s="50">
        <v>1</v>
      </c>
      <c r="G1117" s="50">
        <v>1</v>
      </c>
      <c r="H1117" s="51" t="s">
        <v>1232</v>
      </c>
      <c r="I1117" s="50" t="s">
        <v>6029</v>
      </c>
      <c r="J1117" s="54" t="s">
        <v>73</v>
      </c>
      <c r="K1117" s="56" t="s">
        <v>129</v>
      </c>
      <c r="L1117" s="56" t="s">
        <v>3764</v>
      </c>
      <c r="M1117" s="56"/>
      <c r="N1117" s="56"/>
      <c r="O1117" s="54"/>
      <c r="P1117" s="56" t="s">
        <v>76</v>
      </c>
      <c r="Q1117" s="56" t="s">
        <v>1360</v>
      </c>
      <c r="R1117" s="50"/>
      <c r="S1117" s="50"/>
      <c r="T1117" s="50"/>
      <c r="U1117" s="50"/>
      <c r="V1117" s="57">
        <v>0.09</v>
      </c>
      <c r="W1117" s="68"/>
      <c r="X1117" s="50"/>
      <c r="Y1117" s="50"/>
      <c r="Z1117" s="50"/>
      <c r="AA1117" s="50"/>
      <c r="AB1117" s="57"/>
      <c r="AC1117" s="54">
        <v>0</v>
      </c>
      <c r="AD1117" s="54">
        <f>SUM(AE1117:AK1117)</f>
        <v>0</v>
      </c>
      <c r="AE1117" s="66"/>
      <c r="AF1117" s="66"/>
      <c r="AG1117" s="66"/>
      <c r="AH1117" s="66"/>
      <c r="AI1117" s="66"/>
      <c r="AJ1117" s="66"/>
      <c r="AK1117" s="66"/>
      <c r="AL1117" s="54">
        <f>IF((AC1117-SUM(AE1117:AK1117))&lt;0,0,AC1117-SUM(AE1117:AK1117))</f>
        <v>0</v>
      </c>
      <c r="AM1117" s="54">
        <f>SUM(AN1117:AT1117)</f>
        <v>0</v>
      </c>
      <c r="AN1117" s="54"/>
      <c r="AO1117" s="54"/>
      <c r="AP1117" s="54"/>
      <c r="AQ1117" s="54"/>
      <c r="AR1117" s="54"/>
      <c r="AS1117" s="54"/>
      <c r="AT1117" s="54"/>
      <c r="AU1117" s="54">
        <f>MAX(0,$AM1117-$AC1117-$AW1117)</f>
        <v>0</v>
      </c>
      <c r="AV1117" s="54"/>
      <c r="AW1117" s="54"/>
      <c r="AX1117" s="65">
        <v>0</v>
      </c>
      <c r="AY1117" s="57">
        <f>IF(AND($AU1117&gt;0,ISNUMBER($AX1117)),$AU1117*$AX1117,0)</f>
        <v>0</v>
      </c>
      <c r="AZ1117" s="72"/>
      <c r="BA1117" s="73"/>
      <c r="BB1117" s="73"/>
      <c r="BC1117" s="73"/>
      <c r="BD1117" s="73"/>
      <c r="BE1117" s="73"/>
      <c r="BF1117" s="73"/>
    </row>
    <row r="1118" spans="1:58" ht="15" customHeight="1">
      <c r="A1118" s="46" t="s">
        <v>6030</v>
      </c>
      <c r="B1118" s="50" t="s">
        <v>6031</v>
      </c>
      <c r="C1118" s="54" t="s">
        <v>80</v>
      </c>
      <c r="D1118" s="74">
        <v>2</v>
      </c>
      <c r="E1118" s="50" t="s">
        <v>189</v>
      </c>
      <c r="F1118" s="50"/>
      <c r="G1118" s="50"/>
      <c r="H1118" s="51"/>
      <c r="I1118" s="50" t="s">
        <v>6032</v>
      </c>
      <c r="J1118" s="54" t="s">
        <v>196</v>
      </c>
      <c r="K1118" s="56" t="s">
        <v>661</v>
      </c>
      <c r="L1118" s="56" t="s">
        <v>6032</v>
      </c>
      <c r="M1118" s="56"/>
      <c r="N1118" s="56"/>
      <c r="O1118" s="54"/>
      <c r="P1118" s="56" t="s">
        <v>76</v>
      </c>
      <c r="Q1118" s="56" t="s">
        <v>1870</v>
      </c>
      <c r="R1118" s="54"/>
      <c r="S1118" s="54"/>
      <c r="T1118" s="54"/>
      <c r="U1118" s="54"/>
      <c r="V1118" s="57"/>
      <c r="W1118" s="54"/>
      <c r="X1118" s="54"/>
      <c r="Y1118" s="54"/>
      <c r="Z1118" s="54"/>
      <c r="AA1118" s="54"/>
      <c r="AB1118" s="57"/>
      <c r="AC1118" s="54">
        <v>0</v>
      </c>
      <c r="AD1118" s="54">
        <f>SUM(AE1118:AK1118)</f>
        <v>0</v>
      </c>
      <c r="AE1118" s="66"/>
      <c r="AF1118" s="66"/>
      <c r="AG1118" s="66"/>
      <c r="AH1118" s="66"/>
      <c r="AI1118" s="66"/>
      <c r="AJ1118" s="66"/>
      <c r="AK1118" s="66"/>
      <c r="AL1118" s="54">
        <f>IF((AC1118-SUM(AE1118:AK1118))&lt;0,0,AC1118-SUM(AE1118:AK1118))</f>
        <v>0</v>
      </c>
      <c r="AM1118" s="54">
        <f>SUM(AN1118:AT1118)</f>
        <v>0</v>
      </c>
      <c r="AN1118" s="54"/>
      <c r="AO1118" s="54"/>
      <c r="AP1118" s="54"/>
      <c r="AQ1118" s="54"/>
      <c r="AR1118" s="54"/>
      <c r="AS1118" s="54"/>
      <c r="AT1118" s="54"/>
      <c r="AU1118" s="54">
        <f>MAX(0,$AM1118-$AC1118-$AW1118)</f>
        <v>0</v>
      </c>
      <c r="AV1118" s="54"/>
      <c r="AW1118" s="54"/>
      <c r="AX1118" s="65">
        <v>0</v>
      </c>
      <c r="AY1118" s="57">
        <f>IF(AND($AU1118&gt;0,ISNUMBER($AX1118)),$AU1118*$AX1118,0)</f>
        <v>0</v>
      </c>
      <c r="AZ1118" s="72"/>
      <c r="BA1118" s="73"/>
      <c r="BB1118" s="73"/>
      <c r="BC1118" s="73"/>
      <c r="BD1118" s="73"/>
      <c r="BE1118" s="73"/>
      <c r="BF1118" s="73"/>
    </row>
    <row r="1119" spans="1:58" ht="15" customHeight="1">
      <c r="A1119" s="46" t="s">
        <v>6033</v>
      </c>
      <c r="B1119" s="50" t="s">
        <v>6034</v>
      </c>
      <c r="C1119" s="54" t="s">
        <v>181</v>
      </c>
      <c r="D1119" s="74">
        <v>3</v>
      </c>
      <c r="E1119" s="50" t="s">
        <v>81</v>
      </c>
      <c r="F1119" s="50">
        <v>3</v>
      </c>
      <c r="G1119" s="50">
        <v>3</v>
      </c>
      <c r="H1119" s="51" t="s">
        <v>3178</v>
      </c>
      <c r="I1119" s="50" t="s">
        <v>6035</v>
      </c>
      <c r="J1119" s="54" t="s">
        <v>73</v>
      </c>
      <c r="K1119" s="50" t="s">
        <v>1781</v>
      </c>
      <c r="L1119" s="50" t="s">
        <v>6036</v>
      </c>
      <c r="M1119" s="50" t="s">
        <v>6037</v>
      </c>
      <c r="N1119" s="50" t="s">
        <v>6038</v>
      </c>
      <c r="O1119" s="54"/>
      <c r="P1119" s="56" t="s">
        <v>86</v>
      </c>
      <c r="Q1119" s="50" t="s">
        <v>729</v>
      </c>
      <c r="R1119" s="50"/>
      <c r="S1119" s="50"/>
      <c r="T1119" s="50"/>
      <c r="U1119" s="50"/>
      <c r="V1119" s="57"/>
      <c r="W1119" s="50"/>
      <c r="X1119" s="50"/>
      <c r="Y1119" s="50"/>
      <c r="Z1119" s="50"/>
      <c r="AA1119" s="50"/>
      <c r="AB1119" s="57"/>
      <c r="AC1119" s="54">
        <v>0</v>
      </c>
      <c r="AD1119" s="54">
        <f>SUM(AE1119:AK1119)</f>
        <v>0</v>
      </c>
      <c r="AE1119" s="66"/>
      <c r="AF1119" s="66"/>
      <c r="AG1119" s="66"/>
      <c r="AH1119" s="66"/>
      <c r="AI1119" s="66"/>
      <c r="AJ1119" s="66"/>
      <c r="AK1119" s="66"/>
      <c r="AL1119" s="54">
        <f>IF((AC1119-SUM(AE1119:AK1119))&lt;0,0,AC1119-SUM(AE1119:AK1119))</f>
        <v>0</v>
      </c>
      <c r="AM1119" s="54">
        <f>SUM(AN1119:AT1119)</f>
        <v>0</v>
      </c>
      <c r="AN1119" s="54"/>
      <c r="AO1119" s="54"/>
      <c r="AP1119" s="54"/>
      <c r="AQ1119" s="54"/>
      <c r="AR1119" s="54"/>
      <c r="AS1119" s="54"/>
      <c r="AT1119" s="54"/>
      <c r="AU1119" s="54">
        <f>MAX(0,$AM1119-$AC1119-$AW1119)</f>
        <v>0</v>
      </c>
      <c r="AV1119" s="54"/>
      <c r="AW1119" s="54"/>
      <c r="AX1119" s="65">
        <v>0</v>
      </c>
      <c r="AY1119" s="57">
        <f>IF(AND($AU1119&gt;0,ISNUMBER($AX1119)),$AU1119*$AX1119,0)</f>
        <v>0</v>
      </c>
      <c r="AZ1119" s="50"/>
      <c r="BA1119" s="54"/>
      <c r="BB1119" s="54"/>
      <c r="BC1119" s="54"/>
      <c r="BD1119" s="54"/>
      <c r="BE1119" s="54"/>
      <c r="BF1119" s="54"/>
    </row>
    <row r="1120" spans="1:58" ht="15" customHeight="1">
      <c r="A1120" s="46" t="s">
        <v>6039</v>
      </c>
      <c r="B1120" s="50" t="s">
        <v>6040</v>
      </c>
      <c r="C1120" s="54" t="s">
        <v>118</v>
      </c>
      <c r="D1120" s="74">
        <v>4</v>
      </c>
      <c r="E1120" s="50" t="s">
        <v>189</v>
      </c>
      <c r="F1120" s="50"/>
      <c r="G1120" s="50"/>
      <c r="H1120" s="51"/>
      <c r="I1120" s="50" t="s">
        <v>6041</v>
      </c>
      <c r="J1120" s="54" t="s">
        <v>196</v>
      </c>
      <c r="K1120" s="56" t="s">
        <v>1781</v>
      </c>
      <c r="L1120" s="56" t="s">
        <v>6041</v>
      </c>
      <c r="M1120" s="56"/>
      <c r="N1120" s="56"/>
      <c r="O1120" s="54"/>
      <c r="P1120" s="56" t="s">
        <v>86</v>
      </c>
      <c r="Q1120" s="56" t="s">
        <v>2803</v>
      </c>
      <c r="R1120" s="54"/>
      <c r="S1120" s="54"/>
      <c r="T1120" s="54"/>
      <c r="U1120" s="54"/>
      <c r="V1120" s="57"/>
      <c r="W1120" s="54"/>
      <c r="X1120" s="54"/>
      <c r="Y1120" s="54"/>
      <c r="Z1120" s="54"/>
      <c r="AA1120" s="54"/>
      <c r="AB1120" s="57"/>
      <c r="AC1120" s="54">
        <v>0</v>
      </c>
      <c r="AD1120" s="54">
        <f>SUM(AE1120:AK1120)</f>
        <v>0</v>
      </c>
      <c r="AE1120" s="66"/>
      <c r="AF1120" s="66"/>
      <c r="AG1120" s="66"/>
      <c r="AH1120" s="66"/>
      <c r="AI1120" s="66"/>
      <c r="AJ1120" s="66"/>
      <c r="AK1120" s="66"/>
      <c r="AL1120" s="54">
        <f>IF((AC1120-SUM(AE1120:AK1120))&lt;0,0,AC1120-SUM(AE1120:AK1120))</f>
        <v>0</v>
      </c>
      <c r="AM1120" s="54">
        <f>SUM(AN1120:AT1120)</f>
        <v>0</v>
      </c>
      <c r="AN1120" s="54"/>
      <c r="AO1120" s="54"/>
      <c r="AP1120" s="54"/>
      <c r="AQ1120" s="54"/>
      <c r="AR1120" s="54"/>
      <c r="AS1120" s="54"/>
      <c r="AT1120" s="54"/>
      <c r="AU1120" s="54">
        <f>MAX(0,$AM1120-$AC1120-$AW1120)</f>
        <v>0</v>
      </c>
      <c r="AV1120" s="54"/>
      <c r="AW1120" s="54"/>
      <c r="AX1120" s="65">
        <v>0</v>
      </c>
      <c r="AY1120" s="57">
        <f>IF(AND($AU1120&gt;0,ISNUMBER($AX1120)),$AU1120*$AX1120,0)</f>
        <v>0</v>
      </c>
      <c r="AZ1120" s="72"/>
      <c r="BA1120" s="73"/>
      <c r="BB1120" s="73"/>
      <c r="BC1120" s="73"/>
      <c r="BD1120" s="73"/>
      <c r="BE1120" s="73"/>
      <c r="BF1120" s="73"/>
    </row>
    <row r="1121" spans="1:58" ht="15" customHeight="1">
      <c r="A1121" s="46" t="s">
        <v>6042</v>
      </c>
      <c r="B1121" s="50" t="s">
        <v>6043</v>
      </c>
      <c r="C1121" s="54" t="s">
        <v>70</v>
      </c>
      <c r="D1121" s="74">
        <v>4</v>
      </c>
      <c r="E1121" s="50" t="s">
        <v>189</v>
      </c>
      <c r="F1121" s="50"/>
      <c r="G1121" s="50"/>
      <c r="H1121" s="51"/>
      <c r="I1121" s="50" t="s">
        <v>6044</v>
      </c>
      <c r="J1121" s="54" t="s">
        <v>196</v>
      </c>
      <c r="K1121" s="56" t="s">
        <v>98</v>
      </c>
      <c r="L1121" s="56" t="s">
        <v>6044</v>
      </c>
      <c r="M1121" s="56"/>
      <c r="N1121" s="56"/>
      <c r="O1121" s="54"/>
      <c r="P1121" s="56" t="s">
        <v>185</v>
      </c>
      <c r="Q1121" s="56" t="s">
        <v>462</v>
      </c>
      <c r="R1121" s="54"/>
      <c r="S1121" s="54"/>
      <c r="T1121" s="54"/>
      <c r="U1121" s="54"/>
      <c r="V1121" s="57"/>
      <c r="W1121" s="54"/>
      <c r="X1121" s="54"/>
      <c r="Y1121" s="54"/>
      <c r="Z1121" s="54"/>
      <c r="AA1121" s="54"/>
      <c r="AB1121" s="57"/>
      <c r="AC1121" s="54">
        <v>0</v>
      </c>
      <c r="AD1121" s="54">
        <f>SUM(AE1121:AK1121)</f>
        <v>0</v>
      </c>
      <c r="AE1121" s="66"/>
      <c r="AF1121" s="66"/>
      <c r="AG1121" s="66"/>
      <c r="AH1121" s="66"/>
      <c r="AI1121" s="66"/>
      <c r="AJ1121" s="66"/>
      <c r="AK1121" s="66"/>
      <c r="AL1121" s="54">
        <f>IF((AC1121-SUM(AE1121:AK1121))&lt;0,0,AC1121-SUM(AE1121:AK1121))</f>
        <v>0</v>
      </c>
      <c r="AM1121" s="54">
        <f>SUM(AN1121:AT1121)</f>
        <v>0</v>
      </c>
      <c r="AN1121" s="54"/>
      <c r="AO1121" s="54"/>
      <c r="AP1121" s="54"/>
      <c r="AQ1121" s="54"/>
      <c r="AR1121" s="54"/>
      <c r="AS1121" s="54"/>
      <c r="AT1121" s="54"/>
      <c r="AU1121" s="54">
        <f>MAX(0,$AM1121-$AC1121-$AW1121)</f>
        <v>0</v>
      </c>
      <c r="AV1121" s="54"/>
      <c r="AW1121" s="54"/>
      <c r="AX1121" s="65">
        <v>0</v>
      </c>
      <c r="AY1121" s="57">
        <f>IF(AND($AU1121&gt;0,ISNUMBER($AX1121)),$AU1121*$AX1121,0)</f>
        <v>0</v>
      </c>
      <c r="AZ1121" s="72"/>
      <c r="BA1121" s="73"/>
      <c r="BB1121" s="73"/>
      <c r="BC1121" s="73"/>
      <c r="BD1121" s="73"/>
      <c r="BE1121" s="73"/>
      <c r="BF1121" s="73"/>
    </row>
    <row r="1122" spans="1:58" ht="15" customHeight="1">
      <c r="A1122" s="46" t="s">
        <v>6045</v>
      </c>
      <c r="B1122" s="50" t="s">
        <v>6046</v>
      </c>
      <c r="C1122" s="54" t="s">
        <v>311</v>
      </c>
      <c r="D1122" s="74">
        <v>0</v>
      </c>
      <c r="E1122" s="50" t="s">
        <v>312</v>
      </c>
      <c r="F1122" s="50"/>
      <c r="G1122" s="50"/>
      <c r="H1122" s="51"/>
      <c r="I1122" s="50" t="s">
        <v>6047</v>
      </c>
      <c r="J1122" s="54" t="s">
        <v>196</v>
      </c>
      <c r="K1122" s="56" t="s">
        <v>312</v>
      </c>
      <c r="L1122" s="56" t="s">
        <v>1153</v>
      </c>
      <c r="M1122" s="56" t="s">
        <v>6048</v>
      </c>
      <c r="N1122" s="56"/>
      <c r="O1122" s="54"/>
      <c r="P1122" s="56" t="s">
        <v>185</v>
      </c>
      <c r="Q1122" s="56" t="s">
        <v>1127</v>
      </c>
      <c r="R1122" s="50"/>
      <c r="S1122" s="50"/>
      <c r="T1122" s="50"/>
      <c r="U1122" s="50"/>
      <c r="V1122" s="57"/>
      <c r="W1122" s="50"/>
      <c r="X1122" s="50"/>
      <c r="Y1122" s="50"/>
      <c r="Z1122" s="50"/>
      <c r="AA1122" s="50"/>
      <c r="AB1122" s="57"/>
      <c r="AC1122" s="54">
        <v>0</v>
      </c>
      <c r="AD1122" s="54">
        <f>SUM(AE1122:AK1122)</f>
        <v>0</v>
      </c>
      <c r="AE1122" s="66"/>
      <c r="AF1122" s="66"/>
      <c r="AG1122" s="66"/>
      <c r="AH1122" s="66"/>
      <c r="AI1122" s="66"/>
      <c r="AJ1122" s="66"/>
      <c r="AK1122" s="66"/>
      <c r="AL1122" s="54">
        <f>IF((AC1122-SUM(AE1122:AK1122))&lt;0,0,AC1122-SUM(AE1122:AK1122))</f>
        <v>0</v>
      </c>
      <c r="AM1122" s="54">
        <f>SUM(AN1122:AT1122)</f>
        <v>0</v>
      </c>
      <c r="AN1122" s="54"/>
      <c r="AO1122" s="54"/>
      <c r="AP1122" s="54"/>
      <c r="AQ1122" s="54"/>
      <c r="AR1122" s="54"/>
      <c r="AS1122" s="54"/>
      <c r="AT1122" s="54"/>
      <c r="AU1122" s="54">
        <f>MAX(0,$AM1122-$AC1122-$AW1122)</f>
        <v>0</v>
      </c>
      <c r="AV1122" s="54"/>
      <c r="AW1122" s="54"/>
      <c r="AX1122" s="65">
        <v>0</v>
      </c>
      <c r="AY1122" s="57">
        <f>IF(AND($AU1122&gt;0,ISNUMBER($AX1122)),$AU1122*$AX1122,0)</f>
        <v>0</v>
      </c>
      <c r="AZ1122" s="72"/>
      <c r="BA1122" s="73"/>
      <c r="BB1122" s="73"/>
      <c r="BC1122" s="73"/>
      <c r="BD1122" s="73"/>
      <c r="BE1122" s="73"/>
      <c r="BF1122" s="73"/>
    </row>
    <row r="1123" spans="1:58" ht="15" customHeight="1">
      <c r="A1123" s="46" t="s">
        <v>6049</v>
      </c>
      <c r="B1123" s="50" t="s">
        <v>6050</v>
      </c>
      <c r="C1123" s="54" t="s">
        <v>109</v>
      </c>
      <c r="D1123" s="74">
        <v>0</v>
      </c>
      <c r="E1123" s="50" t="s">
        <v>312</v>
      </c>
      <c r="F1123" s="50"/>
      <c r="G1123" s="50"/>
      <c r="H1123" s="51"/>
      <c r="I1123" s="50" t="s">
        <v>6051</v>
      </c>
      <c r="J1123" s="54" t="s">
        <v>196</v>
      </c>
      <c r="K1123" s="56" t="s">
        <v>312</v>
      </c>
      <c r="L1123" s="56" t="s">
        <v>6052</v>
      </c>
      <c r="M1123" s="56"/>
      <c r="N1123" s="56"/>
      <c r="O1123" s="54"/>
      <c r="P1123" s="56" t="s">
        <v>86</v>
      </c>
      <c r="Q1123" s="56" t="s">
        <v>2183</v>
      </c>
      <c r="R1123" s="50"/>
      <c r="S1123" s="50"/>
      <c r="T1123" s="50"/>
      <c r="U1123" s="50"/>
      <c r="V1123" s="57"/>
      <c r="W1123" s="50"/>
      <c r="X1123" s="50"/>
      <c r="Y1123" s="50"/>
      <c r="Z1123" s="50"/>
      <c r="AA1123" s="50"/>
      <c r="AB1123" s="57"/>
      <c r="AC1123" s="54">
        <v>0</v>
      </c>
      <c r="AD1123" s="54">
        <f>SUM(AE1123:AK1123)</f>
        <v>0</v>
      </c>
      <c r="AE1123" s="66"/>
      <c r="AF1123" s="66"/>
      <c r="AG1123" s="66"/>
      <c r="AH1123" s="66"/>
      <c r="AI1123" s="66"/>
      <c r="AJ1123" s="66"/>
      <c r="AK1123" s="66"/>
      <c r="AL1123" s="54">
        <f>IF((AC1123-SUM(AE1123:AK1123))&lt;0,0,AC1123-SUM(AE1123:AK1123))</f>
        <v>0</v>
      </c>
      <c r="AM1123" s="54">
        <f>SUM(AN1123:AT1123)</f>
        <v>0</v>
      </c>
      <c r="AN1123" s="54"/>
      <c r="AO1123" s="54"/>
      <c r="AP1123" s="54"/>
      <c r="AQ1123" s="54"/>
      <c r="AR1123" s="54"/>
      <c r="AS1123" s="54"/>
      <c r="AT1123" s="54"/>
      <c r="AU1123" s="54">
        <f>MAX(0,$AM1123-$AC1123-$AW1123)</f>
        <v>0</v>
      </c>
      <c r="AV1123" s="54"/>
      <c r="AW1123" s="54"/>
      <c r="AX1123" s="65">
        <v>0</v>
      </c>
      <c r="AY1123" s="57">
        <f>IF(AND($AU1123&gt;0,ISNUMBER($AX1123)),$AU1123*$AX1123,0)</f>
        <v>0</v>
      </c>
      <c r="AZ1123" s="72"/>
      <c r="BA1123" s="73"/>
      <c r="BB1123" s="73"/>
      <c r="BC1123" s="73"/>
      <c r="BD1123" s="73"/>
      <c r="BE1123" s="73"/>
      <c r="BF1123" s="73"/>
    </row>
    <row r="1124" spans="1:58" ht="15" customHeight="1">
      <c r="A1124" s="46" t="s">
        <v>6053</v>
      </c>
      <c r="B1124" s="50" t="s">
        <v>6054</v>
      </c>
      <c r="C1124" s="54" t="s">
        <v>109</v>
      </c>
      <c r="D1124" s="74">
        <v>4</v>
      </c>
      <c r="E1124" s="50" t="s">
        <v>81</v>
      </c>
      <c r="F1124" s="50">
        <v>2</v>
      </c>
      <c r="G1124" s="50">
        <v>5</v>
      </c>
      <c r="H1124" s="51" t="s">
        <v>6055</v>
      </c>
      <c r="I1124" s="50" t="s">
        <v>6056</v>
      </c>
      <c r="J1124" s="54" t="s">
        <v>73</v>
      </c>
      <c r="K1124" s="50" t="s">
        <v>84</v>
      </c>
      <c r="L1124" s="50" t="s">
        <v>6057</v>
      </c>
      <c r="M1124" s="50"/>
      <c r="N1124" s="50"/>
      <c r="O1124" s="54"/>
      <c r="P1124" s="56" t="s">
        <v>76</v>
      </c>
      <c r="Q1124" s="50" t="s">
        <v>729</v>
      </c>
      <c r="R1124" s="50"/>
      <c r="S1124" s="50"/>
      <c r="T1124" s="50"/>
      <c r="U1124" s="50"/>
      <c r="V1124" s="57"/>
      <c r="W1124" s="50"/>
      <c r="X1124" s="50"/>
      <c r="Y1124" s="50"/>
      <c r="Z1124" s="50"/>
      <c r="AA1124" s="50"/>
      <c r="AB1124" s="57"/>
      <c r="AC1124" s="54">
        <v>0</v>
      </c>
      <c r="AD1124" s="54">
        <f>SUM(AE1124:AK1124)</f>
        <v>0</v>
      </c>
      <c r="AE1124" s="66"/>
      <c r="AF1124" s="66"/>
      <c r="AG1124" s="66"/>
      <c r="AH1124" s="66"/>
      <c r="AI1124" s="66"/>
      <c r="AJ1124" s="66"/>
      <c r="AK1124" s="66"/>
      <c r="AL1124" s="54">
        <f>IF((AC1124-SUM(AE1124:AK1124))&lt;0,0,AC1124-SUM(AE1124:AK1124))</f>
        <v>0</v>
      </c>
      <c r="AM1124" s="54">
        <f>SUM(AN1124:AT1124)</f>
        <v>0</v>
      </c>
      <c r="AN1124" s="54"/>
      <c r="AO1124" s="54"/>
      <c r="AP1124" s="54"/>
      <c r="AQ1124" s="54"/>
      <c r="AR1124" s="54"/>
      <c r="AS1124" s="54"/>
      <c r="AT1124" s="54"/>
      <c r="AU1124" s="54">
        <f>MAX(0,$AM1124-$AC1124-$AW1124)</f>
        <v>0</v>
      </c>
      <c r="AV1124" s="54"/>
      <c r="AW1124" s="54"/>
      <c r="AX1124" s="65">
        <v>0</v>
      </c>
      <c r="AY1124" s="57">
        <f>IF(AND($AU1124&gt;0,ISNUMBER($AX1124)),$AU1124*$AX1124,0)</f>
        <v>0</v>
      </c>
      <c r="AZ1124" s="50"/>
      <c r="BA1124" s="54"/>
      <c r="BB1124" s="54"/>
      <c r="BC1124" s="54"/>
      <c r="BD1124" s="54"/>
      <c r="BE1124" s="54"/>
      <c r="BF1124" s="54"/>
    </row>
    <row r="1125" spans="1:58" ht="15" customHeight="1">
      <c r="A1125" s="46" t="s">
        <v>6058</v>
      </c>
      <c r="B1125" s="50" t="s">
        <v>6059</v>
      </c>
      <c r="C1125" s="54" t="s">
        <v>109</v>
      </c>
      <c r="D1125" s="74">
        <v>3</v>
      </c>
      <c r="E1125" s="50" t="s">
        <v>384</v>
      </c>
      <c r="F1125" s="50"/>
      <c r="G1125" s="50"/>
      <c r="H1125" s="51"/>
      <c r="I1125" s="50" t="s">
        <v>6060</v>
      </c>
      <c r="J1125" s="54" t="s">
        <v>196</v>
      </c>
      <c r="K1125" s="56" t="s">
        <v>84</v>
      </c>
      <c r="L1125" s="56" t="s">
        <v>6061</v>
      </c>
      <c r="M1125" s="56" t="s">
        <v>6062</v>
      </c>
      <c r="N1125" s="56"/>
      <c r="O1125" s="54"/>
      <c r="P1125" s="56" t="s">
        <v>86</v>
      </c>
      <c r="Q1125" s="56" t="s">
        <v>405</v>
      </c>
      <c r="R1125" s="50"/>
      <c r="S1125" s="50"/>
      <c r="T1125" s="50"/>
      <c r="U1125" s="50"/>
      <c r="V1125" s="57"/>
      <c r="W1125" s="50"/>
      <c r="X1125" s="50"/>
      <c r="Y1125" s="50"/>
      <c r="Z1125" s="50"/>
      <c r="AA1125" s="50"/>
      <c r="AB1125" s="57"/>
      <c r="AC1125" s="54">
        <v>0</v>
      </c>
      <c r="AD1125" s="54">
        <f>SUM(AE1125:AK1125)</f>
        <v>0</v>
      </c>
      <c r="AE1125" s="66"/>
      <c r="AF1125" s="66"/>
      <c r="AG1125" s="66"/>
      <c r="AH1125" s="66"/>
      <c r="AI1125" s="66"/>
      <c r="AJ1125" s="66"/>
      <c r="AK1125" s="66"/>
      <c r="AL1125" s="54">
        <f>IF((AC1125-SUM(AE1125:AK1125))&lt;0,0,AC1125-SUM(AE1125:AK1125))</f>
        <v>0</v>
      </c>
      <c r="AM1125" s="54">
        <f>SUM(AN1125:AT1125)</f>
        <v>0</v>
      </c>
      <c r="AN1125" s="54"/>
      <c r="AO1125" s="54"/>
      <c r="AP1125" s="54"/>
      <c r="AQ1125" s="54"/>
      <c r="AR1125" s="54"/>
      <c r="AS1125" s="54"/>
      <c r="AT1125" s="54"/>
      <c r="AU1125" s="54">
        <f>MAX(0,$AM1125-$AC1125-$AW1125)</f>
        <v>0</v>
      </c>
      <c r="AV1125" s="54"/>
      <c r="AW1125" s="54"/>
      <c r="AX1125" s="65">
        <v>0</v>
      </c>
      <c r="AY1125" s="57">
        <f>IF(AND($AU1125&gt;0,ISNUMBER($AX1125)),$AU1125*$AX1125,0)</f>
        <v>0</v>
      </c>
      <c r="AZ1125" s="72"/>
      <c r="BA1125" s="73"/>
      <c r="BB1125" s="73"/>
      <c r="BC1125" s="73"/>
      <c r="BD1125" s="73"/>
      <c r="BE1125" s="73"/>
      <c r="BF1125" s="73"/>
    </row>
    <row r="1126" spans="1:58" ht="15" customHeight="1">
      <c r="A1126" s="46" t="s">
        <v>6063</v>
      </c>
      <c r="B1126" s="50" t="s">
        <v>6064</v>
      </c>
      <c r="C1126" s="54" t="s">
        <v>70</v>
      </c>
      <c r="D1126" s="74">
        <v>3</v>
      </c>
      <c r="E1126" s="50" t="s">
        <v>81</v>
      </c>
      <c r="F1126" s="50">
        <v>2</v>
      </c>
      <c r="G1126" s="50">
        <v>3</v>
      </c>
      <c r="H1126" s="51" t="s">
        <v>856</v>
      </c>
      <c r="I1126" s="50" t="s">
        <v>6065</v>
      </c>
      <c r="J1126" s="54" t="s">
        <v>196</v>
      </c>
      <c r="K1126" s="56" t="s">
        <v>84</v>
      </c>
      <c r="L1126" s="56" t="s">
        <v>6066</v>
      </c>
      <c r="M1126" s="56"/>
      <c r="N1126" s="56"/>
      <c r="O1126" s="54"/>
      <c r="P1126" s="56" t="s">
        <v>86</v>
      </c>
      <c r="Q1126" s="56" t="s">
        <v>546</v>
      </c>
      <c r="R1126" s="54"/>
      <c r="S1126" s="54"/>
      <c r="T1126" s="54"/>
      <c r="U1126" s="54"/>
      <c r="V1126" s="57"/>
      <c r="W1126" s="54"/>
      <c r="X1126" s="54"/>
      <c r="Y1126" s="54"/>
      <c r="Z1126" s="54"/>
      <c r="AA1126" s="54"/>
      <c r="AB1126" s="57"/>
      <c r="AC1126" s="54">
        <v>0</v>
      </c>
      <c r="AD1126" s="54">
        <f>SUM(AE1126:AK1126)</f>
        <v>0</v>
      </c>
      <c r="AE1126" s="66"/>
      <c r="AF1126" s="66"/>
      <c r="AG1126" s="66"/>
      <c r="AH1126" s="66"/>
      <c r="AI1126" s="66"/>
      <c r="AJ1126" s="66"/>
      <c r="AK1126" s="66"/>
      <c r="AL1126" s="54">
        <f>IF((AC1126-SUM(AE1126:AK1126))&lt;0,0,AC1126-SUM(AE1126:AK1126))</f>
        <v>0</v>
      </c>
      <c r="AM1126" s="54">
        <f>SUM(AN1126:AT1126)</f>
        <v>0</v>
      </c>
      <c r="AN1126" s="54"/>
      <c r="AO1126" s="54"/>
      <c r="AP1126" s="54"/>
      <c r="AQ1126" s="54"/>
      <c r="AR1126" s="54"/>
      <c r="AS1126" s="54"/>
      <c r="AT1126" s="54"/>
      <c r="AU1126" s="54">
        <f>MAX(0,$AM1126-$AC1126-$AW1126)</f>
        <v>0</v>
      </c>
      <c r="AV1126" s="54"/>
      <c r="AW1126" s="54"/>
      <c r="AX1126" s="65">
        <v>0</v>
      </c>
      <c r="AY1126" s="57">
        <f>IF(AND($AU1126&gt;0,ISNUMBER($AX1126)),$AU1126*$AX1126,0)</f>
        <v>0</v>
      </c>
      <c r="AZ1126" s="72"/>
      <c r="BA1126" s="73"/>
      <c r="BB1126" s="73"/>
      <c r="BC1126" s="73"/>
      <c r="BD1126" s="73"/>
      <c r="BE1126" s="73"/>
      <c r="BF1126" s="73"/>
    </row>
    <row r="1127" spans="1:58" ht="15" customHeight="1">
      <c r="A1127" s="46" t="s">
        <v>6067</v>
      </c>
      <c r="B1127" s="50" t="s">
        <v>6068</v>
      </c>
      <c r="C1127" s="54" t="s">
        <v>181</v>
      </c>
      <c r="D1127" s="74">
        <v>6</v>
      </c>
      <c r="E1127" s="50" t="s">
        <v>2195</v>
      </c>
      <c r="F1127" s="50"/>
      <c r="G1127" s="50"/>
      <c r="H1127" s="51" t="s">
        <v>6069</v>
      </c>
      <c r="I1127" s="50" t="s">
        <v>6070</v>
      </c>
      <c r="J1127" s="54" t="s">
        <v>196</v>
      </c>
      <c r="K1127" s="56" t="s">
        <v>344</v>
      </c>
      <c r="L1127" s="56" t="s">
        <v>6071</v>
      </c>
      <c r="M1127" s="56"/>
      <c r="N1127" s="56"/>
      <c r="O1127" s="54"/>
      <c r="P1127" s="56" t="s">
        <v>114</v>
      </c>
      <c r="Q1127" s="56" t="s">
        <v>1870</v>
      </c>
      <c r="R1127" s="54"/>
      <c r="S1127" s="54"/>
      <c r="T1127" s="54"/>
      <c r="U1127" s="54"/>
      <c r="V1127" s="57"/>
      <c r="W1127" s="54"/>
      <c r="X1127" s="54"/>
      <c r="Y1127" s="54"/>
      <c r="Z1127" s="54"/>
      <c r="AA1127" s="54"/>
      <c r="AB1127" s="57"/>
      <c r="AC1127" s="54">
        <v>0</v>
      </c>
      <c r="AD1127" s="54">
        <f>SUM(AE1127:AK1127)</f>
        <v>0</v>
      </c>
      <c r="AE1127" s="66"/>
      <c r="AF1127" s="66"/>
      <c r="AG1127" s="66"/>
      <c r="AH1127" s="66"/>
      <c r="AI1127" s="66"/>
      <c r="AJ1127" s="66"/>
      <c r="AK1127" s="66"/>
      <c r="AL1127" s="54">
        <f>IF((AC1127-SUM(AE1127:AK1127))&lt;0,0,AC1127-SUM(AE1127:AK1127))</f>
        <v>0</v>
      </c>
      <c r="AM1127" s="54">
        <f>SUM(AN1127:AT1127)</f>
        <v>0</v>
      </c>
      <c r="AN1127" s="54"/>
      <c r="AO1127" s="54"/>
      <c r="AP1127" s="54"/>
      <c r="AQ1127" s="54"/>
      <c r="AR1127" s="54"/>
      <c r="AS1127" s="54"/>
      <c r="AT1127" s="54"/>
      <c r="AU1127" s="54">
        <f>MAX(0,$AM1127-$AC1127-$AW1127)</f>
        <v>0</v>
      </c>
      <c r="AV1127" s="54"/>
      <c r="AW1127" s="54"/>
      <c r="AX1127" s="65">
        <v>0</v>
      </c>
      <c r="AY1127" s="57">
        <f>IF(AND($AU1127&gt;0,ISNUMBER($AX1127)),$AU1127*$AX1127,0)</f>
        <v>0</v>
      </c>
      <c r="AZ1127" s="72"/>
      <c r="BA1127" s="73"/>
      <c r="BB1127" s="73"/>
      <c r="BC1127" s="73"/>
      <c r="BD1127" s="73"/>
      <c r="BE1127" s="73"/>
      <c r="BF1127" s="73"/>
    </row>
    <row r="1128" spans="1:58" ht="15" customHeight="1">
      <c r="A1128" s="46" t="s">
        <v>6072</v>
      </c>
      <c r="B1128" s="50" t="s">
        <v>6073</v>
      </c>
      <c r="C1128" s="54" t="s">
        <v>70</v>
      </c>
      <c r="D1128" s="74">
        <v>1</v>
      </c>
      <c r="E1128" s="50" t="s">
        <v>189</v>
      </c>
      <c r="F1128" s="50"/>
      <c r="G1128" s="50"/>
      <c r="H1128" s="51"/>
      <c r="I1128" s="50" t="s">
        <v>6074</v>
      </c>
      <c r="J1128" s="54" t="s">
        <v>196</v>
      </c>
      <c r="K1128" s="56" t="s">
        <v>104</v>
      </c>
      <c r="L1128" s="56" t="s">
        <v>6075</v>
      </c>
      <c r="M1128" s="56"/>
      <c r="N1128" s="56"/>
      <c r="O1128" s="54"/>
      <c r="P1128" s="56" t="s">
        <v>76</v>
      </c>
      <c r="Q1128" s="56" t="s">
        <v>1127</v>
      </c>
      <c r="R1128" s="50"/>
      <c r="S1128" s="50"/>
      <c r="T1128" s="50"/>
      <c r="U1128" s="50"/>
      <c r="V1128" s="57"/>
      <c r="W1128" s="50"/>
      <c r="X1128" s="50"/>
      <c r="Y1128" s="50"/>
      <c r="Z1128" s="50"/>
      <c r="AA1128" s="50"/>
      <c r="AB1128" s="57"/>
      <c r="AC1128" s="54">
        <v>0</v>
      </c>
      <c r="AD1128" s="54">
        <f>SUM(AE1128:AK1128)</f>
        <v>0</v>
      </c>
      <c r="AE1128" s="66"/>
      <c r="AF1128" s="66"/>
      <c r="AG1128" s="66"/>
      <c r="AH1128" s="66"/>
      <c r="AI1128" s="66"/>
      <c r="AJ1128" s="66"/>
      <c r="AK1128" s="66"/>
      <c r="AL1128" s="54">
        <f>IF((AC1128-SUM(AE1128:AK1128))&lt;0,0,AC1128-SUM(AE1128:AK1128))</f>
        <v>0</v>
      </c>
      <c r="AM1128" s="54">
        <f>SUM(AN1128:AT1128)</f>
        <v>0</v>
      </c>
      <c r="AN1128" s="54"/>
      <c r="AO1128" s="54"/>
      <c r="AP1128" s="54"/>
      <c r="AQ1128" s="54"/>
      <c r="AR1128" s="54"/>
      <c r="AS1128" s="54"/>
      <c r="AT1128" s="54"/>
      <c r="AU1128" s="54">
        <f>MAX(0,$AM1128-$AC1128-$AW1128)</f>
        <v>0</v>
      </c>
      <c r="AV1128" s="54"/>
      <c r="AW1128" s="54"/>
      <c r="AX1128" s="65">
        <v>0</v>
      </c>
      <c r="AY1128" s="57">
        <f>IF(AND($AU1128&gt;0,ISNUMBER($AX1128)),$AU1128*$AX1128,0)</f>
        <v>0</v>
      </c>
      <c r="AZ1128" s="72"/>
      <c r="BA1128" s="73"/>
      <c r="BB1128" s="73"/>
      <c r="BC1128" s="73"/>
      <c r="BD1128" s="73"/>
      <c r="BE1128" s="73"/>
      <c r="BF1128" s="73"/>
    </row>
    <row r="1129" spans="1:58" ht="15" customHeight="1">
      <c r="A1129" s="46" t="s">
        <v>6076</v>
      </c>
      <c r="B1129" s="50" t="s">
        <v>6077</v>
      </c>
      <c r="C1129" s="54" t="s">
        <v>181</v>
      </c>
      <c r="D1129" s="74">
        <v>1</v>
      </c>
      <c r="E1129" s="50" t="s">
        <v>81</v>
      </c>
      <c r="F1129" s="50">
        <v>1</v>
      </c>
      <c r="G1129" s="50">
        <v>1</v>
      </c>
      <c r="H1129" s="51" t="s">
        <v>6078</v>
      </c>
      <c r="I1129" s="50" t="s">
        <v>6079</v>
      </c>
      <c r="J1129" s="54" t="s">
        <v>196</v>
      </c>
      <c r="K1129" s="56" t="s">
        <v>247</v>
      </c>
      <c r="L1129" s="56" t="s">
        <v>6080</v>
      </c>
      <c r="M1129" s="56"/>
      <c r="N1129" s="56"/>
      <c r="O1129" s="54"/>
      <c r="P1129" s="56" t="s">
        <v>185</v>
      </c>
      <c r="Q1129" s="56" t="s">
        <v>3028</v>
      </c>
      <c r="R1129" s="54"/>
      <c r="S1129" s="54"/>
      <c r="T1129" s="54"/>
      <c r="U1129" s="54"/>
      <c r="V1129" s="57"/>
      <c r="W1129" s="54"/>
      <c r="X1129" s="54"/>
      <c r="Y1129" s="54"/>
      <c r="Z1129" s="54"/>
      <c r="AA1129" s="54"/>
      <c r="AB1129" s="57"/>
      <c r="AC1129" s="54">
        <v>0</v>
      </c>
      <c r="AD1129" s="54">
        <f>SUM(AE1129:AK1129)</f>
        <v>0</v>
      </c>
      <c r="AE1129" s="66"/>
      <c r="AF1129" s="66"/>
      <c r="AG1129" s="66"/>
      <c r="AH1129" s="66"/>
      <c r="AI1129" s="66"/>
      <c r="AJ1129" s="66"/>
      <c r="AK1129" s="66"/>
      <c r="AL1129" s="54">
        <f>IF((AC1129-SUM(AE1129:AK1129))&lt;0,0,AC1129-SUM(AE1129:AK1129))</f>
        <v>0</v>
      </c>
      <c r="AM1129" s="54">
        <f>SUM(AN1129:AT1129)</f>
        <v>0</v>
      </c>
      <c r="AN1129" s="54"/>
      <c r="AO1129" s="54"/>
      <c r="AP1129" s="54"/>
      <c r="AQ1129" s="54"/>
      <c r="AR1129" s="54"/>
      <c r="AS1129" s="54"/>
      <c r="AT1129" s="54"/>
      <c r="AU1129" s="54">
        <f>MAX(0,$AM1129-$AC1129-$AW1129)</f>
        <v>0</v>
      </c>
      <c r="AV1129" s="54"/>
      <c r="AW1129" s="54"/>
      <c r="AX1129" s="65">
        <v>0</v>
      </c>
      <c r="AY1129" s="57">
        <f>IF(AND($AU1129&gt;0,ISNUMBER($AX1129)),$AU1129*$AX1129,0)</f>
        <v>0</v>
      </c>
      <c r="AZ1129" s="72"/>
      <c r="BA1129" s="73"/>
      <c r="BB1129" s="73"/>
      <c r="BC1129" s="73"/>
      <c r="BD1129" s="73"/>
      <c r="BE1129" s="73"/>
      <c r="BF1129" s="73"/>
    </row>
    <row r="1130" spans="1:58" ht="15" customHeight="1">
      <c r="A1130" s="46" t="s">
        <v>6081</v>
      </c>
      <c r="B1130" s="50" t="s">
        <v>6082</v>
      </c>
      <c r="C1130" s="54" t="s">
        <v>181</v>
      </c>
      <c r="D1130" s="74">
        <v>3</v>
      </c>
      <c r="E1130" s="50" t="s">
        <v>110</v>
      </c>
      <c r="F1130" s="50">
        <v>2</v>
      </c>
      <c r="G1130" s="50">
        <v>2</v>
      </c>
      <c r="H1130" s="51" t="s">
        <v>6083</v>
      </c>
      <c r="I1130" s="50" t="s">
        <v>6084</v>
      </c>
      <c r="J1130" s="54" t="s">
        <v>196</v>
      </c>
      <c r="K1130" s="56" t="s">
        <v>247</v>
      </c>
      <c r="L1130" s="56" t="s">
        <v>6085</v>
      </c>
      <c r="M1130" s="56"/>
      <c r="N1130" s="56"/>
      <c r="O1130" s="54"/>
      <c r="P1130" s="56" t="s">
        <v>86</v>
      </c>
      <c r="Q1130" s="56" t="s">
        <v>4183</v>
      </c>
      <c r="R1130" s="54"/>
      <c r="S1130" s="54"/>
      <c r="T1130" s="54"/>
      <c r="U1130" s="54"/>
      <c r="V1130" s="57"/>
      <c r="W1130" s="54"/>
      <c r="X1130" s="54"/>
      <c r="Y1130" s="54"/>
      <c r="Z1130" s="54"/>
      <c r="AA1130" s="54"/>
      <c r="AB1130" s="57"/>
      <c r="AC1130" s="54">
        <v>0</v>
      </c>
      <c r="AD1130" s="54">
        <f>SUM(AE1130:AK1130)</f>
        <v>0</v>
      </c>
      <c r="AE1130" s="66"/>
      <c r="AF1130" s="66"/>
      <c r="AG1130" s="66"/>
      <c r="AH1130" s="66"/>
      <c r="AI1130" s="66"/>
      <c r="AJ1130" s="66"/>
      <c r="AK1130" s="66"/>
      <c r="AL1130" s="54">
        <f>IF((AC1130-SUM(AE1130:AK1130))&lt;0,0,AC1130-SUM(AE1130:AK1130))</f>
        <v>0</v>
      </c>
      <c r="AM1130" s="54">
        <f>SUM(AN1130:AT1130)</f>
        <v>0</v>
      </c>
      <c r="AN1130" s="54"/>
      <c r="AO1130" s="54"/>
      <c r="AP1130" s="54"/>
      <c r="AQ1130" s="54"/>
      <c r="AR1130" s="54"/>
      <c r="AS1130" s="54"/>
      <c r="AT1130" s="54"/>
      <c r="AU1130" s="54">
        <f>MAX(0,$AM1130-$AC1130-$AW1130)</f>
        <v>0</v>
      </c>
      <c r="AV1130" s="54"/>
      <c r="AW1130" s="54"/>
      <c r="AX1130" s="65">
        <v>0</v>
      </c>
      <c r="AY1130" s="57">
        <f>IF(AND($AU1130&gt;0,ISNUMBER($AX1130)),$AU1130*$AX1130,0)</f>
        <v>0</v>
      </c>
      <c r="AZ1130" s="72"/>
      <c r="BA1130" s="73"/>
      <c r="BB1130" s="73"/>
      <c r="BC1130" s="73"/>
      <c r="BD1130" s="73"/>
      <c r="BE1130" s="73"/>
      <c r="BF1130" s="73"/>
    </row>
    <row r="1131" spans="1:58" ht="15" customHeight="1">
      <c r="A1131" s="46" t="s">
        <v>6086</v>
      </c>
      <c r="B1131" s="50" t="s">
        <v>6087</v>
      </c>
      <c r="C1131" s="54" t="s">
        <v>70</v>
      </c>
      <c r="D1131" s="74">
        <v>7</v>
      </c>
      <c r="E1131" s="50" t="s">
        <v>81</v>
      </c>
      <c r="F1131" s="50">
        <v>5</v>
      </c>
      <c r="G1131" s="50">
        <v>5</v>
      </c>
      <c r="H1131" s="51" t="s">
        <v>6088</v>
      </c>
      <c r="I1131" s="50" t="s">
        <v>6089</v>
      </c>
      <c r="J1131" s="54" t="s">
        <v>196</v>
      </c>
      <c r="K1131" s="56" t="s">
        <v>129</v>
      </c>
      <c r="L1131" s="56" t="s">
        <v>6090</v>
      </c>
      <c r="M1131" s="56" t="s">
        <v>6091</v>
      </c>
      <c r="N1131" s="56"/>
      <c r="O1131" s="54"/>
      <c r="P1131" s="56" t="s">
        <v>86</v>
      </c>
      <c r="Q1131" s="56" t="s">
        <v>516</v>
      </c>
      <c r="R1131" s="50"/>
      <c r="S1131" s="50"/>
      <c r="T1131" s="50"/>
      <c r="U1131" s="50"/>
      <c r="V1131" s="57"/>
      <c r="W1131" s="50"/>
      <c r="X1131" s="50"/>
      <c r="Y1131" s="50"/>
      <c r="Z1131" s="50"/>
      <c r="AA1131" s="50"/>
      <c r="AB1131" s="57"/>
      <c r="AC1131" s="54">
        <v>0</v>
      </c>
      <c r="AD1131" s="54">
        <f>SUM(AE1131:AK1131)</f>
        <v>0</v>
      </c>
      <c r="AE1131" s="66"/>
      <c r="AF1131" s="66"/>
      <c r="AG1131" s="66"/>
      <c r="AH1131" s="66"/>
      <c r="AI1131" s="66"/>
      <c r="AJ1131" s="66"/>
      <c r="AK1131" s="66"/>
      <c r="AL1131" s="54">
        <f>IF((AC1131-SUM(AE1131:AK1131))&lt;0,0,AC1131-SUM(AE1131:AK1131))</f>
        <v>0</v>
      </c>
      <c r="AM1131" s="54">
        <f>SUM(AN1131:AT1131)</f>
        <v>0</v>
      </c>
      <c r="AN1131" s="54"/>
      <c r="AO1131" s="54"/>
      <c r="AP1131" s="54"/>
      <c r="AQ1131" s="54"/>
      <c r="AR1131" s="54"/>
      <c r="AS1131" s="54"/>
      <c r="AT1131" s="54"/>
      <c r="AU1131" s="54">
        <f>MAX(0,$AM1131-$AC1131-$AW1131)</f>
        <v>0</v>
      </c>
      <c r="AV1131" s="54"/>
      <c r="AW1131" s="54"/>
      <c r="AX1131" s="65">
        <v>0</v>
      </c>
      <c r="AY1131" s="57">
        <f>IF(AND($AU1131&gt;0,ISNUMBER($AX1131)),$AU1131*$AX1131,0)</f>
        <v>0</v>
      </c>
      <c r="AZ1131" s="72"/>
      <c r="BA1131" s="73"/>
      <c r="BB1131" s="73"/>
      <c r="BC1131" s="73"/>
      <c r="BD1131" s="73"/>
      <c r="BE1131" s="73"/>
      <c r="BF1131" s="73"/>
    </row>
    <row r="1132" spans="1:58" ht="15" customHeight="1">
      <c r="A1132" s="46" t="s">
        <v>6092</v>
      </c>
      <c r="B1132" s="50" t="s">
        <v>6093</v>
      </c>
      <c r="C1132" s="54" t="s">
        <v>70</v>
      </c>
      <c r="D1132" s="74">
        <v>1</v>
      </c>
      <c r="E1132" s="50" t="s">
        <v>81</v>
      </c>
      <c r="F1132" s="50">
        <v>1</v>
      </c>
      <c r="G1132" s="50">
        <v>1</v>
      </c>
      <c r="H1132" s="51" t="s">
        <v>245</v>
      </c>
      <c r="I1132" s="50" t="s">
        <v>6094</v>
      </c>
      <c r="J1132" s="54" t="s">
        <v>196</v>
      </c>
      <c r="K1132" s="56" t="s">
        <v>129</v>
      </c>
      <c r="L1132" s="56" t="s">
        <v>6095</v>
      </c>
      <c r="M1132" s="56"/>
      <c r="N1132" s="56"/>
      <c r="O1132" s="54"/>
      <c r="P1132" s="56" t="s">
        <v>86</v>
      </c>
      <c r="Q1132" s="56" t="s">
        <v>4172</v>
      </c>
      <c r="R1132" s="50"/>
      <c r="S1132" s="50"/>
      <c r="T1132" s="50"/>
      <c r="U1132" s="50"/>
      <c r="V1132" s="57"/>
      <c r="W1132" s="50"/>
      <c r="X1132" s="50"/>
      <c r="Y1132" s="50"/>
      <c r="Z1132" s="50"/>
      <c r="AA1132" s="50"/>
      <c r="AB1132" s="57"/>
      <c r="AC1132" s="54">
        <v>0</v>
      </c>
      <c r="AD1132" s="54">
        <f>SUM(AE1132:AK1132)</f>
        <v>0</v>
      </c>
      <c r="AE1132" s="66"/>
      <c r="AF1132" s="66"/>
      <c r="AG1132" s="66"/>
      <c r="AH1132" s="66"/>
      <c r="AI1132" s="66"/>
      <c r="AJ1132" s="66"/>
      <c r="AK1132" s="66"/>
      <c r="AL1132" s="54">
        <f>IF((AC1132-SUM(AE1132:AK1132))&lt;0,0,AC1132-SUM(AE1132:AK1132))</f>
        <v>0</v>
      </c>
      <c r="AM1132" s="54">
        <f>SUM(AN1132:AT1132)</f>
        <v>0</v>
      </c>
      <c r="AN1132" s="54"/>
      <c r="AO1132" s="54"/>
      <c r="AP1132" s="54"/>
      <c r="AQ1132" s="54"/>
      <c r="AR1132" s="54"/>
      <c r="AS1132" s="54"/>
      <c r="AT1132" s="54"/>
      <c r="AU1132" s="54">
        <f>MAX(0,$AM1132-$AC1132-$AW1132)</f>
        <v>0</v>
      </c>
      <c r="AV1132" s="54"/>
      <c r="AW1132" s="54"/>
      <c r="AX1132" s="65">
        <v>0</v>
      </c>
      <c r="AY1132" s="57">
        <f>IF(AND($AU1132&gt;0,ISNUMBER($AX1132)),$AU1132*$AX1132,0)</f>
        <v>0</v>
      </c>
      <c r="AZ1132" s="72"/>
      <c r="BA1132" s="73"/>
      <c r="BB1132" s="73"/>
      <c r="BC1132" s="73"/>
      <c r="BD1132" s="73"/>
      <c r="BE1132" s="73"/>
      <c r="BF1132" s="73"/>
    </row>
    <row r="1133" spans="1:58" ht="15" customHeight="1">
      <c r="A1133" s="46" t="s">
        <v>6096</v>
      </c>
      <c r="B1133" s="50" t="s">
        <v>6097</v>
      </c>
      <c r="C1133" s="54" t="s">
        <v>109</v>
      </c>
      <c r="D1133" s="74">
        <v>4</v>
      </c>
      <c r="E1133" s="50" t="s">
        <v>81</v>
      </c>
      <c r="F1133" s="50">
        <v>1</v>
      </c>
      <c r="G1133" s="50">
        <v>4</v>
      </c>
      <c r="H1133" s="51" t="s">
        <v>6098</v>
      </c>
      <c r="I1133" s="50" t="s">
        <v>6099</v>
      </c>
      <c r="J1133" s="54" t="s">
        <v>196</v>
      </c>
      <c r="K1133" s="56" t="s">
        <v>497</v>
      </c>
      <c r="L1133" s="56" t="s">
        <v>6100</v>
      </c>
      <c r="M1133" s="56"/>
      <c r="N1133" s="56"/>
      <c r="O1133" s="54"/>
      <c r="P1133" s="56" t="s">
        <v>185</v>
      </c>
      <c r="Q1133" s="56" t="s">
        <v>1159</v>
      </c>
      <c r="R1133" s="54"/>
      <c r="S1133" s="54"/>
      <c r="T1133" s="54"/>
      <c r="U1133" s="54"/>
      <c r="V1133" s="57"/>
      <c r="W1133" s="54"/>
      <c r="X1133" s="54"/>
      <c r="Y1133" s="54"/>
      <c r="Z1133" s="54"/>
      <c r="AA1133" s="54"/>
      <c r="AB1133" s="57"/>
      <c r="AC1133" s="54">
        <v>0</v>
      </c>
      <c r="AD1133" s="54">
        <f>SUM(AE1133:AK1133)</f>
        <v>0</v>
      </c>
      <c r="AE1133" s="66"/>
      <c r="AF1133" s="66"/>
      <c r="AG1133" s="66"/>
      <c r="AH1133" s="66"/>
      <c r="AI1133" s="66"/>
      <c r="AJ1133" s="66"/>
      <c r="AK1133" s="66"/>
      <c r="AL1133" s="54">
        <f>IF((AC1133-SUM(AE1133:AK1133))&lt;0,0,AC1133-SUM(AE1133:AK1133))</f>
        <v>0</v>
      </c>
      <c r="AM1133" s="54">
        <f>SUM(AN1133:AT1133)</f>
        <v>0</v>
      </c>
      <c r="AN1133" s="54"/>
      <c r="AO1133" s="54"/>
      <c r="AP1133" s="54"/>
      <c r="AQ1133" s="54"/>
      <c r="AR1133" s="54"/>
      <c r="AS1133" s="54"/>
      <c r="AT1133" s="54"/>
      <c r="AU1133" s="54">
        <f>MAX(0,$AM1133-$AC1133-$AW1133)</f>
        <v>0</v>
      </c>
      <c r="AV1133" s="54"/>
      <c r="AW1133" s="54"/>
      <c r="AX1133" s="65">
        <v>0</v>
      </c>
      <c r="AY1133" s="57">
        <f>IF(AND($AU1133&gt;0,ISNUMBER($AX1133)),$AU1133*$AX1133,0)</f>
        <v>0</v>
      </c>
      <c r="AZ1133" s="72"/>
      <c r="BA1133" s="73"/>
      <c r="BB1133" s="73"/>
      <c r="BC1133" s="73"/>
      <c r="BD1133" s="73"/>
      <c r="BE1133" s="73"/>
      <c r="BF1133" s="73"/>
    </row>
    <row r="1134" spans="1:58" ht="15" customHeight="1">
      <c r="A1134" s="46" t="s">
        <v>6101</v>
      </c>
      <c r="B1134" s="50" t="s">
        <v>6102</v>
      </c>
      <c r="C1134" s="54" t="s">
        <v>181</v>
      </c>
      <c r="D1134" s="74">
        <v>4</v>
      </c>
      <c r="E1134" s="50" t="s">
        <v>71</v>
      </c>
      <c r="F1134" s="50"/>
      <c r="G1134" s="50"/>
      <c r="H1134" s="51"/>
      <c r="I1134" s="50" t="s">
        <v>6103</v>
      </c>
      <c r="J1134" s="54" t="s">
        <v>196</v>
      </c>
      <c r="K1134" s="56" t="s">
        <v>550</v>
      </c>
      <c r="L1134" s="56" t="s">
        <v>6104</v>
      </c>
      <c r="M1134" s="56"/>
      <c r="N1134" s="56"/>
      <c r="O1134" s="54"/>
      <c r="P1134" s="56" t="s">
        <v>185</v>
      </c>
      <c r="Q1134" s="56" t="s">
        <v>2323</v>
      </c>
      <c r="R1134" s="50"/>
      <c r="S1134" s="50"/>
      <c r="T1134" s="50"/>
      <c r="U1134" s="50"/>
      <c r="V1134" s="57"/>
      <c r="W1134" s="50"/>
      <c r="X1134" s="50"/>
      <c r="Y1134" s="50"/>
      <c r="Z1134" s="50"/>
      <c r="AA1134" s="50"/>
      <c r="AB1134" s="57"/>
      <c r="AC1134" s="54">
        <v>0</v>
      </c>
      <c r="AD1134" s="54">
        <f>SUM(AE1134:AK1134)</f>
        <v>0</v>
      </c>
      <c r="AE1134" s="66"/>
      <c r="AF1134" s="66"/>
      <c r="AG1134" s="66"/>
      <c r="AH1134" s="66"/>
      <c r="AI1134" s="66"/>
      <c r="AJ1134" s="66"/>
      <c r="AK1134" s="66"/>
      <c r="AL1134" s="54">
        <f>IF((AC1134-SUM(AE1134:AK1134))&lt;0,0,AC1134-SUM(AE1134:AK1134))</f>
        <v>0</v>
      </c>
      <c r="AM1134" s="54">
        <f>SUM(AN1134:AT1134)</f>
        <v>0</v>
      </c>
      <c r="AN1134" s="54"/>
      <c r="AO1134" s="54"/>
      <c r="AP1134" s="54"/>
      <c r="AQ1134" s="54"/>
      <c r="AR1134" s="54"/>
      <c r="AS1134" s="54"/>
      <c r="AT1134" s="54"/>
      <c r="AU1134" s="54">
        <f>MAX(0,$AM1134-$AC1134-$AW1134)</f>
        <v>0</v>
      </c>
      <c r="AV1134" s="54"/>
      <c r="AW1134" s="54"/>
      <c r="AX1134" s="65">
        <v>0</v>
      </c>
      <c r="AY1134" s="57">
        <f>IF(AND($AU1134&gt;0,ISNUMBER($AX1134)),$AU1134*$AX1134,0)</f>
        <v>0</v>
      </c>
      <c r="AZ1134" s="72"/>
      <c r="BA1134" s="73"/>
      <c r="BB1134" s="73"/>
      <c r="BC1134" s="73"/>
      <c r="BD1134" s="73"/>
      <c r="BE1134" s="73"/>
      <c r="BF1134" s="73"/>
    </row>
    <row r="1135" spans="1:58" ht="15" customHeight="1">
      <c r="A1135" s="46" t="s">
        <v>6105</v>
      </c>
      <c r="B1135" s="50" t="s">
        <v>6106</v>
      </c>
      <c r="C1135" s="54" t="s">
        <v>70</v>
      </c>
      <c r="D1135" s="74">
        <v>5</v>
      </c>
      <c r="E1135" s="50" t="s">
        <v>110</v>
      </c>
      <c r="F1135" s="50">
        <v>2</v>
      </c>
      <c r="G1135" s="50">
        <v>2</v>
      </c>
      <c r="H1135" s="51" t="s">
        <v>6107</v>
      </c>
      <c r="I1135" s="50" t="s">
        <v>6108</v>
      </c>
      <c r="J1135" s="54" t="s">
        <v>196</v>
      </c>
      <c r="K1135" s="56" t="s">
        <v>550</v>
      </c>
      <c r="L1135" s="56" t="s">
        <v>817</v>
      </c>
      <c r="M1135" s="56" t="s">
        <v>6109</v>
      </c>
      <c r="N1135" s="56"/>
      <c r="O1135" s="54"/>
      <c r="P1135" s="56" t="s">
        <v>114</v>
      </c>
      <c r="Q1135" s="56" t="s">
        <v>4423</v>
      </c>
      <c r="R1135" s="50"/>
      <c r="S1135" s="50"/>
      <c r="T1135" s="50"/>
      <c r="U1135" s="50"/>
      <c r="V1135" s="57"/>
      <c r="W1135" s="50"/>
      <c r="X1135" s="50"/>
      <c r="Y1135" s="50"/>
      <c r="Z1135" s="50"/>
      <c r="AA1135" s="50"/>
      <c r="AB1135" s="57"/>
      <c r="AC1135" s="54">
        <v>0</v>
      </c>
      <c r="AD1135" s="54">
        <f>SUM(AE1135:AK1135)</f>
        <v>0</v>
      </c>
      <c r="AE1135" s="66"/>
      <c r="AF1135" s="66"/>
      <c r="AG1135" s="66"/>
      <c r="AH1135" s="66"/>
      <c r="AI1135" s="66"/>
      <c r="AJ1135" s="66"/>
      <c r="AK1135" s="66"/>
      <c r="AL1135" s="54">
        <f>IF((AC1135-SUM(AE1135:AK1135))&lt;0,0,AC1135-SUM(AE1135:AK1135))</f>
        <v>0</v>
      </c>
      <c r="AM1135" s="54">
        <f>SUM(AN1135:AT1135)</f>
        <v>0</v>
      </c>
      <c r="AN1135" s="54"/>
      <c r="AO1135" s="54"/>
      <c r="AP1135" s="54"/>
      <c r="AQ1135" s="54"/>
      <c r="AR1135" s="54"/>
      <c r="AS1135" s="54"/>
      <c r="AT1135" s="54"/>
      <c r="AU1135" s="54">
        <f>MAX(0,$AM1135-$AC1135-$AW1135)</f>
        <v>0</v>
      </c>
      <c r="AV1135" s="54"/>
      <c r="AW1135" s="54"/>
      <c r="AX1135" s="65">
        <v>0</v>
      </c>
      <c r="AY1135" s="57">
        <f>IF(AND($AU1135&gt;0,ISNUMBER($AX1135)),$AU1135*$AX1135,0)</f>
        <v>0</v>
      </c>
      <c r="AZ1135" s="72"/>
      <c r="BA1135" s="73"/>
      <c r="BB1135" s="73"/>
      <c r="BC1135" s="73"/>
      <c r="BD1135" s="73"/>
      <c r="BE1135" s="73"/>
      <c r="BF1135" s="73"/>
    </row>
    <row r="1136" spans="1:58" ht="15" customHeight="1">
      <c r="A1136" s="46" t="s">
        <v>6110</v>
      </c>
      <c r="B1136" s="50" t="s">
        <v>6111</v>
      </c>
      <c r="C1136" s="54" t="s">
        <v>181</v>
      </c>
      <c r="D1136" s="74">
        <v>1</v>
      </c>
      <c r="E1136" s="50" t="s">
        <v>81</v>
      </c>
      <c r="F1136" s="50">
        <v>1</v>
      </c>
      <c r="G1136" s="50">
        <v>1</v>
      </c>
      <c r="H1136" s="51" t="s">
        <v>6112</v>
      </c>
      <c r="I1136" s="50" t="s">
        <v>6113</v>
      </c>
      <c r="J1136" s="54" t="s">
        <v>73</v>
      </c>
      <c r="K1136" s="50" t="s">
        <v>135</v>
      </c>
      <c r="L1136" s="50" t="s">
        <v>6114</v>
      </c>
      <c r="M1136" s="50"/>
      <c r="N1136" s="50"/>
      <c r="O1136" s="54"/>
      <c r="P1136" s="56" t="s">
        <v>76</v>
      </c>
      <c r="Q1136" s="50" t="s">
        <v>669</v>
      </c>
      <c r="R1136" s="50"/>
      <c r="S1136" s="50"/>
      <c r="T1136" s="50"/>
      <c r="U1136" s="50"/>
      <c r="V1136" s="57"/>
      <c r="W1136" s="50"/>
      <c r="X1136" s="50"/>
      <c r="Y1136" s="50"/>
      <c r="Z1136" s="50"/>
      <c r="AA1136" s="50"/>
      <c r="AB1136" s="57"/>
      <c r="AC1136" s="54">
        <v>2</v>
      </c>
      <c r="AD1136" s="54">
        <f>SUM(AE1136:AK1136)</f>
        <v>1</v>
      </c>
      <c r="AE1136" s="66"/>
      <c r="AF1136" s="66"/>
      <c r="AG1136" s="66"/>
      <c r="AH1136" s="66"/>
      <c r="AI1136" s="66"/>
      <c r="AJ1136" s="66"/>
      <c r="AK1136" s="66">
        <v>1</v>
      </c>
      <c r="AL1136" s="54">
        <f>IF((AC1136-SUM(AE1136:AK1136))&lt;0,0,AC1136-SUM(AE1136:AK1136))</f>
        <v>1</v>
      </c>
      <c r="AM1136" s="54">
        <f>SUM(AN1136:AT1136)</f>
        <v>0</v>
      </c>
      <c r="AN1136" s="54"/>
      <c r="AO1136" s="54"/>
      <c r="AP1136" s="54"/>
      <c r="AQ1136" s="54"/>
      <c r="AR1136" s="54"/>
      <c r="AS1136" s="54"/>
      <c r="AT1136" s="54"/>
      <c r="AU1136" s="54">
        <f>MAX(0,$AM1136-$AC1136-$AW1136)</f>
        <v>0</v>
      </c>
      <c r="AV1136" s="54"/>
      <c r="AW1136" s="54"/>
      <c r="AX1136" s="65">
        <v>0</v>
      </c>
      <c r="AY1136" s="57">
        <f>IF(AND($AU1136&gt;0,ISNUMBER($AX1136)),$AU1136*$AX1136,0)</f>
        <v>0</v>
      </c>
      <c r="AZ1136" s="50"/>
      <c r="BA1136" s="54"/>
      <c r="BB1136" s="54"/>
      <c r="BC1136" s="54"/>
      <c r="BD1136" s="54"/>
      <c r="BE1136" s="54"/>
      <c r="BF1136" s="54"/>
    </row>
  </sheetData>
  <autoFilter ref="A4:BF1136" xr:uid="{00000000-0009-0000-0000-000000000000}">
    <sortState xmlns:xlrd2="http://schemas.microsoft.com/office/spreadsheetml/2017/richdata2" ref="A5:BF1136">
      <sortCondition ref="W4:W1136"/>
    </sortState>
  </autoFilter>
  <mergeCells count="2">
    <mergeCell ref="AE3:AI3"/>
    <mergeCell ref="AN3:AR3"/>
  </mergeCells>
  <conditionalFormatting sqref="B1:B1048576">
    <cfRule type="duplicateValues" dxfId="3" priority="1"/>
  </conditionalFormatting>
  <conditionalFormatting sqref="AE5:AK971">
    <cfRule type="expression" dxfId="2" priority="2">
      <formula>AE5="O"</formula>
    </cfRule>
  </conditionalFormatting>
  <conditionalFormatting sqref="AE5:AK1136">
    <cfRule type="expression" dxfId="1" priority="3">
      <formula>AE5=AN5</formula>
    </cfRule>
    <cfRule type="expression" dxfId="0" priority="4">
      <formula>AE5&lt;&gt;AN5</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Minor</dc:creator>
  <cp:lastModifiedBy>Robert Minor</cp:lastModifiedBy>
  <dcterms:created xsi:type="dcterms:W3CDTF">2026-09-30T14:59:38Z</dcterms:created>
  <dcterms:modified xsi:type="dcterms:W3CDTF">2026-09-30T15:01:38Z</dcterms:modified>
</cp:coreProperties>
</file>